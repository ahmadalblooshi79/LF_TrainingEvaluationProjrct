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28806384-3C4E-4D13-BD30-60CB4A29BAE7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التقييم'!$A$1:$J$21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 s="1"/>
  <c r="G12" i="2"/>
  <c r="H12" i="2" s="1"/>
  <c r="G13" i="2"/>
  <c r="H13" i="2"/>
  <c r="G14" i="2"/>
  <c r="H14" i="2" s="1"/>
  <c r="G15" i="2"/>
  <c r="H15" i="2" s="1"/>
  <c r="G16" i="2"/>
  <c r="H16" i="2"/>
  <c r="G8" i="2"/>
  <c r="H8" i="2"/>
  <c r="F17" i="2"/>
  <c r="E18" i="2" s="1"/>
  <c r="E19" i="2" s="1"/>
  <c r="E17" i="2"/>
</calcChain>
</file>

<file path=xl/sharedStrings.xml><?xml version="1.0" encoding="utf-8"?>
<sst xmlns="http://schemas.openxmlformats.org/spreadsheetml/2006/main" count="246" uniqueCount="191">
  <si>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</si>
  <si>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</si>
  <si>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</si>
  <si>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</si>
  <si>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</si>
  <si>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</si>
  <si>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</si>
  <si>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</si>
  <si>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</si>
  <si>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</si>
  <si>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</si>
  <si>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</si>
  <si>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</si>
  <si>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</si>
  <si>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</si>
  <si>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</si>
  <si>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</si>
  <si>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</si>
  <si>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</si>
  <si>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</si>
  <si>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</si>
  <si>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</si>
  <si>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</si>
  <si>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</si>
  <si>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</si>
  <si>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</si>
  <si>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</si>
  <si>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</si>
  <si>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</si>
  <si>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</si>
  <si>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</si>
  <si>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</si>
  <si>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</si>
  <si>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</si>
  <si>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</si>
  <si>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</si>
  <si>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</si>
  <si>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</si>
  <si>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</si>
  <si>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</si>
  <si>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</si>
  <si>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</si>
  <si>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</si>
  <si>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</si>
  <si>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</si>
  <si>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</si>
  <si>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</si>
  <si>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</si>
  <si>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</si>
  <si>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</si>
  <si>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</si>
  <si>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</si>
  <si>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</si>
  <si>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</si>
  <si>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</si>
  <si>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</si>
  <si>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</si>
  <si>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</si>
  <si>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</si>
  <si>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</si>
  <si>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</si>
  <si>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</si>
  <si>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</si>
  <si>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</si>
  <si>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</si>
  <si>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</si>
  <si>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</si>
  <si>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</si>
  <si>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</si>
  <si>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</si>
  <si>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</si>
  <si>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</si>
  <si>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</si>
  <si>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</si>
  <si>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</si>
  <si>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</si>
  <si>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</si>
  <si>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</si>
  <si>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</si>
  <si>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</si>
  <si>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</si>
  <si>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</si>
  <si>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</si>
  <si>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</si>
  <si>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</si>
  <si>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</si>
  <si>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</si>
  <si>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</si>
  <si>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</si>
  <si>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</si>
  <si>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</si>
  <si>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</si>
  <si>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</si>
  <si>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</si>
  <si>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</si>
  <si>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</si>
  <si>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</si>
  <si>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</si>
  <si>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</si>
  <si>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</si>
  <si>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</si>
  <si>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</si>
  <si>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</si>
  <si>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</si>
  <si>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</si>
  <si>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</si>
  <si>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</si>
  <si>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</si>
  <si>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</si>
  <si>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</si>
  <si>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</si>
  <si>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</si>
  <si>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</si>
  <si>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</si>
  <si>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</si>
  <si>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</si>
  <si>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</si>
  <si>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</si>
  <si>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</si>
  <si>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</si>
  <si>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</si>
  <si>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</si>
  <si>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</si>
  <si>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</si>
  <si>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</si>
  <si>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</si>
  <si>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</si>
  <si>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</si>
  <si>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</si>
  <si>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</si>
  <si>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</si>
  <si>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</si>
  <si>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</si>
  <si>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</si>
  <si>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</si>
  <si>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</si>
  <si>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</si>
  <si>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</si>
  <si>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</si>
  <si>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</si>
  <si>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</si>
  <si>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</si>
  <si>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</si>
  <si>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</si>
  <si>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</si>
  <si>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</si>
  <si>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</si>
  <si>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</si>
  <si>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</si>
  <si>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</si>
  <si>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</si>
  <si>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</si>
  <si>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</si>
  <si>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</si>
  <si>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</si>
  <si>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</si>
  <si>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</si>
  <si>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</si>
  <si>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</si>
  <si>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</si>
  <si>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</si>
  <si>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</si>
  <si>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</si>
  <si>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</si>
  <si>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</si>
  <si>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</si>
  <si>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</si>
  <si>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</si>
  <si>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</si>
  <si>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</si>
  <si>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</si>
  <si>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</si>
  <si>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</si>
  <si>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</si>
  <si>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</si>
  <si>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</si>
  <si>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</si>
  <si>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</si>
  <si>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t xml:space="preserve">الوحــــــــــــــــــدة: </t>
  </si>
  <si>
    <t xml:space="preserve">اسم ضابط الصف: </t>
  </si>
  <si>
    <r>
      <t>1.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جميع الافراد.</t>
    </r>
  </si>
  <si>
    <r>
      <t>2.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قادة الآليات.</t>
    </r>
  </si>
  <si>
    <r>
      <t>3.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الآليات.</t>
    </r>
  </si>
  <si>
    <r>
      <t>4.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هياكل/ بدن الآليات.</t>
    </r>
  </si>
  <si>
    <r>
      <t>5.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ابراج الآليات.</t>
    </r>
  </si>
  <si>
    <r>
      <t>6.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المعدات المتفرقة.</t>
    </r>
  </si>
  <si>
    <r>
      <t>7.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الاتصال.</t>
    </r>
  </si>
  <si>
    <r>
      <t>8.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>التأكد من التفتيش على معدات الحماية من الاسلحة الكيماوية.</t>
    </r>
  </si>
  <si>
    <r>
      <t>9.</t>
    </r>
    <r>
      <rPr>
        <sz val="12"/>
        <color theme="1"/>
        <rFont val="Times New Roman"/>
        <family val="1"/>
      </rPr>
      <t xml:space="preserve">        </t>
    </r>
    <r>
      <rPr>
        <sz val="12"/>
        <color theme="1"/>
        <rFont val="Arial"/>
        <family val="2"/>
      </rPr>
      <t xml:space="preserve">التأكد من التفتيش على اسلحة الطواقم. </t>
    </r>
  </si>
  <si>
    <r>
      <rPr>
        <b/>
        <sz val="14"/>
        <color rgb="FF000000"/>
        <rFont val="Arial"/>
        <family val="2"/>
      </rPr>
      <t>تقييم وكيل السرية في تفتيشات ما قبل المعركة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</si>
  <si>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 xml:space="preserve">وكيل/ خليفة علي سالم الشحي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</si>
</sst>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Times New Roman"/>
      <family val="1"/>
    </font>
    <font>
      <sz val="12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4" fillId="0" borderId="5" xfId="0" applyFont="1" applyBorder="1" applyAlignment="1">
      <alignment horizontal="right" vertical="center" wrapText="1" indent="1" readingOrder="2"/>
    </xf>
    <xf numFmtId="0" fontId="14" fillId="0" borderId="4" xfId="0" applyFont="1" applyBorder="1" applyAlignment="1">
      <alignment horizontal="right" vertical="center" wrapText="1" inden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311283</xdr:colOff>
      <xdr:row>20</xdr:row>
      <xdr:rowOff>297868</xdr:rowOff>
    </xdr:from>
    <xdr:to>
      <xdr:col>7</xdr:col>
      <xdr:colOff>360951</xdr:colOff>
      <xdr:row>20</xdr:row>
      <xdr:rowOff>522868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5F28F4E2-5040-8049-454B-F120B4F9A0A8}"/>
                </a:ext>
              </a:extLst>
            </xdr14:cNvPr>
            <xdr14:cNvContentPartPr/>
          </xdr14:nvContentPartPr>
          <xdr14:nvPr macro=""/>
          <xdr14:xfrm>
            <a:off x="10399542049" y="9210960"/>
            <a:ext cx="707760" cy="22500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5F28F4E2-5040-8049-454B-F120B4F9A0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9535929" y="9204840"/>
              <a:ext cx="720000" cy="237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144231</xdr:colOff>
      <xdr:row>19</xdr:row>
      <xdr:rowOff>528360</xdr:rowOff>
    </xdr:from>
    <xdr:to>
      <xdr:col>9</xdr:col>
      <xdr:colOff>518609</xdr:colOff>
      <xdr:row>21</xdr:row>
      <xdr:rowOff>32563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AA6903D3-FC40-AABA-745E-F076AD897211}"/>
                </a:ext>
              </a:extLst>
            </xdr14:cNvPr>
            <xdr14:cNvContentPartPr/>
          </xdr14:nvContentPartPr>
          <xdr14:nvPr macro=""/>
          <xdr14:xfrm>
            <a:off x="10398068209" y="8910360"/>
            <a:ext cx="1690560" cy="68184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AA6903D3-FC40-AABA-745E-F076AD897211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398062089" y="8904240"/>
              <a:ext cx="1702800" cy="694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8:34:13.1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1892 30 8,'0'0'0,"0"0"0,2 17 0,2-3 24,-4 4 16,5-1 16,-5-17-56,2 0 168,3 4 136,-5 0 56,3-4 48,-3 0-408,0 3 208,0-3-144,0 0-8,-3 3-40,3-3-16,-7 0 32,2 3-24,-3 0 16,3-1-8,5-2-16,-12 3 0,5 0-8,-4 0 16,6-3-16,5 0 8,-15 3 16,4 0 8,-1-3 8,-2 0-8,14 0-24,-16 2 40,-1-2 8,-1 3-24,-6-3 72,24 0-96,-23 0 64,0 0 16,-4 0 0,-1 0-16,28 0-64,-27-1 48,-1-2 0,-4 2 0,7-4 0,25 5-48,-28-3 40,3 1-24,3-1 24,4-1-40,18 4 0,-20-3 32,5-2 64,0 1 48,6 1 80,9 3-224,-7-3 256,-2 1 64,6 0-8,1 1 40,2 1-352,0-2 425,0 1-25,5 0-32,4-1-144,-9 2-224,7-1 136,7-1-128,-2 2-16,-1 0 8,-11 0 0,12 0-24,7-1 8,-3 1-16,3-2 32,-19 2 0,16-1 0,1 0 32,-1-1-16,-2-1-24,-14 3 8,11-3 0,4 1 8,-1-1-16,2 0 16,-16 3-8,15-4-16,-3-1-16,3 3 32,-5-3 16,-10 5-16,13-4 0,-1 0 32,0-1 0,0 1-32,-12 4 0,14-4 24,-4 0-24,1-1-8,1 1 32,-12 4-24,9-4-8,3 2 16,-1 0-24,-6 0-16,-5 2 32,17-1-24,-15-1-16,9 2 32,-6 0 8,-5 0 0,15 0-16,-13 0 0,11 3 8,-8 0-24,-5-3 32,12 3-24,-7 0 24,6 1-8,-8 7 0,-3-11 8,12 3 16,-10 9-32,12-8 8,-12 10 16,-2-14-8,2 4 0,3 13-8,0-5 16,-3-1 0,-2-11-8,0 13 0,0 1 24,0 0 8,-2 2-32,2-16 0,-5 17 40,0 2-16,-8-1 16,8 2 32,5-20-72,-10 20 64,3 3 32,-4-1-40,-1 1 0,12-23-56,-14 23 56,-2-3 8,-1 1-8,-1-1 16,18-20-72,-20 21 96,0 1-16,-3-3 56,-1 3-16,24-22-120,-23 20 144,-8-2-16,1 2 8,-7-4-16,37-16-120,-40 15 40,-3-3 24,-4-8-48,-1 9-8,48-13-8,-57 3 32,1 1-64,-3-1-64,-1 0-80,60-3 176,-61 2-240,0-2 8,0 0-16,-7-1-152,68 1 400,-67-1-632,-6-4-280,3 1-457,-5 0 145,75 4 1224,-70-4-896,0-2 328,-1 0 360,7-5 104,64 11 104,-62-3-56,8-1 8,5-2-8,6 2 16,43 4 40,-37-3-40,-1-1 0,6-1 16,2-7 24,30 12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5T08:34:16.3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3891 607 8,'0'0'0,"0"-3"24,0-1 8,0 4-32,10-14 160,-10 8 560,15 1 704,-4-7 736,-11 12-2160,2-1 2161,10-5-1273,0 0-448,-7 1-240,-5 5-200,13-6 80,2 2-88,-1-1-216,2 1-192,-16 4 416,19-4-424,-3 0-8,6 1 136,-3-1 168,-19 4 128,18-5-40,1 0 56,-3-7 16,3 8 24,-19 4-56,16-12 120,4 6 72,-4-7 112,3 2 120,-19 11-424,16-12 400,3 1-24,-2-3 32,2 0-80,-19 14-328,16-15 280,-2 0-79,7 1-57,-9 0-64,-12 14-80,17-16 112,-4 0 16,-1 1-64,0-1-40,-12 16-24,14-18 64,0 1 16,-2-1-80,0-2-16,-12 20 16,2-19 8,14 1-8,-11 0 16,9 3 56,-14 15-72,5-14-16,11 1-8,-13 1 24,9-1 8,-12 13-8,4-12 8,11-1-40,-13 1 24,9 7 0,-11 5 8,0-13 0,3 9 0,-1-1 0,-2 1 8,0 4-8,5-4-16,-5 2 24,0 1-48,0 1-112,0 0 152,0 0-272,0 0-72,0 0 15,0 0 41,0 0 1521,-3 3-2626,1 0 1297,2 1-8,-5 7 56,5-11 48,0 5-24,-5 7 96,-6 0-56,9 1-8,2-13-8,-5 15 24,0 0-72,1 1 40,4 2 112,0-18-104,-3 18-8,-2 4 0,3-1 48,0 0-32,2-21-8,-3 23 8,3-1 8,-2 0-8,-1 2 0,3-24-8,-2 24 48,0 3-48,0 3 56,2-2-88,0-28 32,0 30-8,0-2 80,0 0-64,0-1 32,0-27-40,0 29 8,2-1 24,-2 2-48,0-2-8,0-28 24,0 29 0,0 0-48,0-1 32,0-1 0,0-27 16,0 26 8,0 1 16,0-2-24,-2-1 0,2-24 0,0 23-40,-2-2-8,-3 2 16,0-3 48,5-20-16,0 18 8,0 1 40,-5-4 0,5 1-56,0-16 8,-5 15 8,3-2-8,0 0 24,-6-1 8,8-12-32,-2 5 80,-9 10 48,9-10 8,-13 10 24,15-15-160,-7 12 169,-5-7-57,1 11-40,-4-14-40,15-2-32,-16 12 0,2-9 0,0 8 24,2-8-56,12-3 32,-11 4 8,-1 7 0,0-8 8,0 2 112,8-1-104,-3 0 0,-5 0 16,9 1 0,-2-3 40,-8 1 16,10-3 16,-9 0-24,12 0-88,-7 0 80,-10 0 32,6 0-24,9 0 16,2 0-104,-19-1 80,7-3-32,9-1 40,-10 1 32,13 4-120,-7-6 112,2 1 56,-2-7-32,4 8 8,3 4-144,-5-6 176,1-6-8,2 7 40,-3-7-8,5 12-200,-2-6 232,2-9 16,-2 9-72,-1-10-64,3 16-112,0-4 136,0-7-104,0 6 8,0-6 88,0 11-128,0-3 32,0-3-24,0 2 40,0-1-112,5 0 104,-5 5-40,0-4 40,2-2 0,3 2 24,-5 4-64,0-6 24,2 2-8,2-3 8,-1 2-24,-3 5 0,0-5-32,2 0 24,3-1 16,2 2-16,-7 4 8,3-4 32,1-2 16,-1 2-24,-3 1-24,0 3 0,2-3 0,-2 2-48,0-1 0,0 2-16,0 0 64,0 0-120,0 0-88,0 0 24,0 0-48,0 0 48,0 0 1112,0 4-1960,0 1 928,-2 6 16,-5-8 72,7-3 16,-3 13-48,1-9 40,-5 7-24,2-5-72,5-6 104,-7 12-256,-2-9-56,4 9-24,-7-10 40,12-2 296,-2 5-176,-13 6 96,12-8 40,-12 1 0,15-4 40,-12 4 8,0-1-40,-1 0 32,-4-3-72,17 0 72,-16 0 8,-1 0 8,0 0 0,4-1 56,13 1-72,-17-3 80,7 0-24,-1-1 80,4-2 32,7 6-168,-12-11 168,10 6 88,-3 0-24,-2-8 56,7 13-288,0-4 232,0-12-56,0 11 24,0-11-72,0 16-128,7-6 112,7-9 40,-11 9-56,10-7-96,-13 13 0,12-5 56,0-7-48,0 8-8,2-2 0,-14 6 0,9-4-32,3-2-16,-1 1 8,-6 4 72,-5 1-32,12-2-32,-12 1-72,5 1-32,-3 0-48,-2 0 184,0 0-176,0 4 16,0 8 48,0-7 48,0-5 64,-2 13-48,-12-9 104,3 11 24,-6-3-16,17-12-64,-20 4 96,0 12-48,-8-12 8,28-4-56,-29 16 96,-1-12-72,-8 10 0,1-10-48,-5 7-24,42-11 48,-45 3 8,-7 1 16,0 1 16,-7-1-40,59-4 0,-65 4 48,-2 0-8,-1 1 8,-2-1 56,70-4-104,-73 11 56,0-8 8,-4 1-16,-5 11-48,82-15 0,-83 3 8,1 10-8,-3-1 0,-2-8-16,87-4 16,-87 17-24,4-6 64,-4-6-80,3 10 24,84-15 16,-85 5-16,1 9-8,-1-10 0,3 10 104,82-14-80,-82 13 16,2-2 0,-2-7 24,4 12-48,78-16 8,-76 4-8,1 12-8,5-12-40,1 12 24,69-16 32,-65 4-40,34 0 8,-9 8 40,5-10-16,35-2 8,-40 6-16,-2-2-24,-3 0 8,5 0-8,40-4 40,-49 3-8,6 0 16,6-3-8,2 0 48,35 0-48,-29 0 64,8 0 16,0-1 88,7-1 160,14 2-328,-7-4 424,2 0 57,0-2-17,5-6-152,0 12-312,12-5 184,7-6-128,5 5-24,8-8-32,-32 14 0,38-11 24,9 5 64,24-14-80,54-3 0,-125 23-8,129-20 24,-5 3-56,-21 5 40,11 6-8,-114 6 0,124-15-32,3 9 24,12-8-144,0 8-88,-139 6 240,134-11-272,9 6-80,3-7 48,-1 9 103,-145 3 201,153-4-152,0 0 80,-10 0 64,6 1 0,-149 3 8,138-2 0,-7 2 16,-5 0 88,-14 3-32,-112-3-72,99 3 64,-7 1-40,-12 1-24,-12-1 8,-68-4-8,61 11-8,-9-11 16,-6 4 17,-3 0-9,-43-4-16,26 3 24,-5-3-16,-19 3 24,-2-3-169,0 0 137,-2 0-104,-19 0 0,-5 0 0,-9 0 120,35 0-16,-48 0 8,-10-3 8,-13-1-32,-6-3 8,77 7 8,-87-4 0,-7 0 0,-7 1-32,-8 1 32,109 2 0,-114-2 8,-6 0-32,-3 2 40,-4 0-16,127 0 0,-129 4-24,-1 1-8,-8 6 32,-5-7-48,143-4 48,-146 4-64,3 8 16,-1-10-24,-2 10 56,146-12 16,-150 3-72,-1 8 88,7-7-88,2 9-8,142-13 80,-69 0-32,-13 11-40,0-8 24,-17 9-32,99-12 80,-96 4-104,-15 11-16,8-11-48,-13 9-32,116-13 200,-110 4-176,58 1 120,-2-1 8,2 0 120,52-4-72,-53 4 24,3 1-64,1-2 0,6 1-104,43-4 144,-42 3-64,5 0 104,2 1 424,6-1 224,29-3-688,-26 2 688,7-2-39,8 3-401,9 0-72,2-3-176,0 0-8,25 0-32,24 0 48,22-1-40,-71 1 32,87-3 248,12-1-56,8-1-16,7-6 8,-114 11-184,103-4 160,22-9-32,84-4 80,-21-3-152,-188 20-56,155-15-40,-40 3-16,1 7-120,4-10-256,-120 15 432,117-5-480,3-9-64,-2 9 39,-8-10 249,-110 15 256,99-6-176,-14-9 160,-8 11-32,-9-9 96,-68 13-48,61-5 80,-9-6-32,-7 8-16,-10-1-40,-35 4 8,23-4-16,-1 1-8,-13 1 24,-9 1-352,0 1 352,0-1-864,-5 1-24,-9 0 72,-7 0 344,21 0 472,-31 4-64,-9-1 136,-9 1-72,-9 0 0,58-4 0,-69 5 0,-4-1 0,-4 0 0,-5 7 8,82-11-8,-92 0 48,-5 5-24,-4-1-16,-7 8 16,108-12-24,-106 3-64,-4 0 88,-4 1-24,0-1 64,114-3-64,-59 0 120,-17 3-104,2-3 24,-13 0-72,87 0 32,-87 0-96,-12 0 8,0 0-72,-9-1-16,108 1 176,-102-5-152,4 1 0,54 0 224,-6-2-72,50 6 0,-45-4 120,-4-1-56,7-1-112,-1-6 96,43 12-48,-37-4 96,-3-7 168,9 5 168,-2-8 144,33 14-576,-23-6 456,-1-9-48,8 2-192,4-1-192,12 14-24,-2-14 112,2-2-152,28-14-8,21 2 48,-49 28 0,71-27-32,11 2 104,13 2 24,10 2-24,-105 21-72,106-19 104,-8 4 8,6-1 8,13 1-72,-117 15-48,198-27 32,-26 5 32,-27 4 0,-41 7-32,-104 11-32,106-13 32,-3 7-24,1-9-64,-4 3-96,-100 12 152,97-4-336,-5-11-184,2 9-160,-12-10 40,-82 16 640,80-12-512,-8-2 192,-8 1 208,-7-3 120,-57 16-8,49-15 136,-9-1 24,-9 2 0,-8-3 72,-23 17-232,19-14 272,-7 0 128,-7-2 48,-1 0-16,-4 16-432,2-15 408,-2-1-168,-2-2-72,-12 2-72,14 16-96,-19-17-32,5 0-16,-7-1-16,2 1 8,19 17 56,-23-18 8,-1-1-8,-2 1-8,1-4 8,25 22 0,-24-20-40,0-1-24,0 0-56,6 3-64,18 18 184,-17-20-208,-1 3 8,1 0-56,3-1-16,14 18 272,-14-15-352,2 4 16,5 5 80,-2 1 72,9 5 184,-3-5-144,1 1-136,-1 4-120,2 0-97,1 0 497,0 3-504,0 8 168,4 2 208,-2 4 144,-2-17-16,15 25 160,-1 4-8,4 5-48,6 8 0,-24-42-104,23 43 40,6 6 32,4 5-8,0 3-24,-33-57-40,35 59 48,0 3 24,5-3-48,-4 3 8,-36-62-32,37 64 0,-2 5-32,-2 3 16,-2 2 80,-31-74-64,30 75 88,-2 0 16,-4 1 72,-8 0-135,-16-76-41,17 75 112,-3-3-48,-12-6-16,3-1-8,-5-65-40,2 61-16,-2 0-88,0 0-1185,0 0-1471,0-61 2760,-5 58-2657,1-8 833,-5-11 1072,6-13 576,3-26 176,-7 12-56,7-12 56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1"/>
  <sheetViews>
    <sheetView rightToLeft="1" tabSelected="1" view="pageBreakPreview" topLeftCell="B4" zoomScale="130" zoomScaleNormal="100" zoomScaleSheetLayoutView="130" workbookViewId="0">
      <selection activeCell="F16" sqref="F16"/>
    </sheetView>
  </sheetViews>
  <sheetFormatPr defaultColWidth="9" defaultRowHeight="14.4" x14ac:dyDescent="0.3"/>
  <cols>
    <col min="1" max="1" width="5.109375" style="1" customWidth="1"/>
    <col min="2" max="2" width="16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9" t="s">
        <v>189</v>
      </c>
      <c r="C1" s="59"/>
      <c r="D1" s="59"/>
      <c r="E1" s="59"/>
      <c r="F1" s="59"/>
      <c r="G1" s="59"/>
      <c r="H1" s="59"/>
      <c r="I1" s="59"/>
      <c r="J1" s="59"/>
    </row>
    <row r="2" spans="1:10" ht="30" customHeight="1" x14ac:dyDescent="0.3">
      <c r="B2" s="12" t="s">
        <v>178</v>
      </c>
      <c r="C2" s="65" t="s">
        <v>41</v>
      </c>
      <c r="D2" s="65"/>
      <c r="E2" s="12" t="s">
        <v>7</v>
      </c>
      <c r="F2" s="60">
        <v>45945</v>
      </c>
      <c r="G2" s="60"/>
      <c r="H2" s="60"/>
      <c r="I2" s="60"/>
      <c r="J2" s="60"/>
    </row>
    <row r="3" spans="1:10" ht="30" customHeight="1" x14ac:dyDescent="0.3">
      <c r="B3" s="12" t="s">
        <v>179</v>
      </c>
      <c r="C3" s="65" t="s">
        <v>190</v>
      </c>
      <c r="D3" s="65"/>
      <c r="E3" s="12" t="s">
        <v>6</v>
      </c>
      <c r="F3" s="65" t="s">
        <v>160</v>
      </c>
      <c r="G3" s="65"/>
      <c r="H3" s="65"/>
      <c r="I3" s="65"/>
      <c r="J3" s="65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1" t="s">
        <v>0</v>
      </c>
      <c r="C5" s="62"/>
      <c r="D5" s="62"/>
      <c r="E5" s="49" t="s">
        <v>1</v>
      </c>
      <c r="F5" s="49"/>
      <c r="G5" s="49"/>
      <c r="H5" s="49"/>
      <c r="I5" s="49" t="s">
        <v>2</v>
      </c>
      <c r="J5" s="50"/>
    </row>
    <row r="6" spans="1:10" ht="24.9" customHeight="1" thickBot="1" x14ac:dyDescent="0.35">
      <c r="A6" s="10"/>
      <c r="B6" s="63"/>
      <c r="C6" s="64"/>
      <c r="D6" s="64"/>
      <c r="E6" s="11" t="s">
        <v>3</v>
      </c>
      <c r="F6" s="11" t="s">
        <v>4</v>
      </c>
      <c r="G6" s="11" t="s">
        <v>21</v>
      </c>
      <c r="H6" s="11" t="s">
        <v>22</v>
      </c>
      <c r="I6" s="51"/>
      <c r="J6" s="52"/>
    </row>
    <row r="7" spans="1:10" ht="24.9" customHeight="1" thickBot="1" x14ac:dyDescent="0.35">
      <c r="A7" s="10"/>
      <c r="B7" s="47" t="s">
        <v>19</v>
      </c>
      <c r="C7" s="48"/>
      <c r="D7" s="48"/>
      <c r="E7" s="28" t="s">
        <v>16</v>
      </c>
      <c r="F7" s="28" t="s">
        <v>17</v>
      </c>
      <c r="G7" s="28" t="s">
        <v>20</v>
      </c>
      <c r="H7" s="28" t="s">
        <v>18</v>
      </c>
      <c r="I7" s="53" t="s">
        <v>23</v>
      </c>
      <c r="J7" s="54"/>
    </row>
    <row r="8" spans="1:10" ht="39.9" customHeight="1" x14ac:dyDescent="0.3">
      <c r="A8" s="10"/>
      <c r="B8" s="57" t="s">
        <v>180</v>
      </c>
      <c r="C8" s="58"/>
      <c r="D8" s="58"/>
      <c r="E8" s="32">
        <v>5</v>
      </c>
      <c r="F8" s="33">
        <v>3.75</v>
      </c>
      <c r="G8" s="34">
        <f>IFERROR(F8/E8,"")</f>
        <v>0.75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55"/>
      <c r="J8" s="56"/>
    </row>
    <row r="9" spans="1:10" ht="39.9" customHeight="1" x14ac:dyDescent="0.3">
      <c r="A9" s="10"/>
      <c r="B9" s="39" t="s">
        <v>181</v>
      </c>
      <c r="C9" s="40"/>
      <c r="D9" s="40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1"/>
      <c r="J9" s="42"/>
    </row>
    <row r="10" spans="1:10" ht="39.9" customHeight="1" x14ac:dyDescent="0.3">
      <c r="A10" s="10"/>
      <c r="B10" s="39" t="s">
        <v>182</v>
      </c>
      <c r="C10" s="40"/>
      <c r="D10" s="40"/>
      <c r="E10" s="9">
        <v>5</v>
      </c>
      <c r="F10" s="26">
        <v>4</v>
      </c>
      <c r="G10" s="30">
        <f t="shared" ref="G10:G16" si="0">IFERROR(F10/E10,"")</f>
        <v>0.8</v>
      </c>
      <c r="H10" s="31" t="str">
        <f t="shared" ref="H10:H16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1"/>
      <c r="J10" s="42"/>
    </row>
    <row r="11" spans="1:10" ht="39.9" customHeight="1" x14ac:dyDescent="0.3">
      <c r="A11" s="10"/>
      <c r="B11" s="39" t="s">
        <v>183</v>
      </c>
      <c r="C11" s="40"/>
      <c r="D11" s="40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41"/>
      <c r="J11" s="42"/>
    </row>
    <row r="12" spans="1:10" ht="39.9" customHeight="1" x14ac:dyDescent="0.3">
      <c r="A12" s="10"/>
      <c r="B12" s="39" t="s">
        <v>184</v>
      </c>
      <c r="C12" s="40"/>
      <c r="D12" s="40"/>
      <c r="E12" s="9">
        <v>5</v>
      </c>
      <c r="F12" s="26">
        <v>3.5</v>
      </c>
      <c r="G12" s="30">
        <f t="shared" si="0"/>
        <v>0.7</v>
      </c>
      <c r="H12" s="31" t="str">
        <f t="shared" si="1"/>
        <v>جيد</v>
      </c>
      <c r="I12" s="41"/>
      <c r="J12" s="42"/>
    </row>
    <row r="13" spans="1:10" ht="39.9" customHeight="1" x14ac:dyDescent="0.3">
      <c r="A13" s="10"/>
      <c r="B13" s="39" t="s">
        <v>185</v>
      </c>
      <c r="C13" s="40"/>
      <c r="D13" s="40"/>
      <c r="E13" s="9">
        <v>5</v>
      </c>
      <c r="F13" s="26">
        <v>3.75</v>
      </c>
      <c r="G13" s="30">
        <f t="shared" si="0"/>
        <v>0.75</v>
      </c>
      <c r="H13" s="31" t="str">
        <f t="shared" si="1"/>
        <v>جيد</v>
      </c>
      <c r="I13" s="41"/>
      <c r="J13" s="42"/>
    </row>
    <row r="14" spans="1:10" ht="39.9" customHeight="1" x14ac:dyDescent="0.3">
      <c r="A14" s="10"/>
      <c r="B14" s="39" t="s">
        <v>186</v>
      </c>
      <c r="C14" s="40"/>
      <c r="D14" s="40"/>
      <c r="E14" s="9">
        <v>5</v>
      </c>
      <c r="F14" s="26">
        <v>3.75</v>
      </c>
      <c r="G14" s="30">
        <f t="shared" si="0"/>
        <v>0.75</v>
      </c>
      <c r="H14" s="31" t="str">
        <f t="shared" si="1"/>
        <v>جيد</v>
      </c>
      <c r="I14" s="41"/>
      <c r="J14" s="42"/>
    </row>
    <row r="15" spans="1:10" ht="39.9" customHeight="1" x14ac:dyDescent="0.3">
      <c r="A15" s="10"/>
      <c r="B15" s="39" t="s">
        <v>187</v>
      </c>
      <c r="C15" s="40"/>
      <c r="D15" s="40"/>
      <c r="E15" s="9">
        <v>5</v>
      </c>
      <c r="F15" s="26">
        <v>3.75</v>
      </c>
      <c r="G15" s="30">
        <f t="shared" si="0"/>
        <v>0.75</v>
      </c>
      <c r="H15" s="31" t="str">
        <f t="shared" si="1"/>
        <v>جيد</v>
      </c>
      <c r="I15" s="41"/>
      <c r="J15" s="42"/>
    </row>
    <row r="16" spans="1:10" ht="39.9" customHeight="1" thickBot="1" x14ac:dyDescent="0.35">
      <c r="A16" s="10"/>
      <c r="B16" s="45" t="s">
        <v>188</v>
      </c>
      <c r="C16" s="46"/>
      <c r="D16" s="46"/>
      <c r="E16" s="36">
        <v>5</v>
      </c>
      <c r="F16" s="27">
        <v>4</v>
      </c>
      <c r="G16" s="37">
        <f t="shared" si="0"/>
        <v>0.8</v>
      </c>
      <c r="H16" s="38" t="str">
        <f t="shared" si="1"/>
        <v>جيد جداً</v>
      </c>
      <c r="I16" s="43"/>
      <c r="J16" s="44"/>
    </row>
    <row r="17" spans="1:10" ht="30" customHeight="1" thickBot="1" x14ac:dyDescent="0.35">
      <c r="A17" s="4"/>
      <c r="B17" s="79" t="s">
        <v>5</v>
      </c>
      <c r="C17" s="80"/>
      <c r="D17" s="80"/>
      <c r="E17" s="29">
        <f>SUM(E8:E16)</f>
        <v>45</v>
      </c>
      <c r="F17" s="29">
        <f>SUM(F8:F16)</f>
        <v>33.5</v>
      </c>
      <c r="G17" s="68"/>
      <c r="H17" s="69"/>
      <c r="I17" s="69"/>
      <c r="J17" s="70"/>
    </row>
    <row r="18" spans="1:10" ht="30" customHeight="1" thickBot="1" x14ac:dyDescent="0.35">
      <c r="A18" s="4"/>
      <c r="B18" s="81" t="s">
        <v>52</v>
      </c>
      <c r="C18" s="82"/>
      <c r="D18" s="82"/>
      <c r="E18" s="77">
        <f>F17/E17/100*100</f>
        <v>0.74444444444444446</v>
      </c>
      <c r="F18" s="77"/>
      <c r="G18" s="77"/>
      <c r="H18" s="77"/>
      <c r="I18" s="77"/>
      <c r="J18" s="78"/>
    </row>
    <row r="19" spans="1:10" ht="30" customHeight="1" thickBot="1" x14ac:dyDescent="0.35">
      <c r="A19" s="4"/>
      <c r="B19" s="81" t="s">
        <v>53</v>
      </c>
      <c r="C19" s="82"/>
      <c r="D19" s="82"/>
      <c r="E19" s="75" t="str">
        <f>_xlfn.IFS(E18&gt;=90%,"ممتاز",E18&gt;=80%,"جيد جداً",E18&gt;=70%,"جيد",E18&gt;=60%,"مقبول",E18&lt;60%,"راسب")</f>
        <v>جيد</v>
      </c>
      <c r="F19" s="75"/>
      <c r="G19" s="75"/>
      <c r="H19" s="75"/>
      <c r="I19" s="75"/>
      <c r="J19" s="76"/>
    </row>
    <row r="20" spans="1:10" ht="42" customHeight="1" x14ac:dyDescent="0.3">
      <c r="B20" s="71" t="s">
        <v>172</v>
      </c>
      <c r="C20" s="71"/>
      <c r="D20" s="71"/>
      <c r="E20" s="66" t="s">
        <v>50</v>
      </c>
      <c r="F20" s="66"/>
      <c r="G20" s="73" t="s">
        <v>160</v>
      </c>
      <c r="H20" s="73"/>
      <c r="I20" s="73"/>
      <c r="J20" s="73"/>
    </row>
    <row r="21" spans="1:10" ht="51" customHeight="1" x14ac:dyDescent="0.3">
      <c r="A21" s="5"/>
      <c r="B21" s="72"/>
      <c r="C21" s="72"/>
      <c r="D21" s="72"/>
      <c r="E21" s="67" t="s">
        <v>51</v>
      </c>
      <c r="F21" s="67"/>
      <c r="G21" s="74"/>
      <c r="H21" s="74"/>
      <c r="I21" s="74"/>
      <c r="J21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39">
    <mergeCell ref="E20:F20"/>
    <mergeCell ref="E21:F21"/>
    <mergeCell ref="G17:J17"/>
    <mergeCell ref="I9:J9"/>
    <mergeCell ref="B20:D21"/>
    <mergeCell ref="G20:J20"/>
    <mergeCell ref="G21:J21"/>
    <mergeCell ref="E19:J19"/>
    <mergeCell ref="E18:J18"/>
    <mergeCell ref="B17:D17"/>
    <mergeCell ref="B18:D18"/>
    <mergeCell ref="B19:D19"/>
    <mergeCell ref="I11:J11"/>
    <mergeCell ref="I12:J12"/>
    <mergeCell ref="I13:J13"/>
    <mergeCell ref="I14:J14"/>
    <mergeCell ref="B1:J1"/>
    <mergeCell ref="F2:J2"/>
    <mergeCell ref="B5:D6"/>
    <mergeCell ref="C2:D2"/>
    <mergeCell ref="C3:D3"/>
    <mergeCell ref="F3:J3"/>
    <mergeCell ref="B7:D7"/>
    <mergeCell ref="E5:H5"/>
    <mergeCell ref="I5:J6"/>
    <mergeCell ref="I7:J7"/>
    <mergeCell ref="I10:J10"/>
    <mergeCell ref="I8:J8"/>
    <mergeCell ref="B8:D8"/>
    <mergeCell ref="B9:D9"/>
    <mergeCell ref="B10:D10"/>
    <mergeCell ref="B11:D11"/>
    <mergeCell ref="B12:D12"/>
    <mergeCell ref="I15:J15"/>
    <mergeCell ref="I16:J16"/>
    <mergeCell ref="B13:D13"/>
    <mergeCell ref="B14:D14"/>
    <mergeCell ref="B15:D15"/>
    <mergeCell ref="B16:D1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19">
    <cfRule type="expression" dxfId="14" priority="57">
      <formula>$E19="راسب"</formula>
    </cfRule>
  </conditionalFormatting>
  <conditionalFormatting sqref="E19:J19">
    <cfRule type="expression" dxfId="13" priority="58">
      <formula>$E19="مقبول"</formula>
    </cfRule>
    <cfRule type="expression" dxfId="12" priority="59">
      <formula>$E19="جيد"</formula>
    </cfRule>
    <cfRule type="expression" dxfId="11" priority="60">
      <formula>$E19="جيد جداً"</formula>
    </cfRule>
    <cfRule type="expression" dxfId="10" priority="61">
      <formula>$E19="ممتاز"</formula>
    </cfRule>
  </conditionalFormatting>
  <conditionalFormatting sqref="F8:F16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0:J20">
    <cfRule type="containsText" dxfId="6" priority="15" operator="containsText" text="أدخل اسم المحكم">
      <formula>NOT(ISERROR(SEARCH("أدخل اسم المحكم",G20)))</formula>
    </cfRule>
  </conditionalFormatting>
  <conditionalFormatting sqref="H8:H16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2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F8:F16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G20:J20 F3:J3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55</v>
      </c>
      <c r="C1" s="2" t="s">
        <v>58</v>
      </c>
    </row>
    <row r="2" spans="1:3" ht="20.100000000000001" customHeight="1" thickBot="1" x14ac:dyDescent="0.35">
      <c r="A2" s="2" t="s">
        <v>33</v>
      </c>
      <c r="C2" s="19" t="s">
        <v>60</v>
      </c>
    </row>
    <row r="3" spans="1:3" ht="20.100000000000001" customHeight="1" thickBot="1" x14ac:dyDescent="0.35">
      <c r="A3" s="2" t="s">
        <v>24</v>
      </c>
      <c r="C3" s="19" t="s">
        <v>61</v>
      </c>
    </row>
    <row r="4" spans="1:3" ht="20.100000000000001" customHeight="1" thickBot="1" x14ac:dyDescent="0.35">
      <c r="A4" s="2" t="s">
        <v>34</v>
      </c>
      <c r="C4" s="19" t="s">
        <v>62</v>
      </c>
    </row>
    <row r="5" spans="1:3" ht="20.100000000000001" customHeight="1" thickBot="1" x14ac:dyDescent="0.35">
      <c r="A5" s="2" t="s">
        <v>35</v>
      </c>
      <c r="C5" s="19" t="s">
        <v>63</v>
      </c>
    </row>
    <row r="6" spans="1:3" ht="20.100000000000001" customHeight="1" thickBot="1" x14ac:dyDescent="0.35">
      <c r="A6" s="2" t="s">
        <v>36</v>
      </c>
      <c r="C6" s="19" t="s">
        <v>64</v>
      </c>
    </row>
    <row r="7" spans="1:3" ht="20.100000000000001" customHeight="1" thickBot="1" x14ac:dyDescent="0.35">
      <c r="A7" s="2" t="s">
        <v>37</v>
      </c>
      <c r="C7" s="19" t="s">
        <v>65</v>
      </c>
    </row>
    <row r="8" spans="1:3" ht="20.100000000000001" customHeight="1" thickBot="1" x14ac:dyDescent="0.35">
      <c r="A8" s="2" t="s">
        <v>38</v>
      </c>
      <c r="C8" s="19" t="s">
        <v>66</v>
      </c>
    </row>
    <row r="9" spans="1:3" ht="20.100000000000001" customHeight="1" thickBot="1" x14ac:dyDescent="0.35">
      <c r="A9" s="2" t="s">
        <v>39</v>
      </c>
      <c r="C9" s="19" t="s">
        <v>67</v>
      </c>
    </row>
    <row r="10" spans="1:3" ht="20.100000000000001" customHeight="1" thickBot="1" x14ac:dyDescent="0.35">
      <c r="A10" s="2" t="s">
        <v>40</v>
      </c>
      <c r="C10" s="19" t="s">
        <v>68</v>
      </c>
    </row>
    <row r="11" spans="1:3" ht="20.100000000000001" customHeight="1" thickBot="1" x14ac:dyDescent="0.35">
      <c r="A11" s="2" t="s">
        <v>41</v>
      </c>
      <c r="C11" s="19" t="s">
        <v>69</v>
      </c>
    </row>
    <row r="12" spans="1:3" ht="20.100000000000001" customHeight="1" thickBot="1" x14ac:dyDescent="0.35">
      <c r="A12" s="2" t="s">
        <v>42</v>
      </c>
      <c r="C12" s="19" t="s">
        <v>70</v>
      </c>
    </row>
    <row r="13" spans="1:3" ht="20.100000000000001" customHeight="1" thickBot="1" x14ac:dyDescent="0.35">
      <c r="A13" s="2" t="s">
        <v>43</v>
      </c>
      <c r="C13" s="19" t="s">
        <v>71</v>
      </c>
    </row>
    <row r="14" spans="1:3" ht="20.100000000000001" customHeight="1" thickBot="1" x14ac:dyDescent="0.35">
      <c r="A14" s="2" t="s">
        <v>44</v>
      </c>
      <c r="C14" s="19" t="s">
        <v>72</v>
      </c>
    </row>
    <row r="15" spans="1:3" ht="20.100000000000001" customHeight="1" thickBot="1" x14ac:dyDescent="0.35">
      <c r="A15" s="2" t="s">
        <v>45</v>
      </c>
      <c r="C15" s="19" t="s">
        <v>73</v>
      </c>
    </row>
    <row r="16" spans="1:3" ht="20.100000000000001" customHeight="1" thickBot="1" x14ac:dyDescent="0.35">
      <c r="A16" s="2" t="s">
        <v>8</v>
      </c>
      <c r="C16" s="19" t="s">
        <v>74</v>
      </c>
    </row>
    <row r="17" spans="1:3" ht="20.100000000000001" customHeight="1" thickBot="1" x14ac:dyDescent="0.35">
      <c r="A17" s="2" t="s">
        <v>25</v>
      </c>
      <c r="C17" s="19" t="s">
        <v>75</v>
      </c>
    </row>
    <row r="18" spans="1:3" ht="20.100000000000001" customHeight="1" thickBot="1" x14ac:dyDescent="0.35">
      <c r="A18" s="2" t="s">
        <v>46</v>
      </c>
      <c r="C18" s="19" t="s">
        <v>76</v>
      </c>
    </row>
    <row r="19" spans="1:3" ht="20.100000000000001" customHeight="1" thickBot="1" x14ac:dyDescent="0.35">
      <c r="A19" s="2" t="s">
        <v>47</v>
      </c>
      <c r="C19" s="19" t="s">
        <v>77</v>
      </c>
    </row>
    <row r="20" spans="1:3" ht="20.100000000000001" customHeight="1" thickBot="1" x14ac:dyDescent="0.35">
      <c r="A20" s="2" t="s">
        <v>48</v>
      </c>
      <c r="C20" s="19" t="s">
        <v>78</v>
      </c>
    </row>
    <row r="21" spans="1:3" ht="20.100000000000001" customHeight="1" thickBot="1" x14ac:dyDescent="0.35">
      <c r="A21" s="2" t="s">
        <v>49</v>
      </c>
      <c r="C21" s="19" t="s">
        <v>79</v>
      </c>
    </row>
    <row r="22" spans="1:3" ht="20.100000000000001" customHeight="1" thickBot="1" x14ac:dyDescent="0.35">
      <c r="A22" s="2" t="s">
        <v>9</v>
      </c>
      <c r="C22" s="19" t="s">
        <v>80</v>
      </c>
    </row>
    <row r="23" spans="1:3" ht="20.100000000000001" customHeight="1" thickBot="1" x14ac:dyDescent="0.35">
      <c r="A23" s="2" t="s">
        <v>10</v>
      </c>
      <c r="C23" s="19" t="s">
        <v>81</v>
      </c>
    </row>
    <row r="24" spans="1:3" ht="20.100000000000001" customHeight="1" thickBot="1" x14ac:dyDescent="0.35">
      <c r="A24" s="2" t="s">
        <v>13</v>
      </c>
      <c r="C24" s="19" t="s">
        <v>82</v>
      </c>
    </row>
    <row r="25" spans="1:3" ht="20.100000000000001" customHeight="1" thickBot="1" x14ac:dyDescent="0.35">
      <c r="A25" s="2" t="s">
        <v>26</v>
      </c>
      <c r="C25" s="19" t="s">
        <v>83</v>
      </c>
    </row>
    <row r="26" spans="1:3" ht="20.100000000000001" customHeight="1" thickBot="1" x14ac:dyDescent="0.35">
      <c r="A26" s="2" t="s">
        <v>27</v>
      </c>
      <c r="C26" s="19" t="s">
        <v>84</v>
      </c>
    </row>
    <row r="27" spans="1:3" ht="20.100000000000001" customHeight="1" thickBot="1" x14ac:dyDescent="0.35">
      <c r="A27" s="2" t="s">
        <v>11</v>
      </c>
      <c r="C27" s="19" t="s">
        <v>85</v>
      </c>
    </row>
    <row r="28" spans="1:3" ht="20.100000000000001" customHeight="1" thickBot="1" x14ac:dyDescent="0.35">
      <c r="A28" s="2" t="s">
        <v>28</v>
      </c>
      <c r="C28" s="19" t="s">
        <v>86</v>
      </c>
    </row>
    <row r="29" spans="1:3" ht="20.100000000000001" customHeight="1" thickBot="1" x14ac:dyDescent="0.35">
      <c r="A29" s="2" t="s">
        <v>29</v>
      </c>
      <c r="C29" s="19" t="s">
        <v>175</v>
      </c>
    </row>
    <row r="30" spans="1:3" ht="20.100000000000001" customHeight="1" thickBot="1" x14ac:dyDescent="0.35">
      <c r="A30" s="2" t="s">
        <v>30</v>
      </c>
      <c r="C30" s="19" t="s">
        <v>176</v>
      </c>
    </row>
    <row r="31" spans="1:3" ht="20.100000000000001" customHeight="1" thickBot="1" x14ac:dyDescent="0.35">
      <c r="A31" s="2" t="s">
        <v>31</v>
      </c>
      <c r="C31" s="19" t="s">
        <v>177</v>
      </c>
    </row>
    <row r="32" spans="1:3" ht="20.100000000000001" customHeight="1" thickBot="1" x14ac:dyDescent="0.35">
      <c r="A32" s="2" t="s">
        <v>14</v>
      </c>
      <c r="C32" s="19"/>
    </row>
    <row r="33" spans="1:9" ht="20.100000000000001" customHeight="1" thickBot="1" x14ac:dyDescent="0.35">
      <c r="A33" s="2" t="s">
        <v>12</v>
      </c>
      <c r="C33" s="19"/>
    </row>
    <row r="34" spans="1:9" ht="20.100000000000001" customHeight="1" thickBot="1" x14ac:dyDescent="0.35">
      <c r="A34" s="2" t="s">
        <v>32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54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59</v>
      </c>
    </row>
    <row r="112" spans="1:9" ht="20.100000000000001" customHeight="1" thickBot="1" x14ac:dyDescent="0.35">
      <c r="A112" s="2" t="s">
        <v>15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57</v>
      </c>
    </row>
    <row r="199" spans="1:1" ht="20.100000000000001" customHeight="1" x14ac:dyDescent="0.3">
      <c r="A199" s="20" t="s">
        <v>87</v>
      </c>
    </row>
    <row r="200" spans="1:1" ht="20.100000000000001" customHeight="1" x14ac:dyDescent="0.3">
      <c r="A200" s="20" t="s">
        <v>88</v>
      </c>
    </row>
    <row r="201" spans="1:1" ht="20.100000000000001" customHeight="1" x14ac:dyDescent="0.3">
      <c r="A201" s="20" t="s">
        <v>89</v>
      </c>
    </row>
    <row r="202" spans="1:1" ht="20.100000000000001" customHeight="1" x14ac:dyDescent="0.3">
      <c r="A202" s="20" t="s">
        <v>90</v>
      </c>
    </row>
    <row r="203" spans="1:1" ht="20.100000000000001" customHeight="1" x14ac:dyDescent="0.3">
      <c r="A203" s="20" t="s">
        <v>91</v>
      </c>
    </row>
    <row r="204" spans="1:1" ht="20.100000000000001" customHeight="1" x14ac:dyDescent="0.3">
      <c r="A204" s="20" t="s">
        <v>92</v>
      </c>
    </row>
    <row r="205" spans="1:1" ht="20.100000000000001" customHeight="1" x14ac:dyDescent="0.3">
      <c r="A205" s="20" t="s">
        <v>93</v>
      </c>
    </row>
    <row r="206" spans="1:1" ht="20.100000000000001" customHeight="1" x14ac:dyDescent="0.3">
      <c r="A206" s="20" t="s">
        <v>94</v>
      </c>
    </row>
    <row r="207" spans="1:1" ht="20.100000000000001" customHeight="1" x14ac:dyDescent="0.3">
      <c r="A207" s="20" t="s">
        <v>95</v>
      </c>
    </row>
    <row r="208" spans="1:1" ht="20.100000000000001" customHeight="1" x14ac:dyDescent="0.3">
      <c r="A208" s="21" t="s">
        <v>96</v>
      </c>
    </row>
    <row r="209" spans="1:1" ht="20.100000000000001" customHeight="1" x14ac:dyDescent="0.3">
      <c r="A209" s="21" t="s">
        <v>97</v>
      </c>
    </row>
    <row r="210" spans="1:1" ht="20.100000000000001" customHeight="1" x14ac:dyDescent="0.3">
      <c r="A210" s="20" t="s">
        <v>98</v>
      </c>
    </row>
    <row r="211" spans="1:1" ht="20.100000000000001" customHeight="1" x14ac:dyDescent="0.3">
      <c r="A211" s="20" t="s">
        <v>99</v>
      </c>
    </row>
    <row r="212" spans="1:1" ht="20.100000000000001" customHeight="1" x14ac:dyDescent="0.3">
      <c r="A212" s="20" t="s">
        <v>173</v>
      </c>
    </row>
    <row r="213" spans="1:1" ht="20.100000000000001" customHeight="1" x14ac:dyDescent="0.3">
      <c r="A213" s="20" t="s">
        <v>100</v>
      </c>
    </row>
    <row r="214" spans="1:1" ht="20.100000000000001" customHeight="1" x14ac:dyDescent="0.3">
      <c r="A214" s="20" t="s">
        <v>101</v>
      </c>
    </row>
    <row r="215" spans="1:1" ht="20.100000000000001" customHeight="1" x14ac:dyDescent="0.3">
      <c r="A215" s="20" t="s">
        <v>102</v>
      </c>
    </row>
    <row r="216" spans="1:1" ht="20.100000000000001" customHeight="1" x14ac:dyDescent="0.3">
      <c r="A216" s="20" t="s">
        <v>103</v>
      </c>
    </row>
    <row r="217" spans="1:1" ht="20.100000000000001" customHeight="1" x14ac:dyDescent="0.3">
      <c r="A217" s="20" t="s">
        <v>104</v>
      </c>
    </row>
    <row r="218" spans="1:1" ht="20.100000000000001" customHeight="1" x14ac:dyDescent="0.3">
      <c r="A218" s="20" t="s">
        <v>105</v>
      </c>
    </row>
    <row r="219" spans="1:1" ht="20.100000000000001" customHeight="1" x14ac:dyDescent="0.3">
      <c r="A219" s="20" t="s">
        <v>106</v>
      </c>
    </row>
    <row r="220" spans="1:1" ht="20.100000000000001" customHeight="1" x14ac:dyDescent="0.3">
      <c r="A220" s="20" t="s">
        <v>107</v>
      </c>
    </row>
    <row r="221" spans="1:1" ht="20.100000000000001" customHeight="1" x14ac:dyDescent="0.3">
      <c r="A221" s="20" t="s">
        <v>108</v>
      </c>
    </row>
    <row r="222" spans="1:1" ht="20.100000000000001" customHeight="1" x14ac:dyDescent="0.3">
      <c r="A222" s="20" t="s">
        <v>109</v>
      </c>
    </row>
    <row r="223" spans="1:1" ht="20.100000000000001" customHeight="1" x14ac:dyDescent="0.3">
      <c r="A223" s="20" t="s">
        <v>110</v>
      </c>
    </row>
    <row r="224" spans="1:1" ht="20.100000000000001" customHeight="1" x14ac:dyDescent="0.3">
      <c r="A224" s="20" t="s">
        <v>174</v>
      </c>
    </row>
    <row r="225" spans="1:1" ht="20.100000000000001" customHeight="1" x14ac:dyDescent="0.3">
      <c r="A225" s="20" t="s">
        <v>111</v>
      </c>
    </row>
    <row r="226" spans="1:1" ht="20.100000000000001" customHeight="1" x14ac:dyDescent="0.3">
      <c r="A226" s="20" t="s">
        <v>112</v>
      </c>
    </row>
    <row r="227" spans="1:1" ht="20.100000000000001" customHeight="1" x14ac:dyDescent="0.3">
      <c r="A227" s="20" t="s">
        <v>113</v>
      </c>
    </row>
    <row r="228" spans="1:1" ht="20.100000000000001" customHeight="1" x14ac:dyDescent="0.3">
      <c r="A228" s="20" t="s">
        <v>114</v>
      </c>
    </row>
    <row r="229" spans="1:1" ht="20.100000000000001" customHeight="1" x14ac:dyDescent="0.3">
      <c r="A229" s="20" t="s">
        <v>115</v>
      </c>
    </row>
    <row r="230" spans="1:1" ht="20.100000000000001" customHeight="1" x14ac:dyDescent="0.3">
      <c r="A230" s="20" t="s">
        <v>116</v>
      </c>
    </row>
    <row r="231" spans="1:1" ht="20.100000000000001" customHeight="1" x14ac:dyDescent="0.3">
      <c r="A231" s="20" t="s">
        <v>117</v>
      </c>
    </row>
    <row r="232" spans="1:1" ht="20.100000000000001" customHeight="1" x14ac:dyDescent="0.3">
      <c r="A232" s="20" t="s">
        <v>118</v>
      </c>
    </row>
    <row r="233" spans="1:1" ht="20.100000000000001" customHeight="1" x14ac:dyDescent="0.3">
      <c r="A233" s="20" t="s">
        <v>119</v>
      </c>
    </row>
    <row r="234" spans="1:1" ht="20.100000000000001" customHeight="1" x14ac:dyDescent="0.3">
      <c r="A234" s="20" t="s">
        <v>120</v>
      </c>
    </row>
    <row r="235" spans="1:1" ht="20.100000000000001" customHeight="1" x14ac:dyDescent="0.3">
      <c r="A235" s="20" t="s">
        <v>121</v>
      </c>
    </row>
    <row r="236" spans="1:1" ht="20.100000000000001" customHeight="1" x14ac:dyDescent="0.3">
      <c r="A236" s="22" t="s">
        <v>122</v>
      </c>
    </row>
    <row r="237" spans="1:1" ht="20.100000000000001" customHeight="1" x14ac:dyDescent="0.3">
      <c r="A237" s="20" t="s">
        <v>123</v>
      </c>
    </row>
    <row r="238" spans="1:1" ht="20.100000000000001" customHeight="1" x14ac:dyDescent="0.3">
      <c r="A238" s="20" t="s">
        <v>124</v>
      </c>
    </row>
    <row r="239" spans="1:1" ht="20.100000000000001" customHeight="1" x14ac:dyDescent="0.3">
      <c r="A239" s="20" t="s">
        <v>125</v>
      </c>
    </row>
    <row r="240" spans="1:1" ht="20.100000000000001" customHeight="1" x14ac:dyDescent="0.3">
      <c r="A240" s="20" t="s">
        <v>126</v>
      </c>
    </row>
    <row r="241" spans="1:1" ht="20.100000000000001" customHeight="1" x14ac:dyDescent="0.3">
      <c r="A241" s="20" t="s">
        <v>127</v>
      </c>
    </row>
    <row r="242" spans="1:1" ht="20.100000000000001" customHeight="1" x14ac:dyDescent="0.3">
      <c r="A242" s="20" t="s">
        <v>128</v>
      </c>
    </row>
    <row r="243" spans="1:1" ht="20.100000000000001" customHeight="1" x14ac:dyDescent="0.3">
      <c r="A243" s="20" t="s">
        <v>129</v>
      </c>
    </row>
    <row r="244" spans="1:1" ht="20.100000000000001" customHeight="1" x14ac:dyDescent="0.3">
      <c r="A244" s="20" t="s">
        <v>130</v>
      </c>
    </row>
    <row r="245" spans="1:1" ht="20.100000000000001" customHeight="1" x14ac:dyDescent="0.3">
      <c r="A245" s="20" t="s">
        <v>131</v>
      </c>
    </row>
    <row r="246" spans="1:1" ht="20.100000000000001" customHeight="1" x14ac:dyDescent="0.3">
      <c r="A246" s="20" t="s">
        <v>132</v>
      </c>
    </row>
    <row r="247" spans="1:1" ht="20.100000000000001" customHeight="1" x14ac:dyDescent="0.3">
      <c r="A247" s="20" t="s">
        <v>133</v>
      </c>
    </row>
    <row r="248" spans="1:1" ht="20.100000000000001" customHeight="1" x14ac:dyDescent="0.3">
      <c r="A248" s="20" t="s">
        <v>124</v>
      </c>
    </row>
    <row r="249" spans="1:1" ht="20.100000000000001" customHeight="1" x14ac:dyDescent="0.3">
      <c r="A249" s="20" t="s">
        <v>134</v>
      </c>
    </row>
    <row r="250" spans="1:1" ht="20.100000000000001" customHeight="1" x14ac:dyDescent="0.3">
      <c r="A250" s="20" t="s">
        <v>135</v>
      </c>
    </row>
    <row r="251" spans="1:1" ht="20.100000000000001" customHeight="1" x14ac:dyDescent="0.3">
      <c r="A251" s="22" t="s">
        <v>136</v>
      </c>
    </row>
    <row r="252" spans="1:1" ht="20.100000000000001" customHeight="1" x14ac:dyDescent="0.3">
      <c r="A252" s="23" t="s">
        <v>137</v>
      </c>
    </row>
    <row r="253" spans="1:1" ht="20.100000000000001" customHeight="1" x14ac:dyDescent="0.3">
      <c r="A253" s="20" t="s">
        <v>138</v>
      </c>
    </row>
    <row r="254" spans="1:1" ht="20.100000000000001" customHeight="1" x14ac:dyDescent="0.3">
      <c r="A254" s="20" t="s">
        <v>139</v>
      </c>
    </row>
    <row r="255" spans="1:1" ht="20.100000000000001" customHeight="1" x14ac:dyDescent="0.3">
      <c r="A255" s="24" t="s">
        <v>140</v>
      </c>
    </row>
    <row r="256" spans="1:1" ht="20.100000000000001" customHeight="1" x14ac:dyDescent="0.3">
      <c r="A256" s="24" t="s">
        <v>141</v>
      </c>
    </row>
    <row r="257" spans="1:1" ht="20.100000000000001" customHeight="1" x14ac:dyDescent="0.3">
      <c r="A257" s="25" t="s">
        <v>142</v>
      </c>
    </row>
    <row r="258" spans="1:1" ht="20.100000000000001" customHeight="1" x14ac:dyDescent="0.3">
      <c r="A258" s="20" t="s">
        <v>143</v>
      </c>
    </row>
    <row r="259" spans="1:1" ht="20.100000000000001" customHeight="1" x14ac:dyDescent="0.3">
      <c r="A259" s="25" t="s">
        <v>144</v>
      </c>
    </row>
    <row r="260" spans="1:1" ht="20.100000000000001" customHeight="1" x14ac:dyDescent="0.3">
      <c r="A260" s="20" t="s">
        <v>145</v>
      </c>
    </row>
    <row r="261" spans="1:1" ht="20.100000000000001" customHeight="1" x14ac:dyDescent="0.3">
      <c r="A261" s="25" t="s">
        <v>146</v>
      </c>
    </row>
    <row r="262" spans="1:1" ht="20.100000000000001" customHeight="1" x14ac:dyDescent="0.3">
      <c r="A262" s="20" t="s">
        <v>147</v>
      </c>
    </row>
    <row r="263" spans="1:1" ht="20.100000000000001" customHeight="1" x14ac:dyDescent="0.3">
      <c r="A263" s="20" t="s">
        <v>148</v>
      </c>
    </row>
    <row r="264" spans="1:1" ht="20.100000000000001" customHeight="1" x14ac:dyDescent="0.3">
      <c r="A264" s="25" t="s">
        <v>149</v>
      </c>
    </row>
    <row r="265" spans="1:1" ht="20.100000000000001" customHeight="1" x14ac:dyDescent="0.3">
      <c r="A265" s="25" t="s">
        <v>150</v>
      </c>
    </row>
    <row r="266" spans="1:1" ht="20.100000000000001" customHeight="1" x14ac:dyDescent="0.3">
      <c r="A266" s="25" t="s">
        <v>151</v>
      </c>
    </row>
    <row r="267" spans="1:1" ht="20.100000000000001" customHeight="1" x14ac:dyDescent="0.3">
      <c r="A267" s="20" t="s">
        <v>152</v>
      </c>
    </row>
    <row r="268" spans="1:1" ht="20.100000000000001" customHeight="1" x14ac:dyDescent="0.3">
      <c r="A268" s="20" t="s">
        <v>153</v>
      </c>
    </row>
    <row r="269" spans="1:1" ht="20.100000000000001" customHeight="1" x14ac:dyDescent="0.3">
      <c r="A269" s="20" t="s">
        <v>154</v>
      </c>
    </row>
    <row r="270" spans="1:1" ht="20.100000000000001" customHeight="1" x14ac:dyDescent="0.3">
      <c r="A270" s="20" t="s">
        <v>155</v>
      </c>
    </row>
    <row r="271" spans="1:1" ht="20.100000000000001" customHeight="1" x14ac:dyDescent="0.3">
      <c r="A271" s="25" t="s">
        <v>156</v>
      </c>
    </row>
    <row r="272" spans="1:1" ht="20.100000000000001" customHeight="1" x14ac:dyDescent="0.3">
      <c r="A272" s="25" t="s">
        <v>157</v>
      </c>
    </row>
    <row r="273" spans="1:1" ht="20.100000000000001" customHeight="1" x14ac:dyDescent="0.3">
      <c r="A273" s="20" t="s">
        <v>158</v>
      </c>
    </row>
    <row r="274" spans="1:1" ht="20.100000000000001" customHeight="1" x14ac:dyDescent="0.3">
      <c r="A274" s="25" t="s">
        <v>159</v>
      </c>
    </row>
    <row r="275" spans="1:1" ht="20.100000000000001" customHeight="1" x14ac:dyDescent="0.3">
      <c r="A275" s="25" t="s">
        <v>160</v>
      </c>
    </row>
    <row r="276" spans="1:1" ht="20.100000000000001" customHeight="1" x14ac:dyDescent="0.3">
      <c r="A276" s="20" t="s">
        <v>161</v>
      </c>
    </row>
    <row r="277" spans="1:1" ht="20.100000000000001" customHeight="1" x14ac:dyDescent="0.3">
      <c r="A277" s="20" t="s">
        <v>162</v>
      </c>
    </row>
    <row r="278" spans="1:1" ht="20.100000000000001" customHeight="1" x14ac:dyDescent="0.3">
      <c r="A278" s="25" t="s">
        <v>163</v>
      </c>
    </row>
    <row r="279" spans="1:1" ht="20.100000000000001" customHeight="1" x14ac:dyDescent="0.3">
      <c r="A279" s="20" t="s">
        <v>164</v>
      </c>
    </row>
    <row r="280" spans="1:1" ht="20.100000000000001" customHeight="1" x14ac:dyDescent="0.3">
      <c r="A280" s="20" t="s">
        <v>165</v>
      </c>
    </row>
    <row r="281" spans="1:1" ht="20.100000000000001" customHeight="1" x14ac:dyDescent="0.3">
      <c r="A281" s="20" t="s">
        <v>166</v>
      </c>
    </row>
    <row r="282" spans="1:1" ht="20.100000000000001" customHeight="1" x14ac:dyDescent="0.3">
      <c r="A282" s="20" t="s">
        <v>167</v>
      </c>
    </row>
    <row r="283" spans="1:1" ht="20.100000000000001" customHeight="1" x14ac:dyDescent="0.3">
      <c r="A283" s="25" t="s">
        <v>168</v>
      </c>
    </row>
    <row r="284" spans="1:1" ht="20.100000000000001" customHeight="1" x14ac:dyDescent="0.3">
      <c r="A284" s="25" t="s">
        <v>169</v>
      </c>
    </row>
    <row r="285" spans="1:1" ht="20.100000000000001" customHeight="1" x14ac:dyDescent="0.3">
      <c r="A285" s="25" t="s">
        <v>170</v>
      </c>
    </row>
    <row r="286" spans="1:1" ht="20.100000000000001" customHeight="1" thickBot="1" x14ac:dyDescent="0.35">
      <c r="A286" s="20" t="s">
        <v>171</v>
      </c>
    </row>
    <row r="287" spans="1:1" ht="20.100000000000001" customHeight="1" thickBot="1" x14ac:dyDescent="0.35">
      <c r="A287" s="2" t="s">
        <v>56</v>
      </c>
    </row>
    <row r="288" spans="1:1" ht="20.100000000000001" customHeight="1" thickBot="1" x14ac:dyDescent="0.35">
      <c r="A288" s="2" t="s">
        <v>56</v>
      </c>
    </row>
    <row r="289" spans="1:1" ht="20.100000000000001" customHeight="1" thickBot="1" x14ac:dyDescent="0.35">
      <c r="A289" s="2" t="s">
        <v>56</v>
      </c>
    </row>
    <row r="290" spans="1:1" ht="20.100000000000001" customHeight="1" thickBot="1" x14ac:dyDescent="0.35">
      <c r="A290" s="2" t="s">
        <v>56</v>
      </c>
    </row>
    <row r="291" spans="1:1" ht="20.100000000000001" customHeight="1" thickBot="1" x14ac:dyDescent="0.35">
      <c r="A291" s="2" t="s">
        <v>56</v>
      </c>
    </row>
    <row r="292" spans="1:1" ht="20.100000000000001" customHeight="1" thickBot="1" x14ac:dyDescent="0.35">
      <c r="A292" s="2" t="s">
        <v>56</v>
      </c>
    </row>
    <row r="293" spans="1:1" ht="20.100000000000001" customHeight="1" thickBot="1" x14ac:dyDescent="0.35">
      <c r="A293" s="2" t="s">
        <v>56</v>
      </c>
    </row>
    <row r="294" spans="1:1" ht="20.100000000000001" customHeight="1" thickBot="1" x14ac:dyDescent="0.35">
      <c r="A294" s="2" t="s">
        <v>56</v>
      </c>
    </row>
    <row r="295" spans="1:1" ht="20.100000000000001" customHeight="1" thickBot="1" x14ac:dyDescent="0.35">
      <c r="A295" s="2" t="s">
        <v>56</v>
      </c>
    </row>
    <row r="296" spans="1:1" ht="20.100000000000001" customHeight="1" thickBot="1" x14ac:dyDescent="0.35">
      <c r="A296" s="2" t="s">
        <v>56</v>
      </c>
    </row>
    <row r="297" spans="1:1" ht="20.100000000000001" customHeight="1" thickBot="1" x14ac:dyDescent="0.35">
      <c r="A297" s="2" t="s">
        <v>56</v>
      </c>
    </row>
    <row r="298" spans="1:1" ht="20.100000000000001" customHeight="1" thickBot="1" x14ac:dyDescent="0.35">
      <c r="A298" s="2" t="s">
        <v>56</v>
      </c>
    </row>
    <row r="299" spans="1:1" ht="20.100000000000001" customHeight="1" thickBot="1" x14ac:dyDescent="0.35">
      <c r="A299" s="2" t="s">
        <v>56</v>
      </c>
    </row>
    <row r="300" spans="1:1" ht="20.100000000000001" customHeight="1" thickBot="1" x14ac:dyDescent="0.35">
      <c r="A300" s="2" t="s">
        <v>56</v>
      </c>
    </row>
    <row r="301" spans="1:1" ht="20.100000000000001" customHeight="1" thickBot="1" x14ac:dyDescent="0.35">
      <c r="A301" s="2" t="s">
        <v>56</v>
      </c>
    </row>
    <row r="302" spans="1:1" ht="20.100000000000001" customHeight="1" thickBot="1" x14ac:dyDescent="0.35">
      <c r="A302" s="2" t="s">
        <v>56</v>
      </c>
    </row>
    <row r="303" spans="1:1" ht="20.100000000000001" customHeight="1" thickBot="1" x14ac:dyDescent="0.35">
      <c r="A303" s="2" t="s">
        <v>56</v>
      </c>
    </row>
    <row r="304" spans="1:1" ht="20.100000000000001" customHeight="1" thickBot="1" x14ac:dyDescent="0.35">
      <c r="A304" s="2" t="s">
        <v>56</v>
      </c>
    </row>
    <row r="305" spans="1:1" ht="20.100000000000001" customHeight="1" thickBot="1" x14ac:dyDescent="0.35">
      <c r="A305" s="2" t="s">
        <v>56</v>
      </c>
    </row>
    <row r="306" spans="1:1" ht="20.100000000000001" customHeight="1" thickBot="1" x14ac:dyDescent="0.35">
      <c r="A306" s="2" t="s">
        <v>56</v>
      </c>
    </row>
    <row r="307" spans="1:1" ht="20.100000000000001" customHeight="1" thickBot="1" x14ac:dyDescent="0.35">
      <c r="A307" s="2" t="s">
        <v>56</v>
      </c>
    </row>
    <row r="308" spans="1:1" ht="20.100000000000001" customHeight="1" thickBot="1" x14ac:dyDescent="0.35">
      <c r="A308" s="2" t="s">
        <v>56</v>
      </c>
    </row>
    <row r="309" spans="1:1" ht="20.100000000000001" customHeight="1" thickBot="1" x14ac:dyDescent="0.35">
      <c r="A309" s="2" t="s">
        <v>56</v>
      </c>
    </row>
    <row r="310" spans="1:1" ht="20.100000000000001" customHeight="1" thickBot="1" x14ac:dyDescent="0.35">
      <c r="A310" s="2" t="s">
        <v>56</v>
      </c>
    </row>
    <row r="311" spans="1:1" ht="20.100000000000001" customHeight="1" thickBot="1" x14ac:dyDescent="0.35">
      <c r="A311" s="2" t="s">
        <v>56</v>
      </c>
    </row>
    <row r="312" spans="1:1" ht="20.100000000000001" customHeight="1" thickBot="1" x14ac:dyDescent="0.35">
      <c r="A312" s="2" t="s">
        <v>56</v>
      </c>
    </row>
    <row r="313" spans="1:1" ht="20.100000000000001" customHeight="1" thickBot="1" x14ac:dyDescent="0.35">
      <c r="A313" s="2" t="s">
        <v>56</v>
      </c>
    </row>
    <row r="314" spans="1:1" ht="20.100000000000001" customHeight="1" thickBot="1" x14ac:dyDescent="0.35">
      <c r="A314" s="2" t="s">
        <v>56</v>
      </c>
    </row>
    <row r="315" spans="1:1" ht="20.100000000000001" customHeight="1" thickBot="1" x14ac:dyDescent="0.35">
      <c r="A315" s="2" t="s">
        <v>56</v>
      </c>
    </row>
    <row r="316" spans="1:1" ht="20.100000000000001" customHeight="1" thickBot="1" x14ac:dyDescent="0.35">
      <c r="A316" s="2" t="s">
        <v>56</v>
      </c>
    </row>
    <row r="317" spans="1:1" ht="20.100000000000001" customHeight="1" thickBot="1" x14ac:dyDescent="0.35">
      <c r="A317" s="2" t="s">
        <v>56</v>
      </c>
    </row>
    <row r="318" spans="1:1" ht="20.100000000000001" customHeight="1" thickBot="1" x14ac:dyDescent="0.35">
      <c r="A318" s="2" t="s">
        <v>56</v>
      </c>
    </row>
    <row r="319" spans="1:1" ht="20.100000000000001" customHeight="1" thickBot="1" x14ac:dyDescent="0.35">
      <c r="A319" s="2" t="s">
        <v>56</v>
      </c>
    </row>
    <row r="320" spans="1:1" ht="20.100000000000001" customHeight="1" thickBot="1" x14ac:dyDescent="0.35">
      <c r="A320" s="2" t="s">
        <v>56</v>
      </c>
    </row>
    <row r="321" spans="1:1" ht="20.100000000000001" customHeight="1" thickBot="1" x14ac:dyDescent="0.35">
      <c r="A321" s="2" t="s">
        <v>56</v>
      </c>
    </row>
    <row r="322" spans="1:1" ht="20.100000000000001" customHeight="1" thickBot="1" x14ac:dyDescent="0.35">
      <c r="A322" s="2" t="s">
        <v>56</v>
      </c>
    </row>
    <row r="323" spans="1:1" ht="20.100000000000001" customHeight="1" thickBot="1" x14ac:dyDescent="0.35">
      <c r="A323" s="2" t="s">
        <v>56</v>
      </c>
    </row>
    <row r="324" spans="1:1" ht="20.100000000000001" customHeight="1" thickBot="1" x14ac:dyDescent="0.35">
      <c r="A324" s="2" t="s">
        <v>56</v>
      </c>
    </row>
    <row r="325" spans="1:1" ht="20.100000000000001" customHeight="1" thickBot="1" x14ac:dyDescent="0.35">
      <c r="A325" s="2" t="s">
        <v>56</v>
      </c>
    </row>
    <row r="326" spans="1:1" ht="20.100000000000001" customHeight="1" thickBot="1" x14ac:dyDescent="0.35">
      <c r="A326" s="2" t="s">
        <v>56</v>
      </c>
    </row>
    <row r="327" spans="1:1" ht="20.100000000000001" customHeight="1" thickBot="1" x14ac:dyDescent="0.35">
      <c r="A327" s="2" t="s">
        <v>56</v>
      </c>
    </row>
    <row r="328" spans="1:1" ht="20.100000000000001" customHeight="1" thickBot="1" x14ac:dyDescent="0.35">
      <c r="A328" s="2" t="s">
        <v>56</v>
      </c>
    </row>
    <row r="329" spans="1:1" ht="20.100000000000001" customHeight="1" thickBot="1" x14ac:dyDescent="0.35">
      <c r="A329" s="2" t="s">
        <v>56</v>
      </c>
    </row>
    <row r="330" spans="1:1" ht="20.100000000000001" customHeight="1" thickBot="1" x14ac:dyDescent="0.35">
      <c r="A330" s="2" t="s">
        <v>56</v>
      </c>
    </row>
    <row r="331" spans="1:1" ht="20.100000000000001" customHeight="1" thickBot="1" x14ac:dyDescent="0.35">
      <c r="A331" s="2" t="s">
        <v>56</v>
      </c>
    </row>
    <row r="332" spans="1:1" ht="20.100000000000001" customHeight="1" thickBot="1" x14ac:dyDescent="0.35">
      <c r="A332" s="2" t="s">
        <v>56</v>
      </c>
    </row>
    <row r="333" spans="1:1" ht="20.100000000000001" customHeight="1" thickBot="1" x14ac:dyDescent="0.35">
      <c r="A333" s="2" t="s">
        <v>56</v>
      </c>
    </row>
    <row r="334" spans="1:1" ht="20.100000000000001" customHeight="1" thickBot="1" x14ac:dyDescent="0.35">
      <c r="A334" s="2" t="s">
        <v>56</v>
      </c>
    </row>
    <row r="335" spans="1:1" ht="20.100000000000001" customHeight="1" thickBot="1" x14ac:dyDescent="0.35">
      <c r="A335" s="2" t="s">
        <v>56</v>
      </c>
    </row>
    <row r="336" spans="1:1" ht="20.100000000000001" customHeight="1" thickBot="1" x14ac:dyDescent="0.35">
      <c r="A336" s="2" t="s">
        <v>56</v>
      </c>
    </row>
    <row r="337" spans="1:1" ht="20.100000000000001" customHeight="1" thickBot="1" x14ac:dyDescent="0.35">
      <c r="A337" s="2" t="s">
        <v>56</v>
      </c>
    </row>
    <row r="338" spans="1:1" ht="20.100000000000001" customHeight="1" thickBot="1" x14ac:dyDescent="0.35">
      <c r="A338" s="2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2025-10-15T21:57:47Z</dcterms:modified>
</cp:coreProperties>
</file>