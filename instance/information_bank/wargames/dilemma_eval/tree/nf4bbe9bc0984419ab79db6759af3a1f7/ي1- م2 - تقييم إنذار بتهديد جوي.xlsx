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E722877-947C-488C-93F2-A416449457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<sst xmlns="http://schemas.openxmlformats.org/spreadsheetml/2006/main" count="249" uniqueCount="193">
  <si>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</si>
  <si>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</si>
  <si>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</si>
  <si>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</si>
  <si>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</si>
  <si>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</si>
  <si>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</si>
  <si>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</si>
  <si>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</si>
  <si>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</si>
  <si>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</si>
  <si>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</si>
  <si>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</si>
  <si>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</si>
  <si>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</si>
  <si>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</si>
  <si>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</si>
  <si>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</si>
  <si>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</si>
  <si>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</si>
  <si>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</si>
  <si>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</si>
  <si>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</si>
  <si>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</si>
  <si>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</si>
  <si>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</si>
  <si>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</si>
  <si>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</si>
  <si>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</si>
  <si>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</si>
  <si>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</si>
  <si>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</si>
  <si>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</si>
  <si>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</si>
  <si>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</si>
  <si>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</si>
  <si>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</si>
  <si>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</si>
  <si>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</si>
  <si>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</si>
  <si>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</si>
  <si>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</si>
  <si>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</si>
  <si>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</si>
  <si>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</si>
  <si>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</si>
  <si>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</si>
  <si>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</si>
  <si>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</si>
  <si>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</si>
  <si>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</si>
  <si>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</si>
  <si>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</si>
  <si>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</si>
  <si>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</si>
  <si>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</si>
  <si>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</si>
  <si>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</si>
  <si>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</si>
  <si>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</si>
  <si>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</si>
  <si>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</si>
  <si>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</si>
  <si>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</si>
  <si>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</si>
  <si>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</si>
  <si>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</si>
  <si>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</si>
  <si>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</si>
  <si>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</si>
  <si>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</si>
  <si>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</si>
  <si>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</si>
  <si>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</si>
  <si>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</si>
  <si>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</si>
  <si>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</si>
  <si>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</si>
  <si>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</si>
  <si>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</si>
  <si>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</si>
  <si>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</si>
  <si>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</si>
  <si>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</si>
  <si>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</si>
  <si>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</si>
  <si>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</si>
  <si>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</si>
  <si>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</si>
  <si>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</si>
  <si>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</si>
  <si>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</si>
  <si>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</si>
  <si>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</si>
  <si>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</si>
  <si>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</si>
  <si>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</si>
  <si>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</si>
  <si>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</si>
  <si>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</si>
  <si>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</si>
  <si>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</si>
  <si>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</si>
  <si>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</si>
  <si>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</si>
  <si>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</si>
  <si>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</si>
  <si>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</si>
  <si>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</si>
  <si>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</si>
  <si>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</si>
  <si>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</si>
  <si>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</si>
  <si>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</si>
  <si>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</si>
  <si>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</si>
  <si>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</si>
  <si>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</si>
  <si>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</si>
  <si>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</si>
  <si>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</si>
  <si>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</si>
  <si>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</si>
  <si>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</si>
  <si>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</si>
  <si>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</si>
  <si>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</si>
  <si>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</si>
  <si>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</si>
  <si>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</si>
  <si>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</si>
  <si>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</si>
  <si>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</si>
  <si>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</si>
  <si>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</si>
  <si>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</si>
  <si>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</si>
  <si>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</si>
  <si>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</si>
  <si>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</si>
  <si>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</si>
  <si>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</si>
  <si>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</si>
  <si>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</si>
  <si>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</si>
  <si>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</si>
  <si>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</si>
  <si>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</si>
  <si>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</si>
  <si>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</si>
  <si>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</si>
  <si>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</si>
  <si>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</si>
  <si>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</si>
  <si>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</si>
  <si>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</si>
  <si>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</si>
  <si>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</si>
  <si>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</si>
  <si>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</si>
  <si>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</si>
  <si>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</si>
  <si>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</si>
  <si>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</si>
  <si>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</si>
  <si>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</si>
  <si>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</si>
  <si>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</si>
  <si>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</si>
  <si>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</si>
  <si>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</si>
  <si>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</si>
  <si>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</si>
  <si>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</si>
  <si>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</si>
  <si>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</si>
  <si>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</si>
  <si>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</si>
  <si>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</si>
  <si>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</si>
  <si>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</si>
  <si>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</si>
  <si>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</si>
  <si>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</si>
  <si>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</si>
  <si>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</si>
  <si>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</si>
  <si>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</si>
  <si>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</si>
  <si>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</si>
  <si>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اليوم/1 - تقييم معضلة/2 -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سرايا الدروع - تمرين جاهزية مجموعة لواء الإمارات/1 (جندي الصحراء 2025/20)</t>
    </r>
  </si>
  <si>
    <t>النقيب/ عبدالله سعيد النعيمي</t>
  </si>
  <si>
    <t>العقيد الركن/ سيف الراشدي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</si>
</sst>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6" fillId="0" borderId="2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229785</xdr:colOff>
      <xdr:row>22</xdr:row>
      <xdr:rowOff>122348</xdr:rowOff>
    </xdr:from>
    <xdr:to>
      <xdr:col>7</xdr:col>
      <xdr:colOff>211055</xdr:colOff>
      <xdr:row>22</xdr:row>
      <xdr:rowOff>285428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7FA451-901D-216B-84A5-D3A7011E6BDA}"/>
                </a:ext>
              </a:extLst>
            </xdr14:cNvPr>
            <xdr14:cNvContentPartPr/>
          </xdr14:nvContentPartPr>
          <xdr14:nvPr macro=""/>
          <xdr14:xfrm>
            <a:off x="10399691945" y="10432440"/>
            <a:ext cx="639360" cy="163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07FA451-901D-216B-84A5-D3A7011E6BD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685825" y="10426320"/>
              <a:ext cx="6516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22055</xdr:colOff>
      <xdr:row>22</xdr:row>
      <xdr:rowOff>555068</xdr:rowOff>
    </xdr:from>
    <xdr:to>
      <xdr:col>7</xdr:col>
      <xdr:colOff>35375</xdr:colOff>
      <xdr:row>22</xdr:row>
      <xdr:rowOff>555428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3F652F-437D-9DD9-7CEE-C6ED1211994B}"/>
                </a:ext>
              </a:extLst>
            </xdr14:cNvPr>
            <xdr14:cNvContentPartPr/>
          </xdr14:nvContentPartPr>
          <xdr14:nvPr macro=""/>
          <xdr14:xfrm>
            <a:off x="10399867625" y="10865160"/>
            <a:ext cx="1332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3F652F-437D-9DD9-7CEE-C6ED1211994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61505" y="10859040"/>
              <a:ext cx="25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225455</xdr:colOff>
      <xdr:row>22</xdr:row>
      <xdr:rowOff>503228</xdr:rowOff>
    </xdr:from>
    <xdr:to>
      <xdr:col>7</xdr:col>
      <xdr:colOff>289175</xdr:colOff>
      <xdr:row>22</xdr:row>
      <xdr:rowOff>619148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8EE19C4-00E6-288D-D6DE-6BCBB6F754C3}"/>
                </a:ext>
              </a:extLst>
            </xdr14:cNvPr>
            <xdr14:cNvContentPartPr/>
          </xdr14:nvContentPartPr>
          <xdr14:nvPr macro=""/>
          <xdr14:xfrm>
            <a:off x="10399613825" y="10813320"/>
            <a:ext cx="63720" cy="115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8EE19C4-00E6-288D-D6DE-6BCBB6F754C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07705" y="10807200"/>
              <a:ext cx="7596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229785</xdr:colOff>
      <xdr:row>21</xdr:row>
      <xdr:rowOff>451120</xdr:rowOff>
    </xdr:from>
    <xdr:to>
      <xdr:col>9</xdr:col>
      <xdr:colOff>23114</xdr:colOff>
      <xdr:row>22</xdr:row>
      <xdr:rowOff>619868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CB71D5F-0748-BE05-F9AB-4255F6758B62}"/>
                </a:ext>
              </a:extLst>
            </xdr14:cNvPr>
            <xdr14:cNvContentPartPr/>
          </xdr14:nvContentPartPr>
          <xdr14:nvPr macro=""/>
          <xdr14:xfrm>
            <a:off x="10398563705" y="10230120"/>
            <a:ext cx="1767600" cy="699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CB71D5F-0748-BE05-F9AB-4255F6758B6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557585" y="10224000"/>
              <a:ext cx="1779840" cy="71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109545</xdr:colOff>
      <xdr:row>22</xdr:row>
      <xdr:rowOff>485948</xdr:rowOff>
    </xdr:from>
    <xdr:to>
      <xdr:col>6</xdr:col>
      <xdr:colOff>109905</xdr:colOff>
      <xdr:row>22</xdr:row>
      <xdr:rowOff>486308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9B03B5F8-E653-407E-C539-8BBFDF1117FA}"/>
                </a:ext>
              </a:extLst>
            </xdr14:cNvPr>
            <xdr14:cNvContentPartPr/>
          </xdr14:nvContentPartPr>
          <xdr14:nvPr macro=""/>
          <xdr14:xfrm>
            <a:off x="10400451185" y="1079604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9B03B5F8-E653-407E-C539-8BBFDF1117F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00445065" y="10789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0:02:40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1393 112,'0'0,"0"0,0 0,0 0,0 0,0 0,0 0,0 0,0 0,0 0,0 0,0 0,0-16,15 0,-13 13,-4-10,2-3,0 13,15-10,-15-3,0 14,0-12,0 14,0 0,0 0,0 0,0 0,0 0,0 0,0 0,0 0,0 0,0 0,0 0,0 0,0 0,0 16,-15-16,15 0,0 16,-15 0,13-14,4 28,-18-14,14-14,4 28,-18-14,16-14,0 12,-14 2,12-13,4 11,-2 2,0-14,0 12,14 2,-12-14,12 12,2-14,-13 0,24 16,4-16,-26 0,22 0,4 0,-26 0,20 0,8 0,-31 0,26 0,3-16,-27 13,8 6,5-3,-16 0,11 0,5 0,-14 0,10 0,-11 0,-20 0,16 0,-13 0,2 0,10 0,-27 0,-17 16,40-14,-33-4,-21 18,53-14,-62 12,-8 18,66-28,-39 8,-42 20,79-27,-49 6,0 5,53-13,-41 10,5-13,37 0,-29 16,21-16,16 0,-28 0,13 0,14 0,20-16,-4 0,-11 13,10-26,4 13,-15 13,26-26,-11 13,-15 13,-4-10,16-3,-12 13,12-10,-7 5,-30 16,9-8,-3 0,15 0,-26 0,-19 16,38-14,-28-4,-10 18,38-14,-28 12,-10 2,37-13,-27 10,-10 3,38-13,-14 10,-8 3,27-13,-22-6,9 19,15-13,-26-6,12 3,16 0,16 0,-32 0,14 0,-13 0,2 0,10 0,-11 0,-16 0,23 0,-32 0,6 16,28-13,-37-6,-5 3,41 0,-18 0,-7 0,25 0,-20 0,-21 16,40-13,14-6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0:02:40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0,0 0,0 0,16 0,1 0,-14 0,-6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0:02:41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0,17 16,-17 0,0-13,14 27,20 18,-32-41,10 34,36 23,-38-54,28 76,-38-86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0:02:42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2218 452,'0'0,"0"0,0 0,0 0,0 0,0 0,0 0,0 0,0 0,0 0,0 0,0 0,0 0,0 0,0 0,0 0,16 16,-13-14,-6 12,18 2,-13-14,11 28,4 2,-14-27,8 22,6 21,-15-41,11 34,2 8,-13-42,-19 19,17 22,0-42,-15 36,-2 6,17-41,-31 34,1 8,25-43,-36 20,8 6,31-27,-43 22,-1-11,41-13,-36-6,-6 3,40 0,-32-16,9 0,25 14,-21-28,-6 14,29 14,-9-44,-4 13,14 29,-12-40,30-4,-13 41,-6-34,19 9,-13 27,9-39,20 12,-29 28,25-25,-13 13,-12 14,25-28,2 30,-25 0,23-16,-14 16,-12 0,12 0,2 0,-14 0,-4 16,2 0,0-13,-16 10,-14 19,25-27,-69 39,-19 37,81-69,-100 56,-44 29,135-83,-128 84,-53 31,172-108,-141 87,-61 20,197-109,-102 75,-33 3,144-83,-88 36,38 15,64-56,-70 30,35-7,39-27,-30 6,38 5,0-13,15-22,-14 18,29-14,48-49,-67 54,117-61,74-25,-172 80,204-97,75-48,-262 136,264-111,92-25,-342 138,297-131,45 9,-338 122,275-99,32-6,-314 108,224-73,14-20,-248 95,153-44,-32-3,-143 55,72-12,-5-10,-79 27,18-22,1 27,-31 0,-20 0,16 0,-26 16,11 0,15-14,-12-4,-16 18,25-14,-20-4,-22 18,38-14,-29 12,6 2,27-13,-36 10,10 20,27-28,-22 6,9 21,15-26,-12 20,14-26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4T20:02:42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A18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9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190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9" t="s">
        <v>8</v>
      </c>
      <c r="C2" s="56" t="s">
        <v>45</v>
      </c>
      <c r="D2" s="56"/>
      <c r="E2" s="9" t="s">
        <v>7</v>
      </c>
      <c r="F2" s="51">
        <v>45944</v>
      </c>
      <c r="G2" s="51"/>
      <c r="H2" s="51"/>
      <c r="I2" s="51"/>
      <c r="J2" s="51"/>
    </row>
    <row r="3" spans="1:10" ht="30" customHeight="1" x14ac:dyDescent="0.3">
      <c r="B3" s="9" t="s">
        <v>9</v>
      </c>
      <c r="C3" s="56" t="s">
        <v>60</v>
      </c>
      <c r="D3" s="56"/>
      <c r="E3" s="9" t="s">
        <v>6</v>
      </c>
      <c r="F3" s="56" t="s">
        <v>59</v>
      </c>
      <c r="G3" s="56"/>
      <c r="H3" s="56"/>
      <c r="I3" s="56"/>
      <c r="J3" s="56"/>
    </row>
    <row r="4" spans="1:10" ht="30" customHeight="1" thickBot="1" x14ac:dyDescent="0.35">
      <c r="B4" s="6"/>
      <c r="C4" s="77" t="s">
        <v>191</v>
      </c>
      <c r="D4" s="77"/>
      <c r="E4" s="6"/>
      <c r="F4" s="77" t="s">
        <v>192</v>
      </c>
      <c r="G4" s="77"/>
      <c r="H4" s="77"/>
      <c r="I4" s="77"/>
      <c r="J4" s="77"/>
    </row>
    <row r="5" spans="1:10" ht="24.9" customHeight="1" x14ac:dyDescent="0.3">
      <c r="A5" s="7"/>
      <c r="B5" s="52" t="s">
        <v>0</v>
      </c>
      <c r="C5" s="53"/>
      <c r="D5" s="53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7"/>
      <c r="B6" s="54"/>
      <c r="C6" s="55"/>
      <c r="D6" s="55"/>
      <c r="E6" s="8" t="s">
        <v>3</v>
      </c>
      <c r="F6" s="8" t="s">
        <v>4</v>
      </c>
      <c r="G6" s="8" t="s">
        <v>23</v>
      </c>
      <c r="H6" s="8" t="s">
        <v>24</v>
      </c>
      <c r="I6" s="59"/>
      <c r="J6" s="60"/>
    </row>
    <row r="7" spans="1:10" ht="24.9" customHeight="1" x14ac:dyDescent="0.3">
      <c r="A7" s="7"/>
      <c r="B7" s="61" t="s">
        <v>21</v>
      </c>
      <c r="C7" s="62"/>
      <c r="D7" s="62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60" customHeight="1" x14ac:dyDescent="0.3">
      <c r="A8" s="7"/>
      <c r="B8" s="46" t="s">
        <v>188</v>
      </c>
      <c r="C8" s="46"/>
      <c r="D8" s="46"/>
      <c r="E8" s="30">
        <v>3</v>
      </c>
      <c r="F8" s="23">
        <v>2.25</v>
      </c>
      <c r="G8" s="31">
        <f>IFERROR(F8/E8,"")</f>
        <v>0.75</v>
      </c>
      <c r="H8" s="32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1"/>
      <c r="J8" s="41"/>
    </row>
    <row r="9" spans="1:10" ht="39.9" customHeight="1" x14ac:dyDescent="0.3">
      <c r="A9" s="7"/>
      <c r="B9" s="46" t="s">
        <v>180</v>
      </c>
      <c r="C9" s="46"/>
      <c r="D9" s="46"/>
      <c r="E9" s="30">
        <v>3</v>
      </c>
      <c r="F9" s="23">
        <v>2.5</v>
      </c>
      <c r="G9" s="31">
        <f t="shared" ref="G9" si="0">IFERROR(F9/E9,"")</f>
        <v>0.83333333333333337</v>
      </c>
      <c r="H9" s="32" t="str">
        <f t="shared" ref="H9" si="1">_xlfn.IFS(F9="أدخل العلامة","",F9="لا ينطبق","تم الإلغاء",G9&gt;=90%,"ممتاز",G9&gt;=80%,"جيد جداً",G9&gt;=70%,"جيد",G9&gt;=60%,"مقبول",G9&lt;60%,"راسب")</f>
        <v>جيد جداً</v>
      </c>
      <c r="I9" s="41"/>
      <c r="J9" s="41"/>
    </row>
    <row r="10" spans="1:10" ht="39.9" customHeight="1" x14ac:dyDescent="0.3">
      <c r="A10" s="7"/>
      <c r="B10" s="46" t="s">
        <v>182</v>
      </c>
      <c r="C10" s="47"/>
      <c r="D10" s="47"/>
      <c r="E10" s="30">
        <v>3</v>
      </c>
      <c r="F10" s="23">
        <v>2.25</v>
      </c>
      <c r="G10" s="31">
        <f t="shared" ref="G10" si="2">IFERROR(F10/E10,"")</f>
        <v>0.75</v>
      </c>
      <c r="H10" s="32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1"/>
    </row>
    <row r="11" spans="1:10" ht="30" customHeight="1" x14ac:dyDescent="0.3">
      <c r="A11" s="7"/>
      <c r="B11" s="46" t="s">
        <v>178</v>
      </c>
      <c r="C11" s="46"/>
      <c r="D11" s="46"/>
      <c r="E11" s="30">
        <v>3</v>
      </c>
      <c r="F11" s="23">
        <v>2.5</v>
      </c>
      <c r="G11" s="31">
        <f>IFERROR(F11/E11,"")</f>
        <v>0.83333333333333337</v>
      </c>
      <c r="H11" s="32" t="str">
        <f>_xlfn.IFS(F11="أدخل العلامة","",F11="لا ينطبق","تم الإلغاء",G11&gt;=90%,"ممتاز",G11&gt;=80%,"جيد جداً",G11&gt;=70%,"جيد",G11&gt;=60%,"مقبول",G11&lt;60%,"راسب")</f>
        <v>جيد جداً</v>
      </c>
      <c r="I11" s="41"/>
      <c r="J11" s="41"/>
    </row>
    <row r="12" spans="1:10" ht="30" customHeight="1" x14ac:dyDescent="0.3">
      <c r="A12" s="7"/>
      <c r="B12" s="46" t="s">
        <v>179</v>
      </c>
      <c r="C12" s="46"/>
      <c r="D12" s="46"/>
      <c r="E12" s="30">
        <v>3</v>
      </c>
      <c r="F12" s="23">
        <v>2.5</v>
      </c>
      <c r="G12" s="31">
        <f>IFERROR(F12/E12,"")</f>
        <v>0.83333333333333337</v>
      </c>
      <c r="H12" s="32" t="str">
        <f>_xlfn.IFS(F12="أدخل العلامة","",F12="لا ينطبق","تم الإلغاء",G12&gt;=90%,"ممتاز",G12&gt;=80%,"جيد جداً",G12&gt;=70%,"جيد",G12&gt;=60%,"مقبول",G12&lt;60%,"راسب")</f>
        <v>جيد جداً</v>
      </c>
      <c r="I12" s="41"/>
      <c r="J12" s="41"/>
    </row>
    <row r="13" spans="1:10" ht="39.9" customHeight="1" x14ac:dyDescent="0.3">
      <c r="A13" s="7"/>
      <c r="B13" s="46" t="s">
        <v>189</v>
      </c>
      <c r="C13" s="46"/>
      <c r="D13" s="46"/>
      <c r="E13" s="30">
        <v>3</v>
      </c>
      <c r="F13" s="23">
        <v>2.25</v>
      </c>
      <c r="G13" s="31">
        <f t="shared" ref="G13:G18" si="4">IFERROR(F13/E13,"")</f>
        <v>0.75</v>
      </c>
      <c r="H13" s="32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1"/>
      <c r="J13" s="41"/>
    </row>
    <row r="14" spans="1:10" ht="30" customHeight="1" x14ac:dyDescent="0.3">
      <c r="A14" s="7"/>
      <c r="B14" s="46" t="s">
        <v>183</v>
      </c>
      <c r="C14" s="46"/>
      <c r="D14" s="46"/>
      <c r="E14" s="30">
        <v>3</v>
      </c>
      <c r="F14" s="23">
        <v>2.25</v>
      </c>
      <c r="G14" s="31">
        <f t="shared" ref="G14" si="6">IFERROR(F14/E14,"")</f>
        <v>0.75</v>
      </c>
      <c r="H14" s="32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1"/>
      <c r="J14" s="41"/>
    </row>
    <row r="15" spans="1:10" ht="39.9" customHeight="1" x14ac:dyDescent="0.3">
      <c r="A15" s="7"/>
      <c r="B15" s="46" t="s">
        <v>184</v>
      </c>
      <c r="C15" s="46"/>
      <c r="D15" s="46"/>
      <c r="E15" s="30">
        <v>3</v>
      </c>
      <c r="F15" s="23">
        <v>2.25</v>
      </c>
      <c r="G15" s="31">
        <f t="shared" ref="G15" si="8">IFERROR(F15/E15,"")</f>
        <v>0.75</v>
      </c>
      <c r="H15" s="32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1"/>
      <c r="J15" s="41"/>
    </row>
    <row r="16" spans="1:10" ht="60" customHeight="1" x14ac:dyDescent="0.3">
      <c r="A16" s="7"/>
      <c r="B16" s="74" t="s">
        <v>185</v>
      </c>
      <c r="C16" s="75"/>
      <c r="D16" s="76"/>
      <c r="E16" s="30">
        <v>3</v>
      </c>
      <c r="F16" s="23">
        <v>2.25</v>
      </c>
      <c r="G16" s="31">
        <f t="shared" si="4"/>
        <v>0.75</v>
      </c>
      <c r="H16" s="32" t="str">
        <f t="shared" si="5"/>
        <v>جيد</v>
      </c>
      <c r="I16" s="41"/>
      <c r="J16" s="41"/>
    </row>
    <row r="17" spans="1:10" ht="39.9" customHeight="1" x14ac:dyDescent="0.3">
      <c r="A17" s="7"/>
      <c r="B17" s="46" t="s">
        <v>186</v>
      </c>
      <c r="C17" s="47"/>
      <c r="D17" s="47"/>
      <c r="E17" s="30">
        <v>3</v>
      </c>
      <c r="F17" s="27">
        <v>2.5</v>
      </c>
      <c r="G17" s="31">
        <f>IFERROR(F17/E17,"")</f>
        <v>0.83333333333333337</v>
      </c>
      <c r="H17" s="32" t="str">
        <f>_xlfn.IFS(F17="أدخل العلامة","",F17="لا ينطبق","تم الإلغاء",G17&gt;=90%,"ممتاز",G17&gt;=80%,"جيد جداً",G17&gt;=70%,"جيد",G17&gt;=60%,"مقبول",G17&lt;60%,"راسب")</f>
        <v>جيد جداً</v>
      </c>
      <c r="I17" s="41"/>
      <c r="J17" s="41"/>
    </row>
    <row r="18" spans="1:10" ht="60" customHeight="1" x14ac:dyDescent="0.3">
      <c r="A18" s="7"/>
      <c r="B18" s="46" t="s">
        <v>181</v>
      </c>
      <c r="C18" s="46"/>
      <c r="D18" s="46"/>
      <c r="E18" s="30">
        <v>3</v>
      </c>
      <c r="F18" s="23">
        <v>2.25</v>
      </c>
      <c r="G18" s="31">
        <f t="shared" si="4"/>
        <v>0.75</v>
      </c>
      <c r="H18" s="32" t="str">
        <f t="shared" si="5"/>
        <v>جيد</v>
      </c>
      <c r="I18" s="41"/>
      <c r="J18" s="41"/>
    </row>
    <row r="19" spans="1:10" ht="30" customHeight="1" thickBot="1" x14ac:dyDescent="0.35">
      <c r="A19" s="4"/>
      <c r="B19" s="42" t="s">
        <v>5</v>
      </c>
      <c r="C19" s="43"/>
      <c r="D19" s="43"/>
      <c r="E19" s="29">
        <f>SUM(E8:E18)</f>
        <v>33</v>
      </c>
      <c r="F19" s="29">
        <f>SUM(F8:F18)</f>
        <v>25.75</v>
      </c>
      <c r="G19" s="69"/>
      <c r="H19" s="70"/>
      <c r="I19" s="70"/>
      <c r="J19" s="71"/>
    </row>
    <row r="20" spans="1:10" ht="30" customHeight="1" thickBot="1" x14ac:dyDescent="0.35">
      <c r="A20" s="4"/>
      <c r="B20" s="44" t="s">
        <v>54</v>
      </c>
      <c r="C20" s="45"/>
      <c r="D20" s="45"/>
      <c r="E20" s="72">
        <f>F19/E19/100*100</f>
        <v>0.78030303030303028</v>
      </c>
      <c r="F20" s="72"/>
      <c r="G20" s="72"/>
      <c r="H20" s="72"/>
      <c r="I20" s="72"/>
      <c r="J20" s="73"/>
    </row>
    <row r="21" spans="1:10" ht="30" customHeight="1" thickBot="1" x14ac:dyDescent="0.35">
      <c r="A21" s="4"/>
      <c r="B21" s="44" t="s">
        <v>55</v>
      </c>
      <c r="C21" s="45"/>
      <c r="D21" s="45"/>
      <c r="E21" s="33" t="str">
        <f>_xlfn.IFS(E20&gt;=90%,"ممتاز",E20&gt;=80%,"جيد جداً",E20&gt;=70%,"جيد",E20&gt;=60%,"مقبول",E20&lt;60%,"راسب")</f>
        <v>جيد</v>
      </c>
      <c r="F21" s="33"/>
      <c r="G21" s="33"/>
      <c r="H21" s="33"/>
      <c r="I21" s="33"/>
      <c r="J21" s="34"/>
    </row>
    <row r="22" spans="1:10" ht="42" customHeight="1" x14ac:dyDescent="0.3">
      <c r="B22" s="65" t="s">
        <v>187</v>
      </c>
      <c r="C22" s="65"/>
      <c r="D22" s="65"/>
      <c r="E22" s="48" t="s">
        <v>52</v>
      </c>
      <c r="F22" s="48"/>
      <c r="G22" s="67" t="s">
        <v>59</v>
      </c>
      <c r="H22" s="67"/>
      <c r="I22" s="67"/>
      <c r="J22" s="67"/>
    </row>
    <row r="23" spans="1:10" ht="51" customHeight="1" x14ac:dyDescent="0.3">
      <c r="A23" s="5"/>
      <c r="B23" s="66"/>
      <c r="C23" s="66"/>
      <c r="D23" s="66"/>
      <c r="E23" s="49" t="s">
        <v>53</v>
      </c>
      <c r="F23" s="49"/>
      <c r="G23" s="68"/>
      <c r="H23" s="68"/>
      <c r="I23" s="68"/>
      <c r="J23" s="68"/>
    </row>
    <row r="24" spans="1:10" ht="15.6" x14ac:dyDescent="0.3">
      <c r="A24" s="24">
        <v>3</v>
      </c>
      <c r="B24" s="35" t="s">
        <v>175</v>
      </c>
      <c r="C24" s="36"/>
    </row>
    <row r="25" spans="1:10" ht="15.6" x14ac:dyDescent="0.3">
      <c r="A25" s="25">
        <v>2</v>
      </c>
      <c r="B25" s="37" t="s">
        <v>176</v>
      </c>
      <c r="C25" s="38"/>
    </row>
    <row r="26" spans="1:10" ht="15.6" x14ac:dyDescent="0.3">
      <c r="A26" s="26">
        <v>1</v>
      </c>
      <c r="B26" s="39" t="s">
        <v>177</v>
      </c>
      <c r="C26" s="40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  <mergeCell ref="B7:D7"/>
    <mergeCell ref="I7:J7"/>
    <mergeCell ref="I13:J13"/>
    <mergeCell ref="B8:D8"/>
    <mergeCell ref="B13:D13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F4:J4"/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07">
      <formula>$E21="مقبول"</formula>
    </cfRule>
    <cfRule type="expression" dxfId="12" priority="108">
      <formula>$E21="جيد"</formula>
    </cfRule>
    <cfRule type="expression" dxfId="11" priority="109">
      <formula>$E21="جيد جداً"</formula>
    </cfRule>
    <cfRule type="expression" dxfId="10" priority="110">
      <formula>$E21="ممتاز"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45901</v>
      </c>
    </row>
    <row r="40" spans="1:9" ht="20.100000000000001" customHeight="1" thickBot="1" x14ac:dyDescent="0.35">
      <c r="A40" s="10">
        <v>45902</v>
      </c>
    </row>
    <row r="41" spans="1:9" ht="20.100000000000001" customHeight="1" thickBot="1" x14ac:dyDescent="0.35">
      <c r="A41" s="10">
        <v>45903</v>
      </c>
    </row>
    <row r="42" spans="1:9" ht="20.100000000000001" customHeight="1" thickBot="1" x14ac:dyDescent="0.35">
      <c r="A42" s="10">
        <v>45904</v>
      </c>
    </row>
    <row r="43" spans="1:9" ht="20.100000000000001" customHeight="1" thickBot="1" x14ac:dyDescent="0.35">
      <c r="A43" s="10">
        <v>45905</v>
      </c>
    </row>
    <row r="44" spans="1:9" ht="20.100000000000001" customHeight="1" thickBot="1" x14ac:dyDescent="0.35">
      <c r="A44" s="10">
        <v>45906</v>
      </c>
    </row>
    <row r="45" spans="1:9" ht="20.100000000000001" customHeight="1" thickBot="1" x14ac:dyDescent="0.35">
      <c r="A45" s="10">
        <v>45907</v>
      </c>
    </row>
    <row r="46" spans="1:9" ht="20.100000000000001" customHeight="1" thickBot="1" x14ac:dyDescent="0.35">
      <c r="A46" s="10">
        <v>45908</v>
      </c>
    </row>
    <row r="47" spans="1:9" ht="20.100000000000001" customHeight="1" thickBot="1" x14ac:dyDescent="0.35">
      <c r="A47" s="10">
        <v>45909</v>
      </c>
    </row>
    <row r="48" spans="1:9" ht="20.100000000000001" customHeight="1" thickBot="1" x14ac:dyDescent="0.35">
      <c r="A48" s="10">
        <v>45910</v>
      </c>
    </row>
    <row r="49" spans="1:1" ht="20.100000000000001" customHeight="1" thickBot="1" x14ac:dyDescent="0.35">
      <c r="A49" s="10">
        <v>45911</v>
      </c>
    </row>
    <row r="50" spans="1:1" ht="20.100000000000001" customHeight="1" thickBot="1" x14ac:dyDescent="0.35">
      <c r="A50" s="10">
        <v>45912</v>
      </c>
    </row>
    <row r="51" spans="1:1" ht="20.100000000000001" customHeight="1" thickBot="1" x14ac:dyDescent="0.35">
      <c r="A51" s="10">
        <v>45913</v>
      </c>
    </row>
    <row r="52" spans="1:1" ht="20.100000000000001" customHeight="1" thickBot="1" x14ac:dyDescent="0.35">
      <c r="A52" s="10">
        <v>45914</v>
      </c>
    </row>
    <row r="53" spans="1:1" ht="20.100000000000001" customHeight="1" thickBot="1" x14ac:dyDescent="0.35">
      <c r="A53" s="10">
        <v>45915</v>
      </c>
    </row>
    <row r="54" spans="1:1" ht="20.100000000000001" customHeight="1" thickBot="1" x14ac:dyDescent="0.35">
      <c r="A54" s="10">
        <v>45916</v>
      </c>
    </row>
    <row r="55" spans="1:1" ht="20.100000000000001" customHeight="1" thickBot="1" x14ac:dyDescent="0.35">
      <c r="A55" s="10">
        <v>45917</v>
      </c>
    </row>
    <row r="56" spans="1:1" ht="20.100000000000001" customHeight="1" thickBot="1" x14ac:dyDescent="0.35">
      <c r="A56" s="10">
        <v>45918</v>
      </c>
    </row>
    <row r="57" spans="1:1" ht="20.100000000000001" customHeight="1" thickBot="1" x14ac:dyDescent="0.35">
      <c r="A57" s="10">
        <v>45919</v>
      </c>
    </row>
    <row r="58" spans="1:1" ht="20.100000000000001" customHeight="1" thickBot="1" x14ac:dyDescent="0.35">
      <c r="A58" s="10">
        <v>45920</v>
      </c>
    </row>
    <row r="59" spans="1:1" ht="20.100000000000001" customHeight="1" thickBot="1" x14ac:dyDescent="0.35">
      <c r="A59" s="10">
        <v>45921</v>
      </c>
    </row>
    <row r="60" spans="1:1" ht="20.100000000000001" customHeight="1" thickBot="1" x14ac:dyDescent="0.35">
      <c r="A60" s="10">
        <v>45922</v>
      </c>
    </row>
    <row r="61" spans="1:1" ht="20.100000000000001" customHeight="1" thickBot="1" x14ac:dyDescent="0.35">
      <c r="A61" s="10">
        <v>45923</v>
      </c>
    </row>
    <row r="62" spans="1:1" ht="20.100000000000001" customHeight="1" thickBot="1" x14ac:dyDescent="0.35">
      <c r="A62" s="10">
        <v>45924</v>
      </c>
    </row>
    <row r="63" spans="1:1" ht="20.100000000000001" customHeight="1" thickBot="1" x14ac:dyDescent="0.35">
      <c r="A63" s="10">
        <v>45925</v>
      </c>
    </row>
    <row r="64" spans="1:1" ht="20.100000000000001" customHeight="1" thickBot="1" x14ac:dyDescent="0.35">
      <c r="A64" s="10">
        <v>45926</v>
      </c>
    </row>
    <row r="65" spans="1:1" ht="20.100000000000001" customHeight="1" thickBot="1" x14ac:dyDescent="0.35">
      <c r="A65" s="10">
        <v>45927</v>
      </c>
    </row>
    <row r="66" spans="1:1" ht="20.100000000000001" customHeight="1" thickBot="1" x14ac:dyDescent="0.35">
      <c r="A66" s="10">
        <v>45928</v>
      </c>
    </row>
    <row r="67" spans="1:1" ht="20.100000000000001" customHeight="1" thickBot="1" x14ac:dyDescent="0.35">
      <c r="A67" s="10">
        <v>45929</v>
      </c>
    </row>
    <row r="68" spans="1:1" ht="20.100000000000001" customHeight="1" thickBot="1" x14ac:dyDescent="0.35">
      <c r="A68" s="10">
        <v>45930</v>
      </c>
    </row>
    <row r="69" spans="1:1" ht="20.100000000000001" customHeight="1" thickBot="1" x14ac:dyDescent="0.35">
      <c r="A69" s="10">
        <v>45931</v>
      </c>
    </row>
    <row r="70" spans="1:1" ht="20.100000000000001" customHeight="1" thickBot="1" x14ac:dyDescent="0.35">
      <c r="A70" s="10">
        <v>45932</v>
      </c>
    </row>
    <row r="71" spans="1:1" ht="20.100000000000001" customHeight="1" thickBot="1" x14ac:dyDescent="0.35">
      <c r="A71" s="10">
        <v>45933</v>
      </c>
    </row>
    <row r="72" spans="1:1" ht="20.100000000000001" customHeight="1" thickBot="1" x14ac:dyDescent="0.35">
      <c r="A72" s="10">
        <v>45934</v>
      </c>
    </row>
    <row r="73" spans="1:1" ht="20.100000000000001" customHeight="1" thickBot="1" x14ac:dyDescent="0.35">
      <c r="A73" s="10">
        <v>45935</v>
      </c>
    </row>
    <row r="74" spans="1:1" ht="20.100000000000001" customHeight="1" thickBot="1" x14ac:dyDescent="0.35">
      <c r="A74" s="10">
        <v>45936</v>
      </c>
    </row>
    <row r="75" spans="1:1" ht="20.100000000000001" customHeight="1" thickBot="1" x14ac:dyDescent="0.35">
      <c r="A75" s="10">
        <v>45937</v>
      </c>
    </row>
    <row r="76" spans="1:1" ht="20.100000000000001" customHeight="1" thickBot="1" x14ac:dyDescent="0.35">
      <c r="A76" s="10">
        <v>45938</v>
      </c>
    </row>
    <row r="77" spans="1:1" ht="20.100000000000001" customHeight="1" thickBot="1" x14ac:dyDescent="0.35">
      <c r="A77" s="10">
        <v>45939</v>
      </c>
    </row>
    <row r="78" spans="1:1" ht="20.100000000000001" customHeight="1" thickBot="1" x14ac:dyDescent="0.35">
      <c r="A78" s="10">
        <v>45940</v>
      </c>
    </row>
    <row r="79" spans="1:1" ht="20.100000000000001" customHeight="1" thickBot="1" x14ac:dyDescent="0.35">
      <c r="A79" s="10">
        <v>45941</v>
      </c>
    </row>
    <row r="80" spans="1:1" ht="20.100000000000001" customHeight="1" thickBot="1" x14ac:dyDescent="0.35">
      <c r="A80" s="10">
        <v>45942</v>
      </c>
    </row>
    <row r="81" spans="1:1" ht="20.100000000000001" customHeight="1" thickBot="1" x14ac:dyDescent="0.35">
      <c r="A81" s="10">
        <v>45943</v>
      </c>
    </row>
    <row r="82" spans="1:1" ht="20.100000000000001" customHeight="1" thickBot="1" x14ac:dyDescent="0.35">
      <c r="A82" s="10">
        <v>45944</v>
      </c>
    </row>
    <row r="83" spans="1:1" ht="20.100000000000001" customHeight="1" thickBot="1" x14ac:dyDescent="0.35">
      <c r="A83" s="10">
        <v>45945</v>
      </c>
    </row>
    <row r="84" spans="1:1" ht="20.100000000000001" customHeight="1" thickBot="1" x14ac:dyDescent="0.35">
      <c r="A84" s="10">
        <v>45946</v>
      </c>
    </row>
    <row r="85" spans="1:1" ht="20.100000000000001" customHeight="1" thickBot="1" x14ac:dyDescent="0.35">
      <c r="A85" s="10">
        <v>45947</v>
      </c>
    </row>
    <row r="86" spans="1:1" ht="20.100000000000001" customHeight="1" thickBot="1" x14ac:dyDescent="0.35">
      <c r="A86" s="10">
        <v>45948</v>
      </c>
    </row>
    <row r="87" spans="1:1" ht="20.100000000000001" customHeight="1" thickBot="1" x14ac:dyDescent="0.35">
      <c r="A87" s="10">
        <v>45949</v>
      </c>
    </row>
    <row r="88" spans="1:1" ht="20.100000000000001" customHeight="1" thickBot="1" x14ac:dyDescent="0.35">
      <c r="A88" s="10">
        <v>45950</v>
      </c>
    </row>
    <row r="89" spans="1:1" ht="20.100000000000001" customHeight="1" thickBot="1" x14ac:dyDescent="0.35">
      <c r="A89" s="10">
        <v>45951</v>
      </c>
    </row>
    <row r="90" spans="1:1" ht="20.100000000000001" customHeight="1" thickBot="1" x14ac:dyDescent="0.35">
      <c r="A90" s="10">
        <v>45952</v>
      </c>
    </row>
    <row r="91" spans="1:1" ht="20.100000000000001" customHeight="1" thickBot="1" x14ac:dyDescent="0.35">
      <c r="A91" s="10">
        <v>45953</v>
      </c>
    </row>
    <row r="92" spans="1:1" ht="20.100000000000001" customHeight="1" thickBot="1" x14ac:dyDescent="0.35">
      <c r="A92" s="10">
        <v>45954</v>
      </c>
    </row>
    <row r="93" spans="1:1" ht="20.100000000000001" customHeight="1" thickBot="1" x14ac:dyDescent="0.35">
      <c r="A93" s="10">
        <v>45955</v>
      </c>
    </row>
    <row r="94" spans="1:1" ht="20.100000000000001" customHeight="1" thickBot="1" x14ac:dyDescent="0.35">
      <c r="A94" s="10">
        <v>45956</v>
      </c>
    </row>
    <row r="95" spans="1:1" ht="20.100000000000001" customHeight="1" thickBot="1" x14ac:dyDescent="0.35">
      <c r="A95" s="10">
        <v>45957</v>
      </c>
    </row>
    <row r="96" spans="1:1" ht="20.100000000000001" customHeight="1" thickBot="1" x14ac:dyDescent="0.35">
      <c r="A96" s="10">
        <v>45958</v>
      </c>
    </row>
    <row r="97" spans="1:9" ht="20.100000000000001" customHeight="1" thickBot="1" x14ac:dyDescent="0.35">
      <c r="A97" s="10">
        <v>45959</v>
      </c>
    </row>
    <row r="98" spans="1:9" ht="20.100000000000001" customHeight="1" thickBot="1" x14ac:dyDescent="0.35">
      <c r="A98" s="10">
        <v>45960</v>
      </c>
    </row>
    <row r="99" spans="1:9" ht="20.100000000000001" customHeight="1" thickBot="1" x14ac:dyDescent="0.35">
      <c r="A99" s="10">
        <v>45961</v>
      </c>
    </row>
    <row r="100" spans="1:9" ht="20.100000000000001" customHeight="1" thickBot="1" x14ac:dyDescent="0.35">
      <c r="A100" s="10">
        <v>45962</v>
      </c>
    </row>
    <row r="101" spans="1:9" ht="20.100000000000001" customHeight="1" thickBot="1" x14ac:dyDescent="0.35">
      <c r="A101" s="10">
        <v>45963</v>
      </c>
    </row>
    <row r="102" spans="1:9" ht="20.100000000000001" customHeight="1" thickBot="1" x14ac:dyDescent="0.35">
      <c r="A102" s="10">
        <v>45964</v>
      </c>
    </row>
    <row r="103" spans="1:9" ht="20.100000000000001" customHeight="1" thickBot="1" x14ac:dyDescent="0.35">
      <c r="A103" s="10">
        <v>45965</v>
      </c>
    </row>
    <row r="104" spans="1:9" ht="20.100000000000001" customHeight="1" thickBot="1" x14ac:dyDescent="0.35">
      <c r="A104" s="10">
        <v>45966</v>
      </c>
    </row>
    <row r="105" spans="1:9" ht="20.100000000000001" customHeight="1" thickBot="1" x14ac:dyDescent="0.35">
      <c r="A105" s="10">
        <v>45967</v>
      </c>
    </row>
    <row r="106" spans="1:9" ht="20.100000000000001" customHeight="1" thickBot="1" x14ac:dyDescent="0.35">
      <c r="A106" s="10">
        <v>45968</v>
      </c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102</v>
      </c>
    </row>
    <row r="213" spans="1:1" ht="20.100000000000001" customHeight="1" x14ac:dyDescent="0.3">
      <c r="A213" s="17" t="s">
        <v>103</v>
      </c>
    </row>
    <row r="214" spans="1:1" ht="20.100000000000001" customHeight="1" x14ac:dyDescent="0.3">
      <c r="A214" s="17" t="s">
        <v>104</v>
      </c>
    </row>
    <row r="215" spans="1:1" ht="20.100000000000001" customHeight="1" x14ac:dyDescent="0.3">
      <c r="A215" s="17" t="s">
        <v>105</v>
      </c>
    </row>
    <row r="216" spans="1:1" ht="20.100000000000001" customHeight="1" x14ac:dyDescent="0.3">
      <c r="A216" s="17" t="s">
        <v>106</v>
      </c>
    </row>
    <row r="217" spans="1:1" ht="20.100000000000001" customHeight="1" x14ac:dyDescent="0.3">
      <c r="A217" s="17" t="s">
        <v>107</v>
      </c>
    </row>
    <row r="218" spans="1:1" ht="20.100000000000001" customHeight="1" x14ac:dyDescent="0.3">
      <c r="A218" s="17" t="s">
        <v>108</v>
      </c>
    </row>
    <row r="219" spans="1:1" ht="20.100000000000001" customHeight="1" x14ac:dyDescent="0.3">
      <c r="A219" s="17" t="s">
        <v>109</v>
      </c>
    </row>
    <row r="220" spans="1:1" ht="20.100000000000001" customHeight="1" x14ac:dyDescent="0.3">
      <c r="A220" s="17" t="s">
        <v>110</v>
      </c>
    </row>
    <row r="221" spans="1:1" ht="20.100000000000001" customHeight="1" x14ac:dyDescent="0.3">
      <c r="A221" s="17" t="s">
        <v>111</v>
      </c>
    </row>
    <row r="222" spans="1:1" ht="20.100000000000001" customHeight="1" x14ac:dyDescent="0.3">
      <c r="A222" s="17" t="s">
        <v>112</v>
      </c>
    </row>
    <row r="223" spans="1:1" ht="20.100000000000001" customHeight="1" x14ac:dyDescent="0.3">
      <c r="A223" s="17" t="s">
        <v>113</v>
      </c>
    </row>
    <row r="224" spans="1:1" ht="20.100000000000001" customHeight="1" x14ac:dyDescent="0.3">
      <c r="A224" s="17" t="s">
        <v>114</v>
      </c>
    </row>
    <row r="225" spans="1:1" ht="20.100000000000001" customHeight="1" x14ac:dyDescent="0.3">
      <c r="A225" s="17" t="s">
        <v>115</v>
      </c>
    </row>
    <row r="226" spans="1:1" ht="20.100000000000001" customHeight="1" x14ac:dyDescent="0.3">
      <c r="A226" s="17" t="s">
        <v>116</v>
      </c>
    </row>
    <row r="227" spans="1:1" ht="20.100000000000001" customHeight="1" x14ac:dyDescent="0.3">
      <c r="A227" s="17" t="s">
        <v>117</v>
      </c>
    </row>
    <row r="228" spans="1:1" ht="20.100000000000001" customHeight="1" x14ac:dyDescent="0.3">
      <c r="A228" s="17" t="s">
        <v>118</v>
      </c>
    </row>
    <row r="229" spans="1:1" ht="20.100000000000001" customHeight="1" x14ac:dyDescent="0.3">
      <c r="A229" s="17" t="s">
        <v>119</v>
      </c>
    </row>
    <row r="230" spans="1:1" ht="20.100000000000001" customHeight="1" x14ac:dyDescent="0.3">
      <c r="A230" s="17" t="s">
        <v>120</v>
      </c>
    </row>
    <row r="231" spans="1:1" ht="20.100000000000001" customHeight="1" x14ac:dyDescent="0.3">
      <c r="A231" s="17" t="s">
        <v>121</v>
      </c>
    </row>
    <row r="232" spans="1:1" ht="20.100000000000001" customHeight="1" x14ac:dyDescent="0.3">
      <c r="A232" s="17" t="s">
        <v>122</v>
      </c>
    </row>
    <row r="233" spans="1:1" ht="20.100000000000001" customHeight="1" x14ac:dyDescent="0.3">
      <c r="A233" s="17" t="s">
        <v>123</v>
      </c>
    </row>
    <row r="234" spans="1:1" ht="20.100000000000001" customHeight="1" x14ac:dyDescent="0.3">
      <c r="A234" s="17" t="s">
        <v>124</v>
      </c>
    </row>
    <row r="235" spans="1:1" ht="20.100000000000001" customHeight="1" x14ac:dyDescent="0.3">
      <c r="A235" s="19" t="s">
        <v>125</v>
      </c>
    </row>
    <row r="236" spans="1:1" ht="20.100000000000001" customHeight="1" x14ac:dyDescent="0.3">
      <c r="A236" s="17" t="s">
        <v>126</v>
      </c>
    </row>
    <row r="237" spans="1:1" ht="20.100000000000001" customHeight="1" x14ac:dyDescent="0.3">
      <c r="A237" s="17" t="s">
        <v>127</v>
      </c>
    </row>
    <row r="238" spans="1:1" ht="20.100000000000001" customHeight="1" x14ac:dyDescent="0.3">
      <c r="A238" s="17" t="s">
        <v>128</v>
      </c>
    </row>
    <row r="239" spans="1:1" ht="20.100000000000001" customHeight="1" x14ac:dyDescent="0.3">
      <c r="A239" s="17" t="s">
        <v>129</v>
      </c>
    </row>
    <row r="240" spans="1:1" ht="20.100000000000001" customHeight="1" x14ac:dyDescent="0.3">
      <c r="A240" s="17" t="s">
        <v>130</v>
      </c>
    </row>
    <row r="241" spans="1:1" ht="20.100000000000001" customHeight="1" x14ac:dyDescent="0.3">
      <c r="A241" s="17" t="s">
        <v>131</v>
      </c>
    </row>
    <row r="242" spans="1:1" ht="20.100000000000001" customHeight="1" x14ac:dyDescent="0.3">
      <c r="A242" s="17" t="s">
        <v>132</v>
      </c>
    </row>
    <row r="243" spans="1:1" ht="20.100000000000001" customHeight="1" x14ac:dyDescent="0.3">
      <c r="A243" s="17" t="s">
        <v>133</v>
      </c>
    </row>
    <row r="244" spans="1:1" ht="20.100000000000001" customHeight="1" x14ac:dyDescent="0.3">
      <c r="A244" s="17" t="s">
        <v>134</v>
      </c>
    </row>
    <row r="245" spans="1:1" ht="20.100000000000001" customHeight="1" x14ac:dyDescent="0.3">
      <c r="A245" s="17" t="s">
        <v>135</v>
      </c>
    </row>
    <row r="246" spans="1:1" ht="20.100000000000001" customHeight="1" x14ac:dyDescent="0.3">
      <c r="A246" s="17" t="s">
        <v>136</v>
      </c>
    </row>
    <row r="247" spans="1:1" ht="20.100000000000001" customHeight="1" x14ac:dyDescent="0.3">
      <c r="A247" s="17" t="s">
        <v>127</v>
      </c>
    </row>
    <row r="248" spans="1:1" ht="20.100000000000001" customHeight="1" x14ac:dyDescent="0.3">
      <c r="A248" s="17" t="s">
        <v>137</v>
      </c>
    </row>
    <row r="249" spans="1:1" ht="20.100000000000001" customHeight="1" x14ac:dyDescent="0.3">
      <c r="A249" s="17" t="s">
        <v>138</v>
      </c>
    </row>
    <row r="250" spans="1:1" ht="20.100000000000001" customHeight="1" x14ac:dyDescent="0.3">
      <c r="A250" s="19" t="s">
        <v>139</v>
      </c>
    </row>
    <row r="251" spans="1:1" ht="20.100000000000001" customHeight="1" x14ac:dyDescent="0.3">
      <c r="A251" s="20" t="s">
        <v>140</v>
      </c>
    </row>
    <row r="252" spans="1:1" ht="20.100000000000001" customHeight="1" x14ac:dyDescent="0.3">
      <c r="A252" s="17" t="s">
        <v>141</v>
      </c>
    </row>
    <row r="253" spans="1:1" ht="20.100000000000001" customHeight="1" x14ac:dyDescent="0.3">
      <c r="A253" s="17" t="s">
        <v>142</v>
      </c>
    </row>
    <row r="254" spans="1:1" ht="20.100000000000001" customHeight="1" x14ac:dyDescent="0.3">
      <c r="A254" s="21" t="s">
        <v>143</v>
      </c>
    </row>
    <row r="255" spans="1:1" ht="20.100000000000001" customHeight="1" x14ac:dyDescent="0.3">
      <c r="A255" s="21" t="s">
        <v>144</v>
      </c>
    </row>
    <row r="256" spans="1:1" ht="20.100000000000001" customHeight="1" x14ac:dyDescent="0.3">
      <c r="A256" s="22" t="s">
        <v>145</v>
      </c>
    </row>
    <row r="257" spans="1:1" ht="20.100000000000001" customHeight="1" x14ac:dyDescent="0.3">
      <c r="A257" s="17" t="s">
        <v>146</v>
      </c>
    </row>
    <row r="258" spans="1:1" ht="20.100000000000001" customHeight="1" x14ac:dyDescent="0.3">
      <c r="A258" s="22" t="s">
        <v>147</v>
      </c>
    </row>
    <row r="259" spans="1:1" ht="20.100000000000001" customHeight="1" x14ac:dyDescent="0.3">
      <c r="A259" s="17" t="s">
        <v>148</v>
      </c>
    </row>
    <row r="260" spans="1:1" ht="20.100000000000001" customHeight="1" x14ac:dyDescent="0.3">
      <c r="A260" s="22" t="s">
        <v>149</v>
      </c>
    </row>
    <row r="261" spans="1:1" ht="20.100000000000001" customHeight="1" x14ac:dyDescent="0.3">
      <c r="A261" s="17" t="s">
        <v>150</v>
      </c>
    </row>
    <row r="262" spans="1:1" ht="20.100000000000001" customHeight="1" x14ac:dyDescent="0.3">
      <c r="A262" s="17" t="s">
        <v>151</v>
      </c>
    </row>
    <row r="263" spans="1:1" ht="20.100000000000001" customHeight="1" x14ac:dyDescent="0.3">
      <c r="A263" s="22" t="s">
        <v>152</v>
      </c>
    </row>
    <row r="264" spans="1:1" ht="20.100000000000001" customHeight="1" x14ac:dyDescent="0.3">
      <c r="A264" s="22" t="s">
        <v>153</v>
      </c>
    </row>
    <row r="265" spans="1:1" ht="20.100000000000001" customHeight="1" x14ac:dyDescent="0.3">
      <c r="A265" s="22" t="s">
        <v>154</v>
      </c>
    </row>
    <row r="266" spans="1:1" ht="20.100000000000001" customHeight="1" x14ac:dyDescent="0.3">
      <c r="A266" s="17" t="s">
        <v>155</v>
      </c>
    </row>
    <row r="267" spans="1:1" ht="20.100000000000001" customHeight="1" x14ac:dyDescent="0.3">
      <c r="A267" s="17" t="s">
        <v>156</v>
      </c>
    </row>
    <row r="268" spans="1:1" ht="20.100000000000001" customHeight="1" x14ac:dyDescent="0.3">
      <c r="A268" s="17" t="s">
        <v>157</v>
      </c>
    </row>
    <row r="269" spans="1:1" ht="20.100000000000001" customHeight="1" x14ac:dyDescent="0.3">
      <c r="A269" s="17" t="s">
        <v>158</v>
      </c>
    </row>
    <row r="270" spans="1:1" ht="20.100000000000001" customHeight="1" x14ac:dyDescent="0.3">
      <c r="A270" s="22" t="s">
        <v>159</v>
      </c>
    </row>
    <row r="271" spans="1:1" ht="20.100000000000001" customHeight="1" x14ac:dyDescent="0.3">
      <c r="A271" s="22" t="s">
        <v>160</v>
      </c>
    </row>
    <row r="272" spans="1:1" ht="20.100000000000001" customHeight="1" x14ac:dyDescent="0.3">
      <c r="A272" s="17" t="s">
        <v>161</v>
      </c>
    </row>
    <row r="273" spans="1:1" ht="20.100000000000001" customHeight="1" x14ac:dyDescent="0.3">
      <c r="A273" s="22" t="s">
        <v>162</v>
      </c>
    </row>
    <row r="274" spans="1:1" ht="20.100000000000001" customHeight="1" x14ac:dyDescent="0.3">
      <c r="A274" s="22" t="s">
        <v>163</v>
      </c>
    </row>
    <row r="275" spans="1:1" ht="20.100000000000001" customHeight="1" x14ac:dyDescent="0.3">
      <c r="A275" s="17" t="s">
        <v>164</v>
      </c>
    </row>
    <row r="276" spans="1:1" ht="20.100000000000001" customHeight="1" x14ac:dyDescent="0.3">
      <c r="A276" s="17" t="s">
        <v>165</v>
      </c>
    </row>
    <row r="277" spans="1:1" ht="20.100000000000001" customHeight="1" x14ac:dyDescent="0.3">
      <c r="A277" s="22" t="s">
        <v>166</v>
      </c>
    </row>
    <row r="278" spans="1:1" ht="20.100000000000001" customHeight="1" x14ac:dyDescent="0.3">
      <c r="A278" s="17" t="s">
        <v>167</v>
      </c>
    </row>
    <row r="279" spans="1:1" ht="20.100000000000001" customHeight="1" x14ac:dyDescent="0.3">
      <c r="A279" s="17" t="s">
        <v>168</v>
      </c>
    </row>
    <row r="280" spans="1:1" ht="20.100000000000001" customHeight="1" x14ac:dyDescent="0.3">
      <c r="A280" s="17" t="s">
        <v>169</v>
      </c>
    </row>
    <row r="281" spans="1:1" ht="20.100000000000001" customHeight="1" x14ac:dyDescent="0.3">
      <c r="A281" s="17" t="s">
        <v>170</v>
      </c>
    </row>
    <row r="282" spans="1:1" ht="20.100000000000001" customHeight="1" x14ac:dyDescent="0.3">
      <c r="A282" s="22" t="s">
        <v>171</v>
      </c>
    </row>
    <row r="283" spans="1:1" ht="20.100000000000001" customHeight="1" x14ac:dyDescent="0.3">
      <c r="A283" s="22" t="s">
        <v>172</v>
      </c>
    </row>
    <row r="284" spans="1:1" ht="20.100000000000001" customHeight="1" x14ac:dyDescent="0.3">
      <c r="A284" s="22" t="s">
        <v>173</v>
      </c>
    </row>
    <row r="285" spans="1:1" ht="20.100000000000001" customHeight="1" thickBot="1" x14ac:dyDescent="0.35">
      <c r="A285" s="17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2025-10-15T20:17:50Z</dcterms:modified>
</cp:coreProperties>
</file>