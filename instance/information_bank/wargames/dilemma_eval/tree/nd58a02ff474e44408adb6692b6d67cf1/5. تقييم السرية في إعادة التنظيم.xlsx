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AF59F41-A5CF-43DC-8D00-7F1A52DE16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/>
  <c r="G14" i="2"/>
  <c r="H14" i="2" s="1"/>
  <c r="G15" i="2"/>
  <c r="H15" i="2"/>
  <c r="G16" i="2"/>
  <c r="H16" i="2"/>
  <c r="G18" i="2"/>
  <c r="H18" i="2" s="1"/>
  <c r="G19" i="2"/>
  <c r="H19" i="2"/>
  <c r="G20" i="2"/>
  <c r="H20" i="2"/>
  <c r="G21" i="2"/>
  <c r="H21" i="2" s="1"/>
  <c r="G22" i="2"/>
  <c r="H22" i="2" s="1"/>
  <c r="G23" i="2"/>
  <c r="H23" i="2"/>
  <c r="G24" i="2"/>
  <c r="H24" i="2"/>
  <c r="G25" i="2"/>
  <c r="H25" i="2" s="1"/>
  <c r="G26" i="2"/>
  <c r="H26" i="2" s="1"/>
  <c r="G27" i="2"/>
  <c r="H27" i="2" s="1"/>
  <c r="G28" i="2"/>
  <c r="H28" i="2"/>
  <c r="G29" i="2"/>
  <c r="H29" i="2"/>
  <c r="G31" i="2"/>
  <c r="H31" i="2"/>
  <c r="G32" i="2"/>
  <c r="H32" i="2" s="1"/>
  <c r="G33" i="2"/>
  <c r="H33" i="2" s="1"/>
  <c r="G34" i="2"/>
  <c r="H34" i="2"/>
  <c r="G35" i="2"/>
  <c r="H35" i="2"/>
  <c r="G36" i="2"/>
  <c r="H36" i="2"/>
  <c r="G37" i="2"/>
  <c r="H37" i="2" s="1"/>
  <c r="G38" i="2"/>
  <c r="H38" i="2" s="1"/>
  <c r="G39" i="2"/>
  <c r="H39" i="2" s="1"/>
  <c r="G8" i="2"/>
  <c r="H8" i="2" s="1"/>
  <c r="F40" i="2"/>
  <c r="E41" i="2" s="1"/>
  <c r="E42" i="2" s="1"/>
  <c r="E40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<sst xmlns="http://schemas.openxmlformats.org/spreadsheetml/2006/main" count="269" uniqueCount="213">
  <si>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</si>
  <si>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</si>
  <si>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</si>
  <si>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</si>
  <si>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</si>
  <si>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</si>
  <si>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</si>
  <si>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</si>
  <si>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</si>
  <si>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</si>
  <si>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</si>
  <si>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</si>
  <si>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</si>
  <si>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</si>
  <si>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</si>
  <si>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</si>
  <si>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</si>
  <si>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</si>
  <si>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</si>
  <si>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</si>
  <si>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</si>
  <si>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</si>
  <si>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</si>
  <si>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</si>
  <si>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</si>
  <si>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</si>
  <si>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</si>
  <si>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</si>
  <si>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</si>
  <si>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</si>
  <si>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</si>
  <si>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</si>
  <si>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</si>
  <si>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</si>
  <si>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</si>
  <si>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</si>
  <si>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</si>
  <si>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</si>
  <si>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</si>
  <si>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</si>
  <si>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</si>
  <si>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</si>
  <si>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</si>
  <si>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</si>
  <si>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</si>
  <si>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</si>
  <si>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</si>
  <si>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</si>
  <si>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</si>
  <si>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</si>
  <si>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</si>
  <si>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</si>
  <si>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</si>
  <si>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</si>
  <si>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</si>
  <si>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</si>
  <si>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</si>
  <si>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</si>
  <si>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</si>
  <si>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</si>
  <si>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</si>
  <si>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</si>
  <si>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</si>
  <si>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</si>
  <si>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</si>
  <si>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</si>
  <si>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</si>
  <si>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</si>
  <si>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</si>
  <si>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</si>
  <si>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</si>
  <si>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</si>
  <si>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</si>
  <si>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</si>
  <si>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</si>
  <si>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</si>
  <si>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</si>
  <si>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</si>
  <si>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</si>
  <si>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</si>
  <si>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</si>
  <si>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</si>
  <si>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</si>
  <si>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</si>
  <si>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</si>
  <si>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</si>
  <si>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</si>
  <si>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</si>
  <si>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</si>
  <si>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</si>
  <si>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</si>
  <si>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</si>
  <si>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</si>
  <si>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</si>
  <si>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</si>
  <si>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</si>
  <si>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</si>
  <si>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</si>
  <si>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</si>
  <si>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</si>
  <si>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</si>
  <si>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</si>
  <si>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</si>
  <si>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</si>
  <si>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</si>
  <si>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</si>
  <si>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</si>
  <si>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</si>
  <si>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</si>
  <si>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</si>
  <si>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</si>
  <si>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</si>
  <si>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</si>
  <si>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</si>
  <si>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</si>
  <si>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</si>
  <si>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</si>
  <si>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</si>
  <si>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</si>
  <si>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</si>
  <si>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</si>
  <si>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</si>
  <si>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</si>
  <si>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</si>
  <si>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</si>
  <si>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</si>
  <si>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</si>
  <si>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</si>
  <si>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</si>
  <si>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</si>
  <si>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</si>
  <si>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</si>
  <si>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</si>
  <si>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</si>
  <si>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</si>
  <si>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</si>
  <si>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</si>
  <si>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</si>
  <si>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</si>
  <si>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</si>
  <si>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</si>
  <si>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</si>
  <si>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</si>
  <si>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</si>
  <si>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</si>
  <si>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</si>
  <si>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</si>
  <si>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</si>
  <si>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</si>
  <si>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</si>
  <si>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</si>
  <si>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</si>
  <si>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</si>
  <si>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</si>
  <si>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</si>
  <si>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</si>
  <si>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</si>
  <si>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</si>
  <si>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</si>
  <si>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</si>
  <si>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</si>
  <si>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</si>
  <si>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</si>
  <si>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</si>
  <si>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</si>
  <si>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</si>
  <si>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</si>
  <si>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</si>
  <si>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</si>
  <si>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</si>
  <si>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</si>
  <si>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</si>
  <si>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</si>
  <si>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</si>
  <si>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</si>
  <si>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</si>
  <si>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</si>
  <si>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</si>
  <si>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</si>
  <si>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</si>
  <si>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أ. الحصول على التقارير والمعلومات المحدثَة التي تبين مواقع القوات الأمامية والجانبية (المجاورة) الصديقة وحسب الحاجة. </t>
  </si>
  <si>
    <t xml:space="preserve">ب. الحصول على معلومات محدثَة عن مواقع قوات العدو لمنع الإصابة بالنيران الصديقة وزيادة حماية القوة وحسب الحاجة. </t>
  </si>
  <si>
    <t>أ. التأكد من يقظة وجاهزية جميع الأفراد للتعامل مع أي هجوم معاكس محتمل.</t>
  </si>
  <si>
    <t>ب. تفادي اشتباك الجسم الرئيسي للسرية بالعدو دون توفر الإنذار المبكر.</t>
  </si>
  <si>
    <t>جـ. التأكد من فعالية الاتصالات بين السرية ونقاط المراقبة.</t>
  </si>
  <si>
    <t>أ. تأسيس الحماية المحلية لجميع الجهات.</t>
  </si>
  <si>
    <t>ب. تدمير أي مقاومة منظمة للعدو.</t>
  </si>
  <si>
    <t>جـ. إجراءات الدفاع ضد الهجمات المعاكسة.</t>
  </si>
  <si>
    <t>د. القيام باستطلاع منطقة الأهداف باستخدام الدوريات وعناصر الكشف للتأكد من خلوها من العدو.</t>
  </si>
  <si>
    <t>هـ. إعادة تأسيس التسلسل القيادي حسب الرتب وسد النقص في المناصب القيادية.</t>
  </si>
  <si>
    <t>و. إعادة تأسيس شبكات الاتصالات.</t>
  </si>
  <si>
    <t>أ. المواقع الجديدة للسرية.</t>
  </si>
  <si>
    <t>ب. الموقف الإداري للسرية شاملاً (الخسائر في الأفراد والمعدات والذخيرة والوقود).</t>
  </si>
  <si>
    <r>
      <t>1.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يديم قائد السرية الإلمام بالموقف باستخدام كافة الوسائل المتوفرة.</t>
    </r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</si>
  <si>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يؤكد قائد السرية موقف القوات الصديقة والمعادية وكما يلي:</t>
    </r>
  </si>
  <si>
    <r>
      <t>3.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يقوم قائد السرية بتوزيع المعلومات الضرورية لجميع الفصائل لإطلاعهم على آخر مستجدات الموقف.</t>
    </r>
  </si>
  <si>
    <r>
      <t>4.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يعمل قائد السرية على تركيز أو إعادة تركيز نقاط المراقبة في الأمام لتوفير الحماية.</t>
    </r>
  </si>
  <si>
    <r>
      <t>5.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تقوم السرية باحتلال أو إعادة احتلال مواقع قتالية سريعة بالقرب من الهدف.</t>
    </r>
  </si>
  <si>
    <r>
      <t>6.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يحدد قائد السرية أو يعيد تحديد قواطع النيران الأولية للفصائل.</t>
    </r>
  </si>
  <si>
    <r>
      <t>7.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يعدل قائد السرية أو قادة الفصائل مواقع أسلحة الطواقم لتغطية مقتربات العدو الأكثر احتمالا، والتأكد من تأمين الإسناد المتبادل بين الفصائل والوحدات المجاورة.</t>
    </r>
  </si>
  <si>
    <r>
      <t>8.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يتم تحضير بطاقات المدى للأسلحة وحسب الأوامر التعبوية المستديمة.</t>
    </r>
  </si>
  <si>
    <r>
      <t>9.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يرسل قادة الفصائل تقاريرهم لقائد السرية حول الذخيرة، الإصابات والمعدات.</t>
    </r>
  </si>
  <si>
    <t xml:space="preserve">تقييم السرية في التثبت وإعادة التنظيم - تمرين جاهزية مجموعة لواء الإمارات/1 (جندي الصحراء 2025/20)
</t>
  </si>
  <si>
    <r>
      <t>10.</t>
    </r>
    <r>
      <rPr>
        <sz val="7"/>
        <color rgb="FF000000"/>
        <rFont val="Times New Roman"/>
        <family val="1"/>
      </rPr>
      <t xml:space="preserve">  </t>
    </r>
    <r>
      <rPr>
        <sz val="14"/>
        <color rgb="FF000000"/>
        <rFont val="Arial"/>
        <family val="2"/>
      </rPr>
      <t>ينسق نائب قائد السرية ووكيل السرية عملية إعادة التزويد وسد النقص من الذخيرة والأرزاق والوقود.</t>
    </r>
  </si>
  <si>
    <t>11.   يشرف القادة على إعادة توزيع الذخيرة.</t>
  </si>
  <si>
    <t>12.   يرسل قائد السرية تقرير مفصل لقائد الكتيبة/ مجموعة القتال يتضمن ما يلي:</t>
  </si>
  <si>
    <t>13.   التعامل مع الإصابات وإخلاء الجرحى والشهداء حسب الإجراءات المتبعة.</t>
  </si>
  <si>
    <t>14.   تعويض خسائر القوى البشرية بأسرع ما يمكن وعمل الترتيبات لإسناد الواجبات لأشخاص من نفس المرتبات ليعملوا بدل القادة الصغار والآمار الذين استشهدوا أو جرحوا.</t>
  </si>
  <si>
    <t>15.   اخلاء الآليات والمعدات المعطلة حسب الإجراءات المتبعة.</t>
  </si>
  <si>
    <t>16.   تأمين أسرى الحرب حسب الإجراءات المتبعة.</t>
  </si>
  <si>
    <t>17.   التأكد من فعالية الاتصال ات وممارسة قائد السرية للقيادة والسيطرة استعداداً لأي عملية مستقبلية.</t>
  </si>
  <si>
    <t>18.   التعامل مع الوثائق والمعدات التي تم الاستيلاء عليها حسب الإجراءات المتبعة.</t>
  </si>
  <si>
    <t>19.   تستعد السرية لتنفيذ أي واجب يُطلب منها.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</si>
</sst>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8" fillId="0" borderId="0" xfId="0" applyFont="1" applyAlignment="1" applyProtection="1">
      <alignment horizontal="right" vertical="center" wrapText="1" readingOrder="2"/>
      <protection locked="0"/>
    </xf>
    <xf numFmtId="0" fontId="8" fillId="5" borderId="21" xfId="0" applyFont="1" applyFill="1" applyBorder="1" applyAlignment="1">
      <alignment horizontal="right" vertical="center" wrapText="1" readingOrder="2"/>
    </xf>
    <xf numFmtId="0" fontId="8" fillId="5" borderId="3" xfId="0" applyFont="1" applyFill="1" applyBorder="1" applyAlignment="1">
      <alignment horizontal="right" vertical="center" wrapText="1" readingOrder="2"/>
    </xf>
    <xf numFmtId="0" fontId="8" fillId="5" borderId="11" xfId="0" applyFont="1" applyFill="1" applyBorder="1" applyAlignment="1">
      <alignment horizontal="right" vertical="center" wrapText="1" readingOrder="2"/>
    </xf>
    <xf numFmtId="0" fontId="8" fillId="5" borderId="12" xfId="0" applyFont="1" applyFill="1" applyBorder="1" applyAlignment="1">
      <alignment horizontal="right" vertical="center" wrapText="1" readingOrder="2"/>
    </xf>
    <xf numFmtId="0" fontId="8" fillId="5" borderId="21" xfId="0" applyFont="1" applyFill="1" applyBorder="1" applyAlignment="1">
      <alignment horizontal="right" vertical="center" wrapText="1" indent="2" readingOrder="2"/>
    </xf>
    <xf numFmtId="0" fontId="8" fillId="5" borderId="3" xfId="0" applyFont="1" applyFill="1" applyBorder="1" applyAlignment="1">
      <alignment horizontal="right" vertical="center" wrapText="1" indent="2" readingOrder="2"/>
    </xf>
    <xf numFmtId="0" fontId="8" fillId="5" borderId="5" xfId="0" applyFont="1" applyFill="1" applyBorder="1" applyAlignment="1">
      <alignment horizontal="right" vertical="center" wrapText="1" readingOrder="2"/>
    </xf>
    <xf numFmtId="0" fontId="8" fillId="5" borderId="4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584230</xdr:colOff>
      <xdr:row>43</xdr:row>
      <xdr:rowOff>90227</xdr:rowOff>
    </xdr:from>
    <xdr:to>
      <xdr:col>8</xdr:col>
      <xdr:colOff>267904</xdr:colOff>
      <xdr:row>43</xdr:row>
      <xdr:rowOff>373187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7161FA4-10E1-3FE3-0AF9-ACB7B53DF112}"/>
                </a:ext>
              </a:extLst>
            </xdr14:cNvPr>
            <xdr14:cNvContentPartPr/>
          </xdr14:nvContentPartPr>
          <xdr14:nvPr macro=""/>
          <xdr14:xfrm>
            <a:off x="10423434896" y="21453120"/>
            <a:ext cx="992520" cy="282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7161FA4-10E1-3FE3-0AF9-ACB7B53DF1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425896" y="21444480"/>
              <a:ext cx="1010160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75304</xdr:colOff>
      <xdr:row>43</xdr:row>
      <xdr:rowOff>212267</xdr:rowOff>
    </xdr:from>
    <xdr:to>
      <xdr:col>8</xdr:col>
      <xdr:colOff>568504</xdr:colOff>
      <xdr:row>43</xdr:row>
      <xdr:rowOff>501707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68074B9-7613-F6FF-19CD-985C69F6F9AB}"/>
                </a:ext>
              </a:extLst>
            </xdr14:cNvPr>
            <xdr14:cNvContentPartPr/>
          </xdr14:nvContentPartPr>
          <xdr14:nvPr macro=""/>
          <xdr14:xfrm>
            <a:off x="10423134296" y="21575160"/>
            <a:ext cx="493200" cy="289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68074B9-7613-F6FF-19CD-985C69F6F9A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125656" y="21566520"/>
              <a:ext cx="510840" cy="307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6:41:47.5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1969 577 1728,'0'0'0,"0"-1"104,-1 0-88,1 1-16,-1-1 8,-3-2 24,1 2 8,1 0-24,-1 0 0,2-1-8,1 2-8,-1-1 8,-3 0 8,2 0 0,0 0 16,1 0-16,1-1 24,0 2-40,0-1 40,-1 0 16,1 0-8,0 0-16,0-1 0,2 1-24,-2 1-8,3-1 16,-1-1 0,1 0-16,0 0 8,8 0 0,-7-1 0,-4 3-8,9-2 8,-5-2 16,12 1-16,-6-1 0,1-1 0,1 0-8,-12 5 0,11-4 24,4 0 16,-2-1 0,2 0 0,0 1-8,3 0 0,-18 4-32,17-5 24,3 2-8,-3-2 0,1 1-8,2 1-8,-1-2 8,-19 5-8,21-5 0,2 0 0,-1 2 0,-1-2 0,2 1 8,0 1-8,-23 3 0,22-4 8,0 0 0,0 2 0,-1 1-16,-1-2 16,2 2-8,-22 1 0,18-1 0,1 1 8,-3 0-16,0 0 8,-2 0 0,2 2 0,-16-2 0,12 3 0,0 0-8,-2 1 8,-1 0-8,-5-1 8,8 1 0,-12-4 0,4 3-8,4 7-16,-5-8 0,-1 2-8,0 0 0,-2 6-16,0-10 48,0 3-64,-1 6 0,-2-5-16,-7 9 8,7-3 16,-11-1 16,14-9 40,-11 11-40,-2 0 24,-4 1 0,0 2 0,-2-1 8,-5-1-16,24-12 24,-23 14-16,-4-1 0,0 1 8,-4 1 0,0-1 8,-2 2-8,33-16 8,-31 14-8,-2-1 8,1-1 8,-2-1-16,2-2 8,32-9 0,-34 10 0,0-6 0,2 6 0,-2-7 0,1 0 8,1 1-16,32-4 8,-34 2 0,-2 1 8,1-3-16,0 0 0,1-1-8,1-3 0,33 4 16,-32-11-16,-1 8 0,1-9 8,-1 7-8,2-7 0,-1 2 8,32 10 8,-29-9-16,1-2 16,0 1 0,0 0 24,0 5 8,3-7 0,25 12-32,-26-5 56,1-7-40,2 7 16,2-7-8,-1 9-8,0-7 16,22 10-32,-20-4 104,-2 0-24,2-6-8,-2 6-8,0 1-56,-1-7 24,23 10-32,-22-2 40,1-2-8,-2 1 8,1-1-8,-2 3 8,0 0 48,24 1-88,-23-2 64,-2 1 0,-1 0 8,2-1-32,-1 0 48,-2-1 32,27 3-120,-24-2 160,0-2-8,0 0 32,1-5 16,0 5-16,3-7 48,20 11-232,-22-9 272,0-1 41,2-1 7,0-1 8,1-1-88,2-2 48,17 15-288,-17-16 248,3-2-40,1 0 24,-1 0-120,3-1-8,-3-1-40,14 20-64,-10-21 80,1 1-8,-1-1-8,8 1 24,-7-1-88,7 0 56,2 21-56,-4-21 88,-1 1-32,3 4 80,0-1-88,0 2-56,2 2-32,0 13 40,0-14-120,3 3-40,7 0-48,-6 2 8,8-1-16,0 1 72,-12 9 144,13-5-104,0-7-16,6 7 104,-2-6-96,1 8 80,4-2-16,-22 5 48,23-10-64,1 9 48,3-3-56,-1 3 24,4 0 32,-1 0-40,-29 1 56,29 0-40,2 0 16,3 0 0,-3 2 0,0 1 24,2 0-32,-33-3 32,31 4-56,1-1 40,2 1-16,-4 6-16,1-8 56,2 2-8,-33-4 0,31 3-8,0 1 104,1 5-88,-6-6 0,2 0-32,-3 7-32,-25-10 56,23 2-32,0 2 8,-1 6 56,-3-8-16,-1 9-8,-1-8 0,-17-3-8,14 12-16,-1-8-16,-3 9 8,-6-3-32,-1-1-40,0 2-8,-3-11 104,3 10-152,-3-1 96,-4 3 8,-5 1-24,-2 2 24,-4 0-48,15-15 96,-17 17-56,-3 0 24,-5 0 48,-2 1-24,-2 0 8,-2 1 32,31-19-32,-34 19 0,-4 0 40,-4 2 0,0-1-24,-2 0 16,1 1-40,43-21 8,-43 20 16,-3-1 24,-1 2-40,0-2 32,0 0-16,-4 0-8,51-19-8,-49 19 24,-2-2 40,0 1-56,2-1 24,-2 0 0,2-1-48,49-16 16,-50 16 48,3-2-16,0-1 0,4-1 8,2-1-8,2-1 32,39-10-64,-34 3 72,2 8-8,2-8 8,2-1-16,5 0 0,4-2 0,19 0-56,-18 0 40,3 0-24,3-1-104,4-2-280,4-7-336,-6 6-225,10 4 929,-1-13-824,0 4 248,1-5 288,0-1 192,10-4 32,-2-2 8,-8 21 56,12-21-56,1-2-1624,-13 23 1680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6:41:48.3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1369 1 2224,'0'0'0,"0"0"56,0 0-24,0 0 8,0 0 32,0 0 56,0 0-128,-1 0 200,0 2 80,-2 1 32,-2-1 0,-6 2-8,1 5-56,10-9-248,-9 3 216,-5 6-24,0-5-39,-1 9-17,-2-3-48,0 1 0,17-11-88,-17 13 72,-2-1-16,-1 1-16,1 0-16,-2 0-8,0 2 0,21-15-16,-21 13 8,1 0 0,-1-1 0,2-1-16,2 0 8,2-2 0,15-9 0,-14 4 8,-1 6 16,2-6-24,2 6 8,2-10 8,5 3 0,4-3-16,-10 4 40,7-2 0,-1 1-16,1-3 0,-1 0 8,3 0 8,1 0-40,-3 0 40,2 0 0,-1 0 0,0 0 0,-1 0-8,1 0-8,2 0-24,-4 0 32,0 0 8,1 0-32,-7 0 8,8 0-16,-9 0-40,11 0 40,-5 0 16,-8 2-48,1 0 24,-1 2 24,-1 0-72,-2-1 24,16-3 32,-17 4-64,-1 7 40,-2-9 16,0 9 24,-1-8 40,0 8-64,21-11 8,-21 4-24,0 8 32,-1-9-32,-1 7 40,1-8 24,-3 9-72,25-11 32,-25 3-32,0 6 40,1-6-24,0 0 40,0 8-8,3-11-40,21 0 24,-23 3 32,1 0-8,1-1 16,-2-2 16,1 0-24,2 0-16,20 0-16,-20 0 40,0 0 16,3 0-16,-4 0 48,2-2-40,2-2 48,17 4-96,-17-3 72,2-7 24,1 7 8,-1-2-48,3-5 56,1 7 8,11 3-120,-9-11 128,-1 7-8,5-7-32,-5 8 0,6-10-32,-1 3-24,5 10-32,-3-5 16,-1-8-64,3 3-40,0 1-40,0-3-80,1 0-8,0 12 216,0-13-224,2-2 8,1 1 48,1-2 24,0 2 16,-1 0 24,-3 14 104,11-14-72,-7 1 16,6 1 24,-7 0 24,6 3-8,-6-1 0,-3 10 16,3-5 0,7-4-16,-8 6 16,1 0 16,-1-1-48,0 3 16,-2 1 16,0-1-24,0 0-8,3-1 32,-3 2-32,0 0-16,0 0-64,0 0 112,0 0-152,0 0-16,0 0-16,-1 3 39,-1 0 25,1 7 16,1-10 104,-3 4-80,-1 7-8,-1 0 32,-4 0-8,5 2 24,-6 2 16,10-15 24,-3 16-40,-8 1 40,7 2-32,-7 3 0,7-1 0,-8 2-24,12-23 56,-4 23-48,-5 1 64,5 0-40,1 2 16,-1 0 16,0 0-8,4-26 0,-2 26 48,1-2 24,1 1 32,0-2 24,2 0 24,8 0 16,-10-23-168,9 21 176,2 0 25,2 0-49,3 1 8,2-2 0,2 1-40,-20-21-120,23 19 144,2-4-8,4 2-24,2-3-16,3 0-8,3-2-8,-37-12-80,39 10 64,3 0-8,5-6-8,2 5-16,4-6-24,5-1-64,-58-2 56,61 0-216,2 0-288,3-1-369,5-3-135,3-7 192,4 2 264,-78 9 552,78-12-624,2-4-872,-80 16 1496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C1" zoomScale="130" zoomScaleNormal="100" zoomScaleSheetLayoutView="130" workbookViewId="0">
      <selection activeCell="F24" sqref="F2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6" t="s">
        <v>202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x14ac:dyDescent="0.3">
      <c r="B2" s="13" t="s">
        <v>8</v>
      </c>
      <c r="C2" s="62" t="s">
        <v>41</v>
      </c>
      <c r="D2" s="62"/>
      <c r="E2" s="13" t="s">
        <v>7</v>
      </c>
      <c r="F2" s="57">
        <v>45944</v>
      </c>
      <c r="G2" s="57"/>
      <c r="H2" s="57"/>
      <c r="I2" s="57"/>
      <c r="J2" s="57"/>
    </row>
    <row r="3" spans="1:10" ht="30" customHeight="1" x14ac:dyDescent="0.3">
      <c r="B3" s="13" t="s">
        <v>9</v>
      </c>
      <c r="C3" s="62" t="s">
        <v>82</v>
      </c>
      <c r="D3" s="62"/>
      <c r="E3" s="13" t="s">
        <v>6</v>
      </c>
      <c r="F3" s="62" t="s">
        <v>92</v>
      </c>
      <c r="G3" s="62"/>
      <c r="H3" s="62"/>
      <c r="I3" s="62"/>
      <c r="J3" s="62"/>
    </row>
    <row r="4" spans="1:10" ht="30" customHeight="1" thickBot="1" x14ac:dyDescent="0.35">
      <c r="B4" s="6"/>
      <c r="C4" s="7"/>
      <c r="D4" s="7"/>
      <c r="E4" s="6"/>
      <c r="F4" s="39"/>
      <c r="G4" s="7"/>
      <c r="H4" s="8"/>
      <c r="I4" s="7"/>
      <c r="J4" s="7"/>
    </row>
    <row r="5" spans="1:10" ht="24.9" customHeight="1" x14ac:dyDescent="0.3">
      <c r="A5" s="11"/>
      <c r="B5" s="58" t="s">
        <v>0</v>
      </c>
      <c r="C5" s="59"/>
      <c r="D5" s="59"/>
      <c r="E5" s="63" t="s">
        <v>1</v>
      </c>
      <c r="F5" s="63"/>
      <c r="G5" s="63"/>
      <c r="H5" s="63"/>
      <c r="I5" s="63" t="s">
        <v>2</v>
      </c>
      <c r="J5" s="64"/>
    </row>
    <row r="6" spans="1:10" ht="24.9" customHeight="1" thickBot="1" x14ac:dyDescent="0.35">
      <c r="A6" s="11"/>
      <c r="B6" s="60"/>
      <c r="C6" s="61"/>
      <c r="D6" s="61"/>
      <c r="E6" s="12" t="s">
        <v>3</v>
      </c>
      <c r="F6" s="12" t="s">
        <v>4</v>
      </c>
      <c r="G6" s="12" t="s">
        <v>23</v>
      </c>
      <c r="H6" s="12" t="s">
        <v>24</v>
      </c>
      <c r="I6" s="65"/>
      <c r="J6" s="66"/>
    </row>
    <row r="7" spans="1:10" ht="24.9" customHeight="1" thickBot="1" x14ac:dyDescent="0.35">
      <c r="A7" s="11"/>
      <c r="B7" s="67" t="s">
        <v>21</v>
      </c>
      <c r="C7" s="68"/>
      <c r="D7" s="68"/>
      <c r="E7" s="29" t="s">
        <v>18</v>
      </c>
      <c r="F7" s="29" t="s">
        <v>19</v>
      </c>
      <c r="G7" s="29" t="s">
        <v>22</v>
      </c>
      <c r="H7" s="29" t="s">
        <v>20</v>
      </c>
      <c r="I7" s="71" t="s">
        <v>25</v>
      </c>
      <c r="J7" s="72"/>
    </row>
    <row r="8" spans="1:10" ht="39.9" customHeight="1" x14ac:dyDescent="0.3">
      <c r="A8" s="11"/>
      <c r="B8" s="46" t="s">
        <v>193</v>
      </c>
      <c r="C8" s="47"/>
      <c r="D8" s="47"/>
      <c r="E8" s="32">
        <v>5</v>
      </c>
      <c r="F8" s="33">
        <v>3.5</v>
      </c>
      <c r="G8" s="34">
        <f>IFERROR(F8/E8,"")</f>
        <v>0.7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3"/>
      <c r="J8" s="74"/>
    </row>
    <row r="9" spans="1:10" ht="39.9" customHeight="1" x14ac:dyDescent="0.3">
      <c r="A9" s="11"/>
      <c r="B9" s="40" t="s">
        <v>194</v>
      </c>
      <c r="C9" s="41"/>
      <c r="D9" s="41"/>
      <c r="E9" s="9"/>
      <c r="F9" s="27"/>
      <c r="G9" s="30"/>
      <c r="H9" s="31"/>
      <c r="I9" s="48"/>
      <c r="J9" s="49"/>
    </row>
    <row r="10" spans="1:10" ht="39.9" customHeight="1" x14ac:dyDescent="0.3">
      <c r="A10" s="11"/>
      <c r="B10" s="44" t="s">
        <v>180</v>
      </c>
      <c r="C10" s="45"/>
      <c r="D10" s="45"/>
      <c r="E10" s="9">
        <v>5</v>
      </c>
      <c r="F10" s="27">
        <v>3.5</v>
      </c>
      <c r="G10" s="30">
        <f t="shared" ref="G10:G39" si="0">IFERROR(F10/E10,"")</f>
        <v>0.7</v>
      </c>
      <c r="H10" s="31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48"/>
      <c r="J10" s="49"/>
    </row>
    <row r="11" spans="1:10" ht="57" customHeight="1" x14ac:dyDescent="0.3">
      <c r="A11" s="11"/>
      <c r="B11" s="44" t="s">
        <v>181</v>
      </c>
      <c r="C11" s="45"/>
      <c r="D11" s="45"/>
      <c r="E11" s="9">
        <v>5</v>
      </c>
      <c r="F11" s="27">
        <v>3.5</v>
      </c>
      <c r="G11" s="30">
        <f t="shared" si="0"/>
        <v>0.7</v>
      </c>
      <c r="H11" s="31" t="str">
        <f t="shared" si="1"/>
        <v>جيد</v>
      </c>
      <c r="I11" s="48"/>
      <c r="J11" s="49"/>
    </row>
    <row r="12" spans="1:10" ht="39.9" customHeight="1" x14ac:dyDescent="0.3">
      <c r="A12" s="11"/>
      <c r="B12" s="40" t="s">
        <v>195</v>
      </c>
      <c r="C12" s="41"/>
      <c r="D12" s="41"/>
      <c r="E12" s="9">
        <v>5</v>
      </c>
      <c r="F12" s="27">
        <v>3.75</v>
      </c>
      <c r="G12" s="30">
        <f t="shared" si="0"/>
        <v>0.75</v>
      </c>
      <c r="H12" s="31" t="str">
        <f t="shared" si="1"/>
        <v>جيد</v>
      </c>
      <c r="I12" s="48"/>
      <c r="J12" s="49"/>
    </row>
    <row r="13" spans="1:10" ht="39.9" customHeight="1" x14ac:dyDescent="0.3">
      <c r="A13" s="11"/>
      <c r="B13" s="40" t="s">
        <v>196</v>
      </c>
      <c r="C13" s="41"/>
      <c r="D13" s="41"/>
      <c r="E13" s="9"/>
      <c r="F13" s="27"/>
      <c r="G13" s="30"/>
      <c r="H13" s="31"/>
      <c r="I13" s="48"/>
      <c r="J13" s="49"/>
    </row>
    <row r="14" spans="1:10" ht="39.9" customHeight="1" x14ac:dyDescent="0.3">
      <c r="A14" s="11"/>
      <c r="B14" s="44" t="s">
        <v>182</v>
      </c>
      <c r="C14" s="45"/>
      <c r="D14" s="45"/>
      <c r="E14" s="9">
        <v>5</v>
      </c>
      <c r="F14" s="27">
        <v>3.75</v>
      </c>
      <c r="G14" s="30">
        <f t="shared" si="0"/>
        <v>0.75</v>
      </c>
      <c r="H14" s="31" t="str">
        <f t="shared" si="1"/>
        <v>جيد</v>
      </c>
      <c r="I14" s="48"/>
      <c r="J14" s="49"/>
    </row>
    <row r="15" spans="1:10" ht="39.9" customHeight="1" x14ac:dyDescent="0.3">
      <c r="A15" s="11"/>
      <c r="B15" s="44" t="s">
        <v>183</v>
      </c>
      <c r="C15" s="45"/>
      <c r="D15" s="45"/>
      <c r="E15" s="9">
        <v>5</v>
      </c>
      <c r="F15" s="27">
        <v>3.75</v>
      </c>
      <c r="G15" s="30">
        <f t="shared" si="0"/>
        <v>0.75</v>
      </c>
      <c r="H15" s="31" t="str">
        <f t="shared" si="1"/>
        <v>جيد</v>
      </c>
      <c r="I15" s="48"/>
      <c r="J15" s="49"/>
    </row>
    <row r="16" spans="1:10" ht="39.9" customHeight="1" x14ac:dyDescent="0.3">
      <c r="A16" s="11"/>
      <c r="B16" s="44" t="s">
        <v>184</v>
      </c>
      <c r="C16" s="45"/>
      <c r="D16" s="45"/>
      <c r="E16" s="9">
        <v>5</v>
      </c>
      <c r="F16" s="27">
        <v>3.5</v>
      </c>
      <c r="G16" s="30">
        <f t="shared" si="0"/>
        <v>0.7</v>
      </c>
      <c r="H16" s="31" t="str">
        <f t="shared" si="1"/>
        <v>جيد</v>
      </c>
      <c r="I16" s="48"/>
      <c r="J16" s="49"/>
    </row>
    <row r="17" spans="1:10" ht="39.9" customHeight="1" x14ac:dyDescent="0.3">
      <c r="A17" s="11"/>
      <c r="B17" s="40" t="s">
        <v>197</v>
      </c>
      <c r="C17" s="41"/>
      <c r="D17" s="41"/>
      <c r="E17" s="9"/>
      <c r="F17" s="27"/>
      <c r="G17" s="30"/>
      <c r="H17" s="31"/>
      <c r="I17" s="48"/>
      <c r="J17" s="49"/>
    </row>
    <row r="18" spans="1:10" ht="39.9" customHeight="1" x14ac:dyDescent="0.3">
      <c r="A18" s="11"/>
      <c r="B18" s="44" t="s">
        <v>185</v>
      </c>
      <c r="C18" s="45"/>
      <c r="D18" s="45"/>
      <c r="E18" s="9">
        <v>5</v>
      </c>
      <c r="F18" s="27">
        <v>3.5</v>
      </c>
      <c r="G18" s="30">
        <f t="shared" si="0"/>
        <v>0.7</v>
      </c>
      <c r="H18" s="31" t="str">
        <f t="shared" si="1"/>
        <v>جيد</v>
      </c>
      <c r="I18" s="48"/>
      <c r="J18" s="49"/>
    </row>
    <row r="19" spans="1:10" ht="39.9" customHeight="1" x14ac:dyDescent="0.3">
      <c r="A19" s="11"/>
      <c r="B19" s="44" t="s">
        <v>186</v>
      </c>
      <c r="C19" s="45"/>
      <c r="D19" s="45"/>
      <c r="E19" s="9">
        <v>5</v>
      </c>
      <c r="F19" s="27">
        <v>3.75</v>
      </c>
      <c r="G19" s="30">
        <f t="shared" si="0"/>
        <v>0.75</v>
      </c>
      <c r="H19" s="31" t="str">
        <f t="shared" si="1"/>
        <v>جيد</v>
      </c>
      <c r="I19" s="48"/>
      <c r="J19" s="49"/>
    </row>
    <row r="20" spans="1:10" ht="39.9" customHeight="1" x14ac:dyDescent="0.3">
      <c r="A20" s="11"/>
      <c r="B20" s="44" t="s">
        <v>187</v>
      </c>
      <c r="C20" s="45"/>
      <c r="D20" s="45"/>
      <c r="E20" s="9">
        <v>5</v>
      </c>
      <c r="F20" s="27">
        <v>3.75</v>
      </c>
      <c r="G20" s="30">
        <f t="shared" si="0"/>
        <v>0.75</v>
      </c>
      <c r="H20" s="31" t="str">
        <f t="shared" si="1"/>
        <v>جيد</v>
      </c>
      <c r="I20" s="48"/>
      <c r="J20" s="49"/>
    </row>
    <row r="21" spans="1:10" ht="39.9" customHeight="1" x14ac:dyDescent="0.3">
      <c r="A21" s="11"/>
      <c r="B21" s="44" t="s">
        <v>188</v>
      </c>
      <c r="C21" s="45"/>
      <c r="D21" s="45"/>
      <c r="E21" s="9">
        <v>5</v>
      </c>
      <c r="F21" s="27">
        <v>3.5</v>
      </c>
      <c r="G21" s="30">
        <f t="shared" si="0"/>
        <v>0.7</v>
      </c>
      <c r="H21" s="31" t="str">
        <f t="shared" si="1"/>
        <v>جيد</v>
      </c>
      <c r="I21" s="48"/>
      <c r="J21" s="49"/>
    </row>
    <row r="22" spans="1:10" ht="39.9" customHeight="1" x14ac:dyDescent="0.3">
      <c r="A22" s="11"/>
      <c r="B22" s="44" t="s">
        <v>189</v>
      </c>
      <c r="C22" s="45"/>
      <c r="D22" s="45"/>
      <c r="E22" s="9">
        <v>5</v>
      </c>
      <c r="F22" s="27">
        <v>3.5</v>
      </c>
      <c r="G22" s="30">
        <f t="shared" si="0"/>
        <v>0.7</v>
      </c>
      <c r="H22" s="31" t="str">
        <f t="shared" si="1"/>
        <v>جيد</v>
      </c>
      <c r="I22" s="48"/>
      <c r="J22" s="49"/>
    </row>
    <row r="23" spans="1:10" ht="39.9" customHeight="1" x14ac:dyDescent="0.3">
      <c r="A23" s="11"/>
      <c r="B23" s="44" t="s">
        <v>190</v>
      </c>
      <c r="C23" s="45"/>
      <c r="D23" s="45"/>
      <c r="E23" s="9">
        <v>5</v>
      </c>
      <c r="F23" s="27">
        <v>3.75</v>
      </c>
      <c r="G23" s="30">
        <f t="shared" si="0"/>
        <v>0.75</v>
      </c>
      <c r="H23" s="31" t="str">
        <f t="shared" si="1"/>
        <v>جيد</v>
      </c>
      <c r="I23" s="48"/>
      <c r="J23" s="49"/>
    </row>
    <row r="24" spans="1:10" ht="39.9" customHeight="1" x14ac:dyDescent="0.3">
      <c r="A24" s="11"/>
      <c r="B24" s="40" t="s">
        <v>198</v>
      </c>
      <c r="C24" s="41"/>
      <c r="D24" s="41"/>
      <c r="E24" s="9">
        <v>5</v>
      </c>
      <c r="F24" s="27">
        <v>3.5</v>
      </c>
      <c r="G24" s="30">
        <f t="shared" si="0"/>
        <v>0.7</v>
      </c>
      <c r="H24" s="31" t="str">
        <f t="shared" si="1"/>
        <v>جيد</v>
      </c>
      <c r="I24" s="48"/>
      <c r="J24" s="49"/>
    </row>
    <row r="25" spans="1:10" ht="66" customHeight="1" x14ac:dyDescent="0.3">
      <c r="A25" s="11"/>
      <c r="B25" s="40" t="s">
        <v>199</v>
      </c>
      <c r="C25" s="41"/>
      <c r="D25" s="41"/>
      <c r="E25" s="9">
        <v>5</v>
      </c>
      <c r="F25" s="27">
        <v>3.5</v>
      </c>
      <c r="G25" s="30">
        <f t="shared" si="0"/>
        <v>0.7</v>
      </c>
      <c r="H25" s="31" t="str">
        <f t="shared" si="1"/>
        <v>جيد</v>
      </c>
      <c r="I25" s="48"/>
      <c r="J25" s="49"/>
    </row>
    <row r="26" spans="1:10" ht="39.9" customHeight="1" x14ac:dyDescent="0.3">
      <c r="A26" s="11"/>
      <c r="B26" s="40" t="s">
        <v>200</v>
      </c>
      <c r="C26" s="41"/>
      <c r="D26" s="41"/>
      <c r="E26" s="9">
        <v>5</v>
      </c>
      <c r="F26" s="27">
        <v>3.5</v>
      </c>
      <c r="G26" s="30">
        <f t="shared" si="0"/>
        <v>0.7</v>
      </c>
      <c r="H26" s="31" t="str">
        <f t="shared" si="1"/>
        <v>جيد</v>
      </c>
      <c r="I26" s="48"/>
      <c r="J26" s="49"/>
    </row>
    <row r="27" spans="1:10" ht="39.9" customHeight="1" x14ac:dyDescent="0.3">
      <c r="A27" s="11"/>
      <c r="B27" s="40" t="s">
        <v>201</v>
      </c>
      <c r="C27" s="41"/>
      <c r="D27" s="41"/>
      <c r="E27" s="9">
        <v>5</v>
      </c>
      <c r="F27" s="27">
        <v>3.5</v>
      </c>
      <c r="G27" s="30">
        <f t="shared" si="0"/>
        <v>0.7</v>
      </c>
      <c r="H27" s="31" t="str">
        <f t="shared" si="1"/>
        <v>جيد</v>
      </c>
      <c r="I27" s="48"/>
      <c r="J27" s="49"/>
    </row>
    <row r="28" spans="1:10" ht="39.9" customHeight="1" x14ac:dyDescent="0.3">
      <c r="A28" s="11"/>
      <c r="B28" s="40" t="s">
        <v>203</v>
      </c>
      <c r="C28" s="41"/>
      <c r="D28" s="41"/>
      <c r="E28" s="9">
        <v>5</v>
      </c>
      <c r="F28" s="27">
        <v>3.5</v>
      </c>
      <c r="G28" s="30">
        <f t="shared" si="0"/>
        <v>0.7</v>
      </c>
      <c r="H28" s="31" t="str">
        <f t="shared" si="1"/>
        <v>جيد</v>
      </c>
      <c r="I28" s="48"/>
      <c r="J28" s="49"/>
    </row>
    <row r="29" spans="1:10" ht="39.9" customHeight="1" x14ac:dyDescent="0.3">
      <c r="A29" s="11"/>
      <c r="B29" s="40" t="s">
        <v>204</v>
      </c>
      <c r="C29" s="41"/>
      <c r="D29" s="41"/>
      <c r="E29" s="9">
        <v>5</v>
      </c>
      <c r="F29" s="27">
        <v>3.75</v>
      </c>
      <c r="G29" s="30">
        <f t="shared" si="0"/>
        <v>0.75</v>
      </c>
      <c r="H29" s="31" t="str">
        <f t="shared" si="1"/>
        <v>جيد</v>
      </c>
      <c r="I29" s="48"/>
      <c r="J29" s="49"/>
    </row>
    <row r="30" spans="1:10" ht="39.9" customHeight="1" x14ac:dyDescent="0.3">
      <c r="A30" s="11"/>
      <c r="B30" s="40" t="s">
        <v>205</v>
      </c>
      <c r="C30" s="41"/>
      <c r="D30" s="41"/>
      <c r="E30" s="9"/>
      <c r="F30" s="27"/>
      <c r="G30" s="30"/>
      <c r="H30" s="31"/>
      <c r="I30" s="48"/>
      <c r="J30" s="49"/>
    </row>
    <row r="31" spans="1:10" ht="39.9" customHeight="1" x14ac:dyDescent="0.3">
      <c r="A31" s="11"/>
      <c r="B31" s="44" t="s">
        <v>191</v>
      </c>
      <c r="C31" s="45"/>
      <c r="D31" s="45"/>
      <c r="E31" s="9">
        <v>5</v>
      </c>
      <c r="F31" s="27">
        <v>3.75</v>
      </c>
      <c r="G31" s="30">
        <f t="shared" si="0"/>
        <v>0.75</v>
      </c>
      <c r="H31" s="31" t="str">
        <f t="shared" si="1"/>
        <v>جيد</v>
      </c>
      <c r="I31" s="48"/>
      <c r="J31" s="49"/>
    </row>
    <row r="32" spans="1:10" ht="39.9" customHeight="1" x14ac:dyDescent="0.3">
      <c r="A32" s="11"/>
      <c r="B32" s="44" t="s">
        <v>192</v>
      </c>
      <c r="C32" s="45"/>
      <c r="D32" s="45"/>
      <c r="E32" s="9">
        <v>5</v>
      </c>
      <c r="F32" s="27">
        <v>3.5</v>
      </c>
      <c r="G32" s="30">
        <f t="shared" si="0"/>
        <v>0.7</v>
      </c>
      <c r="H32" s="31" t="str">
        <f t="shared" si="1"/>
        <v>جيد</v>
      </c>
      <c r="I32" s="48"/>
      <c r="J32" s="49"/>
    </row>
    <row r="33" spans="1:10" ht="39.9" customHeight="1" x14ac:dyDescent="0.3">
      <c r="A33" s="11"/>
      <c r="B33" s="40" t="s">
        <v>206</v>
      </c>
      <c r="C33" s="41"/>
      <c r="D33" s="41"/>
      <c r="E33" s="9">
        <v>5</v>
      </c>
      <c r="F33" s="27">
        <v>3.5</v>
      </c>
      <c r="G33" s="30">
        <f t="shared" si="0"/>
        <v>0.7</v>
      </c>
      <c r="H33" s="31" t="str">
        <f t="shared" si="1"/>
        <v>جيد</v>
      </c>
      <c r="I33" s="48"/>
      <c r="J33" s="49"/>
    </row>
    <row r="34" spans="1:10" ht="61.5" customHeight="1" x14ac:dyDescent="0.3">
      <c r="A34" s="11"/>
      <c r="B34" s="40" t="s">
        <v>207</v>
      </c>
      <c r="C34" s="41"/>
      <c r="D34" s="41"/>
      <c r="E34" s="9">
        <v>5</v>
      </c>
      <c r="F34" s="27">
        <v>3.75</v>
      </c>
      <c r="G34" s="30">
        <f t="shared" si="0"/>
        <v>0.75</v>
      </c>
      <c r="H34" s="31" t="str">
        <f t="shared" si="1"/>
        <v>جيد</v>
      </c>
      <c r="I34" s="48"/>
      <c r="J34" s="49"/>
    </row>
    <row r="35" spans="1:10" ht="39.9" customHeight="1" x14ac:dyDescent="0.3">
      <c r="A35" s="11"/>
      <c r="B35" s="40" t="s">
        <v>208</v>
      </c>
      <c r="C35" s="41"/>
      <c r="D35" s="41"/>
      <c r="E35" s="9">
        <v>5</v>
      </c>
      <c r="F35" s="27">
        <v>3.75</v>
      </c>
      <c r="G35" s="30">
        <f t="shared" si="0"/>
        <v>0.75</v>
      </c>
      <c r="H35" s="31" t="str">
        <f t="shared" si="1"/>
        <v>جيد</v>
      </c>
      <c r="I35" s="48"/>
      <c r="J35" s="49"/>
    </row>
    <row r="36" spans="1:10" ht="39.9" customHeight="1" x14ac:dyDescent="0.3">
      <c r="A36" s="11"/>
      <c r="B36" s="40" t="s">
        <v>209</v>
      </c>
      <c r="C36" s="41"/>
      <c r="D36" s="41"/>
      <c r="E36" s="9">
        <v>5</v>
      </c>
      <c r="F36" s="27">
        <v>3.75</v>
      </c>
      <c r="G36" s="30">
        <f t="shared" si="0"/>
        <v>0.75</v>
      </c>
      <c r="H36" s="31" t="str">
        <f t="shared" si="1"/>
        <v>جيد</v>
      </c>
      <c r="I36" s="48"/>
      <c r="J36" s="49"/>
    </row>
    <row r="37" spans="1:10" ht="39.9" customHeight="1" x14ac:dyDescent="0.3">
      <c r="A37" s="11"/>
      <c r="B37" s="40" t="s">
        <v>210</v>
      </c>
      <c r="C37" s="41"/>
      <c r="D37" s="41"/>
      <c r="E37" s="9">
        <v>5</v>
      </c>
      <c r="F37" s="27">
        <v>3.5</v>
      </c>
      <c r="G37" s="30">
        <f t="shared" si="0"/>
        <v>0.7</v>
      </c>
      <c r="H37" s="31" t="str">
        <f t="shared" si="1"/>
        <v>جيد</v>
      </c>
      <c r="I37" s="48"/>
      <c r="J37" s="49"/>
    </row>
    <row r="38" spans="1:10" ht="39.9" customHeight="1" x14ac:dyDescent="0.3">
      <c r="A38" s="11"/>
      <c r="B38" s="40" t="s">
        <v>211</v>
      </c>
      <c r="C38" s="41"/>
      <c r="D38" s="41"/>
      <c r="E38" s="9">
        <v>5</v>
      </c>
      <c r="F38" s="27">
        <v>3.5</v>
      </c>
      <c r="G38" s="30">
        <f t="shared" si="0"/>
        <v>0.7</v>
      </c>
      <c r="H38" s="31" t="str">
        <f t="shared" si="1"/>
        <v>جيد</v>
      </c>
      <c r="I38" s="48"/>
      <c r="J38" s="49"/>
    </row>
    <row r="39" spans="1:10" ht="39.9" customHeight="1" thickBot="1" x14ac:dyDescent="0.35">
      <c r="A39" s="11"/>
      <c r="B39" s="42" t="s">
        <v>212</v>
      </c>
      <c r="C39" s="43"/>
      <c r="D39" s="43"/>
      <c r="E39" s="36">
        <v>5</v>
      </c>
      <c r="F39" s="28">
        <v>3.5</v>
      </c>
      <c r="G39" s="37">
        <f t="shared" si="0"/>
        <v>0.7</v>
      </c>
      <c r="H39" s="38" t="str">
        <f t="shared" si="1"/>
        <v>جيد</v>
      </c>
      <c r="I39" s="69"/>
      <c r="J39" s="70"/>
    </row>
    <row r="40" spans="1:10" ht="30" customHeight="1" thickBot="1" x14ac:dyDescent="0.35">
      <c r="A40" s="4"/>
      <c r="B40" s="81" t="s">
        <v>5</v>
      </c>
      <c r="C40" s="82"/>
      <c r="D40" s="82"/>
      <c r="E40" s="10">
        <f>SUM(E8:E39)</f>
        <v>140</v>
      </c>
      <c r="F40" s="10">
        <f>SUM(F8:F39)</f>
        <v>100.75</v>
      </c>
      <c r="G40" s="51"/>
      <c r="H40" s="52"/>
      <c r="I40" s="52"/>
      <c r="J40" s="53"/>
    </row>
    <row r="41" spans="1:10" ht="30" customHeight="1" thickBot="1" x14ac:dyDescent="0.35">
      <c r="A41" s="4"/>
      <c r="B41" s="81" t="s">
        <v>54</v>
      </c>
      <c r="C41" s="82"/>
      <c r="D41" s="82"/>
      <c r="E41" s="54">
        <f>F40/E40/100*100</f>
        <v>0.71964285714285714</v>
      </c>
      <c r="F41" s="54"/>
      <c r="G41" s="54"/>
      <c r="H41" s="54"/>
      <c r="I41" s="54"/>
      <c r="J41" s="55"/>
    </row>
    <row r="42" spans="1:10" ht="30" customHeight="1" thickBot="1" x14ac:dyDescent="0.35">
      <c r="A42" s="4"/>
      <c r="B42" s="81" t="s">
        <v>55</v>
      </c>
      <c r="C42" s="82"/>
      <c r="D42" s="82"/>
      <c r="E42" s="79" t="str">
        <f>_xlfn.IFS(E41&gt;=90%,"ممتاز",E41&gt;=80%,"جيد جداً",E41&gt;=70%,"جيد",E41&gt;=60%,"مقبول",E41&lt;60%,"راسب")</f>
        <v>جيد</v>
      </c>
      <c r="F42" s="79"/>
      <c r="G42" s="79"/>
      <c r="H42" s="79"/>
      <c r="I42" s="79"/>
      <c r="J42" s="80"/>
    </row>
    <row r="43" spans="1:10" ht="42" customHeight="1" x14ac:dyDescent="0.3">
      <c r="B43" s="75" t="s">
        <v>174</v>
      </c>
      <c r="C43" s="75"/>
      <c r="D43" s="75"/>
      <c r="E43" s="83" t="s">
        <v>52</v>
      </c>
      <c r="F43" s="83"/>
      <c r="G43" s="77" t="s">
        <v>92</v>
      </c>
      <c r="H43" s="77"/>
      <c r="I43" s="77"/>
      <c r="J43" s="77"/>
    </row>
    <row r="44" spans="1:10" ht="51" customHeight="1" x14ac:dyDescent="0.3">
      <c r="A44" s="5"/>
      <c r="B44" s="76"/>
      <c r="C44" s="76"/>
      <c r="D44" s="76"/>
      <c r="E44" s="50" t="s">
        <v>53</v>
      </c>
      <c r="F44" s="50"/>
      <c r="G44" s="78"/>
      <c r="H44" s="78"/>
      <c r="I44" s="78"/>
      <c r="J44" s="7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B43:D44"/>
    <mergeCell ref="G43:J43"/>
    <mergeCell ref="G44:J44"/>
    <mergeCell ref="E42:J42"/>
    <mergeCell ref="I32:J32"/>
    <mergeCell ref="I33:J33"/>
    <mergeCell ref="I34:J34"/>
    <mergeCell ref="I35:J35"/>
    <mergeCell ref="I36:J36"/>
    <mergeCell ref="B40:D40"/>
    <mergeCell ref="B41:D41"/>
    <mergeCell ref="B42:D42"/>
    <mergeCell ref="E43:F43"/>
    <mergeCell ref="B7:D7"/>
    <mergeCell ref="I38:J38"/>
    <mergeCell ref="I39:J39"/>
    <mergeCell ref="I30:J30"/>
    <mergeCell ref="I31:J31"/>
    <mergeCell ref="I37:J37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B1:J1"/>
    <mergeCell ref="F2:J2"/>
    <mergeCell ref="B5:D6"/>
    <mergeCell ref="C2:D2"/>
    <mergeCell ref="C3:D3"/>
    <mergeCell ref="F3:J3"/>
    <mergeCell ref="E5:H5"/>
    <mergeCell ref="I5:J6"/>
    <mergeCell ref="I9:J9"/>
    <mergeCell ref="E44:F44"/>
    <mergeCell ref="G40:J4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41:J41"/>
    <mergeCell ref="I18:J18"/>
    <mergeCell ref="I28:J28"/>
    <mergeCell ref="I29:J29"/>
    <mergeCell ref="B27:D27"/>
    <mergeCell ref="B28:D28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2:D22"/>
    <mergeCell ref="B23:D23"/>
    <mergeCell ref="B24:D24"/>
    <mergeCell ref="B25:D25"/>
    <mergeCell ref="B26:D26"/>
    <mergeCell ref="B17:D17"/>
    <mergeCell ref="B18:D18"/>
    <mergeCell ref="B19:D19"/>
    <mergeCell ref="B20:D20"/>
    <mergeCell ref="B21:D21"/>
    <mergeCell ref="B38:D38"/>
    <mergeCell ref="B39:D39"/>
    <mergeCell ref="B29:D29"/>
    <mergeCell ref="B30:D30"/>
    <mergeCell ref="B35:D35"/>
    <mergeCell ref="B36:D36"/>
    <mergeCell ref="B37:D37"/>
    <mergeCell ref="B31:D31"/>
    <mergeCell ref="B32:D32"/>
    <mergeCell ref="B33:D33"/>
    <mergeCell ref="B34:D3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F31:F39 F18:F29 F14:F16 F8 F10:F12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45931</v>
      </c>
    </row>
    <row r="40" spans="1:9" ht="20.100000000000001" customHeight="1" thickBot="1" x14ac:dyDescent="0.35">
      <c r="A40" s="14">
        <v>45932</v>
      </c>
    </row>
    <row r="41" spans="1:9" ht="20.100000000000001" customHeight="1" thickBot="1" x14ac:dyDescent="0.35">
      <c r="A41" s="14">
        <v>45933</v>
      </c>
    </row>
    <row r="42" spans="1:9" ht="20.100000000000001" customHeight="1" thickBot="1" x14ac:dyDescent="0.35">
      <c r="A42" s="14">
        <v>45934</v>
      </c>
    </row>
    <row r="43" spans="1:9" ht="20.100000000000001" customHeight="1" thickBot="1" x14ac:dyDescent="0.35">
      <c r="A43" s="14">
        <v>45935</v>
      </c>
    </row>
    <row r="44" spans="1:9" ht="20.100000000000001" customHeight="1" thickBot="1" x14ac:dyDescent="0.35">
      <c r="A44" s="14">
        <v>45936</v>
      </c>
    </row>
    <row r="45" spans="1:9" ht="20.100000000000001" customHeight="1" thickBot="1" x14ac:dyDescent="0.35">
      <c r="A45" s="14">
        <v>45937</v>
      </c>
    </row>
    <row r="46" spans="1:9" ht="20.100000000000001" customHeight="1" thickBot="1" x14ac:dyDescent="0.35">
      <c r="A46" s="14">
        <v>45938</v>
      </c>
    </row>
    <row r="47" spans="1:9" ht="20.100000000000001" customHeight="1" thickBot="1" x14ac:dyDescent="0.35">
      <c r="A47" s="14">
        <v>45939</v>
      </c>
    </row>
    <row r="48" spans="1:9" ht="20.100000000000001" customHeight="1" thickBot="1" x14ac:dyDescent="0.35">
      <c r="A48" s="14">
        <v>45940</v>
      </c>
    </row>
    <row r="49" spans="1:1" ht="20.100000000000001" customHeight="1" thickBot="1" x14ac:dyDescent="0.35">
      <c r="A49" s="14">
        <v>45941</v>
      </c>
    </row>
    <row r="50" spans="1:1" ht="20.100000000000001" customHeight="1" thickBot="1" x14ac:dyDescent="0.35">
      <c r="A50" s="14">
        <v>45942</v>
      </c>
    </row>
    <row r="51" spans="1:1" ht="20.100000000000001" customHeight="1" thickBot="1" x14ac:dyDescent="0.35">
      <c r="A51" s="14">
        <v>45943</v>
      </c>
    </row>
    <row r="52" spans="1:1" ht="20.100000000000001" customHeight="1" thickBot="1" x14ac:dyDescent="0.35">
      <c r="A52" s="14">
        <v>45944</v>
      </c>
    </row>
    <row r="53" spans="1:1" ht="20.100000000000001" customHeight="1" thickBot="1" x14ac:dyDescent="0.35">
      <c r="A53" s="14">
        <v>45945</v>
      </c>
    </row>
    <row r="54" spans="1:1" ht="20.100000000000001" customHeight="1" thickBot="1" x14ac:dyDescent="0.35">
      <c r="A54" s="14">
        <v>45946</v>
      </c>
    </row>
    <row r="55" spans="1:1" ht="20.100000000000001" customHeight="1" thickBot="1" x14ac:dyDescent="0.35">
      <c r="A55" s="14">
        <v>45947</v>
      </c>
    </row>
    <row r="56" spans="1:1" ht="20.100000000000001" customHeight="1" thickBot="1" x14ac:dyDescent="0.35">
      <c r="A56" s="14">
        <v>45948</v>
      </c>
    </row>
    <row r="57" spans="1:1" ht="20.100000000000001" customHeight="1" thickBot="1" x14ac:dyDescent="0.35">
      <c r="A57" s="14">
        <v>45949</v>
      </c>
    </row>
    <row r="58" spans="1:1" ht="20.100000000000001" customHeight="1" thickBot="1" x14ac:dyDescent="0.35">
      <c r="A58" s="14">
        <v>45950</v>
      </c>
    </row>
    <row r="59" spans="1:1" ht="20.100000000000001" customHeight="1" thickBot="1" x14ac:dyDescent="0.35">
      <c r="A59" s="14">
        <v>45951</v>
      </c>
    </row>
    <row r="60" spans="1:1" ht="20.100000000000001" customHeight="1" thickBot="1" x14ac:dyDescent="0.35">
      <c r="A60" s="14">
        <v>45952</v>
      </c>
    </row>
    <row r="61" spans="1:1" ht="20.100000000000001" customHeight="1" thickBot="1" x14ac:dyDescent="0.35">
      <c r="A61" s="14">
        <v>45953</v>
      </c>
    </row>
    <row r="62" spans="1:1" ht="20.100000000000001" customHeight="1" thickBot="1" x14ac:dyDescent="0.35">
      <c r="A62" s="14">
        <v>45954</v>
      </c>
    </row>
    <row r="63" spans="1:1" ht="20.100000000000001" customHeight="1" thickBot="1" x14ac:dyDescent="0.35">
      <c r="A63" s="14">
        <v>45955</v>
      </c>
    </row>
    <row r="64" spans="1:1" ht="20.100000000000001" customHeight="1" thickBot="1" x14ac:dyDescent="0.35">
      <c r="A64" s="14">
        <v>45956</v>
      </c>
    </row>
    <row r="65" spans="1:1" ht="20.100000000000001" customHeight="1" thickBot="1" x14ac:dyDescent="0.35">
      <c r="A65" s="14">
        <v>45957</v>
      </c>
    </row>
    <row r="66" spans="1:1" ht="20.100000000000001" customHeight="1" thickBot="1" x14ac:dyDescent="0.35">
      <c r="A66" s="14">
        <v>45958</v>
      </c>
    </row>
    <row r="67" spans="1:1" ht="20.100000000000001" customHeight="1" thickBot="1" x14ac:dyDescent="0.35">
      <c r="A67" s="14">
        <v>45959</v>
      </c>
    </row>
    <row r="68" spans="1:1" ht="20.100000000000001" customHeight="1" thickBot="1" x14ac:dyDescent="0.35">
      <c r="A68" s="14">
        <v>45960</v>
      </c>
    </row>
    <row r="69" spans="1:1" ht="20.100000000000001" customHeight="1" thickBot="1" x14ac:dyDescent="0.35">
      <c r="A69" s="14">
        <v>45961</v>
      </c>
    </row>
    <row r="70" spans="1:1" ht="20.100000000000001" customHeight="1" thickBot="1" x14ac:dyDescent="0.35">
      <c r="A70" s="14"/>
    </row>
    <row r="71" spans="1:1" ht="20.100000000000001" customHeight="1" thickBot="1" x14ac:dyDescent="0.35">
      <c r="A71" s="14"/>
    </row>
    <row r="72" spans="1:1" ht="20.100000000000001" customHeight="1" thickBot="1" x14ac:dyDescent="0.35">
      <c r="A72" s="14"/>
    </row>
    <row r="73" spans="1:1" ht="20.100000000000001" customHeight="1" thickBot="1" x14ac:dyDescent="0.35">
      <c r="A73" s="14"/>
    </row>
    <row r="74" spans="1:1" ht="20.100000000000001" customHeight="1" thickBot="1" x14ac:dyDescent="0.35">
      <c r="A74" s="14"/>
    </row>
    <row r="75" spans="1:1" ht="20.100000000000001" customHeight="1" thickBot="1" x14ac:dyDescent="0.35">
      <c r="A75" s="14"/>
    </row>
    <row r="76" spans="1:1" ht="20.100000000000001" customHeight="1" thickBot="1" x14ac:dyDescent="0.35">
      <c r="A76" s="14"/>
    </row>
    <row r="77" spans="1:1" ht="20.100000000000001" customHeight="1" thickBot="1" x14ac:dyDescent="0.35">
      <c r="A77" s="14"/>
    </row>
    <row r="78" spans="1:1" ht="20.100000000000001" customHeight="1" thickBot="1" x14ac:dyDescent="0.35">
      <c r="A78" s="14"/>
    </row>
    <row r="79" spans="1:1" ht="20.100000000000001" customHeight="1" thickBot="1" x14ac:dyDescent="0.35">
      <c r="A79" s="14"/>
    </row>
    <row r="80" spans="1:1" ht="20.100000000000001" customHeight="1" thickBot="1" x14ac:dyDescent="0.35">
      <c r="A80" s="14"/>
    </row>
    <row r="81" spans="1:1" ht="20.100000000000001" customHeight="1" thickBot="1" x14ac:dyDescent="0.35">
      <c r="A81" s="14"/>
    </row>
    <row r="82" spans="1:1" ht="20.100000000000001" customHeight="1" thickBot="1" x14ac:dyDescent="0.35">
      <c r="A82" s="14"/>
    </row>
    <row r="83" spans="1:1" ht="20.100000000000001" customHeight="1" thickBot="1" x14ac:dyDescent="0.35">
      <c r="A83" s="14"/>
    </row>
    <row r="84" spans="1:1" ht="20.100000000000001" customHeight="1" thickBot="1" x14ac:dyDescent="0.35">
      <c r="A84" s="14"/>
    </row>
    <row r="85" spans="1:1" ht="20.100000000000001" customHeight="1" thickBot="1" x14ac:dyDescent="0.35">
      <c r="A85" s="14"/>
    </row>
    <row r="86" spans="1:1" ht="20.100000000000001" customHeight="1" thickBot="1" x14ac:dyDescent="0.35">
      <c r="A86" s="14"/>
    </row>
    <row r="87" spans="1:1" ht="20.100000000000001" customHeight="1" thickBot="1" x14ac:dyDescent="0.35">
      <c r="A87" s="14"/>
    </row>
    <row r="88" spans="1:1" ht="20.100000000000001" customHeight="1" thickBot="1" x14ac:dyDescent="0.35">
      <c r="A88" s="14"/>
    </row>
    <row r="89" spans="1:1" ht="20.100000000000001" customHeight="1" thickBot="1" x14ac:dyDescent="0.35">
      <c r="A89" s="14"/>
    </row>
    <row r="90" spans="1:1" ht="20.100000000000001" customHeight="1" thickBot="1" x14ac:dyDescent="0.35">
      <c r="A90" s="14"/>
    </row>
    <row r="91" spans="1:1" ht="20.100000000000001" customHeight="1" thickBot="1" x14ac:dyDescent="0.35">
      <c r="A91" s="14"/>
    </row>
    <row r="92" spans="1:1" ht="20.100000000000001" customHeight="1" thickBot="1" x14ac:dyDescent="0.35">
      <c r="A92" s="14"/>
    </row>
    <row r="93" spans="1:1" ht="20.100000000000001" customHeight="1" thickBot="1" x14ac:dyDescent="0.35">
      <c r="A93" s="14"/>
    </row>
    <row r="94" spans="1:1" ht="20.100000000000001" customHeight="1" thickBot="1" x14ac:dyDescent="0.35">
      <c r="A94" s="14"/>
    </row>
    <row r="95" spans="1:1" ht="20.100000000000001" customHeight="1" thickBot="1" x14ac:dyDescent="0.35">
      <c r="A95" s="14"/>
    </row>
    <row r="96" spans="1:1" ht="20.100000000000001" customHeight="1" thickBot="1" x14ac:dyDescent="0.35">
      <c r="A96" s="14"/>
    </row>
    <row r="97" spans="1:9" ht="20.100000000000001" customHeight="1" thickBot="1" x14ac:dyDescent="0.35">
      <c r="A97" s="14"/>
    </row>
    <row r="98" spans="1:9" ht="20.100000000000001" customHeight="1" thickBot="1" x14ac:dyDescent="0.35">
      <c r="A98" s="14"/>
    </row>
    <row r="99" spans="1:9" ht="20.100000000000001" customHeight="1" thickBot="1" x14ac:dyDescent="0.35">
      <c r="A99" s="14"/>
    </row>
    <row r="100" spans="1:9" ht="20.100000000000001" customHeight="1" thickBot="1" x14ac:dyDescent="0.35">
      <c r="A100" s="14"/>
    </row>
    <row r="101" spans="1:9" ht="20.100000000000001" customHeight="1" thickBot="1" x14ac:dyDescent="0.35">
      <c r="A101" s="14"/>
    </row>
    <row r="102" spans="1:9" ht="20.100000000000001" customHeight="1" thickBot="1" x14ac:dyDescent="0.35">
      <c r="A102" s="14"/>
    </row>
    <row r="103" spans="1:9" ht="20.100000000000001" customHeight="1" thickBot="1" x14ac:dyDescent="0.35">
      <c r="A103" s="14"/>
    </row>
    <row r="104" spans="1:9" ht="20.100000000000001" customHeight="1" thickBot="1" x14ac:dyDescent="0.35">
      <c r="A104" s="14"/>
    </row>
    <row r="105" spans="1:9" ht="20.100000000000001" customHeight="1" thickBot="1" x14ac:dyDescent="0.35">
      <c r="A105" s="14"/>
    </row>
    <row r="106" spans="1:9" ht="20.100000000000001" customHeight="1" thickBot="1" x14ac:dyDescent="0.35">
      <c r="A106" s="14"/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2025-10-15T17:28:19Z</dcterms:modified>
</cp:coreProperties>
</file>