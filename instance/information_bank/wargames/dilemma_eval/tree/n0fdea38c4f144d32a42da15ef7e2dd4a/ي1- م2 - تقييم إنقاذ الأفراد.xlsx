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323B741A-A02F-43F3-B61D-52F07AAC678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التقييم'!$A$1:$J$29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 s="1"/>
  <c r="G10" i="2"/>
  <c r="H10" i="2" s="1"/>
  <c r="G11" i="2"/>
  <c r="H11" i="2"/>
  <c r="G12" i="2"/>
  <c r="H12" i="2" s="1"/>
  <c r="G13" i="2"/>
  <c r="H13" i="2" s="1"/>
  <c r="G14" i="2"/>
  <c r="H14" i="2"/>
  <c r="G16" i="2"/>
  <c r="H16" i="2" s="1"/>
  <c r="G17" i="2"/>
  <c r="H17" i="2" s="1"/>
  <c r="G18" i="2"/>
  <c r="H18" i="2"/>
  <c r="G19" i="2"/>
  <c r="H19" i="2" s="1"/>
  <c r="G20" i="2"/>
  <c r="H20" i="2" s="1"/>
  <c r="G21" i="2"/>
  <c r="H21" i="2" s="1"/>
  <c r="F22" i="2"/>
  <c r="E22" i="2"/>
  <c r="E23" i="2" l="1"/>
  <c r="E24" i="2" s="1"/>
</calcChain>
</file>

<file path=xl/sharedStrings.xml><?xml version="1.0" encoding="utf-8"?>
<sst xmlns="http://schemas.openxmlformats.org/spreadsheetml/2006/main" count="253" uniqueCount="196">
  <si>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</si>
  <si>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</si>
  <si>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</si>
  <si>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</si>
  <si>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</si>
  <si>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</si>
  <si>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</si>
  <si>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</si>
  <si>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</si>
  <si>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</si>
  <si>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</si>
  <si>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</si>
  <si>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</si>
  <si>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</si>
  <si>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</si>
  <si>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</si>
  <si>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</si>
  <si>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</si>
  <si>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</si>
  <si>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</si>
  <si>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</si>
  <si>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</si>
  <si>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</si>
  <si>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</si>
  <si>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</si>
  <si>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</si>
  <si>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</si>
  <si>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</si>
  <si>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</si>
  <si>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</si>
  <si>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</si>
  <si>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</si>
  <si>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</si>
  <si>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</si>
  <si>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</si>
  <si>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</si>
  <si>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</si>
  <si>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</si>
  <si>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</si>
  <si>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</si>
  <si>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</si>
  <si>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</si>
  <si>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</si>
  <si>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</si>
  <si>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</si>
  <si>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</si>
  <si>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</si>
  <si>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</si>
  <si>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</si>
  <si>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</si>
  <si>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</si>
  <si>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</si>
  <si>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</si>
  <si>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</si>
  <si>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</si>
  <si>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</si>
  <si>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</si>
  <si>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</si>
  <si>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</si>
  <si>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</si>
  <si>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</si>
  <si>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</si>
  <si>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</si>
  <si>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</si>
  <si>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</si>
  <si>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</si>
  <si>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</si>
  <si>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</si>
  <si>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</si>
  <si>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</si>
  <si>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</si>
  <si>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</si>
  <si>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</si>
  <si>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</si>
  <si>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</si>
  <si>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</si>
  <si>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</si>
  <si>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</si>
  <si>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</si>
  <si>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</si>
  <si>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</si>
  <si>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</si>
  <si>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</si>
  <si>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</si>
  <si>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</si>
  <si>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</si>
  <si>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</si>
  <si>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</si>
  <si>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</si>
  <si>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</si>
  <si>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</si>
  <si>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</si>
  <si>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</si>
  <si>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</si>
  <si>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</si>
  <si>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</si>
  <si>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</si>
  <si>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</si>
  <si>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</si>
  <si>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</si>
  <si>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</si>
  <si>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</si>
  <si>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</si>
  <si>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</si>
  <si>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</si>
  <si>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</si>
  <si>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</si>
  <si>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</si>
  <si>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</si>
  <si>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</si>
  <si>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</si>
  <si>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</si>
  <si>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</si>
  <si>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</si>
  <si>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</si>
  <si>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</si>
  <si>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</si>
  <si>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</si>
  <si>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</si>
  <si>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</si>
  <si>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</si>
  <si>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</si>
  <si>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</si>
  <si>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</si>
  <si>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</si>
  <si>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</si>
  <si>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</si>
  <si>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</si>
  <si>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</si>
  <si>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</si>
  <si>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</si>
  <si>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</si>
  <si>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</si>
  <si>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</si>
  <si>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</si>
  <si>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</si>
  <si>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</si>
  <si>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</si>
  <si>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</si>
  <si>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</si>
  <si>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</si>
  <si>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</si>
  <si>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</si>
  <si>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</si>
  <si>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</si>
  <si>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</si>
  <si>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</si>
  <si>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</si>
  <si>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</si>
  <si>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</si>
  <si>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</si>
  <si>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</si>
  <si>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</si>
  <si>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</si>
  <si>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</si>
  <si>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</si>
  <si>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</si>
  <si>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</si>
  <si>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</si>
  <si>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</si>
  <si>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</si>
  <si>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</si>
  <si>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</si>
  <si>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</si>
  <si>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</si>
  <si>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</si>
  <si>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</si>
  <si>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</si>
  <si>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</si>
  <si>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</si>
  <si>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</si>
  <si>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</si>
  <si>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</si>
  <si>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</si>
  <si>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</si>
  <si>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</si>
  <si>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</si>
  <si>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</si>
  <si>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t>اجراءات رد فعل وحدة المناورة</t>
  </si>
  <si>
    <t>اجراءات رد فعل الوحدة الطبية</t>
  </si>
  <si>
    <r>
      <t>2.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التوزيع السليم للأدوار</t>
    </r>
  </si>
  <si>
    <r>
      <t>3.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تصنيف الإصابات</t>
    </r>
  </si>
  <si>
    <r>
      <t>1.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إبلاغ المستوى الأعلى</t>
    </r>
  </si>
  <si>
    <r>
      <t>2.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توفير الحماية للقوات</t>
    </r>
  </si>
  <si>
    <r>
      <t>3.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تنفيذ إجراءات إسعاف الذاتي والتبادلي</t>
    </r>
  </si>
  <si>
    <r>
      <t>4.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اخراج ونقل المصابين من الآلية</t>
    </r>
  </si>
  <si>
    <r>
      <t>5.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التعامل مع الشهداء</t>
    </r>
  </si>
  <si>
    <r>
      <t>6.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نقل المصابين إلى نقطة جمع المصابين</t>
    </r>
  </si>
  <si>
    <r>
      <t>1.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سرعة عناصر الإسناد الطبي إلى موقع الحدث</t>
    </r>
  </si>
  <si>
    <r>
      <t>4.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إبلاغ المستوى الأعلى</t>
    </r>
  </si>
  <si>
    <r>
      <t>5.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طلب إخلاء جوي حسب النسق الصحيح</t>
    </r>
  </si>
  <si>
    <r>
      <t>6.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تنفيذ الإخلاء الطبي</t>
    </r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</si>
  <si>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</si>
  <si>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rPr>
        <b/>
        <sz val="14"/>
        <color rgb="FF000000"/>
        <rFont val="Arial"/>
        <family val="2"/>
      </rPr>
      <t>اليوم/1 - تقييم معضلة/2 - إنقاذ المصابين</t>
    </r>
    <r>
      <rPr>
        <b/>
        <u/>
        <sz val="14"/>
        <color rgb="FF000000"/>
        <rFont val="Arial"/>
        <family val="2"/>
      </rPr>
      <t xml:space="preserve">
تقييم سرايا الدروع - تمرين جاهزية مجموعة لواء الإمارات/1 (جندي الصحراء 2025/20)</t>
    </r>
  </si>
  <si>
    <t>النقيب/ عبدالله سعيد النعيمي</t>
  </si>
  <si>
    <t>العقيد الركن/ سيف سعيد الراشدي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</si>
</sst>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8" fillId="0" borderId="11" xfId="0" applyFont="1" applyBorder="1" applyAlignment="1">
      <alignment horizontal="right" vertical="center" wrapText="1" readingOrder="2"/>
    </xf>
    <xf numFmtId="0" fontId="8" fillId="0" borderId="12" xfId="0" applyFont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5" fillId="0" borderId="5" xfId="0" applyFont="1" applyBorder="1" applyAlignment="1">
      <alignment horizontal="right" vertical="center" wrapText="1" readingOrder="2"/>
    </xf>
    <xf numFmtId="0" fontId="5" fillId="0" borderId="4" xfId="0" applyFont="1" applyBorder="1" applyAlignment="1">
      <alignment horizontal="right" vertical="center" wrapText="1" readingOrder="2"/>
    </xf>
    <xf numFmtId="0" fontId="8" fillId="0" borderId="25" xfId="0" applyFont="1" applyBorder="1" applyAlignment="1">
      <alignment horizontal="right" vertical="center" wrapText="1" readingOrder="2"/>
    </xf>
    <xf numFmtId="0" fontId="8" fillId="0" borderId="3" xfId="0" applyFont="1" applyBorder="1" applyAlignment="1">
      <alignment horizontal="right" vertical="center" wrapText="1" readingOrder="2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0" borderId="26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9" Type="http://schemas.openxmlformats.org/officeDocument/2006/relationships/customXml" Target="../ink/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58615</xdr:colOff>
      <xdr:row>25</xdr:row>
      <xdr:rowOff>93785</xdr:rowOff>
    </xdr:from>
    <xdr:to>
      <xdr:col>9</xdr:col>
      <xdr:colOff>405274</xdr:colOff>
      <xdr:row>25</xdr:row>
      <xdr:rowOff>613625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7CDAFD7-D409-43DE-8B5D-C5F313B8111B}"/>
                </a:ext>
              </a:extLst>
            </xdr14:cNvPr>
            <xdr14:cNvContentPartPr/>
          </xdr14:nvContentPartPr>
          <xdr14:nvPr macro=""/>
          <xdr14:xfrm>
            <a:off x="10078222895" y="9753600"/>
            <a:ext cx="1624474" cy="51984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F233573B-6780-91D4-F9E6-B8F05B89D56F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398683945" y="8169120"/>
              <a:ext cx="1675080" cy="532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199291</xdr:colOff>
      <xdr:row>25</xdr:row>
      <xdr:rowOff>269630</xdr:rowOff>
    </xdr:from>
    <xdr:to>
      <xdr:col>8</xdr:col>
      <xdr:colOff>203962</xdr:colOff>
      <xdr:row>25</xdr:row>
      <xdr:rowOff>537830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10136966-8E7D-4257-AFDC-89A7A195BE25}"/>
                </a:ext>
              </a:extLst>
            </xdr14:cNvPr>
            <xdr14:cNvContentPartPr/>
          </xdr14:nvContentPartPr>
          <xdr14:nvPr macro=""/>
          <xdr14:xfrm>
            <a:off x="10079063115" y="9929445"/>
            <a:ext cx="643578" cy="2682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95B0C8EA-DF39-7226-49F1-7E6427E2757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523105" y="8284320"/>
              <a:ext cx="675000" cy="2804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0T03:25:18.8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2179 353,'0'0,"0"0,0 0,0 0,0 0,0 0,0 0,0 0,0 0,0 0,0 0,0 0,0 16,7-2,2 4,-9 30,7-27,0 6,10 54,-3-39,2 12,1 26,-11-44,4 8,-10 36,7-51,1 6,-8 14,-8-28,1 6,7 5,-10-18,4 4,-11-2,5-9,-6 2,-29-9,25-7,-3-2,-39-39,29 26,-7-4,-53-39,60 30,-7-10,-38-35,45 51,-7-6,-5-29,32 43,-1-6,-16-21,25 33,-1-2,-24-32,24 28,1-6,7-5,0 11,0-6,15-5,-7 18,0-4,23-14,-18 18,6-4,29 2,-30 16,11 0,1-16,-9 23,5 2,4-9,-20 7,-3 2,9 7,-16-9,0 2,-16 23,2-18,-3 4,-30 14,-9 11,-15 10,-101 44,84-40,-28 14,-103 57,107-56,-27 16,-96 57,161-102,-23 10,-28 11,71-37,29-6,-22 11,34-32,-5 0,-13 16,31-8,0 0,-16-8,9 8,-3 0,27-8,-11 0,4 0,37 0,3-7,9-2,114-23,-62 11,28-6,175-37,-156 29,44-10,191-51,-220 53,43-11,161-74,-225 78,40-12,138-66,-198 78,35-13,114-49,-184 63,25-14,50-1,-123 36,12-8,17 4,-55 17,0-2,11 0,-21 11,-13-4,15 3,4-2,-6-7,-3 9,-3-2,0 1,2 16,-9-15,0-2,14 9,-6 0,17-16,-18 16,0 0,-7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0T03:25:26.3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1147 1,'0'0,"0"0,0 0,0 0,0 0,0 0,0 0,0 0,0 0,0 0,0 0,0 0,0 0,0 0,0 0,0 0,0 0,0 0,0 0,0 0,0 0,0 0,0 0,0 0,0 16,0-16,0 7,0 2,0 23,0-25,0 2,0 23,0-25,0 2,0 23,0-19,0 6,0 13,7-19,3 7,-10 12,6-26,4 4,4 22,-8-19,4 6,7-3,-13-3,5 6,8-3,-6-10,8 4,14 6,-21-10,6 4,13-10,-19 6,8 4,27-10,-36 0,9 0,26 0,-27 0,9 0,2 0,-18-6,9-4,9 10,-18 0,6 0,15 0,-21 0,7 0,-8 0,-6 0,-21 0,11 0,-7 0,8 0,-6 0,-23 16,15-16,-10 0,-19 0,22 7,-10 2,-45 7,47-9,-11 2,-33-9,49 7,-7 2,-28-9,39 7,-13 2,-9-9,24 0,-4 0,11 0,0 0,-1 0,-1 0,13 0,-7 0,-21-16,29 16,-9 0,-3-16,9 10,-4-4,5 7,-7 6,8-3,-5 0,-3 0,7 0,-11 16,11-16,-4 0,-24 16,21-9,-6 2,1 7,6-16,-8 0,3 16,4-9,-6 2,-13-9,24 7,-2 2,-7-9,11 0,-5 0,-5-16,10 16,-7 0,-3 0,9-7,-4-2,-2 9,8 0,-27 0,26 0,-6 0,-19 16,16-16,-2 0,-31 16,26-9,-5 2,-20 7,18-9,-7 2,-12 8,26-10,-6 2,-35 7,36-10,52-12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9"/>
  <sheetViews>
    <sheetView rightToLeft="1" tabSelected="1" view="pageBreakPreview" zoomScale="130" zoomScaleNormal="100" zoomScaleSheetLayoutView="130" workbookViewId="0">
      <selection activeCell="E13" sqref="E13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8" t="s">
        <v>193</v>
      </c>
      <c r="C1" s="58"/>
      <c r="D1" s="58"/>
      <c r="E1" s="58"/>
      <c r="F1" s="58"/>
      <c r="G1" s="58"/>
      <c r="H1" s="58"/>
      <c r="I1" s="58"/>
      <c r="J1" s="58"/>
    </row>
    <row r="2" spans="1:10" ht="30" customHeight="1" x14ac:dyDescent="0.3">
      <c r="B2" s="9" t="s">
        <v>8</v>
      </c>
      <c r="C2" s="64" t="s">
        <v>45</v>
      </c>
      <c r="D2" s="64"/>
      <c r="E2" s="9" t="s">
        <v>7</v>
      </c>
      <c r="F2" s="59">
        <v>45944</v>
      </c>
      <c r="G2" s="59"/>
      <c r="H2" s="59"/>
      <c r="I2" s="59"/>
      <c r="J2" s="59"/>
    </row>
    <row r="3" spans="1:10" ht="30" customHeight="1" x14ac:dyDescent="0.3">
      <c r="B3" s="9" t="s">
        <v>9</v>
      </c>
      <c r="C3" s="64" t="s">
        <v>60</v>
      </c>
      <c r="D3" s="64"/>
      <c r="E3" s="9" t="s">
        <v>6</v>
      </c>
      <c r="F3" s="64" t="s">
        <v>59</v>
      </c>
      <c r="G3" s="64"/>
      <c r="H3" s="64"/>
      <c r="I3" s="64"/>
      <c r="J3" s="64"/>
    </row>
    <row r="4" spans="1:10" ht="30" customHeight="1" thickBot="1" x14ac:dyDescent="0.35">
      <c r="B4" s="6"/>
      <c r="C4" s="90" t="s">
        <v>194</v>
      </c>
      <c r="D4" s="90"/>
      <c r="E4" s="6"/>
      <c r="F4" s="90" t="s">
        <v>195</v>
      </c>
      <c r="G4" s="90"/>
      <c r="H4" s="90"/>
      <c r="I4" s="90"/>
      <c r="J4" s="90"/>
    </row>
    <row r="5" spans="1:10" ht="24.9" customHeight="1" x14ac:dyDescent="0.3">
      <c r="A5" s="7"/>
      <c r="B5" s="60" t="s">
        <v>0</v>
      </c>
      <c r="C5" s="61"/>
      <c r="D5" s="61"/>
      <c r="E5" s="65" t="s">
        <v>1</v>
      </c>
      <c r="F5" s="65"/>
      <c r="G5" s="65"/>
      <c r="H5" s="65"/>
      <c r="I5" s="65" t="s">
        <v>2</v>
      </c>
      <c r="J5" s="66"/>
    </row>
    <row r="6" spans="1:10" ht="24.9" customHeight="1" thickBot="1" x14ac:dyDescent="0.35">
      <c r="A6" s="7"/>
      <c r="B6" s="62"/>
      <c r="C6" s="63"/>
      <c r="D6" s="63"/>
      <c r="E6" s="8" t="s">
        <v>3</v>
      </c>
      <c r="F6" s="8" t="s">
        <v>4</v>
      </c>
      <c r="G6" s="8" t="s">
        <v>23</v>
      </c>
      <c r="H6" s="8" t="s">
        <v>24</v>
      </c>
      <c r="I6" s="67"/>
      <c r="J6" s="68"/>
    </row>
    <row r="7" spans="1:10" ht="24.9" customHeight="1" thickBot="1" x14ac:dyDescent="0.35">
      <c r="A7" s="7"/>
      <c r="B7" s="69" t="s">
        <v>21</v>
      </c>
      <c r="C7" s="70"/>
      <c r="D7" s="70"/>
      <c r="E7" s="28" t="s">
        <v>18</v>
      </c>
      <c r="F7" s="28" t="s">
        <v>19</v>
      </c>
      <c r="G7" s="28" t="s">
        <v>22</v>
      </c>
      <c r="H7" s="28" t="s">
        <v>20</v>
      </c>
      <c r="I7" s="71" t="s">
        <v>25</v>
      </c>
      <c r="J7" s="72"/>
    </row>
    <row r="8" spans="1:10" ht="30" customHeight="1" x14ac:dyDescent="0.3">
      <c r="A8" s="7"/>
      <c r="B8" s="73" t="s">
        <v>178</v>
      </c>
      <c r="C8" s="74"/>
      <c r="D8" s="74"/>
      <c r="E8" s="33"/>
      <c r="F8" s="34"/>
      <c r="G8" s="35"/>
      <c r="H8" s="36"/>
      <c r="I8" s="46"/>
      <c r="J8" s="47"/>
    </row>
    <row r="9" spans="1:10" ht="30" customHeight="1" x14ac:dyDescent="0.3">
      <c r="A9" s="7"/>
      <c r="B9" s="75" t="s">
        <v>182</v>
      </c>
      <c r="C9" s="76"/>
      <c r="D9" s="76"/>
      <c r="E9" s="30">
        <v>3</v>
      </c>
      <c r="F9" s="23">
        <v>2.25</v>
      </c>
      <c r="G9" s="31">
        <f>IFERROR(F9/E9,"")</f>
        <v>0.75</v>
      </c>
      <c r="H9" s="32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2"/>
      <c r="J9" s="53"/>
    </row>
    <row r="10" spans="1:10" ht="30" customHeight="1" x14ac:dyDescent="0.3">
      <c r="A10" s="7"/>
      <c r="B10" s="75" t="s">
        <v>183</v>
      </c>
      <c r="C10" s="76"/>
      <c r="D10" s="76"/>
      <c r="E10" s="30">
        <v>3</v>
      </c>
      <c r="F10" s="23">
        <v>2.5</v>
      </c>
      <c r="G10" s="31">
        <f t="shared" ref="G10:G21" si="0">IFERROR(F10/E10,"")</f>
        <v>0.83333333333333337</v>
      </c>
      <c r="H10" s="32" t="str">
        <f t="shared" ref="H10:H21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52"/>
      <c r="J10" s="53"/>
    </row>
    <row r="11" spans="1:10" ht="30" customHeight="1" x14ac:dyDescent="0.3">
      <c r="A11" s="7"/>
      <c r="B11" s="75" t="s">
        <v>184</v>
      </c>
      <c r="C11" s="76"/>
      <c r="D11" s="76"/>
      <c r="E11" s="30">
        <v>3</v>
      </c>
      <c r="F11" s="23">
        <v>2.25</v>
      </c>
      <c r="G11" s="31">
        <f t="shared" si="0"/>
        <v>0.75</v>
      </c>
      <c r="H11" s="32" t="str">
        <f t="shared" si="1"/>
        <v>جيد</v>
      </c>
      <c r="I11" s="52"/>
      <c r="J11" s="53"/>
    </row>
    <row r="12" spans="1:10" ht="30" customHeight="1" x14ac:dyDescent="0.3">
      <c r="A12" s="7"/>
      <c r="B12" s="75" t="s">
        <v>185</v>
      </c>
      <c r="C12" s="76"/>
      <c r="D12" s="76"/>
      <c r="E12" s="30">
        <v>3</v>
      </c>
      <c r="F12" s="23">
        <v>2.25</v>
      </c>
      <c r="G12" s="31">
        <f t="shared" si="0"/>
        <v>0.75</v>
      </c>
      <c r="H12" s="32" t="str">
        <f t="shared" si="1"/>
        <v>جيد</v>
      </c>
      <c r="I12" s="52"/>
      <c r="J12" s="53"/>
    </row>
    <row r="13" spans="1:10" ht="30" customHeight="1" x14ac:dyDescent="0.3">
      <c r="A13" s="7"/>
      <c r="B13" s="75" t="s">
        <v>186</v>
      </c>
      <c r="C13" s="76"/>
      <c r="D13" s="76"/>
      <c r="E13" s="30">
        <v>0</v>
      </c>
      <c r="F13" s="23" t="s">
        <v>17</v>
      </c>
      <c r="G13" s="31" t="str">
        <f t="shared" si="0"/>
        <v/>
      </c>
      <c r="H13" s="32" t="str">
        <f t="shared" si="1"/>
        <v>تم الإلغاء</v>
      </c>
      <c r="I13" s="52"/>
      <c r="J13" s="53"/>
    </row>
    <row r="14" spans="1:10" ht="30" customHeight="1" thickBot="1" x14ac:dyDescent="0.35">
      <c r="A14" s="7"/>
      <c r="B14" s="56" t="s">
        <v>187</v>
      </c>
      <c r="C14" s="57"/>
      <c r="D14" s="57"/>
      <c r="E14" s="37">
        <v>3</v>
      </c>
      <c r="F14" s="24">
        <v>2.25</v>
      </c>
      <c r="G14" s="38">
        <f t="shared" si="0"/>
        <v>0.75</v>
      </c>
      <c r="H14" s="39" t="str">
        <f t="shared" si="1"/>
        <v>جيد</v>
      </c>
      <c r="I14" s="54"/>
      <c r="J14" s="55"/>
    </row>
    <row r="15" spans="1:10" ht="30" customHeight="1" x14ac:dyDescent="0.3">
      <c r="A15" s="7"/>
      <c r="B15" s="73" t="s">
        <v>179</v>
      </c>
      <c r="C15" s="74"/>
      <c r="D15" s="74"/>
      <c r="E15" s="33"/>
      <c r="F15" s="34"/>
      <c r="G15" s="35"/>
      <c r="H15" s="36"/>
      <c r="I15" s="46"/>
      <c r="J15" s="47"/>
    </row>
    <row r="16" spans="1:10" ht="30" customHeight="1" x14ac:dyDescent="0.3">
      <c r="A16" s="7"/>
      <c r="B16" s="75" t="s">
        <v>188</v>
      </c>
      <c r="C16" s="76"/>
      <c r="D16" s="76"/>
      <c r="E16" s="30">
        <v>3</v>
      </c>
      <c r="F16" s="23">
        <v>2.5</v>
      </c>
      <c r="G16" s="31">
        <f t="shared" si="0"/>
        <v>0.83333333333333337</v>
      </c>
      <c r="H16" s="32" t="str">
        <f t="shared" si="1"/>
        <v>جيد جداً</v>
      </c>
      <c r="I16" s="52"/>
      <c r="J16" s="53"/>
    </row>
    <row r="17" spans="1:10" ht="30" customHeight="1" x14ac:dyDescent="0.3">
      <c r="A17" s="7"/>
      <c r="B17" s="75" t="s">
        <v>180</v>
      </c>
      <c r="C17" s="76"/>
      <c r="D17" s="76"/>
      <c r="E17" s="30">
        <v>3</v>
      </c>
      <c r="F17" s="23">
        <v>2.25</v>
      </c>
      <c r="G17" s="31">
        <f t="shared" si="0"/>
        <v>0.75</v>
      </c>
      <c r="H17" s="32" t="str">
        <f t="shared" si="1"/>
        <v>جيد</v>
      </c>
      <c r="I17" s="52"/>
      <c r="J17" s="53"/>
    </row>
    <row r="18" spans="1:10" ht="30" customHeight="1" x14ac:dyDescent="0.3">
      <c r="A18" s="7"/>
      <c r="B18" s="75" t="s">
        <v>181</v>
      </c>
      <c r="C18" s="76"/>
      <c r="D18" s="76"/>
      <c r="E18" s="30">
        <v>3</v>
      </c>
      <c r="F18" s="23">
        <v>2.25</v>
      </c>
      <c r="G18" s="31">
        <f t="shared" si="0"/>
        <v>0.75</v>
      </c>
      <c r="H18" s="32" t="str">
        <f t="shared" si="1"/>
        <v>جيد</v>
      </c>
      <c r="I18" s="52"/>
      <c r="J18" s="53"/>
    </row>
    <row r="19" spans="1:10" ht="30" customHeight="1" x14ac:dyDescent="0.3">
      <c r="A19" s="7"/>
      <c r="B19" s="75" t="s">
        <v>189</v>
      </c>
      <c r="C19" s="76"/>
      <c r="D19" s="76"/>
      <c r="E19" s="30">
        <v>3</v>
      </c>
      <c r="F19" s="23">
        <v>2.25</v>
      </c>
      <c r="G19" s="31">
        <f t="shared" si="0"/>
        <v>0.75</v>
      </c>
      <c r="H19" s="32" t="str">
        <f t="shared" si="1"/>
        <v>جيد</v>
      </c>
      <c r="I19" s="52"/>
      <c r="J19" s="53"/>
    </row>
    <row r="20" spans="1:10" ht="30" customHeight="1" x14ac:dyDescent="0.3">
      <c r="A20" s="7"/>
      <c r="B20" s="75" t="s">
        <v>190</v>
      </c>
      <c r="C20" s="76"/>
      <c r="D20" s="76"/>
      <c r="E20" s="30">
        <v>3</v>
      </c>
      <c r="F20" s="23">
        <v>2.5</v>
      </c>
      <c r="G20" s="31">
        <f t="shared" si="0"/>
        <v>0.83333333333333337</v>
      </c>
      <c r="H20" s="32" t="str">
        <f t="shared" si="1"/>
        <v>جيد جداً</v>
      </c>
      <c r="I20" s="52"/>
      <c r="J20" s="53"/>
    </row>
    <row r="21" spans="1:10" ht="30" customHeight="1" thickBot="1" x14ac:dyDescent="0.35">
      <c r="A21" s="7"/>
      <c r="B21" s="56" t="s">
        <v>191</v>
      </c>
      <c r="C21" s="57"/>
      <c r="D21" s="57"/>
      <c r="E21" s="37">
        <v>3</v>
      </c>
      <c r="F21" s="24">
        <v>2.25</v>
      </c>
      <c r="G21" s="38">
        <f t="shared" si="0"/>
        <v>0.75</v>
      </c>
      <c r="H21" s="39" t="str">
        <f t="shared" si="1"/>
        <v>جيد</v>
      </c>
      <c r="I21" s="54"/>
      <c r="J21" s="55"/>
    </row>
    <row r="22" spans="1:10" ht="30" customHeight="1" thickBot="1" x14ac:dyDescent="0.35">
      <c r="A22" s="4"/>
      <c r="B22" s="48" t="s">
        <v>5</v>
      </c>
      <c r="C22" s="49"/>
      <c r="D22" s="49"/>
      <c r="E22" s="29">
        <f>SUM(E8:E21)</f>
        <v>33</v>
      </c>
      <c r="F22" s="29">
        <f>SUM(F8:F21)</f>
        <v>25.5</v>
      </c>
      <c r="G22" s="85"/>
      <c r="H22" s="86"/>
      <c r="I22" s="86"/>
      <c r="J22" s="87"/>
    </row>
    <row r="23" spans="1:10" ht="30" customHeight="1" thickBot="1" x14ac:dyDescent="0.35">
      <c r="A23" s="4"/>
      <c r="B23" s="50" t="s">
        <v>54</v>
      </c>
      <c r="C23" s="51"/>
      <c r="D23" s="51"/>
      <c r="E23" s="88">
        <f>F22/E22/100*100</f>
        <v>0.77272727272727271</v>
      </c>
      <c r="F23" s="88"/>
      <c r="G23" s="88"/>
      <c r="H23" s="88"/>
      <c r="I23" s="88"/>
      <c r="J23" s="89"/>
    </row>
    <row r="24" spans="1:10" ht="30" customHeight="1" thickBot="1" x14ac:dyDescent="0.35">
      <c r="A24" s="4"/>
      <c r="B24" s="50" t="s">
        <v>55</v>
      </c>
      <c r="C24" s="51"/>
      <c r="D24" s="51"/>
      <c r="E24" s="81" t="str">
        <f>_xlfn.IFS(E23&gt;=90%,"ممتاز",E23&gt;=80%,"جيد جداً",E23&gt;=70%,"جيد",E23&gt;=60%,"مقبول",E23&lt;60%,"راسب")</f>
        <v>جيد</v>
      </c>
      <c r="F24" s="81"/>
      <c r="G24" s="81"/>
      <c r="H24" s="81"/>
      <c r="I24" s="81"/>
      <c r="J24" s="82"/>
    </row>
    <row r="25" spans="1:10" ht="42" customHeight="1" x14ac:dyDescent="0.3">
      <c r="B25" s="77" t="s">
        <v>192</v>
      </c>
      <c r="C25" s="77"/>
      <c r="D25" s="77"/>
      <c r="E25" s="83" t="s">
        <v>52</v>
      </c>
      <c r="F25" s="83"/>
      <c r="G25" s="79" t="s">
        <v>59</v>
      </c>
      <c r="H25" s="79"/>
      <c r="I25" s="79"/>
      <c r="J25" s="79"/>
    </row>
    <row r="26" spans="1:10" ht="51" customHeight="1" x14ac:dyDescent="0.3">
      <c r="A26" s="5"/>
      <c r="B26" s="78"/>
      <c r="C26" s="78"/>
      <c r="D26" s="78"/>
      <c r="E26" s="84" t="s">
        <v>53</v>
      </c>
      <c r="F26" s="84"/>
      <c r="G26" s="80"/>
      <c r="H26" s="80"/>
      <c r="I26" s="80"/>
      <c r="J26" s="80"/>
    </row>
    <row r="27" spans="1:10" ht="15.6" x14ac:dyDescent="0.3">
      <c r="A27" s="25">
        <v>3</v>
      </c>
      <c r="B27" s="40" t="s">
        <v>175</v>
      </c>
      <c r="C27" s="41"/>
    </row>
    <row r="28" spans="1:10" ht="15.6" x14ac:dyDescent="0.3">
      <c r="A28" s="26">
        <v>2</v>
      </c>
      <c r="B28" s="42" t="s">
        <v>176</v>
      </c>
      <c r="C28" s="43"/>
    </row>
    <row r="29" spans="1:10" ht="15.6" x14ac:dyDescent="0.3">
      <c r="A29" s="27">
        <v>1</v>
      </c>
      <c r="B29" s="44" t="s">
        <v>177</v>
      </c>
      <c r="C29" s="45"/>
    </row>
  </sheetData>
  <sheetProtection formatCells="0" formatColumns="0" formatRows="0" insertColumns="0" insertRows="0" insertHyperlinks="0" deleteColumns="0" deleteRows="0" selectLockedCells="1" sort="0" autoFilter="0" pivotTables="0"/>
  <mergeCells count="54">
    <mergeCell ref="B25:D26"/>
    <mergeCell ref="G25:J25"/>
    <mergeCell ref="G26:J26"/>
    <mergeCell ref="E24:J24"/>
    <mergeCell ref="B16:D16"/>
    <mergeCell ref="B17:D17"/>
    <mergeCell ref="B18:D18"/>
    <mergeCell ref="B19:D19"/>
    <mergeCell ref="B20:D20"/>
    <mergeCell ref="E25:F25"/>
    <mergeCell ref="E26:F26"/>
    <mergeCell ref="G22:J22"/>
    <mergeCell ref="E23:J23"/>
    <mergeCell ref="I21:J21"/>
    <mergeCell ref="B7:D7"/>
    <mergeCell ref="I7:J7"/>
    <mergeCell ref="I10:J10"/>
    <mergeCell ref="I19:J19"/>
    <mergeCell ref="I20:J20"/>
    <mergeCell ref="B8:D8"/>
    <mergeCell ref="B9:D9"/>
    <mergeCell ref="B10:D10"/>
    <mergeCell ref="B11:D11"/>
    <mergeCell ref="B12:D12"/>
    <mergeCell ref="B13:D13"/>
    <mergeCell ref="B14:D14"/>
    <mergeCell ref="B15:D15"/>
    <mergeCell ref="I9:J9"/>
    <mergeCell ref="B1:J1"/>
    <mergeCell ref="F2:J2"/>
    <mergeCell ref="B5:D6"/>
    <mergeCell ref="C2:D2"/>
    <mergeCell ref="C3:D3"/>
    <mergeCell ref="F3:J3"/>
    <mergeCell ref="E5:H5"/>
    <mergeCell ref="I5:J6"/>
    <mergeCell ref="C4:D4"/>
    <mergeCell ref="F4:J4"/>
    <mergeCell ref="B27:C27"/>
    <mergeCell ref="B28:C28"/>
    <mergeCell ref="B29:C29"/>
    <mergeCell ref="I8:J8"/>
    <mergeCell ref="B22:D22"/>
    <mergeCell ref="B23:D23"/>
    <mergeCell ref="B24:D24"/>
    <mergeCell ref="I11:J11"/>
    <mergeCell ref="I12:J12"/>
    <mergeCell ref="I13:J13"/>
    <mergeCell ref="I14:J14"/>
    <mergeCell ref="I15:J15"/>
    <mergeCell ref="I16:J16"/>
    <mergeCell ref="I17:J17"/>
    <mergeCell ref="I18:J18"/>
    <mergeCell ref="B21:D21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4">
    <cfRule type="expression" dxfId="14" priority="57">
      <formula>$E24="راسب"</formula>
    </cfRule>
  </conditionalFormatting>
  <conditionalFormatting sqref="E24:J24">
    <cfRule type="expression" dxfId="13" priority="58">
      <formula>$E24="مقبول"</formula>
    </cfRule>
    <cfRule type="expression" dxfId="12" priority="59">
      <formula>$E24="جيد"</formula>
    </cfRule>
    <cfRule type="expression" dxfId="11" priority="60">
      <formula>$E24="جيد جداً"</formula>
    </cfRule>
    <cfRule type="expression" dxfId="10" priority="61">
      <formula>$E24="ممتاز"</formula>
    </cfRule>
  </conditionalFormatting>
  <conditionalFormatting sqref="F8:F21">
    <cfRule type="containsText" dxfId="9" priority="38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5:J25">
    <cfRule type="containsText" dxfId="6" priority="15" operator="containsText" text="أدخل اسم المحكم">
      <formula>NOT(ISERROR(SEARCH("أدخل اسم المحكم",G25)))</formula>
    </cfRule>
  </conditionalFormatting>
  <conditionalFormatting sqref="H8:H21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G25:J25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  <x14:dataValidation type="list" allowBlank="1" showInputMessage="1" showErrorMessage="1" xr:uid="{36ED5D87-B8CE-48D5-8C3F-AD190A97274B}">
          <x14:formula1>
            <xm:f>'بيانات التقييم'!$A$111:$A$125</xm:f>
          </x14:formula1>
          <xm:sqref>F16:F21 F9:F14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111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6" t="s">
        <v>62</v>
      </c>
    </row>
    <row r="3" spans="1:3" ht="20.100000000000001" customHeight="1" thickBot="1" x14ac:dyDescent="0.35">
      <c r="A3" s="2" t="s">
        <v>26</v>
      </c>
      <c r="C3" s="16" t="s">
        <v>63</v>
      </c>
    </row>
    <row r="4" spans="1:3" ht="20.100000000000001" customHeight="1" thickBot="1" x14ac:dyDescent="0.35">
      <c r="A4" s="2" t="s">
        <v>36</v>
      </c>
      <c r="C4" s="16" t="s">
        <v>64</v>
      </c>
    </row>
    <row r="5" spans="1:3" ht="20.100000000000001" customHeight="1" thickBot="1" x14ac:dyDescent="0.35">
      <c r="A5" s="2" t="s">
        <v>37</v>
      </c>
      <c r="C5" s="16" t="s">
        <v>65</v>
      </c>
    </row>
    <row r="6" spans="1:3" ht="20.100000000000001" customHeight="1" thickBot="1" x14ac:dyDescent="0.35">
      <c r="A6" s="2" t="s">
        <v>38</v>
      </c>
      <c r="C6" s="16" t="s">
        <v>66</v>
      </c>
    </row>
    <row r="7" spans="1:3" ht="20.100000000000001" customHeight="1" thickBot="1" x14ac:dyDescent="0.35">
      <c r="A7" s="2" t="s">
        <v>39</v>
      </c>
      <c r="C7" s="16" t="s">
        <v>67</v>
      </c>
    </row>
    <row r="8" spans="1:3" ht="20.100000000000001" customHeight="1" thickBot="1" x14ac:dyDescent="0.35">
      <c r="A8" s="2" t="s">
        <v>40</v>
      </c>
      <c r="C8" s="16" t="s">
        <v>68</v>
      </c>
    </row>
    <row r="9" spans="1:3" ht="20.100000000000001" customHeight="1" thickBot="1" x14ac:dyDescent="0.35">
      <c r="A9" s="2" t="s">
        <v>41</v>
      </c>
      <c r="C9" s="16" t="s">
        <v>69</v>
      </c>
    </row>
    <row r="10" spans="1:3" ht="20.100000000000001" customHeight="1" thickBot="1" x14ac:dyDescent="0.35">
      <c r="A10" s="2" t="s">
        <v>42</v>
      </c>
      <c r="C10" s="16" t="s">
        <v>70</v>
      </c>
    </row>
    <row r="11" spans="1:3" ht="20.100000000000001" customHeight="1" thickBot="1" x14ac:dyDescent="0.35">
      <c r="A11" s="2" t="s">
        <v>43</v>
      </c>
      <c r="C11" s="16" t="s">
        <v>71</v>
      </c>
    </row>
    <row r="12" spans="1:3" ht="20.100000000000001" customHeight="1" thickBot="1" x14ac:dyDescent="0.35">
      <c r="A12" s="2" t="s">
        <v>44</v>
      </c>
      <c r="C12" s="16" t="s">
        <v>72</v>
      </c>
    </row>
    <row r="13" spans="1:3" ht="20.100000000000001" customHeight="1" thickBot="1" x14ac:dyDescent="0.35">
      <c r="A13" s="2" t="s">
        <v>45</v>
      </c>
      <c r="C13" s="16" t="s">
        <v>73</v>
      </c>
    </row>
    <row r="14" spans="1:3" ht="20.100000000000001" customHeight="1" thickBot="1" x14ac:dyDescent="0.35">
      <c r="A14" s="2" t="s">
        <v>46</v>
      </c>
      <c r="C14" s="16" t="s">
        <v>74</v>
      </c>
    </row>
    <row r="15" spans="1:3" ht="20.100000000000001" customHeight="1" thickBot="1" x14ac:dyDescent="0.35">
      <c r="A15" s="2" t="s">
        <v>47</v>
      </c>
      <c r="C15" s="16" t="s">
        <v>75</v>
      </c>
    </row>
    <row r="16" spans="1:3" ht="20.100000000000001" customHeight="1" thickBot="1" x14ac:dyDescent="0.35">
      <c r="A16" s="2" t="s">
        <v>10</v>
      </c>
      <c r="C16" s="16" t="s">
        <v>76</v>
      </c>
    </row>
    <row r="17" spans="1:3" ht="20.100000000000001" customHeight="1" thickBot="1" x14ac:dyDescent="0.35">
      <c r="A17" s="2" t="s">
        <v>27</v>
      </c>
      <c r="C17" s="16" t="s">
        <v>77</v>
      </c>
    </row>
    <row r="18" spans="1:3" ht="20.100000000000001" customHeight="1" thickBot="1" x14ac:dyDescent="0.35">
      <c r="A18" s="2" t="s">
        <v>48</v>
      </c>
      <c r="C18" s="16" t="s">
        <v>78</v>
      </c>
    </row>
    <row r="19" spans="1:3" ht="20.100000000000001" customHeight="1" thickBot="1" x14ac:dyDescent="0.35">
      <c r="A19" s="2" t="s">
        <v>49</v>
      </c>
      <c r="C19" s="16" t="s">
        <v>79</v>
      </c>
    </row>
    <row r="20" spans="1:3" ht="20.100000000000001" customHeight="1" thickBot="1" x14ac:dyDescent="0.35">
      <c r="A20" s="2" t="s">
        <v>50</v>
      </c>
      <c r="C20" s="16" t="s">
        <v>80</v>
      </c>
    </row>
    <row r="21" spans="1:3" ht="20.100000000000001" customHeight="1" thickBot="1" x14ac:dyDescent="0.35">
      <c r="A21" s="2" t="s">
        <v>51</v>
      </c>
      <c r="C21" s="16" t="s">
        <v>81</v>
      </c>
    </row>
    <row r="22" spans="1:3" ht="20.100000000000001" customHeight="1" thickBot="1" x14ac:dyDescent="0.35">
      <c r="A22" s="2" t="s">
        <v>11</v>
      </c>
      <c r="C22" s="16" t="s">
        <v>82</v>
      </c>
    </row>
    <row r="23" spans="1:3" ht="20.100000000000001" customHeight="1" thickBot="1" x14ac:dyDescent="0.35">
      <c r="A23" s="2" t="s">
        <v>12</v>
      </c>
      <c r="C23" s="16" t="s">
        <v>83</v>
      </c>
    </row>
    <row r="24" spans="1:3" ht="20.100000000000001" customHeight="1" thickBot="1" x14ac:dyDescent="0.35">
      <c r="A24" s="2" t="s">
        <v>15</v>
      </c>
      <c r="C24" s="16" t="s">
        <v>84</v>
      </c>
    </row>
    <row r="25" spans="1:3" ht="20.100000000000001" customHeight="1" thickBot="1" x14ac:dyDescent="0.35">
      <c r="A25" s="2" t="s">
        <v>28</v>
      </c>
      <c r="C25" s="16" t="s">
        <v>85</v>
      </c>
    </row>
    <row r="26" spans="1:3" ht="20.100000000000001" customHeight="1" thickBot="1" x14ac:dyDescent="0.35">
      <c r="A26" s="2" t="s">
        <v>29</v>
      </c>
      <c r="C26" s="16" t="s">
        <v>86</v>
      </c>
    </row>
    <row r="27" spans="1:3" ht="20.100000000000001" customHeight="1" thickBot="1" x14ac:dyDescent="0.35">
      <c r="A27" s="2" t="s">
        <v>13</v>
      </c>
      <c r="C27" s="16" t="s">
        <v>87</v>
      </c>
    </row>
    <row r="28" spans="1:3" ht="20.100000000000001" customHeight="1" thickBot="1" x14ac:dyDescent="0.35">
      <c r="A28" s="2" t="s">
        <v>30</v>
      </c>
      <c r="C28" s="16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5"/>
    </row>
    <row r="36" spans="1:9" s="14" customFormat="1" ht="20.100000000000001" customHeight="1" x14ac:dyDescent="0.3">
      <c r="A36" s="12"/>
      <c r="B36" s="13"/>
      <c r="C36" s="13"/>
      <c r="D36" s="13"/>
      <c r="E36" s="13"/>
      <c r="F36" s="13"/>
      <c r="G36" s="13"/>
      <c r="H36" s="13"/>
      <c r="I36" s="13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0">
        <v>45901</v>
      </c>
    </row>
    <row r="40" spans="1:9" ht="20.100000000000001" customHeight="1" thickBot="1" x14ac:dyDescent="0.35">
      <c r="A40" s="10">
        <v>45902</v>
      </c>
    </row>
    <row r="41" spans="1:9" ht="20.100000000000001" customHeight="1" thickBot="1" x14ac:dyDescent="0.35">
      <c r="A41" s="10">
        <v>45903</v>
      </c>
    </row>
    <row r="42" spans="1:9" ht="20.100000000000001" customHeight="1" thickBot="1" x14ac:dyDescent="0.35">
      <c r="A42" s="10">
        <v>45904</v>
      </c>
    </row>
    <row r="43" spans="1:9" ht="20.100000000000001" customHeight="1" thickBot="1" x14ac:dyDescent="0.35">
      <c r="A43" s="10">
        <v>45905</v>
      </c>
    </row>
    <row r="44" spans="1:9" ht="20.100000000000001" customHeight="1" thickBot="1" x14ac:dyDescent="0.35">
      <c r="A44" s="10">
        <v>45906</v>
      </c>
    </row>
    <row r="45" spans="1:9" ht="20.100000000000001" customHeight="1" thickBot="1" x14ac:dyDescent="0.35">
      <c r="A45" s="10">
        <v>45907</v>
      </c>
    </row>
    <row r="46" spans="1:9" ht="20.100000000000001" customHeight="1" thickBot="1" x14ac:dyDescent="0.35">
      <c r="A46" s="10">
        <v>45908</v>
      </c>
    </row>
    <row r="47" spans="1:9" ht="20.100000000000001" customHeight="1" thickBot="1" x14ac:dyDescent="0.35">
      <c r="A47" s="10">
        <v>45909</v>
      </c>
    </row>
    <row r="48" spans="1:9" ht="20.100000000000001" customHeight="1" thickBot="1" x14ac:dyDescent="0.35">
      <c r="A48" s="10">
        <v>45910</v>
      </c>
    </row>
    <row r="49" spans="1:1" ht="20.100000000000001" customHeight="1" thickBot="1" x14ac:dyDescent="0.35">
      <c r="A49" s="10">
        <v>45911</v>
      </c>
    </row>
    <row r="50" spans="1:1" ht="20.100000000000001" customHeight="1" thickBot="1" x14ac:dyDescent="0.35">
      <c r="A50" s="10">
        <v>45912</v>
      </c>
    </row>
    <row r="51" spans="1:1" ht="20.100000000000001" customHeight="1" thickBot="1" x14ac:dyDescent="0.35">
      <c r="A51" s="10">
        <v>45913</v>
      </c>
    </row>
    <row r="52" spans="1:1" ht="20.100000000000001" customHeight="1" thickBot="1" x14ac:dyDescent="0.35">
      <c r="A52" s="10">
        <v>45914</v>
      </c>
    </row>
    <row r="53" spans="1:1" ht="20.100000000000001" customHeight="1" thickBot="1" x14ac:dyDescent="0.35">
      <c r="A53" s="10">
        <v>45915</v>
      </c>
    </row>
    <row r="54" spans="1:1" ht="20.100000000000001" customHeight="1" thickBot="1" x14ac:dyDescent="0.35">
      <c r="A54" s="10">
        <v>45916</v>
      </c>
    </row>
    <row r="55" spans="1:1" ht="20.100000000000001" customHeight="1" thickBot="1" x14ac:dyDescent="0.35">
      <c r="A55" s="10">
        <v>45917</v>
      </c>
    </row>
    <row r="56" spans="1:1" ht="20.100000000000001" customHeight="1" thickBot="1" x14ac:dyDescent="0.35">
      <c r="A56" s="10">
        <v>45918</v>
      </c>
    </row>
    <row r="57" spans="1:1" ht="20.100000000000001" customHeight="1" thickBot="1" x14ac:dyDescent="0.35">
      <c r="A57" s="10">
        <v>45919</v>
      </c>
    </row>
    <row r="58" spans="1:1" ht="20.100000000000001" customHeight="1" thickBot="1" x14ac:dyDescent="0.35">
      <c r="A58" s="10">
        <v>45920</v>
      </c>
    </row>
    <row r="59" spans="1:1" ht="20.100000000000001" customHeight="1" thickBot="1" x14ac:dyDescent="0.35">
      <c r="A59" s="10">
        <v>45921</v>
      </c>
    </row>
    <row r="60" spans="1:1" ht="20.100000000000001" customHeight="1" thickBot="1" x14ac:dyDescent="0.35">
      <c r="A60" s="10">
        <v>45922</v>
      </c>
    </row>
    <row r="61" spans="1:1" ht="20.100000000000001" customHeight="1" thickBot="1" x14ac:dyDescent="0.35">
      <c r="A61" s="10">
        <v>45923</v>
      </c>
    </row>
    <row r="62" spans="1:1" ht="20.100000000000001" customHeight="1" thickBot="1" x14ac:dyDescent="0.35">
      <c r="A62" s="10">
        <v>45924</v>
      </c>
    </row>
    <row r="63" spans="1:1" ht="20.100000000000001" customHeight="1" thickBot="1" x14ac:dyDescent="0.35">
      <c r="A63" s="10">
        <v>45925</v>
      </c>
    </row>
    <row r="64" spans="1:1" ht="20.100000000000001" customHeight="1" thickBot="1" x14ac:dyDescent="0.35">
      <c r="A64" s="10">
        <v>45926</v>
      </c>
    </row>
    <row r="65" spans="1:1" ht="20.100000000000001" customHeight="1" thickBot="1" x14ac:dyDescent="0.35">
      <c r="A65" s="10">
        <v>45927</v>
      </c>
    </row>
    <row r="66" spans="1:1" ht="20.100000000000001" customHeight="1" thickBot="1" x14ac:dyDescent="0.35">
      <c r="A66" s="10">
        <v>45928</v>
      </c>
    </row>
    <row r="67" spans="1:1" ht="20.100000000000001" customHeight="1" thickBot="1" x14ac:dyDescent="0.35">
      <c r="A67" s="10">
        <v>45929</v>
      </c>
    </row>
    <row r="68" spans="1:1" ht="20.100000000000001" customHeight="1" thickBot="1" x14ac:dyDescent="0.35">
      <c r="A68" s="10">
        <v>45930</v>
      </c>
    </row>
    <row r="69" spans="1:1" ht="20.100000000000001" customHeight="1" thickBot="1" x14ac:dyDescent="0.35">
      <c r="A69" s="10">
        <v>45931</v>
      </c>
    </row>
    <row r="70" spans="1:1" ht="20.100000000000001" customHeight="1" thickBot="1" x14ac:dyDescent="0.35">
      <c r="A70" s="10">
        <v>45932</v>
      </c>
    </row>
    <row r="71" spans="1:1" ht="20.100000000000001" customHeight="1" thickBot="1" x14ac:dyDescent="0.35">
      <c r="A71" s="10">
        <v>45933</v>
      </c>
    </row>
    <row r="72" spans="1:1" ht="20.100000000000001" customHeight="1" thickBot="1" x14ac:dyDescent="0.35">
      <c r="A72" s="10">
        <v>45934</v>
      </c>
    </row>
    <row r="73" spans="1:1" ht="20.100000000000001" customHeight="1" thickBot="1" x14ac:dyDescent="0.35">
      <c r="A73" s="10">
        <v>45935</v>
      </c>
    </row>
    <row r="74" spans="1:1" ht="20.100000000000001" customHeight="1" thickBot="1" x14ac:dyDescent="0.35">
      <c r="A74" s="10">
        <v>45936</v>
      </c>
    </row>
    <row r="75" spans="1:1" ht="20.100000000000001" customHeight="1" thickBot="1" x14ac:dyDescent="0.35">
      <c r="A75" s="10">
        <v>45937</v>
      </c>
    </row>
    <row r="76" spans="1:1" ht="20.100000000000001" customHeight="1" thickBot="1" x14ac:dyDescent="0.35">
      <c r="A76" s="10">
        <v>45938</v>
      </c>
    </row>
    <row r="77" spans="1:1" ht="20.100000000000001" customHeight="1" thickBot="1" x14ac:dyDescent="0.35">
      <c r="A77" s="10">
        <v>45939</v>
      </c>
    </row>
    <row r="78" spans="1:1" ht="20.100000000000001" customHeight="1" thickBot="1" x14ac:dyDescent="0.35">
      <c r="A78" s="10">
        <v>45940</v>
      </c>
    </row>
    <row r="79" spans="1:1" ht="20.100000000000001" customHeight="1" thickBot="1" x14ac:dyDescent="0.35">
      <c r="A79" s="10">
        <v>45941</v>
      </c>
    </row>
    <row r="80" spans="1:1" ht="20.100000000000001" customHeight="1" thickBot="1" x14ac:dyDescent="0.35">
      <c r="A80" s="10">
        <v>45942</v>
      </c>
    </row>
    <row r="81" spans="1:1" ht="20.100000000000001" customHeight="1" thickBot="1" x14ac:dyDescent="0.35">
      <c r="A81" s="10">
        <v>45943</v>
      </c>
    </row>
    <row r="82" spans="1:1" ht="20.100000000000001" customHeight="1" thickBot="1" x14ac:dyDescent="0.35">
      <c r="A82" s="10">
        <v>45944</v>
      </c>
    </row>
    <row r="83" spans="1:1" ht="20.100000000000001" customHeight="1" thickBot="1" x14ac:dyDescent="0.35">
      <c r="A83" s="10">
        <v>45945</v>
      </c>
    </row>
    <row r="84" spans="1:1" ht="20.100000000000001" customHeight="1" thickBot="1" x14ac:dyDescent="0.35">
      <c r="A84" s="10">
        <v>45946</v>
      </c>
    </row>
    <row r="85" spans="1:1" ht="20.100000000000001" customHeight="1" thickBot="1" x14ac:dyDescent="0.35">
      <c r="A85" s="10">
        <v>45947</v>
      </c>
    </row>
    <row r="86" spans="1:1" ht="20.100000000000001" customHeight="1" thickBot="1" x14ac:dyDescent="0.35">
      <c r="A86" s="10">
        <v>45948</v>
      </c>
    </row>
    <row r="87" spans="1:1" ht="20.100000000000001" customHeight="1" thickBot="1" x14ac:dyDescent="0.35">
      <c r="A87" s="10">
        <v>45949</v>
      </c>
    </row>
    <row r="88" spans="1:1" ht="20.100000000000001" customHeight="1" thickBot="1" x14ac:dyDescent="0.35">
      <c r="A88" s="10">
        <v>45950</v>
      </c>
    </row>
    <row r="89" spans="1:1" ht="20.100000000000001" customHeight="1" thickBot="1" x14ac:dyDescent="0.35">
      <c r="A89" s="10">
        <v>45951</v>
      </c>
    </row>
    <row r="90" spans="1:1" ht="20.100000000000001" customHeight="1" thickBot="1" x14ac:dyDescent="0.35">
      <c r="A90" s="10">
        <v>45952</v>
      </c>
    </row>
    <row r="91" spans="1:1" ht="20.100000000000001" customHeight="1" thickBot="1" x14ac:dyDescent="0.35">
      <c r="A91" s="10">
        <v>45953</v>
      </c>
    </row>
    <row r="92" spans="1:1" ht="20.100000000000001" customHeight="1" thickBot="1" x14ac:dyDescent="0.35">
      <c r="A92" s="10">
        <v>45954</v>
      </c>
    </row>
    <row r="93" spans="1:1" ht="20.100000000000001" customHeight="1" thickBot="1" x14ac:dyDescent="0.35">
      <c r="A93" s="10">
        <v>45955</v>
      </c>
    </row>
    <row r="94" spans="1:1" ht="20.100000000000001" customHeight="1" thickBot="1" x14ac:dyDescent="0.35">
      <c r="A94" s="10">
        <v>45956</v>
      </c>
    </row>
    <row r="95" spans="1:1" ht="20.100000000000001" customHeight="1" thickBot="1" x14ac:dyDescent="0.35">
      <c r="A95" s="10">
        <v>45957</v>
      </c>
    </row>
    <row r="96" spans="1:1" ht="20.100000000000001" customHeight="1" thickBot="1" x14ac:dyDescent="0.35">
      <c r="A96" s="10">
        <v>45958</v>
      </c>
    </row>
    <row r="97" spans="1:9" ht="20.100000000000001" customHeight="1" thickBot="1" x14ac:dyDescent="0.35">
      <c r="A97" s="10">
        <v>45959</v>
      </c>
    </row>
    <row r="98" spans="1:9" ht="20.100000000000001" customHeight="1" thickBot="1" x14ac:dyDescent="0.35">
      <c r="A98" s="10">
        <v>45960</v>
      </c>
    </row>
    <row r="99" spans="1:9" ht="20.100000000000001" customHeight="1" thickBot="1" x14ac:dyDescent="0.35">
      <c r="A99" s="10">
        <v>45961</v>
      </c>
    </row>
    <row r="100" spans="1:9" ht="20.100000000000001" customHeight="1" thickBot="1" x14ac:dyDescent="0.35">
      <c r="A100" s="10">
        <v>45962</v>
      </c>
    </row>
    <row r="101" spans="1:9" ht="20.100000000000001" customHeight="1" thickBot="1" x14ac:dyDescent="0.35">
      <c r="A101" s="10">
        <v>45963</v>
      </c>
    </row>
    <row r="102" spans="1:9" ht="20.100000000000001" customHeight="1" thickBot="1" x14ac:dyDescent="0.35">
      <c r="A102" s="10">
        <v>45964</v>
      </c>
    </row>
    <row r="103" spans="1:9" ht="20.100000000000001" customHeight="1" thickBot="1" x14ac:dyDescent="0.35">
      <c r="A103" s="10">
        <v>45965</v>
      </c>
    </row>
    <row r="104" spans="1:9" ht="20.100000000000001" customHeight="1" thickBot="1" x14ac:dyDescent="0.35">
      <c r="A104" s="10">
        <v>45966</v>
      </c>
    </row>
    <row r="105" spans="1:9" ht="20.100000000000001" customHeight="1" thickBot="1" x14ac:dyDescent="0.35">
      <c r="A105" s="10">
        <v>45967</v>
      </c>
    </row>
    <row r="106" spans="1:9" ht="20.100000000000001" customHeight="1" thickBot="1" x14ac:dyDescent="0.35">
      <c r="A106" s="10">
        <v>45968</v>
      </c>
    </row>
    <row r="107" spans="1:9" ht="20.100000000000001" customHeight="1" x14ac:dyDescent="0.3">
      <c r="A107" s="11"/>
    </row>
    <row r="108" spans="1:9" ht="20.100000000000001" customHeight="1" x14ac:dyDescent="0.3">
      <c r="A108" s="11"/>
    </row>
    <row r="109" spans="1:9" s="14" customFormat="1" ht="20.100000000000001" customHeight="1" x14ac:dyDescent="0.3">
      <c r="A109" s="12"/>
      <c r="B109" s="13"/>
      <c r="C109" s="13"/>
      <c r="D109" s="13"/>
      <c r="E109" s="13"/>
      <c r="F109" s="13"/>
      <c r="G109" s="13"/>
      <c r="H109" s="13"/>
      <c r="I109" s="13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7" t="s">
        <v>89</v>
      </c>
    </row>
    <row r="200" spans="1:1" ht="20.100000000000001" customHeight="1" x14ac:dyDescent="0.3">
      <c r="A200" s="17" t="s">
        <v>90</v>
      </c>
    </row>
    <row r="201" spans="1:1" ht="20.100000000000001" customHeight="1" x14ac:dyDescent="0.3">
      <c r="A201" s="17" t="s">
        <v>91</v>
      </c>
    </row>
    <row r="202" spans="1:1" ht="20.100000000000001" customHeight="1" x14ac:dyDescent="0.3">
      <c r="A202" s="17" t="s">
        <v>92</v>
      </c>
    </row>
    <row r="203" spans="1:1" ht="20.100000000000001" customHeight="1" x14ac:dyDescent="0.3">
      <c r="A203" s="17" t="s">
        <v>93</v>
      </c>
    </row>
    <row r="204" spans="1:1" ht="20.100000000000001" customHeight="1" x14ac:dyDescent="0.3">
      <c r="A204" s="17" t="s">
        <v>94</v>
      </c>
    </row>
    <row r="205" spans="1:1" ht="20.100000000000001" customHeight="1" x14ac:dyDescent="0.3">
      <c r="A205" s="17" t="s">
        <v>95</v>
      </c>
    </row>
    <row r="206" spans="1:1" ht="20.100000000000001" customHeight="1" x14ac:dyDescent="0.3">
      <c r="A206" s="17" t="s">
        <v>96</v>
      </c>
    </row>
    <row r="207" spans="1:1" ht="20.100000000000001" customHeight="1" x14ac:dyDescent="0.3">
      <c r="A207" s="17" t="s">
        <v>97</v>
      </c>
    </row>
    <row r="208" spans="1:1" ht="20.100000000000001" customHeight="1" x14ac:dyDescent="0.3">
      <c r="A208" s="18" t="s">
        <v>98</v>
      </c>
    </row>
    <row r="209" spans="1:1" ht="20.100000000000001" customHeight="1" x14ac:dyDescent="0.3">
      <c r="A209" s="18" t="s">
        <v>99</v>
      </c>
    </row>
    <row r="210" spans="1:1" ht="20.100000000000001" customHeight="1" x14ac:dyDescent="0.3">
      <c r="A210" s="17" t="s">
        <v>100</v>
      </c>
    </row>
    <row r="211" spans="1:1" ht="20.100000000000001" customHeight="1" x14ac:dyDescent="0.3">
      <c r="A211" s="17" t="s">
        <v>101</v>
      </c>
    </row>
    <row r="212" spans="1:1" ht="20.100000000000001" customHeight="1" x14ac:dyDescent="0.3">
      <c r="A212" s="17" t="s">
        <v>102</v>
      </c>
    </row>
    <row r="213" spans="1:1" ht="20.100000000000001" customHeight="1" x14ac:dyDescent="0.3">
      <c r="A213" s="17" t="s">
        <v>103</v>
      </c>
    </row>
    <row r="214" spans="1:1" ht="20.100000000000001" customHeight="1" x14ac:dyDescent="0.3">
      <c r="A214" s="17" t="s">
        <v>104</v>
      </c>
    </row>
    <row r="215" spans="1:1" ht="20.100000000000001" customHeight="1" x14ac:dyDescent="0.3">
      <c r="A215" s="17" t="s">
        <v>105</v>
      </c>
    </row>
    <row r="216" spans="1:1" ht="20.100000000000001" customHeight="1" x14ac:dyDescent="0.3">
      <c r="A216" s="17" t="s">
        <v>106</v>
      </c>
    </row>
    <row r="217" spans="1:1" ht="20.100000000000001" customHeight="1" x14ac:dyDescent="0.3">
      <c r="A217" s="17" t="s">
        <v>107</v>
      </c>
    </row>
    <row r="218" spans="1:1" ht="20.100000000000001" customHeight="1" x14ac:dyDescent="0.3">
      <c r="A218" s="17" t="s">
        <v>108</v>
      </c>
    </row>
    <row r="219" spans="1:1" ht="20.100000000000001" customHeight="1" x14ac:dyDescent="0.3">
      <c r="A219" s="17" t="s">
        <v>109</v>
      </c>
    </row>
    <row r="220" spans="1:1" ht="20.100000000000001" customHeight="1" x14ac:dyDescent="0.3">
      <c r="A220" s="17" t="s">
        <v>110</v>
      </c>
    </row>
    <row r="221" spans="1:1" ht="20.100000000000001" customHeight="1" x14ac:dyDescent="0.3">
      <c r="A221" s="17" t="s">
        <v>111</v>
      </c>
    </row>
    <row r="222" spans="1:1" ht="20.100000000000001" customHeight="1" x14ac:dyDescent="0.3">
      <c r="A222" s="17" t="s">
        <v>112</v>
      </c>
    </row>
    <row r="223" spans="1:1" ht="20.100000000000001" customHeight="1" x14ac:dyDescent="0.3">
      <c r="A223" s="17" t="s">
        <v>113</v>
      </c>
    </row>
    <row r="224" spans="1:1" ht="20.100000000000001" customHeight="1" x14ac:dyDescent="0.3">
      <c r="A224" s="17" t="s">
        <v>114</v>
      </c>
    </row>
    <row r="225" spans="1:1" ht="20.100000000000001" customHeight="1" x14ac:dyDescent="0.3">
      <c r="A225" s="17" t="s">
        <v>115</v>
      </c>
    </row>
    <row r="226" spans="1:1" ht="20.100000000000001" customHeight="1" x14ac:dyDescent="0.3">
      <c r="A226" s="17" t="s">
        <v>116</v>
      </c>
    </row>
    <row r="227" spans="1:1" ht="20.100000000000001" customHeight="1" x14ac:dyDescent="0.3">
      <c r="A227" s="17" t="s">
        <v>117</v>
      </c>
    </row>
    <row r="228" spans="1:1" ht="20.100000000000001" customHeight="1" x14ac:dyDescent="0.3">
      <c r="A228" s="17" t="s">
        <v>118</v>
      </c>
    </row>
    <row r="229" spans="1:1" ht="20.100000000000001" customHeight="1" x14ac:dyDescent="0.3">
      <c r="A229" s="17" t="s">
        <v>119</v>
      </c>
    </row>
    <row r="230" spans="1:1" ht="20.100000000000001" customHeight="1" x14ac:dyDescent="0.3">
      <c r="A230" s="17" t="s">
        <v>120</v>
      </c>
    </row>
    <row r="231" spans="1:1" ht="20.100000000000001" customHeight="1" x14ac:dyDescent="0.3">
      <c r="A231" s="17" t="s">
        <v>121</v>
      </c>
    </row>
    <row r="232" spans="1:1" ht="20.100000000000001" customHeight="1" x14ac:dyDescent="0.3">
      <c r="A232" s="17" t="s">
        <v>122</v>
      </c>
    </row>
    <row r="233" spans="1:1" ht="20.100000000000001" customHeight="1" x14ac:dyDescent="0.3">
      <c r="A233" s="17" t="s">
        <v>123</v>
      </c>
    </row>
    <row r="234" spans="1:1" ht="20.100000000000001" customHeight="1" x14ac:dyDescent="0.3">
      <c r="A234" s="17" t="s">
        <v>124</v>
      </c>
    </row>
    <row r="235" spans="1:1" ht="20.100000000000001" customHeight="1" x14ac:dyDescent="0.3">
      <c r="A235" s="19" t="s">
        <v>125</v>
      </c>
    </row>
    <row r="236" spans="1:1" ht="20.100000000000001" customHeight="1" x14ac:dyDescent="0.3">
      <c r="A236" s="17" t="s">
        <v>126</v>
      </c>
    </row>
    <row r="237" spans="1:1" ht="20.100000000000001" customHeight="1" x14ac:dyDescent="0.3">
      <c r="A237" s="17" t="s">
        <v>127</v>
      </c>
    </row>
    <row r="238" spans="1:1" ht="20.100000000000001" customHeight="1" x14ac:dyDescent="0.3">
      <c r="A238" s="17" t="s">
        <v>128</v>
      </c>
    </row>
    <row r="239" spans="1:1" ht="20.100000000000001" customHeight="1" x14ac:dyDescent="0.3">
      <c r="A239" s="17" t="s">
        <v>129</v>
      </c>
    </row>
    <row r="240" spans="1:1" ht="20.100000000000001" customHeight="1" x14ac:dyDescent="0.3">
      <c r="A240" s="17" t="s">
        <v>130</v>
      </c>
    </row>
    <row r="241" spans="1:1" ht="20.100000000000001" customHeight="1" x14ac:dyDescent="0.3">
      <c r="A241" s="17" t="s">
        <v>131</v>
      </c>
    </row>
    <row r="242" spans="1:1" ht="20.100000000000001" customHeight="1" x14ac:dyDescent="0.3">
      <c r="A242" s="17" t="s">
        <v>132</v>
      </c>
    </row>
    <row r="243" spans="1:1" ht="20.100000000000001" customHeight="1" x14ac:dyDescent="0.3">
      <c r="A243" s="17" t="s">
        <v>133</v>
      </c>
    </row>
    <row r="244" spans="1:1" ht="20.100000000000001" customHeight="1" x14ac:dyDescent="0.3">
      <c r="A244" s="17" t="s">
        <v>134</v>
      </c>
    </row>
    <row r="245" spans="1:1" ht="20.100000000000001" customHeight="1" x14ac:dyDescent="0.3">
      <c r="A245" s="17" t="s">
        <v>135</v>
      </c>
    </row>
    <row r="246" spans="1:1" ht="20.100000000000001" customHeight="1" x14ac:dyDescent="0.3">
      <c r="A246" s="17" t="s">
        <v>136</v>
      </c>
    </row>
    <row r="247" spans="1:1" ht="20.100000000000001" customHeight="1" x14ac:dyDescent="0.3">
      <c r="A247" s="17" t="s">
        <v>127</v>
      </c>
    </row>
    <row r="248" spans="1:1" ht="20.100000000000001" customHeight="1" x14ac:dyDescent="0.3">
      <c r="A248" s="17" t="s">
        <v>137</v>
      </c>
    </row>
    <row r="249" spans="1:1" ht="20.100000000000001" customHeight="1" x14ac:dyDescent="0.3">
      <c r="A249" s="17" t="s">
        <v>138</v>
      </c>
    </row>
    <row r="250" spans="1:1" ht="20.100000000000001" customHeight="1" x14ac:dyDescent="0.3">
      <c r="A250" s="19" t="s">
        <v>139</v>
      </c>
    </row>
    <row r="251" spans="1:1" ht="20.100000000000001" customHeight="1" x14ac:dyDescent="0.3">
      <c r="A251" s="20" t="s">
        <v>140</v>
      </c>
    </row>
    <row r="252" spans="1:1" ht="20.100000000000001" customHeight="1" x14ac:dyDescent="0.3">
      <c r="A252" s="17" t="s">
        <v>141</v>
      </c>
    </row>
    <row r="253" spans="1:1" ht="20.100000000000001" customHeight="1" x14ac:dyDescent="0.3">
      <c r="A253" s="17" t="s">
        <v>142</v>
      </c>
    </row>
    <row r="254" spans="1:1" ht="20.100000000000001" customHeight="1" x14ac:dyDescent="0.3">
      <c r="A254" s="21" t="s">
        <v>143</v>
      </c>
    </row>
    <row r="255" spans="1:1" ht="20.100000000000001" customHeight="1" x14ac:dyDescent="0.3">
      <c r="A255" s="21" t="s">
        <v>144</v>
      </c>
    </row>
    <row r="256" spans="1:1" ht="20.100000000000001" customHeight="1" x14ac:dyDescent="0.3">
      <c r="A256" s="22" t="s">
        <v>145</v>
      </c>
    </row>
    <row r="257" spans="1:1" ht="20.100000000000001" customHeight="1" x14ac:dyDescent="0.3">
      <c r="A257" s="17" t="s">
        <v>146</v>
      </c>
    </row>
    <row r="258" spans="1:1" ht="20.100000000000001" customHeight="1" x14ac:dyDescent="0.3">
      <c r="A258" s="22" t="s">
        <v>147</v>
      </c>
    </row>
    <row r="259" spans="1:1" ht="20.100000000000001" customHeight="1" x14ac:dyDescent="0.3">
      <c r="A259" s="17" t="s">
        <v>148</v>
      </c>
    </row>
    <row r="260" spans="1:1" ht="20.100000000000001" customHeight="1" x14ac:dyDescent="0.3">
      <c r="A260" s="22" t="s">
        <v>149</v>
      </c>
    </row>
    <row r="261" spans="1:1" ht="20.100000000000001" customHeight="1" x14ac:dyDescent="0.3">
      <c r="A261" s="17" t="s">
        <v>150</v>
      </c>
    </row>
    <row r="262" spans="1:1" ht="20.100000000000001" customHeight="1" x14ac:dyDescent="0.3">
      <c r="A262" s="17" t="s">
        <v>151</v>
      </c>
    </row>
    <row r="263" spans="1:1" ht="20.100000000000001" customHeight="1" x14ac:dyDescent="0.3">
      <c r="A263" s="22" t="s">
        <v>152</v>
      </c>
    </row>
    <row r="264" spans="1:1" ht="20.100000000000001" customHeight="1" x14ac:dyDescent="0.3">
      <c r="A264" s="22" t="s">
        <v>153</v>
      </c>
    </row>
    <row r="265" spans="1:1" ht="20.100000000000001" customHeight="1" x14ac:dyDescent="0.3">
      <c r="A265" s="22" t="s">
        <v>154</v>
      </c>
    </row>
    <row r="266" spans="1:1" ht="20.100000000000001" customHeight="1" x14ac:dyDescent="0.3">
      <c r="A266" s="17" t="s">
        <v>155</v>
      </c>
    </row>
    <row r="267" spans="1:1" ht="20.100000000000001" customHeight="1" x14ac:dyDescent="0.3">
      <c r="A267" s="17" t="s">
        <v>156</v>
      </c>
    </row>
    <row r="268" spans="1:1" ht="20.100000000000001" customHeight="1" x14ac:dyDescent="0.3">
      <c r="A268" s="17" t="s">
        <v>157</v>
      </c>
    </row>
    <row r="269" spans="1:1" ht="20.100000000000001" customHeight="1" x14ac:dyDescent="0.3">
      <c r="A269" s="17" t="s">
        <v>158</v>
      </c>
    </row>
    <row r="270" spans="1:1" ht="20.100000000000001" customHeight="1" x14ac:dyDescent="0.3">
      <c r="A270" s="22" t="s">
        <v>159</v>
      </c>
    </row>
    <row r="271" spans="1:1" ht="20.100000000000001" customHeight="1" x14ac:dyDescent="0.3">
      <c r="A271" s="22" t="s">
        <v>160</v>
      </c>
    </row>
    <row r="272" spans="1:1" ht="20.100000000000001" customHeight="1" x14ac:dyDescent="0.3">
      <c r="A272" s="17" t="s">
        <v>161</v>
      </c>
    </row>
    <row r="273" spans="1:1" ht="20.100000000000001" customHeight="1" x14ac:dyDescent="0.3">
      <c r="A273" s="22" t="s">
        <v>162</v>
      </c>
    </row>
    <row r="274" spans="1:1" ht="20.100000000000001" customHeight="1" x14ac:dyDescent="0.3">
      <c r="A274" s="22" t="s">
        <v>163</v>
      </c>
    </row>
    <row r="275" spans="1:1" ht="20.100000000000001" customHeight="1" x14ac:dyDescent="0.3">
      <c r="A275" s="17" t="s">
        <v>164</v>
      </c>
    </row>
    <row r="276" spans="1:1" ht="20.100000000000001" customHeight="1" x14ac:dyDescent="0.3">
      <c r="A276" s="17" t="s">
        <v>165</v>
      </c>
    </row>
    <row r="277" spans="1:1" ht="20.100000000000001" customHeight="1" x14ac:dyDescent="0.3">
      <c r="A277" s="22" t="s">
        <v>166</v>
      </c>
    </row>
    <row r="278" spans="1:1" ht="20.100000000000001" customHeight="1" x14ac:dyDescent="0.3">
      <c r="A278" s="17" t="s">
        <v>167</v>
      </c>
    </row>
    <row r="279" spans="1:1" ht="20.100000000000001" customHeight="1" x14ac:dyDescent="0.3">
      <c r="A279" s="17" t="s">
        <v>168</v>
      </c>
    </row>
    <row r="280" spans="1:1" ht="20.100000000000001" customHeight="1" x14ac:dyDescent="0.3">
      <c r="A280" s="17" t="s">
        <v>169</v>
      </c>
    </row>
    <row r="281" spans="1:1" ht="20.100000000000001" customHeight="1" x14ac:dyDescent="0.3">
      <c r="A281" s="17" t="s">
        <v>170</v>
      </c>
    </row>
    <row r="282" spans="1:1" ht="20.100000000000001" customHeight="1" x14ac:dyDescent="0.3">
      <c r="A282" s="22" t="s">
        <v>171</v>
      </c>
    </row>
    <row r="283" spans="1:1" ht="20.100000000000001" customHeight="1" x14ac:dyDescent="0.3">
      <c r="A283" s="22" t="s">
        <v>172</v>
      </c>
    </row>
    <row r="284" spans="1:1" ht="20.100000000000001" customHeight="1" x14ac:dyDescent="0.3">
      <c r="A284" s="22" t="s">
        <v>173</v>
      </c>
    </row>
    <row r="285" spans="1:1" ht="20.100000000000001" customHeight="1" thickBot="1" x14ac:dyDescent="0.35">
      <c r="A285" s="17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2025-10-20T03:28:56Z</dcterms:modified>
</cp:coreProperties>
</file>