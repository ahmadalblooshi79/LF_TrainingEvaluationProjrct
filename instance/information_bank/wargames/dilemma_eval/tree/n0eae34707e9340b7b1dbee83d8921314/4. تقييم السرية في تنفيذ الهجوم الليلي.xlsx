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ink/ink1.xml" ContentType="application/inkml+xml"/>
  <Override PartName="/xl/ink/ink2.xml" ContentType="application/inkml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 /><Relationship Id="rId2" Type="http://schemas.openxmlformats.org/package/2006/relationships/metadata/core-properties" Target="docProps/core.xml" /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filterPrivacy="1" codeName="ThisWorkbook"/>
  <xr:revisionPtr revIDLastSave="0" documentId="13_ncr:1000001_{CE2407DC-ACA1-F043-90D7-60AC395E6BF9}" xr6:coauthVersionLast="47" xr6:coauthVersionMax="47" xr10:uidLastSave="{00000000-0000-0000-0000-000000000000}"/>
  <bookViews>
    <workbookView xWindow="-105" yWindow="-105" windowWidth="23250" windowHeight="12570" xr2:uid="{00000000-000D-0000-FFFF-FFFF00000000}"/>
  </bookViews>
  <sheets>
    <sheet name="قائمة التقييم" sheetId="2" r:id="rId1"/>
    <sheet name="بيانات التقييم" sheetId="4" r:id="rId2"/>
  </sheets>
  <definedNames>
    <definedName name="_Hlk189049083" localSheetId="0">'قائمة التقييم'!#REF!</definedName>
    <definedName name="_Hlk189049123" localSheetId="0">'قائمة التقييم'!$B$3</definedName>
    <definedName name="_xlnm.Print_Area" localSheetId="0">'قائمة التقييم'!$A$1:$J$57</definedName>
    <definedName name="_xlnm.Print_Titles" localSheetId="0">'قائمة التقييم'!$7:$7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10" i="2" l="1"/>
  <c r="H10" i="2"/>
  <c r="G11" i="2"/>
  <c r="H11" i="2"/>
  <c r="G13" i="2"/>
  <c r="H13" i="2"/>
  <c r="G14" i="2"/>
  <c r="H14" i="2"/>
  <c r="G15" i="2"/>
  <c r="H15" i="2"/>
  <c r="G16" i="2"/>
  <c r="H16" i="2"/>
  <c r="G17" i="2"/>
  <c r="H17" i="2"/>
  <c r="G18" i="2"/>
  <c r="H18" i="2"/>
  <c r="G20" i="2"/>
  <c r="H20" i="2"/>
  <c r="G21" i="2"/>
  <c r="H21" i="2"/>
  <c r="G22" i="2"/>
  <c r="H22" i="2"/>
  <c r="G23" i="2"/>
  <c r="H23" i="2"/>
  <c r="G25" i="2"/>
  <c r="H25" i="2"/>
  <c r="G27" i="2"/>
  <c r="H27" i="2"/>
  <c r="G28" i="2"/>
  <c r="H28" i="2"/>
  <c r="G29" i="2"/>
  <c r="H29" i="2"/>
  <c r="G31" i="2"/>
  <c r="H31" i="2"/>
  <c r="G32" i="2"/>
  <c r="H32" i="2"/>
  <c r="G33" i="2"/>
  <c r="H33" i="2"/>
  <c r="G34" i="2"/>
  <c r="H34" i="2"/>
  <c r="G35" i="2"/>
  <c r="H35" i="2"/>
  <c r="G37" i="2"/>
  <c r="H37" i="2"/>
  <c r="G38" i="2"/>
  <c r="H38" i="2"/>
  <c r="G40" i="2"/>
  <c r="H40" i="2"/>
  <c r="G41" i="2"/>
  <c r="H41" i="2"/>
  <c r="G42" i="2"/>
  <c r="H42" i="2"/>
  <c r="G43" i="2"/>
  <c r="H43" i="2"/>
  <c r="G44" i="2"/>
  <c r="H44" i="2"/>
  <c r="G46" i="2"/>
  <c r="H46" i="2"/>
  <c r="G47" i="2"/>
  <c r="H47" i="2"/>
  <c r="G48" i="2"/>
  <c r="H48" i="2"/>
  <c r="G49" i="2"/>
  <c r="H49" i="2"/>
  <c r="G50" i="2"/>
  <c r="H50" i="2"/>
  <c r="G51" i="2"/>
  <c r="H51" i="2"/>
  <c r="G52" i="2"/>
  <c r="H52" i="2"/>
  <c r="F53" i="2"/>
  <c r="E53" i="2"/>
  <c r="E54" i="2"/>
  <c r="E55" i="2"/>
</calcChain>
</file>

<file path=xl/sharedStrings.xml><?xml version="1.0" encoding="utf-8"?>
<sst xmlns="http://schemas.openxmlformats.org/spreadsheetml/2006/main" count="278" uniqueCount="222">
  <si>
    <t>عناصــــــر التقييـــــم</t>
  </si>
  <si>
    <t>العلامـــــــات</t>
  </si>
  <si>
    <t>ملاحظــــــات</t>
  </si>
  <si>
    <t>القصوى</t>
  </si>
  <si>
    <t>المكتسبة</t>
  </si>
  <si>
    <t>إجمالي العلامـــــات</t>
  </si>
  <si>
    <t xml:space="preserve">المحكــم: </t>
  </si>
  <si>
    <t xml:space="preserve">التاريــخ: </t>
  </si>
  <si>
    <t xml:space="preserve">الوحـــــــدة: </t>
  </si>
  <si>
    <t xml:space="preserve">قائد الوحدة: </t>
  </si>
  <si>
    <t>سرية الاستطلاع</t>
  </si>
  <si>
    <t>سرية الهاون</t>
  </si>
  <si>
    <t>سرية الهندسة</t>
  </si>
  <si>
    <t>سرية الدفاع الكيميائي</t>
  </si>
  <si>
    <t>سرية الحرب الإلكترونية</t>
  </si>
  <si>
    <t>سرية الإشارة</t>
  </si>
  <si>
    <t>فصيل الشرطة العسكرية</t>
  </si>
  <si>
    <t>لا ينطبق</t>
  </si>
  <si>
    <t>(ب)</t>
  </si>
  <si>
    <t>(جـ)</t>
  </si>
  <si>
    <t>(هـ)</t>
  </si>
  <si>
    <t>( أ )</t>
  </si>
  <si>
    <t>( د )</t>
  </si>
  <si>
    <t>النسبة</t>
  </si>
  <si>
    <t>النتيجة</t>
  </si>
  <si>
    <t>( و )</t>
  </si>
  <si>
    <t>هيئة ركن مجموعة اللواء</t>
  </si>
  <si>
    <t>سرية الـ م/د</t>
  </si>
  <si>
    <t>القيادة والسيطرة</t>
  </si>
  <si>
    <t>سرية الدفاع الجوي</t>
  </si>
  <si>
    <t>كتيبة الإسناد الإداري</t>
  </si>
  <si>
    <t>السرية الطبية</t>
  </si>
  <si>
    <t>سرية الصيانة</t>
  </si>
  <si>
    <t>سرية التزويد والنقل</t>
  </si>
  <si>
    <t>ضباط الصف</t>
  </si>
  <si>
    <t>قيادة مجموعة لواء الإمارات/1</t>
  </si>
  <si>
    <t>قيادة كتيبة المشاة الآلية/12</t>
  </si>
  <si>
    <t>كتيبة المشاة الآلية/12 - السرية/1</t>
  </si>
  <si>
    <t>كتيبة المشاة الآلية/12 - السرية/2</t>
  </si>
  <si>
    <t>كتيبة المشاة الآلية/12 - السرية/3</t>
  </si>
  <si>
    <t>قيادة كتيبة المشاة الآلية/13</t>
  </si>
  <si>
    <t>كتيبة المشاة الآلية/13 - السرية/1</t>
  </si>
  <si>
    <t>كتيبة المشاة الآلية/13 - السرية/2</t>
  </si>
  <si>
    <t>كتيبة المشاة الآلية/13 - السرية/3</t>
  </si>
  <si>
    <t>قيادة كتيبة الدبابات/14</t>
  </si>
  <si>
    <t>كتيبة الدبابات/14 - السرية/1</t>
  </si>
  <si>
    <t>كتيبة الدبابات/14 - السرية/2</t>
  </si>
  <si>
    <t>كتيبة الدبابات/14 - السرية/3</t>
  </si>
  <si>
    <t>قيادة كتيبة المدفعية/72</t>
  </si>
  <si>
    <t>قيادة كتيبة المدفعية/72 - السرية/1</t>
  </si>
  <si>
    <t>قيادة كتيبة المدفعية/72 - السرية/2</t>
  </si>
  <si>
    <t>قيادة كتيبة المدفعية/72 - السرية/3</t>
  </si>
  <si>
    <t>المحكـــــــــم:</t>
  </si>
  <si>
    <t>التوقيــــــــع:</t>
  </si>
  <si>
    <t>النسبــــة العامــــــة</t>
  </si>
  <si>
    <t>التقديــــر العــــــام</t>
  </si>
  <si>
    <t>أدخل التاريخ</t>
  </si>
  <si>
    <t>أدخل الوحدة الخاضعة للتقييم</t>
  </si>
  <si>
    <t>..............................</t>
  </si>
  <si>
    <t>أدخل اسم المحكم</t>
  </si>
  <si>
    <t>أدخل اسم قائد الوحدة الخاضعة للتقييم</t>
  </si>
  <si>
    <t>أدخل العلامة</t>
  </si>
  <si>
    <t>عميد ركن / راشد حمد مفتاح النيادي</t>
  </si>
  <si>
    <t xml:space="preserve"> عقيد ركن / جمعة محمد جمعة الصريدي</t>
  </si>
  <si>
    <t xml:space="preserve"> عقيد ركن / عتيق الزفنة العفاري</t>
  </si>
  <si>
    <t>رائد / أحمد محمد الظهوري</t>
  </si>
  <si>
    <t>مقدم / عبدالله سعيد الشامسي</t>
  </si>
  <si>
    <t xml:space="preserve"> نقيب / سعيد أحمد الشحي</t>
  </si>
  <si>
    <t>عقيد ركن / محمد سعيد الكتبي</t>
  </si>
  <si>
    <t>نقيب / راشد الطيب النعيمي</t>
  </si>
  <si>
    <t>نقيب / حمدان سالمين العامري</t>
  </si>
  <si>
    <t>رائد/ عبدالله سيف الغفلي</t>
  </si>
  <si>
    <t>نقيب / حمد محمد الشامسي</t>
  </si>
  <si>
    <t>رائد/ سعيد مبارك الكتبي</t>
  </si>
  <si>
    <t>ملازم 2 / علي ابراهيم النعيمي</t>
  </si>
  <si>
    <t>رائد/ محمد عمران الكتبي</t>
  </si>
  <si>
    <t>نقيب / محمد سعيد الكعبي</t>
  </si>
  <si>
    <t>عقيد ركن / علي راشد اليماحي</t>
  </si>
  <si>
    <t>نقيب / ماجد عبدالله البلوشي</t>
  </si>
  <si>
    <t>ملازم 1 / حمد طارش الكعبي</t>
  </si>
  <si>
    <t>رائد/ سالم سلطان الكتبي</t>
  </si>
  <si>
    <t>مقدم ركن / محمد عبدالله الشحي</t>
  </si>
  <si>
    <t>رائد/ محمد عبدالرحمن الطنيجي</t>
  </si>
  <si>
    <t>رائد/ محمد راشد المزروعي</t>
  </si>
  <si>
    <t>رائد/ محمد سعيد الظنحاني</t>
  </si>
  <si>
    <t>مقدم ركن / علي حسن الحمادي</t>
  </si>
  <si>
    <t>ملازم 1 / علي ناصر المقدمي</t>
  </si>
  <si>
    <t>نقيب / حمد سعيد الشهياري</t>
  </si>
  <si>
    <t>ملازم 1 / سعود محمد الطياري</t>
  </si>
  <si>
    <t xml:space="preserve">عميد ركن / حمد علي جمعة الشحي </t>
  </si>
  <si>
    <t>عقيد ركن / خليفة بن هويدن الكتبي</t>
  </si>
  <si>
    <t>عقيد ركن / راشد محمد عبيد الظنحاني</t>
  </si>
  <si>
    <t>عقيد ركن / حميد محمد عبيد الدرعي</t>
  </si>
  <si>
    <t>عقيد ركن / سلطان راشد بالرشاد الشامسي</t>
  </si>
  <si>
    <t>عقيد ركن / احمد سليمان علي المعمري</t>
  </si>
  <si>
    <t>عقيد ركن / علي الرضه كمادي المهيري</t>
  </si>
  <si>
    <t>عقيد ركن / خليل احمد سليمان العنتلي</t>
  </si>
  <si>
    <t xml:space="preserve">عقيد ركن / سعود صالح  راشدالظاهري </t>
  </si>
  <si>
    <t>عقيد / سالم محمد سعيد العفاري</t>
  </si>
  <si>
    <t xml:space="preserve">مقدم ركن / خادم سيف المنصوري </t>
  </si>
  <si>
    <t>مقدم ركن / مصبح مفتاح علي الخاطري</t>
  </si>
  <si>
    <t>مقدم ركن / حمد راشد سليمان الزيودي</t>
  </si>
  <si>
    <t>مقدم / محمد عبدالرحمن الرميثي</t>
  </si>
  <si>
    <t xml:space="preserve">مقدم / علي سيف حامد الطنيجي </t>
  </si>
  <si>
    <t>مقدم / خليفة عبدالله سلطان السويدي</t>
  </si>
  <si>
    <t>مقدم / سالم القرين علي العامري</t>
  </si>
  <si>
    <t>مقدم / محمد عبدالرحمن جاسم الرميثي</t>
  </si>
  <si>
    <t xml:space="preserve">مقدم / سعيد محمد سالم  العامري </t>
  </si>
  <si>
    <t xml:space="preserve">مقدم / جابر محمد خاتم الشامسي </t>
  </si>
  <si>
    <t xml:space="preserve">مقدم / مصبح حارب المنصوري </t>
  </si>
  <si>
    <t>مقدم / عبدالله محمد سلطان الحبسي</t>
  </si>
  <si>
    <t>مقدم طبيب / محمد عيسى الرميثي</t>
  </si>
  <si>
    <t>رائد / احمد علي عبدالله الحوسني</t>
  </si>
  <si>
    <t xml:space="preserve">رائد / راشد ضاوي  راشدالطنيجي </t>
  </si>
  <si>
    <t xml:space="preserve">رائد / عبدالله مطر عبيد الكتبي </t>
  </si>
  <si>
    <t xml:space="preserve">رائد / خليفة مصبح الدهماني </t>
  </si>
  <si>
    <t>رائد / أحمد هلال سيف الزعابي</t>
  </si>
  <si>
    <t xml:space="preserve">رائد / سيف حمود محمد الشامسي </t>
  </si>
  <si>
    <t>رائد / عبدالناصر أحمد عبدالله  آل نصور</t>
  </si>
  <si>
    <t>رائد / حمدان محمد الكعبي</t>
  </si>
  <si>
    <t>رائد / سلطان سيف حميد بن سميط</t>
  </si>
  <si>
    <t xml:space="preserve">رائد / هلال سعيد ضبيب الدرعي </t>
  </si>
  <si>
    <t xml:space="preserve">رائد / سعيد إبراهيم المرزوقي </t>
  </si>
  <si>
    <t>رائد / أحمد عبدالكريم محمد</t>
  </si>
  <si>
    <t xml:space="preserve">رائد / جمعة محمد مسعود المزروعي </t>
  </si>
  <si>
    <t xml:space="preserve">رائد / خليفة مصبح علي الدهماني </t>
  </si>
  <si>
    <t xml:space="preserve">رائد / محمد خليفة حميد النعيمي </t>
  </si>
  <si>
    <t xml:space="preserve">نقيب / محمد سعيد الكعبي </t>
  </si>
  <si>
    <t>نقيب / ناصر حمد سليم التميمي</t>
  </si>
  <si>
    <t xml:space="preserve">نقيب / سعيد مصبح  محمد الغفلي </t>
  </si>
  <si>
    <t xml:space="preserve">نقيب / أحمد حمد حمود الدرعي </t>
  </si>
  <si>
    <t>نقيب / سالم جمعة محمد الكتبي</t>
  </si>
  <si>
    <t xml:space="preserve">نقيب / عمران راشد عبيد الكتبي </t>
  </si>
  <si>
    <t>نقيب / محمد جاسم محمد النقبي</t>
  </si>
  <si>
    <t>نقيب / بلاع سالم الدوده العامري</t>
  </si>
  <si>
    <t>نقيب / عبدالله علي سعيد الصريدي</t>
  </si>
  <si>
    <t>نقيب / عبدالله علي سليمان الزعابي</t>
  </si>
  <si>
    <t>نقيب / يوسف خليفه سعيد الكتبي</t>
  </si>
  <si>
    <t>نقيب بحري / سالم محمد جمعة الصريدي</t>
  </si>
  <si>
    <t xml:space="preserve">نقيب طبيب / حميد عبدالله خميس الكندي </t>
  </si>
  <si>
    <t xml:space="preserve">نقيب طيار / ناصر ظافر دشن الاحبابي </t>
  </si>
  <si>
    <t xml:space="preserve">ملازم 1 / مطر احمد الكلباني </t>
  </si>
  <si>
    <t>ملازم 1 / حمد هلال خليفة الكتبي</t>
  </si>
  <si>
    <t>ملازم / مايد عبدالله الزيودي</t>
  </si>
  <si>
    <t>وكيل/1 - خالد عبدالله التميمي</t>
  </si>
  <si>
    <t>وكيل/1 - سعيد راشد عبيد السدراني</t>
  </si>
  <si>
    <t xml:space="preserve">وكيل/1 - سمير إبراهيم المازمي </t>
  </si>
  <si>
    <t>وكيل/1 - فايز سعيد صالح العامري</t>
  </si>
  <si>
    <t xml:space="preserve">وكيل/1 - فهد سبت النعيمي </t>
  </si>
  <si>
    <t xml:space="preserve">وكيل/1 - مرزوق سالم مرزوق الزحمي </t>
  </si>
  <si>
    <t>وكيل/1 - سيف سعيد سالم اليماحي</t>
  </si>
  <si>
    <t xml:space="preserve">وكيل/1 - فيصل علي الاميري </t>
  </si>
  <si>
    <t>وكيل/1 - داوود درويش محمد الشحي</t>
  </si>
  <si>
    <t>وكيل/1 - محمد عبدالله سالم الزيدي</t>
  </si>
  <si>
    <t xml:space="preserve">وكيل/1 - حمد حسن علي القايدي </t>
  </si>
  <si>
    <t xml:space="preserve">وكيل/1 - خالد محمد الشحي </t>
  </si>
  <si>
    <t xml:space="preserve">وكيل/1 - عبدالله سعيد الكلباني </t>
  </si>
  <si>
    <t>وكيل/1 - علي مسلم الكتبي</t>
  </si>
  <si>
    <t xml:space="preserve">وكيل/1 - عمر أحمد مختار </t>
  </si>
  <si>
    <t xml:space="preserve">وكيل/ احمد سالمين سالم الشنيني </t>
  </si>
  <si>
    <t xml:space="preserve">وكيل/ أحمد سعيد حمد الشامسي </t>
  </si>
  <si>
    <t>وكيل/ علي عبدالله الصريدي</t>
  </si>
  <si>
    <t>وكيل/ محمد عمر سالم الخنبشي</t>
  </si>
  <si>
    <t xml:space="preserve">وكيل/ وليد مرزوق مسعود العلوي </t>
  </si>
  <si>
    <t xml:space="preserve">وكيل/ علي محمد عبدالله النقبي </t>
  </si>
  <si>
    <t>وكيل/ فهد علي سليمان الشحي</t>
  </si>
  <si>
    <t>وكيل/ محمد حميد عبيد الزعابي</t>
  </si>
  <si>
    <t xml:space="preserve">وكيل/ محمد علي الحمادي </t>
  </si>
  <si>
    <t>رقيب/1 - حامد سعيد شماريخ</t>
  </si>
  <si>
    <t xml:space="preserve">رقيب/1 - علي حميد علي الكندي </t>
  </si>
  <si>
    <t>رقيب/1 - فايز عيسى عبدالله البلوشي</t>
  </si>
  <si>
    <t xml:space="preserve">رقيب/1 - محمد جمعة محمد المنصوري </t>
  </si>
  <si>
    <t>رقيب/1 - محمد يوسف احمد ال علي</t>
  </si>
  <si>
    <t xml:space="preserve">رقيب / حسن علي سلطان ال علي </t>
  </si>
  <si>
    <t xml:space="preserve">رقيب / عوض محمد الكثيري </t>
  </si>
  <si>
    <t>تقييم السرية/فريق القتال في تنفيذ الهجوم السريع - تمرين لعبات حرب مجموعة لواء الإمارات/1 (رياح الصحراء 2025/19)</t>
  </si>
  <si>
    <t>إجراءات التخطيط.</t>
  </si>
  <si>
    <r>
      <t xml:space="preserve">أ.    البدء بالتخطيط من خلال إجراءات المعركة الثمانية </t>
    </r>
    <r>
      <rPr>
        <sz val="12"/>
        <color theme="1"/>
        <rFont val="Arial"/>
        <family val="2"/>
      </rPr>
      <t>(استلام المهمة - إصدار الأمر الإنذاري - عمل خطة أولية - بدء الحركة – الاستطلاع - إكمال الخطة - إصدار الأمر – الإشراف والمراقبة)</t>
    </r>
    <r>
      <rPr>
        <sz val="12"/>
        <color rgb="FF000000"/>
        <rFont val="Arial"/>
        <family val="2"/>
      </rPr>
      <t>.</t>
    </r>
  </si>
  <si>
    <t>ب.   تنفيذ الاستطلاع من الخارطة.</t>
  </si>
  <si>
    <t>جـ.   إعداد وتطوير خطة المناورة لتشمل ما يلي:</t>
  </si>
  <si>
    <t>(1)   التجميع للواجب بما يتلاءم مع المهمة.</t>
  </si>
  <si>
    <t>(2)   استخدام أحد الفصائل للعمل كقوة استطلاع إذا لم يكن هناك استطلاع تخصصي امام السرية.</t>
  </si>
  <si>
    <t>(3)   استخدام تشكيلة الحركة التي تُمكِّن من الانفتاح بسرعة والهجوم من أي اتجاه، وأن تكون الوحدات ضمن مسافات تمكنها من إسناد بعضها البعض لتسهيل رد الفعل.</t>
  </si>
  <si>
    <t xml:space="preserve">(4)   الحصول على التماس مع العدو بأصغر قوة ممكنة والمحافظة على حماية القوة لجميع الجهات. </t>
  </si>
  <si>
    <t>(5)  المحافظة على إمكانية حشد النيران بسرعة من أي اتجاه.</t>
  </si>
  <si>
    <t xml:space="preserve">د.   مراجعة إجراءات السيطرة الموضوعة من قبل الكتيبة/ مجموعة القتال وإضافة أي إجراءات سيطرة ضرورية على مستوى السرية. </t>
  </si>
  <si>
    <t>هـ.  تنسيق ومزامنة الوظائف القتالية التالية بناءً على متغيرات المهمة:</t>
  </si>
  <si>
    <t>(1)  إسناد النيران غير المباشرة.</t>
  </si>
  <si>
    <t>(2)  الإسناد الهندسي مع خطة المناورة.</t>
  </si>
  <si>
    <t>(3)  الإسناد الإداري قبل وأثناء العملية.</t>
  </si>
  <si>
    <t>إجراءات التحضير.</t>
  </si>
  <si>
    <t>أ.   تنقيح الخطة بناءً على التحديث المستمر للمعلومات الاستخبارية.</t>
  </si>
  <si>
    <t>ب.  تنفيذ تفقدات وتفتيشات ما قبل القتال.</t>
  </si>
  <si>
    <t>جـ.  التنسيق مع الوحدات المجاورة حسب الحاجة.</t>
  </si>
  <si>
    <t>أ.   أسلوب الحركة والتشكيلات.</t>
  </si>
  <si>
    <t>ب.  الإجراءات عند التماس.</t>
  </si>
  <si>
    <t>جـ.  التعامل مع الموانع.</t>
  </si>
  <si>
    <t>د.   إجراءات التحول للهجوم عند التماس مع العدو.</t>
  </si>
  <si>
    <t>إجراءات التنفيذ.</t>
  </si>
  <si>
    <t>أ.   الرد على العدو.</t>
  </si>
  <si>
    <t>ب.  إبلاغ المستوى الأعلى بحصول التماس.</t>
  </si>
  <si>
    <t>جـ.  تطوير الموقف.</t>
  </si>
  <si>
    <t xml:space="preserve">د.  الاستطلاع من الأرض من قبل قائد السرية. </t>
  </si>
  <si>
    <t>هـ.  إرسال تقرير مفصل للمستوى الأعلى بالموقف والتوصية بعمل ممكن للمستوى الأعلى (قوات العدو ضمن إمكانيات السرية).</t>
  </si>
  <si>
    <t>أ.   يصدر قائد السرية أوامره لقادة الفصائل باستخدام الجهاز اللاسلكي موضحاً لهم المهمة ومفهوم العمليات (المناورة والنيران).</t>
  </si>
  <si>
    <t>ب.   تخصيص أحد الفصائل ليقوم بتأسيس قاعدة إسناد بالنيران (يفضل أن يكون الفصيل الذي قام بالاشتباك الأولي مع العدو).</t>
  </si>
  <si>
    <t xml:space="preserve">جـ.   تقوم قاعدة الإسناد بالنيران بإسكات العدو. </t>
  </si>
  <si>
    <t>د.   طلب النيران غير المباشرة لإسكات أو حجب العدو وتوفير ساتر لمناورة السرية.</t>
  </si>
  <si>
    <t>هـ.   المناورة بباقي فصائل السرية بشكل جريء خارج مدى النيران المباشرة للعدو واستخدام الطرق التي تؤمن التخفية والتستر.</t>
  </si>
  <si>
    <t>و.   عند وصول عناصر المناورة إلى موقع يوفر الأفضلية، يمكن تنفيذ هجوم بالنار أو الاقتحام لتدمير قوات العدو.</t>
  </si>
  <si>
    <r>
      <t>1.</t>
    </r>
    <r>
      <rPr>
        <sz val="7"/>
        <color theme="1"/>
        <rFont val="Arial"/>
        <family val="2"/>
      </rPr>
      <t xml:space="preserve"> </t>
    </r>
    <r>
      <rPr>
        <sz val="12"/>
        <color rgb="FF000000"/>
        <rFont val="Arial"/>
        <family val="2"/>
      </rPr>
      <t>تستلم السرية الأمر من المستوى الأعلى لتنفيذ التقدم للتماس وتقوم بما يلي:</t>
    </r>
  </si>
  <si>
    <r>
      <t>2.</t>
    </r>
    <r>
      <rPr>
        <sz val="7"/>
        <color rgb="FF000000"/>
        <rFont val="Arial"/>
        <family val="2"/>
      </rPr>
      <t xml:space="preserve">  </t>
    </r>
    <r>
      <rPr>
        <sz val="12"/>
        <color rgb="FF000000"/>
        <rFont val="Arial"/>
        <family val="2"/>
      </rPr>
      <t xml:space="preserve">  إصدار أمر العمليات للوحدات المرؤوسة.</t>
    </r>
  </si>
  <si>
    <r>
      <t>1.</t>
    </r>
    <r>
      <rPr>
        <sz val="7"/>
        <color theme="1"/>
        <rFont val="Arial"/>
        <family val="2"/>
      </rPr>
      <t xml:space="preserve">  </t>
    </r>
    <r>
      <rPr>
        <sz val="12"/>
        <color rgb="FF000000"/>
        <rFont val="Arial"/>
        <family val="2"/>
      </rPr>
      <t xml:space="preserve">  تقوم قيادة السرية بالإشراف على الوحدات المرؤوسة أثناء تحضيرها للتقدم للتماس.</t>
    </r>
  </si>
  <si>
    <r>
      <t>2.</t>
    </r>
    <r>
      <rPr>
        <sz val="7"/>
        <color theme="1"/>
        <rFont val="Arial"/>
        <family val="2"/>
      </rPr>
      <t xml:space="preserve">  </t>
    </r>
    <r>
      <rPr>
        <sz val="12"/>
        <color rgb="FF000000"/>
        <rFont val="Arial"/>
        <family val="2"/>
      </rPr>
      <t xml:space="preserve">  تنفذ قيادة السرية الإجراءات التالية:</t>
    </r>
  </si>
  <si>
    <r>
      <t>3.</t>
    </r>
    <r>
      <rPr>
        <sz val="7"/>
        <color theme="1"/>
        <rFont val="Arial"/>
        <family val="2"/>
      </rPr>
      <t xml:space="preserve">  </t>
    </r>
    <r>
      <rPr>
        <sz val="12"/>
        <color rgb="FF000000"/>
        <rFont val="Arial"/>
        <family val="2"/>
      </rPr>
      <t xml:space="preserve">  إجراء التجارب على تنفيذ المهمة لتشمل ما يلي:</t>
    </r>
  </si>
  <si>
    <r>
      <t>4.</t>
    </r>
    <r>
      <rPr>
        <sz val="7"/>
        <color rgb="FF000000"/>
        <rFont val="Arial"/>
        <family val="2"/>
      </rPr>
      <t xml:space="preserve">   </t>
    </r>
    <r>
      <rPr>
        <sz val="12"/>
        <color rgb="FF000000"/>
        <rFont val="Arial"/>
        <family val="2"/>
      </rPr>
      <t xml:space="preserve">  توضيع القوات لبدء الحركة حسب دورها في الخطة.</t>
    </r>
  </si>
  <si>
    <r>
      <t>1.</t>
    </r>
    <r>
      <rPr>
        <sz val="7"/>
        <color theme="1"/>
        <rFont val="Arial"/>
        <family val="2"/>
      </rPr>
      <t xml:space="preserve">  </t>
    </r>
    <r>
      <rPr>
        <sz val="12"/>
        <color rgb="FF000000"/>
        <rFont val="Arial"/>
        <family val="2"/>
      </rPr>
      <t xml:space="preserve">  الحركة من منطقة التجمع حسب أولوية الحركة والخطة الموضوعة.</t>
    </r>
  </si>
  <si>
    <r>
      <t>2.</t>
    </r>
    <r>
      <rPr>
        <sz val="7"/>
        <color rgb="FF000000"/>
        <rFont val="Arial"/>
        <family val="2"/>
      </rPr>
      <t xml:space="preserve">   </t>
    </r>
    <r>
      <rPr>
        <sz val="12"/>
        <color rgb="FF000000"/>
        <rFont val="Arial"/>
        <family val="2"/>
      </rPr>
      <t xml:space="preserve">  إرسال المعلومات للمستوى الأعلى وحسب الأوامر التعبوية المستديمة.</t>
    </r>
  </si>
  <si>
    <r>
      <t>3.</t>
    </r>
    <r>
      <rPr>
        <sz val="7"/>
        <color rgb="FF000000"/>
        <rFont val="Arial"/>
        <family val="2"/>
      </rPr>
      <t xml:space="preserve">   </t>
    </r>
    <r>
      <rPr>
        <sz val="12"/>
        <color rgb="FF000000"/>
        <rFont val="Arial"/>
        <family val="2"/>
      </rPr>
      <t xml:space="preserve">  تطبيق إجراءات العمل عند التماس مع العدو وكما يلي:</t>
    </r>
  </si>
  <si>
    <r>
      <t>4.</t>
    </r>
    <r>
      <rPr>
        <sz val="7"/>
        <color theme="1"/>
        <rFont val="Arial"/>
        <family val="2"/>
      </rPr>
      <t xml:space="preserve">  </t>
    </r>
    <r>
      <rPr>
        <sz val="12"/>
        <color rgb="FF000000"/>
        <rFont val="Arial"/>
        <family val="2"/>
      </rPr>
      <t xml:space="preserve">  تنفيذ العمل الممكن للتعامل مع قوات العدو من خلال الهجوم السريع وكما يلي:</t>
    </r>
  </si>
  <si>
    <r>
      <t>5.</t>
    </r>
    <r>
      <rPr>
        <sz val="7"/>
        <color theme="1"/>
        <rFont val="Arial"/>
        <family val="2"/>
      </rPr>
      <t xml:space="preserve">  </t>
    </r>
    <r>
      <rPr>
        <sz val="12"/>
        <color rgb="FF000000"/>
        <rFont val="Arial"/>
        <family val="2"/>
      </rPr>
      <t xml:space="preserve">  بعد تدمير قوات العدو يتم إرسال تقرير بالموقف لقيادة الكتيبة/ مجموعة القتال.</t>
    </r>
  </si>
  <si>
    <r>
      <t xml:space="preserve">ملاحظـــات: 
</t>
    </r>
    <r>
      <rPr>
        <sz val="14"/>
        <color rgb="FF000000"/>
        <rFont val="Arial"/>
        <family val="2"/>
      </rPr>
      <t>1. تقييم مستوى الوحدة من خلال مراقبة الآداء أو طرح الأسئلة.
2. يعتبر هذا النموذج (سري للغاية) بعد إدخال علامات التقييم.
3. نموذج التقييم قابل للتطوير والتعديل.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</si>
</sst>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10C0000]d\ mmmm\ yyyy;@"/>
  </numFmts>
  <fonts count="19" x14ac:knownFonts="1">
    <font>
      <sz val="11"/>
      <color theme="1"/>
      <name val="Calibri"/>
      <family val="2"/>
      <scheme val="minor"/>
    </font>
    <font>
      <b/>
      <u/>
      <sz val="12"/>
      <color rgb="FF000000"/>
      <name val="Arial"/>
      <family val="2"/>
    </font>
    <font>
      <b/>
      <sz val="12"/>
      <color rgb="FF000000"/>
      <name val="Arial"/>
      <family val="2"/>
    </font>
    <font>
      <b/>
      <sz val="12"/>
      <color theme="1"/>
      <name val="Arial"/>
      <family val="2"/>
    </font>
    <font>
      <sz val="14"/>
      <color rgb="FF000000"/>
      <name val="Calibri"/>
      <family val="2"/>
      <scheme val="minor"/>
    </font>
    <font>
      <b/>
      <u/>
      <sz val="14"/>
      <color rgb="FF000000"/>
      <name val="Arial"/>
      <family val="2"/>
    </font>
    <font>
      <b/>
      <sz val="14"/>
      <color rgb="FF000000"/>
      <name val="Arial"/>
      <family val="2"/>
    </font>
    <font>
      <b/>
      <sz val="14"/>
      <color theme="1"/>
      <name val="Arial"/>
      <family val="2"/>
    </font>
    <font>
      <sz val="14"/>
      <color rgb="FF000000"/>
      <name val="Arial"/>
      <family val="2"/>
    </font>
    <font>
      <sz val="16"/>
      <color theme="1"/>
      <name val="Arial"/>
      <family val="2"/>
    </font>
    <font>
      <b/>
      <sz val="12"/>
      <color theme="1"/>
      <name val="Calibri"/>
      <family val="2"/>
      <scheme val="minor"/>
    </font>
    <font>
      <b/>
      <sz val="12"/>
      <name val="Arial"/>
      <family val="2"/>
    </font>
    <font>
      <b/>
      <sz val="12"/>
      <name val="Calibri"/>
      <family val="2"/>
      <scheme val="minor"/>
    </font>
    <font>
      <sz val="12"/>
      <color rgb="FF000000"/>
      <name val="Arial"/>
      <family val="2"/>
    </font>
    <font>
      <sz val="12"/>
      <color theme="1"/>
      <name val="Arial"/>
      <family val="2"/>
    </font>
    <font>
      <sz val="10"/>
      <color theme="1"/>
      <name val="Arial"/>
      <family val="2"/>
    </font>
    <font>
      <sz val="14"/>
      <color theme="1"/>
      <name val="Arial"/>
      <family val="2"/>
    </font>
    <font>
      <sz val="7"/>
      <color theme="1"/>
      <name val="Arial"/>
      <family val="2"/>
    </font>
    <font>
      <sz val="7"/>
      <color rgb="FF000000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4" tint="0.59999389629810485"/>
        <bgColor indexed="64"/>
      </patternFill>
    </fill>
  </fills>
  <borders count="27">
    <border>
      <left/>
      <right/>
      <top/>
      <bottom/>
      <diagonal/>
    </border>
    <border>
      <left/>
      <right/>
      <top style="medium">
        <color indexed="64"/>
      </top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7">
    <xf numFmtId="0" fontId="0" fillId="0" borderId="0" xfId="0"/>
    <xf numFmtId="0" fontId="0" fillId="0" borderId="0" xfId="0" applyProtection="1">
      <protection locked="0"/>
    </xf>
    <xf numFmtId="0" fontId="4" fillId="0" borderId="2" xfId="0" applyFont="1" applyBorder="1" applyAlignment="1" applyProtection="1">
      <alignment horizontal="center" vertical="center" wrapText="1" readingOrder="2"/>
      <protection locked="0"/>
    </xf>
    <xf numFmtId="0" fontId="0" fillId="0" borderId="0" xfId="0" applyAlignment="1" applyProtection="1">
      <alignment horizontal="center"/>
      <protection locked="0"/>
    </xf>
    <xf numFmtId="0" fontId="2" fillId="2" borderId="0" xfId="0" applyFont="1" applyFill="1" applyBorder="1" applyAlignment="1" applyProtection="1">
      <alignment vertical="center" wrapText="1" readingOrder="2"/>
      <protection locked="0"/>
    </xf>
    <xf numFmtId="0" fontId="1" fillId="0" borderId="0" xfId="0" applyFont="1" applyBorder="1" applyAlignment="1" applyProtection="1">
      <alignment vertical="top" wrapText="1" readingOrder="2"/>
      <protection locked="0"/>
    </xf>
    <xf numFmtId="0" fontId="6" fillId="0" borderId="0" xfId="0" applyFont="1" applyAlignment="1" applyProtection="1">
      <alignment vertical="center" wrapText="1" readingOrder="2"/>
      <protection locked="0"/>
    </xf>
    <xf numFmtId="0" fontId="6" fillId="0" borderId="0" xfId="0" applyFont="1" applyAlignment="1" applyProtection="1">
      <alignment horizontal="right" vertical="center" wrapText="1" readingOrder="2"/>
      <protection locked="0"/>
    </xf>
    <xf numFmtId="0" fontId="6" fillId="0" borderId="0" xfId="0" applyFont="1" applyAlignment="1" applyProtection="1">
      <alignment horizontal="center" vertical="center" wrapText="1" readingOrder="2"/>
      <protection locked="0"/>
    </xf>
    <xf numFmtId="0" fontId="2" fillId="0" borderId="3" xfId="0" applyFont="1" applyBorder="1" applyAlignment="1">
      <alignment horizontal="center" vertical="center" wrapText="1" readingOrder="2"/>
    </xf>
    <xf numFmtId="0" fontId="3" fillId="2" borderId="0" xfId="0" applyFont="1" applyFill="1" applyBorder="1" applyAlignment="1" applyProtection="1">
      <alignment vertical="center" wrapText="1" readingOrder="2"/>
      <protection locked="0"/>
    </xf>
    <xf numFmtId="0" fontId="6" fillId="4" borderId="3" xfId="0" applyFont="1" applyFill="1" applyBorder="1" applyAlignment="1" applyProtection="1">
      <alignment vertical="center" wrapText="1" readingOrder="2"/>
      <protection locked="0"/>
    </xf>
    <xf numFmtId="164" fontId="4" fillId="0" borderId="2" xfId="0" applyNumberFormat="1" applyFont="1" applyBorder="1" applyAlignment="1" applyProtection="1">
      <alignment horizontal="center" vertical="center" wrapText="1" readingOrder="2"/>
      <protection locked="0"/>
    </xf>
    <xf numFmtId="164" fontId="4" fillId="0" borderId="0" xfId="0" applyNumberFormat="1" applyFont="1" applyBorder="1" applyAlignment="1" applyProtection="1">
      <alignment horizontal="center" vertical="center" wrapText="1" readingOrder="2"/>
      <protection locked="0"/>
    </xf>
    <xf numFmtId="164" fontId="4" fillId="3" borderId="0" xfId="0" applyNumberFormat="1" applyFont="1" applyFill="1" applyBorder="1" applyAlignment="1" applyProtection="1">
      <alignment horizontal="center" vertical="center" wrapText="1" readingOrder="2"/>
      <protection locked="0"/>
    </xf>
    <xf numFmtId="0" fontId="0" fillId="3" borderId="0" xfId="0" applyFill="1" applyProtection="1">
      <protection locked="0"/>
    </xf>
    <xf numFmtId="0" fontId="0" fillId="3" borderId="0" xfId="0" applyFill="1"/>
    <xf numFmtId="0" fontId="4" fillId="0" borderId="0" xfId="0" applyFont="1" applyBorder="1" applyAlignment="1" applyProtection="1">
      <alignment horizontal="center" vertical="center" wrapText="1" readingOrder="2"/>
      <protection locked="0"/>
    </xf>
    <xf numFmtId="0" fontId="3" fillId="0" borderId="3" xfId="0" applyFont="1" applyBorder="1" applyAlignment="1" applyProtection="1">
      <alignment horizontal="center" vertical="center" wrapText="1" readingOrder="2"/>
      <protection locked="0"/>
    </xf>
    <xf numFmtId="0" fontId="3" fillId="0" borderId="12" xfId="0" applyFont="1" applyBorder="1" applyAlignment="1" applyProtection="1">
      <alignment horizontal="center" vertical="center" wrapText="1" readingOrder="2"/>
      <protection locked="0"/>
    </xf>
    <xf numFmtId="0" fontId="6" fillId="4" borderId="12" xfId="0" applyFont="1" applyFill="1" applyBorder="1" applyAlignment="1" applyProtection="1">
      <alignment horizontal="center" vertical="center" wrapText="1" readingOrder="2"/>
      <protection locked="0"/>
    </xf>
    <xf numFmtId="0" fontId="9" fillId="0" borderId="3" xfId="0" applyFont="1" applyBorder="1" applyAlignment="1">
      <alignment horizontal="center" vertical="center"/>
    </xf>
    <xf numFmtId="0" fontId="10" fillId="0" borderId="3" xfId="0" applyFont="1" applyBorder="1" applyAlignment="1">
      <alignment horizontal="center" vertical="center"/>
    </xf>
    <xf numFmtId="0" fontId="10" fillId="0" borderId="14" xfId="0" applyFont="1" applyBorder="1" applyAlignment="1">
      <alignment horizontal="center" vertical="center"/>
    </xf>
    <xf numFmtId="0" fontId="11" fillId="0" borderId="3" xfId="0" applyFont="1" applyFill="1" applyBorder="1" applyAlignment="1">
      <alignment horizontal="center" vertical="center"/>
    </xf>
    <xf numFmtId="0" fontId="3" fillId="0" borderId="3" xfId="0" applyFont="1" applyFill="1" applyBorder="1" applyAlignment="1">
      <alignment horizontal="center" vertical="center"/>
    </xf>
    <xf numFmtId="0" fontId="12" fillId="0" borderId="3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6" fillId="4" borderId="17" xfId="0" applyFont="1" applyFill="1" applyBorder="1" applyAlignment="1" applyProtection="1">
      <alignment horizontal="center" vertical="center" wrapText="1" readingOrder="2"/>
      <protection locked="0"/>
    </xf>
    <xf numFmtId="0" fontId="2" fillId="0" borderId="20" xfId="0" applyFont="1" applyBorder="1" applyAlignment="1">
      <alignment horizontal="center" vertical="center" wrapText="1" readingOrder="2"/>
    </xf>
    <xf numFmtId="9" fontId="3" fillId="0" borderId="3" xfId="0" applyNumberFormat="1" applyFont="1" applyBorder="1" applyAlignment="1">
      <alignment horizontal="center" vertical="center" wrapText="1" readingOrder="2"/>
    </xf>
    <xf numFmtId="0" fontId="2" fillId="0" borderId="3" xfId="0" applyFont="1" applyBorder="1" applyAlignment="1">
      <alignment horizontal="center" vertical="center" wrapText="1" readingOrder="1"/>
    </xf>
    <xf numFmtId="0" fontId="2" fillId="0" borderId="12" xfId="0" applyFont="1" applyBorder="1" applyAlignment="1">
      <alignment horizontal="center" vertical="center" wrapText="1" readingOrder="2"/>
    </xf>
    <xf numFmtId="9" fontId="3" fillId="0" borderId="12" xfId="0" applyNumberFormat="1" applyFont="1" applyBorder="1" applyAlignment="1">
      <alignment horizontal="center" vertical="center" wrapText="1" readingOrder="2"/>
    </xf>
    <xf numFmtId="0" fontId="2" fillId="0" borderId="12" xfId="0" applyFont="1" applyBorder="1" applyAlignment="1">
      <alignment horizontal="center" vertical="center" wrapText="1" readingOrder="1"/>
    </xf>
    <xf numFmtId="0" fontId="15" fillId="0" borderId="3" xfId="0" applyFont="1" applyBorder="1" applyAlignment="1">
      <alignment vertical="center" wrapText="1"/>
    </xf>
    <xf numFmtId="0" fontId="13" fillId="0" borderId="23" xfId="0" applyFont="1" applyBorder="1" applyAlignment="1">
      <alignment horizontal="right" vertical="center" wrapText="1" indent="2" readingOrder="2"/>
    </xf>
    <xf numFmtId="0" fontId="13" fillId="0" borderId="3" xfId="0" applyFont="1" applyBorder="1" applyAlignment="1">
      <alignment horizontal="right" vertical="center" wrapText="1" indent="2" readingOrder="2"/>
    </xf>
    <xf numFmtId="0" fontId="16" fillId="0" borderId="23" xfId="0" applyFont="1" applyBorder="1" applyAlignment="1">
      <alignment horizontal="right" vertical="center" wrapText="1" readingOrder="2"/>
    </xf>
    <xf numFmtId="0" fontId="16" fillId="0" borderId="3" xfId="0" applyFont="1" applyBorder="1" applyAlignment="1">
      <alignment horizontal="right" vertical="center" wrapText="1" readingOrder="2"/>
    </xf>
    <xf numFmtId="0" fontId="16" fillId="0" borderId="11" xfId="0" applyFont="1" applyBorder="1" applyAlignment="1">
      <alignment horizontal="right" vertical="center" wrapText="1" readingOrder="2"/>
    </xf>
    <xf numFmtId="0" fontId="16" fillId="0" borderId="12" xfId="0" applyFont="1" applyBorder="1" applyAlignment="1">
      <alignment horizontal="right" vertical="center" wrapText="1" readingOrder="2"/>
    </xf>
    <xf numFmtId="0" fontId="13" fillId="0" borderId="11" xfId="0" applyFont="1" applyBorder="1" applyAlignment="1">
      <alignment horizontal="right" vertical="center" wrapText="1" readingOrder="2"/>
    </xf>
    <xf numFmtId="0" fontId="13" fillId="0" borderId="12" xfId="0" applyFont="1" applyBorder="1" applyAlignment="1">
      <alignment horizontal="right" vertical="center" wrapText="1" readingOrder="2"/>
    </xf>
    <xf numFmtId="0" fontId="13" fillId="0" borderId="23" xfId="0" applyFont="1" applyBorder="1" applyAlignment="1">
      <alignment horizontal="right" vertical="center" wrapText="1" readingOrder="2"/>
    </xf>
    <xf numFmtId="0" fontId="13" fillId="0" borderId="3" xfId="0" applyFont="1" applyBorder="1" applyAlignment="1">
      <alignment horizontal="right" vertical="center" wrapText="1" readingOrder="2"/>
    </xf>
    <xf numFmtId="0" fontId="1" fillId="5" borderId="24" xfId="0" applyFont="1" applyFill="1" applyBorder="1" applyAlignment="1">
      <alignment horizontal="right" vertical="center" wrapText="1" readingOrder="2"/>
    </xf>
    <xf numFmtId="0" fontId="1" fillId="5" borderId="25" xfId="0" applyFont="1" applyFill="1" applyBorder="1" applyAlignment="1">
      <alignment horizontal="right" vertical="center" wrapText="1" readingOrder="2"/>
    </xf>
    <xf numFmtId="0" fontId="1" fillId="5" borderId="26" xfId="0" applyFont="1" applyFill="1" applyBorder="1" applyAlignment="1">
      <alignment horizontal="right" vertical="center" wrapText="1" readingOrder="2"/>
    </xf>
    <xf numFmtId="0" fontId="13" fillId="0" borderId="23" xfId="0" applyFont="1" applyBorder="1" applyAlignment="1">
      <alignment horizontal="right" vertical="center" wrapText="1" indent="4" readingOrder="2"/>
    </xf>
    <xf numFmtId="0" fontId="13" fillId="0" borderId="3" xfId="0" applyFont="1" applyBorder="1" applyAlignment="1">
      <alignment horizontal="right" vertical="center" wrapText="1" indent="4" readingOrder="2"/>
    </xf>
    <xf numFmtId="0" fontId="3" fillId="0" borderId="3" xfId="0" applyFont="1" applyBorder="1" applyAlignment="1" applyProtection="1">
      <alignment horizontal="center" vertical="center" wrapText="1" readingOrder="2"/>
      <protection locked="0"/>
    </xf>
    <xf numFmtId="0" fontId="3" fillId="0" borderId="7" xfId="0" applyFont="1" applyBorder="1" applyAlignment="1" applyProtection="1">
      <alignment horizontal="center" vertical="center" wrapText="1" readingOrder="2"/>
      <protection locked="0"/>
    </xf>
    <xf numFmtId="0" fontId="6" fillId="0" borderId="1" xfId="0" applyFont="1" applyBorder="1" applyAlignment="1" applyProtection="1">
      <alignment horizontal="left" vertical="center" wrapText="1" readingOrder="2"/>
      <protection locked="0"/>
    </xf>
    <xf numFmtId="0" fontId="6" fillId="0" borderId="0" xfId="0" applyFont="1" applyAlignment="1" applyProtection="1">
      <alignment horizontal="left" vertical="center" wrapText="1" readingOrder="2"/>
      <protection locked="0"/>
    </xf>
    <xf numFmtId="0" fontId="2" fillId="0" borderId="21" xfId="0" applyFont="1" applyBorder="1" applyAlignment="1">
      <alignment horizontal="center" vertical="center" wrapText="1" readingOrder="2"/>
    </xf>
    <xf numFmtId="0" fontId="2" fillId="0" borderId="15" xfId="0" applyFont="1" applyBorder="1" applyAlignment="1">
      <alignment horizontal="center" vertical="center" wrapText="1" readingOrder="2"/>
    </xf>
    <xf numFmtId="0" fontId="2" fillId="0" borderId="22" xfId="0" applyFont="1" applyBorder="1" applyAlignment="1">
      <alignment horizontal="center" vertical="center" wrapText="1" readingOrder="2"/>
    </xf>
    <xf numFmtId="0" fontId="3" fillId="0" borderId="12" xfId="0" applyFont="1" applyBorder="1" applyAlignment="1" applyProtection="1">
      <alignment horizontal="center" vertical="center" wrapText="1" readingOrder="2"/>
      <protection locked="0"/>
    </xf>
    <xf numFmtId="0" fontId="3" fillId="0" borderId="13" xfId="0" applyFont="1" applyBorder="1" applyAlignment="1" applyProtection="1">
      <alignment horizontal="center" vertical="center" wrapText="1" readingOrder="2"/>
      <protection locked="0"/>
    </xf>
    <xf numFmtId="49" fontId="5" fillId="0" borderId="0" xfId="0" applyNumberFormat="1" applyFont="1" applyAlignment="1" applyProtection="1">
      <alignment horizontal="center" vertical="top" wrapText="1" readingOrder="2"/>
      <protection locked="0"/>
    </xf>
    <xf numFmtId="164" fontId="6" fillId="0" borderId="3" xfId="0" applyNumberFormat="1" applyFont="1" applyBorder="1" applyAlignment="1" applyProtection="1">
      <alignment horizontal="right" vertical="center" wrapText="1" readingOrder="2"/>
      <protection locked="0"/>
    </xf>
    <xf numFmtId="0" fontId="7" fillId="4" borderId="5" xfId="0" applyFont="1" applyFill="1" applyBorder="1" applyAlignment="1" applyProtection="1">
      <alignment horizontal="center" vertical="center" wrapText="1" readingOrder="2"/>
      <protection locked="0"/>
    </xf>
    <xf numFmtId="0" fontId="7" fillId="4" borderId="4" xfId="0" applyFont="1" applyFill="1" applyBorder="1" applyAlignment="1" applyProtection="1">
      <alignment horizontal="center" vertical="center" wrapText="1" readingOrder="2"/>
      <protection locked="0"/>
    </xf>
    <xf numFmtId="0" fontId="7" fillId="4" borderId="11" xfId="0" applyFont="1" applyFill="1" applyBorder="1" applyAlignment="1" applyProtection="1">
      <alignment horizontal="center" vertical="center" wrapText="1" readingOrder="2"/>
      <protection locked="0"/>
    </xf>
    <xf numFmtId="0" fontId="7" fillId="4" borderId="12" xfId="0" applyFont="1" applyFill="1" applyBorder="1" applyAlignment="1" applyProtection="1">
      <alignment horizontal="center" vertical="center" wrapText="1" readingOrder="2"/>
      <protection locked="0"/>
    </xf>
    <xf numFmtId="0" fontId="6" fillId="0" borderId="3" xfId="0" applyFont="1" applyBorder="1" applyAlignment="1" applyProtection="1">
      <alignment horizontal="right" vertical="center" wrapText="1" readingOrder="2"/>
      <protection locked="0"/>
    </xf>
    <xf numFmtId="10" fontId="2" fillId="0" borderId="9" xfId="0" applyNumberFormat="1" applyFont="1" applyBorder="1" applyAlignment="1">
      <alignment horizontal="center" vertical="center" wrapText="1" readingOrder="2"/>
    </xf>
    <xf numFmtId="10" fontId="2" fillId="0" borderId="10" xfId="0" applyNumberFormat="1" applyFont="1" applyBorder="1" applyAlignment="1">
      <alignment horizontal="center" vertical="center" wrapText="1" readingOrder="2"/>
    </xf>
    <xf numFmtId="0" fontId="7" fillId="4" borderId="16" xfId="0" applyFont="1" applyFill="1" applyBorder="1" applyAlignment="1" applyProtection="1">
      <alignment horizontal="center" vertical="center" wrapText="1" readingOrder="2"/>
      <protection locked="0"/>
    </xf>
    <xf numFmtId="0" fontId="7" fillId="4" borderId="17" xfId="0" applyFont="1" applyFill="1" applyBorder="1" applyAlignment="1" applyProtection="1">
      <alignment horizontal="center" vertical="center" wrapText="1" readingOrder="2"/>
      <protection locked="0"/>
    </xf>
    <xf numFmtId="0" fontId="6" fillId="4" borderId="4" xfId="0" applyFont="1" applyFill="1" applyBorder="1" applyAlignment="1" applyProtection="1">
      <alignment horizontal="center" vertical="center" wrapText="1" readingOrder="2"/>
      <protection locked="0"/>
    </xf>
    <xf numFmtId="0" fontId="6" fillId="4" borderId="6" xfId="0" applyFont="1" applyFill="1" applyBorder="1" applyAlignment="1" applyProtection="1">
      <alignment horizontal="center" vertical="center" wrapText="1" readingOrder="2"/>
      <protection locked="0"/>
    </xf>
    <xf numFmtId="0" fontId="6" fillId="4" borderId="12" xfId="0" applyFont="1" applyFill="1" applyBorder="1" applyAlignment="1" applyProtection="1">
      <alignment horizontal="center" vertical="center" wrapText="1" readingOrder="2"/>
      <protection locked="0"/>
    </xf>
    <xf numFmtId="0" fontId="6" fillId="4" borderId="13" xfId="0" applyFont="1" applyFill="1" applyBorder="1" applyAlignment="1" applyProtection="1">
      <alignment horizontal="center" vertical="center" wrapText="1" readingOrder="2"/>
      <protection locked="0"/>
    </xf>
    <xf numFmtId="0" fontId="6" fillId="4" borderId="17" xfId="0" applyFont="1" applyFill="1" applyBorder="1" applyAlignment="1" applyProtection="1">
      <alignment horizontal="center" vertical="center" wrapText="1" readingOrder="2"/>
      <protection locked="0"/>
    </xf>
    <xf numFmtId="0" fontId="6" fillId="4" borderId="18" xfId="0" applyFont="1" applyFill="1" applyBorder="1" applyAlignment="1" applyProtection="1">
      <alignment horizontal="center" vertical="center" wrapText="1" readingOrder="2"/>
      <protection locked="0"/>
    </xf>
    <xf numFmtId="0" fontId="5" fillId="0" borderId="1" xfId="0" applyFont="1" applyBorder="1" applyAlignment="1" applyProtection="1">
      <alignment vertical="top" wrapText="1" readingOrder="2"/>
      <protection locked="0"/>
    </xf>
    <xf numFmtId="0" fontId="5" fillId="0" borderId="0" xfId="0" applyFont="1" applyBorder="1" applyAlignment="1" applyProtection="1">
      <alignment vertical="top" wrapText="1" readingOrder="2"/>
      <protection locked="0"/>
    </xf>
    <xf numFmtId="0" fontId="6" fillId="0" borderId="0" xfId="0" applyFont="1" applyBorder="1" applyAlignment="1" applyProtection="1">
      <alignment horizontal="right" vertical="center" wrapText="1" readingOrder="2"/>
      <protection locked="0"/>
    </xf>
    <xf numFmtId="0" fontId="6" fillId="0" borderId="0" xfId="0" applyFont="1" applyAlignment="1" applyProtection="1">
      <alignment horizontal="center" vertical="center" wrapText="1" readingOrder="2"/>
      <protection locked="0"/>
    </xf>
    <xf numFmtId="0" fontId="2" fillId="0" borderId="9" xfId="0" applyFont="1" applyBorder="1" applyAlignment="1">
      <alignment horizontal="center" vertical="center" wrapText="1" readingOrder="1"/>
    </xf>
    <xf numFmtId="0" fontId="2" fillId="0" borderId="10" xfId="0" applyFont="1" applyBorder="1" applyAlignment="1">
      <alignment horizontal="center" vertical="center" wrapText="1" readingOrder="1"/>
    </xf>
    <xf numFmtId="0" fontId="6" fillId="4" borderId="19" xfId="0" applyFont="1" applyFill="1" applyBorder="1" applyAlignment="1" applyProtection="1">
      <alignment horizontal="center" vertical="center" wrapText="1" readingOrder="2"/>
      <protection locked="0"/>
    </xf>
    <xf numFmtId="0" fontId="6" fillId="4" borderId="20" xfId="0" applyFont="1" applyFill="1" applyBorder="1" applyAlignment="1" applyProtection="1">
      <alignment horizontal="center" vertical="center" wrapText="1" readingOrder="2"/>
      <protection locked="0"/>
    </xf>
    <xf numFmtId="0" fontId="6" fillId="4" borderId="8" xfId="0" applyFont="1" applyFill="1" applyBorder="1" applyAlignment="1" applyProtection="1">
      <alignment horizontal="center" vertical="center" wrapText="1" readingOrder="2"/>
      <protection locked="0"/>
    </xf>
    <xf numFmtId="0" fontId="6" fillId="4" borderId="9" xfId="0" applyFont="1" applyFill="1" applyBorder="1" applyAlignment="1" applyProtection="1">
      <alignment horizontal="center" vertical="center" wrapText="1" readingOrder="2"/>
      <protection locked="0"/>
    </xf>
  </cellXfs>
  <cellStyles count="1">
    <cellStyle name="Normal" xfId="0" builtinId="0"/>
  </cellStyles>
  <dxfs count="24">
    <dxf>
      <font>
        <color theme="0"/>
      </font>
      <fill>
        <patternFill>
          <bgColor rgb="FFFF0000"/>
        </patternFill>
      </fill>
    </dxf>
    <dxf>
      <fill>
        <patternFill>
          <bgColor theme="5" tint="0.39994506668294322"/>
        </patternFill>
      </fill>
    </dxf>
    <dxf>
      <fill>
        <patternFill>
          <bgColor rgb="FFFFFF00"/>
        </patternFill>
      </fill>
    </dxf>
    <dxf>
      <fill>
        <patternFill>
          <bgColor rgb="FF00CC00"/>
        </patternFill>
      </fill>
    </dxf>
    <dxf>
      <font>
        <color theme="1"/>
      </font>
      <fill>
        <patternFill>
          <bgColor rgb="FF00B0F0"/>
        </patternFill>
      </fill>
    </dxf>
    <dxf>
      <font>
        <color rgb="FFFF0000"/>
      </font>
    </dxf>
    <dxf>
      <font>
        <color rgb="FFFF0000"/>
      </font>
    </dxf>
    <dxf>
      <font>
        <color theme="1"/>
      </font>
      <fill>
        <patternFill>
          <bgColor rgb="FF00B0F0"/>
        </patternFill>
      </fill>
    </dxf>
    <dxf>
      <fill>
        <patternFill>
          <bgColor rgb="FF00CC00"/>
        </patternFill>
      </fill>
    </dxf>
    <dxf>
      <fill>
        <patternFill>
          <bgColor rgb="FFFFFF00"/>
        </patternFill>
      </fill>
    </dxf>
    <dxf>
      <fill>
        <patternFill>
          <bgColor theme="5" tint="0.39994506668294322"/>
        </patternFill>
      </fill>
    </dxf>
    <dxf>
      <font>
        <color theme="0"/>
      </font>
      <fill>
        <patternFill>
          <bgColor rgb="FFFF0000"/>
        </patternFill>
      </fill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theme="0"/>
      </font>
      <fill>
        <patternFill>
          <bgColor theme="8"/>
        </patternFill>
      </fill>
    </dxf>
    <dxf>
      <font>
        <b/>
        <i val="0"/>
        <color theme="1"/>
      </font>
      <fill>
        <patternFill>
          <bgColor rgb="FFFF9933"/>
        </patternFill>
      </fill>
    </dxf>
    <dxf>
      <font>
        <b/>
        <i val="0"/>
        <color theme="1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339933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color rgb="FFFF0000"/>
      </font>
    </dxf>
    <dxf>
      <font>
        <color rgb="FFFF0000"/>
      </font>
    </dxf>
  </dxfs>
  <tableStyles count="0" defaultTableStyle="TableStyleMedium2" defaultPivotStyle="PivotStyleLight16"/>
  <colors>
    <mruColors>
      <color rgb="FFFF9933"/>
      <color rgb="FF00CC00"/>
      <color rgb="FF339933"/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 /><Relationship Id="rId2" Type="http://schemas.openxmlformats.org/officeDocument/2006/relationships/worksheet" Target="worksheets/sheet2.xml" /><Relationship Id="rId1" Type="http://schemas.openxmlformats.org/officeDocument/2006/relationships/worksheet" Target="worksheets/sheet1.xml" /><Relationship Id="rId6" Type="http://schemas.openxmlformats.org/officeDocument/2006/relationships/calcChain" Target="calcChain.xml" /><Relationship Id="rId5" Type="http://schemas.openxmlformats.org/officeDocument/2006/relationships/sharedStrings" Target="sharedStrings.xml" /><Relationship Id="rId4" Type="http://schemas.openxmlformats.org/officeDocument/2006/relationships/styles" Target="styles.xml" 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ustomXml" Target="../ink/ink2.xml" /><Relationship Id="rId2" Type="http://schemas.openxmlformats.org/officeDocument/2006/relationships/image" Target="../media/image1.png" /><Relationship Id="rId1" Type="http://schemas.openxmlformats.org/officeDocument/2006/relationships/customXml" Target="../ink/ink1.xml" /><Relationship Id="rId4" Type="http://schemas.openxmlformats.org/officeDocument/2006/relationships/image" Target="../media/image2.png" 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399163</xdr:colOff>
      <xdr:row>56</xdr:row>
      <xdr:rowOff>7500</xdr:rowOff>
    </xdr:from>
    <xdr:to>
      <xdr:col>9</xdr:col>
      <xdr:colOff>128412</xdr:colOff>
      <xdr:row>56</xdr:row>
      <xdr:rowOff>530220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1">
          <xdr14:nvContentPartPr>
            <xdr14:cNvPr id="2" name="Ink 1">
              <a:extLst>
                <a:ext uri="{FF2B5EF4-FFF2-40B4-BE49-F238E27FC236}">
                  <a16:creationId xmlns:a16="http://schemas.microsoft.com/office/drawing/2014/main" id="{B225F3DF-5682-EE0A-49EA-3BC25B21DAAD}"/>
                </a:ext>
              </a:extLst>
            </xdr14:cNvPr>
            <xdr14:cNvContentPartPr/>
          </xdr14:nvContentPartPr>
          <xdr14:nvPr macro=""/>
          <xdr14:xfrm>
            <a:off x="10398458407" y="27630000"/>
            <a:ext cx="1703520" cy="522720"/>
          </xdr14:xfrm>
        </xdr:contentPart>
      </mc:Choice>
      <mc:Fallback>
        <xdr:pic>
          <xdr:nvPicPr>
            <xdr:cNvPr id="2" name="Ink 1">
              <a:extLst>
                <a:ext uri="{FF2B5EF4-FFF2-40B4-BE49-F238E27FC236}">
                  <a16:creationId xmlns:a16="http://schemas.microsoft.com/office/drawing/2014/main" id="{B225F3DF-5682-EE0A-49EA-3BC25B21DAAD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10398449767" y="27621000"/>
              <a:ext cx="1721160" cy="54036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7</xdr:col>
      <xdr:colOff>110433</xdr:colOff>
      <xdr:row>56</xdr:row>
      <xdr:rowOff>491700</xdr:rowOff>
    </xdr:from>
    <xdr:to>
      <xdr:col>7</xdr:col>
      <xdr:colOff>112593</xdr:colOff>
      <xdr:row>56</xdr:row>
      <xdr:rowOff>503220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3">
          <xdr14:nvContentPartPr>
            <xdr14:cNvPr id="3" name="Ink 2">
              <a:extLst>
                <a:ext uri="{FF2B5EF4-FFF2-40B4-BE49-F238E27FC236}">
                  <a16:creationId xmlns:a16="http://schemas.microsoft.com/office/drawing/2014/main" id="{329805A6-6847-EF2D-9704-658B3B06B344}"/>
                </a:ext>
              </a:extLst>
            </xdr14:cNvPr>
            <xdr14:cNvContentPartPr/>
          </xdr14:nvContentPartPr>
          <xdr14:nvPr macro=""/>
          <xdr14:xfrm>
            <a:off x="10399790407" y="28114200"/>
            <a:ext cx="2160" cy="11520"/>
          </xdr14:xfrm>
        </xdr:contentPart>
      </mc:Choice>
      <mc:Fallback>
        <xdr:pic>
          <xdr:nvPicPr>
            <xdr:cNvPr id="3" name="Ink 2">
              <a:extLst>
                <a:ext uri="{FF2B5EF4-FFF2-40B4-BE49-F238E27FC236}">
                  <a16:creationId xmlns:a16="http://schemas.microsoft.com/office/drawing/2014/main" id="{329805A6-6847-EF2D-9704-658B3B06B344}"/>
                </a:ext>
              </a:extLst>
            </xdr:cNvPr>
            <xdr:cNvPicPr/>
          </xdr:nvPicPr>
          <xdr:blipFill>
            <a:blip xmlns:r="http://schemas.openxmlformats.org/officeDocument/2006/relationships" r:embed="rId4"/>
            <a:stretch>
              <a:fillRect/>
            </a:stretch>
          </xdr:blipFill>
          <xdr:spPr>
            <a:xfrm>
              <a:off x="10399781407" y="28105200"/>
              <a:ext cx="19800" cy="29160"/>
            </a:xfrm>
            <a:prstGeom prst="rect">
              <a:avLst/>
            </a:prstGeom>
          </xdr:spPr>
        </xdr:pic>
      </mc:Fallback>
    </mc:AlternateContent>
    <xdr:clientData/>
  </xdr:twoCellAnchor>
</xdr:wsDr>
</file>

<file path=xl/ink/ink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10-14T07:23:20.690"/>
    </inkml:context>
    <inkml:brush xml:id="br0">
      <inkml:brushProperty name="width" value="0.05" units="cm"/>
      <inkml:brushProperty name="height" value="0.05" units="cm"/>
    </inkml:brush>
  </inkml:definitions>
  <inkml:trace contextRef="#ctx0" brushRef="#br0">4607 283 14387,'0'0'0,"0"-21"632,0 21-632,0-17 560,2-3-72,-2 6 104,0 9 120,0 5-712,0-12 896,0 7 89,0 1-121,0 0-208,0 4-656,0-3 464,0 2-208,0 1-160,0 0-72,0 0-24,0 0 24,0 0-32,-2 0-8,0 0 40,2 0-24,0 0 16,0 4 8,0 14 0,4-1-64,-4-17 40,12 23-8,-7 3-32,7 1-16,3 1 48,-15-28 8,14 30-80,1-3 40,-3-1 0,-8-4 8,-4-22 32,15 22-16,-10 2-8,-1 0 32,6 3 24,-10-27-32,0 28 0,0-1 0,0-2 8,0-7-48,0-18 40,0 14 16,-12-2 32,0-1-16,-10-7 56,22-4-88,-24 19 80,-12-5-72,-2 0 48,-6-1-48,44-13-8,-48 4 16,-2 1 48,-1-1-8,-2-4-88,53 0 32,-50-3 56,2-10-16,7 0 40,2 1 128,39 12-208,-33-15 160,1 3-32,6-3 8,7 3-32,19 12-104,-17-15 96,5 0 32,7-1 40,-2 2 16,7 14-184,-3-13 201,-1 9 7,1 0-112,1-1-56,2 5-40,0-1 24,-3 1-88,3 0-32,0 11 40,0-11 56,-4 12-40,-1 2 16,-7 0 112,7-1-128,5-13 40,-17 11-144,3-6 152,-8 10-16,-2-11 48,24-4-40,-24 16 0,-5-12 40,-7 11-56,-7-11 72,43-4-56,-48 11 64,-5-8-88,-7 1 48,-10 8-8,70-12-16,-80 4 96,-6 9-72,-3-2 64,-10 3-160,99-14 72,-108 16-40,-5 1-16,-5 1-40,-7 0 88,125-18 8,-123 18 0,1 0 0,-6 1-40,3 1 24,125-20 16,-127 20-40,-1 0 64,3 0-24,5-1 72,120-19-72,-111 18 64,3-1-80,4-3 88,6 0-96,98-14 24,-101 4 8,2 12 8,-2-12 0,-2 8-16,103-12 0,-101 2-40,-3 3 80,6-2-96,11-1 24,87-2 32,-84 0 48,12-1-96,2-10 104,10-1-16,60 12-40,-53-14 32,7 0-8,10 1 16,10 0-40,26 13 0,-22-6 56,5-8-16,12 10 0,1 0 16,4 4-56,-5-5 56,5 1-40,0 0-56,5 0 8,-5 4 32,16-5-40,6-9 0,9 9-56,13-11 96,-44 16 0,50-14 40,13 2 16,4-2 96,15 0-184,-82 14 32,98-14-8,18-5 48,14 1 0,19-1 80,-149 19-120,151-21-40,11-2 80,6-1-88,8-2 0,-176 26 48,182-27 96,-1 0-136,-8 0 56,0-1 0,-173 28-16,161-29 40,-2 1-16,-3-2-8,-11 0-16,-145 30 0,137-32-16,-12-2 16,-17-1 40,-12 1 112,-96 34-152,80-32 48,-15 0 16,-12 1-8,-13 3 40,-40 28-96,27-29 88,-15 4-88,-14-1 56,-15-1-200,17 27 144,-27-27-8,-9-1 32,-14 2-8,-10 3-32,60 23 16,-70-14 0,-5 10-24,1 2-32,-3 5 56,77-3 0,-75 16-16,10 2 40,5 4-32,2 0-24,58-22 32,-41 27-56,5 3-8,10 4 32,9 6-32,17-40 64,-7 47-72,2 6 56,5 5-24,14 4 120,-14-62-80,17 67 56,7-3-24,5-4 8,5-3-40,-34-57 0,36 47 72,-7-3-8,2-2 48,0 0-24,-31-42-88,27 41 96,2-1 40,-5-2-136,-7 0 48,-17-38-48,19 37 8,-7-2-16,-7-4-24,9-1 32,-14-30 0,2 28 16,1 2-32,-1-2 104,3 2-88,-5-30 0,0 30-168,0-3-168,2-1-304,1-2-401,-3-24 1041,2 23-1384,13-4-376,-10-1-289,9-1-687,-14-17 2736,17 4-3137,7-4 0,-2 3-3072,-22-3 6209</inkml:trace>
</inkml:ink>
</file>

<file path=xl/ink/ink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10-14T07:23:21.109"/>
    </inkml:context>
    <inkml:brush xml:id="br0">
      <inkml:brushProperty name="width" value="0.05" units="cm"/>
      <inkml:brushProperty name="height" value="0.05" units="cm"/>
    </inkml:brush>
  </inkml:definitions>
  <inkml:trace contextRef="#ctx0" brushRef="#br0">0 21 20484,'0'0'0,"0"-2"1272,0 2-1272,3-6 600,-3 0-184,0 2-112,0 3 105,0 1-409,0-2 280,0 2-192,0 0-64,0 0-144,0 0 120,0 3-369,0 1-503,0 8-808,-3-8-1329,3-4 3009,0 4-4137,5 0-4792,-5-4 8929</inkml:trace>
</inkml: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 /><Relationship Id="rId1" Type="http://schemas.openxmlformats.org/officeDocument/2006/relationships/printerSettings" Target="../printerSettings/printerSettings1.bin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1D0DF2-5DCE-4624-B909-68D4EC5F2664}">
  <sheetPr codeName="Sheet1">
    <pageSetUpPr fitToPage="1"/>
  </sheetPr>
  <dimension ref="A1:J57"/>
  <sheetViews>
    <sheetView rightToLeft="1" tabSelected="1" view="pageBreakPreview" topLeftCell="D43" zoomScale="130" zoomScaleNormal="100" zoomScaleSheetLayoutView="130" workbookViewId="0">
      <selection activeCell="G57" sqref="G57:J57"/>
    </sheetView>
  </sheetViews>
  <sheetFormatPr defaultColWidth="9.01171875" defaultRowHeight="15" x14ac:dyDescent="0.2"/>
  <cols>
    <col min="1" max="1" width="5.109375" style="1" customWidth="1"/>
    <col min="2" max="2" width="12.10546875" style="1" customWidth="1"/>
    <col min="3" max="3" width="9.01171875" style="1"/>
    <col min="4" max="4" width="28.11328125" style="1" customWidth="1"/>
    <col min="5" max="7" width="9.28125" style="1" customWidth="1"/>
    <col min="8" max="8" width="9.28125" style="3" customWidth="1"/>
    <col min="9" max="9" width="9.28125" style="1" customWidth="1"/>
    <col min="10" max="10" width="15.46875" style="1" customWidth="1"/>
    <col min="11" max="16384" width="9.01171875" style="1"/>
  </cols>
  <sheetData>
    <row r="1" spans="1:10" ht="45" customHeight="1" x14ac:dyDescent="0.2">
      <c r="B1" s="60" t="s">
        <v>175</v>
      </c>
      <c r="C1" s="60"/>
      <c r="D1" s="60"/>
      <c r="E1" s="60"/>
      <c r="F1" s="60"/>
      <c r="G1" s="60"/>
      <c r="H1" s="60"/>
      <c r="I1" s="60"/>
      <c r="J1" s="60"/>
    </row>
    <row r="2" spans="1:10" ht="30" customHeight="1" x14ac:dyDescent="0.2">
      <c r="B2" s="11" t="s">
        <v>8</v>
      </c>
      <c r="C2" s="66" t="s">
        <v>37</v>
      </c>
      <c r="D2" s="66"/>
      <c r="E2" s="11" t="s">
        <v>7</v>
      </c>
      <c r="F2" s="61">
        <v>45913</v>
      </c>
      <c r="G2" s="61"/>
      <c r="H2" s="61"/>
      <c r="I2" s="61"/>
      <c r="J2" s="61"/>
    </row>
    <row r="3" spans="1:10" ht="30" customHeight="1" x14ac:dyDescent="0.2">
      <c r="B3" s="11" t="s">
        <v>9</v>
      </c>
      <c r="C3" s="66" t="s">
        <v>78</v>
      </c>
      <c r="D3" s="66"/>
      <c r="E3" s="11" t="s">
        <v>6</v>
      </c>
      <c r="F3" s="66" t="s">
        <v>134</v>
      </c>
      <c r="G3" s="66"/>
      <c r="H3" s="66"/>
      <c r="I3" s="66"/>
      <c r="J3" s="66"/>
    </row>
    <row r="4" spans="1:10" ht="30" customHeight="1" thickBot="1" x14ac:dyDescent="0.25">
      <c r="B4" s="6"/>
      <c r="C4" s="7"/>
      <c r="D4" s="7"/>
      <c r="E4" s="6"/>
      <c r="F4" s="7"/>
      <c r="G4" s="7"/>
      <c r="H4" s="8"/>
      <c r="I4" s="7"/>
      <c r="J4" s="7"/>
    </row>
    <row r="5" spans="1:10" ht="24.95" customHeight="1" x14ac:dyDescent="0.2">
      <c r="A5" s="10"/>
      <c r="B5" s="62" t="s">
        <v>0</v>
      </c>
      <c r="C5" s="63"/>
      <c r="D5" s="63"/>
      <c r="E5" s="71" t="s">
        <v>1</v>
      </c>
      <c r="F5" s="71"/>
      <c r="G5" s="71"/>
      <c r="H5" s="71"/>
      <c r="I5" s="71" t="s">
        <v>2</v>
      </c>
      <c r="J5" s="72"/>
    </row>
    <row r="6" spans="1:10" ht="24.95" customHeight="1" thickBot="1" x14ac:dyDescent="0.25">
      <c r="A6" s="10"/>
      <c r="B6" s="64"/>
      <c r="C6" s="65"/>
      <c r="D6" s="65"/>
      <c r="E6" s="20" t="s">
        <v>3</v>
      </c>
      <c r="F6" s="20" t="s">
        <v>4</v>
      </c>
      <c r="G6" s="20" t="s">
        <v>23</v>
      </c>
      <c r="H6" s="20" t="s">
        <v>24</v>
      </c>
      <c r="I6" s="73"/>
      <c r="J6" s="74"/>
    </row>
    <row r="7" spans="1:10" ht="24.95" customHeight="1" thickBot="1" x14ac:dyDescent="0.25">
      <c r="A7" s="10"/>
      <c r="B7" s="69" t="s">
        <v>21</v>
      </c>
      <c r="C7" s="70"/>
      <c r="D7" s="70"/>
      <c r="E7" s="28" t="s">
        <v>18</v>
      </c>
      <c r="F7" s="28" t="s">
        <v>19</v>
      </c>
      <c r="G7" s="28" t="s">
        <v>22</v>
      </c>
      <c r="H7" s="28" t="s">
        <v>20</v>
      </c>
      <c r="I7" s="75" t="s">
        <v>25</v>
      </c>
      <c r="J7" s="76"/>
    </row>
    <row r="8" spans="1:10" ht="39.950000000000003" customHeight="1" x14ac:dyDescent="0.2">
      <c r="A8" s="10"/>
      <c r="B8" s="46" t="s">
        <v>176</v>
      </c>
      <c r="C8" s="47"/>
      <c r="D8" s="47"/>
      <c r="E8" s="47"/>
      <c r="F8" s="47"/>
      <c r="G8" s="47"/>
      <c r="H8" s="47"/>
      <c r="I8" s="47"/>
      <c r="J8" s="48"/>
    </row>
    <row r="9" spans="1:10" ht="39.950000000000003" customHeight="1" x14ac:dyDescent="0.2">
      <c r="A9" s="10"/>
      <c r="B9" s="38" t="s">
        <v>210</v>
      </c>
      <c r="C9" s="39"/>
      <c r="D9" s="39"/>
      <c r="E9" s="35"/>
      <c r="F9" s="18"/>
      <c r="G9" s="30"/>
      <c r="H9" s="31"/>
      <c r="I9" s="51"/>
      <c r="J9" s="52"/>
    </row>
    <row r="10" spans="1:10" ht="59.25" customHeight="1" x14ac:dyDescent="0.2">
      <c r="A10" s="10"/>
      <c r="B10" s="36" t="s">
        <v>177</v>
      </c>
      <c r="C10" s="37"/>
      <c r="D10" s="37"/>
      <c r="E10" s="9">
        <v>5</v>
      </c>
      <c r="F10" s="18">
        <v>3.75</v>
      </c>
      <c r="G10" s="30">
        <f t="shared" ref="G10:G52" si="0">IFERROR(F10/E10,"")</f>
        <v>0.75</v>
      </c>
      <c r="H10" s="31" t="str">
        <f t="shared" ref="H10:H52" si="1">_xlfn.IFS(F10="أدخل العلامة","",F10="لا ينطبق","تم الإلغاء",G10&gt;=90%,"ممتاز",G10&gt;=80%,"جيد جداً",G10&gt;=70%,"جيد",G10&gt;=60%,"مقبول",G10&lt;60%,"راسب")</f>
        <v>جيد</v>
      </c>
      <c r="I10" s="51"/>
      <c r="J10" s="52"/>
    </row>
    <row r="11" spans="1:10" ht="39.950000000000003" customHeight="1" x14ac:dyDescent="0.2">
      <c r="A11" s="10"/>
      <c r="B11" s="36" t="s">
        <v>178</v>
      </c>
      <c r="C11" s="37"/>
      <c r="D11" s="37"/>
      <c r="E11" s="9">
        <v>5</v>
      </c>
      <c r="F11" s="18">
        <v>3.75</v>
      </c>
      <c r="G11" s="30">
        <f t="shared" si="0"/>
        <v>0.75</v>
      </c>
      <c r="H11" s="31" t="str">
        <f t="shared" si="1"/>
        <v>جيد</v>
      </c>
      <c r="I11" s="51"/>
      <c r="J11" s="52"/>
    </row>
    <row r="12" spans="1:10" ht="39.950000000000003" customHeight="1" x14ac:dyDescent="0.2">
      <c r="A12" s="10"/>
      <c r="B12" s="36" t="s">
        <v>179</v>
      </c>
      <c r="C12" s="37"/>
      <c r="D12" s="37"/>
      <c r="E12" s="35"/>
      <c r="F12" s="18"/>
      <c r="G12" s="30"/>
      <c r="H12" s="31"/>
      <c r="I12" s="51"/>
      <c r="J12" s="52"/>
    </row>
    <row r="13" spans="1:10" ht="39.950000000000003" customHeight="1" x14ac:dyDescent="0.2">
      <c r="A13" s="10"/>
      <c r="B13" s="49" t="s">
        <v>180</v>
      </c>
      <c r="C13" s="50"/>
      <c r="D13" s="50"/>
      <c r="E13" s="9">
        <v>5</v>
      </c>
      <c r="F13" s="18">
        <v>3.25</v>
      </c>
      <c r="G13" s="30">
        <f t="shared" si="0"/>
        <v>0.65</v>
      </c>
      <c r="H13" s="31" t="str">
        <f t="shared" si="1"/>
        <v>مقبول</v>
      </c>
      <c r="I13" s="51"/>
      <c r="J13" s="52"/>
    </row>
    <row r="14" spans="1:10" ht="39.950000000000003" customHeight="1" x14ac:dyDescent="0.2">
      <c r="A14" s="10"/>
      <c r="B14" s="49" t="s">
        <v>181</v>
      </c>
      <c r="C14" s="50"/>
      <c r="D14" s="50"/>
      <c r="E14" s="9">
        <v>5</v>
      </c>
      <c r="F14" s="18">
        <v>3.75</v>
      </c>
      <c r="G14" s="30">
        <f t="shared" si="0"/>
        <v>0.75</v>
      </c>
      <c r="H14" s="31" t="str">
        <f t="shared" si="1"/>
        <v>جيد</v>
      </c>
      <c r="I14" s="51"/>
      <c r="J14" s="52"/>
    </row>
    <row r="15" spans="1:10" ht="54" customHeight="1" x14ac:dyDescent="0.2">
      <c r="A15" s="10"/>
      <c r="B15" s="49" t="s">
        <v>182</v>
      </c>
      <c r="C15" s="50"/>
      <c r="D15" s="50"/>
      <c r="E15" s="9">
        <v>5</v>
      </c>
      <c r="F15" s="18">
        <v>3.75</v>
      </c>
      <c r="G15" s="30">
        <f t="shared" si="0"/>
        <v>0.75</v>
      </c>
      <c r="H15" s="31" t="str">
        <f t="shared" si="1"/>
        <v>جيد</v>
      </c>
      <c r="I15" s="51"/>
      <c r="J15" s="52"/>
    </row>
    <row r="16" spans="1:10" ht="39.950000000000003" customHeight="1" x14ac:dyDescent="0.2">
      <c r="A16" s="10"/>
      <c r="B16" s="49" t="s">
        <v>183</v>
      </c>
      <c r="C16" s="50"/>
      <c r="D16" s="50"/>
      <c r="E16" s="9">
        <v>5</v>
      </c>
      <c r="F16" s="18">
        <v>3.75</v>
      </c>
      <c r="G16" s="30">
        <f t="shared" si="0"/>
        <v>0.75</v>
      </c>
      <c r="H16" s="31" t="str">
        <f t="shared" si="1"/>
        <v>جيد</v>
      </c>
      <c r="I16" s="51"/>
      <c r="J16" s="52"/>
    </row>
    <row r="17" spans="1:10" ht="39.950000000000003" customHeight="1" x14ac:dyDescent="0.2">
      <c r="A17" s="10"/>
      <c r="B17" s="49" t="s">
        <v>184</v>
      </c>
      <c r="C17" s="50"/>
      <c r="D17" s="50"/>
      <c r="E17" s="9">
        <v>5</v>
      </c>
      <c r="F17" s="18">
        <v>3.25</v>
      </c>
      <c r="G17" s="30">
        <f t="shared" si="0"/>
        <v>0.65</v>
      </c>
      <c r="H17" s="31" t="str">
        <f t="shared" si="1"/>
        <v>مقبول</v>
      </c>
      <c r="I17" s="51"/>
      <c r="J17" s="52"/>
    </row>
    <row r="18" spans="1:10" ht="39.950000000000003" customHeight="1" x14ac:dyDescent="0.2">
      <c r="A18" s="10"/>
      <c r="B18" s="36" t="s">
        <v>185</v>
      </c>
      <c r="C18" s="37"/>
      <c r="D18" s="37"/>
      <c r="E18" s="9">
        <v>5</v>
      </c>
      <c r="F18" s="18">
        <v>3.25</v>
      </c>
      <c r="G18" s="30">
        <f t="shared" si="0"/>
        <v>0.65</v>
      </c>
      <c r="H18" s="31" t="str">
        <f t="shared" si="1"/>
        <v>مقبول</v>
      </c>
      <c r="I18" s="51"/>
      <c r="J18" s="52"/>
    </row>
    <row r="19" spans="1:10" ht="39.950000000000003" customHeight="1" x14ac:dyDescent="0.2">
      <c r="A19" s="10"/>
      <c r="B19" s="36" t="s">
        <v>186</v>
      </c>
      <c r="C19" s="37"/>
      <c r="D19" s="37"/>
      <c r="E19" s="35"/>
      <c r="F19" s="18"/>
      <c r="G19" s="30"/>
      <c r="H19" s="31"/>
      <c r="I19" s="51"/>
      <c r="J19" s="52"/>
    </row>
    <row r="20" spans="1:10" ht="39.950000000000003" customHeight="1" x14ac:dyDescent="0.2">
      <c r="A20" s="10"/>
      <c r="B20" s="49" t="s">
        <v>187</v>
      </c>
      <c r="C20" s="50"/>
      <c r="D20" s="50"/>
      <c r="E20" s="9">
        <v>5</v>
      </c>
      <c r="F20" s="18">
        <v>3.75</v>
      </c>
      <c r="G20" s="30">
        <f t="shared" si="0"/>
        <v>0.75</v>
      </c>
      <c r="H20" s="31" t="str">
        <f t="shared" si="1"/>
        <v>جيد</v>
      </c>
      <c r="I20" s="51"/>
      <c r="J20" s="52"/>
    </row>
    <row r="21" spans="1:10" ht="39.950000000000003" customHeight="1" x14ac:dyDescent="0.2">
      <c r="A21" s="10"/>
      <c r="B21" s="49" t="s">
        <v>188</v>
      </c>
      <c r="C21" s="50"/>
      <c r="D21" s="50"/>
      <c r="E21" s="9">
        <v>5</v>
      </c>
      <c r="F21" s="18">
        <v>3.75</v>
      </c>
      <c r="G21" s="30">
        <f t="shared" si="0"/>
        <v>0.75</v>
      </c>
      <c r="H21" s="31" t="str">
        <f t="shared" si="1"/>
        <v>جيد</v>
      </c>
      <c r="I21" s="51"/>
      <c r="J21" s="52"/>
    </row>
    <row r="22" spans="1:10" ht="39.950000000000003" customHeight="1" x14ac:dyDescent="0.2">
      <c r="A22" s="10"/>
      <c r="B22" s="49" t="s">
        <v>189</v>
      </c>
      <c r="C22" s="50"/>
      <c r="D22" s="50"/>
      <c r="E22" s="9">
        <v>5</v>
      </c>
      <c r="F22" s="18">
        <v>3.75</v>
      </c>
      <c r="G22" s="30">
        <f t="shared" si="0"/>
        <v>0.75</v>
      </c>
      <c r="H22" s="31" t="str">
        <f t="shared" si="1"/>
        <v>جيد</v>
      </c>
      <c r="I22" s="51"/>
      <c r="J22" s="52"/>
    </row>
    <row r="23" spans="1:10" ht="39.950000000000003" customHeight="1" thickBot="1" x14ac:dyDescent="0.25">
      <c r="A23" s="10"/>
      <c r="B23" s="42" t="s">
        <v>211</v>
      </c>
      <c r="C23" s="43"/>
      <c r="D23" s="43"/>
      <c r="E23" s="32">
        <v>5</v>
      </c>
      <c r="F23" s="19">
        <v>3.75</v>
      </c>
      <c r="G23" s="33">
        <f t="shared" si="0"/>
        <v>0.75</v>
      </c>
      <c r="H23" s="34" t="str">
        <f t="shared" si="1"/>
        <v>جيد</v>
      </c>
      <c r="I23" s="58"/>
      <c r="J23" s="59"/>
    </row>
    <row r="24" spans="1:10" ht="39.950000000000003" customHeight="1" x14ac:dyDescent="0.2">
      <c r="A24" s="10"/>
      <c r="B24" s="46" t="s">
        <v>190</v>
      </c>
      <c r="C24" s="47"/>
      <c r="D24" s="47"/>
      <c r="E24" s="47"/>
      <c r="F24" s="47"/>
      <c r="G24" s="47"/>
      <c r="H24" s="47"/>
      <c r="I24" s="47"/>
      <c r="J24" s="48"/>
    </row>
    <row r="25" spans="1:10" ht="39.950000000000003" customHeight="1" x14ac:dyDescent="0.2">
      <c r="A25" s="10"/>
      <c r="B25" s="38" t="s">
        <v>212</v>
      </c>
      <c r="C25" s="39"/>
      <c r="D25" s="39"/>
      <c r="E25" s="9">
        <v>5</v>
      </c>
      <c r="F25" s="18">
        <v>3.75</v>
      </c>
      <c r="G25" s="30">
        <f t="shared" si="0"/>
        <v>0.75</v>
      </c>
      <c r="H25" s="31" t="str">
        <f t="shared" si="1"/>
        <v>جيد</v>
      </c>
      <c r="I25" s="51"/>
      <c r="J25" s="52"/>
    </row>
    <row r="26" spans="1:10" ht="39.950000000000003" customHeight="1" x14ac:dyDescent="0.2">
      <c r="A26" s="10"/>
      <c r="B26" s="38" t="s">
        <v>213</v>
      </c>
      <c r="C26" s="39"/>
      <c r="D26" s="39"/>
      <c r="E26" s="35"/>
      <c r="F26" s="18"/>
      <c r="G26" s="30"/>
      <c r="H26" s="31"/>
      <c r="I26" s="51"/>
      <c r="J26" s="52"/>
    </row>
    <row r="27" spans="1:10" ht="39.950000000000003" customHeight="1" x14ac:dyDescent="0.2">
      <c r="A27" s="10"/>
      <c r="B27" s="36" t="s">
        <v>191</v>
      </c>
      <c r="C27" s="37"/>
      <c r="D27" s="37"/>
      <c r="E27" s="9">
        <v>5</v>
      </c>
      <c r="F27" s="18">
        <v>3.75</v>
      </c>
      <c r="G27" s="30">
        <f t="shared" si="0"/>
        <v>0.75</v>
      </c>
      <c r="H27" s="31" t="str">
        <f t="shared" si="1"/>
        <v>جيد</v>
      </c>
      <c r="I27" s="51"/>
      <c r="J27" s="52"/>
    </row>
    <row r="28" spans="1:10" ht="39.950000000000003" customHeight="1" x14ac:dyDescent="0.2">
      <c r="A28" s="10"/>
      <c r="B28" s="36" t="s">
        <v>192</v>
      </c>
      <c r="C28" s="37"/>
      <c r="D28" s="37"/>
      <c r="E28" s="9">
        <v>5</v>
      </c>
      <c r="F28" s="18">
        <v>3.75</v>
      </c>
      <c r="G28" s="30">
        <f t="shared" si="0"/>
        <v>0.75</v>
      </c>
      <c r="H28" s="31" t="str">
        <f t="shared" si="1"/>
        <v>جيد</v>
      </c>
      <c r="I28" s="51"/>
      <c r="J28" s="52"/>
    </row>
    <row r="29" spans="1:10" ht="39.950000000000003" customHeight="1" x14ac:dyDescent="0.2">
      <c r="A29" s="10"/>
      <c r="B29" s="36" t="s">
        <v>193</v>
      </c>
      <c r="C29" s="37"/>
      <c r="D29" s="37"/>
      <c r="E29" s="9">
        <v>5</v>
      </c>
      <c r="F29" s="18">
        <v>3.25</v>
      </c>
      <c r="G29" s="30">
        <f t="shared" si="0"/>
        <v>0.65</v>
      </c>
      <c r="H29" s="31" t="str">
        <f t="shared" si="1"/>
        <v>مقبول</v>
      </c>
      <c r="I29" s="51"/>
      <c r="J29" s="52"/>
    </row>
    <row r="30" spans="1:10" ht="39.950000000000003" customHeight="1" x14ac:dyDescent="0.2">
      <c r="A30" s="10"/>
      <c r="B30" s="38" t="s">
        <v>214</v>
      </c>
      <c r="C30" s="39"/>
      <c r="D30" s="39"/>
      <c r="E30" s="35"/>
      <c r="F30" s="18"/>
      <c r="G30" s="30"/>
      <c r="H30" s="31"/>
      <c r="I30" s="51"/>
      <c r="J30" s="52"/>
    </row>
    <row r="31" spans="1:10" ht="39.950000000000003" customHeight="1" x14ac:dyDescent="0.2">
      <c r="A31" s="10"/>
      <c r="B31" s="36" t="s">
        <v>194</v>
      </c>
      <c r="C31" s="37"/>
      <c r="D31" s="37"/>
      <c r="E31" s="9">
        <v>5</v>
      </c>
      <c r="F31" s="18">
        <v>3.25</v>
      </c>
      <c r="G31" s="30">
        <f t="shared" si="0"/>
        <v>0.65</v>
      </c>
      <c r="H31" s="31" t="str">
        <f t="shared" si="1"/>
        <v>مقبول</v>
      </c>
      <c r="I31" s="51"/>
      <c r="J31" s="52"/>
    </row>
    <row r="32" spans="1:10" ht="39.950000000000003" customHeight="1" x14ac:dyDescent="0.2">
      <c r="A32" s="10"/>
      <c r="B32" s="36" t="s">
        <v>195</v>
      </c>
      <c r="C32" s="37"/>
      <c r="D32" s="37"/>
      <c r="E32" s="9">
        <v>5</v>
      </c>
      <c r="F32" s="18">
        <v>3.25</v>
      </c>
      <c r="G32" s="30">
        <f t="shared" si="0"/>
        <v>0.65</v>
      </c>
      <c r="H32" s="31" t="str">
        <f t="shared" si="1"/>
        <v>مقبول</v>
      </c>
      <c r="I32" s="51"/>
      <c r="J32" s="52"/>
    </row>
    <row r="33" spans="1:10" ht="39.950000000000003" customHeight="1" x14ac:dyDescent="0.2">
      <c r="A33" s="10"/>
      <c r="B33" s="36" t="s">
        <v>196</v>
      </c>
      <c r="C33" s="37"/>
      <c r="D33" s="37"/>
      <c r="E33" s="9">
        <v>5</v>
      </c>
      <c r="F33" s="18">
        <v>3.25</v>
      </c>
      <c r="G33" s="30">
        <f t="shared" si="0"/>
        <v>0.65</v>
      </c>
      <c r="H33" s="31" t="str">
        <f t="shared" si="1"/>
        <v>مقبول</v>
      </c>
      <c r="I33" s="51"/>
      <c r="J33" s="52"/>
    </row>
    <row r="34" spans="1:10" ht="39.950000000000003" customHeight="1" x14ac:dyDescent="0.2">
      <c r="A34" s="10"/>
      <c r="B34" s="36" t="s">
        <v>197</v>
      </c>
      <c r="C34" s="37"/>
      <c r="D34" s="37"/>
      <c r="E34" s="9">
        <v>5</v>
      </c>
      <c r="F34" s="18">
        <v>3.75</v>
      </c>
      <c r="G34" s="30">
        <f t="shared" si="0"/>
        <v>0.75</v>
      </c>
      <c r="H34" s="31" t="str">
        <f t="shared" si="1"/>
        <v>جيد</v>
      </c>
      <c r="I34" s="51"/>
      <c r="J34" s="52"/>
    </row>
    <row r="35" spans="1:10" ht="39.950000000000003" customHeight="1" thickBot="1" x14ac:dyDescent="0.25">
      <c r="A35" s="10"/>
      <c r="B35" s="42" t="s">
        <v>215</v>
      </c>
      <c r="C35" s="43"/>
      <c r="D35" s="43"/>
      <c r="E35" s="32">
        <v>5</v>
      </c>
      <c r="F35" s="19">
        <v>3.75</v>
      </c>
      <c r="G35" s="33">
        <f t="shared" si="0"/>
        <v>0.75</v>
      </c>
      <c r="H35" s="34" t="str">
        <f t="shared" si="1"/>
        <v>جيد</v>
      </c>
      <c r="I35" s="58"/>
      <c r="J35" s="59"/>
    </row>
    <row r="36" spans="1:10" ht="39.950000000000003" customHeight="1" x14ac:dyDescent="0.2">
      <c r="A36" s="10"/>
      <c r="B36" s="46" t="s">
        <v>198</v>
      </c>
      <c r="C36" s="47"/>
      <c r="D36" s="47"/>
      <c r="E36" s="47"/>
      <c r="F36" s="47"/>
      <c r="G36" s="47"/>
      <c r="H36" s="47"/>
      <c r="I36" s="47"/>
      <c r="J36" s="48"/>
    </row>
    <row r="37" spans="1:10" ht="39.950000000000003" customHeight="1" x14ac:dyDescent="0.2">
      <c r="A37" s="10"/>
      <c r="B37" s="38" t="s">
        <v>216</v>
      </c>
      <c r="C37" s="39"/>
      <c r="D37" s="39"/>
      <c r="E37" s="9">
        <v>5</v>
      </c>
      <c r="F37" s="18">
        <v>3.75</v>
      </c>
      <c r="G37" s="30">
        <f t="shared" si="0"/>
        <v>0.75</v>
      </c>
      <c r="H37" s="31" t="str">
        <f t="shared" si="1"/>
        <v>جيد</v>
      </c>
      <c r="I37" s="51"/>
      <c r="J37" s="52"/>
    </row>
    <row r="38" spans="1:10" ht="39.950000000000003" customHeight="1" x14ac:dyDescent="0.2">
      <c r="A38" s="10"/>
      <c r="B38" s="44" t="s">
        <v>217</v>
      </c>
      <c r="C38" s="45"/>
      <c r="D38" s="45"/>
      <c r="E38" s="9">
        <v>5</v>
      </c>
      <c r="F38" s="18">
        <v>3.75</v>
      </c>
      <c r="G38" s="30">
        <f t="shared" si="0"/>
        <v>0.75</v>
      </c>
      <c r="H38" s="31" t="str">
        <f t="shared" si="1"/>
        <v>جيد</v>
      </c>
      <c r="I38" s="51"/>
      <c r="J38" s="52"/>
    </row>
    <row r="39" spans="1:10" ht="39.950000000000003" customHeight="1" x14ac:dyDescent="0.2">
      <c r="A39" s="10"/>
      <c r="B39" s="44" t="s">
        <v>218</v>
      </c>
      <c r="C39" s="45"/>
      <c r="D39" s="45"/>
      <c r="E39" s="35"/>
      <c r="F39" s="18"/>
      <c r="G39" s="30"/>
      <c r="H39" s="31"/>
      <c r="I39" s="51"/>
      <c r="J39" s="52"/>
    </row>
    <row r="40" spans="1:10" ht="39.950000000000003" customHeight="1" x14ac:dyDescent="0.2">
      <c r="A40" s="10"/>
      <c r="B40" s="36" t="s">
        <v>199</v>
      </c>
      <c r="C40" s="37"/>
      <c r="D40" s="37"/>
      <c r="E40" s="9">
        <v>5</v>
      </c>
      <c r="F40" s="18">
        <v>3.75</v>
      </c>
      <c r="G40" s="30">
        <f t="shared" si="0"/>
        <v>0.75</v>
      </c>
      <c r="H40" s="31" t="str">
        <f t="shared" si="1"/>
        <v>جيد</v>
      </c>
      <c r="I40" s="51"/>
      <c r="J40" s="52"/>
    </row>
    <row r="41" spans="1:10" ht="39.950000000000003" customHeight="1" x14ac:dyDescent="0.2">
      <c r="A41" s="10"/>
      <c r="B41" s="36" t="s">
        <v>200</v>
      </c>
      <c r="C41" s="37"/>
      <c r="D41" s="37"/>
      <c r="E41" s="9">
        <v>5</v>
      </c>
      <c r="F41" s="18">
        <v>3.75</v>
      </c>
      <c r="G41" s="30">
        <f t="shared" si="0"/>
        <v>0.75</v>
      </c>
      <c r="H41" s="31" t="str">
        <f t="shared" si="1"/>
        <v>جيد</v>
      </c>
      <c r="I41" s="51"/>
      <c r="J41" s="52"/>
    </row>
    <row r="42" spans="1:10" ht="39.950000000000003" customHeight="1" x14ac:dyDescent="0.2">
      <c r="A42" s="10"/>
      <c r="B42" s="36" t="s">
        <v>201</v>
      </c>
      <c r="C42" s="37"/>
      <c r="D42" s="37"/>
      <c r="E42" s="9">
        <v>5</v>
      </c>
      <c r="F42" s="18">
        <v>3.75</v>
      </c>
      <c r="G42" s="30">
        <f t="shared" si="0"/>
        <v>0.75</v>
      </c>
      <c r="H42" s="31" t="str">
        <f t="shared" si="1"/>
        <v>جيد</v>
      </c>
      <c r="I42" s="51"/>
      <c r="J42" s="52"/>
    </row>
    <row r="43" spans="1:10" ht="39.950000000000003" customHeight="1" x14ac:dyDescent="0.2">
      <c r="A43" s="10"/>
      <c r="B43" s="36" t="s">
        <v>202</v>
      </c>
      <c r="C43" s="37"/>
      <c r="D43" s="37"/>
      <c r="E43" s="9">
        <v>5</v>
      </c>
      <c r="F43" s="18">
        <v>3.25</v>
      </c>
      <c r="G43" s="30">
        <f t="shared" si="0"/>
        <v>0.65</v>
      </c>
      <c r="H43" s="31" t="str">
        <f t="shared" si="1"/>
        <v>مقبول</v>
      </c>
      <c r="I43" s="51"/>
      <c r="J43" s="52"/>
    </row>
    <row r="44" spans="1:10" ht="39.950000000000003" customHeight="1" x14ac:dyDescent="0.2">
      <c r="A44" s="10"/>
      <c r="B44" s="36" t="s">
        <v>203</v>
      </c>
      <c r="C44" s="37"/>
      <c r="D44" s="37"/>
      <c r="E44" s="9">
        <v>5</v>
      </c>
      <c r="F44" s="18">
        <v>3.25</v>
      </c>
      <c r="G44" s="30">
        <f t="shared" si="0"/>
        <v>0.65</v>
      </c>
      <c r="H44" s="31" t="str">
        <f t="shared" si="1"/>
        <v>مقبول</v>
      </c>
      <c r="I44" s="51"/>
      <c r="J44" s="52"/>
    </row>
    <row r="45" spans="1:10" ht="39.950000000000003" customHeight="1" x14ac:dyDescent="0.2">
      <c r="A45" s="10"/>
      <c r="B45" s="38" t="s">
        <v>219</v>
      </c>
      <c r="C45" s="39"/>
      <c r="D45" s="39"/>
      <c r="E45" s="9"/>
      <c r="F45" s="18"/>
      <c r="G45" s="30"/>
      <c r="H45" s="31"/>
      <c r="I45" s="51"/>
      <c r="J45" s="52"/>
    </row>
    <row r="46" spans="1:10" ht="39.950000000000003" customHeight="1" x14ac:dyDescent="0.2">
      <c r="A46" s="10"/>
      <c r="B46" s="36" t="s">
        <v>204</v>
      </c>
      <c r="C46" s="37"/>
      <c r="D46" s="37"/>
      <c r="E46" s="9">
        <v>5</v>
      </c>
      <c r="F46" s="18">
        <v>3.25</v>
      </c>
      <c r="G46" s="30">
        <f t="shared" si="0"/>
        <v>0.65</v>
      </c>
      <c r="H46" s="31" t="str">
        <f t="shared" si="1"/>
        <v>مقبول</v>
      </c>
      <c r="I46" s="51"/>
      <c r="J46" s="52"/>
    </row>
    <row r="47" spans="1:10" ht="39.950000000000003" customHeight="1" x14ac:dyDescent="0.2">
      <c r="A47" s="10"/>
      <c r="B47" s="36" t="s">
        <v>205</v>
      </c>
      <c r="C47" s="37"/>
      <c r="D47" s="37"/>
      <c r="E47" s="9">
        <v>5</v>
      </c>
      <c r="F47" s="18">
        <v>3.25</v>
      </c>
      <c r="G47" s="30">
        <f t="shared" si="0"/>
        <v>0.65</v>
      </c>
      <c r="H47" s="31" t="str">
        <f t="shared" si="1"/>
        <v>مقبول</v>
      </c>
      <c r="I47" s="51"/>
      <c r="J47" s="52"/>
    </row>
    <row r="48" spans="1:10" ht="39.950000000000003" customHeight="1" x14ac:dyDescent="0.2">
      <c r="A48" s="10"/>
      <c r="B48" s="36" t="s">
        <v>206</v>
      </c>
      <c r="C48" s="37"/>
      <c r="D48" s="37"/>
      <c r="E48" s="9">
        <v>5</v>
      </c>
      <c r="F48" s="18">
        <v>3.75</v>
      </c>
      <c r="G48" s="30">
        <f t="shared" si="0"/>
        <v>0.75</v>
      </c>
      <c r="H48" s="31" t="str">
        <f t="shared" si="1"/>
        <v>جيد</v>
      </c>
      <c r="I48" s="51"/>
      <c r="J48" s="52"/>
    </row>
    <row r="49" spans="1:10" ht="39.950000000000003" customHeight="1" x14ac:dyDescent="0.2">
      <c r="A49" s="10"/>
      <c r="B49" s="36" t="s">
        <v>207</v>
      </c>
      <c r="C49" s="37"/>
      <c r="D49" s="37"/>
      <c r="E49" s="9">
        <v>5</v>
      </c>
      <c r="F49" s="18">
        <v>3.75</v>
      </c>
      <c r="G49" s="30">
        <f t="shared" si="0"/>
        <v>0.75</v>
      </c>
      <c r="H49" s="31" t="str">
        <f t="shared" si="1"/>
        <v>جيد</v>
      </c>
      <c r="I49" s="51"/>
      <c r="J49" s="52"/>
    </row>
    <row r="50" spans="1:10" ht="39.950000000000003" customHeight="1" x14ac:dyDescent="0.2">
      <c r="A50" s="10"/>
      <c r="B50" s="36" t="s">
        <v>208</v>
      </c>
      <c r="C50" s="37"/>
      <c r="D50" s="37"/>
      <c r="E50" s="9">
        <v>5</v>
      </c>
      <c r="F50" s="18">
        <v>3.25</v>
      </c>
      <c r="G50" s="30">
        <f t="shared" si="0"/>
        <v>0.65</v>
      </c>
      <c r="H50" s="31" t="str">
        <f t="shared" si="1"/>
        <v>مقبول</v>
      </c>
      <c r="I50" s="51"/>
      <c r="J50" s="52"/>
    </row>
    <row r="51" spans="1:10" ht="39.950000000000003" customHeight="1" x14ac:dyDescent="0.2">
      <c r="A51" s="10"/>
      <c r="B51" s="36" t="s">
        <v>209</v>
      </c>
      <c r="C51" s="37"/>
      <c r="D51" s="37"/>
      <c r="E51" s="9">
        <v>5</v>
      </c>
      <c r="F51" s="18">
        <v>3.25</v>
      </c>
      <c r="G51" s="30">
        <f t="shared" si="0"/>
        <v>0.65</v>
      </c>
      <c r="H51" s="31" t="str">
        <f t="shared" si="1"/>
        <v>مقبول</v>
      </c>
      <c r="I51" s="51"/>
      <c r="J51" s="52"/>
    </row>
    <row r="52" spans="1:10" ht="39.950000000000003" customHeight="1" thickBot="1" x14ac:dyDescent="0.25">
      <c r="A52" s="10"/>
      <c r="B52" s="40" t="s">
        <v>220</v>
      </c>
      <c r="C52" s="41"/>
      <c r="D52" s="41"/>
      <c r="E52" s="32">
        <v>5</v>
      </c>
      <c r="F52" s="19">
        <v>3.25</v>
      </c>
      <c r="G52" s="33">
        <f t="shared" si="0"/>
        <v>0.65</v>
      </c>
      <c r="H52" s="34" t="str">
        <f t="shared" si="1"/>
        <v>مقبول</v>
      </c>
      <c r="I52" s="58"/>
      <c r="J52" s="59"/>
    </row>
    <row r="53" spans="1:10" ht="30" customHeight="1" thickBot="1" x14ac:dyDescent="0.25">
      <c r="A53" s="4"/>
      <c r="B53" s="83" t="s">
        <v>5</v>
      </c>
      <c r="C53" s="84"/>
      <c r="D53" s="84"/>
      <c r="E53" s="29">
        <f>SUM(E8:E52)</f>
        <v>175</v>
      </c>
      <c r="F53" s="29">
        <f>SUM(F8:F52)</f>
        <v>124.25</v>
      </c>
      <c r="G53" s="55"/>
      <c r="H53" s="56"/>
      <c r="I53" s="56"/>
      <c r="J53" s="57"/>
    </row>
    <row r="54" spans="1:10" ht="30" customHeight="1" thickBot="1" x14ac:dyDescent="0.25">
      <c r="A54" s="4"/>
      <c r="B54" s="85" t="s">
        <v>54</v>
      </c>
      <c r="C54" s="86"/>
      <c r="D54" s="86"/>
      <c r="E54" s="67">
        <f>F53/E53/100*100</f>
        <v>0.71</v>
      </c>
      <c r="F54" s="67"/>
      <c r="G54" s="67"/>
      <c r="H54" s="67"/>
      <c r="I54" s="67"/>
      <c r="J54" s="68"/>
    </row>
    <row r="55" spans="1:10" ht="30" customHeight="1" thickBot="1" x14ac:dyDescent="0.25">
      <c r="A55" s="4"/>
      <c r="B55" s="85" t="s">
        <v>55</v>
      </c>
      <c r="C55" s="86"/>
      <c r="D55" s="86"/>
      <c r="E55" s="81" t="str">
        <f>_xlfn.IFS(E54&gt;=90%,"ممتاز",E54&gt;=80%,"جيد جداً",E54&gt;=70%,"جيد",E54&gt;=60%,"مقبول",E54&lt;60%,"راسب")</f>
        <v>جيد</v>
      </c>
      <c r="F55" s="81"/>
      <c r="G55" s="81"/>
      <c r="H55" s="81"/>
      <c r="I55" s="81"/>
      <c r="J55" s="82"/>
    </row>
    <row r="56" spans="1:10" ht="42" customHeight="1" x14ac:dyDescent="0.2">
      <c r="B56" s="77" t="s">
        <v>221</v>
      </c>
      <c r="C56" s="77"/>
      <c r="D56" s="77"/>
      <c r="E56" s="53" t="s">
        <v>52</v>
      </c>
      <c r="F56" s="53"/>
      <c r="G56" s="79" t="s">
        <v>134</v>
      </c>
      <c r="H56" s="79"/>
      <c r="I56" s="79"/>
      <c r="J56" s="79"/>
    </row>
    <row r="57" spans="1:10" ht="51" customHeight="1" x14ac:dyDescent="0.2">
      <c r="A57" s="5"/>
      <c r="B57" s="78"/>
      <c r="C57" s="78"/>
      <c r="D57" s="78"/>
      <c r="E57" s="54" t="s">
        <v>53</v>
      </c>
      <c r="F57" s="54"/>
      <c r="G57" s="80"/>
      <c r="H57" s="80"/>
      <c r="I57" s="80"/>
      <c r="J57" s="80"/>
    </row>
  </sheetData>
  <sheetProtection sheet="1" formatCells="0" formatColumns="0" formatRows="0" insertColumns="0" insertRows="0" insertHyperlinks="0" deleteColumns="0" deleteRows="0" selectLockedCells="1" sort="0" autoFilter="0" pivotTables="0"/>
  <mergeCells count="108">
    <mergeCell ref="B56:D57"/>
    <mergeCell ref="G56:J56"/>
    <mergeCell ref="G57:J57"/>
    <mergeCell ref="E55:J55"/>
    <mergeCell ref="I40:J40"/>
    <mergeCell ref="I41:J41"/>
    <mergeCell ref="I42:J42"/>
    <mergeCell ref="I43:J43"/>
    <mergeCell ref="I44:J44"/>
    <mergeCell ref="I49:J49"/>
    <mergeCell ref="I50:J50"/>
    <mergeCell ref="I51:J51"/>
    <mergeCell ref="I52:J52"/>
    <mergeCell ref="B53:D53"/>
    <mergeCell ref="B54:D54"/>
    <mergeCell ref="B55:D55"/>
    <mergeCell ref="B1:J1"/>
    <mergeCell ref="F2:J2"/>
    <mergeCell ref="B5:D6"/>
    <mergeCell ref="C2:D2"/>
    <mergeCell ref="C3:D3"/>
    <mergeCell ref="F3:J3"/>
    <mergeCell ref="E54:J54"/>
    <mergeCell ref="B7:D7"/>
    <mergeCell ref="I38:J38"/>
    <mergeCell ref="I39:J39"/>
    <mergeCell ref="I30:J30"/>
    <mergeCell ref="I31:J31"/>
    <mergeCell ref="E5:H5"/>
    <mergeCell ref="I37:J37"/>
    <mergeCell ref="I5:J6"/>
    <mergeCell ref="I7:J7"/>
    <mergeCell ref="I10:J10"/>
    <mergeCell ref="I32:J32"/>
    <mergeCell ref="I33:J33"/>
    <mergeCell ref="I34:J34"/>
    <mergeCell ref="I35:J35"/>
    <mergeCell ref="I11:J11"/>
    <mergeCell ref="I12:J12"/>
    <mergeCell ref="I13:J13"/>
    <mergeCell ref="E56:F56"/>
    <mergeCell ref="E57:F57"/>
    <mergeCell ref="G53:J53"/>
    <mergeCell ref="I45:J45"/>
    <mergeCell ref="I46:J46"/>
    <mergeCell ref="I47:J47"/>
    <mergeCell ref="I48:J48"/>
    <mergeCell ref="I19:J19"/>
    <mergeCell ref="I20:J20"/>
    <mergeCell ref="I21:J21"/>
    <mergeCell ref="I22:J22"/>
    <mergeCell ref="I23:J23"/>
    <mergeCell ref="I25:J25"/>
    <mergeCell ref="I26:J26"/>
    <mergeCell ref="I27:J27"/>
    <mergeCell ref="I28:J28"/>
    <mergeCell ref="I29:J29"/>
    <mergeCell ref="B9:D9"/>
    <mergeCell ref="B10:D10"/>
    <mergeCell ref="B11:D11"/>
    <mergeCell ref="B12:D12"/>
    <mergeCell ref="B13:D13"/>
    <mergeCell ref="B14:D14"/>
    <mergeCell ref="B15:D15"/>
    <mergeCell ref="B16:D16"/>
    <mergeCell ref="B8:J8"/>
    <mergeCell ref="I9:J9"/>
    <mergeCell ref="I14:J14"/>
    <mergeCell ref="I15:J15"/>
    <mergeCell ref="I16:J16"/>
    <mergeCell ref="B17:D17"/>
    <mergeCell ref="B18:D18"/>
    <mergeCell ref="B19:D19"/>
    <mergeCell ref="B20:D20"/>
    <mergeCell ref="B21:D21"/>
    <mergeCell ref="B22:D22"/>
    <mergeCell ref="B23:D23"/>
    <mergeCell ref="B25:D25"/>
    <mergeCell ref="B24:J24"/>
    <mergeCell ref="I17:J17"/>
    <mergeCell ref="I18:J18"/>
    <mergeCell ref="B26:D26"/>
    <mergeCell ref="B27:D27"/>
    <mergeCell ref="B28:D28"/>
    <mergeCell ref="B29:D29"/>
    <mergeCell ref="B30:D30"/>
    <mergeCell ref="B31:D31"/>
    <mergeCell ref="B32:D32"/>
    <mergeCell ref="B33:D33"/>
    <mergeCell ref="B34:D34"/>
    <mergeCell ref="B35:D35"/>
    <mergeCell ref="B37:D37"/>
    <mergeCell ref="B38:D38"/>
    <mergeCell ref="B39:D39"/>
    <mergeCell ref="B40:D40"/>
    <mergeCell ref="B41:D41"/>
    <mergeCell ref="B42:D42"/>
    <mergeCell ref="B43:D43"/>
    <mergeCell ref="B36:J36"/>
    <mergeCell ref="B44:D44"/>
    <mergeCell ref="B45:D45"/>
    <mergeCell ref="B46:D46"/>
    <mergeCell ref="B47:D47"/>
    <mergeCell ref="B48:D48"/>
    <mergeCell ref="B49:D49"/>
    <mergeCell ref="B50:D50"/>
    <mergeCell ref="B51:D51"/>
    <mergeCell ref="B52:D52"/>
  </mergeCells>
  <conditionalFormatting sqref="C2:D2">
    <cfRule type="containsText" dxfId="23" priority="18" operator="containsText" text="أدخل الوحدة الخاضعة للتقييم">
      <formula>NOT(ISERROR(SEARCH("أدخل الوحدة الخاضعة للتقييم",C2)))</formula>
    </cfRule>
  </conditionalFormatting>
  <conditionalFormatting sqref="C3:D3">
    <cfRule type="containsText" dxfId="22" priority="17" operator="containsText" text="أدخل أسم قائد الوحدة الخاضعة للتقييم">
      <formula>NOT(ISERROR(SEARCH("أدخل أسم قائد الوحدة الخاضعة للتقييم",C3)))</formula>
    </cfRule>
  </conditionalFormatting>
  <conditionalFormatting sqref="E55">
    <cfRule type="expression" dxfId="21" priority="57">
      <formula>$E55="راسب"</formula>
    </cfRule>
  </conditionalFormatting>
  <conditionalFormatting sqref="E55:J55">
    <cfRule type="expression" dxfId="20" priority="60">
      <formula>$E55="جيد جداً"</formula>
    </cfRule>
    <cfRule type="expression" dxfId="19" priority="59">
      <formula>$E55="جيد"</formula>
    </cfRule>
    <cfRule type="expression" dxfId="18" priority="58">
      <formula>$E55="مقبول"</formula>
    </cfRule>
    <cfRule type="expression" dxfId="17" priority="61">
      <formula>$E55="ممتاز"</formula>
    </cfRule>
  </conditionalFormatting>
  <conditionalFormatting sqref="F9:F23">
    <cfRule type="containsText" dxfId="16" priority="4" operator="containsText" text="أدخل العلامة">
      <formula>NOT(ISERROR(SEARCH("أدخل العلامة",F9)))</formula>
    </cfRule>
  </conditionalFormatting>
  <conditionalFormatting sqref="F25:F35 F37:F52">
    <cfRule type="containsText" dxfId="15" priority="14" operator="containsText" text="أدخل العلامة">
      <formula>NOT(ISERROR(SEARCH("أدخل العلامة",F25)))</formula>
    </cfRule>
  </conditionalFormatting>
  <conditionalFormatting sqref="F2:J2">
    <cfRule type="containsText" dxfId="14" priority="19" operator="containsText" text="أدخل التاريخ">
      <formula>NOT(ISERROR(SEARCH("أدخل التاريخ",F2)))</formula>
    </cfRule>
  </conditionalFormatting>
  <conditionalFormatting sqref="F3:J3">
    <cfRule type="containsText" dxfId="13" priority="16" operator="containsText" text="أدخل أسم المحكم">
      <formula>NOT(ISERROR(SEARCH("أدخل أسم المحكم",F3)))</formula>
    </cfRule>
  </conditionalFormatting>
  <conditionalFormatting sqref="G56:J56">
    <cfRule type="containsText" dxfId="12" priority="15" operator="containsText" text="أدخل اسم المحكم">
      <formula>NOT(ISERROR(SEARCH("أدخل اسم المحكم",G56)))</formula>
    </cfRule>
  </conditionalFormatting>
  <conditionalFormatting sqref="H9:H23">
    <cfRule type="containsText" dxfId="11" priority="10" operator="containsText" text="راسب">
      <formula>NOT(ISERROR(SEARCH("راسب",H9)))</formula>
    </cfRule>
    <cfRule type="containsText" dxfId="10" priority="9" operator="containsText" text="مقبول">
      <formula>NOT(ISERROR(SEARCH("مقبول",H9)))</formula>
    </cfRule>
    <cfRule type="containsText" dxfId="9" priority="8" operator="containsText" text="جيد">
      <formula>NOT(ISERROR(SEARCH("جيد",H9)))</formula>
    </cfRule>
    <cfRule type="containsText" dxfId="8" priority="7" operator="containsText" text="جيد جداً">
      <formula>NOT(ISERROR(SEARCH("جيد جداً",H9)))</formula>
    </cfRule>
    <cfRule type="containsText" dxfId="7" priority="6" operator="containsText" text="ممتاز">
      <formula>NOT(ISERROR(SEARCH("ممتاز",H9)))</formula>
    </cfRule>
    <cfRule type="containsText" dxfId="6" priority="5" operator="containsText" text="أدخل العلامة">
      <formula>NOT(ISERROR(SEARCH("أدخل العلامة",H9)))</formula>
    </cfRule>
  </conditionalFormatting>
  <conditionalFormatting sqref="H25:H35 H37:H52">
    <cfRule type="containsText" dxfId="5" priority="38" operator="containsText" text="أدخل العلامة">
      <formula>NOT(ISERROR(SEARCH("أدخل العلامة",H25)))</formula>
    </cfRule>
    <cfRule type="containsText" dxfId="4" priority="39" operator="containsText" text="ممتاز">
      <formula>NOT(ISERROR(SEARCH("ممتاز",H25)))</formula>
    </cfRule>
    <cfRule type="containsText" dxfId="3" priority="40" operator="containsText" text="جيد جداً">
      <formula>NOT(ISERROR(SEARCH("جيد جداً",H25)))</formula>
    </cfRule>
    <cfRule type="containsText" dxfId="2" priority="41" operator="containsText" text="جيد">
      <formula>NOT(ISERROR(SEARCH("جيد",H25)))</formula>
    </cfRule>
    <cfRule type="containsText" dxfId="1" priority="42" operator="containsText" text="مقبول">
      <formula>NOT(ISERROR(SEARCH("مقبول",H25)))</formula>
    </cfRule>
    <cfRule type="containsText" dxfId="0" priority="43" operator="containsText" text="راسب">
      <formula>NOT(ISERROR(SEARCH("راسب",H25)))</formula>
    </cfRule>
  </conditionalFormatting>
  <printOptions horizontalCentered="1"/>
  <pageMargins left="0.70866141732283472" right="0.70866141732283472" top="0.74803149606299213" bottom="0.74803149606299213" header="0.31496062992125984" footer="0.31496062992125984"/>
  <pageSetup paperSize="9" scale="69" fitToHeight="0" orientation="portrait" r:id="rId1"/>
  <headerFooter>
    <oddHeader>&amp;C&amp;"-,Bold"&amp;12&amp;Uسري للغاية</oddHeader>
    <oddFooter>&amp;C&amp;"-,Bold"&amp;P&amp;"-,Regular"
&amp;"-,Bold"&amp;Uسري للغاية</oddFooter>
  </headerFooter>
  <drawing r:id="rId2"/>
  <extLst>
    <ext xmlns:x14="http://schemas.microsoft.com/office/spreadsheetml/2009/9/main" uri="{CCE6A557-97BC-4b89-ADB6-D9C93CAAB3DF}">
      <x14:dataValidations xmlns:xm="http://schemas.microsoft.com/office/excel/2006/main" count="5">
        <x14:dataValidation type="list" allowBlank="1" showInputMessage="1" showErrorMessage="1" xr:uid="{39AD22F4-AC0E-4009-A1CA-39040C022149}">
          <x14:formula1>
            <xm:f>'بيانات التقييم'!$A$38:$A$106</xm:f>
          </x14:formula1>
          <xm:sqref>F2:J2</xm:sqref>
        </x14:dataValidation>
        <x14:dataValidation type="list" allowBlank="1" showInputMessage="1" showErrorMessage="1" xr:uid="{A272D648-FCB4-4132-BCDE-E6BADA2BBA96}">
          <x14:formula1>
            <xm:f>'بيانات التقييم'!$A$1:$A$34</xm:f>
          </x14:formula1>
          <xm:sqref>C2:D2</xm:sqref>
        </x14:dataValidation>
        <x14:dataValidation type="list" allowBlank="1" showInputMessage="1" showErrorMessage="1" xr:uid="{B02DBD13-A8C4-4819-9425-63F70757FE96}">
          <x14:formula1>
            <xm:f>'بيانات التقييم'!$A$111:$A$133</xm:f>
          </x14:formula1>
          <xm:sqref>F46:F52 F40:F44 F37:F38 F31:F35 F27:F29 F25 F20:F23 F13:F18 F10:F11</xm:sqref>
        </x14:dataValidation>
        <x14:dataValidation type="list" allowBlank="1" showInputMessage="1" showErrorMessage="1" xr:uid="{AE50457C-7424-4A4C-907B-8DC6AA09E7A3}">
          <x14:formula1>
            <xm:f>'بيانات التقييم'!$A$198:$A$285</xm:f>
          </x14:formula1>
          <xm:sqref>G56:J56 F3:J3</xm:sqref>
        </x14:dataValidation>
        <x14:dataValidation type="list" allowBlank="1" showInputMessage="1" showErrorMessage="1" xr:uid="{74512448-CAED-4995-932E-CDA01DC3A5DC}">
          <x14:formula1>
            <xm:f>'بيانات التقييم'!$C$1:$C$28</xm:f>
          </x14:formula1>
          <xm:sqref>C3:D3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E0E097-B5B4-4A62-8BA3-2420E658D743}">
  <sheetPr codeName="Sheet3"/>
  <dimension ref="A1:I337"/>
  <sheetViews>
    <sheetView rightToLeft="1" topLeftCell="A262" workbookViewId="0">
      <selection activeCell="A199" sqref="A199:A285"/>
    </sheetView>
  </sheetViews>
  <sheetFormatPr defaultRowHeight="20.100000000000001" customHeight="1" x14ac:dyDescent="0.2"/>
  <cols>
    <col min="1" max="1" width="42.5078125" style="1" customWidth="1"/>
    <col min="2" max="2" width="24.88671875" style="1" customWidth="1"/>
    <col min="3" max="3" width="59.86328125" style="1" customWidth="1"/>
    <col min="4" max="9" width="9.01171875" style="1"/>
  </cols>
  <sheetData>
    <row r="1" spans="1:3" ht="20.100000000000001" customHeight="1" thickBot="1" x14ac:dyDescent="0.3">
      <c r="A1" s="2" t="s">
        <v>57</v>
      </c>
      <c r="C1" s="2" t="s">
        <v>60</v>
      </c>
    </row>
    <row r="2" spans="1:3" ht="20.100000000000001" customHeight="1" thickBot="1" x14ac:dyDescent="0.3">
      <c r="A2" s="2" t="s">
        <v>35</v>
      </c>
      <c r="C2" s="21" t="s">
        <v>62</v>
      </c>
    </row>
    <row r="3" spans="1:3" ht="20.100000000000001" customHeight="1" thickBot="1" x14ac:dyDescent="0.3">
      <c r="A3" s="2" t="s">
        <v>26</v>
      </c>
      <c r="C3" s="21" t="s">
        <v>63</v>
      </c>
    </row>
    <row r="4" spans="1:3" ht="20.100000000000001" customHeight="1" thickBot="1" x14ac:dyDescent="0.3">
      <c r="A4" s="2" t="s">
        <v>36</v>
      </c>
      <c r="C4" s="21" t="s">
        <v>64</v>
      </c>
    </row>
    <row r="5" spans="1:3" ht="20.100000000000001" customHeight="1" thickBot="1" x14ac:dyDescent="0.3">
      <c r="A5" s="2" t="s">
        <v>37</v>
      </c>
      <c r="C5" s="21" t="s">
        <v>65</v>
      </c>
    </row>
    <row r="6" spans="1:3" ht="20.100000000000001" customHeight="1" thickBot="1" x14ac:dyDescent="0.3">
      <c r="A6" s="2" t="s">
        <v>38</v>
      </c>
      <c r="C6" s="21" t="s">
        <v>66</v>
      </c>
    </row>
    <row r="7" spans="1:3" ht="20.100000000000001" customHeight="1" thickBot="1" x14ac:dyDescent="0.3">
      <c r="A7" s="2" t="s">
        <v>39</v>
      </c>
      <c r="C7" s="21" t="s">
        <v>67</v>
      </c>
    </row>
    <row r="8" spans="1:3" ht="20.100000000000001" customHeight="1" thickBot="1" x14ac:dyDescent="0.3">
      <c r="A8" s="2" t="s">
        <v>40</v>
      </c>
      <c r="C8" s="21" t="s">
        <v>68</v>
      </c>
    </row>
    <row r="9" spans="1:3" ht="20.100000000000001" customHeight="1" thickBot="1" x14ac:dyDescent="0.3">
      <c r="A9" s="2" t="s">
        <v>41</v>
      </c>
      <c r="C9" s="21" t="s">
        <v>69</v>
      </c>
    </row>
    <row r="10" spans="1:3" ht="20.100000000000001" customHeight="1" thickBot="1" x14ac:dyDescent="0.3">
      <c r="A10" s="2" t="s">
        <v>42</v>
      </c>
      <c r="C10" s="21" t="s">
        <v>70</v>
      </c>
    </row>
    <row r="11" spans="1:3" ht="20.100000000000001" customHeight="1" thickBot="1" x14ac:dyDescent="0.3">
      <c r="A11" s="2" t="s">
        <v>43</v>
      </c>
      <c r="C11" s="21" t="s">
        <v>71</v>
      </c>
    </row>
    <row r="12" spans="1:3" ht="20.100000000000001" customHeight="1" thickBot="1" x14ac:dyDescent="0.3">
      <c r="A12" s="2" t="s">
        <v>44</v>
      </c>
      <c r="C12" s="21" t="s">
        <v>72</v>
      </c>
    </row>
    <row r="13" spans="1:3" ht="20.100000000000001" customHeight="1" thickBot="1" x14ac:dyDescent="0.3">
      <c r="A13" s="2" t="s">
        <v>45</v>
      </c>
      <c r="C13" s="21" t="s">
        <v>73</v>
      </c>
    </row>
    <row r="14" spans="1:3" ht="20.100000000000001" customHeight="1" thickBot="1" x14ac:dyDescent="0.3">
      <c r="A14" s="2" t="s">
        <v>46</v>
      </c>
      <c r="C14" s="21" t="s">
        <v>74</v>
      </c>
    </row>
    <row r="15" spans="1:3" ht="20.100000000000001" customHeight="1" thickBot="1" x14ac:dyDescent="0.3">
      <c r="A15" s="2" t="s">
        <v>47</v>
      </c>
      <c r="C15" s="21" t="s">
        <v>75</v>
      </c>
    </row>
    <row r="16" spans="1:3" ht="20.100000000000001" customHeight="1" thickBot="1" x14ac:dyDescent="0.3">
      <c r="A16" s="2" t="s">
        <v>10</v>
      </c>
      <c r="C16" s="21" t="s">
        <v>76</v>
      </c>
    </row>
    <row r="17" spans="1:3" ht="20.100000000000001" customHeight="1" thickBot="1" x14ac:dyDescent="0.3">
      <c r="A17" s="2" t="s">
        <v>27</v>
      </c>
      <c r="C17" s="21" t="s">
        <v>77</v>
      </c>
    </row>
    <row r="18" spans="1:3" ht="20.100000000000001" customHeight="1" thickBot="1" x14ac:dyDescent="0.3">
      <c r="A18" s="2" t="s">
        <v>48</v>
      </c>
      <c r="C18" s="21" t="s">
        <v>78</v>
      </c>
    </row>
    <row r="19" spans="1:3" ht="20.100000000000001" customHeight="1" thickBot="1" x14ac:dyDescent="0.3">
      <c r="A19" s="2" t="s">
        <v>49</v>
      </c>
      <c r="C19" s="21" t="s">
        <v>79</v>
      </c>
    </row>
    <row r="20" spans="1:3" ht="20.100000000000001" customHeight="1" thickBot="1" x14ac:dyDescent="0.3">
      <c r="A20" s="2" t="s">
        <v>50</v>
      </c>
      <c r="C20" s="21" t="s">
        <v>80</v>
      </c>
    </row>
    <row r="21" spans="1:3" ht="20.100000000000001" customHeight="1" thickBot="1" x14ac:dyDescent="0.3">
      <c r="A21" s="2" t="s">
        <v>51</v>
      </c>
      <c r="C21" s="21" t="s">
        <v>81</v>
      </c>
    </row>
    <row r="22" spans="1:3" ht="20.100000000000001" customHeight="1" thickBot="1" x14ac:dyDescent="0.3">
      <c r="A22" s="2" t="s">
        <v>11</v>
      </c>
      <c r="C22" s="21" t="s">
        <v>82</v>
      </c>
    </row>
    <row r="23" spans="1:3" ht="20.100000000000001" customHeight="1" thickBot="1" x14ac:dyDescent="0.3">
      <c r="A23" s="2" t="s">
        <v>12</v>
      </c>
      <c r="C23" s="21" t="s">
        <v>83</v>
      </c>
    </row>
    <row r="24" spans="1:3" ht="20.100000000000001" customHeight="1" thickBot="1" x14ac:dyDescent="0.3">
      <c r="A24" s="2" t="s">
        <v>15</v>
      </c>
      <c r="C24" s="21" t="s">
        <v>84</v>
      </c>
    </row>
    <row r="25" spans="1:3" ht="20.100000000000001" customHeight="1" thickBot="1" x14ac:dyDescent="0.3">
      <c r="A25" s="2" t="s">
        <v>28</v>
      </c>
      <c r="C25" s="21" t="s">
        <v>85</v>
      </c>
    </row>
    <row r="26" spans="1:3" ht="20.100000000000001" customHeight="1" thickBot="1" x14ac:dyDescent="0.3">
      <c r="A26" s="2" t="s">
        <v>29</v>
      </c>
      <c r="C26" s="21" t="s">
        <v>86</v>
      </c>
    </row>
    <row r="27" spans="1:3" ht="20.100000000000001" customHeight="1" thickBot="1" x14ac:dyDescent="0.3">
      <c r="A27" s="2" t="s">
        <v>13</v>
      </c>
      <c r="C27" s="21" t="s">
        <v>87</v>
      </c>
    </row>
    <row r="28" spans="1:3" ht="20.100000000000001" customHeight="1" thickBot="1" x14ac:dyDescent="0.3">
      <c r="A28" s="2" t="s">
        <v>30</v>
      </c>
      <c r="C28" s="21" t="s">
        <v>88</v>
      </c>
    </row>
    <row r="29" spans="1:3" ht="20.100000000000001" customHeight="1" thickBot="1" x14ac:dyDescent="0.3">
      <c r="A29" s="2" t="s">
        <v>31</v>
      </c>
      <c r="C29" s="2"/>
    </row>
    <row r="30" spans="1:3" ht="20.100000000000001" customHeight="1" thickBot="1" x14ac:dyDescent="0.3">
      <c r="A30" s="2" t="s">
        <v>32</v>
      </c>
      <c r="C30" s="2"/>
    </row>
    <row r="31" spans="1:3" ht="20.100000000000001" customHeight="1" thickBot="1" x14ac:dyDescent="0.3">
      <c r="A31" s="2" t="s">
        <v>33</v>
      </c>
      <c r="C31" s="2"/>
    </row>
    <row r="32" spans="1:3" ht="20.100000000000001" customHeight="1" thickBot="1" x14ac:dyDescent="0.3">
      <c r="A32" s="2" t="s">
        <v>16</v>
      </c>
      <c r="C32" s="2"/>
    </row>
    <row r="33" spans="1:9" ht="20.100000000000001" customHeight="1" thickBot="1" x14ac:dyDescent="0.3">
      <c r="A33" s="2" t="s">
        <v>14</v>
      </c>
      <c r="C33" s="2"/>
    </row>
    <row r="34" spans="1:9" ht="20.100000000000001" customHeight="1" thickBot="1" x14ac:dyDescent="0.3">
      <c r="A34" s="2" t="s">
        <v>34</v>
      </c>
      <c r="C34" s="2"/>
    </row>
    <row r="35" spans="1:9" ht="20.100000000000001" customHeight="1" x14ac:dyDescent="0.2">
      <c r="A35" s="17"/>
    </row>
    <row r="36" spans="1:9" s="16" customFormat="1" ht="20.100000000000001" customHeight="1" x14ac:dyDescent="0.2">
      <c r="A36" s="14"/>
      <c r="B36" s="15"/>
      <c r="C36" s="15"/>
      <c r="D36" s="15"/>
      <c r="E36" s="15"/>
      <c r="F36" s="15"/>
      <c r="G36" s="15"/>
      <c r="H36" s="15"/>
      <c r="I36" s="15"/>
    </row>
    <row r="37" spans="1:9" ht="20.100000000000001" customHeight="1" thickBot="1" x14ac:dyDescent="0.25"/>
    <row r="38" spans="1:9" ht="20.100000000000001" customHeight="1" thickBot="1" x14ac:dyDescent="0.3">
      <c r="A38" s="2" t="s">
        <v>56</v>
      </c>
    </row>
    <row r="39" spans="1:9" ht="20.100000000000001" customHeight="1" thickBot="1" x14ac:dyDescent="0.3">
      <c r="A39" s="12">
        <v>45901</v>
      </c>
    </row>
    <row r="40" spans="1:9" ht="20.100000000000001" customHeight="1" thickBot="1" x14ac:dyDescent="0.3">
      <c r="A40" s="12">
        <v>45902</v>
      </c>
    </row>
    <row r="41" spans="1:9" ht="20.100000000000001" customHeight="1" thickBot="1" x14ac:dyDescent="0.3">
      <c r="A41" s="12">
        <v>45903</v>
      </c>
    </row>
    <row r="42" spans="1:9" ht="20.100000000000001" customHeight="1" thickBot="1" x14ac:dyDescent="0.3">
      <c r="A42" s="12">
        <v>45904</v>
      </c>
    </row>
    <row r="43" spans="1:9" ht="20.100000000000001" customHeight="1" thickBot="1" x14ac:dyDescent="0.3">
      <c r="A43" s="12">
        <v>45905</v>
      </c>
    </row>
    <row r="44" spans="1:9" ht="20.100000000000001" customHeight="1" thickBot="1" x14ac:dyDescent="0.3">
      <c r="A44" s="12">
        <v>45906</v>
      </c>
    </row>
    <row r="45" spans="1:9" ht="20.100000000000001" customHeight="1" thickBot="1" x14ac:dyDescent="0.3">
      <c r="A45" s="12">
        <v>45907</v>
      </c>
    </row>
    <row r="46" spans="1:9" ht="20.100000000000001" customHeight="1" thickBot="1" x14ac:dyDescent="0.3">
      <c r="A46" s="12">
        <v>45908</v>
      </c>
    </row>
    <row r="47" spans="1:9" ht="20.100000000000001" customHeight="1" thickBot="1" x14ac:dyDescent="0.3">
      <c r="A47" s="12">
        <v>45909</v>
      </c>
    </row>
    <row r="48" spans="1:9" ht="20.100000000000001" customHeight="1" thickBot="1" x14ac:dyDescent="0.3">
      <c r="A48" s="12">
        <v>45910</v>
      </c>
    </row>
    <row r="49" spans="1:1" ht="20.100000000000001" customHeight="1" thickBot="1" x14ac:dyDescent="0.3">
      <c r="A49" s="12">
        <v>45911</v>
      </c>
    </row>
    <row r="50" spans="1:1" ht="20.100000000000001" customHeight="1" thickBot="1" x14ac:dyDescent="0.3">
      <c r="A50" s="12">
        <v>45912</v>
      </c>
    </row>
    <row r="51" spans="1:1" ht="20.100000000000001" customHeight="1" thickBot="1" x14ac:dyDescent="0.3">
      <c r="A51" s="12">
        <v>45913</v>
      </c>
    </row>
    <row r="52" spans="1:1" ht="20.100000000000001" customHeight="1" thickBot="1" x14ac:dyDescent="0.3">
      <c r="A52" s="12">
        <v>45914</v>
      </c>
    </row>
    <row r="53" spans="1:1" ht="20.100000000000001" customHeight="1" thickBot="1" x14ac:dyDescent="0.3">
      <c r="A53" s="12">
        <v>45915</v>
      </c>
    </row>
    <row r="54" spans="1:1" ht="20.100000000000001" customHeight="1" thickBot="1" x14ac:dyDescent="0.3">
      <c r="A54" s="12">
        <v>45916</v>
      </c>
    </row>
    <row r="55" spans="1:1" ht="20.100000000000001" customHeight="1" thickBot="1" x14ac:dyDescent="0.3">
      <c r="A55" s="12">
        <v>45917</v>
      </c>
    </row>
    <row r="56" spans="1:1" ht="20.100000000000001" customHeight="1" thickBot="1" x14ac:dyDescent="0.3">
      <c r="A56" s="12">
        <v>45918</v>
      </c>
    </row>
    <row r="57" spans="1:1" ht="20.100000000000001" customHeight="1" thickBot="1" x14ac:dyDescent="0.3">
      <c r="A57" s="12">
        <v>45919</v>
      </c>
    </row>
    <row r="58" spans="1:1" ht="20.100000000000001" customHeight="1" thickBot="1" x14ac:dyDescent="0.3">
      <c r="A58" s="12">
        <v>45920</v>
      </c>
    </row>
    <row r="59" spans="1:1" ht="20.100000000000001" customHeight="1" thickBot="1" x14ac:dyDescent="0.3">
      <c r="A59" s="12">
        <v>45921</v>
      </c>
    </row>
    <row r="60" spans="1:1" ht="20.100000000000001" customHeight="1" thickBot="1" x14ac:dyDescent="0.3">
      <c r="A60" s="12">
        <v>45922</v>
      </c>
    </row>
    <row r="61" spans="1:1" ht="20.100000000000001" customHeight="1" thickBot="1" x14ac:dyDescent="0.3">
      <c r="A61" s="12">
        <v>45923</v>
      </c>
    </row>
    <row r="62" spans="1:1" ht="20.100000000000001" customHeight="1" thickBot="1" x14ac:dyDescent="0.3">
      <c r="A62" s="12">
        <v>45924</v>
      </c>
    </row>
    <row r="63" spans="1:1" ht="20.100000000000001" customHeight="1" thickBot="1" x14ac:dyDescent="0.3">
      <c r="A63" s="12">
        <v>45925</v>
      </c>
    </row>
    <row r="64" spans="1:1" ht="20.100000000000001" customHeight="1" thickBot="1" x14ac:dyDescent="0.3">
      <c r="A64" s="12">
        <v>45926</v>
      </c>
    </row>
    <row r="65" spans="1:1" ht="20.100000000000001" customHeight="1" thickBot="1" x14ac:dyDescent="0.3">
      <c r="A65" s="12">
        <v>45927</v>
      </c>
    </row>
    <row r="66" spans="1:1" ht="20.100000000000001" customHeight="1" thickBot="1" x14ac:dyDescent="0.3">
      <c r="A66" s="12">
        <v>45928</v>
      </c>
    </row>
    <row r="67" spans="1:1" ht="20.100000000000001" customHeight="1" thickBot="1" x14ac:dyDescent="0.3">
      <c r="A67" s="12">
        <v>45929</v>
      </c>
    </row>
    <row r="68" spans="1:1" ht="20.100000000000001" customHeight="1" thickBot="1" x14ac:dyDescent="0.3">
      <c r="A68" s="12">
        <v>45930</v>
      </c>
    </row>
    <row r="69" spans="1:1" ht="20.100000000000001" customHeight="1" thickBot="1" x14ac:dyDescent="0.3">
      <c r="A69" s="12">
        <v>45931</v>
      </c>
    </row>
    <row r="70" spans="1:1" ht="20.100000000000001" customHeight="1" thickBot="1" x14ac:dyDescent="0.3">
      <c r="A70" s="12">
        <v>45932</v>
      </c>
    </row>
    <row r="71" spans="1:1" ht="20.100000000000001" customHeight="1" thickBot="1" x14ac:dyDescent="0.3">
      <c r="A71" s="12">
        <v>45933</v>
      </c>
    </row>
    <row r="72" spans="1:1" ht="20.100000000000001" customHeight="1" thickBot="1" x14ac:dyDescent="0.3">
      <c r="A72" s="12">
        <v>45934</v>
      </c>
    </row>
    <row r="73" spans="1:1" ht="20.100000000000001" customHeight="1" thickBot="1" x14ac:dyDescent="0.3">
      <c r="A73" s="12">
        <v>45935</v>
      </c>
    </row>
    <row r="74" spans="1:1" ht="20.100000000000001" customHeight="1" thickBot="1" x14ac:dyDescent="0.3">
      <c r="A74" s="12">
        <v>45936</v>
      </c>
    </row>
    <row r="75" spans="1:1" ht="20.100000000000001" customHeight="1" thickBot="1" x14ac:dyDescent="0.3">
      <c r="A75" s="12">
        <v>45937</v>
      </c>
    </row>
    <row r="76" spans="1:1" ht="20.100000000000001" customHeight="1" thickBot="1" x14ac:dyDescent="0.3">
      <c r="A76" s="12">
        <v>45938</v>
      </c>
    </row>
    <row r="77" spans="1:1" ht="20.100000000000001" customHeight="1" thickBot="1" x14ac:dyDescent="0.3">
      <c r="A77" s="12">
        <v>45939</v>
      </c>
    </row>
    <row r="78" spans="1:1" ht="20.100000000000001" customHeight="1" thickBot="1" x14ac:dyDescent="0.3">
      <c r="A78" s="12">
        <v>45940</v>
      </c>
    </row>
    <row r="79" spans="1:1" ht="20.100000000000001" customHeight="1" thickBot="1" x14ac:dyDescent="0.3">
      <c r="A79" s="12">
        <v>45941</v>
      </c>
    </row>
    <row r="80" spans="1:1" ht="20.100000000000001" customHeight="1" thickBot="1" x14ac:dyDescent="0.3">
      <c r="A80" s="12">
        <v>45942</v>
      </c>
    </row>
    <row r="81" spans="1:1" ht="20.100000000000001" customHeight="1" thickBot="1" x14ac:dyDescent="0.3">
      <c r="A81" s="12">
        <v>45943</v>
      </c>
    </row>
    <row r="82" spans="1:1" ht="20.100000000000001" customHeight="1" thickBot="1" x14ac:dyDescent="0.3">
      <c r="A82" s="12">
        <v>45944</v>
      </c>
    </row>
    <row r="83" spans="1:1" ht="20.100000000000001" customHeight="1" thickBot="1" x14ac:dyDescent="0.3">
      <c r="A83" s="12">
        <v>45945</v>
      </c>
    </row>
    <row r="84" spans="1:1" ht="20.100000000000001" customHeight="1" thickBot="1" x14ac:dyDescent="0.3">
      <c r="A84" s="12">
        <v>45946</v>
      </c>
    </row>
    <row r="85" spans="1:1" ht="20.100000000000001" customHeight="1" thickBot="1" x14ac:dyDescent="0.3">
      <c r="A85" s="12">
        <v>45947</v>
      </c>
    </row>
    <row r="86" spans="1:1" ht="20.100000000000001" customHeight="1" thickBot="1" x14ac:dyDescent="0.3">
      <c r="A86" s="12">
        <v>45948</v>
      </c>
    </row>
    <row r="87" spans="1:1" ht="20.100000000000001" customHeight="1" thickBot="1" x14ac:dyDescent="0.3">
      <c r="A87" s="12">
        <v>45949</v>
      </c>
    </row>
    <row r="88" spans="1:1" ht="20.100000000000001" customHeight="1" thickBot="1" x14ac:dyDescent="0.3">
      <c r="A88" s="12">
        <v>45950</v>
      </c>
    </row>
    <row r="89" spans="1:1" ht="20.100000000000001" customHeight="1" thickBot="1" x14ac:dyDescent="0.3">
      <c r="A89" s="12">
        <v>45951</v>
      </c>
    </row>
    <row r="90" spans="1:1" ht="20.100000000000001" customHeight="1" thickBot="1" x14ac:dyDescent="0.3">
      <c r="A90" s="12">
        <v>45952</v>
      </c>
    </row>
    <row r="91" spans="1:1" ht="20.100000000000001" customHeight="1" thickBot="1" x14ac:dyDescent="0.3">
      <c r="A91" s="12">
        <v>45953</v>
      </c>
    </row>
    <row r="92" spans="1:1" ht="20.100000000000001" customHeight="1" thickBot="1" x14ac:dyDescent="0.3">
      <c r="A92" s="12">
        <v>45954</v>
      </c>
    </row>
    <row r="93" spans="1:1" ht="20.100000000000001" customHeight="1" thickBot="1" x14ac:dyDescent="0.3">
      <c r="A93" s="12">
        <v>45955</v>
      </c>
    </row>
    <row r="94" spans="1:1" ht="20.100000000000001" customHeight="1" thickBot="1" x14ac:dyDescent="0.3">
      <c r="A94" s="12">
        <v>45956</v>
      </c>
    </row>
    <row r="95" spans="1:1" ht="20.100000000000001" customHeight="1" thickBot="1" x14ac:dyDescent="0.3">
      <c r="A95" s="12">
        <v>45957</v>
      </c>
    </row>
    <row r="96" spans="1:1" ht="20.100000000000001" customHeight="1" thickBot="1" x14ac:dyDescent="0.3">
      <c r="A96" s="12">
        <v>45958</v>
      </c>
    </row>
    <row r="97" spans="1:9" ht="20.100000000000001" customHeight="1" thickBot="1" x14ac:dyDescent="0.3">
      <c r="A97" s="12">
        <v>45959</v>
      </c>
    </row>
    <row r="98" spans="1:9" ht="20.100000000000001" customHeight="1" thickBot="1" x14ac:dyDescent="0.3">
      <c r="A98" s="12">
        <v>45960</v>
      </c>
    </row>
    <row r="99" spans="1:9" ht="20.100000000000001" customHeight="1" thickBot="1" x14ac:dyDescent="0.3">
      <c r="A99" s="12">
        <v>45961</v>
      </c>
    </row>
    <row r="100" spans="1:9" ht="20.100000000000001" customHeight="1" thickBot="1" x14ac:dyDescent="0.3">
      <c r="A100" s="12">
        <v>45962</v>
      </c>
    </row>
    <row r="101" spans="1:9" ht="20.100000000000001" customHeight="1" thickBot="1" x14ac:dyDescent="0.3">
      <c r="A101" s="12">
        <v>45963</v>
      </c>
    </row>
    <row r="102" spans="1:9" ht="20.100000000000001" customHeight="1" thickBot="1" x14ac:dyDescent="0.3">
      <c r="A102" s="12">
        <v>45964</v>
      </c>
    </row>
    <row r="103" spans="1:9" ht="20.100000000000001" customHeight="1" thickBot="1" x14ac:dyDescent="0.3">
      <c r="A103" s="12">
        <v>45965</v>
      </c>
    </row>
    <row r="104" spans="1:9" ht="20.100000000000001" customHeight="1" thickBot="1" x14ac:dyDescent="0.3">
      <c r="A104" s="12">
        <v>45966</v>
      </c>
    </row>
    <row r="105" spans="1:9" ht="20.100000000000001" customHeight="1" thickBot="1" x14ac:dyDescent="0.3">
      <c r="A105" s="12">
        <v>45967</v>
      </c>
    </row>
    <row r="106" spans="1:9" ht="20.100000000000001" customHeight="1" thickBot="1" x14ac:dyDescent="0.3">
      <c r="A106" s="12">
        <v>45968</v>
      </c>
    </row>
    <row r="107" spans="1:9" ht="20.100000000000001" customHeight="1" x14ac:dyDescent="0.2">
      <c r="A107" s="13"/>
    </row>
    <row r="108" spans="1:9" ht="20.100000000000001" customHeight="1" x14ac:dyDescent="0.2">
      <c r="A108" s="13"/>
    </row>
    <row r="109" spans="1:9" s="16" customFormat="1" ht="20.100000000000001" customHeight="1" x14ac:dyDescent="0.2">
      <c r="A109" s="14"/>
      <c r="B109" s="15"/>
      <c r="C109" s="15"/>
      <c r="D109" s="15"/>
      <c r="E109" s="15"/>
      <c r="F109" s="15"/>
      <c r="G109" s="15"/>
      <c r="H109" s="15"/>
      <c r="I109" s="15"/>
    </row>
    <row r="110" spans="1:9" ht="20.100000000000001" customHeight="1" thickBot="1" x14ac:dyDescent="0.25"/>
    <row r="111" spans="1:9" ht="20.100000000000001" customHeight="1" thickBot="1" x14ac:dyDescent="0.3">
      <c r="A111" s="2" t="s">
        <v>61</v>
      </c>
    </row>
    <row r="112" spans="1:9" ht="20.100000000000001" customHeight="1" thickBot="1" x14ac:dyDescent="0.3">
      <c r="A112" s="2" t="s">
        <v>17</v>
      </c>
    </row>
    <row r="113" spans="1:1" ht="20.100000000000001" customHeight="1" thickBot="1" x14ac:dyDescent="0.25">
      <c r="A113" s="2">
        <v>0</v>
      </c>
    </row>
    <row r="114" spans="1:1" ht="20.100000000000001" customHeight="1" thickBot="1" x14ac:dyDescent="0.25">
      <c r="A114" s="2">
        <v>0.25</v>
      </c>
    </row>
    <row r="115" spans="1:1" ht="20.100000000000001" customHeight="1" thickBot="1" x14ac:dyDescent="0.25">
      <c r="A115" s="2">
        <v>0.5</v>
      </c>
    </row>
    <row r="116" spans="1:1" ht="20.100000000000001" customHeight="1" thickBot="1" x14ac:dyDescent="0.25">
      <c r="A116" s="2">
        <v>0.75</v>
      </c>
    </row>
    <row r="117" spans="1:1" ht="20.100000000000001" customHeight="1" thickBot="1" x14ac:dyDescent="0.25">
      <c r="A117" s="2">
        <v>1</v>
      </c>
    </row>
    <row r="118" spans="1:1" ht="20.100000000000001" customHeight="1" thickBot="1" x14ac:dyDescent="0.25">
      <c r="A118" s="2">
        <v>1.25</v>
      </c>
    </row>
    <row r="119" spans="1:1" ht="20.100000000000001" customHeight="1" thickBot="1" x14ac:dyDescent="0.25">
      <c r="A119" s="2">
        <v>1.5</v>
      </c>
    </row>
    <row r="120" spans="1:1" ht="20.100000000000001" customHeight="1" thickBot="1" x14ac:dyDescent="0.25">
      <c r="A120" s="2">
        <v>1.75</v>
      </c>
    </row>
    <row r="121" spans="1:1" ht="20.100000000000001" customHeight="1" thickBot="1" x14ac:dyDescent="0.25">
      <c r="A121" s="2">
        <v>2</v>
      </c>
    </row>
    <row r="122" spans="1:1" ht="20.100000000000001" customHeight="1" thickBot="1" x14ac:dyDescent="0.25">
      <c r="A122" s="2">
        <v>2.25</v>
      </c>
    </row>
    <row r="123" spans="1:1" ht="20.100000000000001" customHeight="1" thickBot="1" x14ac:dyDescent="0.25">
      <c r="A123" s="2">
        <v>2.5</v>
      </c>
    </row>
    <row r="124" spans="1:1" ht="20.100000000000001" customHeight="1" thickBot="1" x14ac:dyDescent="0.25">
      <c r="A124" s="2">
        <v>2.75</v>
      </c>
    </row>
    <row r="125" spans="1:1" ht="20.100000000000001" customHeight="1" thickBot="1" x14ac:dyDescent="0.25">
      <c r="A125" s="2">
        <v>3</v>
      </c>
    </row>
    <row r="126" spans="1:1" ht="20.100000000000001" customHeight="1" thickBot="1" x14ac:dyDescent="0.25">
      <c r="A126" s="2">
        <v>3.25</v>
      </c>
    </row>
    <row r="127" spans="1:1" ht="20.100000000000001" customHeight="1" thickBot="1" x14ac:dyDescent="0.25">
      <c r="A127" s="2">
        <v>3.5</v>
      </c>
    </row>
    <row r="128" spans="1:1" ht="20.100000000000001" customHeight="1" thickBot="1" x14ac:dyDescent="0.25">
      <c r="A128" s="2">
        <v>3.75</v>
      </c>
    </row>
    <row r="129" spans="1:1" ht="20.100000000000001" customHeight="1" thickBot="1" x14ac:dyDescent="0.25">
      <c r="A129" s="2">
        <v>4</v>
      </c>
    </row>
    <row r="130" spans="1:1" ht="20.100000000000001" customHeight="1" thickBot="1" x14ac:dyDescent="0.25">
      <c r="A130" s="2">
        <v>4.25</v>
      </c>
    </row>
    <row r="131" spans="1:1" ht="20.100000000000001" customHeight="1" thickBot="1" x14ac:dyDescent="0.25">
      <c r="A131" s="2">
        <v>4.5</v>
      </c>
    </row>
    <row r="132" spans="1:1" ht="20.100000000000001" customHeight="1" thickBot="1" x14ac:dyDescent="0.25">
      <c r="A132" s="2">
        <v>4.75</v>
      </c>
    </row>
    <row r="133" spans="1:1" ht="20.100000000000001" customHeight="1" thickBot="1" x14ac:dyDescent="0.25">
      <c r="A133" s="2">
        <v>5</v>
      </c>
    </row>
    <row r="134" spans="1:1" ht="20.100000000000001" customHeight="1" thickBot="1" x14ac:dyDescent="0.25">
      <c r="A134" s="2">
        <v>5.25</v>
      </c>
    </row>
    <row r="135" spans="1:1" ht="20.100000000000001" customHeight="1" thickBot="1" x14ac:dyDescent="0.25">
      <c r="A135" s="2">
        <v>5.5</v>
      </c>
    </row>
    <row r="136" spans="1:1" ht="20.100000000000001" customHeight="1" thickBot="1" x14ac:dyDescent="0.25">
      <c r="A136" s="2">
        <v>5.75</v>
      </c>
    </row>
    <row r="137" spans="1:1" ht="20.100000000000001" customHeight="1" thickBot="1" x14ac:dyDescent="0.25">
      <c r="A137" s="2">
        <v>6</v>
      </c>
    </row>
    <row r="138" spans="1:1" ht="20.100000000000001" customHeight="1" thickBot="1" x14ac:dyDescent="0.25">
      <c r="A138" s="2">
        <v>6.25</v>
      </c>
    </row>
    <row r="139" spans="1:1" ht="20.100000000000001" customHeight="1" thickBot="1" x14ac:dyDescent="0.25">
      <c r="A139" s="2">
        <v>6.5</v>
      </c>
    </row>
    <row r="140" spans="1:1" ht="20.100000000000001" customHeight="1" thickBot="1" x14ac:dyDescent="0.25">
      <c r="A140" s="2">
        <v>6.75</v>
      </c>
    </row>
    <row r="141" spans="1:1" ht="20.100000000000001" customHeight="1" thickBot="1" x14ac:dyDescent="0.25">
      <c r="A141" s="2">
        <v>7</v>
      </c>
    </row>
    <row r="142" spans="1:1" ht="20.100000000000001" customHeight="1" thickBot="1" x14ac:dyDescent="0.25">
      <c r="A142" s="2">
        <v>7.25</v>
      </c>
    </row>
    <row r="143" spans="1:1" ht="20.100000000000001" customHeight="1" thickBot="1" x14ac:dyDescent="0.25">
      <c r="A143" s="2">
        <v>7.5</v>
      </c>
    </row>
    <row r="144" spans="1:1" ht="20.100000000000001" customHeight="1" thickBot="1" x14ac:dyDescent="0.25">
      <c r="A144" s="2">
        <v>7.75</v>
      </c>
    </row>
    <row r="145" spans="1:1" ht="20.100000000000001" customHeight="1" thickBot="1" x14ac:dyDescent="0.25">
      <c r="A145" s="2">
        <v>8</v>
      </c>
    </row>
    <row r="146" spans="1:1" ht="20.100000000000001" customHeight="1" thickBot="1" x14ac:dyDescent="0.25">
      <c r="A146" s="2">
        <v>8.25</v>
      </c>
    </row>
    <row r="147" spans="1:1" ht="20.100000000000001" customHeight="1" thickBot="1" x14ac:dyDescent="0.25">
      <c r="A147" s="2">
        <v>8.5</v>
      </c>
    </row>
    <row r="148" spans="1:1" ht="20.100000000000001" customHeight="1" thickBot="1" x14ac:dyDescent="0.25">
      <c r="A148" s="2">
        <v>8.75</v>
      </c>
    </row>
    <row r="149" spans="1:1" ht="20.100000000000001" customHeight="1" thickBot="1" x14ac:dyDescent="0.25">
      <c r="A149" s="2">
        <v>9</v>
      </c>
    </row>
    <row r="150" spans="1:1" ht="20.100000000000001" customHeight="1" thickBot="1" x14ac:dyDescent="0.25">
      <c r="A150" s="2">
        <v>9.25</v>
      </c>
    </row>
    <row r="151" spans="1:1" ht="20.100000000000001" customHeight="1" thickBot="1" x14ac:dyDescent="0.25">
      <c r="A151" s="2">
        <v>9.5</v>
      </c>
    </row>
    <row r="152" spans="1:1" ht="20.100000000000001" customHeight="1" thickBot="1" x14ac:dyDescent="0.25">
      <c r="A152" s="2">
        <v>9.75</v>
      </c>
    </row>
    <row r="153" spans="1:1" ht="20.100000000000001" customHeight="1" thickBot="1" x14ac:dyDescent="0.25">
      <c r="A153" s="2">
        <v>10</v>
      </c>
    </row>
    <row r="154" spans="1:1" ht="20.100000000000001" customHeight="1" thickBot="1" x14ac:dyDescent="0.25">
      <c r="A154" s="2">
        <v>10.25</v>
      </c>
    </row>
    <row r="155" spans="1:1" ht="20.100000000000001" customHeight="1" thickBot="1" x14ac:dyDescent="0.25">
      <c r="A155" s="2">
        <v>10.5</v>
      </c>
    </row>
    <row r="156" spans="1:1" ht="20.100000000000001" customHeight="1" thickBot="1" x14ac:dyDescent="0.25">
      <c r="A156" s="2">
        <v>10.75</v>
      </c>
    </row>
    <row r="157" spans="1:1" ht="20.100000000000001" customHeight="1" thickBot="1" x14ac:dyDescent="0.25">
      <c r="A157" s="2">
        <v>11</v>
      </c>
    </row>
    <row r="158" spans="1:1" ht="20.100000000000001" customHeight="1" thickBot="1" x14ac:dyDescent="0.25">
      <c r="A158" s="2">
        <v>11.25</v>
      </c>
    </row>
    <row r="159" spans="1:1" ht="20.100000000000001" customHeight="1" thickBot="1" x14ac:dyDescent="0.25">
      <c r="A159" s="2">
        <v>11.5</v>
      </c>
    </row>
    <row r="160" spans="1:1" ht="20.100000000000001" customHeight="1" thickBot="1" x14ac:dyDescent="0.25">
      <c r="A160" s="2">
        <v>11.75</v>
      </c>
    </row>
    <row r="161" spans="1:1" ht="20.100000000000001" customHeight="1" thickBot="1" x14ac:dyDescent="0.25">
      <c r="A161" s="2">
        <v>12</v>
      </c>
    </row>
    <row r="162" spans="1:1" ht="20.100000000000001" customHeight="1" thickBot="1" x14ac:dyDescent="0.25">
      <c r="A162" s="2">
        <v>12.25</v>
      </c>
    </row>
    <row r="163" spans="1:1" ht="20.100000000000001" customHeight="1" thickBot="1" x14ac:dyDescent="0.25">
      <c r="A163" s="2">
        <v>12.5</v>
      </c>
    </row>
    <row r="164" spans="1:1" ht="20.100000000000001" customHeight="1" thickBot="1" x14ac:dyDescent="0.25">
      <c r="A164" s="2">
        <v>12.75</v>
      </c>
    </row>
    <row r="165" spans="1:1" ht="20.100000000000001" customHeight="1" thickBot="1" x14ac:dyDescent="0.25">
      <c r="A165" s="2">
        <v>13</v>
      </c>
    </row>
    <row r="166" spans="1:1" ht="20.100000000000001" customHeight="1" thickBot="1" x14ac:dyDescent="0.25">
      <c r="A166" s="2">
        <v>13.25</v>
      </c>
    </row>
    <row r="167" spans="1:1" ht="20.100000000000001" customHeight="1" thickBot="1" x14ac:dyDescent="0.25">
      <c r="A167" s="2">
        <v>13.5</v>
      </c>
    </row>
    <row r="168" spans="1:1" ht="20.100000000000001" customHeight="1" thickBot="1" x14ac:dyDescent="0.25">
      <c r="A168" s="2">
        <v>13.75</v>
      </c>
    </row>
    <row r="169" spans="1:1" ht="20.100000000000001" customHeight="1" thickBot="1" x14ac:dyDescent="0.25">
      <c r="A169" s="2">
        <v>14</v>
      </c>
    </row>
    <row r="170" spans="1:1" ht="20.100000000000001" customHeight="1" thickBot="1" x14ac:dyDescent="0.25">
      <c r="A170" s="2">
        <v>14.25</v>
      </c>
    </row>
    <row r="171" spans="1:1" ht="20.100000000000001" customHeight="1" thickBot="1" x14ac:dyDescent="0.25">
      <c r="A171" s="2">
        <v>14.5</v>
      </c>
    </row>
    <row r="172" spans="1:1" ht="20.100000000000001" customHeight="1" thickBot="1" x14ac:dyDescent="0.25">
      <c r="A172" s="2">
        <v>14.75</v>
      </c>
    </row>
    <row r="173" spans="1:1" ht="20.100000000000001" customHeight="1" thickBot="1" x14ac:dyDescent="0.25">
      <c r="A173" s="2">
        <v>15</v>
      </c>
    </row>
    <row r="174" spans="1:1" ht="20.100000000000001" customHeight="1" thickBot="1" x14ac:dyDescent="0.25">
      <c r="A174" s="2">
        <v>15.25</v>
      </c>
    </row>
    <row r="175" spans="1:1" ht="20.100000000000001" customHeight="1" thickBot="1" x14ac:dyDescent="0.25">
      <c r="A175" s="2">
        <v>15.5</v>
      </c>
    </row>
    <row r="176" spans="1:1" ht="20.100000000000001" customHeight="1" thickBot="1" x14ac:dyDescent="0.25">
      <c r="A176" s="2">
        <v>15.75</v>
      </c>
    </row>
    <row r="177" spans="1:1" ht="20.100000000000001" customHeight="1" thickBot="1" x14ac:dyDescent="0.25">
      <c r="A177" s="2">
        <v>16</v>
      </c>
    </row>
    <row r="178" spans="1:1" ht="20.100000000000001" customHeight="1" thickBot="1" x14ac:dyDescent="0.25">
      <c r="A178" s="2">
        <v>16.25</v>
      </c>
    </row>
    <row r="179" spans="1:1" ht="20.100000000000001" customHeight="1" thickBot="1" x14ac:dyDescent="0.25">
      <c r="A179" s="2">
        <v>16.5</v>
      </c>
    </row>
    <row r="180" spans="1:1" ht="20.100000000000001" customHeight="1" thickBot="1" x14ac:dyDescent="0.25">
      <c r="A180" s="2">
        <v>16.75</v>
      </c>
    </row>
    <row r="181" spans="1:1" ht="20.100000000000001" customHeight="1" thickBot="1" x14ac:dyDescent="0.25">
      <c r="A181" s="2">
        <v>17</v>
      </c>
    </row>
    <row r="182" spans="1:1" ht="20.100000000000001" customHeight="1" thickBot="1" x14ac:dyDescent="0.25">
      <c r="A182" s="2">
        <v>17.25</v>
      </c>
    </row>
    <row r="183" spans="1:1" ht="20.100000000000001" customHeight="1" thickBot="1" x14ac:dyDescent="0.25">
      <c r="A183" s="2">
        <v>17.5</v>
      </c>
    </row>
    <row r="184" spans="1:1" ht="20.100000000000001" customHeight="1" thickBot="1" x14ac:dyDescent="0.25">
      <c r="A184" s="2">
        <v>17.75</v>
      </c>
    </row>
    <row r="185" spans="1:1" ht="20.100000000000001" customHeight="1" thickBot="1" x14ac:dyDescent="0.25">
      <c r="A185" s="2">
        <v>18</v>
      </c>
    </row>
    <row r="186" spans="1:1" ht="20.100000000000001" customHeight="1" thickBot="1" x14ac:dyDescent="0.25">
      <c r="A186" s="2">
        <v>18.25</v>
      </c>
    </row>
    <row r="187" spans="1:1" ht="20.100000000000001" customHeight="1" thickBot="1" x14ac:dyDescent="0.25">
      <c r="A187" s="2">
        <v>18.5</v>
      </c>
    </row>
    <row r="188" spans="1:1" ht="20.100000000000001" customHeight="1" thickBot="1" x14ac:dyDescent="0.25">
      <c r="A188" s="2">
        <v>18.75</v>
      </c>
    </row>
    <row r="189" spans="1:1" ht="20.100000000000001" customHeight="1" thickBot="1" x14ac:dyDescent="0.25">
      <c r="A189" s="2">
        <v>19</v>
      </c>
    </row>
    <row r="190" spans="1:1" ht="20.100000000000001" customHeight="1" thickBot="1" x14ac:dyDescent="0.25">
      <c r="A190" s="2">
        <v>19.25</v>
      </c>
    </row>
    <row r="191" spans="1:1" ht="20.100000000000001" customHeight="1" thickBot="1" x14ac:dyDescent="0.25">
      <c r="A191" s="2">
        <v>19.5</v>
      </c>
    </row>
    <row r="192" spans="1:1" ht="20.100000000000001" customHeight="1" thickBot="1" x14ac:dyDescent="0.25">
      <c r="A192" s="2">
        <v>19.75</v>
      </c>
    </row>
    <row r="193" spans="1:1" ht="20.100000000000001" customHeight="1" thickBot="1" x14ac:dyDescent="0.25">
      <c r="A193" s="2">
        <v>20</v>
      </c>
    </row>
    <row r="197" spans="1:1" ht="20.100000000000001" customHeight="1" thickBot="1" x14ac:dyDescent="0.25"/>
    <row r="198" spans="1:1" ht="20.100000000000001" customHeight="1" thickBot="1" x14ac:dyDescent="0.3">
      <c r="A198" s="2" t="s">
        <v>59</v>
      </c>
    </row>
    <row r="199" spans="1:1" ht="20.100000000000001" customHeight="1" x14ac:dyDescent="0.2">
      <c r="A199" s="22" t="s">
        <v>89</v>
      </c>
    </row>
    <row r="200" spans="1:1" ht="20.100000000000001" customHeight="1" x14ac:dyDescent="0.2">
      <c r="A200" s="22" t="s">
        <v>90</v>
      </c>
    </row>
    <row r="201" spans="1:1" ht="20.100000000000001" customHeight="1" x14ac:dyDescent="0.2">
      <c r="A201" s="22" t="s">
        <v>91</v>
      </c>
    </row>
    <row r="202" spans="1:1" ht="20.100000000000001" customHeight="1" x14ac:dyDescent="0.2">
      <c r="A202" s="22" t="s">
        <v>92</v>
      </c>
    </row>
    <row r="203" spans="1:1" ht="20.100000000000001" customHeight="1" x14ac:dyDescent="0.2">
      <c r="A203" s="22" t="s">
        <v>93</v>
      </c>
    </row>
    <row r="204" spans="1:1" ht="20.100000000000001" customHeight="1" x14ac:dyDescent="0.2">
      <c r="A204" s="22" t="s">
        <v>94</v>
      </c>
    </row>
    <row r="205" spans="1:1" ht="20.100000000000001" customHeight="1" x14ac:dyDescent="0.2">
      <c r="A205" s="22" t="s">
        <v>95</v>
      </c>
    </row>
    <row r="206" spans="1:1" ht="20.100000000000001" customHeight="1" x14ac:dyDescent="0.2">
      <c r="A206" s="22" t="s">
        <v>96</v>
      </c>
    </row>
    <row r="207" spans="1:1" ht="20.100000000000001" customHeight="1" x14ac:dyDescent="0.2">
      <c r="A207" s="22" t="s">
        <v>97</v>
      </c>
    </row>
    <row r="208" spans="1:1" ht="20.100000000000001" customHeight="1" x14ac:dyDescent="0.2">
      <c r="A208" s="23" t="s">
        <v>98</v>
      </c>
    </row>
    <row r="209" spans="1:1" ht="20.100000000000001" customHeight="1" x14ac:dyDescent="0.2">
      <c r="A209" s="23" t="s">
        <v>99</v>
      </c>
    </row>
    <row r="210" spans="1:1" ht="20.100000000000001" customHeight="1" x14ac:dyDescent="0.2">
      <c r="A210" s="22" t="s">
        <v>100</v>
      </c>
    </row>
    <row r="211" spans="1:1" ht="20.100000000000001" customHeight="1" x14ac:dyDescent="0.2">
      <c r="A211" s="22" t="s">
        <v>101</v>
      </c>
    </row>
    <row r="212" spans="1:1" ht="20.100000000000001" customHeight="1" x14ac:dyDescent="0.2">
      <c r="A212" s="22" t="s">
        <v>102</v>
      </c>
    </row>
    <row r="213" spans="1:1" ht="20.100000000000001" customHeight="1" x14ac:dyDescent="0.2">
      <c r="A213" s="22" t="s">
        <v>103</v>
      </c>
    </row>
    <row r="214" spans="1:1" ht="20.100000000000001" customHeight="1" x14ac:dyDescent="0.2">
      <c r="A214" s="22" t="s">
        <v>104</v>
      </c>
    </row>
    <row r="215" spans="1:1" ht="20.100000000000001" customHeight="1" x14ac:dyDescent="0.2">
      <c r="A215" s="22" t="s">
        <v>105</v>
      </c>
    </row>
    <row r="216" spans="1:1" ht="20.100000000000001" customHeight="1" x14ac:dyDescent="0.2">
      <c r="A216" s="22" t="s">
        <v>106</v>
      </c>
    </row>
    <row r="217" spans="1:1" ht="20.100000000000001" customHeight="1" x14ac:dyDescent="0.2">
      <c r="A217" s="22" t="s">
        <v>107</v>
      </c>
    </row>
    <row r="218" spans="1:1" ht="20.100000000000001" customHeight="1" x14ac:dyDescent="0.2">
      <c r="A218" s="22" t="s">
        <v>108</v>
      </c>
    </row>
    <row r="219" spans="1:1" ht="20.100000000000001" customHeight="1" x14ac:dyDescent="0.2">
      <c r="A219" s="22" t="s">
        <v>109</v>
      </c>
    </row>
    <row r="220" spans="1:1" ht="20.100000000000001" customHeight="1" x14ac:dyDescent="0.2">
      <c r="A220" s="22" t="s">
        <v>110</v>
      </c>
    </row>
    <row r="221" spans="1:1" ht="20.100000000000001" customHeight="1" x14ac:dyDescent="0.2">
      <c r="A221" s="22" t="s">
        <v>111</v>
      </c>
    </row>
    <row r="222" spans="1:1" ht="20.100000000000001" customHeight="1" x14ac:dyDescent="0.2">
      <c r="A222" s="22" t="s">
        <v>112</v>
      </c>
    </row>
    <row r="223" spans="1:1" ht="20.100000000000001" customHeight="1" x14ac:dyDescent="0.2">
      <c r="A223" s="22" t="s">
        <v>113</v>
      </c>
    </row>
    <row r="224" spans="1:1" ht="20.100000000000001" customHeight="1" x14ac:dyDescent="0.2">
      <c r="A224" s="22" t="s">
        <v>114</v>
      </c>
    </row>
    <row r="225" spans="1:1" ht="20.100000000000001" customHeight="1" x14ac:dyDescent="0.2">
      <c r="A225" s="22" t="s">
        <v>115</v>
      </c>
    </row>
    <row r="226" spans="1:1" ht="20.100000000000001" customHeight="1" x14ac:dyDescent="0.2">
      <c r="A226" s="22" t="s">
        <v>116</v>
      </c>
    </row>
    <row r="227" spans="1:1" ht="20.100000000000001" customHeight="1" x14ac:dyDescent="0.2">
      <c r="A227" s="22" t="s">
        <v>117</v>
      </c>
    </row>
    <row r="228" spans="1:1" ht="20.100000000000001" customHeight="1" x14ac:dyDescent="0.2">
      <c r="A228" s="22" t="s">
        <v>118</v>
      </c>
    </row>
    <row r="229" spans="1:1" ht="20.100000000000001" customHeight="1" x14ac:dyDescent="0.2">
      <c r="A229" s="22" t="s">
        <v>119</v>
      </c>
    </row>
    <row r="230" spans="1:1" ht="20.100000000000001" customHeight="1" x14ac:dyDescent="0.2">
      <c r="A230" s="22" t="s">
        <v>120</v>
      </c>
    </row>
    <row r="231" spans="1:1" ht="20.100000000000001" customHeight="1" x14ac:dyDescent="0.2">
      <c r="A231" s="22" t="s">
        <v>121</v>
      </c>
    </row>
    <row r="232" spans="1:1" ht="20.100000000000001" customHeight="1" x14ac:dyDescent="0.2">
      <c r="A232" s="22" t="s">
        <v>122</v>
      </c>
    </row>
    <row r="233" spans="1:1" ht="20.100000000000001" customHeight="1" x14ac:dyDescent="0.2">
      <c r="A233" s="22" t="s">
        <v>123</v>
      </c>
    </row>
    <row r="234" spans="1:1" ht="20.100000000000001" customHeight="1" x14ac:dyDescent="0.2">
      <c r="A234" s="22" t="s">
        <v>124</v>
      </c>
    </row>
    <row r="235" spans="1:1" ht="20.100000000000001" customHeight="1" x14ac:dyDescent="0.2">
      <c r="A235" s="24" t="s">
        <v>125</v>
      </c>
    </row>
    <row r="236" spans="1:1" ht="20.100000000000001" customHeight="1" x14ac:dyDescent="0.2">
      <c r="A236" s="22" t="s">
        <v>126</v>
      </c>
    </row>
    <row r="237" spans="1:1" ht="20.100000000000001" customHeight="1" x14ac:dyDescent="0.2">
      <c r="A237" s="22" t="s">
        <v>127</v>
      </c>
    </row>
    <row r="238" spans="1:1" ht="20.100000000000001" customHeight="1" x14ac:dyDescent="0.2">
      <c r="A238" s="22" t="s">
        <v>128</v>
      </c>
    </row>
    <row r="239" spans="1:1" ht="20.100000000000001" customHeight="1" x14ac:dyDescent="0.2">
      <c r="A239" s="22" t="s">
        <v>129</v>
      </c>
    </row>
    <row r="240" spans="1:1" ht="20.100000000000001" customHeight="1" x14ac:dyDescent="0.2">
      <c r="A240" s="22" t="s">
        <v>130</v>
      </c>
    </row>
    <row r="241" spans="1:1" ht="20.100000000000001" customHeight="1" x14ac:dyDescent="0.2">
      <c r="A241" s="22" t="s">
        <v>131</v>
      </c>
    </row>
    <row r="242" spans="1:1" ht="20.100000000000001" customHeight="1" x14ac:dyDescent="0.2">
      <c r="A242" s="22" t="s">
        <v>132</v>
      </c>
    </row>
    <row r="243" spans="1:1" ht="20.100000000000001" customHeight="1" x14ac:dyDescent="0.2">
      <c r="A243" s="22" t="s">
        <v>133</v>
      </c>
    </row>
    <row r="244" spans="1:1" ht="20.100000000000001" customHeight="1" x14ac:dyDescent="0.2">
      <c r="A244" s="22" t="s">
        <v>134</v>
      </c>
    </row>
    <row r="245" spans="1:1" ht="20.100000000000001" customHeight="1" x14ac:dyDescent="0.2">
      <c r="A245" s="22" t="s">
        <v>135</v>
      </c>
    </row>
    <row r="246" spans="1:1" ht="20.100000000000001" customHeight="1" x14ac:dyDescent="0.2">
      <c r="A246" s="22" t="s">
        <v>136</v>
      </c>
    </row>
    <row r="247" spans="1:1" ht="20.100000000000001" customHeight="1" x14ac:dyDescent="0.2">
      <c r="A247" s="22" t="s">
        <v>127</v>
      </c>
    </row>
    <row r="248" spans="1:1" ht="20.100000000000001" customHeight="1" x14ac:dyDescent="0.2">
      <c r="A248" s="22" t="s">
        <v>137</v>
      </c>
    </row>
    <row r="249" spans="1:1" ht="20.100000000000001" customHeight="1" x14ac:dyDescent="0.2">
      <c r="A249" s="22" t="s">
        <v>138</v>
      </c>
    </row>
    <row r="250" spans="1:1" ht="20.100000000000001" customHeight="1" x14ac:dyDescent="0.2">
      <c r="A250" s="24" t="s">
        <v>139</v>
      </c>
    </row>
    <row r="251" spans="1:1" ht="20.100000000000001" customHeight="1" x14ac:dyDescent="0.2">
      <c r="A251" s="25" t="s">
        <v>140</v>
      </c>
    </row>
    <row r="252" spans="1:1" ht="20.100000000000001" customHeight="1" x14ac:dyDescent="0.2">
      <c r="A252" s="22" t="s">
        <v>141</v>
      </c>
    </row>
    <row r="253" spans="1:1" ht="20.100000000000001" customHeight="1" x14ac:dyDescent="0.2">
      <c r="A253" s="22" t="s">
        <v>142</v>
      </c>
    </row>
    <row r="254" spans="1:1" ht="20.100000000000001" customHeight="1" x14ac:dyDescent="0.2">
      <c r="A254" s="26" t="s">
        <v>143</v>
      </c>
    </row>
    <row r="255" spans="1:1" ht="20.100000000000001" customHeight="1" x14ac:dyDescent="0.2">
      <c r="A255" s="26" t="s">
        <v>144</v>
      </c>
    </row>
    <row r="256" spans="1:1" ht="20.100000000000001" customHeight="1" x14ac:dyDescent="0.2">
      <c r="A256" s="27" t="s">
        <v>145</v>
      </c>
    </row>
    <row r="257" spans="1:1" ht="20.100000000000001" customHeight="1" x14ac:dyDescent="0.2">
      <c r="A257" s="22" t="s">
        <v>146</v>
      </c>
    </row>
    <row r="258" spans="1:1" ht="20.100000000000001" customHeight="1" x14ac:dyDescent="0.2">
      <c r="A258" s="27" t="s">
        <v>147</v>
      </c>
    </row>
    <row r="259" spans="1:1" ht="20.100000000000001" customHeight="1" x14ac:dyDescent="0.2">
      <c r="A259" s="22" t="s">
        <v>148</v>
      </c>
    </row>
    <row r="260" spans="1:1" ht="20.100000000000001" customHeight="1" x14ac:dyDescent="0.2">
      <c r="A260" s="27" t="s">
        <v>149</v>
      </c>
    </row>
    <row r="261" spans="1:1" ht="20.100000000000001" customHeight="1" x14ac:dyDescent="0.2">
      <c r="A261" s="22" t="s">
        <v>150</v>
      </c>
    </row>
    <row r="262" spans="1:1" ht="20.100000000000001" customHeight="1" x14ac:dyDescent="0.2">
      <c r="A262" s="22" t="s">
        <v>151</v>
      </c>
    </row>
    <row r="263" spans="1:1" ht="20.100000000000001" customHeight="1" x14ac:dyDescent="0.2">
      <c r="A263" s="27" t="s">
        <v>152</v>
      </c>
    </row>
    <row r="264" spans="1:1" ht="20.100000000000001" customHeight="1" x14ac:dyDescent="0.2">
      <c r="A264" s="27" t="s">
        <v>153</v>
      </c>
    </row>
    <row r="265" spans="1:1" ht="20.100000000000001" customHeight="1" x14ac:dyDescent="0.2">
      <c r="A265" s="27" t="s">
        <v>154</v>
      </c>
    </row>
    <row r="266" spans="1:1" ht="20.100000000000001" customHeight="1" x14ac:dyDescent="0.2">
      <c r="A266" s="22" t="s">
        <v>155</v>
      </c>
    </row>
    <row r="267" spans="1:1" ht="20.100000000000001" customHeight="1" x14ac:dyDescent="0.2">
      <c r="A267" s="22" t="s">
        <v>156</v>
      </c>
    </row>
    <row r="268" spans="1:1" ht="20.100000000000001" customHeight="1" x14ac:dyDescent="0.2">
      <c r="A268" s="22" t="s">
        <v>157</v>
      </c>
    </row>
    <row r="269" spans="1:1" ht="20.100000000000001" customHeight="1" x14ac:dyDescent="0.2">
      <c r="A269" s="22" t="s">
        <v>158</v>
      </c>
    </row>
    <row r="270" spans="1:1" ht="20.100000000000001" customHeight="1" x14ac:dyDescent="0.2">
      <c r="A270" s="27" t="s">
        <v>159</v>
      </c>
    </row>
    <row r="271" spans="1:1" ht="20.100000000000001" customHeight="1" x14ac:dyDescent="0.2">
      <c r="A271" s="27" t="s">
        <v>160</v>
      </c>
    </row>
    <row r="272" spans="1:1" ht="20.100000000000001" customHeight="1" x14ac:dyDescent="0.2">
      <c r="A272" s="22" t="s">
        <v>161</v>
      </c>
    </row>
    <row r="273" spans="1:1" ht="20.100000000000001" customHeight="1" x14ac:dyDescent="0.2">
      <c r="A273" s="27" t="s">
        <v>162</v>
      </c>
    </row>
    <row r="274" spans="1:1" ht="20.100000000000001" customHeight="1" x14ac:dyDescent="0.2">
      <c r="A274" s="27" t="s">
        <v>163</v>
      </c>
    </row>
    <row r="275" spans="1:1" ht="20.100000000000001" customHeight="1" x14ac:dyDescent="0.2">
      <c r="A275" s="22" t="s">
        <v>164</v>
      </c>
    </row>
    <row r="276" spans="1:1" ht="20.100000000000001" customHeight="1" x14ac:dyDescent="0.2">
      <c r="A276" s="22" t="s">
        <v>165</v>
      </c>
    </row>
    <row r="277" spans="1:1" ht="20.100000000000001" customHeight="1" x14ac:dyDescent="0.2">
      <c r="A277" s="27" t="s">
        <v>166</v>
      </c>
    </row>
    <row r="278" spans="1:1" ht="20.100000000000001" customHeight="1" x14ac:dyDescent="0.2">
      <c r="A278" s="22" t="s">
        <v>167</v>
      </c>
    </row>
    <row r="279" spans="1:1" ht="20.100000000000001" customHeight="1" x14ac:dyDescent="0.2">
      <c r="A279" s="22" t="s">
        <v>168</v>
      </c>
    </row>
    <row r="280" spans="1:1" ht="20.100000000000001" customHeight="1" x14ac:dyDescent="0.2">
      <c r="A280" s="22" t="s">
        <v>169</v>
      </c>
    </row>
    <row r="281" spans="1:1" ht="20.100000000000001" customHeight="1" x14ac:dyDescent="0.2">
      <c r="A281" s="22" t="s">
        <v>170</v>
      </c>
    </row>
    <row r="282" spans="1:1" ht="20.100000000000001" customHeight="1" x14ac:dyDescent="0.2">
      <c r="A282" s="27" t="s">
        <v>171</v>
      </c>
    </row>
    <row r="283" spans="1:1" ht="20.100000000000001" customHeight="1" x14ac:dyDescent="0.2">
      <c r="A283" s="27" t="s">
        <v>172</v>
      </c>
    </row>
    <row r="284" spans="1:1" ht="20.100000000000001" customHeight="1" x14ac:dyDescent="0.2">
      <c r="A284" s="27" t="s">
        <v>173</v>
      </c>
    </row>
    <row r="285" spans="1:1" ht="20.100000000000001" customHeight="1" thickBot="1" x14ac:dyDescent="0.25">
      <c r="A285" s="22" t="s">
        <v>174</v>
      </c>
    </row>
    <row r="286" spans="1:1" ht="20.100000000000001" customHeight="1" thickBot="1" x14ac:dyDescent="0.25">
      <c r="A286" s="2" t="s">
        <v>58</v>
      </c>
    </row>
    <row r="287" spans="1:1" ht="20.100000000000001" customHeight="1" thickBot="1" x14ac:dyDescent="0.25">
      <c r="A287" s="2" t="s">
        <v>58</v>
      </c>
    </row>
    <row r="288" spans="1:1" ht="20.100000000000001" customHeight="1" thickBot="1" x14ac:dyDescent="0.25">
      <c r="A288" s="2" t="s">
        <v>58</v>
      </c>
    </row>
    <row r="289" spans="1:1" ht="20.100000000000001" customHeight="1" thickBot="1" x14ac:dyDescent="0.25">
      <c r="A289" s="2" t="s">
        <v>58</v>
      </c>
    </row>
    <row r="290" spans="1:1" ht="20.100000000000001" customHeight="1" thickBot="1" x14ac:dyDescent="0.25">
      <c r="A290" s="2" t="s">
        <v>58</v>
      </c>
    </row>
    <row r="291" spans="1:1" ht="20.100000000000001" customHeight="1" thickBot="1" x14ac:dyDescent="0.25">
      <c r="A291" s="2" t="s">
        <v>58</v>
      </c>
    </row>
    <row r="292" spans="1:1" ht="20.100000000000001" customHeight="1" thickBot="1" x14ac:dyDescent="0.25">
      <c r="A292" s="2" t="s">
        <v>58</v>
      </c>
    </row>
    <row r="293" spans="1:1" ht="20.100000000000001" customHeight="1" thickBot="1" x14ac:dyDescent="0.25">
      <c r="A293" s="2" t="s">
        <v>58</v>
      </c>
    </row>
    <row r="294" spans="1:1" ht="20.100000000000001" customHeight="1" thickBot="1" x14ac:dyDescent="0.25">
      <c r="A294" s="2" t="s">
        <v>58</v>
      </c>
    </row>
    <row r="295" spans="1:1" ht="20.100000000000001" customHeight="1" thickBot="1" x14ac:dyDescent="0.25">
      <c r="A295" s="2" t="s">
        <v>58</v>
      </c>
    </row>
    <row r="296" spans="1:1" ht="20.100000000000001" customHeight="1" thickBot="1" x14ac:dyDescent="0.25">
      <c r="A296" s="2" t="s">
        <v>58</v>
      </c>
    </row>
    <row r="297" spans="1:1" ht="20.100000000000001" customHeight="1" thickBot="1" x14ac:dyDescent="0.25">
      <c r="A297" s="2" t="s">
        <v>58</v>
      </c>
    </row>
    <row r="298" spans="1:1" ht="20.100000000000001" customHeight="1" thickBot="1" x14ac:dyDescent="0.25">
      <c r="A298" s="2" t="s">
        <v>58</v>
      </c>
    </row>
    <row r="299" spans="1:1" ht="20.100000000000001" customHeight="1" thickBot="1" x14ac:dyDescent="0.25">
      <c r="A299" s="2" t="s">
        <v>58</v>
      </c>
    </row>
    <row r="300" spans="1:1" ht="20.100000000000001" customHeight="1" thickBot="1" x14ac:dyDescent="0.25">
      <c r="A300" s="2" t="s">
        <v>58</v>
      </c>
    </row>
    <row r="301" spans="1:1" ht="20.100000000000001" customHeight="1" thickBot="1" x14ac:dyDescent="0.25">
      <c r="A301" s="2" t="s">
        <v>58</v>
      </c>
    </row>
    <row r="302" spans="1:1" ht="20.100000000000001" customHeight="1" thickBot="1" x14ac:dyDescent="0.25">
      <c r="A302" s="2" t="s">
        <v>58</v>
      </c>
    </row>
    <row r="303" spans="1:1" ht="20.100000000000001" customHeight="1" thickBot="1" x14ac:dyDescent="0.25">
      <c r="A303" s="2" t="s">
        <v>58</v>
      </c>
    </row>
    <row r="304" spans="1:1" ht="20.100000000000001" customHeight="1" thickBot="1" x14ac:dyDescent="0.25">
      <c r="A304" s="2" t="s">
        <v>58</v>
      </c>
    </row>
    <row r="305" spans="1:1" ht="20.100000000000001" customHeight="1" thickBot="1" x14ac:dyDescent="0.25">
      <c r="A305" s="2" t="s">
        <v>58</v>
      </c>
    </row>
    <row r="306" spans="1:1" ht="20.100000000000001" customHeight="1" thickBot="1" x14ac:dyDescent="0.25">
      <c r="A306" s="2" t="s">
        <v>58</v>
      </c>
    </row>
    <row r="307" spans="1:1" ht="20.100000000000001" customHeight="1" thickBot="1" x14ac:dyDescent="0.25">
      <c r="A307" s="2" t="s">
        <v>58</v>
      </c>
    </row>
    <row r="308" spans="1:1" ht="20.100000000000001" customHeight="1" thickBot="1" x14ac:dyDescent="0.25">
      <c r="A308" s="2" t="s">
        <v>58</v>
      </c>
    </row>
    <row r="309" spans="1:1" ht="20.100000000000001" customHeight="1" thickBot="1" x14ac:dyDescent="0.25">
      <c r="A309" s="2" t="s">
        <v>58</v>
      </c>
    </row>
    <row r="310" spans="1:1" ht="20.100000000000001" customHeight="1" thickBot="1" x14ac:dyDescent="0.25">
      <c r="A310" s="2" t="s">
        <v>58</v>
      </c>
    </row>
    <row r="311" spans="1:1" ht="20.100000000000001" customHeight="1" thickBot="1" x14ac:dyDescent="0.25">
      <c r="A311" s="2" t="s">
        <v>58</v>
      </c>
    </row>
    <row r="312" spans="1:1" ht="20.100000000000001" customHeight="1" thickBot="1" x14ac:dyDescent="0.25">
      <c r="A312" s="2" t="s">
        <v>58</v>
      </c>
    </row>
    <row r="313" spans="1:1" ht="20.100000000000001" customHeight="1" thickBot="1" x14ac:dyDescent="0.25">
      <c r="A313" s="2" t="s">
        <v>58</v>
      </c>
    </row>
    <row r="314" spans="1:1" ht="20.100000000000001" customHeight="1" thickBot="1" x14ac:dyDescent="0.25">
      <c r="A314" s="2" t="s">
        <v>58</v>
      </c>
    </row>
    <row r="315" spans="1:1" ht="20.100000000000001" customHeight="1" thickBot="1" x14ac:dyDescent="0.25">
      <c r="A315" s="2" t="s">
        <v>58</v>
      </c>
    </row>
    <row r="316" spans="1:1" ht="20.100000000000001" customHeight="1" thickBot="1" x14ac:dyDescent="0.25">
      <c r="A316" s="2" t="s">
        <v>58</v>
      </c>
    </row>
    <row r="317" spans="1:1" ht="20.100000000000001" customHeight="1" thickBot="1" x14ac:dyDescent="0.25">
      <c r="A317" s="2" t="s">
        <v>58</v>
      </c>
    </row>
    <row r="318" spans="1:1" ht="20.100000000000001" customHeight="1" thickBot="1" x14ac:dyDescent="0.25">
      <c r="A318" s="2" t="s">
        <v>58</v>
      </c>
    </row>
    <row r="319" spans="1:1" ht="20.100000000000001" customHeight="1" thickBot="1" x14ac:dyDescent="0.25">
      <c r="A319" s="2" t="s">
        <v>58</v>
      </c>
    </row>
    <row r="320" spans="1:1" ht="20.100000000000001" customHeight="1" thickBot="1" x14ac:dyDescent="0.25">
      <c r="A320" s="2" t="s">
        <v>58</v>
      </c>
    </row>
    <row r="321" spans="1:1" ht="20.100000000000001" customHeight="1" thickBot="1" x14ac:dyDescent="0.25">
      <c r="A321" s="2" t="s">
        <v>58</v>
      </c>
    </row>
    <row r="322" spans="1:1" ht="20.100000000000001" customHeight="1" thickBot="1" x14ac:dyDescent="0.25">
      <c r="A322" s="2" t="s">
        <v>58</v>
      </c>
    </row>
    <row r="323" spans="1:1" ht="20.100000000000001" customHeight="1" thickBot="1" x14ac:dyDescent="0.25">
      <c r="A323" s="2" t="s">
        <v>58</v>
      </c>
    </row>
    <row r="324" spans="1:1" ht="20.100000000000001" customHeight="1" thickBot="1" x14ac:dyDescent="0.25">
      <c r="A324" s="2" t="s">
        <v>58</v>
      </c>
    </row>
    <row r="325" spans="1:1" ht="20.100000000000001" customHeight="1" thickBot="1" x14ac:dyDescent="0.25">
      <c r="A325" s="2" t="s">
        <v>58</v>
      </c>
    </row>
    <row r="326" spans="1:1" ht="20.100000000000001" customHeight="1" thickBot="1" x14ac:dyDescent="0.25">
      <c r="A326" s="2" t="s">
        <v>58</v>
      </c>
    </row>
    <row r="327" spans="1:1" ht="20.100000000000001" customHeight="1" thickBot="1" x14ac:dyDescent="0.25">
      <c r="A327" s="2" t="s">
        <v>58</v>
      </c>
    </row>
    <row r="328" spans="1:1" ht="20.100000000000001" customHeight="1" thickBot="1" x14ac:dyDescent="0.25">
      <c r="A328" s="2" t="s">
        <v>58</v>
      </c>
    </row>
    <row r="329" spans="1:1" ht="20.100000000000001" customHeight="1" thickBot="1" x14ac:dyDescent="0.25">
      <c r="A329" s="2" t="s">
        <v>58</v>
      </c>
    </row>
    <row r="330" spans="1:1" ht="20.100000000000001" customHeight="1" thickBot="1" x14ac:dyDescent="0.25">
      <c r="A330" s="2" t="s">
        <v>58</v>
      </c>
    </row>
    <row r="331" spans="1:1" ht="20.100000000000001" customHeight="1" thickBot="1" x14ac:dyDescent="0.25">
      <c r="A331" s="2" t="s">
        <v>58</v>
      </c>
    </row>
    <row r="332" spans="1:1" ht="20.100000000000001" customHeight="1" thickBot="1" x14ac:dyDescent="0.25">
      <c r="A332" s="2" t="s">
        <v>58</v>
      </c>
    </row>
    <row r="333" spans="1:1" ht="20.100000000000001" customHeight="1" thickBot="1" x14ac:dyDescent="0.25">
      <c r="A333" s="2" t="s">
        <v>58</v>
      </c>
    </row>
    <row r="334" spans="1:1" ht="20.100000000000001" customHeight="1" thickBot="1" x14ac:dyDescent="0.25">
      <c r="A334" s="2" t="s">
        <v>58</v>
      </c>
    </row>
    <row r="335" spans="1:1" ht="20.100000000000001" customHeight="1" thickBot="1" x14ac:dyDescent="0.25">
      <c r="A335" s="2" t="s">
        <v>58</v>
      </c>
    </row>
    <row r="336" spans="1:1" ht="20.100000000000001" customHeight="1" thickBot="1" x14ac:dyDescent="0.25">
      <c r="A336" s="2" t="s">
        <v>58</v>
      </c>
    </row>
    <row r="337" spans="1:1" ht="20.100000000000001" customHeight="1" thickBot="1" x14ac:dyDescent="0.25">
      <c r="A337" s="2" t="s">
        <v>58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Excel Android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3</vt:i4>
      </vt:variant>
    </vt:vector>
  </HeadingPairs>
  <TitlesOfParts>
    <vt:vector size="5" baseType="lpstr">
      <vt:lpstr>قائمة التقييم</vt:lpstr>
      <vt:lpstr>بيانات التقييم</vt:lpstr>
      <vt:lpstr>قائمة التقييم!_Hlk189049123</vt:lpstr>
      <vt:lpstr>قائمة التقييم!Print_Area</vt:lpstr>
      <vt:lpstr>قائمة التقييم!Print_Titles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2025-09-10T04:10:05Z</dcterms:modified>
</cp:coreProperties>
</file>