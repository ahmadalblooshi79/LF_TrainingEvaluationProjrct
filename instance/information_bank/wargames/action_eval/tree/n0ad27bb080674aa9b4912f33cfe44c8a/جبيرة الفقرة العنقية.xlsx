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087FD66-4521-4095-A4E8-D4EA6D7DB77D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G11" i="2" l="1"/>
  <c r="H11" i="2" s="1"/>
  <c r="G12" i="2" l="1"/>
  <c r="H12" i="2" s="1"/>
  <c r="G13" i="2"/>
  <c r="H13" i="2" s="1"/>
  <c r="G14" i="2"/>
  <c r="H14" i="2" s="1"/>
  <c r="G15" i="2"/>
  <c r="H15" i="2" s="1"/>
  <c r="F16" i="2" l="1"/>
  <c r="E17" i="2" l="1"/>
  <c r="E18" i="2" s="1"/>
</calcChain>
</file>

<file path=xl/sharedStrings.xml><?xml version="1.0" encoding="utf-8"?>
<sst xmlns="http://schemas.openxmlformats.org/spreadsheetml/2006/main" count="261" uniqueCount="197">
  <si>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</si>
  <si>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</si>
  <si>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</si>
  <si>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</si>
  <si>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</si>
  <si>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</si>
  <si>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</si>
  <si>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</si>
  <si>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</si>
  <si>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</si>
  <si>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</si>
  <si>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</si>
  <si>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</si>
  <si>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</si>
  <si>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</si>
  <si>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</si>
  <si>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</si>
  <si>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</si>
  <si>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</si>
  <si>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</si>
  <si>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</si>
  <si>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</si>
  <si>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</si>
  <si>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</si>
  <si>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</si>
  <si>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</si>
  <si>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</si>
  <si>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</si>
  <si>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</si>
  <si>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</si>
  <si>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</si>
  <si>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</si>
  <si>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</si>
  <si>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</si>
  <si>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</si>
  <si>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</si>
  <si>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</si>
  <si>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</si>
  <si>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</si>
  <si>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</si>
  <si>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</si>
  <si>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</si>
  <si>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</si>
  <si>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</si>
  <si>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</si>
  <si>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</si>
  <si>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</si>
  <si>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</si>
  <si>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</si>
  <si>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</si>
  <si>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</si>
  <si>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</si>
  <si>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</si>
  <si>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</si>
  <si>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</si>
  <si>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</si>
  <si>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</si>
  <si>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</si>
  <si>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</si>
  <si>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</si>
  <si>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</si>
  <si>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</si>
  <si>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</si>
  <si>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</si>
  <si>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</si>
  <si>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</si>
  <si>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</si>
  <si>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</si>
  <si>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</si>
  <si>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</si>
  <si>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</si>
  <si>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</si>
  <si>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</si>
  <si>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</si>
  <si>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</si>
  <si>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</si>
  <si>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</si>
  <si>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</si>
  <si>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</si>
  <si>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</si>
  <si>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</si>
  <si>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</si>
  <si>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</si>
  <si>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</si>
  <si>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</si>
  <si>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</si>
  <si>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</si>
  <si>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</si>
  <si>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</si>
  <si>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</si>
  <si>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</si>
  <si>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</si>
  <si>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</si>
  <si>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</si>
  <si>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</si>
  <si>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</si>
  <si>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</si>
  <si>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</si>
  <si>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</si>
  <si>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</si>
  <si>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</si>
  <si>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</si>
  <si>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</si>
  <si>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</si>
  <si>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</si>
  <si>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</si>
  <si>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</si>
  <si>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</si>
  <si>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</si>
  <si>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</si>
  <si>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</si>
  <si>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</si>
  <si>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</si>
  <si>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</si>
  <si>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</si>
  <si>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</si>
  <si>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</si>
  <si>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</si>
  <si>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</si>
  <si>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</si>
  <si>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</si>
  <si>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</si>
  <si>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</si>
  <si>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</si>
  <si>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</si>
  <si>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</si>
  <si>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</si>
  <si>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</si>
  <si>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</si>
  <si>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</si>
  <si>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</si>
  <si>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</si>
  <si>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</si>
  <si>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</si>
  <si>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</si>
  <si>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</si>
  <si>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</si>
  <si>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</si>
  <si>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</si>
  <si>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</si>
  <si>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</si>
  <si>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</si>
  <si>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</si>
  <si>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</si>
  <si>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</si>
  <si>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</si>
  <si>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</si>
  <si>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</si>
  <si>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</si>
  <si>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</si>
  <si>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</si>
  <si>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</si>
  <si>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</si>
  <si>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</si>
  <si>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</si>
  <si>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</si>
  <si>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</si>
  <si>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</si>
  <si>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</si>
  <si>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</si>
  <si>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</si>
  <si>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</si>
  <si>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</si>
  <si>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</si>
  <si>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</si>
  <si>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</si>
  <si>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</si>
  <si>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</si>
  <si>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</si>
  <si>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</si>
  <si>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</si>
  <si>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</si>
  <si>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</si>
  <si>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</si>
  <si>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</si>
  <si>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</si>
  <si>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</si>
  <si>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</si>
  <si>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</si>
  <si>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</si>
  <si>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</si>
  <si>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</si>
  <si>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</si>
  <si>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</si>
  <si>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</si>
  <si>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</si>
  <si>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</si>
  <si>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</si>
  <si>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</si>
  <si>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استخدام جبيرة الفقرة العنقية في تثبيت رأس المصاب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</si>
  <si>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تشخيص إصابات فقرات العمود الفقري العنقية وطريقة تثبيت الرأس.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</si>
  <si>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</si>
  <si>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قيام مقدم الخدمة الإسعافية الأول بالتثبيت اليدوي لرأس المريض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</si>
  <si>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القياس في التسلسل "2" لتحديد حجم الجبيرة بشكل صحيح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</si>
  <si>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ضبط الجبيرة بالحجم المناسب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</si>
  <si>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القيام بتثبيت الجبيرة بشكل صحيح مع الحفاظ على الرأس والرقية في وضع تثبيت مستقيم</t>
    </r>
  </si>
  <si>
    <t>2.	قيام مقدم الخدمة الإسعافية الثاني باستخدام ثلاث أصابع لقياس رقبة المصاب بين الفك السفلي والكف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</si>
</sst>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topLeftCell="A8" zoomScale="136" zoomScaleNormal="100" zoomScaleSheetLayoutView="136" workbookViewId="0">
      <selection activeCell="F10" sqref="F10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196</v>
      </c>
      <c r="C12" s="91"/>
      <c r="D12" s="91"/>
      <c r="E12" s="28">
        <v>3</v>
      </c>
      <c r="F12" s="41" t="s">
        <v>61</v>
      </c>
      <c r="G12" s="29" t="str">
        <f t="shared" ref="G12:G15" si="0">IFERROR(F12/E12,"")</f>
        <v/>
      </c>
      <c r="H12" s="30" t="str">
        <f t="shared" ref="H12:H15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193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194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thickBot="1" x14ac:dyDescent="0.25">
      <c r="A15" s="9"/>
      <c r="B15" s="95" t="s">
        <v>195</v>
      </c>
      <c r="C15" s="96"/>
      <c r="D15" s="96"/>
      <c r="E15" s="34">
        <v>3</v>
      </c>
      <c r="F15" s="42" t="s">
        <v>61</v>
      </c>
      <c r="G15" s="35" t="str">
        <f t="shared" si="0"/>
        <v/>
      </c>
      <c r="H15" s="36" t="str">
        <f t="shared" si="1"/>
        <v/>
      </c>
      <c r="I15" s="89"/>
      <c r="J15" s="90"/>
    </row>
    <row r="16" spans="1:10" ht="30" customHeight="1" thickBot="1" x14ac:dyDescent="0.25">
      <c r="A16" s="4"/>
      <c r="B16" s="77" t="s">
        <v>5</v>
      </c>
      <c r="C16" s="78"/>
      <c r="D16" s="78"/>
      <c r="E16" s="40">
        <f>SUM(E10:E15)</f>
        <v>15</v>
      </c>
      <c r="F16" s="40">
        <f>SUM(F10:F15)</f>
        <v>0</v>
      </c>
      <c r="G16" s="49"/>
      <c r="H16" s="50"/>
      <c r="I16" s="50"/>
      <c r="J16" s="51"/>
    </row>
    <row r="17" spans="1:10" ht="30" customHeight="1" thickBot="1" x14ac:dyDescent="0.25">
      <c r="A17" s="4"/>
      <c r="B17" s="79" t="s">
        <v>54</v>
      </c>
      <c r="C17" s="80"/>
      <c r="D17" s="80"/>
      <c r="E17" s="52">
        <f>F16/E16/100*100</f>
        <v>0</v>
      </c>
      <c r="F17" s="52"/>
      <c r="G17" s="52"/>
      <c r="H17" s="52"/>
      <c r="I17" s="52"/>
      <c r="J17" s="53"/>
    </row>
    <row r="18" spans="1:10" ht="30" customHeight="1" thickBot="1" x14ac:dyDescent="0.25">
      <c r="A18" s="4"/>
      <c r="B18" s="79" t="s">
        <v>55</v>
      </c>
      <c r="C18" s="80"/>
      <c r="D18" s="80"/>
      <c r="E18" s="60" t="str">
        <f>_xlfn.IFS(E17&gt;=90%,"ممتاز",E17&gt;=80%,"جيد جداً",E17&gt;=70%,"جيد",E17&gt;=60%,"مقبول",E17&lt;60%,"راسب")</f>
        <v>راسب</v>
      </c>
      <c r="F18" s="60"/>
      <c r="G18" s="60"/>
      <c r="H18" s="60"/>
      <c r="I18" s="60"/>
      <c r="J18" s="61"/>
    </row>
    <row r="19" spans="1:10" ht="42" customHeight="1" x14ac:dyDescent="0.2">
      <c r="B19" s="81" t="s">
        <v>178</v>
      </c>
      <c r="C19" s="81"/>
      <c r="D19" s="81"/>
      <c r="E19" s="47" t="s">
        <v>52</v>
      </c>
      <c r="F19" s="47"/>
      <c r="G19" s="58" t="s">
        <v>59</v>
      </c>
      <c r="H19" s="58"/>
      <c r="I19" s="58"/>
      <c r="J19" s="58"/>
    </row>
    <row r="20" spans="1:10" ht="51" customHeight="1" x14ac:dyDescent="0.2">
      <c r="A20" s="5"/>
      <c r="B20" s="82"/>
      <c r="C20" s="82"/>
      <c r="D20" s="82"/>
      <c r="E20" s="48" t="s">
        <v>53</v>
      </c>
      <c r="F20" s="48"/>
      <c r="G20" s="59"/>
      <c r="H20" s="59"/>
      <c r="I20" s="59"/>
      <c r="J20" s="59"/>
    </row>
    <row r="21" spans="1:10" ht="15.75" x14ac:dyDescent="0.2">
      <c r="A21" s="24">
        <v>3</v>
      </c>
      <c r="B21" s="83" t="s">
        <v>175</v>
      </c>
      <c r="C21" s="84"/>
    </row>
    <row r="22" spans="1:10" ht="15.75" x14ac:dyDescent="0.2">
      <c r="A22" s="25">
        <v>2</v>
      </c>
      <c r="B22" s="85" t="s">
        <v>176</v>
      </c>
      <c r="C22" s="86"/>
    </row>
    <row r="23" spans="1:10" ht="15.75" x14ac:dyDescent="0.2">
      <c r="A23" s="26">
        <v>1</v>
      </c>
      <c r="B23" s="75" t="s">
        <v>177</v>
      </c>
      <c r="C23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0">
    <mergeCell ref="B15:D15"/>
    <mergeCell ref="B10:D10"/>
    <mergeCell ref="B11:D11"/>
    <mergeCell ref="B13:D13"/>
    <mergeCell ref="B14:D14"/>
    <mergeCell ref="B5:C5"/>
    <mergeCell ref="E5:H5"/>
    <mergeCell ref="I5:J5"/>
    <mergeCell ref="B12:D12"/>
    <mergeCell ref="B23:C23"/>
    <mergeCell ref="B16:D16"/>
    <mergeCell ref="B17:D17"/>
    <mergeCell ref="B18:D18"/>
    <mergeCell ref="B19:D20"/>
    <mergeCell ref="B21:C21"/>
    <mergeCell ref="B22:C22"/>
    <mergeCell ref="G20:J20"/>
    <mergeCell ref="E18:J18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B2:J2"/>
    <mergeCell ref="E19:F19"/>
    <mergeCell ref="E20:F20"/>
    <mergeCell ref="G16:J16"/>
    <mergeCell ref="E17:J17"/>
    <mergeCell ref="B9:D9"/>
    <mergeCell ref="I11:J11"/>
    <mergeCell ref="I9:J9"/>
    <mergeCell ref="I12:J12"/>
    <mergeCell ref="G19:J19"/>
  </mergeCells>
  <conditionalFormatting sqref="C3:D3">
    <cfRule type="containsText" dxfId="18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6" priority="80">
      <formula>$E18="راسب"</formula>
    </cfRule>
  </conditionalFormatting>
  <conditionalFormatting sqref="E18:J18">
    <cfRule type="expression" dxfId="15" priority="81">
      <formula>$E18="مقبول"</formula>
    </cfRule>
    <cfRule type="expression" dxfId="14" priority="82">
      <formula>$E18="جيد"</formula>
    </cfRule>
    <cfRule type="expression" dxfId="13" priority="83">
      <formula>$E18="جيد جداً"</formula>
    </cfRule>
    <cfRule type="expression" dxfId="12" priority="84">
      <formula>$E18="ممتاز"</formula>
    </cfRule>
  </conditionalFormatting>
  <conditionalFormatting sqref="F10:F15">
    <cfRule type="containsText" dxfId="11" priority="37" operator="containsText" text="أدخل العلامة">
      <formula>NOT(ISERROR(SEARCH("أدخل العلامة",F10)))</formula>
    </cfRule>
  </conditionalFormatting>
  <conditionalFormatting sqref="F3:J3">
    <cfRule type="containsText" dxfId="10" priority="42" operator="containsText" text="أدخل التاريخ">
      <formula>NOT(ISERROR(SEARCH("أدخل التاريخ",F3)))</formula>
    </cfRule>
  </conditionalFormatting>
  <conditionalFormatting sqref="F4:J4 I5">
    <cfRule type="containsText" dxfId="9" priority="39" operator="containsText" text="أدخل أسم المحكم">
      <formula>NOT(ISERROR(SEARCH("أدخل أسم المحكم",F4)))</formula>
    </cfRule>
  </conditionalFormatting>
  <conditionalFormatting sqref="G19:J19">
    <cfRule type="containsText" dxfId="8" priority="38" operator="containsText" text="أدخل اسم المحكم">
      <formula>NOT(ISERROR(SEARCH("أدخل اسم المحكم",G19)))</formula>
    </cfRule>
  </conditionalFormatting>
  <conditionalFormatting sqref="H10:H15">
    <cfRule type="containsText" dxfId="7" priority="28" operator="containsText" text="أدخل العلامة">
      <formula>NOT(ISERROR(SEARCH("أدخل العلامة",H10)))</formula>
    </cfRule>
    <cfRule type="containsText" dxfId="6" priority="29" operator="containsText" text="ممتاز">
      <formula>NOT(ISERROR(SEARCH("ممتاز",H10)))</formula>
    </cfRule>
    <cfRule type="containsText" dxfId="5" priority="30" operator="containsText" text="جيد جداً">
      <formula>NOT(ISERROR(SEARCH("جيد جداً",H10)))</formula>
    </cfRule>
    <cfRule type="containsText" dxfId="4" priority="31" operator="containsText" text="جيد">
      <formula>NOT(ISERROR(SEARCH("جيد",H10)))</formula>
    </cfRule>
    <cfRule type="containsText" dxfId="3" priority="32" operator="containsText" text="مقبول">
      <formula>NOT(ISERROR(SEARCH("مقبول",H10)))</formula>
    </cfRule>
    <cfRule type="containsText" dxfId="2" priority="33" operator="containsText" text="راسب">
      <formula>NOT(ISERROR(SEARCH("راسب",H10)))</formula>
    </cfRule>
  </conditionalFormatting>
  <conditionalFormatting sqref="D5">
    <cfRule type="containsText" dxfId="1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0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2025-10-23T05:36:38Z</dcterms:modified>
</cp:coreProperties>
</file>