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929217C-93FA-42A7-A1EC-7958CF7E67B7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7" i="2" l="1"/>
  <c r="E18" i="2" l="1"/>
  <c r="E19" i="2" s="1"/>
</calcChain>
</file>

<file path=xl/sharedStrings.xml><?xml version="1.0" encoding="utf-8"?>
<sst xmlns="http://schemas.openxmlformats.org/spreadsheetml/2006/main" count="263" uniqueCount="198">
  <si>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</si>
  <si>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</si>
  <si>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</si>
  <si>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</si>
  <si>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</si>
  <si>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</si>
  <si>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</si>
  <si>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</si>
  <si>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</si>
  <si>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</si>
  <si>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</si>
  <si>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</si>
  <si>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</si>
  <si>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</si>
  <si>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</si>
  <si>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</si>
  <si>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</si>
  <si>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</si>
  <si>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</si>
  <si>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</si>
  <si>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</si>
  <si>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</si>
  <si>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</si>
  <si>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</si>
  <si>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</si>
  <si>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</si>
  <si>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</si>
  <si>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</si>
  <si>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</si>
  <si>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</si>
  <si>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</si>
  <si>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</si>
  <si>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</si>
  <si>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</si>
  <si>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</si>
  <si>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</si>
  <si>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</si>
  <si>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</si>
  <si>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</si>
  <si>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</si>
  <si>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</si>
  <si>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</si>
  <si>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</si>
  <si>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</si>
  <si>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</si>
  <si>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</si>
  <si>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</si>
  <si>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</si>
  <si>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</si>
  <si>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</si>
  <si>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</si>
  <si>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</si>
  <si>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</si>
  <si>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</si>
  <si>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</si>
  <si>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</si>
  <si>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</si>
  <si>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</si>
  <si>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</si>
  <si>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</si>
  <si>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</si>
  <si>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</si>
  <si>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</si>
  <si>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</si>
  <si>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</si>
  <si>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</si>
  <si>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</si>
  <si>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</si>
  <si>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</si>
  <si>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</si>
  <si>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</si>
  <si>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</si>
  <si>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</si>
  <si>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</si>
  <si>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</si>
  <si>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</si>
  <si>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</si>
  <si>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</si>
  <si>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</si>
  <si>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</si>
  <si>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</si>
  <si>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</si>
  <si>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</si>
  <si>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</si>
  <si>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</si>
  <si>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</si>
  <si>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</si>
  <si>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</si>
  <si>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</si>
  <si>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</si>
  <si>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</si>
  <si>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</si>
  <si>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</si>
  <si>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</si>
  <si>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</si>
  <si>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</si>
  <si>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</si>
  <si>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</si>
  <si>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</si>
  <si>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</si>
  <si>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</si>
  <si>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</si>
  <si>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</si>
  <si>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</si>
  <si>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</si>
  <si>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</si>
  <si>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</si>
  <si>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</si>
  <si>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</si>
  <si>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</si>
  <si>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</si>
  <si>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</si>
  <si>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</si>
  <si>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</si>
  <si>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</si>
  <si>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</si>
  <si>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</si>
  <si>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</si>
  <si>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</si>
  <si>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</si>
  <si>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</si>
  <si>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</si>
  <si>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</si>
  <si>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</si>
  <si>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</si>
  <si>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</si>
  <si>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</si>
  <si>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</si>
  <si>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</si>
  <si>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</si>
  <si>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</si>
  <si>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</si>
  <si>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</si>
  <si>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</si>
  <si>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</si>
  <si>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</si>
  <si>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</si>
  <si>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</si>
  <si>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</si>
  <si>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</si>
  <si>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</si>
  <si>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</si>
  <si>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</si>
  <si>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</si>
  <si>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</si>
  <si>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</si>
  <si>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</si>
  <si>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</si>
  <si>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</si>
  <si>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</si>
  <si>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</si>
  <si>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</si>
  <si>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</si>
  <si>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</si>
  <si>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</si>
  <si>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</si>
  <si>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</si>
  <si>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</si>
  <si>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</si>
  <si>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</si>
  <si>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</si>
  <si>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</si>
  <si>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</si>
  <si>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</si>
  <si>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</si>
  <si>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</si>
  <si>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</si>
  <si>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</si>
  <si>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</si>
  <si>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</si>
  <si>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</si>
  <si>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</si>
  <si>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</si>
  <si>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</si>
  <si>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</si>
  <si>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</si>
  <si>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</si>
  <si>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</si>
  <si>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</si>
  <si>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</si>
  <si>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</si>
  <si>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</si>
  <si>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</si>
  <si>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</si>
  <si>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</si>
  <si>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</si>
  <si>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</si>
  <si>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</si>
  <si>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</si>
  <si>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معضلة عطل في نظام جهاز التعارف (IFF)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</si>
  <si>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رد الفعل عند وجود عطل في جهاز التعارف لتمييز الأهداف الصديقة من المعادية.</t>
    </r>
  </si>
  <si>
    <t>اجراءات رد الفعل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</si>
  <si>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تنسيق قائد السرية مع خلية تنسيق النيران.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</si>
  <si>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تزويد آلية البانزر بالمعلومات عن الأهداف الصديقة التي سوف تقلع وتهبط في منطقة المسؤولية ومنطقة الحماية للبانزر.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</si>
  <si>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تفعيل الدخول والخروج من مناطق المسؤولية عبر الممرات الآمنة.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</si>
  <si>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ربط مسيطر الهجوم النهائي المشترك بالعربة القائدة لتنسيق السيطرة على المجال الجوي.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</si>
  <si>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تمرير معلومات الأهداف الى مركز العمليات الجوي للتأكد من هوية الهدف.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</si>
  <si>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الاستعانة بالتقرير الاستخباري لتمييز الطائرات المعادية.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</si>
</sst>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A9" zoomScale="136" zoomScaleNormal="100" zoomScaleSheetLayoutView="136" workbookViewId="0">
      <selection activeCell="L11" sqref="L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190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92" t="s">
        <v>191</v>
      </c>
      <c r="C10" s="93"/>
      <c r="D10" s="93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192</v>
      </c>
      <c r="C11" s="91"/>
      <c r="D11" s="91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193</v>
      </c>
      <c r="C12" s="91"/>
      <c r="D12" s="91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194</v>
      </c>
      <c r="C13" s="91"/>
      <c r="D13" s="91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39.950000000000003" customHeight="1" x14ac:dyDescent="0.2">
      <c r="A14" s="9"/>
      <c r="B14" s="94" t="s">
        <v>195</v>
      </c>
      <c r="C14" s="91"/>
      <c r="D14" s="91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39.950000000000003" customHeight="1" x14ac:dyDescent="0.2">
      <c r="A15" s="9"/>
      <c r="B15" s="94" t="s">
        <v>196</v>
      </c>
      <c r="C15" s="91"/>
      <c r="D15" s="91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thickBot="1" x14ac:dyDescent="0.25">
      <c r="A16" s="9"/>
      <c r="B16" s="95" t="s">
        <v>197</v>
      </c>
      <c r="C16" s="96"/>
      <c r="D16" s="96"/>
      <c r="E16" s="34">
        <v>3</v>
      </c>
      <c r="F16" s="42" t="s">
        <v>61</v>
      </c>
      <c r="G16" s="35" t="str">
        <f t="shared" si="0"/>
        <v/>
      </c>
      <c r="H16" s="36" t="str">
        <f t="shared" si="1"/>
        <v/>
      </c>
      <c r="I16" s="89"/>
      <c r="J16" s="90"/>
    </row>
    <row r="17" spans="1:10" ht="30" customHeight="1" thickBot="1" x14ac:dyDescent="0.25">
      <c r="A17" s="4"/>
      <c r="B17" s="77" t="s">
        <v>5</v>
      </c>
      <c r="C17" s="78"/>
      <c r="D17" s="78"/>
      <c r="E17" s="40">
        <f>SUM(E10:E16)</f>
        <v>18</v>
      </c>
      <c r="F17" s="40">
        <f>SUM(F10:F16)</f>
        <v>0</v>
      </c>
      <c r="G17" s="49"/>
      <c r="H17" s="50"/>
      <c r="I17" s="50"/>
      <c r="J17" s="51"/>
    </row>
    <row r="18" spans="1:10" ht="30" customHeight="1" thickBot="1" x14ac:dyDescent="0.25">
      <c r="A18" s="4"/>
      <c r="B18" s="79" t="s">
        <v>54</v>
      </c>
      <c r="C18" s="80"/>
      <c r="D18" s="80"/>
      <c r="E18" s="52">
        <f>F17/E17/100*100</f>
        <v>0</v>
      </c>
      <c r="F18" s="52"/>
      <c r="G18" s="52"/>
      <c r="H18" s="52"/>
      <c r="I18" s="52"/>
      <c r="J18" s="53"/>
    </row>
    <row r="19" spans="1:10" ht="30" customHeight="1" thickBot="1" x14ac:dyDescent="0.25">
      <c r="A19" s="4"/>
      <c r="B19" s="79" t="s">
        <v>55</v>
      </c>
      <c r="C19" s="80"/>
      <c r="D19" s="80"/>
      <c r="E19" s="60" t="str">
        <f>_xlfn.IFS(E18&gt;=90%,"ممتاز",E18&gt;=80%,"جيد جداً",E18&gt;=70%,"جيد",E18&gt;=60%,"مقبول",E18&lt;60%,"راسب")</f>
        <v>راسب</v>
      </c>
      <c r="F19" s="60"/>
      <c r="G19" s="60"/>
      <c r="H19" s="60"/>
      <c r="I19" s="60"/>
      <c r="J19" s="61"/>
    </row>
    <row r="20" spans="1:10" ht="42" customHeight="1" x14ac:dyDescent="0.2">
      <c r="B20" s="81" t="s">
        <v>178</v>
      </c>
      <c r="C20" s="81"/>
      <c r="D20" s="81"/>
      <c r="E20" s="47" t="s">
        <v>52</v>
      </c>
      <c r="F20" s="47"/>
      <c r="G20" s="58" t="s">
        <v>59</v>
      </c>
      <c r="H20" s="58"/>
      <c r="I20" s="58"/>
      <c r="J20" s="58"/>
    </row>
    <row r="21" spans="1:10" ht="51" customHeight="1" x14ac:dyDescent="0.2">
      <c r="A21" s="5"/>
      <c r="B21" s="82"/>
      <c r="C21" s="82"/>
      <c r="D21" s="82"/>
      <c r="E21" s="48" t="s">
        <v>53</v>
      </c>
      <c r="F21" s="48"/>
      <c r="G21" s="59"/>
      <c r="H21" s="59"/>
      <c r="I21" s="59"/>
      <c r="J21" s="59"/>
    </row>
    <row r="22" spans="1:10" ht="15.75" x14ac:dyDescent="0.2">
      <c r="A22" s="24">
        <v>3</v>
      </c>
      <c r="B22" s="83" t="s">
        <v>175</v>
      </c>
      <c r="C22" s="84"/>
    </row>
    <row r="23" spans="1:10" ht="15.75" x14ac:dyDescent="0.2">
      <c r="A23" s="25">
        <v>2</v>
      </c>
      <c r="B23" s="85" t="s">
        <v>176</v>
      </c>
      <c r="C23" s="86"/>
    </row>
    <row r="24" spans="1:10" ht="15.75" x14ac:dyDescent="0.2">
      <c r="A24" s="26">
        <v>1</v>
      </c>
      <c r="B24" s="75" t="s">
        <v>177</v>
      </c>
      <c r="C24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B16:D16"/>
    <mergeCell ref="B10:D10"/>
    <mergeCell ref="B11:D11"/>
    <mergeCell ref="B13:D13"/>
    <mergeCell ref="B14:D14"/>
    <mergeCell ref="B15:D15"/>
    <mergeCell ref="B5:C5"/>
    <mergeCell ref="E5:H5"/>
    <mergeCell ref="I5:J5"/>
    <mergeCell ref="B12:D12"/>
    <mergeCell ref="B24:C24"/>
    <mergeCell ref="B17:D17"/>
    <mergeCell ref="B18:D18"/>
    <mergeCell ref="B19:D19"/>
    <mergeCell ref="B20:D21"/>
    <mergeCell ref="B22:C22"/>
    <mergeCell ref="B23:C23"/>
    <mergeCell ref="G21:J21"/>
    <mergeCell ref="E19:J19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E20:F20"/>
    <mergeCell ref="E21:F21"/>
    <mergeCell ref="G17:J17"/>
    <mergeCell ref="E18:J18"/>
    <mergeCell ref="B9:D9"/>
    <mergeCell ref="I11:J11"/>
    <mergeCell ref="I9:J9"/>
    <mergeCell ref="I12:J12"/>
    <mergeCell ref="G20:J20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37" priority="80">
      <formula>$E19="راسب"</formula>
    </cfRule>
  </conditionalFormatting>
  <conditionalFormatting sqref="E19:J19">
    <cfRule type="expression" dxfId="36" priority="81">
      <formula>$E19="مقبول"</formula>
    </cfRule>
    <cfRule type="expression" dxfId="35" priority="82">
      <formula>$E19="جيد"</formula>
    </cfRule>
    <cfRule type="expression" dxfId="34" priority="83">
      <formula>$E19="جيد جداً"</formula>
    </cfRule>
    <cfRule type="expression" dxfId="33" priority="84">
      <formula>$E19="ممتاز"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0:J20">
    <cfRule type="containsText" dxfId="29" priority="38" operator="containsText" text="أدخل اسم المحكم">
      <formula>NOT(ISERROR(SEARCH("أدخل اسم المحكم",G20)))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2025-10-23T08:40:27Z</dcterms:modified>
</cp:coreProperties>
</file>