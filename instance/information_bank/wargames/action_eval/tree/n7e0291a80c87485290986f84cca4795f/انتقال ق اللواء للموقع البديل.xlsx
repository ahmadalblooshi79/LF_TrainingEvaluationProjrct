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D58A538-29CE-4D07-A002-481EA67C805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التقييم'!$A$1:$J$75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2" l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 l="1"/>
  <c r="H34" i="2" s="1"/>
  <c r="G33" i="2"/>
  <c r="H33" i="2" s="1"/>
  <c r="G31" i="2"/>
  <c r="H31" i="2" s="1"/>
  <c r="G30" i="2"/>
  <c r="H30" i="2" s="1"/>
  <c r="G29" i="2"/>
  <c r="H29" i="2" s="1"/>
  <c r="G27" i="2"/>
  <c r="H27" i="2" s="1"/>
  <c r="G26" i="2"/>
  <c r="H26" i="2" s="1"/>
  <c r="G25" i="2"/>
  <c r="H25" i="2" s="1"/>
  <c r="G24" i="2"/>
  <c r="H24" i="2" s="1"/>
  <c r="G23" i="2"/>
  <c r="H23" i="2" s="1"/>
  <c r="G21" i="2"/>
  <c r="H21" i="2" s="1"/>
  <c r="G20" i="2"/>
  <c r="H20" i="2" s="1"/>
  <c r="G19" i="2"/>
  <c r="H19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45" i="2" l="1"/>
  <c r="E46" i="2" l="1"/>
  <c r="E47" i="2" s="1"/>
</calcChain>
</file>

<file path=xl/sharedStrings.xml><?xml version="1.0" encoding="utf-8"?>
<sst xmlns="http://schemas.openxmlformats.org/spreadsheetml/2006/main" count="315" uniqueCount="226">
  <si>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</si>
  <si>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</si>
  <si>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</si>
  <si>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</si>
  <si>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</si>
  <si>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</si>
  <si>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</si>
  <si>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</si>
  <si>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</si>
  <si>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</si>
  <si>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</si>
  <si>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</si>
  <si>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</si>
  <si>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</si>
  <si>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</si>
  <si>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</si>
  <si>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</si>
  <si>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</si>
  <si>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</si>
  <si>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</si>
  <si>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</si>
  <si>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</si>
  <si>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</si>
  <si>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</si>
  <si>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</si>
  <si>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</si>
  <si>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</si>
  <si>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</si>
  <si>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</si>
  <si>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</si>
  <si>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</si>
  <si>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</si>
  <si>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</si>
  <si>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</si>
  <si>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</si>
  <si>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</si>
  <si>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</si>
  <si>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</si>
  <si>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</si>
  <si>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</si>
  <si>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</si>
  <si>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</si>
  <si>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</si>
  <si>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</si>
  <si>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</si>
  <si>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</si>
  <si>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</si>
  <si>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</si>
  <si>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</si>
  <si>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</si>
  <si>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</si>
  <si>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</si>
  <si>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</si>
  <si>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</si>
  <si>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</si>
  <si>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</si>
  <si>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</si>
  <si>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</si>
  <si>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</si>
  <si>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</si>
  <si>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</si>
  <si>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</si>
  <si>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</si>
  <si>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</si>
  <si>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</si>
  <si>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</si>
  <si>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</si>
  <si>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</si>
  <si>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</si>
  <si>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</si>
  <si>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</si>
  <si>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</si>
  <si>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</si>
  <si>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</si>
  <si>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</si>
  <si>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</si>
  <si>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</si>
  <si>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</si>
  <si>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</si>
  <si>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</si>
  <si>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</si>
  <si>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</si>
  <si>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</si>
  <si>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</si>
  <si>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</si>
  <si>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</si>
  <si>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</si>
  <si>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</si>
  <si>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</si>
  <si>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</si>
  <si>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</si>
  <si>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</si>
  <si>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</si>
  <si>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</si>
  <si>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</si>
  <si>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</si>
  <si>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</si>
  <si>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</si>
  <si>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</si>
  <si>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</si>
  <si>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</si>
  <si>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</si>
  <si>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</si>
  <si>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</si>
  <si>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</si>
  <si>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</si>
  <si>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</si>
  <si>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</si>
  <si>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</si>
  <si>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</si>
  <si>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</si>
  <si>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</si>
  <si>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</si>
  <si>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</si>
  <si>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</si>
  <si>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</si>
  <si>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</si>
  <si>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</si>
  <si>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</si>
  <si>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</si>
  <si>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</si>
  <si>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</si>
  <si>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</si>
  <si>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</si>
  <si>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</si>
  <si>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</si>
  <si>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</si>
  <si>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</si>
  <si>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</si>
  <si>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</si>
  <si>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</si>
  <si>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</si>
  <si>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</si>
  <si>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</si>
  <si>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</si>
  <si>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</si>
  <si>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</si>
  <si>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</si>
  <si>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</si>
  <si>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</si>
  <si>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</si>
  <si>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</si>
  <si>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</si>
  <si>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</si>
  <si>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</si>
  <si>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</si>
  <si>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</si>
  <si>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</si>
  <si>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</si>
  <si>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</si>
  <si>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</si>
  <si>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</si>
  <si>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</si>
  <si>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</si>
  <si>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</si>
  <si>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</si>
  <si>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</si>
  <si>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</si>
  <si>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</si>
  <si>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</si>
  <si>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</si>
  <si>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</si>
  <si>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</si>
  <si>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</si>
  <si>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</si>
  <si>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</si>
  <si>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</si>
  <si>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</si>
  <si>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</si>
  <si>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</si>
  <si>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</si>
  <si>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</si>
  <si>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</si>
  <si>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</si>
  <si>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</si>
  <si>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</si>
  <si>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</si>
  <si>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</si>
  <si>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</si>
  <si>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</si>
  <si>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</si>
  <si>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</si>
  <si>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</si>
  <si>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</si>
  <si>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</si>
  <si>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</si>
  <si>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</si>
  <si>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</si>
  <si>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انتقال مركز القيادة الرئيسي للموقع البديل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</si>
  <si>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ضابط المعركة.</t>
  </si>
  <si>
    <t>وكيل القوة</t>
  </si>
  <si>
    <t>تسلسل عملية نقل الموقع</t>
  </si>
  <si>
    <t xml:space="preserve">1.    إشعار وإبلاغ القيادة المتقدمة باستلام السيطرة على المعركة.  </t>
  </si>
  <si>
    <t xml:space="preserve">2.    التأكد من تثبيت خارطة العمليات خلال الحركة، وتغطيتها بشريط لاصق شفاف كإجراء احترازي لتأمينها مع المحافظة على القدرة على إدامتها أثناء الحركة. </t>
  </si>
  <si>
    <t>3.    فصل خطوط الاتصال الأرضية.</t>
  </si>
  <si>
    <t>4.    مساعدة ضابط صف العمليات على إزالة خلية العمليات.</t>
  </si>
  <si>
    <t>5.    التأكد من سحب جميع خطوط الاتصال الأرضية من قبل أفراد الإشارة.</t>
  </si>
  <si>
    <t>6.    التأكد من الجاهزية للحركة.</t>
  </si>
  <si>
    <t>7.    التأكد من أن لوحة المعلومات العملياتية مدامة.</t>
  </si>
  <si>
    <t>1.    الإشراف على إزالة الموقع.</t>
  </si>
  <si>
    <t>3.    تحضير الموقع الأمامي وحسب الترتيب الملائم لمركز القيادة الرئيس.</t>
  </si>
  <si>
    <t>5.     التأكد من أن موقع القيادة قد تم إزالته وأنه جاهز للحركة.</t>
  </si>
  <si>
    <t>3.    التركيز على مراقبة المعركة أثناء التجهيز لنقل مركز القيادة الرئيس مثل إزالة موقع القيادة، نظم التوصيلات، ونقل لوحات الخرائط بالإضافة إلى جميع المهمات الأخرى ضمن مركز القيادة الرئيس.</t>
  </si>
  <si>
    <t>1.    يقوم ركن العمليات بإصدار أمر النقل.</t>
  </si>
  <si>
    <t>3.    تسليم الإيجاز إلى القيادة المتقدمة.</t>
  </si>
  <si>
    <t>7.    البدء في اصطفاف الآليات.</t>
  </si>
  <si>
    <t>2.    الحركة مع جماعة المقدمة قبل ساعة من بدء إزالة الموقع.</t>
  </si>
  <si>
    <t>ضابط الصف المسؤول عن مركز القيادة الرئيس.</t>
  </si>
  <si>
    <t>ضابط الصف المسؤول عن القسم.</t>
  </si>
  <si>
    <t>1.    تحضير معدات إزالة الموقع.</t>
  </si>
  <si>
    <t>2.    التأكد من تقيد جميع العاملين من الرتب الأخرى في مركز القيادة  بتعليمات وكيل قوة العمليات.</t>
  </si>
  <si>
    <t>4.    التأكد من التزام الجميع بإجراءات وتعليمات استخدام الأضواء في مركز القيادة الرئيسي أثناء ساعات الظلام.</t>
  </si>
  <si>
    <t>1.    التأكد من تواجد جميع الأفراد المناوبين ويشاركون بالمساعدة في النقل.</t>
  </si>
  <si>
    <t>2.    التركيز على الواجبات خارج مركز القيادة الرئيسي مثل إزالة الشبكة، حمل المعدات على الآليات، مهمات الإدامة، نقل الهوائيات، والأمن.</t>
  </si>
  <si>
    <t>2.    إزالة شبكة التمويه والخيام.</t>
  </si>
  <si>
    <t>4.    تتولى القيادة المتقدمة مهام وواجبات مركز القيادة الرئيسي.</t>
  </si>
  <si>
    <t>5.    انتقال مركز القيادة الرئيسي إلى الشبكة على أجهزة اتصال الآليات.</t>
  </si>
  <si>
    <t>6.    تفقد المواد الحساسة والإبلاغ عنها.</t>
  </si>
  <si>
    <t>8.    تحرك مركز القيادة الرئيسي.</t>
  </si>
  <si>
    <r>
      <t>9.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تتولى القيادة المتقدمة واجبات ومهام مركز القيادة الرئيسي.</t>
    </r>
  </si>
  <si>
    <r>
      <t>10.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يبلغ مركز القيادة الرئيسي عن الموقع الجديد للمستوى الأعلى ولجميع وحداته.</t>
    </r>
  </si>
  <si>
    <r>
      <t>11.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يؤسس مركز القيادة الرئيس الاتصالات.</t>
    </r>
  </si>
  <si>
    <r>
      <t>12.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يتولى مركز القيادة الرئيس الواجبات من القيادة المتقدمة.</t>
    </r>
  </si>
  <si>
    <r>
      <t>وصف المعضلة:</t>
    </r>
    <r>
      <rPr>
        <sz val="14"/>
        <color rgb="FF000000"/>
        <rFont val="Arial"/>
        <family val="2"/>
      </rPr>
      <t xml:space="preserve"> تعرض موقع مركز القيادة الرئيسي لمجموعة اللواء للتهديد (الكشف من قبل قوات العدو - التعرض لهجوم) مما يتطلب الانتقال إلى الموقع البديل.</t>
    </r>
  </si>
  <si>
    <t>رقــم المعضلة حسـب مجرى الأحداث والمعاضل:</t>
  </si>
  <si>
    <t>3.    تنظيم الآليات حسب التشكيل المطلوب للحركة (مرفق).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</si>
</sst>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27" xfId="0" applyFont="1" applyBorder="1" applyAlignment="1">
      <alignment horizontal="right" vertical="center" wrapText="1" readingOrder="2"/>
    </xf>
    <xf numFmtId="0" fontId="13" fillId="0" borderId="14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6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117231</xdr:colOff>
      <xdr:row>53</xdr:row>
      <xdr:rowOff>83526</xdr:rowOff>
    </xdr:from>
    <xdr:to>
      <xdr:col>8</xdr:col>
      <xdr:colOff>570035</xdr:colOff>
      <xdr:row>73</xdr:row>
      <xdr:rowOff>161925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90CFB20-58BD-4934-9CD9-58F26C31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8590600" y="25559238"/>
          <a:ext cx="6153150" cy="3741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2"/>
  <sheetViews>
    <sheetView rightToLeft="1" tabSelected="1" view="pageBreakPreview" zoomScale="130" zoomScaleNormal="100" zoomScaleSheetLayoutView="130" workbookViewId="0">
      <selection activeCell="J63" sqref="J63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87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9" t="s">
        <v>188</v>
      </c>
      <c r="C1" s="79"/>
      <c r="D1" s="79"/>
      <c r="E1" s="79"/>
      <c r="F1" s="79"/>
      <c r="G1" s="79"/>
      <c r="H1" s="79"/>
      <c r="I1" s="79"/>
      <c r="J1" s="79"/>
    </row>
    <row r="2" spans="1:10" ht="45" customHeight="1" x14ac:dyDescent="0.2">
      <c r="B2" s="90" t="s">
        <v>223</v>
      </c>
      <c r="C2" s="90"/>
      <c r="D2" s="90"/>
      <c r="E2" s="90"/>
      <c r="F2" s="90"/>
      <c r="G2" s="90"/>
      <c r="H2" s="90"/>
      <c r="I2" s="90"/>
      <c r="J2" s="90"/>
    </row>
    <row r="3" spans="1:10" ht="30" customHeight="1" x14ac:dyDescent="0.2">
      <c r="B3" s="11" t="s">
        <v>8</v>
      </c>
      <c r="C3" s="85" t="s">
        <v>57</v>
      </c>
      <c r="D3" s="85"/>
      <c r="E3" s="11" t="s">
        <v>7</v>
      </c>
      <c r="F3" s="80" t="s">
        <v>56</v>
      </c>
      <c r="G3" s="80"/>
      <c r="H3" s="80"/>
      <c r="I3" s="80"/>
      <c r="J3" s="80"/>
    </row>
    <row r="4" spans="1:10" ht="30" customHeight="1" x14ac:dyDescent="0.2">
      <c r="B4" s="11" t="s">
        <v>9</v>
      </c>
      <c r="C4" s="85" t="s">
        <v>60</v>
      </c>
      <c r="D4" s="85"/>
      <c r="E4" s="11" t="s">
        <v>6</v>
      </c>
      <c r="F4" s="85" t="s">
        <v>59</v>
      </c>
      <c r="G4" s="85"/>
      <c r="H4" s="85"/>
      <c r="I4" s="85"/>
      <c r="J4" s="85"/>
    </row>
    <row r="5" spans="1:10" ht="30" customHeight="1" x14ac:dyDescent="0.2">
      <c r="B5" s="62" t="s">
        <v>186</v>
      </c>
      <c r="C5" s="62"/>
      <c r="D5" s="39" t="s">
        <v>187</v>
      </c>
      <c r="E5" s="62" t="s">
        <v>224</v>
      </c>
      <c r="F5" s="62"/>
      <c r="G5" s="62"/>
      <c r="H5" s="62"/>
      <c r="I5" s="63" t="s">
        <v>185</v>
      </c>
      <c r="J5" s="63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81" t="s">
        <v>0</v>
      </c>
      <c r="C7" s="82"/>
      <c r="D7" s="82"/>
      <c r="E7" s="86" t="s">
        <v>1</v>
      </c>
      <c r="F7" s="86"/>
      <c r="G7" s="86"/>
      <c r="H7" s="86"/>
      <c r="I7" s="86" t="s">
        <v>2</v>
      </c>
      <c r="J7" s="87"/>
    </row>
    <row r="8" spans="1:10" ht="24.95" customHeight="1" thickBot="1" x14ac:dyDescent="0.25">
      <c r="A8" s="9"/>
      <c r="B8" s="83"/>
      <c r="C8" s="84"/>
      <c r="D8" s="84"/>
      <c r="E8" s="10" t="s">
        <v>3</v>
      </c>
      <c r="F8" s="10" t="s">
        <v>4</v>
      </c>
      <c r="G8" s="10" t="s">
        <v>23</v>
      </c>
      <c r="H8" s="10" t="s">
        <v>24</v>
      </c>
      <c r="I8" s="88"/>
      <c r="J8" s="89"/>
    </row>
    <row r="9" spans="1:10" ht="24.95" customHeight="1" thickBot="1" x14ac:dyDescent="0.25">
      <c r="A9" s="9"/>
      <c r="B9" s="100" t="s">
        <v>21</v>
      </c>
      <c r="C9" s="101"/>
      <c r="D9" s="101"/>
      <c r="E9" s="27" t="s">
        <v>18</v>
      </c>
      <c r="F9" s="27" t="s">
        <v>19</v>
      </c>
      <c r="G9" s="27" t="s">
        <v>22</v>
      </c>
      <c r="H9" s="27" t="s">
        <v>20</v>
      </c>
      <c r="I9" s="102" t="s">
        <v>25</v>
      </c>
      <c r="J9" s="103"/>
    </row>
    <row r="10" spans="1:10" ht="39.950000000000003" customHeight="1" x14ac:dyDescent="0.2">
      <c r="A10" s="9"/>
      <c r="B10" s="56" t="s">
        <v>189</v>
      </c>
      <c r="C10" s="57"/>
      <c r="D10" s="57"/>
      <c r="E10" s="31"/>
      <c r="F10" s="43"/>
      <c r="G10" s="32"/>
      <c r="H10" s="33"/>
      <c r="I10" s="58"/>
      <c r="J10" s="59"/>
    </row>
    <row r="11" spans="1:10" ht="39.950000000000003" customHeight="1" x14ac:dyDescent="0.2">
      <c r="A11" s="9"/>
      <c r="B11" s="48" t="s">
        <v>192</v>
      </c>
      <c r="C11" s="49"/>
      <c r="D11" s="49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50"/>
      <c r="J11" s="51"/>
    </row>
    <row r="12" spans="1:10" ht="63.75" customHeight="1" x14ac:dyDescent="0.2">
      <c r="A12" s="9"/>
      <c r="B12" s="48" t="s">
        <v>193</v>
      </c>
      <c r="C12" s="49"/>
      <c r="D12" s="49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50"/>
      <c r="J12" s="51"/>
    </row>
    <row r="13" spans="1:10" ht="39.950000000000003" customHeight="1" x14ac:dyDescent="0.2">
      <c r="A13" s="9"/>
      <c r="B13" s="48" t="s">
        <v>194</v>
      </c>
      <c r="C13" s="49"/>
      <c r="D13" s="49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50"/>
      <c r="J13" s="51"/>
    </row>
    <row r="14" spans="1:10" ht="39.950000000000003" customHeight="1" x14ac:dyDescent="0.2">
      <c r="A14" s="9"/>
      <c r="B14" s="48" t="s">
        <v>195</v>
      </c>
      <c r="C14" s="49"/>
      <c r="D14" s="49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50"/>
      <c r="J14" s="51"/>
    </row>
    <row r="15" spans="1:10" ht="39.950000000000003" customHeight="1" x14ac:dyDescent="0.2">
      <c r="A15" s="9"/>
      <c r="B15" s="48" t="s">
        <v>196</v>
      </c>
      <c r="C15" s="49"/>
      <c r="D15" s="49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50"/>
      <c r="J15" s="51"/>
    </row>
    <row r="16" spans="1:10" ht="39.950000000000003" customHeight="1" x14ac:dyDescent="0.2">
      <c r="A16" s="9"/>
      <c r="B16" s="48" t="s">
        <v>197</v>
      </c>
      <c r="C16" s="49"/>
      <c r="D16" s="49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50"/>
      <c r="J16" s="51"/>
    </row>
    <row r="17" spans="1:10" ht="39.950000000000003" customHeight="1" thickBot="1" x14ac:dyDescent="0.25">
      <c r="A17" s="9"/>
      <c r="B17" s="60" t="s">
        <v>198</v>
      </c>
      <c r="C17" s="61"/>
      <c r="D17" s="61"/>
      <c r="E17" s="44">
        <v>3</v>
      </c>
      <c r="F17" s="45" t="s">
        <v>61</v>
      </c>
      <c r="G17" s="46" t="str">
        <f>IFERROR(F17/E17,"")</f>
        <v/>
      </c>
      <c r="H17" s="47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98"/>
      <c r="J17" s="99"/>
    </row>
    <row r="18" spans="1:10" ht="39.950000000000003" customHeight="1" x14ac:dyDescent="0.2">
      <c r="A18" s="9"/>
      <c r="B18" s="56" t="s">
        <v>190</v>
      </c>
      <c r="C18" s="57"/>
      <c r="D18" s="57"/>
      <c r="E18" s="31"/>
      <c r="F18" s="43"/>
      <c r="G18" s="32"/>
      <c r="H18" s="33"/>
      <c r="I18" s="58"/>
      <c r="J18" s="59"/>
    </row>
    <row r="19" spans="1:10" ht="39.950000000000003" customHeight="1" x14ac:dyDescent="0.2">
      <c r="A19" s="9"/>
      <c r="B19" s="48" t="s">
        <v>199</v>
      </c>
      <c r="C19" s="49"/>
      <c r="D19" s="49"/>
      <c r="E19" s="28">
        <v>3</v>
      </c>
      <c r="F19" s="41" t="s">
        <v>61</v>
      </c>
      <c r="G19" s="29" t="str">
        <f t="shared" ref="G19:G21" si="2">IFERROR(F19/E19,"")</f>
        <v/>
      </c>
      <c r="H19" s="30" t="str">
        <f t="shared" ref="H19:H21" si="3">_xlfn.IFS(F19="أدخل العلامة","",F19="لا ينطبق","تم الإلغاء",G19&gt;=90%,"ممتاز",G19&gt;=80%,"جيد جداً",G19&gt;=70%,"جيد",G19&gt;=60%,"مقبول",G19&lt;60%,"راسب")</f>
        <v/>
      </c>
      <c r="I19" s="50"/>
      <c r="J19" s="51"/>
    </row>
    <row r="20" spans="1:10" ht="39.950000000000003" customHeight="1" x14ac:dyDescent="0.2">
      <c r="A20" s="9"/>
      <c r="B20" s="48" t="s">
        <v>206</v>
      </c>
      <c r="C20" s="49"/>
      <c r="D20" s="49"/>
      <c r="E20" s="28">
        <v>3</v>
      </c>
      <c r="F20" s="41" t="s">
        <v>61</v>
      </c>
      <c r="G20" s="29" t="str">
        <f t="shared" si="2"/>
        <v/>
      </c>
      <c r="H20" s="30" t="str">
        <f t="shared" si="3"/>
        <v/>
      </c>
      <c r="I20" s="50"/>
      <c r="J20" s="51"/>
    </row>
    <row r="21" spans="1:10" ht="39.950000000000003" customHeight="1" thickBot="1" x14ac:dyDescent="0.25">
      <c r="A21" s="9"/>
      <c r="B21" s="52" t="s">
        <v>200</v>
      </c>
      <c r="C21" s="53"/>
      <c r="D21" s="53"/>
      <c r="E21" s="34">
        <v>3</v>
      </c>
      <c r="F21" s="42" t="s">
        <v>61</v>
      </c>
      <c r="G21" s="35" t="str">
        <f t="shared" si="2"/>
        <v/>
      </c>
      <c r="H21" s="36" t="str">
        <f t="shared" si="3"/>
        <v/>
      </c>
      <c r="I21" s="54"/>
      <c r="J21" s="55"/>
    </row>
    <row r="22" spans="1:10" ht="39.950000000000003" customHeight="1" x14ac:dyDescent="0.2">
      <c r="A22" s="9"/>
      <c r="B22" s="56" t="s">
        <v>207</v>
      </c>
      <c r="C22" s="57"/>
      <c r="D22" s="57"/>
      <c r="E22" s="31"/>
      <c r="F22" s="43"/>
      <c r="G22" s="32"/>
      <c r="H22" s="33"/>
      <c r="I22" s="58"/>
      <c r="J22" s="59"/>
    </row>
    <row r="23" spans="1:10" ht="39.950000000000003" customHeight="1" x14ac:dyDescent="0.2">
      <c r="A23" s="9"/>
      <c r="B23" s="48" t="s">
        <v>209</v>
      </c>
      <c r="C23" s="49"/>
      <c r="D23" s="49"/>
      <c r="E23" s="28">
        <v>3</v>
      </c>
      <c r="F23" s="41" t="s">
        <v>61</v>
      </c>
      <c r="G23" s="29" t="str">
        <f>IFERROR(F23/E23,"")</f>
        <v/>
      </c>
      <c r="H23" s="30" t="str">
        <f>_xlfn.IFS(F23="أدخل العلامة","",F23="لا ينطبق","تم الإلغاء",G23&gt;=90%,"ممتاز",G23&gt;=80%,"جيد جداً",G23&gt;=70%,"جيد",G23&gt;=60%,"مقبول",G23&lt;60%,"راسب")</f>
        <v/>
      </c>
      <c r="I23" s="50"/>
      <c r="J23" s="51"/>
    </row>
    <row r="24" spans="1:10" ht="39.950000000000003" customHeight="1" x14ac:dyDescent="0.2">
      <c r="A24" s="9"/>
      <c r="B24" s="48" t="s">
        <v>210</v>
      </c>
      <c r="C24" s="49"/>
      <c r="D24" s="49"/>
      <c r="E24" s="28">
        <v>3</v>
      </c>
      <c r="F24" s="41" t="s">
        <v>61</v>
      </c>
      <c r="G24" s="29" t="str">
        <f t="shared" ref="G24:G27" si="4">IFERROR(F24/E24,"")</f>
        <v/>
      </c>
      <c r="H24" s="30" t="str">
        <f t="shared" ref="H24:H27" si="5">_xlfn.IFS(F24="أدخل العلامة","",F24="لا ينطبق","تم الإلغاء",G24&gt;=90%,"ممتاز",G24&gt;=80%,"جيد جداً",G24&gt;=70%,"جيد",G24&gt;=60%,"مقبول",G24&lt;60%,"راسب")</f>
        <v/>
      </c>
      <c r="I24" s="50"/>
      <c r="J24" s="51"/>
    </row>
    <row r="25" spans="1:10" ht="39.950000000000003" customHeight="1" x14ac:dyDescent="0.2">
      <c r="A25" s="9"/>
      <c r="B25" s="48" t="s">
        <v>225</v>
      </c>
      <c r="C25" s="49"/>
      <c r="D25" s="49"/>
      <c r="E25" s="28">
        <v>3</v>
      </c>
      <c r="F25" s="41" t="s">
        <v>61</v>
      </c>
      <c r="G25" s="29" t="str">
        <f t="shared" si="4"/>
        <v/>
      </c>
      <c r="H25" s="30" t="str">
        <f t="shared" si="5"/>
        <v/>
      </c>
      <c r="I25" s="50"/>
      <c r="J25" s="51"/>
    </row>
    <row r="26" spans="1:10" ht="39.950000000000003" customHeight="1" x14ac:dyDescent="0.2">
      <c r="A26" s="9"/>
      <c r="B26" s="48" t="s">
        <v>211</v>
      </c>
      <c r="C26" s="49"/>
      <c r="D26" s="49"/>
      <c r="E26" s="28">
        <v>3</v>
      </c>
      <c r="F26" s="41" t="s">
        <v>61</v>
      </c>
      <c r="G26" s="29" t="str">
        <f t="shared" si="4"/>
        <v/>
      </c>
      <c r="H26" s="30" t="str">
        <f t="shared" si="5"/>
        <v/>
      </c>
      <c r="I26" s="50"/>
      <c r="J26" s="51"/>
    </row>
    <row r="27" spans="1:10" ht="39.950000000000003" customHeight="1" thickBot="1" x14ac:dyDescent="0.25">
      <c r="A27" s="9"/>
      <c r="B27" s="52" t="s">
        <v>201</v>
      </c>
      <c r="C27" s="53"/>
      <c r="D27" s="53"/>
      <c r="E27" s="34">
        <v>3</v>
      </c>
      <c r="F27" s="42" t="s">
        <v>61</v>
      </c>
      <c r="G27" s="35" t="str">
        <f t="shared" si="4"/>
        <v/>
      </c>
      <c r="H27" s="36" t="str">
        <f t="shared" si="5"/>
        <v/>
      </c>
      <c r="I27" s="54"/>
      <c r="J27" s="55"/>
    </row>
    <row r="28" spans="1:10" ht="39.950000000000003" customHeight="1" x14ac:dyDescent="0.2">
      <c r="A28" s="9"/>
      <c r="B28" s="56" t="s">
        <v>208</v>
      </c>
      <c r="C28" s="57"/>
      <c r="D28" s="57"/>
      <c r="E28" s="31"/>
      <c r="F28" s="43"/>
      <c r="G28" s="32"/>
      <c r="H28" s="33"/>
      <c r="I28" s="58"/>
      <c r="J28" s="59"/>
    </row>
    <row r="29" spans="1:10" ht="39.950000000000003" customHeight="1" x14ac:dyDescent="0.2">
      <c r="A29" s="9"/>
      <c r="B29" s="48" t="s">
        <v>212</v>
      </c>
      <c r="C29" s="49"/>
      <c r="D29" s="49"/>
      <c r="E29" s="28">
        <v>3</v>
      </c>
      <c r="F29" s="41" t="s">
        <v>61</v>
      </c>
      <c r="G29" s="29" t="str">
        <f>IFERROR(F29/E29,"")</f>
        <v/>
      </c>
      <c r="H29" s="30" t="str">
        <f>_xlfn.IFS(F29="أدخل العلامة","",F29="لا ينطبق","تم الإلغاء",G29&gt;=90%,"ممتاز",G29&gt;=80%,"جيد جداً",G29&gt;=70%,"جيد",G29&gt;=60%,"مقبول",G29&lt;60%,"راسب")</f>
        <v/>
      </c>
      <c r="I29" s="50"/>
      <c r="J29" s="51"/>
    </row>
    <row r="30" spans="1:10" ht="59.25" customHeight="1" x14ac:dyDescent="0.2">
      <c r="A30" s="9"/>
      <c r="B30" s="48" t="s">
        <v>213</v>
      </c>
      <c r="C30" s="49"/>
      <c r="D30" s="49"/>
      <c r="E30" s="28">
        <v>3</v>
      </c>
      <c r="F30" s="41" t="s">
        <v>61</v>
      </c>
      <c r="G30" s="29" t="str">
        <f t="shared" ref="G30:G34" si="6">IFERROR(F30/E30,"")</f>
        <v/>
      </c>
      <c r="H30" s="30" t="str">
        <f t="shared" ref="H30:H34" si="7">_xlfn.IFS(F30="أدخل العلامة","",F30="لا ينطبق","تم الإلغاء",G30&gt;=90%,"ممتاز",G30&gt;=80%,"جيد جداً",G30&gt;=70%,"جيد",G30&gt;=60%,"مقبول",G30&lt;60%,"راسب")</f>
        <v/>
      </c>
      <c r="I30" s="50"/>
      <c r="J30" s="51"/>
    </row>
    <row r="31" spans="1:10" ht="80.25" customHeight="1" thickBot="1" x14ac:dyDescent="0.25">
      <c r="A31" s="9"/>
      <c r="B31" s="52" t="s">
        <v>202</v>
      </c>
      <c r="C31" s="53"/>
      <c r="D31" s="53"/>
      <c r="E31" s="34">
        <v>3</v>
      </c>
      <c r="F31" s="42" t="s">
        <v>61</v>
      </c>
      <c r="G31" s="35" t="str">
        <f t="shared" si="6"/>
        <v/>
      </c>
      <c r="H31" s="36" t="str">
        <f t="shared" si="7"/>
        <v/>
      </c>
      <c r="I31" s="54"/>
      <c r="J31" s="55"/>
    </row>
    <row r="32" spans="1:10" ht="39.950000000000003" customHeight="1" x14ac:dyDescent="0.2">
      <c r="A32" s="9"/>
      <c r="B32" s="56" t="s">
        <v>191</v>
      </c>
      <c r="C32" s="57"/>
      <c r="D32" s="57"/>
      <c r="E32" s="31"/>
      <c r="F32" s="43"/>
      <c r="G32" s="32"/>
      <c r="H32" s="33"/>
      <c r="I32" s="58"/>
      <c r="J32" s="59"/>
    </row>
    <row r="33" spans="1:10" ht="39.950000000000003" customHeight="1" x14ac:dyDescent="0.2">
      <c r="A33" s="9"/>
      <c r="B33" s="48" t="s">
        <v>203</v>
      </c>
      <c r="C33" s="49"/>
      <c r="D33" s="49"/>
      <c r="E33" s="28">
        <v>3</v>
      </c>
      <c r="F33" s="41" t="s">
        <v>61</v>
      </c>
      <c r="G33" s="29" t="str">
        <f t="shared" si="6"/>
        <v/>
      </c>
      <c r="H33" s="30" t="str">
        <f t="shared" si="7"/>
        <v/>
      </c>
      <c r="I33" s="50"/>
      <c r="J33" s="51"/>
    </row>
    <row r="34" spans="1:10" ht="39.950000000000003" customHeight="1" x14ac:dyDescent="0.2">
      <c r="A34" s="9"/>
      <c r="B34" s="48" t="s">
        <v>214</v>
      </c>
      <c r="C34" s="49"/>
      <c r="D34" s="49"/>
      <c r="E34" s="28">
        <v>3</v>
      </c>
      <c r="F34" s="41" t="s">
        <v>61</v>
      </c>
      <c r="G34" s="29" t="str">
        <f t="shared" si="6"/>
        <v/>
      </c>
      <c r="H34" s="30" t="str">
        <f t="shared" si="7"/>
        <v/>
      </c>
      <c r="I34" s="50"/>
      <c r="J34" s="51"/>
    </row>
    <row r="35" spans="1:10" ht="39.950000000000003" customHeight="1" x14ac:dyDescent="0.2">
      <c r="A35" s="9"/>
      <c r="B35" s="48" t="s">
        <v>204</v>
      </c>
      <c r="C35" s="49"/>
      <c r="D35" s="49"/>
      <c r="E35" s="28">
        <v>3</v>
      </c>
      <c r="F35" s="41" t="s">
        <v>61</v>
      </c>
      <c r="G35" s="29" t="str">
        <f t="shared" ref="G35:G40" si="8">IFERROR(F35/E35,"")</f>
        <v/>
      </c>
      <c r="H35" s="30" t="str">
        <f t="shared" ref="H35:H40" si="9">_xlfn.IFS(F35="أدخل العلامة","",F35="لا ينطبق","تم الإلغاء",G35&gt;=90%,"ممتاز",G35&gt;=80%,"جيد جداً",G35&gt;=70%,"جيد",G35&gt;=60%,"مقبول",G35&lt;60%,"راسب")</f>
        <v/>
      </c>
      <c r="I35" s="50"/>
      <c r="J35" s="51"/>
    </row>
    <row r="36" spans="1:10" ht="39.950000000000003" customHeight="1" x14ac:dyDescent="0.2">
      <c r="A36" s="9"/>
      <c r="B36" s="48" t="s">
        <v>215</v>
      </c>
      <c r="C36" s="49"/>
      <c r="D36" s="49"/>
      <c r="E36" s="28">
        <v>3</v>
      </c>
      <c r="F36" s="41" t="s">
        <v>61</v>
      </c>
      <c r="G36" s="29" t="str">
        <f t="shared" si="8"/>
        <v/>
      </c>
      <c r="H36" s="30" t="str">
        <f t="shared" si="9"/>
        <v/>
      </c>
      <c r="I36" s="50"/>
      <c r="J36" s="51"/>
    </row>
    <row r="37" spans="1:10" ht="39.950000000000003" customHeight="1" x14ac:dyDescent="0.2">
      <c r="A37" s="9"/>
      <c r="B37" s="48" t="s">
        <v>216</v>
      </c>
      <c r="C37" s="49"/>
      <c r="D37" s="49"/>
      <c r="E37" s="28">
        <v>3</v>
      </c>
      <c r="F37" s="41" t="s">
        <v>61</v>
      </c>
      <c r="G37" s="29" t="str">
        <f t="shared" si="8"/>
        <v/>
      </c>
      <c r="H37" s="30" t="str">
        <f t="shared" si="9"/>
        <v/>
      </c>
      <c r="I37" s="50"/>
      <c r="J37" s="51"/>
    </row>
    <row r="38" spans="1:10" ht="39.950000000000003" customHeight="1" x14ac:dyDescent="0.2">
      <c r="A38" s="9"/>
      <c r="B38" s="48" t="s">
        <v>217</v>
      </c>
      <c r="C38" s="49"/>
      <c r="D38" s="49"/>
      <c r="E38" s="28">
        <v>3</v>
      </c>
      <c r="F38" s="41" t="s">
        <v>61</v>
      </c>
      <c r="G38" s="29" t="str">
        <f t="shared" si="8"/>
        <v/>
      </c>
      <c r="H38" s="30" t="str">
        <f t="shared" si="9"/>
        <v/>
      </c>
      <c r="I38" s="50"/>
      <c r="J38" s="51"/>
    </row>
    <row r="39" spans="1:10" ht="39.950000000000003" customHeight="1" x14ac:dyDescent="0.2">
      <c r="A39" s="9"/>
      <c r="B39" s="48" t="s">
        <v>205</v>
      </c>
      <c r="C39" s="49"/>
      <c r="D39" s="49"/>
      <c r="E39" s="28">
        <v>3</v>
      </c>
      <c r="F39" s="41" t="s">
        <v>61</v>
      </c>
      <c r="G39" s="29" t="str">
        <f t="shared" si="8"/>
        <v/>
      </c>
      <c r="H39" s="30" t="str">
        <f t="shared" si="9"/>
        <v/>
      </c>
      <c r="I39" s="50"/>
      <c r="J39" s="51"/>
    </row>
    <row r="40" spans="1:10" ht="39.950000000000003" customHeight="1" x14ac:dyDescent="0.2">
      <c r="A40" s="9"/>
      <c r="B40" s="48" t="s">
        <v>218</v>
      </c>
      <c r="C40" s="49"/>
      <c r="D40" s="49"/>
      <c r="E40" s="28">
        <v>3</v>
      </c>
      <c r="F40" s="41" t="s">
        <v>61</v>
      </c>
      <c r="G40" s="29" t="str">
        <f t="shared" si="8"/>
        <v/>
      </c>
      <c r="H40" s="30" t="str">
        <f t="shared" si="9"/>
        <v/>
      </c>
      <c r="I40" s="50"/>
      <c r="J40" s="51"/>
    </row>
    <row r="41" spans="1:10" ht="39.950000000000003" customHeight="1" x14ac:dyDescent="0.2">
      <c r="A41" s="9"/>
      <c r="B41" s="48" t="s">
        <v>219</v>
      </c>
      <c r="C41" s="49"/>
      <c r="D41" s="49"/>
      <c r="E41" s="28">
        <v>3</v>
      </c>
      <c r="F41" s="41" t="s">
        <v>61</v>
      </c>
      <c r="G41" s="29" t="str">
        <f t="shared" ref="G41:G44" si="10">IFERROR(F41/E41,"")</f>
        <v/>
      </c>
      <c r="H41" s="30" t="str">
        <f t="shared" ref="H41:H44" si="11">_xlfn.IFS(F41="أدخل العلامة","",F41="لا ينطبق","تم الإلغاء",G41&gt;=90%,"ممتاز",G41&gt;=80%,"جيد جداً",G41&gt;=70%,"جيد",G41&gt;=60%,"مقبول",G41&lt;60%,"راسب")</f>
        <v/>
      </c>
      <c r="I41" s="50"/>
      <c r="J41" s="51"/>
    </row>
    <row r="42" spans="1:10" ht="39.950000000000003" customHeight="1" x14ac:dyDescent="0.2">
      <c r="A42" s="9"/>
      <c r="B42" s="48" t="s">
        <v>220</v>
      </c>
      <c r="C42" s="49"/>
      <c r="D42" s="49"/>
      <c r="E42" s="28">
        <v>3</v>
      </c>
      <c r="F42" s="41" t="s">
        <v>61</v>
      </c>
      <c r="G42" s="29" t="str">
        <f t="shared" si="10"/>
        <v/>
      </c>
      <c r="H42" s="30" t="str">
        <f t="shared" si="11"/>
        <v/>
      </c>
      <c r="I42" s="50"/>
      <c r="J42" s="51"/>
    </row>
    <row r="43" spans="1:10" ht="39.950000000000003" customHeight="1" x14ac:dyDescent="0.2">
      <c r="A43" s="9"/>
      <c r="B43" s="48" t="s">
        <v>221</v>
      </c>
      <c r="C43" s="49"/>
      <c r="D43" s="49"/>
      <c r="E43" s="28">
        <v>3</v>
      </c>
      <c r="F43" s="41" t="s">
        <v>61</v>
      </c>
      <c r="G43" s="29" t="str">
        <f t="shared" si="10"/>
        <v/>
      </c>
      <c r="H43" s="30" t="str">
        <f t="shared" si="11"/>
        <v/>
      </c>
      <c r="I43" s="50"/>
      <c r="J43" s="51"/>
    </row>
    <row r="44" spans="1:10" ht="39.950000000000003" customHeight="1" thickBot="1" x14ac:dyDescent="0.25">
      <c r="A44" s="9"/>
      <c r="B44" s="52" t="s">
        <v>222</v>
      </c>
      <c r="C44" s="53"/>
      <c r="D44" s="53"/>
      <c r="E44" s="34">
        <v>3</v>
      </c>
      <c r="F44" s="42" t="s">
        <v>61</v>
      </c>
      <c r="G44" s="35" t="str">
        <f t="shared" si="10"/>
        <v/>
      </c>
      <c r="H44" s="36" t="str">
        <f t="shared" si="11"/>
        <v/>
      </c>
      <c r="I44" s="54"/>
      <c r="J44" s="55"/>
    </row>
    <row r="45" spans="1:10" ht="30" customHeight="1" thickBot="1" x14ac:dyDescent="0.25">
      <c r="A45" s="4"/>
      <c r="B45" s="66" t="s">
        <v>5</v>
      </c>
      <c r="C45" s="67"/>
      <c r="D45" s="67"/>
      <c r="E45" s="40">
        <f>SUM(E10:E44)</f>
        <v>90</v>
      </c>
      <c r="F45" s="40">
        <f>SUM(F10:F16)</f>
        <v>0</v>
      </c>
      <c r="G45" s="93"/>
      <c r="H45" s="94"/>
      <c r="I45" s="94"/>
      <c r="J45" s="95"/>
    </row>
    <row r="46" spans="1:10" ht="30" customHeight="1" thickBot="1" x14ac:dyDescent="0.25">
      <c r="A46" s="4"/>
      <c r="B46" s="68" t="s">
        <v>54</v>
      </c>
      <c r="C46" s="69"/>
      <c r="D46" s="69"/>
      <c r="E46" s="96">
        <f>F45/E45/100*100</f>
        <v>0</v>
      </c>
      <c r="F46" s="96"/>
      <c r="G46" s="96"/>
      <c r="H46" s="96"/>
      <c r="I46" s="96"/>
      <c r="J46" s="97"/>
    </row>
    <row r="47" spans="1:10" ht="30" customHeight="1" thickBot="1" x14ac:dyDescent="0.25">
      <c r="A47" s="4"/>
      <c r="B47" s="68" t="s">
        <v>55</v>
      </c>
      <c r="C47" s="69"/>
      <c r="D47" s="69"/>
      <c r="E47" s="77" t="str">
        <f>_xlfn.IFS(E46&gt;=90%,"ممتاز",E46&gt;=80%,"جيد جداً",E46&gt;=70%,"جيد",E46&gt;=60%,"مقبول",E46&lt;60%,"راسب")</f>
        <v>راسب</v>
      </c>
      <c r="F47" s="77"/>
      <c r="G47" s="77"/>
      <c r="H47" s="77"/>
      <c r="I47" s="77"/>
      <c r="J47" s="78"/>
    </row>
    <row r="48" spans="1:10" ht="42" customHeight="1" x14ac:dyDescent="0.2">
      <c r="B48" s="70" t="s">
        <v>178</v>
      </c>
      <c r="C48" s="70"/>
      <c r="D48" s="70"/>
      <c r="E48" s="91" t="s">
        <v>52</v>
      </c>
      <c r="F48" s="91"/>
      <c r="G48" s="104" t="s">
        <v>59</v>
      </c>
      <c r="H48" s="104"/>
      <c r="I48" s="104"/>
      <c r="J48" s="104"/>
    </row>
    <row r="49" spans="1:10" ht="51" customHeight="1" x14ac:dyDescent="0.2">
      <c r="A49" s="5"/>
      <c r="B49" s="71"/>
      <c r="C49" s="71"/>
      <c r="D49" s="71"/>
      <c r="E49" s="92" t="s">
        <v>53</v>
      </c>
      <c r="F49" s="92"/>
      <c r="G49" s="76"/>
      <c r="H49" s="76"/>
      <c r="I49" s="76"/>
      <c r="J49" s="76"/>
    </row>
    <row r="50" spans="1:10" ht="15.75" x14ac:dyDescent="0.2">
      <c r="A50" s="24">
        <v>3</v>
      </c>
      <c r="B50" s="72" t="s">
        <v>175</v>
      </c>
      <c r="C50" s="73"/>
    </row>
    <row r="51" spans="1:10" ht="15.75" x14ac:dyDescent="0.2">
      <c r="A51" s="25">
        <v>2</v>
      </c>
      <c r="B51" s="74" t="s">
        <v>176</v>
      </c>
      <c r="C51" s="75"/>
    </row>
    <row r="52" spans="1:10" ht="15.75" x14ac:dyDescent="0.2">
      <c r="A52" s="26">
        <v>1</v>
      </c>
      <c r="B52" s="64" t="s">
        <v>177</v>
      </c>
      <c r="C52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8">
    <mergeCell ref="E48:F48"/>
    <mergeCell ref="E49:F49"/>
    <mergeCell ref="G45:J45"/>
    <mergeCell ref="E46:J46"/>
    <mergeCell ref="I17:J17"/>
    <mergeCell ref="I18:J18"/>
    <mergeCell ref="I19:J19"/>
    <mergeCell ref="I20:J20"/>
    <mergeCell ref="G48:J48"/>
    <mergeCell ref="I16:J16"/>
    <mergeCell ref="B20:D20"/>
    <mergeCell ref="B2:J2"/>
    <mergeCell ref="I21:J21"/>
    <mergeCell ref="I22:J22"/>
    <mergeCell ref="B9:D9"/>
    <mergeCell ref="I11:J11"/>
    <mergeCell ref="I9:J9"/>
    <mergeCell ref="I12:J12"/>
    <mergeCell ref="B1:J1"/>
    <mergeCell ref="F3:J3"/>
    <mergeCell ref="B7:D8"/>
    <mergeCell ref="C3:D3"/>
    <mergeCell ref="C4:D4"/>
    <mergeCell ref="F4:J4"/>
    <mergeCell ref="E7:H7"/>
    <mergeCell ref="I7:J8"/>
    <mergeCell ref="E5:H5"/>
    <mergeCell ref="I5:J5"/>
    <mergeCell ref="B12:D12"/>
    <mergeCell ref="B52:C52"/>
    <mergeCell ref="B45:D45"/>
    <mergeCell ref="B46:D46"/>
    <mergeCell ref="B47:D47"/>
    <mergeCell ref="B48:D49"/>
    <mergeCell ref="B50:C50"/>
    <mergeCell ref="B51:C51"/>
    <mergeCell ref="G49:J49"/>
    <mergeCell ref="E47:J47"/>
    <mergeCell ref="I10:J10"/>
    <mergeCell ref="I13:J13"/>
    <mergeCell ref="I14:J14"/>
    <mergeCell ref="I15:J15"/>
    <mergeCell ref="B17:D17"/>
    <mergeCell ref="B18:D18"/>
    <mergeCell ref="B19:D19"/>
    <mergeCell ref="B21:D21"/>
    <mergeCell ref="B5:C5"/>
    <mergeCell ref="B23:D23"/>
    <mergeCell ref="I23:J23"/>
    <mergeCell ref="B24:D24"/>
    <mergeCell ref="I24:J24"/>
    <mergeCell ref="B25:D25"/>
    <mergeCell ref="I25:J25"/>
    <mergeCell ref="B31:D31"/>
    <mergeCell ref="I31:J31"/>
    <mergeCell ref="B26:D26"/>
    <mergeCell ref="I26:J26"/>
    <mergeCell ref="B27:D27"/>
    <mergeCell ref="I27:J27"/>
    <mergeCell ref="B28:D28"/>
    <mergeCell ref="I28:J28"/>
    <mergeCell ref="B10:D10"/>
    <mergeCell ref="B11:D11"/>
    <mergeCell ref="B13:D13"/>
    <mergeCell ref="B14:D14"/>
    <mergeCell ref="B15:D15"/>
    <mergeCell ref="B16:D16"/>
    <mergeCell ref="B22:D22"/>
    <mergeCell ref="B35:D35"/>
    <mergeCell ref="I35:J35"/>
    <mergeCell ref="B36:D36"/>
    <mergeCell ref="I36:J36"/>
    <mergeCell ref="B32:D32"/>
    <mergeCell ref="I32:J32"/>
    <mergeCell ref="B33:D33"/>
    <mergeCell ref="I33:J33"/>
    <mergeCell ref="B34:D34"/>
    <mergeCell ref="I34:J34"/>
    <mergeCell ref="B29:D29"/>
    <mergeCell ref="I29:J29"/>
    <mergeCell ref="B30:D30"/>
    <mergeCell ref="I30:J30"/>
    <mergeCell ref="B40:D40"/>
    <mergeCell ref="I40:J40"/>
    <mergeCell ref="B41:D41"/>
    <mergeCell ref="I41:J41"/>
    <mergeCell ref="B37:D37"/>
    <mergeCell ref="I37:J37"/>
    <mergeCell ref="B38:D38"/>
    <mergeCell ref="I38:J38"/>
    <mergeCell ref="B39:D39"/>
    <mergeCell ref="I39:J39"/>
    <mergeCell ref="B42:D42"/>
    <mergeCell ref="I42:J42"/>
    <mergeCell ref="B43:D43"/>
    <mergeCell ref="I43:J43"/>
    <mergeCell ref="B44:D44"/>
    <mergeCell ref="I44:J44"/>
  </mergeCells>
  <conditionalFormatting sqref="C3:D3">
    <cfRule type="containsText" dxfId="60" priority="69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59" priority="68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47">
    <cfRule type="expression" dxfId="58" priority="108">
      <formula>$E47="راسب"</formula>
    </cfRule>
  </conditionalFormatting>
  <conditionalFormatting sqref="E47:J47">
    <cfRule type="expression" dxfId="57" priority="109">
      <formula>$E47="مقبول"</formula>
    </cfRule>
    <cfRule type="expression" dxfId="56" priority="110">
      <formula>$E47="جيد"</formula>
    </cfRule>
    <cfRule type="expression" dxfId="55" priority="111">
      <formula>$E47="جيد جداً"</formula>
    </cfRule>
    <cfRule type="expression" dxfId="54" priority="112">
      <formula>$E47="ممتاز"</formula>
    </cfRule>
  </conditionalFormatting>
  <conditionalFormatting sqref="F10:F16 F41:F42">
    <cfRule type="containsText" dxfId="53" priority="65" operator="containsText" text="أدخل العلامة">
      <formula>NOT(ISERROR(SEARCH("أدخل العلامة",F10)))</formula>
    </cfRule>
  </conditionalFormatting>
  <conditionalFormatting sqref="F3:J3">
    <cfRule type="containsText" dxfId="52" priority="70" operator="containsText" text="أدخل التاريخ">
      <formula>NOT(ISERROR(SEARCH("أدخل التاريخ",F3)))</formula>
    </cfRule>
  </conditionalFormatting>
  <conditionalFormatting sqref="F4:J4 I5">
    <cfRule type="containsText" dxfId="51" priority="67" operator="containsText" text="أدخل أسم المحكم">
      <formula>NOT(ISERROR(SEARCH("أدخل أسم المحكم",F4)))</formula>
    </cfRule>
  </conditionalFormatting>
  <conditionalFormatting sqref="G48:J48">
    <cfRule type="containsText" dxfId="50" priority="66" operator="containsText" text="أدخل اسم المحكم">
      <formula>NOT(ISERROR(SEARCH("أدخل اسم المحكم",G48)))</formula>
    </cfRule>
  </conditionalFormatting>
  <conditionalFormatting sqref="H10:H16 H41:H42">
    <cfRule type="containsText" dxfId="49" priority="56" operator="containsText" text="أدخل العلامة">
      <formula>NOT(ISERROR(SEARCH("أدخل العلامة",H10)))</formula>
    </cfRule>
    <cfRule type="containsText" dxfId="48" priority="57" operator="containsText" text="ممتاز">
      <formula>NOT(ISERROR(SEARCH("ممتاز",H10)))</formula>
    </cfRule>
    <cfRule type="containsText" dxfId="47" priority="58" operator="containsText" text="جيد جداً">
      <formula>NOT(ISERROR(SEARCH("جيد جداً",H10)))</formula>
    </cfRule>
    <cfRule type="containsText" dxfId="46" priority="59" operator="containsText" text="جيد">
      <formula>NOT(ISERROR(SEARCH("جيد",H10)))</formula>
    </cfRule>
    <cfRule type="containsText" dxfId="45" priority="60" operator="containsText" text="مقبول">
      <formula>NOT(ISERROR(SEARCH("مقبول",H10)))</formula>
    </cfRule>
    <cfRule type="containsText" dxfId="44" priority="61" operator="containsText" text="راسب">
      <formula>NOT(ISERROR(SEARCH("راسب",H10)))</formula>
    </cfRule>
  </conditionalFormatting>
  <conditionalFormatting sqref="D5">
    <cfRule type="containsText" dxfId="43" priority="51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42" priority="50" operator="containsText" text="أدخل رقم المعضلة">
      <formula>NOT(ISERROR(SEARCH("أدخل رقم المعضلة",I5)))</formula>
    </cfRule>
  </conditionalFormatting>
  <conditionalFormatting sqref="F17:F22">
    <cfRule type="containsText" dxfId="41" priority="49" operator="containsText" text="أدخل العلامة">
      <formula>NOT(ISERROR(SEARCH("أدخل العلامة",F17)))</formula>
    </cfRule>
  </conditionalFormatting>
  <conditionalFormatting sqref="H17:H22">
    <cfRule type="containsText" dxfId="40" priority="43" operator="containsText" text="أدخل العلامة">
      <formula>NOT(ISERROR(SEARCH("أدخل العلامة",H17)))</formula>
    </cfRule>
    <cfRule type="containsText" dxfId="39" priority="44" operator="containsText" text="ممتاز">
      <formula>NOT(ISERROR(SEARCH("ممتاز",H17)))</formula>
    </cfRule>
    <cfRule type="containsText" dxfId="38" priority="45" operator="containsText" text="جيد جداً">
      <formula>NOT(ISERROR(SEARCH("جيد جداً",H17)))</formula>
    </cfRule>
    <cfRule type="containsText" dxfId="37" priority="46" operator="containsText" text="جيد">
      <formula>NOT(ISERROR(SEARCH("جيد",H17)))</formula>
    </cfRule>
    <cfRule type="containsText" dxfId="36" priority="47" operator="containsText" text="مقبول">
      <formula>NOT(ISERROR(SEARCH("مقبول",H17)))</formula>
    </cfRule>
    <cfRule type="containsText" dxfId="35" priority="48" operator="containsText" text="راسب">
      <formula>NOT(ISERROR(SEARCH("راسب",H17)))</formula>
    </cfRule>
  </conditionalFormatting>
  <conditionalFormatting sqref="F23:F28">
    <cfRule type="containsText" dxfId="34" priority="42" operator="containsText" text="أدخل العلامة">
      <formula>NOT(ISERROR(SEARCH("أدخل العلامة",F23)))</formula>
    </cfRule>
  </conditionalFormatting>
  <conditionalFormatting sqref="H23:H28">
    <cfRule type="containsText" dxfId="33" priority="36" operator="containsText" text="أدخل العلامة">
      <formula>NOT(ISERROR(SEARCH("أدخل العلامة",H23)))</formula>
    </cfRule>
    <cfRule type="containsText" dxfId="32" priority="37" operator="containsText" text="ممتاز">
      <formula>NOT(ISERROR(SEARCH("ممتاز",H23)))</formula>
    </cfRule>
    <cfRule type="containsText" dxfId="31" priority="38" operator="containsText" text="جيد جداً">
      <formula>NOT(ISERROR(SEARCH("جيد جداً",H23)))</formula>
    </cfRule>
    <cfRule type="containsText" dxfId="30" priority="39" operator="containsText" text="جيد">
      <formula>NOT(ISERROR(SEARCH("جيد",H23)))</formula>
    </cfRule>
    <cfRule type="containsText" dxfId="29" priority="40" operator="containsText" text="مقبول">
      <formula>NOT(ISERROR(SEARCH("مقبول",H23)))</formula>
    </cfRule>
    <cfRule type="containsText" dxfId="28" priority="41" operator="containsText" text="راسب">
      <formula>NOT(ISERROR(SEARCH("راسب",H23)))</formula>
    </cfRule>
  </conditionalFormatting>
  <conditionalFormatting sqref="F29:F34">
    <cfRule type="containsText" dxfId="27" priority="35" operator="containsText" text="أدخل العلامة">
      <formula>NOT(ISERROR(SEARCH("أدخل العلامة",F29)))</formula>
    </cfRule>
  </conditionalFormatting>
  <conditionalFormatting sqref="H29:H34">
    <cfRule type="containsText" dxfId="26" priority="29" operator="containsText" text="أدخل العلامة">
      <formula>NOT(ISERROR(SEARCH("أدخل العلامة",H29)))</formula>
    </cfRule>
    <cfRule type="containsText" dxfId="25" priority="30" operator="containsText" text="ممتاز">
      <formula>NOT(ISERROR(SEARCH("ممتاز",H29)))</formula>
    </cfRule>
    <cfRule type="containsText" dxfId="24" priority="31" operator="containsText" text="جيد جداً">
      <formula>NOT(ISERROR(SEARCH("جيد جداً",H29)))</formula>
    </cfRule>
    <cfRule type="containsText" dxfId="23" priority="32" operator="containsText" text="جيد">
      <formula>NOT(ISERROR(SEARCH("جيد",H29)))</formula>
    </cfRule>
    <cfRule type="containsText" dxfId="22" priority="33" operator="containsText" text="مقبول">
      <formula>NOT(ISERROR(SEARCH("مقبول",H29)))</formula>
    </cfRule>
    <cfRule type="containsText" dxfId="21" priority="34" operator="containsText" text="راسب">
      <formula>NOT(ISERROR(SEARCH("راسب",H29)))</formula>
    </cfRule>
  </conditionalFormatting>
  <conditionalFormatting sqref="F35:F37">
    <cfRule type="containsText" dxfId="20" priority="28" operator="containsText" text="أدخل العلامة">
      <formula>NOT(ISERROR(SEARCH("أدخل العلامة",F35)))</formula>
    </cfRule>
  </conditionalFormatting>
  <conditionalFormatting sqref="H35:H37">
    <cfRule type="containsText" dxfId="19" priority="22" operator="containsText" text="أدخل العلامة">
      <formula>NOT(ISERROR(SEARCH("أدخل العلامة",H35)))</formula>
    </cfRule>
    <cfRule type="containsText" dxfId="18" priority="23" operator="containsText" text="ممتاز">
      <formula>NOT(ISERROR(SEARCH("ممتاز",H35)))</formula>
    </cfRule>
    <cfRule type="containsText" dxfId="17" priority="24" operator="containsText" text="جيد جداً">
      <formula>NOT(ISERROR(SEARCH("جيد جداً",H35)))</formula>
    </cfRule>
    <cfRule type="containsText" dxfId="16" priority="25" operator="containsText" text="جيد">
      <formula>NOT(ISERROR(SEARCH("جيد",H35)))</formula>
    </cfRule>
    <cfRule type="containsText" dxfId="15" priority="26" operator="containsText" text="مقبول">
      <formula>NOT(ISERROR(SEARCH("مقبول",H35)))</formula>
    </cfRule>
    <cfRule type="containsText" dxfId="14" priority="27" operator="containsText" text="راسب">
      <formula>NOT(ISERROR(SEARCH("راسب",H35)))</formula>
    </cfRule>
  </conditionalFormatting>
  <conditionalFormatting sqref="F38:F40">
    <cfRule type="containsText" dxfId="13" priority="21" operator="containsText" text="أدخل العلامة">
      <formula>NOT(ISERROR(SEARCH("أدخل العلامة",F38)))</formula>
    </cfRule>
  </conditionalFormatting>
  <conditionalFormatting sqref="H38:H40">
    <cfRule type="containsText" dxfId="12" priority="15" operator="containsText" text="أدخل العلامة">
      <formula>NOT(ISERROR(SEARCH("أدخل العلامة",H38)))</formula>
    </cfRule>
    <cfRule type="containsText" dxfId="11" priority="16" operator="containsText" text="ممتاز">
      <formula>NOT(ISERROR(SEARCH("ممتاز",H38)))</formula>
    </cfRule>
    <cfRule type="containsText" dxfId="10" priority="17" operator="containsText" text="جيد جداً">
      <formula>NOT(ISERROR(SEARCH("جيد جداً",H38)))</formula>
    </cfRule>
    <cfRule type="containsText" dxfId="9" priority="18" operator="containsText" text="جيد">
      <formula>NOT(ISERROR(SEARCH("جيد",H38)))</formula>
    </cfRule>
    <cfRule type="containsText" dxfId="8" priority="19" operator="containsText" text="مقبول">
      <formula>NOT(ISERROR(SEARCH("مقبول",H38)))</formula>
    </cfRule>
    <cfRule type="containsText" dxfId="7" priority="20" operator="containsText" text="راسب">
      <formula>NOT(ISERROR(SEARCH("راسب",H38)))</formula>
    </cfRule>
  </conditionalFormatting>
  <conditionalFormatting sqref="F43:F44">
    <cfRule type="containsText" dxfId="6" priority="7" operator="containsText" text="أدخل العلامة">
      <formula>NOT(ISERROR(SEARCH("أدخل العلامة",F43)))</formula>
    </cfRule>
  </conditionalFormatting>
  <conditionalFormatting sqref="H43:H44">
    <cfRule type="containsText" dxfId="5" priority="1" operator="containsText" text="أدخل العلامة">
      <formula>NOT(ISERROR(SEARCH("أدخل العلامة",H43)))</formula>
    </cfRule>
    <cfRule type="containsText" dxfId="4" priority="2" operator="containsText" text="ممتاز">
      <formula>NOT(ISERROR(SEARCH("ممتاز",H43)))</formula>
    </cfRule>
    <cfRule type="containsText" dxfId="3" priority="3" operator="containsText" text="جيد جداً">
      <formula>NOT(ISERROR(SEARCH("جيد جداً",H43)))</formula>
    </cfRule>
    <cfRule type="containsText" dxfId="2" priority="4" operator="containsText" text="جيد">
      <formula>NOT(ISERROR(SEARCH("جيد",H43)))</formula>
    </cfRule>
    <cfRule type="containsText" dxfId="1" priority="5" operator="containsText" text="مقبول">
      <formula>NOT(ISERROR(SEARCH("مقبول",H43)))</formula>
    </cfRule>
    <cfRule type="containsText" dxfId="0" priority="6" operator="containsText" text="راسب">
      <formula>NOT(ISERROR(SEARCH("راسب",H43)))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2" manualBreakCount="2">
    <brk id="27" max="9" man="1"/>
    <brk id="5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G48:J48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F11:F17 F19:F21 F23:F27 F29:F31 F33:F44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187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2025-10-25T03:55:24Z</dcterms:modified>
</cp:coreProperties>
</file>