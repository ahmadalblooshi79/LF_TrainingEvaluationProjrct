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1A2A58C-E63F-4208-8AC5-B6A6AC66351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التقييم'!$A$1:$J$43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2" l="1"/>
  <c r="H35" i="2" s="1"/>
  <c r="G34" i="2"/>
  <c r="H34" i="2" s="1"/>
  <c r="G33" i="2"/>
  <c r="H33" i="2" s="1"/>
  <c r="E36" i="2" l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36" i="2" l="1"/>
  <c r="E37" i="2" l="1"/>
  <c r="E38" i="2" s="1"/>
</calcChain>
</file>

<file path=xl/sharedStrings.xml><?xml version="1.0" encoding="utf-8"?>
<sst xmlns="http://schemas.openxmlformats.org/spreadsheetml/2006/main" count="301" uniqueCount="217">
  <si>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</si>
  <si>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</si>
  <si>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</si>
  <si>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</si>
  <si>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</si>
  <si>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</si>
  <si>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</si>
  <si>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</si>
  <si>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</si>
  <si>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</si>
  <si>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</si>
  <si>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</si>
  <si>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</si>
  <si>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</si>
  <si>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</si>
  <si>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</si>
  <si>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</si>
  <si>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</si>
  <si>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</si>
  <si>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</si>
  <si>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</si>
  <si>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</si>
  <si>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</si>
  <si>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</si>
  <si>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</si>
  <si>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</si>
  <si>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</si>
  <si>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</si>
  <si>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</si>
  <si>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</si>
  <si>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</si>
  <si>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</si>
  <si>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</si>
  <si>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</si>
  <si>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</si>
  <si>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</si>
  <si>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</si>
  <si>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</si>
  <si>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</si>
  <si>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</si>
  <si>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</si>
  <si>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</si>
  <si>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</si>
  <si>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</si>
  <si>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</si>
  <si>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</si>
  <si>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</si>
  <si>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</si>
  <si>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</si>
  <si>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</si>
  <si>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</si>
  <si>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</si>
  <si>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</si>
  <si>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</si>
  <si>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</si>
  <si>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</si>
  <si>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</si>
  <si>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</si>
  <si>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</si>
  <si>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</si>
  <si>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</si>
  <si>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</si>
  <si>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</si>
  <si>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</si>
  <si>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</si>
  <si>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</si>
  <si>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</si>
  <si>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</si>
  <si>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</si>
  <si>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</si>
  <si>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</si>
  <si>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</si>
  <si>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</si>
  <si>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</si>
  <si>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</si>
  <si>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</si>
  <si>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</si>
  <si>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</si>
  <si>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</si>
  <si>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</si>
  <si>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</si>
  <si>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</si>
  <si>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</si>
  <si>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</si>
  <si>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</si>
  <si>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</si>
  <si>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</si>
  <si>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</si>
  <si>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</si>
  <si>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</si>
  <si>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</si>
  <si>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</si>
  <si>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</si>
  <si>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</si>
  <si>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</si>
  <si>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</si>
  <si>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</si>
  <si>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</si>
  <si>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</si>
  <si>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</si>
  <si>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</si>
  <si>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</si>
  <si>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</si>
  <si>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</si>
  <si>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</si>
  <si>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</si>
  <si>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</si>
  <si>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</si>
  <si>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</si>
  <si>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</si>
  <si>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</si>
  <si>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</si>
  <si>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</si>
  <si>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</si>
  <si>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</si>
  <si>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</si>
  <si>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</si>
  <si>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</si>
  <si>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</si>
  <si>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</si>
  <si>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</si>
  <si>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</si>
  <si>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</si>
  <si>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</si>
  <si>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</si>
  <si>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</si>
  <si>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</si>
  <si>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</si>
  <si>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</si>
  <si>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</si>
  <si>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</si>
  <si>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</si>
  <si>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</si>
  <si>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</si>
  <si>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</si>
  <si>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</si>
  <si>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</si>
  <si>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</si>
  <si>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</si>
  <si>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</si>
  <si>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</si>
  <si>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</si>
  <si>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</si>
  <si>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</si>
  <si>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</si>
  <si>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</si>
  <si>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</si>
  <si>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</si>
  <si>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</si>
  <si>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</si>
  <si>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</si>
  <si>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</si>
  <si>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</si>
  <si>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</si>
  <si>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</si>
  <si>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</si>
  <si>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</si>
  <si>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</si>
  <si>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</si>
  <si>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</si>
  <si>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</si>
  <si>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</si>
  <si>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</si>
  <si>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</si>
  <si>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</si>
  <si>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</si>
  <si>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</si>
  <si>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</si>
  <si>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</si>
  <si>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</si>
  <si>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</si>
  <si>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</si>
  <si>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</si>
  <si>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</si>
  <si>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</si>
  <si>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</si>
  <si>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</si>
  <si>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</si>
  <si>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</si>
  <si>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</si>
  <si>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</si>
  <si>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</si>
  <si>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</si>
  <si>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</si>
  <si>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</si>
  <si>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</si>
  <si>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</si>
  <si>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</si>
  <si>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</si>
  <si>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تعرض كتيبة المدفعية لهجوم جوي معادي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</si>
  <si>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تعرض كتيبة المدفعية لهجوم جوي معادي.</t>
    </r>
  </si>
  <si>
    <r>
      <t>تقييم خطة الدفاع المحلي عن مخبأ الآليات</t>
    </r>
    <r>
      <rPr>
        <sz val="12"/>
        <color theme="1"/>
        <rFont val="Arial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</si>
  <si>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قام ضابط الموقع بتضمين مخبأ الآليات في خطة الدفاع المحلي للسرية.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</si>
  <si>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قام وكيل السرية بتنفيذ ومراقبة ما يعنيه من خطة الدفاع المحلي.</t>
    </r>
  </si>
  <si>
    <t>تقييم اجراءات وكيل السرية عند تعرض مخبأ الآليات لقصف جوي: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</si>
  <si>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أمر بانتشار الآليات ودخول الأفراد إلى الخنادق.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</si>
  <si>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أبلغ ضابط الموقع بالموقف.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</si>
  <si>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استخدام الرشاشات المتوفرة ضد طائرات العدو.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</si>
  <si>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الإسعافات الأولية للمصابين، واخلاءهم الى موقع اسعاف الكتيبة بعد انتهاء القصف.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</si>
  <si>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أرسال تقرير لضابط الموقع عن مجمل الخسائر.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</si>
  <si>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التصليحات الممكنة والتعويض عن خسائر القوى البشرية.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</si>
  <si>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تعويض كميات الذخيرة المستهلكة.</t>
    </r>
  </si>
  <si>
    <t>تقييم تأثير المعضلة على قدرة السرية في تنفيذ واجباتها: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</si>
  <si>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توفير الحماية الكافية لمخابئ الآليات ضد تهديدات العدو.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</si>
  <si>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قدرة وكيل السرية على تحضير مخبأ الآليات للدفاع وللتقليل من تأثير اعمال العدو لإدامة كفاءة وجاهزية سرية المدفعية.</t>
    </r>
  </si>
  <si>
    <t>اجراءات التعامل مع الإصابات: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</si>
  <si>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الاتصال مع القيادة الاعلى وابلاغهم ان الوحدة تعرضت للهجوم مع تحديد عدد الاصابات وانه سيتم الرحيل للموقع البديل.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</si>
  <si>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قيام افراد الخدمات الطبية والمسعفين الميدانيين بإجراء الاسعافات الاولية للإصابات.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</si>
  <si>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مدى توفر معلومات كافية لدى قيادة موقع المدفعية عن مواقع الوحدات الطبية ونقطة تبادل الاصابات من قبل سيارات الاسعاف.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</si>
  <si>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اجراء الاخلاء الارضي للإصابات من قبل الوحدة الى نقطة اسعاف الكتيبة او نقطة اسعاف الوحدة المجاورة من قبل المسعف الميداني باستخدام اليات الوحدة المتوفرة.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</si>
  <si>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نموذج الإخلاء الطبي المكون من (9) أسطر لطلب الاخلاء الطبي الجوي (المرفق) عند احتمالية الموت نتيجة الاصابة او بتر أحد الاعضاء او فقدان البصر.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</si>
  <si>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تعبئة نموذج الاصابة مع المصاب والتأكد من حماية معدات الفرد المصاب.</t>
    </r>
  </si>
  <si>
    <t>اجراءات التعامل مع الآليات المدمرة: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</si>
  <si>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وفرت آلية الإنقاذ الموجودة في السرية الإسناد اللازم.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</si>
  <si>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حتى مستوى نقطة جمع وتصنيف الآليات المعطلة.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</si>
  <si>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حسب أهميتها التعبوية وبأسبقية إخلاء الأعطال التي تستغرق وقت أقل للإصلاح.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</si>
  <si>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آليات الإنقاذ "ب" بتجميع أعطال السرية والتي تحتاج لوقت إصلاح يزيد عن ساعتين إلى نقطة جمع الآليات المعطلة لإصلاحها.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</si>
</sst>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7" fillId="0" borderId="3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7" fillId="0" borderId="20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6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3"/>
  <sheetViews>
    <sheetView rightToLeft="1" tabSelected="1" view="pageBreakPreview" zoomScale="136" zoomScaleNormal="100" zoomScaleSheetLayoutView="136" workbookViewId="0">
      <selection activeCell="A35" sqref="A35:XFD3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thickBot="1" x14ac:dyDescent="0.25">
      <c r="A12" s="9"/>
      <c r="B12" s="95" t="s">
        <v>193</v>
      </c>
      <c r="C12" s="96"/>
      <c r="D12" s="96"/>
      <c r="E12" s="34">
        <v>3</v>
      </c>
      <c r="F12" s="42" t="s">
        <v>61</v>
      </c>
      <c r="G12" s="35" t="str">
        <f t="shared" ref="G12:G16" si="0">IFERROR(F12/E12,"")</f>
        <v/>
      </c>
      <c r="H12" s="36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89"/>
      <c r="J12" s="90"/>
    </row>
    <row r="13" spans="1:10" ht="39.950000000000003" customHeight="1" x14ac:dyDescent="0.2">
      <c r="A13" s="9"/>
      <c r="B13" s="92" t="s">
        <v>194</v>
      </c>
      <c r="C13" s="93"/>
      <c r="D13" s="93"/>
      <c r="E13" s="31">
        <v>3</v>
      </c>
      <c r="F13" s="43" t="s">
        <v>61</v>
      </c>
      <c r="G13" s="32" t="str">
        <f t="shared" si="0"/>
        <v/>
      </c>
      <c r="H13" s="33" t="str">
        <f t="shared" si="1"/>
        <v/>
      </c>
      <c r="I13" s="73"/>
      <c r="J13" s="74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197</v>
      </c>
      <c r="C16" s="91"/>
      <c r="D16" s="91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x14ac:dyDescent="0.2">
      <c r="A17" s="9"/>
      <c r="B17" s="94" t="s">
        <v>198</v>
      </c>
      <c r="C17" s="91"/>
      <c r="D17" s="91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x14ac:dyDescent="0.2">
      <c r="A18" s="9"/>
      <c r="B18" s="94" t="s">
        <v>199</v>
      </c>
      <c r="C18" s="91"/>
      <c r="D18" s="91"/>
      <c r="E18" s="28">
        <v>3</v>
      </c>
      <c r="F18" s="41" t="s">
        <v>61</v>
      </c>
      <c r="G18" s="29" t="str">
        <f t="shared" ref="G18:G22" si="2">IFERROR(F18/E18,"")</f>
        <v/>
      </c>
      <c r="H18" s="30" t="str">
        <f t="shared" ref="H18:H22" si="3">_xlfn.IFS(F18="أدخل العلامة","",F18="لا ينطبق","تم الإلغاء",G18&gt;=90%,"ممتاز",G18&gt;=80%,"جيد جداً",G18&gt;=70%,"جيد",G18&gt;=60%,"مقبول",G18&lt;60%,"راسب")</f>
        <v/>
      </c>
      <c r="I18" s="45"/>
      <c r="J18" s="46"/>
    </row>
    <row r="19" spans="1:10" ht="39.950000000000003" customHeight="1" x14ac:dyDescent="0.2">
      <c r="A19" s="9"/>
      <c r="B19" s="94" t="s">
        <v>200</v>
      </c>
      <c r="C19" s="91"/>
      <c r="D19" s="91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45"/>
      <c r="J19" s="46"/>
    </row>
    <row r="20" spans="1:10" ht="39.950000000000003" customHeight="1" thickBot="1" x14ac:dyDescent="0.25">
      <c r="A20" s="9"/>
      <c r="B20" s="95" t="s">
        <v>201</v>
      </c>
      <c r="C20" s="96"/>
      <c r="D20" s="96"/>
      <c r="E20" s="34">
        <v>3</v>
      </c>
      <c r="F20" s="42" t="s">
        <v>61</v>
      </c>
      <c r="G20" s="35" t="str">
        <f t="shared" si="2"/>
        <v/>
      </c>
      <c r="H20" s="36" t="str">
        <f t="shared" si="3"/>
        <v/>
      </c>
      <c r="I20" s="89"/>
      <c r="J20" s="90"/>
    </row>
    <row r="21" spans="1:10" ht="39.950000000000003" customHeight="1" x14ac:dyDescent="0.2">
      <c r="A21" s="9"/>
      <c r="B21" s="92" t="s">
        <v>202</v>
      </c>
      <c r="C21" s="93"/>
      <c r="D21" s="93"/>
      <c r="E21" s="31">
        <v>3</v>
      </c>
      <c r="F21" s="43" t="s">
        <v>61</v>
      </c>
      <c r="G21" s="32" t="str">
        <f t="shared" si="2"/>
        <v/>
      </c>
      <c r="H21" s="33" t="str">
        <f t="shared" si="3"/>
        <v/>
      </c>
      <c r="I21" s="73"/>
      <c r="J21" s="74"/>
    </row>
    <row r="22" spans="1:10" ht="39.950000000000003" customHeight="1" x14ac:dyDescent="0.2">
      <c r="A22" s="9"/>
      <c r="B22" s="94" t="s">
        <v>203</v>
      </c>
      <c r="C22" s="91"/>
      <c r="D22" s="91"/>
      <c r="E22" s="28">
        <v>3</v>
      </c>
      <c r="F22" s="41" t="s">
        <v>61</v>
      </c>
      <c r="G22" s="29" t="str">
        <f t="shared" si="2"/>
        <v/>
      </c>
      <c r="H22" s="30" t="str">
        <f t="shared" si="3"/>
        <v/>
      </c>
      <c r="I22" s="45"/>
      <c r="J22" s="46"/>
    </row>
    <row r="23" spans="1:10" ht="39.950000000000003" customHeight="1" thickBot="1" x14ac:dyDescent="0.25">
      <c r="A23" s="9"/>
      <c r="B23" s="95" t="s">
        <v>204</v>
      </c>
      <c r="C23" s="96"/>
      <c r="D23" s="96"/>
      <c r="E23" s="34">
        <v>3</v>
      </c>
      <c r="F23" s="42" t="s">
        <v>61</v>
      </c>
      <c r="G23" s="35" t="str">
        <f>IFERROR(F23/E23,"")</f>
        <v/>
      </c>
      <c r="H23" s="36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89"/>
      <c r="J23" s="90"/>
    </row>
    <row r="24" spans="1:10" ht="39.950000000000003" customHeight="1" x14ac:dyDescent="0.2">
      <c r="A24" s="9"/>
      <c r="B24" s="92" t="s">
        <v>205</v>
      </c>
      <c r="C24" s="93"/>
      <c r="D24" s="93"/>
      <c r="E24" s="31">
        <v>3</v>
      </c>
      <c r="F24" s="43" t="s">
        <v>61</v>
      </c>
      <c r="G24" s="32" t="str">
        <f t="shared" ref="G24:G28" si="4">IFERROR(F24/E24,"")</f>
        <v/>
      </c>
      <c r="H24" s="33" t="str">
        <f t="shared" ref="H24:H28" si="5">_xlfn.IFS(F24="أدخل العلامة","",F24="لا ينطبق","تم الإلغاء",G24&gt;=90%,"ممتاز",G24&gt;=80%,"جيد جداً",G24&gt;=70%,"جيد",G24&gt;=60%,"مقبول",G24&lt;60%,"راسب")</f>
        <v/>
      </c>
      <c r="I24" s="73"/>
      <c r="J24" s="74"/>
    </row>
    <row r="25" spans="1:10" ht="39.950000000000003" customHeight="1" x14ac:dyDescent="0.2">
      <c r="A25" s="9"/>
      <c r="B25" s="94" t="s">
        <v>206</v>
      </c>
      <c r="C25" s="91"/>
      <c r="D25" s="91"/>
      <c r="E25" s="28">
        <v>3</v>
      </c>
      <c r="F25" s="41" t="s">
        <v>61</v>
      </c>
      <c r="G25" s="29" t="str">
        <f t="shared" si="4"/>
        <v/>
      </c>
      <c r="H25" s="30" t="str">
        <f t="shared" si="5"/>
        <v/>
      </c>
      <c r="I25" s="45"/>
      <c r="J25" s="46"/>
    </row>
    <row r="26" spans="1:10" ht="39.950000000000003" customHeight="1" x14ac:dyDescent="0.2">
      <c r="A26" s="9"/>
      <c r="B26" s="94" t="s">
        <v>207</v>
      </c>
      <c r="C26" s="91"/>
      <c r="D26" s="91"/>
      <c r="E26" s="28">
        <v>3</v>
      </c>
      <c r="F26" s="41" t="s">
        <v>61</v>
      </c>
      <c r="G26" s="29" t="str">
        <f t="shared" si="4"/>
        <v/>
      </c>
      <c r="H26" s="30" t="str">
        <f t="shared" si="5"/>
        <v/>
      </c>
      <c r="I26" s="45"/>
      <c r="J26" s="46"/>
    </row>
    <row r="27" spans="1:10" ht="39.950000000000003" customHeight="1" x14ac:dyDescent="0.2">
      <c r="A27" s="9"/>
      <c r="B27" s="94" t="s">
        <v>208</v>
      </c>
      <c r="C27" s="91"/>
      <c r="D27" s="91"/>
      <c r="E27" s="28">
        <v>3</v>
      </c>
      <c r="F27" s="41" t="s">
        <v>61</v>
      </c>
      <c r="G27" s="29" t="str">
        <f t="shared" si="4"/>
        <v/>
      </c>
      <c r="H27" s="30" t="str">
        <f t="shared" si="5"/>
        <v/>
      </c>
      <c r="I27" s="45"/>
      <c r="J27" s="46"/>
    </row>
    <row r="28" spans="1:10" ht="54.75" customHeight="1" x14ac:dyDescent="0.2">
      <c r="A28" s="9"/>
      <c r="B28" s="94" t="s">
        <v>209</v>
      </c>
      <c r="C28" s="91"/>
      <c r="D28" s="91"/>
      <c r="E28" s="28">
        <v>3</v>
      </c>
      <c r="F28" s="41" t="s">
        <v>61</v>
      </c>
      <c r="G28" s="29" t="str">
        <f t="shared" si="4"/>
        <v/>
      </c>
      <c r="H28" s="30" t="str">
        <f t="shared" si="5"/>
        <v/>
      </c>
      <c r="I28" s="45"/>
      <c r="J28" s="46"/>
    </row>
    <row r="29" spans="1:10" ht="52.5" customHeight="1" x14ac:dyDescent="0.2">
      <c r="A29" s="9"/>
      <c r="B29" s="94" t="s">
        <v>210</v>
      </c>
      <c r="C29" s="91"/>
      <c r="D29" s="91"/>
      <c r="E29" s="28">
        <v>3</v>
      </c>
      <c r="F29" s="41" t="s">
        <v>61</v>
      </c>
      <c r="G29" s="29" t="str">
        <f>IFERROR(F29/E29,"")</f>
        <v/>
      </c>
      <c r="H29" s="30" t="str">
        <f>_xlfn.IFS(F29="أدخل العلامة","",F29="لا ينطبق","تم الإلغاء",G29&gt;=90%,"ممتاز",G29&gt;=80%,"جيد جداً",G29&gt;=70%,"جيد",G29&gt;=60%,"مقبول",G29&lt;60%,"راسب")</f>
        <v/>
      </c>
      <c r="I29" s="45"/>
      <c r="J29" s="46"/>
    </row>
    <row r="30" spans="1:10" ht="39.950000000000003" customHeight="1" thickBot="1" x14ac:dyDescent="0.25">
      <c r="A30" s="9"/>
      <c r="B30" s="95" t="s">
        <v>211</v>
      </c>
      <c r="C30" s="96"/>
      <c r="D30" s="96"/>
      <c r="E30" s="34">
        <v>3</v>
      </c>
      <c r="F30" s="42" t="s">
        <v>61</v>
      </c>
      <c r="G30" s="35" t="str">
        <f t="shared" ref="G30:G32" si="6">IFERROR(F30/E30,"")</f>
        <v/>
      </c>
      <c r="H30" s="36" t="str">
        <f t="shared" ref="H30:H32" si="7">_xlfn.IFS(F30="أدخل العلامة","",F30="لا ينطبق","تم الإلغاء",G30&gt;=90%,"ممتاز",G30&gt;=80%,"جيد جداً",G30&gt;=70%,"جيد",G30&gt;=60%,"مقبول",G30&lt;60%,"راسب")</f>
        <v/>
      </c>
      <c r="I30" s="89"/>
      <c r="J30" s="90"/>
    </row>
    <row r="31" spans="1:10" ht="39.950000000000003" customHeight="1" x14ac:dyDescent="0.2">
      <c r="A31" s="9"/>
      <c r="B31" s="92" t="s">
        <v>212</v>
      </c>
      <c r="C31" s="93"/>
      <c r="D31" s="93"/>
      <c r="E31" s="31">
        <v>3</v>
      </c>
      <c r="F31" s="43" t="s">
        <v>61</v>
      </c>
      <c r="G31" s="32" t="str">
        <f t="shared" si="6"/>
        <v/>
      </c>
      <c r="H31" s="33" t="str">
        <f t="shared" si="7"/>
        <v/>
      </c>
      <c r="I31" s="73"/>
      <c r="J31" s="74"/>
    </row>
    <row r="32" spans="1:10" ht="39.950000000000003" customHeight="1" x14ac:dyDescent="0.2">
      <c r="A32" s="9"/>
      <c r="B32" s="94" t="s">
        <v>213</v>
      </c>
      <c r="C32" s="91"/>
      <c r="D32" s="91"/>
      <c r="E32" s="28">
        <v>3</v>
      </c>
      <c r="F32" s="41" t="s">
        <v>61</v>
      </c>
      <c r="G32" s="29" t="str">
        <f t="shared" si="6"/>
        <v/>
      </c>
      <c r="H32" s="30" t="str">
        <f t="shared" si="7"/>
        <v/>
      </c>
      <c r="I32" s="45"/>
      <c r="J32" s="46"/>
    </row>
    <row r="33" spans="1:10" ht="39.950000000000003" customHeight="1" x14ac:dyDescent="0.2">
      <c r="A33" s="9"/>
      <c r="B33" s="94" t="s">
        <v>214</v>
      </c>
      <c r="C33" s="91"/>
      <c r="D33" s="91"/>
      <c r="E33" s="28">
        <v>3</v>
      </c>
      <c r="F33" s="41" t="s">
        <v>61</v>
      </c>
      <c r="G33" s="29" t="str">
        <f>IFERROR(F33/E33,"")</f>
        <v/>
      </c>
      <c r="H33" s="30" t="str">
        <f>_xlfn.IFS(F33="أدخل العلامة","",F33="لا ينطبق","تم الإلغاء",G33&gt;=90%,"ممتاز",G33&gt;=80%,"جيد جداً",G33&gt;=70%,"جيد",G33&gt;=60%,"مقبول",G33&lt;60%,"راسب")</f>
        <v/>
      </c>
      <c r="I33" s="45"/>
      <c r="J33" s="46"/>
    </row>
    <row r="34" spans="1:10" ht="39.950000000000003" customHeight="1" x14ac:dyDescent="0.2">
      <c r="A34" s="9"/>
      <c r="B34" s="94" t="s">
        <v>215</v>
      </c>
      <c r="C34" s="91"/>
      <c r="D34" s="91"/>
      <c r="E34" s="28">
        <v>3</v>
      </c>
      <c r="F34" s="41" t="s">
        <v>61</v>
      </c>
      <c r="G34" s="29" t="str">
        <f t="shared" ref="G34:G35" si="8">IFERROR(F34/E34,"")</f>
        <v/>
      </c>
      <c r="H34" s="30" t="str">
        <f t="shared" ref="H34:H35" si="9">_xlfn.IFS(F34="أدخل العلامة","",F34="لا ينطبق","تم الإلغاء",G34&gt;=90%,"ممتاز",G34&gt;=80%,"جيد جداً",G34&gt;=70%,"جيد",G34&gt;=60%,"مقبول",G34&lt;60%,"راسب")</f>
        <v/>
      </c>
      <c r="I34" s="45"/>
      <c r="J34" s="46"/>
    </row>
    <row r="35" spans="1:10" ht="45" customHeight="1" thickBot="1" x14ac:dyDescent="0.25">
      <c r="A35" s="9"/>
      <c r="B35" s="95" t="s">
        <v>216</v>
      </c>
      <c r="C35" s="96"/>
      <c r="D35" s="96"/>
      <c r="E35" s="34">
        <v>3</v>
      </c>
      <c r="F35" s="42" t="s">
        <v>61</v>
      </c>
      <c r="G35" s="35" t="str">
        <f t="shared" si="8"/>
        <v/>
      </c>
      <c r="H35" s="36" t="str">
        <f t="shared" si="9"/>
        <v/>
      </c>
      <c r="I35" s="89"/>
      <c r="J35" s="90"/>
    </row>
    <row r="36" spans="1:10" ht="30" customHeight="1" thickBot="1" x14ac:dyDescent="0.25">
      <c r="A36" s="4"/>
      <c r="B36" s="77" t="s">
        <v>5</v>
      </c>
      <c r="C36" s="78"/>
      <c r="D36" s="78"/>
      <c r="E36" s="40">
        <f>SUM(E10:E35)</f>
        <v>75</v>
      </c>
      <c r="F36" s="40">
        <f>SUM(F10:F16)</f>
        <v>0</v>
      </c>
      <c r="G36" s="49"/>
      <c r="H36" s="50"/>
      <c r="I36" s="50"/>
      <c r="J36" s="51"/>
    </row>
    <row r="37" spans="1:10" ht="30" customHeight="1" thickBot="1" x14ac:dyDescent="0.25">
      <c r="A37" s="4"/>
      <c r="B37" s="79" t="s">
        <v>54</v>
      </c>
      <c r="C37" s="80"/>
      <c r="D37" s="80"/>
      <c r="E37" s="52">
        <f>F36/E36/100*100</f>
        <v>0</v>
      </c>
      <c r="F37" s="52"/>
      <c r="G37" s="52"/>
      <c r="H37" s="52"/>
      <c r="I37" s="52"/>
      <c r="J37" s="53"/>
    </row>
    <row r="38" spans="1:10" ht="30" customHeight="1" thickBot="1" x14ac:dyDescent="0.25">
      <c r="A38" s="4"/>
      <c r="B38" s="79" t="s">
        <v>55</v>
      </c>
      <c r="C38" s="80"/>
      <c r="D38" s="80"/>
      <c r="E38" s="60" t="str">
        <f>_xlfn.IFS(E37&gt;=90%,"ممتاز",E37&gt;=80%,"جيد جداً",E37&gt;=70%,"جيد",E37&gt;=60%,"مقبول",E37&lt;60%,"راسب")</f>
        <v>راسب</v>
      </c>
      <c r="F38" s="60"/>
      <c r="G38" s="60"/>
      <c r="H38" s="60"/>
      <c r="I38" s="60"/>
      <c r="J38" s="61"/>
    </row>
    <row r="39" spans="1:10" ht="42" customHeight="1" x14ac:dyDescent="0.2">
      <c r="B39" s="81" t="s">
        <v>178</v>
      </c>
      <c r="C39" s="81"/>
      <c r="D39" s="81"/>
      <c r="E39" s="47" t="s">
        <v>52</v>
      </c>
      <c r="F39" s="47"/>
      <c r="G39" s="58" t="s">
        <v>59</v>
      </c>
      <c r="H39" s="58"/>
      <c r="I39" s="58"/>
      <c r="J39" s="58"/>
    </row>
    <row r="40" spans="1:10" ht="51" customHeight="1" x14ac:dyDescent="0.2">
      <c r="A40" s="5"/>
      <c r="B40" s="82"/>
      <c r="C40" s="82"/>
      <c r="D40" s="82"/>
      <c r="E40" s="48" t="s">
        <v>53</v>
      </c>
      <c r="F40" s="48"/>
      <c r="G40" s="59"/>
      <c r="H40" s="59"/>
      <c r="I40" s="59"/>
      <c r="J40" s="59"/>
    </row>
    <row r="41" spans="1:10" ht="15.75" x14ac:dyDescent="0.2">
      <c r="A41" s="24">
        <v>3</v>
      </c>
      <c r="B41" s="83" t="s">
        <v>175</v>
      </c>
      <c r="C41" s="84"/>
    </row>
    <row r="42" spans="1:10" ht="15.75" x14ac:dyDescent="0.2">
      <c r="A42" s="25">
        <v>2</v>
      </c>
      <c r="B42" s="85" t="s">
        <v>176</v>
      </c>
      <c r="C42" s="86"/>
    </row>
    <row r="43" spans="1:10" ht="15.75" x14ac:dyDescent="0.2">
      <c r="A43" s="26">
        <v>1</v>
      </c>
      <c r="B43" s="75" t="s">
        <v>177</v>
      </c>
      <c r="C43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0">
    <mergeCell ref="B32:D32"/>
    <mergeCell ref="I32:J32"/>
    <mergeCell ref="B33:D33"/>
    <mergeCell ref="I33:J33"/>
    <mergeCell ref="B34:D34"/>
    <mergeCell ref="I34:J34"/>
    <mergeCell ref="B35:D35"/>
    <mergeCell ref="I35:J35"/>
    <mergeCell ref="B29:D29"/>
    <mergeCell ref="I29:J29"/>
    <mergeCell ref="B30:D30"/>
    <mergeCell ref="I30:J30"/>
    <mergeCell ref="B31:D31"/>
    <mergeCell ref="I31:J31"/>
    <mergeCell ref="B26:D26"/>
    <mergeCell ref="I26:J26"/>
    <mergeCell ref="B27:D27"/>
    <mergeCell ref="I27:J27"/>
    <mergeCell ref="B28:D28"/>
    <mergeCell ref="I28:J28"/>
    <mergeCell ref="B23:D23"/>
    <mergeCell ref="I23:J23"/>
    <mergeCell ref="B24:D24"/>
    <mergeCell ref="I24:J24"/>
    <mergeCell ref="B25:D25"/>
    <mergeCell ref="I25:J25"/>
    <mergeCell ref="B17:D17"/>
    <mergeCell ref="B18:D18"/>
    <mergeCell ref="B19:D19"/>
    <mergeCell ref="B21:D21"/>
    <mergeCell ref="B22:D22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16:D16"/>
    <mergeCell ref="B43:C43"/>
    <mergeCell ref="B36:D36"/>
    <mergeCell ref="B37:D37"/>
    <mergeCell ref="B38:D38"/>
    <mergeCell ref="B39:D40"/>
    <mergeCell ref="B41:C41"/>
    <mergeCell ref="B42:C42"/>
    <mergeCell ref="G40:J40"/>
    <mergeCell ref="E38:J38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39:F39"/>
    <mergeCell ref="E40:F40"/>
    <mergeCell ref="G36:J36"/>
    <mergeCell ref="E37:J37"/>
    <mergeCell ref="I17:J17"/>
    <mergeCell ref="I18:J18"/>
    <mergeCell ref="I19:J19"/>
    <mergeCell ref="I20:J20"/>
    <mergeCell ref="B9:D9"/>
    <mergeCell ref="I11:J11"/>
    <mergeCell ref="I9:J9"/>
    <mergeCell ref="I12:J12"/>
    <mergeCell ref="G39:J39"/>
  </mergeCells>
  <conditionalFormatting sqref="C3:D3">
    <cfRule type="containsText" dxfId="67" priority="69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66" priority="68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38">
    <cfRule type="expression" dxfId="65" priority="108">
      <formula>$E38="راسب"</formula>
    </cfRule>
  </conditionalFormatting>
  <conditionalFormatting sqref="E38:J38">
    <cfRule type="expression" dxfId="64" priority="109">
      <formula>$E38="مقبول"</formula>
    </cfRule>
    <cfRule type="expression" dxfId="63" priority="110">
      <formula>$E38="جيد"</formula>
    </cfRule>
    <cfRule type="expression" dxfId="62" priority="111">
      <formula>$E38="جيد جداً"</formula>
    </cfRule>
    <cfRule type="expression" dxfId="61" priority="112">
      <formula>$E38="ممتاز"</formula>
    </cfRule>
  </conditionalFormatting>
  <conditionalFormatting sqref="F10:F16">
    <cfRule type="containsText" dxfId="60" priority="65" operator="containsText" text="أدخل العلامة">
      <formula>NOT(ISERROR(SEARCH("أدخل العلامة",F10)))</formula>
    </cfRule>
  </conditionalFormatting>
  <conditionalFormatting sqref="F3:J3">
    <cfRule type="containsText" dxfId="59" priority="70" operator="containsText" text="أدخل التاريخ">
      <formula>NOT(ISERROR(SEARCH("أدخل التاريخ",F3)))</formula>
    </cfRule>
  </conditionalFormatting>
  <conditionalFormatting sqref="F4:J4 I5">
    <cfRule type="containsText" dxfId="58" priority="67" operator="containsText" text="أدخل أسم المحكم">
      <formula>NOT(ISERROR(SEARCH("أدخل أسم المحكم",F4)))</formula>
    </cfRule>
  </conditionalFormatting>
  <conditionalFormatting sqref="G39:J39">
    <cfRule type="containsText" dxfId="57" priority="66" operator="containsText" text="أدخل اسم المحكم">
      <formula>NOT(ISERROR(SEARCH("أدخل اسم المحكم",G39)))</formula>
    </cfRule>
  </conditionalFormatting>
  <conditionalFormatting sqref="H10:H16">
    <cfRule type="containsText" dxfId="56" priority="56" operator="containsText" text="أدخل العلامة">
      <formula>NOT(ISERROR(SEARCH("أدخل العلامة",H10)))</formula>
    </cfRule>
    <cfRule type="containsText" dxfId="55" priority="57" operator="containsText" text="ممتاز">
      <formula>NOT(ISERROR(SEARCH("ممتاز",H10)))</formula>
    </cfRule>
    <cfRule type="containsText" dxfId="54" priority="58" operator="containsText" text="جيد جداً">
      <formula>NOT(ISERROR(SEARCH("جيد جداً",H10)))</formula>
    </cfRule>
    <cfRule type="containsText" dxfId="53" priority="59" operator="containsText" text="جيد">
      <formula>NOT(ISERROR(SEARCH("جيد",H10)))</formula>
    </cfRule>
    <cfRule type="containsText" dxfId="52" priority="60" operator="containsText" text="مقبول">
      <formula>NOT(ISERROR(SEARCH("مقبول",H10)))</formula>
    </cfRule>
    <cfRule type="containsText" dxfId="51" priority="61" operator="containsText" text="راسب">
      <formula>NOT(ISERROR(SEARCH("راسب",H10)))</formula>
    </cfRule>
  </conditionalFormatting>
  <conditionalFormatting sqref="D5">
    <cfRule type="containsText" dxfId="50" priority="51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49" priority="50" operator="containsText" text="أدخل رقم المعضلة">
      <formula>NOT(ISERROR(SEARCH("أدخل رقم المعضلة",I5)))</formula>
    </cfRule>
  </conditionalFormatting>
  <conditionalFormatting sqref="F17:F22">
    <cfRule type="containsText" dxfId="48" priority="49" operator="containsText" text="أدخل العلامة">
      <formula>NOT(ISERROR(SEARCH("أدخل العلامة",F17)))</formula>
    </cfRule>
  </conditionalFormatting>
  <conditionalFormatting sqref="H17:H22">
    <cfRule type="containsText" dxfId="47" priority="43" operator="containsText" text="أدخل العلامة">
      <formula>NOT(ISERROR(SEARCH("أدخل العلامة",H17)))</formula>
    </cfRule>
    <cfRule type="containsText" dxfId="46" priority="44" operator="containsText" text="ممتاز">
      <formula>NOT(ISERROR(SEARCH("ممتاز",H17)))</formula>
    </cfRule>
    <cfRule type="containsText" dxfId="45" priority="45" operator="containsText" text="جيد جداً">
      <formula>NOT(ISERROR(SEARCH("جيد جداً",H17)))</formula>
    </cfRule>
    <cfRule type="containsText" dxfId="44" priority="46" operator="containsText" text="جيد">
      <formula>NOT(ISERROR(SEARCH("جيد",H17)))</formula>
    </cfRule>
    <cfRule type="containsText" dxfId="43" priority="47" operator="containsText" text="مقبول">
      <formula>NOT(ISERROR(SEARCH("مقبول",H17)))</formula>
    </cfRule>
    <cfRule type="containsText" dxfId="42" priority="48" operator="containsText" text="راسب">
      <formula>NOT(ISERROR(SEARCH("راسب",H17)))</formula>
    </cfRule>
  </conditionalFormatting>
  <conditionalFormatting sqref="F23:F28">
    <cfRule type="containsText" dxfId="41" priority="42" operator="containsText" text="أدخل العلامة">
      <formula>NOT(ISERROR(SEARCH("أدخل العلامة",F23)))</formula>
    </cfRule>
  </conditionalFormatting>
  <conditionalFormatting sqref="H23:H28">
    <cfRule type="containsText" dxfId="40" priority="36" operator="containsText" text="أدخل العلامة">
      <formula>NOT(ISERROR(SEARCH("أدخل العلامة",H23)))</formula>
    </cfRule>
    <cfRule type="containsText" dxfId="39" priority="37" operator="containsText" text="ممتاز">
      <formula>NOT(ISERROR(SEARCH("ممتاز",H23)))</formula>
    </cfRule>
    <cfRule type="containsText" dxfId="38" priority="38" operator="containsText" text="جيد جداً">
      <formula>NOT(ISERROR(SEARCH("جيد جداً",H23)))</formula>
    </cfRule>
    <cfRule type="containsText" dxfId="37" priority="39" operator="containsText" text="جيد">
      <formula>NOT(ISERROR(SEARCH("جيد",H23)))</formula>
    </cfRule>
    <cfRule type="containsText" dxfId="36" priority="40" operator="containsText" text="مقبول">
      <formula>NOT(ISERROR(SEARCH("مقبول",H23)))</formula>
    </cfRule>
    <cfRule type="containsText" dxfId="35" priority="41" operator="containsText" text="راسب">
      <formula>NOT(ISERROR(SEARCH("راسب",H23)))</formula>
    </cfRule>
  </conditionalFormatting>
  <conditionalFormatting sqref="F29:F32">
    <cfRule type="containsText" dxfId="34" priority="35" operator="containsText" text="أدخل العلامة">
      <formula>NOT(ISERROR(SEARCH("أدخل العلامة",F29)))</formula>
    </cfRule>
  </conditionalFormatting>
  <conditionalFormatting sqref="H29:H32">
    <cfRule type="containsText" dxfId="33" priority="29" operator="containsText" text="أدخل العلامة">
      <formula>NOT(ISERROR(SEARCH("أدخل العلامة",H29)))</formula>
    </cfRule>
    <cfRule type="containsText" dxfId="32" priority="30" operator="containsText" text="ممتاز">
      <formula>NOT(ISERROR(SEARCH("ممتاز",H29)))</formula>
    </cfRule>
    <cfRule type="containsText" dxfId="31" priority="31" operator="containsText" text="جيد جداً">
      <formula>NOT(ISERROR(SEARCH("جيد جداً",H29)))</formula>
    </cfRule>
    <cfRule type="containsText" dxfId="30" priority="32" operator="containsText" text="جيد">
      <formula>NOT(ISERROR(SEARCH("جيد",H29)))</formula>
    </cfRule>
    <cfRule type="containsText" dxfId="29" priority="33" operator="containsText" text="مقبول">
      <formula>NOT(ISERROR(SEARCH("مقبول",H29)))</formula>
    </cfRule>
    <cfRule type="containsText" dxfId="28" priority="34" operator="containsText" text="راسب">
      <formula>NOT(ISERROR(SEARCH("راسب",H29)))</formula>
    </cfRule>
  </conditionalFormatting>
  <conditionalFormatting sqref="F33:F35">
    <cfRule type="containsText" dxfId="27" priority="28" operator="containsText" text="أدخل العلامة">
      <formula>NOT(ISERROR(SEARCH("أدخل العلامة",F33)))</formula>
    </cfRule>
  </conditionalFormatting>
  <conditionalFormatting sqref="H33:H35">
    <cfRule type="containsText" dxfId="26" priority="22" operator="containsText" text="أدخل العلامة">
      <formula>NOT(ISERROR(SEARCH("أدخل العلامة",H33)))</formula>
    </cfRule>
    <cfRule type="containsText" dxfId="25" priority="23" operator="containsText" text="ممتاز">
      <formula>NOT(ISERROR(SEARCH("ممتاز",H33)))</formula>
    </cfRule>
    <cfRule type="containsText" dxfId="24" priority="24" operator="containsText" text="جيد جداً">
      <formula>NOT(ISERROR(SEARCH("جيد جداً",H33)))</formula>
    </cfRule>
    <cfRule type="containsText" dxfId="23" priority="25" operator="containsText" text="جيد">
      <formula>NOT(ISERROR(SEARCH("جيد",H33)))</formula>
    </cfRule>
    <cfRule type="containsText" dxfId="22" priority="26" operator="containsText" text="مقبول">
      <formula>NOT(ISERROR(SEARCH("مقبول",H33)))</formula>
    </cfRule>
    <cfRule type="containsText" dxfId="21" priority="27" operator="containsText" text="راسب">
      <formula>NOT(ISERROR(SEARCH("راسب",H33)))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G39:J39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F11:F35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2025-10-23T06:37:56Z</dcterms:modified>
</cp:coreProperties>
</file>