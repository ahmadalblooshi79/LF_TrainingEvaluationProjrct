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</sheets>
  <externalReferences>
    <externalReference r:id="rId3"/>
  </externalReferences>
  <definedNames>
    <definedName name="_Hlk189049083" localSheetId="0">'قائمة التقييم'!#REF!</definedName>
    <definedName name="_Hlk189049123" localSheetId="0">'قائمة التقييم'!#REF!</definedName>
    <definedName name="_xlnm.Print_Titles" localSheetId="0">'قائمة التقييم'!$5:$5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2" l="1"/>
  <c r="H46" i="2" s="1"/>
  <c r="G45" i="2"/>
  <c r="H45" i="2" s="1"/>
  <c r="G44" i="2"/>
  <c r="H44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5" i="2"/>
  <c r="H35" i="2" s="1"/>
  <c r="G34" i="2"/>
  <c r="H34" i="2" s="1"/>
  <c r="G33" i="2"/>
  <c r="H33" i="2" s="1"/>
  <c r="G32" i="2"/>
  <c r="H32" i="2" s="1"/>
  <c r="G29" i="2"/>
  <c r="H29" i="2" s="1"/>
  <c r="G28" i="2"/>
  <c r="H28" i="2" s="1"/>
  <c r="G27" i="2"/>
  <c r="H27" i="2" s="1"/>
  <c r="G23" i="2"/>
  <c r="H23" i="2" s="1"/>
  <c r="G22" i="2"/>
  <c r="H22" i="2" s="1"/>
  <c r="G21" i="2"/>
  <c r="H21" i="2" s="1"/>
  <c r="G20" i="2"/>
  <c r="H20" i="2" s="1"/>
  <c r="G19" i="2"/>
  <c r="H19" i="2" s="1"/>
  <c r="G17" i="2"/>
  <c r="H17" i="2" s="1"/>
  <c r="G16" i="2"/>
  <c r="H1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8" i="2"/>
  <c r="H48" i="2" s="1"/>
  <c r="G56" i="2" l="1"/>
  <c r="H56" i="2" s="1"/>
  <c r="G47" i="2"/>
  <c r="H47" i="2" s="1"/>
  <c r="G26" i="2"/>
  <c r="H26" i="2" s="1"/>
  <c r="G25" i="2"/>
  <c r="H25" i="2" s="1"/>
  <c r="G15" i="2"/>
  <c r="H15" i="2" s="1"/>
  <c r="G12" i="2" l="1"/>
  <c r="H12" i="2" s="1"/>
  <c r="G10" i="2"/>
  <c r="H10" i="2" s="1"/>
  <c r="G9" i="2"/>
  <c r="H9" i="2" s="1"/>
  <c r="G8" i="2"/>
  <c r="H8" i="2" s="1"/>
  <c r="F57" i="2" l="1"/>
  <c r="E57" i="2"/>
  <c r="G14" i="2"/>
  <c r="H14" i="2" s="1"/>
  <c r="G13" i="2" l="1"/>
  <c r="H13" i="2" s="1"/>
  <c r="E58" i="2" l="1"/>
  <c r="E59" i="2" s="1"/>
</calcChain>
</file>

<file path=xl/sharedStrings.xml><?xml version="1.0" encoding="utf-8"?>
<sst xmlns="http://schemas.openxmlformats.org/spreadsheetml/2006/main" count="185" uniqueCount="122">
  <si>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</si>
  <si>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</si>
  <si>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</si>
  <si>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</si>
  <si>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</si>
  <si>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</si>
  <si>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</si>
  <si>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</si>
  <si>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</si>
  <si>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</si>
  <si>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</si>
  <si>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</si>
  <si>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</si>
  <si>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</si>
  <si>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</si>
  <si>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</si>
  <si>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</si>
  <si>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</si>
  <si>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</si>
  <si>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</si>
  <si>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</si>
  <si>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</si>
  <si>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</si>
  <si>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</si>
  <si>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</si>
  <si>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</si>
  <si>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</si>
  <si>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</si>
  <si>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</si>
  <si>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</si>
  <si>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</si>
  <si>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</si>
  <si>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</si>
  <si>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</si>
  <si>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</si>
  <si>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</si>
  <si>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</si>
  <si>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</si>
  <si>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</si>
  <si>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</si>
  <si>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</si>
  <si>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</si>
  <si>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</si>
  <si>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</si>
  <si>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</si>
  <si>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أدخل رقم المعضلة</t>
  </si>
  <si>
    <t>أدخل مجرى الأحداث والمعاضل</t>
  </si>
  <si>
    <t>قيادة مجموعة لواء زايد الأول/3</t>
  </si>
  <si>
    <t>قيادة كتيبة المشاة الآلية/32</t>
  </si>
  <si>
    <t>كتيبة المشاة الآلية/32 - السرية/1</t>
  </si>
  <si>
    <t>كتيبة المشاة الآلية/32 - السرية/2</t>
  </si>
  <si>
    <t>كتيبة المشاة الآلية/32 - السرية/3</t>
  </si>
  <si>
    <t>قيادة كتيبة المشاة الآلية/33</t>
  </si>
  <si>
    <t>كتيبة المشاة الآلية/33 - السرية/1</t>
  </si>
  <si>
    <t>كتيبة المشاة الآلية/33 - السرية/2</t>
  </si>
  <si>
    <t>كتيبة المشاة الآلية/33 - السرية/3</t>
  </si>
  <si>
    <t>قيادة كتيبة الدبابات/34</t>
  </si>
  <si>
    <t>كتيبة الدبابات/34 - السرية/1</t>
  </si>
  <si>
    <t>كتيبة الدبابات/34 - السرية/2</t>
  </si>
  <si>
    <t>كتيبة الدبابات/34 - السرية/3</t>
  </si>
  <si>
    <t>قيادة كتيبة المدفعية/73</t>
  </si>
  <si>
    <t>قيادة كتيبة المدفعية/73 - السرية/1</t>
  </si>
  <si>
    <t>قيادة كتيبة المدفعية/73 - السرية/2</t>
  </si>
  <si>
    <t>قيادة كتيبة المدفعية/73 - السرية/3</t>
  </si>
  <si>
    <t>اليوم/1</t>
  </si>
  <si>
    <t>اليوم/2</t>
  </si>
  <si>
    <t>اليوم/3</t>
  </si>
  <si>
    <t>اليوم/4</t>
  </si>
  <si>
    <t>اليوم/5</t>
  </si>
  <si>
    <t>اليوم/6</t>
  </si>
  <si>
    <t xml:space="preserve">رد الفعل على الإنذار </t>
  </si>
  <si>
    <t>إجراءات الوحدة المعنية بالتهديد</t>
  </si>
  <si>
    <t>إجراءات قائد سرية الدفاع الكيميائي</t>
  </si>
  <si>
    <t>إجراءات قائد فصيل الاستطلاع</t>
  </si>
  <si>
    <t>إجراءات قائد فصيل التطهير</t>
  </si>
  <si>
    <t>رد الفعل عند تنفيذ الهجوم</t>
  </si>
  <si>
    <t>إجراءات سرية الدفاع الكيميائي</t>
  </si>
  <si>
    <t>إجراءات فصيل الاستطلاع</t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</si>
  <si>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الالمام بأسلوب الانذار والابلاغ من قبل جميع الوحدات المعنية بالتهديد.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</si>
  <si>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التأكد من المام المرتب بكيفية ارتداء القناع الواقي مع الزمن المطلوب في حالة الوقوف وفي حالة الحركة وحسب حالات الاستعداد ومستوى الجاهزية (</t>
    </r>
    <r>
      <rPr>
        <b/>
        <sz val="14"/>
        <color rgb="FF000000"/>
        <rFont val="Arial"/>
        <family val="2"/>
      </rPr>
      <t>MOPP READY</t>
    </r>
    <r>
      <rPr>
        <sz val="14"/>
        <color rgb="FF000000"/>
        <rFont val="Arial"/>
        <family val="2"/>
      </rPr>
      <t>) المرفق بالمعضلة.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</si>
  <si>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الالمام بتسلسل ارتداء مهمات الوقاية حسب الشكل المرفق بالمعضلة.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</si>
  <si>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وجود قائد سرية دفاع كيميائي مستشار لقائد مجموعة اللواء في كافة الامور المتعلقة بالدفاع الكيميائي</t>
    </r>
  </si>
  <si>
    <r>
      <t>2.</t>
    </r>
    <r>
      <rPr>
        <sz val="14"/>
        <color rgb="FF000000"/>
        <rFont val="Times New Roman"/>
        <family val="1"/>
      </rPr>
      <t xml:space="preserve">        تجهيز </t>
    </r>
    <r>
      <rPr>
        <sz val="14"/>
        <color rgb="FF000000"/>
        <rFont val="Arial"/>
        <family val="2"/>
      </rPr>
      <t xml:space="preserve">خطة التامين الكيميائي للمنطقة الدفاعية 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</si>
  <si>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عمل شفاف العمليات لخطة التامين الكيميائي.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</si>
  <si>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انتخاب خطوط ومناطق التطهير بالتشاور مع قائد مجموعة اللواء.</t>
    </r>
  </si>
  <si>
    <r>
      <t>5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التأكد من جاهزية السرية.</t>
    </r>
  </si>
  <si>
    <r>
      <t>6.</t>
    </r>
    <r>
      <rPr>
        <sz val="14"/>
        <color rgb="FF000000"/>
        <rFont val="Times New Roman"/>
        <family val="1"/>
      </rPr>
      <t xml:space="preserve">     إصدار </t>
    </r>
    <r>
      <rPr>
        <sz val="14"/>
        <color rgb="FF000000"/>
        <rFont val="Arial"/>
        <family val="2"/>
      </rPr>
      <t xml:space="preserve">امر عمليات قائد سرية الدفاع الكيميائي 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</si>
  <si>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التأكد من جاهزية المدرعات لقائد فصيل الاستطلاع 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</si>
  <si>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التأكد من اجهزة الكشف الكيميائي والاشعاعي والبيولوجي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</si>
  <si>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اعداد خطة الاستطلاع بناءا على امر عمليات قائد السرية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</si>
  <si>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توزيع دوريات الاستطلاع في منطقة المسؤولية والبدء في اعمال المراقبة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</si>
  <si>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الانذار في حالة اكتشاف التلوث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</si>
  <si>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التأكد من معدات التطهير لقائد فصيل التطهير 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</si>
  <si>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تحديد الطرق الى مناطق التطهير والمنتخبة وحساب الوقت الوصول والجاهزية. 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</si>
  <si>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معرفة قائد فصيلة التطهير في مواقع مناطق التطهير وطرق الوصول اليها 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</si>
  <si>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وجود جدول يبين احداثيات مناطق التطهير وزمن الوصول اليها.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</si>
  <si>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معرفة قائد الفصيل بمصادر المياه المتوفرة في المنطقة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</si>
  <si>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الخروج بإنذار عن الهجوم الكيميائي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</si>
  <si>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لبس مهمات الوقاية 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</si>
  <si>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الاستعداد لتنفيذ التطهير العملياتي / التطهير الكلي في مناطق التطهير المنتخبة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</si>
  <si>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التقرير النهائي واستعواض الخسائر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</si>
  <si>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توضيع منطقة الهجوم والخطر ومسار السحابة على الخارطة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</si>
  <si>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انذار الوحدات الواقعة في مسار السحابة.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</si>
  <si>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اخذ موافقة قائد مجموعة اللواء في تنفيذ عملية التطهير الكلي 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</si>
  <si>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ابلاغ فصيل الاستطلاع بجمع العينات وتحديد منطقة التلوث الفعلية 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</si>
  <si>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ابلاغ فصيل التطهير للاستعداد للحركة لفتح محطة التطهير في منطقة التطهير الموافق عليها من قبل قائد مجموعة اللواء</t>
    </r>
  </si>
  <si>
    <r>
      <t>6.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رفع كفاءة السرية واستعواض النقص واستكمالها 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</si>
  <si>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الحركة لمنطقة الهجوم 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</si>
  <si>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جمع العينة 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</si>
  <si>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تحديد منطقة الهجوم بإحدى اساليب الاستطلاع (النجمة، رقم 4....)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</si>
  <si>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ارسال دورية للتأكد من ان منطقة تطهير خالية من التلوث 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</si>
  <si>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رفع كفاءة فصيلة الاستطلاع</t>
    </r>
  </si>
  <si>
    <r>
      <t>1.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الاستعداد للحركة الى منطقة التطهير المنتخبة </t>
    </r>
  </si>
  <si>
    <r>
      <t>2.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تفعيل محاضر التنسيق مع الوحدات الاخرى (الخدمات الطبية / الهندسة /الوحدة المتضررة)</t>
    </r>
  </si>
  <si>
    <r>
      <t>3.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فتح محطة تطهير</t>
    </r>
  </si>
  <si>
    <r>
      <t>4.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معرفة اعداد الافراد والاليات الملوثة حسب نسق تقرير التطهير الأولي للوحدة الملوثة.</t>
    </r>
  </si>
  <si>
    <r>
      <t>5.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القيام بأعمال التطهير للوحدة الملوثة </t>
    </r>
  </si>
  <si>
    <r>
      <t>6.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 xml:space="preserve">تطهير الطاقم / دورية الاستطلاع </t>
    </r>
  </si>
  <si>
    <r>
      <t>7.</t>
    </r>
    <r>
      <rPr>
        <sz val="14"/>
        <color rgb="FF000000"/>
        <rFont val="Times New Roman"/>
        <family val="1"/>
      </rPr>
      <t xml:space="preserve">        </t>
    </r>
    <r>
      <rPr>
        <sz val="14"/>
        <color rgb="FF000000"/>
        <rFont val="Arial"/>
        <family val="2"/>
      </rPr>
      <t>انتهاء المهمة وارسال تقرير بالمواد المستهلكة واعادة التنظيم حسب النسق الصحيح</t>
    </r>
  </si>
  <si>
    <t>رد الفعل على الإنذار والهجوم الكيميائي</t>
  </si>
  <si>
    <t>تقيم من قبل محكم وحدة المناورة</t>
  </si>
  <si>
    <t>تقيم من قبل محكم سرية الدفاع الكيميائي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</si>
</sst>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u/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7" fillId="7" borderId="28" xfId="0" applyFont="1" applyFill="1" applyBorder="1" applyAlignment="1">
      <alignment vertical="center" wrapText="1" readingOrder="2"/>
    </xf>
    <xf numFmtId="0" fontId="7" fillId="7" borderId="1" xfId="0" applyFont="1" applyFill="1" applyBorder="1" applyAlignment="1">
      <alignment vertical="center" wrapText="1" readingOrder="2"/>
    </xf>
    <xf numFmtId="0" fontId="7" fillId="7" borderId="29" xfId="0" applyFont="1" applyFill="1" applyBorder="1" applyAlignment="1">
      <alignment vertical="center" wrapText="1" readingOrder="2"/>
    </xf>
    <xf numFmtId="0" fontId="17" fillId="0" borderId="5" xfId="0" applyFont="1" applyBorder="1" applyAlignment="1">
      <alignment horizontal="right" vertical="center" wrapText="1" readingOrder="2"/>
    </xf>
    <xf numFmtId="0" fontId="17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2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7" borderId="8" xfId="0" applyFont="1" applyFill="1" applyBorder="1" applyAlignment="1">
      <alignment vertical="center" wrapText="1" readingOrder="2"/>
    </xf>
    <xf numFmtId="0" fontId="7" fillId="7" borderId="9" xfId="0" applyFont="1" applyFill="1" applyBorder="1" applyAlignment="1">
      <alignment vertical="center" wrapText="1" readingOrder="2"/>
    </xf>
    <xf numFmtId="0" fontId="7" fillId="7" borderId="10" xfId="0" applyFont="1" applyFill="1" applyBorder="1" applyAlignment="1">
      <alignment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30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31" xfId="0" applyFont="1" applyFill="1" applyBorder="1" applyAlignment="1" applyProtection="1">
      <alignment horizontal="center" vertical="center" wrapText="1" readingOrder="2"/>
      <protection locked="0"/>
    </xf>
    <xf numFmtId="0" fontId="6" fillId="4" borderId="25" xfId="0" applyFont="1" applyFill="1" applyBorder="1" applyAlignment="1" applyProtection="1">
      <alignment horizontal="center" vertical="center" wrapText="1" readingOrder="2"/>
      <protection locked="0"/>
    </xf>
    <xf numFmtId="0" fontId="6" fillId="4" borderId="26" xfId="0" applyFont="1" applyFill="1" applyBorder="1" applyAlignment="1" applyProtection="1">
      <alignment horizontal="center" vertical="center" wrapText="1" readingOrder="2"/>
      <protection locked="0"/>
    </xf>
    <xf numFmtId="0" fontId="6" fillId="4" borderId="2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31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10User\Desktop\&#1578;&#1605;&#1575;&#1585;&#1610;&#1606;%202026\1.%20&#1578;&#1605;&#1585;&#1610;&#1606;%20&#1604;&#1593;&#1576;&#1575;&#1578;%20&#1575;&#1604;&#1581;&#1585;&#1576;%20&#1608;&#1575;&#1604;&#1580;&#1575;&#1607;&#1586;&#1610;&#1577;%202026\&#1578;&#1605;&#1585;&#1610;&#1606;%20&#1604;&#1593;&#1576;&#1575;&#1578;%20&#1575;&#1604;&#1581;&#1585;&#1576;%202026\7.%20&#1576;&#1606;&#1603;%20&#1575;&#1604;&#1605;&#1593;&#1575;&#1590;&#1604;\&#1593;&#1576;&#1608;&#1577;%20&#1606;&#1575;&#1587;&#1601;&#1577;%20-%20&#1575;&#1587;&#1578;&#1591;&#1604;&#1575;&#15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يانات التقييم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64"/>
  <sheetViews>
    <sheetView rightToLeft="1" tabSelected="1" view="pageBreakPreview" zoomScale="136" zoomScaleNormal="100" zoomScaleSheetLayoutView="136" workbookViewId="0">
      <selection activeCell="B56" sqref="B56:D56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9" t="s">
        <v>119</v>
      </c>
      <c r="C1" s="79"/>
      <c r="D1" s="79"/>
      <c r="E1" s="79"/>
      <c r="F1" s="79"/>
      <c r="G1" s="79"/>
      <c r="H1" s="79"/>
      <c r="I1" s="79"/>
      <c r="J1" s="79"/>
    </row>
    <row r="2" spans="1:10" ht="30" customHeight="1" thickBot="1" x14ac:dyDescent="0.3">
      <c r="B2" s="6"/>
      <c r="C2" s="7"/>
      <c r="D2" s="7"/>
      <c r="E2" s="6"/>
      <c r="F2" s="7"/>
      <c r="G2" s="7"/>
      <c r="H2" s="8"/>
      <c r="I2" s="7"/>
      <c r="J2" s="7"/>
    </row>
    <row r="3" spans="1:10" ht="24.95" customHeight="1" x14ac:dyDescent="0.25">
      <c r="A3" s="9"/>
      <c r="B3" s="80" t="s">
        <v>0</v>
      </c>
      <c r="C3" s="81"/>
      <c r="D3" s="81"/>
      <c r="E3" s="84" t="s">
        <v>1</v>
      </c>
      <c r="F3" s="84"/>
      <c r="G3" s="84"/>
      <c r="H3" s="84"/>
      <c r="I3" s="84" t="s">
        <v>2</v>
      </c>
      <c r="J3" s="85"/>
    </row>
    <row r="4" spans="1:10" ht="24.95" customHeight="1" thickBot="1" x14ac:dyDescent="0.3">
      <c r="A4" s="9"/>
      <c r="B4" s="82"/>
      <c r="C4" s="83"/>
      <c r="D4" s="83"/>
      <c r="E4" s="10" t="s">
        <v>3</v>
      </c>
      <c r="F4" s="10" t="s">
        <v>4</v>
      </c>
      <c r="G4" s="10" t="s">
        <v>19</v>
      </c>
      <c r="H4" s="10" t="s">
        <v>20</v>
      </c>
      <c r="I4" s="86"/>
      <c r="J4" s="87"/>
    </row>
    <row r="5" spans="1:10" ht="24.95" customHeight="1" thickBot="1" x14ac:dyDescent="0.3">
      <c r="A5" s="9"/>
      <c r="B5" s="60" t="s">
        <v>17</v>
      </c>
      <c r="C5" s="61"/>
      <c r="D5" s="61"/>
      <c r="E5" s="26" t="s">
        <v>14</v>
      </c>
      <c r="F5" s="26" t="s">
        <v>15</v>
      </c>
      <c r="G5" s="26" t="s">
        <v>18</v>
      </c>
      <c r="H5" s="26" t="s">
        <v>16</v>
      </c>
      <c r="I5" s="62" t="s">
        <v>21</v>
      </c>
      <c r="J5" s="63"/>
    </row>
    <row r="6" spans="1:10" ht="39.950000000000003" customHeight="1" thickBot="1" x14ac:dyDescent="0.3">
      <c r="A6" s="9"/>
      <c r="B6" s="42" t="s">
        <v>70</v>
      </c>
      <c r="C6" s="43"/>
      <c r="D6" s="43"/>
      <c r="E6" s="43"/>
      <c r="F6" s="43"/>
      <c r="G6" s="43"/>
      <c r="H6" s="43"/>
      <c r="I6" s="43"/>
      <c r="J6" s="44"/>
    </row>
    <row r="7" spans="1:10" ht="39.950000000000003" customHeight="1" x14ac:dyDescent="0.25">
      <c r="A7" s="9"/>
      <c r="B7" s="45" t="s">
        <v>71</v>
      </c>
      <c r="C7" s="46"/>
      <c r="D7" s="46"/>
      <c r="E7" s="38"/>
      <c r="F7" s="41"/>
      <c r="G7" s="39"/>
      <c r="H7" s="40"/>
      <c r="I7" s="47" t="s">
        <v>120</v>
      </c>
      <c r="J7" s="48"/>
    </row>
    <row r="8" spans="1:10" ht="39.950000000000003" customHeight="1" x14ac:dyDescent="0.25">
      <c r="A8" s="9"/>
      <c r="B8" s="49" t="s">
        <v>78</v>
      </c>
      <c r="C8" s="50"/>
      <c r="D8" s="50"/>
      <c r="E8" s="27">
        <v>3</v>
      </c>
      <c r="F8" s="36" t="s">
        <v>40</v>
      </c>
      <c r="G8" s="28" t="str">
        <f t="shared" ref="G8:G10" si="0">IFERROR(F8/E8,"")</f>
        <v/>
      </c>
      <c r="H8" s="29" t="str">
        <f t="shared" ref="H8:H10" si="1">_xlfn.IFS(F8="أدخل العلامة","",F8="لا ينطبق","تم الإلغاء",G8&gt;=90%,"ممتاز",G8&gt;=80%,"جيد جداً",G8&gt;=70%,"جيد",G8&gt;=60%,"مقبول",G8&lt;60%,"راسب")</f>
        <v/>
      </c>
      <c r="I8" s="51"/>
      <c r="J8" s="52"/>
    </row>
    <row r="9" spans="1:10" ht="78" customHeight="1" x14ac:dyDescent="0.25">
      <c r="A9" s="9"/>
      <c r="B9" s="49" t="s">
        <v>79</v>
      </c>
      <c r="C9" s="50"/>
      <c r="D9" s="50"/>
      <c r="E9" s="27">
        <v>3</v>
      </c>
      <c r="F9" s="36" t="s">
        <v>40</v>
      </c>
      <c r="G9" s="28" t="str">
        <f t="shared" si="0"/>
        <v/>
      </c>
      <c r="H9" s="29" t="str">
        <f t="shared" si="1"/>
        <v/>
      </c>
      <c r="I9" s="51"/>
      <c r="J9" s="52"/>
    </row>
    <row r="10" spans="1:10" ht="39.950000000000003" customHeight="1" thickBot="1" x14ac:dyDescent="0.3">
      <c r="A10" s="9"/>
      <c r="B10" s="53" t="s">
        <v>80</v>
      </c>
      <c r="C10" s="54"/>
      <c r="D10" s="54"/>
      <c r="E10" s="30">
        <v>3</v>
      </c>
      <c r="F10" s="37" t="s">
        <v>40</v>
      </c>
      <c r="G10" s="31" t="str">
        <f t="shared" si="0"/>
        <v/>
      </c>
      <c r="H10" s="32" t="str">
        <f t="shared" si="1"/>
        <v/>
      </c>
      <c r="I10" s="55"/>
      <c r="J10" s="56"/>
    </row>
    <row r="11" spans="1:10" ht="39.950000000000003" customHeight="1" x14ac:dyDescent="0.25">
      <c r="A11" s="9"/>
      <c r="B11" s="45" t="s">
        <v>72</v>
      </c>
      <c r="C11" s="46"/>
      <c r="D11" s="46"/>
      <c r="E11" s="38"/>
      <c r="F11" s="41"/>
      <c r="G11" s="39"/>
      <c r="H11" s="40"/>
      <c r="I11" s="47" t="s">
        <v>121</v>
      </c>
      <c r="J11" s="48"/>
    </row>
    <row r="12" spans="1:10" ht="39.950000000000003" customHeight="1" x14ac:dyDescent="0.25">
      <c r="A12" s="9"/>
      <c r="B12" s="49" t="s">
        <v>81</v>
      </c>
      <c r="C12" s="50"/>
      <c r="D12" s="50"/>
      <c r="E12" s="27">
        <v>3</v>
      </c>
      <c r="F12" s="36" t="s">
        <v>40</v>
      </c>
      <c r="G12" s="28" t="str">
        <f>IFERROR(F12/E12,"")</f>
        <v/>
      </c>
      <c r="H12" s="29" t="str">
        <f>_xlfn.IFS(F12="أدخل العلامة","",F12="لا ينطبق","تم الإلغاء",G12&gt;=90%,"ممتاز",G12&gt;=80%,"جيد جداً",G12&gt;=70%,"جيد",G12&gt;=60%,"مقبول",G12&lt;60%,"راسب")</f>
        <v/>
      </c>
      <c r="I12" s="51"/>
      <c r="J12" s="52"/>
    </row>
    <row r="13" spans="1:10" ht="39.950000000000003" customHeight="1" x14ac:dyDescent="0.25">
      <c r="A13" s="9"/>
      <c r="B13" s="49" t="s">
        <v>82</v>
      </c>
      <c r="C13" s="50"/>
      <c r="D13" s="50"/>
      <c r="E13" s="27">
        <v>3</v>
      </c>
      <c r="F13" s="36" t="s">
        <v>40</v>
      </c>
      <c r="G13" s="28" t="str">
        <f t="shared" ref="G13" si="2">IFERROR(F13/E13,"")</f>
        <v/>
      </c>
      <c r="H13" s="29" t="str">
        <f t="shared" ref="H13" si="3">_xlfn.IFS(F13="أدخل العلامة","",F13="لا ينطبق","تم الإلغاء",G13&gt;=90%,"ممتاز",G13&gt;=80%,"جيد جداً",G13&gt;=70%,"جيد",G13&gt;=60%,"مقبول",G13&lt;60%,"راسب")</f>
        <v/>
      </c>
      <c r="I13" s="51"/>
      <c r="J13" s="52"/>
    </row>
    <row r="14" spans="1:10" ht="39.950000000000003" customHeight="1" x14ac:dyDescent="0.25">
      <c r="A14" s="9"/>
      <c r="B14" s="49" t="s">
        <v>83</v>
      </c>
      <c r="C14" s="50"/>
      <c r="D14" s="50"/>
      <c r="E14" s="27">
        <v>3</v>
      </c>
      <c r="F14" s="36" t="s">
        <v>40</v>
      </c>
      <c r="G14" s="28" t="str">
        <f t="shared" ref="G14" si="4">IFERROR(F14/E14,"")</f>
        <v/>
      </c>
      <c r="H14" s="29" t="str">
        <f t="shared" ref="H14" si="5">_xlfn.IFS(F14="أدخل العلامة","",F14="لا ينطبق","تم الإلغاء",G14&gt;=90%,"ممتاز",G14&gt;=80%,"جيد جداً",G14&gt;=70%,"جيد",G14&gt;=60%,"مقبول",G14&lt;60%,"راسب")</f>
        <v/>
      </c>
      <c r="I14" s="51"/>
      <c r="J14" s="52"/>
    </row>
    <row r="15" spans="1:10" ht="39.950000000000003" customHeight="1" x14ac:dyDescent="0.25">
      <c r="A15" s="9"/>
      <c r="B15" s="49" t="s">
        <v>84</v>
      </c>
      <c r="C15" s="50"/>
      <c r="D15" s="50"/>
      <c r="E15" s="27">
        <v>3</v>
      </c>
      <c r="F15" s="36" t="s">
        <v>40</v>
      </c>
      <c r="G15" s="28" t="str">
        <f>IFERROR(F15/E15,"")</f>
        <v/>
      </c>
      <c r="H15" s="29" t="str">
        <f>_xlfn.IFS(F15="أدخل العلامة","",F15="لا ينطبق","تم الإلغاء",G15&gt;=90%,"ممتاز",G15&gt;=80%,"جيد جداً",G15&gt;=70%,"جيد",G15&gt;=60%,"مقبول",G15&lt;60%,"راسب")</f>
        <v/>
      </c>
      <c r="I15" s="51"/>
      <c r="J15" s="52"/>
    </row>
    <row r="16" spans="1:10" ht="39.950000000000003" customHeight="1" x14ac:dyDescent="0.25">
      <c r="A16" s="9"/>
      <c r="B16" s="49" t="s">
        <v>85</v>
      </c>
      <c r="C16" s="50"/>
      <c r="D16" s="50"/>
      <c r="E16" s="27">
        <v>3</v>
      </c>
      <c r="F16" s="36" t="s">
        <v>40</v>
      </c>
      <c r="G16" s="28" t="str">
        <f t="shared" ref="G16" si="6">IFERROR(F16/E16,"")</f>
        <v/>
      </c>
      <c r="H16" s="29" t="str">
        <f t="shared" ref="H16" si="7">_xlfn.IFS(F16="أدخل العلامة","",F16="لا ينطبق","تم الإلغاء",G16&gt;=90%,"ممتاز",G16&gt;=80%,"جيد جداً",G16&gt;=70%,"جيد",G16&gt;=60%,"مقبول",G16&lt;60%,"راسب")</f>
        <v/>
      </c>
      <c r="I16" s="51"/>
      <c r="J16" s="52"/>
    </row>
    <row r="17" spans="1:10" ht="39.950000000000003" customHeight="1" thickBot="1" x14ac:dyDescent="0.3">
      <c r="A17" s="9"/>
      <c r="B17" s="53" t="s">
        <v>86</v>
      </c>
      <c r="C17" s="54"/>
      <c r="D17" s="54"/>
      <c r="E17" s="30">
        <v>3</v>
      </c>
      <c r="F17" s="37" t="s">
        <v>40</v>
      </c>
      <c r="G17" s="31" t="str">
        <f>IFERROR(F17/E17,"")</f>
        <v/>
      </c>
      <c r="H17" s="32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55"/>
      <c r="J17" s="56"/>
    </row>
    <row r="18" spans="1:10" ht="39.950000000000003" customHeight="1" x14ac:dyDescent="0.25">
      <c r="A18" s="9"/>
      <c r="B18" s="45" t="s">
        <v>73</v>
      </c>
      <c r="C18" s="46"/>
      <c r="D18" s="46"/>
      <c r="E18" s="38"/>
      <c r="F18" s="41"/>
      <c r="G18" s="39"/>
      <c r="H18" s="40"/>
      <c r="I18" s="47" t="s">
        <v>121</v>
      </c>
      <c r="J18" s="48"/>
    </row>
    <row r="19" spans="1:10" ht="39.950000000000003" customHeight="1" x14ac:dyDescent="0.25">
      <c r="A19" s="9"/>
      <c r="B19" s="49" t="s">
        <v>87</v>
      </c>
      <c r="C19" s="50"/>
      <c r="D19" s="50"/>
      <c r="E19" s="27">
        <v>3</v>
      </c>
      <c r="F19" s="36" t="s">
        <v>40</v>
      </c>
      <c r="G19" s="28" t="str">
        <f t="shared" ref="G19:G23" si="8">IFERROR(F19/E19,"")</f>
        <v/>
      </c>
      <c r="H19" s="29" t="str">
        <f t="shared" ref="H19:H23" si="9">_xlfn.IFS(F19="أدخل العلامة","",F19="لا ينطبق","تم الإلغاء",G19&gt;=90%,"ممتاز",G19&gt;=80%,"جيد جداً",G19&gt;=70%,"جيد",G19&gt;=60%,"مقبول",G19&lt;60%,"راسب")</f>
        <v/>
      </c>
      <c r="I19" s="51"/>
      <c r="J19" s="52"/>
    </row>
    <row r="20" spans="1:10" ht="39.950000000000003" customHeight="1" x14ac:dyDescent="0.25">
      <c r="A20" s="9"/>
      <c r="B20" s="49" t="s">
        <v>88</v>
      </c>
      <c r="C20" s="50"/>
      <c r="D20" s="50"/>
      <c r="E20" s="27">
        <v>3</v>
      </c>
      <c r="F20" s="36" t="s">
        <v>40</v>
      </c>
      <c r="G20" s="28" t="str">
        <f t="shared" si="8"/>
        <v/>
      </c>
      <c r="H20" s="29" t="str">
        <f t="shared" si="9"/>
        <v/>
      </c>
      <c r="I20" s="51"/>
      <c r="J20" s="52"/>
    </row>
    <row r="21" spans="1:10" ht="39.950000000000003" customHeight="1" x14ac:dyDescent="0.25">
      <c r="A21" s="9"/>
      <c r="B21" s="49" t="s">
        <v>89</v>
      </c>
      <c r="C21" s="50"/>
      <c r="D21" s="50"/>
      <c r="E21" s="27">
        <v>3</v>
      </c>
      <c r="F21" s="36" t="s">
        <v>40</v>
      </c>
      <c r="G21" s="28" t="str">
        <f t="shared" si="8"/>
        <v/>
      </c>
      <c r="H21" s="29" t="str">
        <f t="shared" si="9"/>
        <v/>
      </c>
      <c r="I21" s="51"/>
      <c r="J21" s="52"/>
    </row>
    <row r="22" spans="1:10" ht="39.950000000000003" customHeight="1" x14ac:dyDescent="0.25">
      <c r="A22" s="9"/>
      <c r="B22" s="49" t="s">
        <v>90</v>
      </c>
      <c r="C22" s="50"/>
      <c r="D22" s="50"/>
      <c r="E22" s="27">
        <v>3</v>
      </c>
      <c r="F22" s="36" t="s">
        <v>40</v>
      </c>
      <c r="G22" s="28" t="str">
        <f t="shared" si="8"/>
        <v/>
      </c>
      <c r="H22" s="29" t="str">
        <f t="shared" si="9"/>
        <v/>
      </c>
      <c r="I22" s="51"/>
      <c r="J22" s="52"/>
    </row>
    <row r="23" spans="1:10" ht="39.950000000000003" customHeight="1" thickBot="1" x14ac:dyDescent="0.3">
      <c r="A23" s="9"/>
      <c r="B23" s="53" t="s">
        <v>91</v>
      </c>
      <c r="C23" s="54"/>
      <c r="D23" s="54"/>
      <c r="E23" s="30">
        <v>3</v>
      </c>
      <c r="F23" s="37" t="s">
        <v>40</v>
      </c>
      <c r="G23" s="31" t="str">
        <f t="shared" si="8"/>
        <v/>
      </c>
      <c r="H23" s="32" t="str">
        <f t="shared" si="9"/>
        <v/>
      </c>
      <c r="I23" s="55"/>
      <c r="J23" s="56"/>
    </row>
    <row r="24" spans="1:10" ht="39.950000000000003" customHeight="1" x14ac:dyDescent="0.25">
      <c r="A24" s="9"/>
      <c r="B24" s="45" t="s">
        <v>74</v>
      </c>
      <c r="C24" s="46"/>
      <c r="D24" s="46"/>
      <c r="E24" s="38"/>
      <c r="F24" s="41"/>
      <c r="G24" s="39"/>
      <c r="H24" s="40"/>
      <c r="I24" s="47" t="s">
        <v>121</v>
      </c>
      <c r="J24" s="48"/>
    </row>
    <row r="25" spans="1:10" ht="39.950000000000003" customHeight="1" x14ac:dyDescent="0.25">
      <c r="A25" s="9"/>
      <c r="B25" s="49" t="s">
        <v>92</v>
      </c>
      <c r="C25" s="50"/>
      <c r="D25" s="50"/>
      <c r="E25" s="27">
        <v>3</v>
      </c>
      <c r="F25" s="36" t="s">
        <v>40</v>
      </c>
      <c r="G25" s="28" t="str">
        <f>IFERROR(F25/E25,"")</f>
        <v/>
      </c>
      <c r="H25" s="29" t="str">
        <f>_xlfn.IFS(F25="أدخل العلامة","",F25="لا ينطبق","تم الإلغاء",G25&gt;=90%,"ممتاز",G25&gt;=80%,"جيد جداً",G25&gt;=70%,"جيد",G25&gt;=60%,"مقبول",G25&lt;60%,"راسب")</f>
        <v/>
      </c>
      <c r="I25" s="51"/>
      <c r="J25" s="52"/>
    </row>
    <row r="26" spans="1:10" ht="39.950000000000003" customHeight="1" x14ac:dyDescent="0.25">
      <c r="A26" s="9"/>
      <c r="B26" s="49" t="s">
        <v>93</v>
      </c>
      <c r="C26" s="50"/>
      <c r="D26" s="50"/>
      <c r="E26" s="27">
        <v>3</v>
      </c>
      <c r="F26" s="36" t="s">
        <v>40</v>
      </c>
      <c r="G26" s="28" t="str">
        <f t="shared" ref="G26:G56" si="10">IFERROR(F26/E26,"")</f>
        <v/>
      </c>
      <c r="H26" s="29" t="str">
        <f t="shared" ref="H26:H56" si="11">_xlfn.IFS(F26="أدخل العلامة","",F26="لا ينطبق","تم الإلغاء",G26&gt;=90%,"ممتاز",G26&gt;=80%,"جيد جداً",G26&gt;=70%,"جيد",G26&gt;=60%,"مقبول",G26&lt;60%,"راسب")</f>
        <v/>
      </c>
      <c r="I26" s="51"/>
      <c r="J26" s="52"/>
    </row>
    <row r="27" spans="1:10" ht="39.950000000000003" customHeight="1" x14ac:dyDescent="0.25">
      <c r="A27" s="9"/>
      <c r="B27" s="49" t="s">
        <v>94</v>
      </c>
      <c r="C27" s="50"/>
      <c r="D27" s="50"/>
      <c r="E27" s="27">
        <v>3</v>
      </c>
      <c r="F27" s="36" t="s">
        <v>40</v>
      </c>
      <c r="G27" s="28" t="str">
        <f>IFERROR(F27/E27,"")</f>
        <v/>
      </c>
      <c r="H27" s="29" t="str">
        <f>_xlfn.IFS(F27="أدخل العلامة","",F27="لا ينطبق","تم الإلغاء",G27&gt;=90%,"ممتاز",G27&gt;=80%,"جيد جداً",G27&gt;=70%,"جيد",G27&gt;=60%,"مقبول",G27&lt;60%,"راسب")</f>
        <v/>
      </c>
      <c r="I27" s="51"/>
      <c r="J27" s="52"/>
    </row>
    <row r="28" spans="1:10" ht="39.950000000000003" customHeight="1" x14ac:dyDescent="0.25">
      <c r="A28" s="9"/>
      <c r="B28" s="49" t="s">
        <v>95</v>
      </c>
      <c r="C28" s="50"/>
      <c r="D28" s="50"/>
      <c r="E28" s="27">
        <v>3</v>
      </c>
      <c r="F28" s="36" t="s">
        <v>40</v>
      </c>
      <c r="G28" s="28" t="str">
        <f>IFERROR(F28/E28,"")</f>
        <v/>
      </c>
      <c r="H28" s="29" t="str">
        <f>_xlfn.IFS(F28="أدخل العلامة","",F28="لا ينطبق","تم الإلغاء",G28&gt;=90%,"ممتاز",G28&gt;=80%,"جيد جداً",G28&gt;=70%,"جيد",G28&gt;=60%,"مقبول",G28&lt;60%,"راسب")</f>
        <v/>
      </c>
      <c r="I28" s="51"/>
      <c r="J28" s="52"/>
    </row>
    <row r="29" spans="1:10" ht="39.950000000000003" customHeight="1" thickBot="1" x14ac:dyDescent="0.3">
      <c r="A29" s="9"/>
      <c r="B29" s="53" t="s">
        <v>96</v>
      </c>
      <c r="C29" s="54"/>
      <c r="D29" s="54"/>
      <c r="E29" s="30">
        <v>3</v>
      </c>
      <c r="F29" s="37" t="s">
        <v>40</v>
      </c>
      <c r="G29" s="31" t="str">
        <f t="shared" ref="G29:G32" si="12">IFERROR(F29/E29,"")</f>
        <v/>
      </c>
      <c r="H29" s="32" t="str">
        <f t="shared" ref="H29:H32" si="13">_xlfn.IFS(F29="أدخل العلامة","",F29="لا ينطبق","تم الإلغاء",G29&gt;=90%,"ممتاز",G29&gt;=80%,"جيد جداً",G29&gt;=70%,"جيد",G29&gt;=60%,"مقبول",G29&lt;60%,"راسب")</f>
        <v/>
      </c>
      <c r="I29" s="55"/>
      <c r="J29" s="56"/>
    </row>
    <row r="30" spans="1:10" ht="39.950000000000003" customHeight="1" thickBot="1" x14ac:dyDescent="0.3">
      <c r="A30" s="9"/>
      <c r="B30" s="57" t="s">
        <v>75</v>
      </c>
      <c r="C30" s="58"/>
      <c r="D30" s="58"/>
      <c r="E30" s="58"/>
      <c r="F30" s="58"/>
      <c r="G30" s="58"/>
      <c r="H30" s="58"/>
      <c r="I30" s="58"/>
      <c r="J30" s="59"/>
    </row>
    <row r="31" spans="1:10" ht="39.950000000000003" customHeight="1" x14ac:dyDescent="0.25">
      <c r="A31" s="9"/>
      <c r="B31" s="45" t="s">
        <v>71</v>
      </c>
      <c r="C31" s="46"/>
      <c r="D31" s="46"/>
      <c r="E31" s="38"/>
      <c r="F31" s="41"/>
      <c r="G31" s="39"/>
      <c r="H31" s="40"/>
      <c r="I31" s="47" t="s">
        <v>120</v>
      </c>
      <c r="J31" s="48"/>
    </row>
    <row r="32" spans="1:10" ht="39.950000000000003" customHeight="1" x14ac:dyDescent="0.25">
      <c r="A32" s="9"/>
      <c r="B32" s="49" t="s">
        <v>97</v>
      </c>
      <c r="C32" s="50"/>
      <c r="D32" s="50"/>
      <c r="E32" s="27">
        <v>3</v>
      </c>
      <c r="F32" s="36" t="s">
        <v>40</v>
      </c>
      <c r="G32" s="28" t="str">
        <f t="shared" si="12"/>
        <v/>
      </c>
      <c r="H32" s="29" t="str">
        <f t="shared" si="13"/>
        <v/>
      </c>
      <c r="I32" s="51"/>
      <c r="J32" s="52"/>
    </row>
    <row r="33" spans="1:10" ht="39.950000000000003" customHeight="1" x14ac:dyDescent="0.25">
      <c r="A33" s="9"/>
      <c r="B33" s="49" t="s">
        <v>98</v>
      </c>
      <c r="C33" s="50"/>
      <c r="D33" s="50"/>
      <c r="E33" s="27">
        <v>3</v>
      </c>
      <c r="F33" s="36" t="s">
        <v>40</v>
      </c>
      <c r="G33" s="28" t="str">
        <f>IFERROR(F33/E33,"")</f>
        <v/>
      </c>
      <c r="H33" s="29" t="str">
        <f>_xlfn.IFS(F33="أدخل العلامة","",F33="لا ينطبق","تم الإلغاء",G33&gt;=90%,"ممتاز",G33&gt;=80%,"جيد جداً",G33&gt;=70%,"جيد",G33&gt;=60%,"مقبول",G33&lt;60%,"راسب")</f>
        <v/>
      </c>
      <c r="I33" s="51"/>
      <c r="J33" s="52"/>
    </row>
    <row r="34" spans="1:10" ht="39.950000000000003" customHeight="1" x14ac:dyDescent="0.25">
      <c r="A34" s="9"/>
      <c r="B34" s="49" t="s">
        <v>99</v>
      </c>
      <c r="C34" s="50"/>
      <c r="D34" s="50"/>
      <c r="E34" s="27">
        <v>3</v>
      </c>
      <c r="F34" s="36" t="s">
        <v>40</v>
      </c>
      <c r="G34" s="28" t="str">
        <f t="shared" ref="G34:G35" si="14">IFERROR(F34/E34,"")</f>
        <v/>
      </c>
      <c r="H34" s="29" t="str">
        <f t="shared" ref="H34:H35" si="15">_xlfn.IFS(F34="أدخل العلامة","",F34="لا ينطبق","تم الإلغاء",G34&gt;=90%,"ممتاز",G34&gt;=80%,"جيد جداً",G34&gt;=70%,"جيد",G34&gt;=60%,"مقبول",G34&lt;60%,"راسب")</f>
        <v/>
      </c>
      <c r="I34" s="51"/>
      <c r="J34" s="52"/>
    </row>
    <row r="35" spans="1:10" ht="39.950000000000003" customHeight="1" thickBot="1" x14ac:dyDescent="0.3">
      <c r="A35" s="9"/>
      <c r="B35" s="53" t="s">
        <v>100</v>
      </c>
      <c r="C35" s="54"/>
      <c r="D35" s="54"/>
      <c r="E35" s="30">
        <v>3</v>
      </c>
      <c r="F35" s="37" t="s">
        <v>40</v>
      </c>
      <c r="G35" s="31" t="str">
        <f t="shared" si="14"/>
        <v/>
      </c>
      <c r="H35" s="32" t="str">
        <f t="shared" si="15"/>
        <v/>
      </c>
      <c r="I35" s="55"/>
      <c r="J35" s="56"/>
    </row>
    <row r="36" spans="1:10" ht="39.950000000000003" customHeight="1" x14ac:dyDescent="0.25">
      <c r="A36" s="9"/>
      <c r="B36" s="45" t="s">
        <v>76</v>
      </c>
      <c r="C36" s="46"/>
      <c r="D36" s="46"/>
      <c r="E36" s="38"/>
      <c r="F36" s="41"/>
      <c r="G36" s="39"/>
      <c r="H36" s="40"/>
      <c r="I36" s="47" t="s">
        <v>121</v>
      </c>
      <c r="J36" s="48"/>
    </row>
    <row r="37" spans="1:10" ht="39.950000000000003" customHeight="1" x14ac:dyDescent="0.25">
      <c r="A37" s="9"/>
      <c r="B37" s="49" t="s">
        <v>101</v>
      </c>
      <c r="C37" s="50"/>
      <c r="D37" s="50"/>
      <c r="E37" s="27">
        <v>3</v>
      </c>
      <c r="F37" s="36" t="s">
        <v>40</v>
      </c>
      <c r="G37" s="28" t="str">
        <f t="shared" ref="G37" si="16">IFERROR(F37/E37,"")</f>
        <v/>
      </c>
      <c r="H37" s="29" t="str">
        <f t="shared" ref="H37" si="17">_xlfn.IFS(F37="أدخل العلامة","",F37="لا ينطبق","تم الإلغاء",G37&gt;=90%,"ممتاز",G37&gt;=80%,"جيد جداً",G37&gt;=70%,"جيد",G37&gt;=60%,"مقبول",G37&lt;60%,"راسب")</f>
        <v/>
      </c>
      <c r="I37" s="51"/>
      <c r="J37" s="52"/>
    </row>
    <row r="38" spans="1:10" ht="39.950000000000003" customHeight="1" x14ac:dyDescent="0.25">
      <c r="A38" s="9"/>
      <c r="B38" s="49" t="s">
        <v>102</v>
      </c>
      <c r="C38" s="50"/>
      <c r="D38" s="50"/>
      <c r="E38" s="27">
        <v>3</v>
      </c>
      <c r="F38" s="36" t="s">
        <v>40</v>
      </c>
      <c r="G38" s="28" t="str">
        <f>IFERROR(F38/E38,"")</f>
        <v/>
      </c>
      <c r="H38" s="29" t="str">
        <f>_xlfn.IFS(F38="أدخل العلامة","",F38="لا ينطبق","تم الإلغاء",G38&gt;=90%,"ممتاز",G38&gt;=80%,"جيد جداً",G38&gt;=70%,"جيد",G38&gt;=60%,"مقبول",G38&lt;60%,"راسب")</f>
        <v/>
      </c>
      <c r="I38" s="51"/>
      <c r="J38" s="52"/>
    </row>
    <row r="39" spans="1:10" ht="39.950000000000003" customHeight="1" x14ac:dyDescent="0.25">
      <c r="A39" s="9"/>
      <c r="B39" s="49" t="s">
        <v>103</v>
      </c>
      <c r="C39" s="50"/>
      <c r="D39" s="50"/>
      <c r="E39" s="27">
        <v>3</v>
      </c>
      <c r="F39" s="36" t="s">
        <v>40</v>
      </c>
      <c r="G39" s="28" t="str">
        <f t="shared" ref="G39:G45" si="18">IFERROR(F39/E39,"")</f>
        <v/>
      </c>
      <c r="H39" s="29" t="str">
        <f t="shared" ref="H39:H45" si="19">_xlfn.IFS(F39="أدخل العلامة","",F39="لا ينطبق","تم الإلغاء",G39&gt;=90%,"ممتاز",G39&gt;=80%,"جيد جداً",G39&gt;=70%,"جيد",G39&gt;=60%,"مقبول",G39&lt;60%,"راسب")</f>
        <v/>
      </c>
      <c r="I39" s="51"/>
      <c r="J39" s="52"/>
    </row>
    <row r="40" spans="1:10" ht="39.950000000000003" customHeight="1" x14ac:dyDescent="0.25">
      <c r="A40" s="9"/>
      <c r="B40" s="49" t="s">
        <v>104</v>
      </c>
      <c r="C40" s="50"/>
      <c r="D40" s="50"/>
      <c r="E40" s="27">
        <v>3</v>
      </c>
      <c r="F40" s="36" t="s">
        <v>40</v>
      </c>
      <c r="G40" s="28" t="str">
        <f t="shared" si="18"/>
        <v/>
      </c>
      <c r="H40" s="29" t="str">
        <f t="shared" si="19"/>
        <v/>
      </c>
      <c r="I40" s="51"/>
      <c r="J40" s="52"/>
    </row>
    <row r="41" spans="1:10" ht="59.25" customHeight="1" x14ac:dyDescent="0.25">
      <c r="A41" s="9"/>
      <c r="B41" s="49" t="s">
        <v>105</v>
      </c>
      <c r="C41" s="50"/>
      <c r="D41" s="50"/>
      <c r="E41" s="27">
        <v>3</v>
      </c>
      <c r="F41" s="36" t="s">
        <v>40</v>
      </c>
      <c r="G41" s="28" t="str">
        <f t="shared" si="18"/>
        <v/>
      </c>
      <c r="H41" s="29" t="str">
        <f t="shared" si="19"/>
        <v/>
      </c>
      <c r="I41" s="51"/>
      <c r="J41" s="52"/>
    </row>
    <row r="42" spans="1:10" ht="39.950000000000003" customHeight="1" thickBot="1" x14ac:dyDescent="0.3">
      <c r="A42" s="9"/>
      <c r="B42" s="53" t="s">
        <v>106</v>
      </c>
      <c r="C42" s="54"/>
      <c r="D42" s="54"/>
      <c r="E42" s="30">
        <v>3</v>
      </c>
      <c r="F42" s="37" t="s">
        <v>40</v>
      </c>
      <c r="G42" s="31" t="str">
        <f t="shared" si="18"/>
        <v/>
      </c>
      <c r="H42" s="32" t="str">
        <f t="shared" si="19"/>
        <v/>
      </c>
      <c r="I42" s="55"/>
      <c r="J42" s="56"/>
    </row>
    <row r="43" spans="1:10" ht="39.950000000000003" customHeight="1" x14ac:dyDescent="0.25">
      <c r="A43" s="9"/>
      <c r="B43" s="45" t="s">
        <v>77</v>
      </c>
      <c r="C43" s="46"/>
      <c r="D43" s="46"/>
      <c r="E43" s="38"/>
      <c r="F43" s="41"/>
      <c r="G43" s="39"/>
      <c r="H43" s="40"/>
      <c r="I43" s="47" t="s">
        <v>121</v>
      </c>
      <c r="J43" s="48"/>
    </row>
    <row r="44" spans="1:10" ht="39.950000000000003" customHeight="1" x14ac:dyDescent="0.25">
      <c r="A44" s="9"/>
      <c r="B44" s="49" t="s">
        <v>107</v>
      </c>
      <c r="C44" s="50"/>
      <c r="D44" s="50"/>
      <c r="E44" s="27">
        <v>3</v>
      </c>
      <c r="F44" s="36" t="s">
        <v>40</v>
      </c>
      <c r="G44" s="28" t="str">
        <f t="shared" si="18"/>
        <v/>
      </c>
      <c r="H44" s="29" t="str">
        <f t="shared" si="19"/>
        <v/>
      </c>
      <c r="I44" s="51"/>
      <c r="J44" s="52"/>
    </row>
    <row r="45" spans="1:10" ht="39.950000000000003" customHeight="1" x14ac:dyDescent="0.25">
      <c r="A45" s="9"/>
      <c r="B45" s="49" t="s">
        <v>108</v>
      </c>
      <c r="C45" s="50"/>
      <c r="D45" s="50"/>
      <c r="E45" s="27">
        <v>3</v>
      </c>
      <c r="F45" s="36" t="s">
        <v>40</v>
      </c>
      <c r="G45" s="28" t="str">
        <f t="shared" si="18"/>
        <v/>
      </c>
      <c r="H45" s="29" t="str">
        <f t="shared" si="19"/>
        <v/>
      </c>
      <c r="I45" s="51"/>
      <c r="J45" s="52"/>
    </row>
    <row r="46" spans="1:10" ht="39.950000000000003" customHeight="1" x14ac:dyDescent="0.25">
      <c r="A46" s="9"/>
      <c r="B46" s="49" t="s">
        <v>109</v>
      </c>
      <c r="C46" s="50"/>
      <c r="D46" s="50"/>
      <c r="E46" s="27">
        <v>3</v>
      </c>
      <c r="F46" s="36" t="s">
        <v>40</v>
      </c>
      <c r="G46" s="28" t="str">
        <f>IFERROR(F46/E46,"")</f>
        <v/>
      </c>
      <c r="H46" s="29" t="str">
        <f>_xlfn.IFS(F46="أدخل العلامة","",F46="لا ينطبق","تم الإلغاء",G46&gt;=90%,"ممتاز",G46&gt;=80%,"جيد جداً",G46&gt;=70%,"جيد",G46&gt;=60%,"مقبول",G46&lt;60%,"راسب")</f>
        <v/>
      </c>
      <c r="I46" s="51"/>
      <c r="J46" s="52"/>
    </row>
    <row r="47" spans="1:10" ht="39.950000000000003" customHeight="1" x14ac:dyDescent="0.25">
      <c r="A47" s="9"/>
      <c r="B47" s="49" t="s">
        <v>110</v>
      </c>
      <c r="C47" s="50"/>
      <c r="D47" s="50"/>
      <c r="E47" s="27">
        <v>3</v>
      </c>
      <c r="F47" s="36" t="s">
        <v>40</v>
      </c>
      <c r="G47" s="28" t="str">
        <f t="shared" si="10"/>
        <v/>
      </c>
      <c r="H47" s="29" t="str">
        <f t="shared" si="11"/>
        <v/>
      </c>
      <c r="I47" s="51"/>
      <c r="J47" s="52"/>
    </row>
    <row r="48" spans="1:10" ht="39.950000000000003" customHeight="1" thickBot="1" x14ac:dyDescent="0.3">
      <c r="A48" s="9"/>
      <c r="B48" s="53" t="s">
        <v>111</v>
      </c>
      <c r="C48" s="54"/>
      <c r="D48" s="54"/>
      <c r="E48" s="30">
        <v>3</v>
      </c>
      <c r="F48" s="37" t="s">
        <v>40</v>
      </c>
      <c r="G48" s="31" t="str">
        <f t="shared" si="10"/>
        <v/>
      </c>
      <c r="H48" s="32" t="str">
        <f t="shared" si="11"/>
        <v/>
      </c>
      <c r="I48" s="55"/>
      <c r="J48" s="56"/>
    </row>
    <row r="49" spans="1:10" ht="39.950000000000003" customHeight="1" x14ac:dyDescent="0.25">
      <c r="A49" s="9"/>
      <c r="B49" s="45" t="s">
        <v>74</v>
      </c>
      <c r="C49" s="46"/>
      <c r="D49" s="46"/>
      <c r="E49" s="38"/>
      <c r="F49" s="41"/>
      <c r="G49" s="39"/>
      <c r="H49" s="40"/>
      <c r="I49" s="47" t="s">
        <v>121</v>
      </c>
      <c r="J49" s="48"/>
    </row>
    <row r="50" spans="1:10" ht="39.950000000000003" customHeight="1" x14ac:dyDescent="0.25">
      <c r="A50" s="9"/>
      <c r="B50" s="49" t="s">
        <v>112</v>
      </c>
      <c r="C50" s="50"/>
      <c r="D50" s="50"/>
      <c r="E50" s="27">
        <v>3</v>
      </c>
      <c r="F50" s="36" t="s">
        <v>40</v>
      </c>
      <c r="G50" s="28" t="str">
        <f t="shared" si="10"/>
        <v/>
      </c>
      <c r="H50" s="29" t="str">
        <f t="shared" si="11"/>
        <v/>
      </c>
      <c r="I50" s="51"/>
      <c r="J50" s="52"/>
    </row>
    <row r="51" spans="1:10" ht="39.950000000000003" customHeight="1" x14ac:dyDescent="0.25">
      <c r="A51" s="9"/>
      <c r="B51" s="49" t="s">
        <v>113</v>
      </c>
      <c r="C51" s="50"/>
      <c r="D51" s="50"/>
      <c r="E51" s="27">
        <v>3</v>
      </c>
      <c r="F51" s="36" t="s">
        <v>40</v>
      </c>
      <c r="G51" s="28" t="str">
        <f t="shared" si="10"/>
        <v/>
      </c>
      <c r="H51" s="29" t="str">
        <f t="shared" si="11"/>
        <v/>
      </c>
      <c r="I51" s="51"/>
      <c r="J51" s="52"/>
    </row>
    <row r="52" spans="1:10" ht="39.950000000000003" customHeight="1" x14ac:dyDescent="0.25">
      <c r="A52" s="9"/>
      <c r="B52" s="49" t="s">
        <v>114</v>
      </c>
      <c r="C52" s="50"/>
      <c r="D52" s="50"/>
      <c r="E52" s="27">
        <v>3</v>
      </c>
      <c r="F52" s="36" t="s">
        <v>40</v>
      </c>
      <c r="G52" s="28" t="str">
        <f>IFERROR(F52/E52,"")</f>
        <v/>
      </c>
      <c r="H52" s="29" t="str">
        <f>_xlfn.IFS(F52="أدخل العلامة","",F52="لا ينطبق","تم الإلغاء",G52&gt;=90%,"ممتاز",G52&gt;=80%,"جيد جداً",G52&gt;=70%,"جيد",G52&gt;=60%,"مقبول",G52&lt;60%,"راسب")</f>
        <v/>
      </c>
      <c r="I52" s="51"/>
      <c r="J52" s="52"/>
    </row>
    <row r="53" spans="1:10" ht="39.950000000000003" customHeight="1" x14ac:dyDescent="0.25">
      <c r="A53" s="9"/>
      <c r="B53" s="49" t="s">
        <v>115</v>
      </c>
      <c r="C53" s="50"/>
      <c r="D53" s="50"/>
      <c r="E53" s="27">
        <v>3</v>
      </c>
      <c r="F53" s="36" t="s">
        <v>40</v>
      </c>
      <c r="G53" s="28" t="str">
        <f t="shared" ref="G53:G55" si="20">IFERROR(F53/E53,"")</f>
        <v/>
      </c>
      <c r="H53" s="29" t="str">
        <f t="shared" ref="H53:H55" si="21">_xlfn.IFS(F53="أدخل العلامة","",F53="لا ينطبق","تم الإلغاء",G53&gt;=90%,"ممتاز",G53&gt;=80%,"جيد جداً",G53&gt;=70%,"جيد",G53&gt;=60%,"مقبول",G53&lt;60%,"راسب")</f>
        <v/>
      </c>
      <c r="I53" s="51"/>
      <c r="J53" s="52"/>
    </row>
    <row r="54" spans="1:10" ht="39.950000000000003" customHeight="1" x14ac:dyDescent="0.25">
      <c r="A54" s="9"/>
      <c r="B54" s="49" t="s">
        <v>116</v>
      </c>
      <c r="C54" s="50"/>
      <c r="D54" s="50"/>
      <c r="E54" s="27">
        <v>3</v>
      </c>
      <c r="F54" s="36" t="s">
        <v>40</v>
      </c>
      <c r="G54" s="28" t="str">
        <f t="shared" si="20"/>
        <v/>
      </c>
      <c r="H54" s="29" t="str">
        <f t="shared" si="21"/>
        <v/>
      </c>
      <c r="I54" s="51"/>
      <c r="J54" s="52"/>
    </row>
    <row r="55" spans="1:10" ht="39.950000000000003" customHeight="1" x14ac:dyDescent="0.25">
      <c r="A55" s="9"/>
      <c r="B55" s="49" t="s">
        <v>117</v>
      </c>
      <c r="C55" s="50"/>
      <c r="D55" s="50"/>
      <c r="E55" s="27">
        <v>3</v>
      </c>
      <c r="F55" s="36" t="s">
        <v>40</v>
      </c>
      <c r="G55" s="28" t="str">
        <f t="shared" si="20"/>
        <v/>
      </c>
      <c r="H55" s="29" t="str">
        <f t="shared" si="21"/>
        <v/>
      </c>
      <c r="I55" s="51"/>
      <c r="J55" s="52"/>
    </row>
    <row r="56" spans="1:10" ht="39.950000000000003" customHeight="1" thickBot="1" x14ac:dyDescent="0.3">
      <c r="A56" s="9"/>
      <c r="B56" s="53" t="s">
        <v>118</v>
      </c>
      <c r="C56" s="54"/>
      <c r="D56" s="54"/>
      <c r="E56" s="30">
        <v>3</v>
      </c>
      <c r="F56" s="37" t="s">
        <v>40</v>
      </c>
      <c r="G56" s="31" t="str">
        <f t="shared" si="10"/>
        <v/>
      </c>
      <c r="H56" s="32" t="str">
        <f t="shared" si="11"/>
        <v/>
      </c>
      <c r="I56" s="55"/>
      <c r="J56" s="56"/>
    </row>
    <row r="57" spans="1:10" ht="30" customHeight="1" thickBot="1" x14ac:dyDescent="0.3">
      <c r="A57" s="4"/>
      <c r="B57" s="67" t="s">
        <v>5</v>
      </c>
      <c r="C57" s="68"/>
      <c r="D57" s="69"/>
      <c r="E57" s="35">
        <f>SUM(E6:E56)</f>
        <v>123</v>
      </c>
      <c r="F57" s="35">
        <f>SUM(F6:F56)</f>
        <v>0</v>
      </c>
      <c r="G57" s="95"/>
      <c r="H57" s="96"/>
      <c r="I57" s="96"/>
      <c r="J57" s="97"/>
    </row>
    <row r="58" spans="1:10" ht="30" customHeight="1" thickBot="1" x14ac:dyDescent="0.3">
      <c r="A58" s="4"/>
      <c r="B58" s="70" t="s">
        <v>33</v>
      </c>
      <c r="C58" s="71"/>
      <c r="D58" s="72"/>
      <c r="E58" s="88">
        <f>F57/E57/100*100</f>
        <v>0</v>
      </c>
      <c r="F58" s="88"/>
      <c r="G58" s="88"/>
      <c r="H58" s="88"/>
      <c r="I58" s="88"/>
      <c r="J58" s="89"/>
    </row>
    <row r="59" spans="1:10" ht="30" customHeight="1" thickBot="1" x14ac:dyDescent="0.3">
      <c r="A59" s="4"/>
      <c r="B59" s="70" t="s">
        <v>34</v>
      </c>
      <c r="C59" s="71"/>
      <c r="D59" s="72"/>
      <c r="E59" s="92" t="str">
        <f>_xlfn.IFS(E58&gt;=90%,"ممتاز",E58&gt;=80%,"جيد جداً",E58&gt;=70%,"جيد",E58&gt;=60%,"مقبول",E58&lt;60%,"راسب")</f>
        <v>راسب</v>
      </c>
      <c r="F59" s="92"/>
      <c r="G59" s="92"/>
      <c r="H59" s="92"/>
      <c r="I59" s="92"/>
      <c r="J59" s="93"/>
    </row>
    <row r="60" spans="1:10" ht="42" customHeight="1" x14ac:dyDescent="0.25">
      <c r="B60" s="73" t="s">
        <v>44</v>
      </c>
      <c r="C60" s="73"/>
      <c r="D60" s="73"/>
      <c r="E60" s="64" t="s">
        <v>31</v>
      </c>
      <c r="F60" s="64"/>
      <c r="G60" s="90" t="s">
        <v>38</v>
      </c>
      <c r="H60" s="90"/>
      <c r="I60" s="90"/>
      <c r="J60" s="90"/>
    </row>
    <row r="61" spans="1:10" ht="51" customHeight="1" x14ac:dyDescent="0.25">
      <c r="A61" s="5"/>
      <c r="B61" s="74"/>
      <c r="C61" s="74"/>
      <c r="D61" s="74"/>
      <c r="E61" s="94" t="s">
        <v>32</v>
      </c>
      <c r="F61" s="94"/>
      <c r="G61" s="91"/>
      <c r="H61" s="91"/>
      <c r="I61" s="91"/>
      <c r="J61" s="91"/>
    </row>
    <row r="62" spans="1:10" ht="16.5" customHeight="1" x14ac:dyDescent="0.25">
      <c r="A62" s="23">
        <v>3</v>
      </c>
      <c r="B62" s="75" t="s">
        <v>41</v>
      </c>
      <c r="C62" s="76"/>
    </row>
    <row r="63" spans="1:10" ht="15.75" x14ac:dyDescent="0.25">
      <c r="A63" s="24">
        <v>2</v>
      </c>
      <c r="B63" s="77" t="s">
        <v>42</v>
      </c>
      <c r="C63" s="78"/>
    </row>
    <row r="64" spans="1:10" ht="15.75" x14ac:dyDescent="0.25">
      <c r="A64" s="25">
        <v>1</v>
      </c>
      <c r="B64" s="65" t="s">
        <v>43</v>
      </c>
      <c r="C64" s="66"/>
    </row>
  </sheetData>
  <sheetProtection formatCells="0" formatColumns="0" formatRows="0" insertColumns="0" insertRows="0" insertHyperlinks="0" deleteColumns="0" deleteRows="0" selectLockedCells="1" sort="0" autoFilter="0" pivotTables="0"/>
  <mergeCells count="120">
    <mergeCell ref="B64:C64"/>
    <mergeCell ref="B57:D57"/>
    <mergeCell ref="B58:D58"/>
    <mergeCell ref="B59:D59"/>
    <mergeCell ref="B60:D61"/>
    <mergeCell ref="B62:C62"/>
    <mergeCell ref="B63:C63"/>
    <mergeCell ref="B1:J1"/>
    <mergeCell ref="B3:D4"/>
    <mergeCell ref="E3:H3"/>
    <mergeCell ref="I3:J4"/>
    <mergeCell ref="E58:J58"/>
    <mergeCell ref="G60:J60"/>
    <mergeCell ref="G61:J61"/>
    <mergeCell ref="E59:J59"/>
    <mergeCell ref="B14:D14"/>
    <mergeCell ref="E61:F61"/>
    <mergeCell ref="G57:J57"/>
    <mergeCell ref="B13:D13"/>
    <mergeCell ref="B9:D9"/>
    <mergeCell ref="I9:J9"/>
    <mergeCell ref="B10:D10"/>
    <mergeCell ref="I10:J10"/>
    <mergeCell ref="B11:D11"/>
    <mergeCell ref="I13:J13"/>
    <mergeCell ref="I14:J14"/>
    <mergeCell ref="B15:D15"/>
    <mergeCell ref="I15:J15"/>
    <mergeCell ref="B25:D25"/>
    <mergeCell ref="I25:J25"/>
    <mergeCell ref="B16:D16"/>
    <mergeCell ref="I16:J16"/>
    <mergeCell ref="B17:D17"/>
    <mergeCell ref="I17:J17"/>
    <mergeCell ref="B18:D18"/>
    <mergeCell ref="I18:J18"/>
    <mergeCell ref="B19:D19"/>
    <mergeCell ref="B24:D24"/>
    <mergeCell ref="I24:J24"/>
    <mergeCell ref="B21:D21"/>
    <mergeCell ref="I21:J21"/>
    <mergeCell ref="B22:D22"/>
    <mergeCell ref="I22:J22"/>
    <mergeCell ref="B23:D23"/>
    <mergeCell ref="I23:J23"/>
    <mergeCell ref="B54:D54"/>
    <mergeCell ref="I54:J54"/>
    <mergeCell ref="B5:D5"/>
    <mergeCell ref="I5:J5"/>
    <mergeCell ref="B7:D7"/>
    <mergeCell ref="B8:D8"/>
    <mergeCell ref="I8:J8"/>
    <mergeCell ref="I7:J7"/>
    <mergeCell ref="E60:F60"/>
    <mergeCell ref="I19:J19"/>
    <mergeCell ref="B20:D20"/>
    <mergeCell ref="I20:J20"/>
    <mergeCell ref="B26:D26"/>
    <mergeCell ref="I26:J26"/>
    <mergeCell ref="B47:D47"/>
    <mergeCell ref="I47:J47"/>
    <mergeCell ref="B56:D56"/>
    <mergeCell ref="I56:J56"/>
    <mergeCell ref="B55:D55"/>
    <mergeCell ref="I55:J55"/>
    <mergeCell ref="B27:D27"/>
    <mergeCell ref="I27:J27"/>
    <mergeCell ref="B28:D28"/>
    <mergeCell ref="I28:J28"/>
    <mergeCell ref="B49:D49"/>
    <mergeCell ref="I49:J49"/>
    <mergeCell ref="B50:D50"/>
    <mergeCell ref="I50:J50"/>
    <mergeCell ref="B51:D51"/>
    <mergeCell ref="I51:J51"/>
    <mergeCell ref="B52:D52"/>
    <mergeCell ref="I52:J52"/>
    <mergeCell ref="B53:D53"/>
    <mergeCell ref="I53:J53"/>
    <mergeCell ref="B48:D48"/>
    <mergeCell ref="I48:J48"/>
    <mergeCell ref="B29:D29"/>
    <mergeCell ref="I29:J29"/>
    <mergeCell ref="B35:D35"/>
    <mergeCell ref="I35:J35"/>
    <mergeCell ref="B36:D36"/>
    <mergeCell ref="I36:J36"/>
    <mergeCell ref="B31:D31"/>
    <mergeCell ref="I31:J31"/>
    <mergeCell ref="B32:D32"/>
    <mergeCell ref="I32:J32"/>
    <mergeCell ref="B33:D33"/>
    <mergeCell ref="I33:J33"/>
    <mergeCell ref="B46:D46"/>
    <mergeCell ref="I46:J46"/>
    <mergeCell ref="B30:J30"/>
    <mergeCell ref="B6:J6"/>
    <mergeCell ref="B43:D43"/>
    <mergeCell ref="I43:J43"/>
    <mergeCell ref="B44:D44"/>
    <mergeCell ref="I44:J44"/>
    <mergeCell ref="B45:D45"/>
    <mergeCell ref="I45:J45"/>
    <mergeCell ref="B40:D40"/>
    <mergeCell ref="I40:J40"/>
    <mergeCell ref="B41:D41"/>
    <mergeCell ref="I41:J41"/>
    <mergeCell ref="B42:D42"/>
    <mergeCell ref="I42:J42"/>
    <mergeCell ref="B37:D37"/>
    <mergeCell ref="I37:J37"/>
    <mergeCell ref="B38:D38"/>
    <mergeCell ref="I38:J38"/>
    <mergeCell ref="B39:D39"/>
    <mergeCell ref="I39:J39"/>
    <mergeCell ref="B34:D34"/>
    <mergeCell ref="I34:J34"/>
    <mergeCell ref="I11:J11"/>
    <mergeCell ref="B12:D12"/>
    <mergeCell ref="I12:J12"/>
  </mergeCells>
  <conditionalFormatting sqref="E59">
    <cfRule type="expression" dxfId="313" priority="486">
      <formula>$E59="راسب"</formula>
    </cfRule>
  </conditionalFormatting>
  <conditionalFormatting sqref="E59:J59">
    <cfRule type="expression" dxfId="312" priority="487">
      <formula>$E59="مقبول"</formula>
    </cfRule>
    <cfRule type="expression" dxfId="311" priority="488">
      <formula>$E59="جيد"</formula>
    </cfRule>
    <cfRule type="expression" dxfId="310" priority="489">
      <formula>$E59="جيد جداً"</formula>
    </cfRule>
    <cfRule type="expression" dxfId="309" priority="490">
      <formula>$E59="ممتاز"</formula>
    </cfRule>
  </conditionalFormatting>
  <conditionalFormatting sqref="F13">
    <cfRule type="containsText" dxfId="308" priority="443" operator="containsText" text="أدخل العلامة">
      <formula>NOT(ISERROR(SEARCH("أدخل العلامة",F13)))</formula>
    </cfRule>
  </conditionalFormatting>
  <conditionalFormatting sqref="G60:J60">
    <cfRule type="containsText" dxfId="307" priority="444" operator="containsText" text="أدخل اسم المحكم">
      <formula>NOT(ISERROR(SEARCH("أدخل اسم المحكم",G60)))</formula>
    </cfRule>
  </conditionalFormatting>
  <conditionalFormatting sqref="H13">
    <cfRule type="containsText" dxfId="306" priority="434" operator="containsText" text="أدخل العلامة">
      <formula>NOT(ISERROR(SEARCH("أدخل العلامة",H13)))</formula>
    </cfRule>
    <cfRule type="containsText" dxfId="305" priority="435" operator="containsText" text="ممتاز">
      <formula>NOT(ISERROR(SEARCH("ممتاز",H13)))</formula>
    </cfRule>
    <cfRule type="containsText" dxfId="304" priority="436" operator="containsText" text="جيد جداً">
      <formula>NOT(ISERROR(SEARCH("جيد جداً",H13)))</formula>
    </cfRule>
    <cfRule type="containsText" dxfId="303" priority="437" operator="containsText" text="جيد">
      <formula>NOT(ISERROR(SEARCH("جيد",H13)))</formula>
    </cfRule>
    <cfRule type="containsText" dxfId="302" priority="438" operator="containsText" text="مقبول">
      <formula>NOT(ISERROR(SEARCH("مقبول",H13)))</formula>
    </cfRule>
    <cfRule type="containsText" dxfId="301" priority="439" operator="containsText" text="راسب">
      <formula>NOT(ISERROR(SEARCH("راسب",H13)))</formula>
    </cfRule>
  </conditionalFormatting>
  <conditionalFormatting sqref="F7">
    <cfRule type="containsText" dxfId="300" priority="406" operator="containsText" text="أدخل العلامة">
      <formula>NOT(ISERROR(SEARCH("أدخل العلامة",F7)))</formula>
    </cfRule>
  </conditionalFormatting>
  <conditionalFormatting sqref="H7">
    <cfRule type="containsText" dxfId="299" priority="400" operator="containsText" text="أدخل العلامة">
      <formula>NOT(ISERROR(SEARCH("أدخل العلامة",H7)))</formula>
    </cfRule>
    <cfRule type="containsText" dxfId="298" priority="401" operator="containsText" text="ممتاز">
      <formula>NOT(ISERROR(SEARCH("ممتاز",H7)))</formula>
    </cfRule>
    <cfRule type="containsText" dxfId="297" priority="402" operator="containsText" text="جيد جداً">
      <formula>NOT(ISERROR(SEARCH("جيد جداً",H7)))</formula>
    </cfRule>
    <cfRule type="containsText" dxfId="296" priority="403" operator="containsText" text="جيد">
      <formula>NOT(ISERROR(SEARCH("جيد",H7)))</formula>
    </cfRule>
    <cfRule type="containsText" dxfId="295" priority="404" operator="containsText" text="مقبول">
      <formula>NOT(ISERROR(SEARCH("مقبول",H7)))</formula>
    </cfRule>
    <cfRule type="containsText" dxfId="294" priority="405" operator="containsText" text="راسب">
      <formula>NOT(ISERROR(SEARCH("راسب",H7)))</formula>
    </cfRule>
  </conditionalFormatting>
  <conditionalFormatting sqref="F14">
    <cfRule type="containsText" dxfId="293" priority="378" operator="containsText" text="أدخل العلامة">
      <formula>NOT(ISERROR(SEARCH("أدخل العلامة",F14)))</formula>
    </cfRule>
  </conditionalFormatting>
  <conditionalFormatting sqref="H14">
    <cfRule type="containsText" dxfId="292" priority="372" operator="containsText" text="أدخل العلامة">
      <formula>NOT(ISERROR(SEARCH("أدخل العلامة",H14)))</formula>
    </cfRule>
    <cfRule type="containsText" dxfId="291" priority="373" operator="containsText" text="ممتاز">
      <formula>NOT(ISERROR(SEARCH("ممتاز",H14)))</formula>
    </cfRule>
    <cfRule type="containsText" dxfId="290" priority="374" operator="containsText" text="جيد جداً">
      <formula>NOT(ISERROR(SEARCH("جيد جداً",H14)))</formula>
    </cfRule>
    <cfRule type="containsText" dxfId="289" priority="375" operator="containsText" text="جيد">
      <formula>NOT(ISERROR(SEARCH("جيد",H14)))</formula>
    </cfRule>
    <cfRule type="containsText" dxfId="288" priority="376" operator="containsText" text="مقبول">
      <formula>NOT(ISERROR(SEARCH("مقبول",H14)))</formula>
    </cfRule>
    <cfRule type="containsText" dxfId="287" priority="377" operator="containsText" text="راسب">
      <formula>NOT(ISERROR(SEARCH("راسب",H14)))</formula>
    </cfRule>
  </conditionalFormatting>
  <conditionalFormatting sqref="F11">
    <cfRule type="containsText" dxfId="286" priority="364" operator="containsText" text="أدخل العلامة">
      <formula>NOT(ISERROR(SEARCH("أدخل العلامة",F11)))</formula>
    </cfRule>
  </conditionalFormatting>
  <conditionalFormatting sqref="H11">
    <cfRule type="containsText" dxfId="285" priority="358" operator="containsText" text="أدخل العلامة">
      <formula>NOT(ISERROR(SEARCH("أدخل العلامة",H11)))</formula>
    </cfRule>
    <cfRule type="containsText" dxfId="284" priority="359" operator="containsText" text="ممتاز">
      <formula>NOT(ISERROR(SEARCH("ممتاز",H11)))</formula>
    </cfRule>
    <cfRule type="containsText" dxfId="283" priority="360" operator="containsText" text="جيد جداً">
      <formula>NOT(ISERROR(SEARCH("جيد جداً",H11)))</formula>
    </cfRule>
    <cfRule type="containsText" dxfId="282" priority="361" operator="containsText" text="جيد">
      <formula>NOT(ISERROR(SEARCH("جيد",H11)))</formula>
    </cfRule>
    <cfRule type="containsText" dxfId="281" priority="362" operator="containsText" text="مقبول">
      <formula>NOT(ISERROR(SEARCH("مقبول",H11)))</formula>
    </cfRule>
    <cfRule type="containsText" dxfId="280" priority="363" operator="containsText" text="راسب">
      <formula>NOT(ISERROR(SEARCH("راسب",H11)))</formula>
    </cfRule>
  </conditionalFormatting>
  <conditionalFormatting sqref="F12">
    <cfRule type="containsText" dxfId="279" priority="357" operator="containsText" text="أدخل العلامة">
      <formula>NOT(ISERROR(SEARCH("أدخل العلامة",F12)))</formula>
    </cfRule>
  </conditionalFormatting>
  <conditionalFormatting sqref="H12">
    <cfRule type="containsText" dxfId="278" priority="351" operator="containsText" text="أدخل العلامة">
      <formula>NOT(ISERROR(SEARCH("أدخل العلامة",H12)))</formula>
    </cfRule>
    <cfRule type="containsText" dxfId="277" priority="352" operator="containsText" text="ممتاز">
      <formula>NOT(ISERROR(SEARCH("ممتاز",H12)))</formula>
    </cfRule>
    <cfRule type="containsText" dxfId="276" priority="353" operator="containsText" text="جيد جداً">
      <formula>NOT(ISERROR(SEARCH("جيد جداً",H12)))</formula>
    </cfRule>
    <cfRule type="containsText" dxfId="275" priority="354" operator="containsText" text="جيد">
      <formula>NOT(ISERROR(SEARCH("جيد",H12)))</formula>
    </cfRule>
    <cfRule type="containsText" dxfId="274" priority="355" operator="containsText" text="مقبول">
      <formula>NOT(ISERROR(SEARCH("مقبول",H12)))</formula>
    </cfRule>
    <cfRule type="containsText" dxfId="273" priority="356" operator="containsText" text="راسب">
      <formula>NOT(ISERROR(SEARCH("راسب",H12)))</formula>
    </cfRule>
  </conditionalFormatting>
  <conditionalFormatting sqref="F9:F10">
    <cfRule type="containsText" dxfId="272" priority="350" operator="containsText" text="أدخل العلامة">
      <formula>NOT(ISERROR(SEARCH("أدخل العلامة",F9)))</formula>
    </cfRule>
  </conditionalFormatting>
  <conditionalFormatting sqref="H9:H10">
    <cfRule type="containsText" dxfId="271" priority="344" operator="containsText" text="أدخل العلامة">
      <formula>NOT(ISERROR(SEARCH("أدخل العلامة",H9)))</formula>
    </cfRule>
    <cfRule type="containsText" dxfId="270" priority="345" operator="containsText" text="ممتاز">
      <formula>NOT(ISERROR(SEARCH("ممتاز",H9)))</formula>
    </cfRule>
    <cfRule type="containsText" dxfId="269" priority="346" operator="containsText" text="جيد جداً">
      <formula>NOT(ISERROR(SEARCH("جيد جداً",H9)))</formula>
    </cfRule>
    <cfRule type="containsText" dxfId="268" priority="347" operator="containsText" text="جيد">
      <formula>NOT(ISERROR(SEARCH("جيد",H9)))</formula>
    </cfRule>
    <cfRule type="containsText" dxfId="267" priority="348" operator="containsText" text="مقبول">
      <formula>NOT(ISERROR(SEARCH("مقبول",H9)))</formula>
    </cfRule>
    <cfRule type="containsText" dxfId="266" priority="349" operator="containsText" text="راسب">
      <formula>NOT(ISERROR(SEARCH("راسب",H9)))</formula>
    </cfRule>
  </conditionalFormatting>
  <conditionalFormatting sqref="F8">
    <cfRule type="containsText" dxfId="265" priority="343" operator="containsText" text="أدخل العلامة">
      <formula>NOT(ISERROR(SEARCH("أدخل العلامة",F8)))</formula>
    </cfRule>
  </conditionalFormatting>
  <conditionalFormatting sqref="H8">
    <cfRule type="containsText" dxfId="264" priority="337" operator="containsText" text="أدخل العلامة">
      <formula>NOT(ISERROR(SEARCH("أدخل العلامة",H8)))</formula>
    </cfRule>
    <cfRule type="containsText" dxfId="263" priority="338" operator="containsText" text="ممتاز">
      <formula>NOT(ISERROR(SEARCH("ممتاز",H8)))</formula>
    </cfRule>
    <cfRule type="containsText" dxfId="262" priority="339" operator="containsText" text="جيد جداً">
      <formula>NOT(ISERROR(SEARCH("جيد جداً",H8)))</formula>
    </cfRule>
    <cfRule type="containsText" dxfId="261" priority="340" operator="containsText" text="جيد">
      <formula>NOT(ISERROR(SEARCH("جيد",H8)))</formula>
    </cfRule>
    <cfRule type="containsText" dxfId="260" priority="341" operator="containsText" text="مقبول">
      <formula>NOT(ISERROR(SEARCH("مقبول",H8)))</formula>
    </cfRule>
    <cfRule type="containsText" dxfId="259" priority="342" operator="containsText" text="راسب">
      <formula>NOT(ISERROR(SEARCH("راسب",H8)))</formula>
    </cfRule>
  </conditionalFormatting>
  <conditionalFormatting sqref="F25">
    <cfRule type="containsText" dxfId="258" priority="329" operator="containsText" text="أدخل العلامة">
      <formula>NOT(ISERROR(SEARCH("أدخل العلامة",F25)))</formula>
    </cfRule>
  </conditionalFormatting>
  <conditionalFormatting sqref="H25">
    <cfRule type="containsText" dxfId="257" priority="323" operator="containsText" text="أدخل العلامة">
      <formula>NOT(ISERROR(SEARCH("أدخل العلامة",H25)))</formula>
    </cfRule>
    <cfRule type="containsText" dxfId="256" priority="324" operator="containsText" text="ممتاز">
      <formula>NOT(ISERROR(SEARCH("ممتاز",H25)))</formula>
    </cfRule>
    <cfRule type="containsText" dxfId="255" priority="325" operator="containsText" text="جيد جداً">
      <formula>NOT(ISERROR(SEARCH("جيد جداً",H25)))</formula>
    </cfRule>
    <cfRule type="containsText" dxfId="254" priority="326" operator="containsText" text="جيد">
      <formula>NOT(ISERROR(SEARCH("جيد",H25)))</formula>
    </cfRule>
    <cfRule type="containsText" dxfId="253" priority="327" operator="containsText" text="مقبول">
      <formula>NOT(ISERROR(SEARCH("مقبول",H25)))</formula>
    </cfRule>
    <cfRule type="containsText" dxfId="252" priority="328" operator="containsText" text="راسب">
      <formula>NOT(ISERROR(SEARCH("راسب",H25)))</formula>
    </cfRule>
  </conditionalFormatting>
  <conditionalFormatting sqref="F15">
    <cfRule type="containsText" dxfId="251" priority="315" operator="containsText" text="أدخل العلامة">
      <formula>NOT(ISERROR(SEARCH("أدخل العلامة",F15)))</formula>
    </cfRule>
  </conditionalFormatting>
  <conditionalFormatting sqref="H15">
    <cfRule type="containsText" dxfId="250" priority="309" operator="containsText" text="أدخل العلامة">
      <formula>NOT(ISERROR(SEARCH("أدخل العلامة",H15)))</formula>
    </cfRule>
    <cfRule type="containsText" dxfId="249" priority="310" operator="containsText" text="ممتاز">
      <formula>NOT(ISERROR(SEARCH("ممتاز",H15)))</formula>
    </cfRule>
    <cfRule type="containsText" dxfId="248" priority="311" operator="containsText" text="جيد جداً">
      <formula>NOT(ISERROR(SEARCH("جيد جداً",H15)))</formula>
    </cfRule>
    <cfRule type="containsText" dxfId="247" priority="312" operator="containsText" text="جيد">
      <formula>NOT(ISERROR(SEARCH("جيد",H15)))</formula>
    </cfRule>
    <cfRule type="containsText" dxfId="246" priority="313" operator="containsText" text="مقبول">
      <formula>NOT(ISERROR(SEARCH("مقبول",H15)))</formula>
    </cfRule>
    <cfRule type="containsText" dxfId="245" priority="314" operator="containsText" text="راسب">
      <formula>NOT(ISERROR(SEARCH("راسب",H15)))</formula>
    </cfRule>
  </conditionalFormatting>
  <conditionalFormatting sqref="F47 F56">
    <cfRule type="containsText" dxfId="244" priority="294" operator="containsText" text="أدخل العلامة">
      <formula>NOT(ISERROR(SEARCH("أدخل العلامة",F47)))</formula>
    </cfRule>
  </conditionalFormatting>
  <conditionalFormatting sqref="H47 H56">
    <cfRule type="containsText" dxfId="243" priority="288" operator="containsText" text="أدخل العلامة">
      <formula>NOT(ISERROR(SEARCH("أدخل العلامة",H47)))</formula>
    </cfRule>
    <cfRule type="containsText" dxfId="242" priority="289" operator="containsText" text="ممتاز">
      <formula>NOT(ISERROR(SEARCH("ممتاز",H47)))</formula>
    </cfRule>
    <cfRule type="containsText" dxfId="241" priority="290" operator="containsText" text="جيد جداً">
      <formula>NOT(ISERROR(SEARCH("جيد جداً",H47)))</formula>
    </cfRule>
    <cfRule type="containsText" dxfId="240" priority="291" operator="containsText" text="جيد">
      <formula>NOT(ISERROR(SEARCH("جيد",H47)))</formula>
    </cfRule>
    <cfRule type="containsText" dxfId="239" priority="292" operator="containsText" text="مقبول">
      <formula>NOT(ISERROR(SEARCH("مقبول",H47)))</formula>
    </cfRule>
    <cfRule type="containsText" dxfId="238" priority="293" operator="containsText" text="راسب">
      <formula>NOT(ISERROR(SEARCH("راسب",H47)))</formula>
    </cfRule>
  </conditionalFormatting>
  <conditionalFormatting sqref="F26">
    <cfRule type="containsText" dxfId="237" priority="287" operator="containsText" text="أدخل العلامة">
      <formula>NOT(ISERROR(SEARCH("أدخل العلامة",F26)))</formula>
    </cfRule>
  </conditionalFormatting>
  <conditionalFormatting sqref="H26">
    <cfRule type="containsText" dxfId="236" priority="281" operator="containsText" text="أدخل العلامة">
      <formula>NOT(ISERROR(SEARCH("أدخل العلامة",H26)))</formula>
    </cfRule>
    <cfRule type="containsText" dxfId="235" priority="282" operator="containsText" text="ممتاز">
      <formula>NOT(ISERROR(SEARCH("ممتاز",H26)))</formula>
    </cfRule>
    <cfRule type="containsText" dxfId="234" priority="283" operator="containsText" text="جيد جداً">
      <formula>NOT(ISERROR(SEARCH("جيد جداً",H26)))</formula>
    </cfRule>
    <cfRule type="containsText" dxfId="233" priority="284" operator="containsText" text="جيد">
      <formula>NOT(ISERROR(SEARCH("جيد",H26)))</formula>
    </cfRule>
    <cfRule type="containsText" dxfId="232" priority="285" operator="containsText" text="مقبول">
      <formula>NOT(ISERROR(SEARCH("مقبول",H26)))</formula>
    </cfRule>
    <cfRule type="containsText" dxfId="231" priority="286" operator="containsText" text="راسب">
      <formula>NOT(ISERROR(SEARCH("راسب",H26)))</formula>
    </cfRule>
  </conditionalFormatting>
  <conditionalFormatting sqref="F55">
    <cfRule type="containsText" dxfId="230" priority="231" operator="containsText" text="أدخل العلامة">
      <formula>NOT(ISERROR(SEARCH("أدخل العلامة",F55)))</formula>
    </cfRule>
  </conditionalFormatting>
  <conditionalFormatting sqref="H55">
    <cfRule type="containsText" dxfId="229" priority="225" operator="containsText" text="أدخل العلامة">
      <formula>NOT(ISERROR(SEARCH("أدخل العلامة",H55)))</formula>
    </cfRule>
    <cfRule type="containsText" dxfId="228" priority="226" operator="containsText" text="ممتاز">
      <formula>NOT(ISERROR(SEARCH("ممتاز",H55)))</formula>
    </cfRule>
    <cfRule type="containsText" dxfId="227" priority="227" operator="containsText" text="جيد جداً">
      <formula>NOT(ISERROR(SEARCH("جيد جداً",H55)))</formula>
    </cfRule>
    <cfRule type="containsText" dxfId="226" priority="228" operator="containsText" text="جيد">
      <formula>NOT(ISERROR(SEARCH("جيد",H55)))</formula>
    </cfRule>
    <cfRule type="containsText" dxfId="225" priority="229" operator="containsText" text="مقبول">
      <formula>NOT(ISERROR(SEARCH("مقبول",H55)))</formula>
    </cfRule>
    <cfRule type="containsText" dxfId="224" priority="230" operator="containsText" text="راسب">
      <formula>NOT(ISERROR(SEARCH("راسب",H55)))</formula>
    </cfRule>
  </conditionalFormatting>
  <conditionalFormatting sqref="F53">
    <cfRule type="containsText" dxfId="223" priority="224" operator="containsText" text="أدخل العلامة">
      <formula>NOT(ISERROR(SEARCH("أدخل العلامة",F53)))</formula>
    </cfRule>
  </conditionalFormatting>
  <conditionalFormatting sqref="H53">
    <cfRule type="containsText" dxfId="222" priority="218" operator="containsText" text="أدخل العلامة">
      <formula>NOT(ISERROR(SEARCH("أدخل العلامة",H53)))</formula>
    </cfRule>
    <cfRule type="containsText" dxfId="221" priority="219" operator="containsText" text="ممتاز">
      <formula>NOT(ISERROR(SEARCH("ممتاز",H53)))</formula>
    </cfRule>
    <cfRule type="containsText" dxfId="220" priority="220" operator="containsText" text="جيد جداً">
      <formula>NOT(ISERROR(SEARCH("جيد جداً",H53)))</formula>
    </cfRule>
    <cfRule type="containsText" dxfId="219" priority="221" operator="containsText" text="جيد">
      <formula>NOT(ISERROR(SEARCH("جيد",H53)))</formula>
    </cfRule>
    <cfRule type="containsText" dxfId="218" priority="222" operator="containsText" text="مقبول">
      <formula>NOT(ISERROR(SEARCH("مقبول",H53)))</formula>
    </cfRule>
    <cfRule type="containsText" dxfId="217" priority="223" operator="containsText" text="راسب">
      <formula>NOT(ISERROR(SEARCH("راسب",H53)))</formula>
    </cfRule>
  </conditionalFormatting>
  <conditionalFormatting sqref="F54">
    <cfRule type="containsText" dxfId="216" priority="217" operator="containsText" text="أدخل العلامة">
      <formula>NOT(ISERROR(SEARCH("أدخل العلامة",F54)))</formula>
    </cfRule>
  </conditionalFormatting>
  <conditionalFormatting sqref="H54">
    <cfRule type="containsText" dxfId="215" priority="211" operator="containsText" text="أدخل العلامة">
      <formula>NOT(ISERROR(SEARCH("أدخل العلامة",H54)))</formula>
    </cfRule>
    <cfRule type="containsText" dxfId="214" priority="212" operator="containsText" text="ممتاز">
      <formula>NOT(ISERROR(SEARCH("ممتاز",H54)))</formula>
    </cfRule>
    <cfRule type="containsText" dxfId="213" priority="213" operator="containsText" text="جيد جداً">
      <formula>NOT(ISERROR(SEARCH("جيد جداً",H54)))</formula>
    </cfRule>
    <cfRule type="containsText" dxfId="212" priority="214" operator="containsText" text="جيد">
      <formula>NOT(ISERROR(SEARCH("جيد",H54)))</formula>
    </cfRule>
    <cfRule type="containsText" dxfId="211" priority="215" operator="containsText" text="مقبول">
      <formula>NOT(ISERROR(SEARCH("مقبول",H54)))</formula>
    </cfRule>
    <cfRule type="containsText" dxfId="210" priority="216" operator="containsText" text="راسب">
      <formula>NOT(ISERROR(SEARCH("راسب",H54)))</formula>
    </cfRule>
  </conditionalFormatting>
  <conditionalFormatting sqref="F51">
    <cfRule type="containsText" dxfId="209" priority="210" operator="containsText" text="أدخل العلامة">
      <formula>NOT(ISERROR(SEARCH("أدخل العلامة",F51)))</formula>
    </cfRule>
  </conditionalFormatting>
  <conditionalFormatting sqref="H51">
    <cfRule type="containsText" dxfId="208" priority="204" operator="containsText" text="أدخل العلامة">
      <formula>NOT(ISERROR(SEARCH("أدخل العلامة",H51)))</formula>
    </cfRule>
    <cfRule type="containsText" dxfId="207" priority="205" operator="containsText" text="ممتاز">
      <formula>NOT(ISERROR(SEARCH("ممتاز",H51)))</formula>
    </cfRule>
    <cfRule type="containsText" dxfId="206" priority="206" operator="containsText" text="جيد جداً">
      <formula>NOT(ISERROR(SEARCH("جيد جداً",H51)))</formula>
    </cfRule>
    <cfRule type="containsText" dxfId="205" priority="207" operator="containsText" text="جيد">
      <formula>NOT(ISERROR(SEARCH("جيد",H51)))</formula>
    </cfRule>
    <cfRule type="containsText" dxfId="204" priority="208" operator="containsText" text="مقبول">
      <formula>NOT(ISERROR(SEARCH("مقبول",H51)))</formula>
    </cfRule>
    <cfRule type="containsText" dxfId="203" priority="209" operator="containsText" text="راسب">
      <formula>NOT(ISERROR(SEARCH("راسب",H51)))</formula>
    </cfRule>
  </conditionalFormatting>
  <conditionalFormatting sqref="F52">
    <cfRule type="containsText" dxfId="202" priority="203" operator="containsText" text="أدخل العلامة">
      <formula>NOT(ISERROR(SEARCH("أدخل العلامة",F52)))</formula>
    </cfRule>
  </conditionalFormatting>
  <conditionalFormatting sqref="H52">
    <cfRule type="containsText" dxfId="201" priority="197" operator="containsText" text="أدخل العلامة">
      <formula>NOT(ISERROR(SEARCH("أدخل العلامة",H52)))</formula>
    </cfRule>
    <cfRule type="containsText" dxfId="200" priority="198" operator="containsText" text="ممتاز">
      <formula>NOT(ISERROR(SEARCH("ممتاز",H52)))</formula>
    </cfRule>
    <cfRule type="containsText" dxfId="199" priority="199" operator="containsText" text="جيد جداً">
      <formula>NOT(ISERROR(SEARCH("جيد جداً",H52)))</formula>
    </cfRule>
    <cfRule type="containsText" dxfId="198" priority="200" operator="containsText" text="جيد">
      <formula>NOT(ISERROR(SEARCH("جيد",H52)))</formula>
    </cfRule>
    <cfRule type="containsText" dxfId="197" priority="201" operator="containsText" text="مقبول">
      <formula>NOT(ISERROR(SEARCH("مقبول",H52)))</formula>
    </cfRule>
    <cfRule type="containsText" dxfId="196" priority="202" operator="containsText" text="راسب">
      <formula>NOT(ISERROR(SEARCH("راسب",H52)))</formula>
    </cfRule>
  </conditionalFormatting>
  <conditionalFormatting sqref="F49:F50">
    <cfRule type="containsText" dxfId="195" priority="196" operator="containsText" text="أدخل العلامة">
      <formula>NOT(ISERROR(SEARCH("أدخل العلامة",F49)))</formula>
    </cfRule>
  </conditionalFormatting>
  <conditionalFormatting sqref="H49:H50">
    <cfRule type="containsText" dxfId="194" priority="190" operator="containsText" text="أدخل العلامة">
      <formula>NOT(ISERROR(SEARCH("أدخل العلامة",H49)))</formula>
    </cfRule>
    <cfRule type="containsText" dxfId="193" priority="191" operator="containsText" text="ممتاز">
      <formula>NOT(ISERROR(SEARCH("ممتاز",H49)))</formula>
    </cfRule>
    <cfRule type="containsText" dxfId="192" priority="192" operator="containsText" text="جيد جداً">
      <formula>NOT(ISERROR(SEARCH("جيد جداً",H49)))</formula>
    </cfRule>
    <cfRule type="containsText" dxfId="191" priority="193" operator="containsText" text="جيد">
      <formula>NOT(ISERROR(SEARCH("جيد",H49)))</formula>
    </cfRule>
    <cfRule type="containsText" dxfId="190" priority="194" operator="containsText" text="مقبول">
      <formula>NOT(ISERROR(SEARCH("مقبول",H49)))</formula>
    </cfRule>
    <cfRule type="containsText" dxfId="189" priority="195" operator="containsText" text="راسب">
      <formula>NOT(ISERROR(SEARCH("راسب",H49)))</formula>
    </cfRule>
  </conditionalFormatting>
  <conditionalFormatting sqref="F48">
    <cfRule type="containsText" dxfId="188" priority="189" operator="containsText" text="أدخل العلامة">
      <formula>NOT(ISERROR(SEARCH("أدخل العلامة",F48)))</formula>
    </cfRule>
  </conditionalFormatting>
  <conditionalFormatting sqref="H48">
    <cfRule type="containsText" dxfId="187" priority="183" operator="containsText" text="أدخل العلامة">
      <formula>NOT(ISERROR(SEARCH("أدخل العلامة",H48)))</formula>
    </cfRule>
    <cfRule type="containsText" dxfId="186" priority="184" operator="containsText" text="ممتاز">
      <formula>NOT(ISERROR(SEARCH("ممتاز",H48)))</formula>
    </cfRule>
    <cfRule type="containsText" dxfId="185" priority="185" operator="containsText" text="جيد جداً">
      <formula>NOT(ISERROR(SEARCH("جيد جداً",H48)))</formula>
    </cfRule>
    <cfRule type="containsText" dxfId="184" priority="186" operator="containsText" text="جيد">
      <formula>NOT(ISERROR(SEARCH("جيد",H48)))</formula>
    </cfRule>
    <cfRule type="containsText" dxfId="183" priority="187" operator="containsText" text="مقبول">
      <formula>NOT(ISERROR(SEARCH("مقبول",H48)))</formula>
    </cfRule>
    <cfRule type="containsText" dxfId="182" priority="188" operator="containsText" text="راسب">
      <formula>NOT(ISERROR(SEARCH("راسب",H48)))</formula>
    </cfRule>
  </conditionalFormatting>
  <conditionalFormatting sqref="F20">
    <cfRule type="containsText" dxfId="181" priority="182" operator="containsText" text="أدخل العلامة">
      <formula>NOT(ISERROR(SEARCH("أدخل العلامة",F20)))</formula>
    </cfRule>
  </conditionalFormatting>
  <conditionalFormatting sqref="H20">
    <cfRule type="containsText" dxfId="180" priority="176" operator="containsText" text="أدخل العلامة">
      <formula>NOT(ISERROR(SEARCH("أدخل العلامة",H20)))</formula>
    </cfRule>
    <cfRule type="containsText" dxfId="179" priority="177" operator="containsText" text="ممتاز">
      <formula>NOT(ISERROR(SEARCH("ممتاز",H20)))</formula>
    </cfRule>
    <cfRule type="containsText" dxfId="178" priority="178" operator="containsText" text="جيد جداً">
      <formula>NOT(ISERROR(SEARCH("جيد جداً",H20)))</formula>
    </cfRule>
    <cfRule type="containsText" dxfId="177" priority="179" operator="containsText" text="جيد">
      <formula>NOT(ISERROR(SEARCH("جيد",H20)))</formula>
    </cfRule>
    <cfRule type="containsText" dxfId="176" priority="180" operator="containsText" text="مقبول">
      <formula>NOT(ISERROR(SEARCH("مقبول",H20)))</formula>
    </cfRule>
    <cfRule type="containsText" dxfId="175" priority="181" operator="containsText" text="راسب">
      <formula>NOT(ISERROR(SEARCH("راسب",H20)))</formula>
    </cfRule>
  </conditionalFormatting>
  <conditionalFormatting sqref="F18">
    <cfRule type="containsText" dxfId="174" priority="175" operator="containsText" text="أدخل العلامة">
      <formula>NOT(ISERROR(SEARCH("أدخل العلامة",F18)))</formula>
    </cfRule>
  </conditionalFormatting>
  <conditionalFormatting sqref="H18">
    <cfRule type="containsText" dxfId="173" priority="169" operator="containsText" text="أدخل العلامة">
      <formula>NOT(ISERROR(SEARCH("أدخل العلامة",H18)))</formula>
    </cfRule>
    <cfRule type="containsText" dxfId="172" priority="170" operator="containsText" text="ممتاز">
      <formula>NOT(ISERROR(SEARCH("ممتاز",H18)))</formula>
    </cfRule>
    <cfRule type="containsText" dxfId="171" priority="171" operator="containsText" text="جيد جداً">
      <formula>NOT(ISERROR(SEARCH("جيد جداً",H18)))</formula>
    </cfRule>
    <cfRule type="containsText" dxfId="170" priority="172" operator="containsText" text="جيد">
      <formula>NOT(ISERROR(SEARCH("جيد",H18)))</formula>
    </cfRule>
    <cfRule type="containsText" dxfId="169" priority="173" operator="containsText" text="مقبول">
      <formula>NOT(ISERROR(SEARCH("مقبول",H18)))</formula>
    </cfRule>
    <cfRule type="containsText" dxfId="168" priority="174" operator="containsText" text="راسب">
      <formula>NOT(ISERROR(SEARCH("راسب",H18)))</formula>
    </cfRule>
  </conditionalFormatting>
  <conditionalFormatting sqref="F19">
    <cfRule type="containsText" dxfId="167" priority="168" operator="containsText" text="أدخل العلامة">
      <formula>NOT(ISERROR(SEARCH("أدخل العلامة",F19)))</formula>
    </cfRule>
  </conditionalFormatting>
  <conditionalFormatting sqref="H19">
    <cfRule type="containsText" dxfId="166" priority="162" operator="containsText" text="أدخل العلامة">
      <formula>NOT(ISERROR(SEARCH("أدخل العلامة",H19)))</formula>
    </cfRule>
    <cfRule type="containsText" dxfId="165" priority="163" operator="containsText" text="ممتاز">
      <formula>NOT(ISERROR(SEARCH("ممتاز",H19)))</formula>
    </cfRule>
    <cfRule type="containsText" dxfId="164" priority="164" operator="containsText" text="جيد جداً">
      <formula>NOT(ISERROR(SEARCH("جيد جداً",H19)))</formula>
    </cfRule>
    <cfRule type="containsText" dxfId="163" priority="165" operator="containsText" text="جيد">
      <formula>NOT(ISERROR(SEARCH("جيد",H19)))</formula>
    </cfRule>
    <cfRule type="containsText" dxfId="162" priority="166" operator="containsText" text="مقبول">
      <formula>NOT(ISERROR(SEARCH("مقبول",H19)))</formula>
    </cfRule>
    <cfRule type="containsText" dxfId="161" priority="167" operator="containsText" text="راسب">
      <formula>NOT(ISERROR(SEARCH("راسب",H19)))</formula>
    </cfRule>
  </conditionalFormatting>
  <conditionalFormatting sqref="F16">
    <cfRule type="containsText" dxfId="160" priority="161" operator="containsText" text="أدخل العلامة">
      <formula>NOT(ISERROR(SEARCH("أدخل العلامة",F16)))</formula>
    </cfRule>
  </conditionalFormatting>
  <conditionalFormatting sqref="H16">
    <cfRule type="containsText" dxfId="159" priority="155" operator="containsText" text="أدخل العلامة">
      <formula>NOT(ISERROR(SEARCH("أدخل العلامة",H16)))</formula>
    </cfRule>
    <cfRule type="containsText" dxfId="158" priority="156" operator="containsText" text="ممتاز">
      <formula>NOT(ISERROR(SEARCH("ممتاز",H16)))</formula>
    </cfRule>
    <cfRule type="containsText" dxfId="157" priority="157" operator="containsText" text="جيد جداً">
      <formula>NOT(ISERROR(SEARCH("جيد جداً",H16)))</formula>
    </cfRule>
    <cfRule type="containsText" dxfId="156" priority="158" operator="containsText" text="جيد">
      <formula>NOT(ISERROR(SEARCH("جيد",H16)))</formula>
    </cfRule>
    <cfRule type="containsText" dxfId="155" priority="159" operator="containsText" text="مقبول">
      <formula>NOT(ISERROR(SEARCH("مقبول",H16)))</formula>
    </cfRule>
    <cfRule type="containsText" dxfId="154" priority="160" operator="containsText" text="راسب">
      <formula>NOT(ISERROR(SEARCH("راسب",H16)))</formula>
    </cfRule>
  </conditionalFormatting>
  <conditionalFormatting sqref="F17">
    <cfRule type="containsText" dxfId="153" priority="154" operator="containsText" text="أدخل العلامة">
      <formula>NOT(ISERROR(SEARCH("أدخل العلامة",F17)))</formula>
    </cfRule>
  </conditionalFormatting>
  <conditionalFormatting sqref="H17">
    <cfRule type="containsText" dxfId="152" priority="148" operator="containsText" text="أدخل العلامة">
      <formula>NOT(ISERROR(SEARCH("أدخل العلامة",H17)))</formula>
    </cfRule>
    <cfRule type="containsText" dxfId="151" priority="149" operator="containsText" text="ممتاز">
      <formula>NOT(ISERROR(SEARCH("ممتاز",H17)))</formula>
    </cfRule>
    <cfRule type="containsText" dxfId="150" priority="150" operator="containsText" text="جيد جداً">
      <formula>NOT(ISERROR(SEARCH("جيد جداً",H17)))</formula>
    </cfRule>
    <cfRule type="containsText" dxfId="149" priority="151" operator="containsText" text="جيد">
      <formula>NOT(ISERROR(SEARCH("جيد",H17)))</formula>
    </cfRule>
    <cfRule type="containsText" dxfId="148" priority="152" operator="containsText" text="مقبول">
      <formula>NOT(ISERROR(SEARCH("مقبول",H17)))</formula>
    </cfRule>
    <cfRule type="containsText" dxfId="147" priority="153" operator="containsText" text="راسب">
      <formula>NOT(ISERROR(SEARCH("راسب",H17)))</formula>
    </cfRule>
  </conditionalFormatting>
  <conditionalFormatting sqref="F24">
    <cfRule type="containsText" dxfId="146" priority="147" operator="containsText" text="أدخل العلامة">
      <formula>NOT(ISERROR(SEARCH("أدخل العلامة",F24)))</formula>
    </cfRule>
  </conditionalFormatting>
  <conditionalFormatting sqref="H24">
    <cfRule type="containsText" dxfId="145" priority="141" operator="containsText" text="أدخل العلامة">
      <formula>NOT(ISERROR(SEARCH("أدخل العلامة",H24)))</formula>
    </cfRule>
    <cfRule type="containsText" dxfId="144" priority="142" operator="containsText" text="ممتاز">
      <formula>NOT(ISERROR(SEARCH("ممتاز",H24)))</formula>
    </cfRule>
    <cfRule type="containsText" dxfId="143" priority="143" operator="containsText" text="جيد جداً">
      <formula>NOT(ISERROR(SEARCH("جيد جداً",H24)))</formula>
    </cfRule>
    <cfRule type="containsText" dxfId="142" priority="144" operator="containsText" text="جيد">
      <formula>NOT(ISERROR(SEARCH("جيد",H24)))</formula>
    </cfRule>
    <cfRule type="containsText" dxfId="141" priority="145" operator="containsText" text="مقبول">
      <formula>NOT(ISERROR(SEARCH("مقبول",H24)))</formula>
    </cfRule>
    <cfRule type="containsText" dxfId="140" priority="146" operator="containsText" text="راسب">
      <formula>NOT(ISERROR(SEARCH("راسب",H24)))</formula>
    </cfRule>
  </conditionalFormatting>
  <conditionalFormatting sqref="F22:F23">
    <cfRule type="containsText" dxfId="139" priority="140" operator="containsText" text="أدخل العلامة">
      <formula>NOT(ISERROR(SEARCH("أدخل العلامة",F22)))</formula>
    </cfRule>
  </conditionalFormatting>
  <conditionalFormatting sqref="H22:H23">
    <cfRule type="containsText" dxfId="138" priority="134" operator="containsText" text="أدخل العلامة">
      <formula>NOT(ISERROR(SEARCH("أدخل العلامة",H22)))</formula>
    </cfRule>
    <cfRule type="containsText" dxfId="137" priority="135" operator="containsText" text="ممتاز">
      <formula>NOT(ISERROR(SEARCH("ممتاز",H22)))</formula>
    </cfRule>
    <cfRule type="containsText" dxfId="136" priority="136" operator="containsText" text="جيد جداً">
      <formula>NOT(ISERROR(SEARCH("جيد جداً",H22)))</formula>
    </cfRule>
    <cfRule type="containsText" dxfId="135" priority="137" operator="containsText" text="جيد">
      <formula>NOT(ISERROR(SEARCH("جيد",H22)))</formula>
    </cfRule>
    <cfRule type="containsText" dxfId="134" priority="138" operator="containsText" text="مقبول">
      <formula>NOT(ISERROR(SEARCH("مقبول",H22)))</formula>
    </cfRule>
    <cfRule type="containsText" dxfId="133" priority="139" operator="containsText" text="راسب">
      <formula>NOT(ISERROR(SEARCH("راسب",H22)))</formula>
    </cfRule>
  </conditionalFormatting>
  <conditionalFormatting sqref="F21">
    <cfRule type="containsText" dxfId="132" priority="133" operator="containsText" text="أدخل العلامة">
      <formula>NOT(ISERROR(SEARCH("أدخل العلامة",F21)))</formula>
    </cfRule>
  </conditionalFormatting>
  <conditionalFormatting sqref="H21">
    <cfRule type="containsText" dxfId="131" priority="127" operator="containsText" text="أدخل العلامة">
      <formula>NOT(ISERROR(SEARCH("أدخل العلامة",H21)))</formula>
    </cfRule>
    <cfRule type="containsText" dxfId="130" priority="128" operator="containsText" text="ممتاز">
      <formula>NOT(ISERROR(SEARCH("ممتاز",H21)))</formula>
    </cfRule>
    <cfRule type="containsText" dxfId="129" priority="129" operator="containsText" text="جيد جداً">
      <formula>NOT(ISERROR(SEARCH("جيد جداً",H21)))</formula>
    </cfRule>
    <cfRule type="containsText" dxfId="128" priority="130" operator="containsText" text="جيد">
      <formula>NOT(ISERROR(SEARCH("جيد",H21)))</formula>
    </cfRule>
    <cfRule type="containsText" dxfId="127" priority="131" operator="containsText" text="مقبول">
      <formula>NOT(ISERROR(SEARCH("مقبول",H21)))</formula>
    </cfRule>
    <cfRule type="containsText" dxfId="126" priority="132" operator="containsText" text="راسب">
      <formula>NOT(ISERROR(SEARCH("راسب",H21)))</formula>
    </cfRule>
  </conditionalFormatting>
  <conditionalFormatting sqref="F34">
    <cfRule type="containsText" dxfId="125" priority="126" operator="containsText" text="أدخل العلامة">
      <formula>NOT(ISERROR(SEARCH("أدخل العلامة",F34)))</formula>
    </cfRule>
  </conditionalFormatting>
  <conditionalFormatting sqref="H34">
    <cfRule type="containsText" dxfId="124" priority="120" operator="containsText" text="أدخل العلامة">
      <formula>NOT(ISERROR(SEARCH("أدخل العلامة",H34)))</formula>
    </cfRule>
    <cfRule type="containsText" dxfId="123" priority="121" operator="containsText" text="ممتاز">
      <formula>NOT(ISERROR(SEARCH("ممتاز",H34)))</formula>
    </cfRule>
    <cfRule type="containsText" dxfId="122" priority="122" operator="containsText" text="جيد جداً">
      <formula>NOT(ISERROR(SEARCH("جيد جداً",H34)))</formula>
    </cfRule>
    <cfRule type="containsText" dxfId="121" priority="123" operator="containsText" text="جيد">
      <formula>NOT(ISERROR(SEARCH("جيد",H34)))</formula>
    </cfRule>
    <cfRule type="containsText" dxfId="120" priority="124" operator="containsText" text="مقبول">
      <formula>NOT(ISERROR(SEARCH("مقبول",H34)))</formula>
    </cfRule>
    <cfRule type="containsText" dxfId="119" priority="125" operator="containsText" text="راسب">
      <formula>NOT(ISERROR(SEARCH("راسب",H34)))</formula>
    </cfRule>
  </conditionalFormatting>
  <conditionalFormatting sqref="F28">
    <cfRule type="containsText" dxfId="118" priority="119" operator="containsText" text="أدخل العلامة">
      <formula>NOT(ISERROR(SEARCH("أدخل العلامة",F28)))</formula>
    </cfRule>
  </conditionalFormatting>
  <conditionalFormatting sqref="H28">
    <cfRule type="containsText" dxfId="117" priority="113" operator="containsText" text="أدخل العلامة">
      <formula>NOT(ISERROR(SEARCH("أدخل العلامة",H28)))</formula>
    </cfRule>
    <cfRule type="containsText" dxfId="116" priority="114" operator="containsText" text="ممتاز">
      <formula>NOT(ISERROR(SEARCH("ممتاز",H28)))</formula>
    </cfRule>
    <cfRule type="containsText" dxfId="115" priority="115" operator="containsText" text="جيد جداً">
      <formula>NOT(ISERROR(SEARCH("جيد جداً",H28)))</formula>
    </cfRule>
    <cfRule type="containsText" dxfId="114" priority="116" operator="containsText" text="جيد">
      <formula>NOT(ISERROR(SEARCH("جيد",H28)))</formula>
    </cfRule>
    <cfRule type="containsText" dxfId="113" priority="117" operator="containsText" text="مقبول">
      <formula>NOT(ISERROR(SEARCH("مقبول",H28)))</formula>
    </cfRule>
    <cfRule type="containsText" dxfId="112" priority="118" operator="containsText" text="راسب">
      <formula>NOT(ISERROR(SEARCH("راسب",H28)))</formula>
    </cfRule>
  </conditionalFormatting>
  <conditionalFormatting sqref="F35">
    <cfRule type="containsText" dxfId="111" priority="112" operator="containsText" text="أدخل العلامة">
      <formula>NOT(ISERROR(SEARCH("أدخل العلامة",F35)))</formula>
    </cfRule>
  </conditionalFormatting>
  <conditionalFormatting sqref="H35">
    <cfRule type="containsText" dxfId="110" priority="106" operator="containsText" text="أدخل العلامة">
      <formula>NOT(ISERROR(SEARCH("أدخل العلامة",H35)))</formula>
    </cfRule>
    <cfRule type="containsText" dxfId="109" priority="107" operator="containsText" text="ممتاز">
      <formula>NOT(ISERROR(SEARCH("ممتاز",H35)))</formula>
    </cfRule>
    <cfRule type="containsText" dxfId="108" priority="108" operator="containsText" text="جيد جداً">
      <formula>NOT(ISERROR(SEARCH("جيد جداً",H35)))</formula>
    </cfRule>
    <cfRule type="containsText" dxfId="107" priority="109" operator="containsText" text="جيد">
      <formula>NOT(ISERROR(SEARCH("جيد",H35)))</formula>
    </cfRule>
    <cfRule type="containsText" dxfId="106" priority="110" operator="containsText" text="مقبول">
      <formula>NOT(ISERROR(SEARCH("مقبول",H35)))</formula>
    </cfRule>
    <cfRule type="containsText" dxfId="105" priority="111" operator="containsText" text="راسب">
      <formula>NOT(ISERROR(SEARCH("راسب",H35)))</formula>
    </cfRule>
  </conditionalFormatting>
  <conditionalFormatting sqref="F27">
    <cfRule type="containsText" dxfId="104" priority="105" operator="containsText" text="أدخل العلامة">
      <formula>NOT(ISERROR(SEARCH("أدخل العلامة",F27)))</formula>
    </cfRule>
  </conditionalFormatting>
  <conditionalFormatting sqref="H27">
    <cfRule type="containsText" dxfId="103" priority="99" operator="containsText" text="أدخل العلامة">
      <formula>NOT(ISERROR(SEARCH("أدخل العلامة",H27)))</formula>
    </cfRule>
    <cfRule type="containsText" dxfId="102" priority="100" operator="containsText" text="ممتاز">
      <formula>NOT(ISERROR(SEARCH("ممتاز",H27)))</formula>
    </cfRule>
    <cfRule type="containsText" dxfId="101" priority="101" operator="containsText" text="جيد جداً">
      <formula>NOT(ISERROR(SEARCH("جيد جداً",H27)))</formula>
    </cfRule>
    <cfRule type="containsText" dxfId="100" priority="102" operator="containsText" text="جيد">
      <formula>NOT(ISERROR(SEARCH("جيد",H27)))</formula>
    </cfRule>
    <cfRule type="containsText" dxfId="99" priority="103" operator="containsText" text="مقبول">
      <formula>NOT(ISERROR(SEARCH("مقبول",H27)))</formula>
    </cfRule>
    <cfRule type="containsText" dxfId="98" priority="104" operator="containsText" text="راسب">
      <formula>NOT(ISERROR(SEARCH("راسب",H27)))</formula>
    </cfRule>
  </conditionalFormatting>
  <conditionalFormatting sqref="F32">
    <cfRule type="containsText" dxfId="97" priority="98" operator="containsText" text="أدخل العلامة">
      <formula>NOT(ISERROR(SEARCH("أدخل العلامة",F32)))</formula>
    </cfRule>
  </conditionalFormatting>
  <conditionalFormatting sqref="H32">
    <cfRule type="containsText" dxfId="96" priority="92" operator="containsText" text="أدخل العلامة">
      <formula>NOT(ISERROR(SEARCH("أدخل العلامة",H32)))</formula>
    </cfRule>
    <cfRule type="containsText" dxfId="95" priority="93" operator="containsText" text="ممتاز">
      <formula>NOT(ISERROR(SEARCH("ممتاز",H32)))</formula>
    </cfRule>
    <cfRule type="containsText" dxfId="94" priority="94" operator="containsText" text="جيد جداً">
      <formula>NOT(ISERROR(SEARCH("جيد جداً",H32)))</formula>
    </cfRule>
    <cfRule type="containsText" dxfId="93" priority="95" operator="containsText" text="جيد">
      <formula>NOT(ISERROR(SEARCH("جيد",H32)))</formula>
    </cfRule>
    <cfRule type="containsText" dxfId="92" priority="96" operator="containsText" text="مقبول">
      <formula>NOT(ISERROR(SEARCH("مقبول",H32)))</formula>
    </cfRule>
    <cfRule type="containsText" dxfId="91" priority="97" operator="containsText" text="راسب">
      <formula>NOT(ISERROR(SEARCH("راسب",H32)))</formula>
    </cfRule>
  </conditionalFormatting>
  <conditionalFormatting sqref="F33">
    <cfRule type="containsText" dxfId="90" priority="91" operator="containsText" text="أدخل العلامة">
      <formula>NOT(ISERROR(SEARCH("أدخل العلامة",F33)))</formula>
    </cfRule>
  </conditionalFormatting>
  <conditionalFormatting sqref="H33">
    <cfRule type="containsText" dxfId="89" priority="85" operator="containsText" text="أدخل العلامة">
      <formula>NOT(ISERROR(SEARCH("أدخل العلامة",H33)))</formula>
    </cfRule>
    <cfRule type="containsText" dxfId="88" priority="86" operator="containsText" text="ممتاز">
      <formula>NOT(ISERROR(SEARCH("ممتاز",H33)))</formula>
    </cfRule>
    <cfRule type="containsText" dxfId="87" priority="87" operator="containsText" text="جيد جداً">
      <formula>NOT(ISERROR(SEARCH("جيد جداً",H33)))</formula>
    </cfRule>
    <cfRule type="containsText" dxfId="86" priority="88" operator="containsText" text="جيد">
      <formula>NOT(ISERROR(SEARCH("جيد",H33)))</formula>
    </cfRule>
    <cfRule type="containsText" dxfId="85" priority="89" operator="containsText" text="مقبول">
      <formula>NOT(ISERROR(SEARCH("مقبول",H33)))</formula>
    </cfRule>
    <cfRule type="containsText" dxfId="84" priority="90" operator="containsText" text="راسب">
      <formula>NOT(ISERROR(SEARCH("راسب",H33)))</formula>
    </cfRule>
  </conditionalFormatting>
  <conditionalFormatting sqref="F31">
    <cfRule type="containsText" dxfId="83" priority="84" operator="containsText" text="أدخل العلامة">
      <formula>NOT(ISERROR(SEARCH("أدخل العلامة",F31)))</formula>
    </cfRule>
  </conditionalFormatting>
  <conditionalFormatting sqref="H31">
    <cfRule type="containsText" dxfId="82" priority="78" operator="containsText" text="أدخل العلامة">
      <formula>NOT(ISERROR(SEARCH("أدخل العلامة",H31)))</formula>
    </cfRule>
    <cfRule type="containsText" dxfId="81" priority="79" operator="containsText" text="ممتاز">
      <formula>NOT(ISERROR(SEARCH("ممتاز",H31)))</formula>
    </cfRule>
    <cfRule type="containsText" dxfId="80" priority="80" operator="containsText" text="جيد جداً">
      <formula>NOT(ISERROR(SEARCH("جيد جداً",H31)))</formula>
    </cfRule>
    <cfRule type="containsText" dxfId="79" priority="81" operator="containsText" text="جيد">
      <formula>NOT(ISERROR(SEARCH("جيد",H31)))</formula>
    </cfRule>
    <cfRule type="containsText" dxfId="78" priority="82" operator="containsText" text="مقبول">
      <formula>NOT(ISERROR(SEARCH("مقبول",H31)))</formula>
    </cfRule>
    <cfRule type="containsText" dxfId="77" priority="83" operator="containsText" text="راسب">
      <formula>NOT(ISERROR(SEARCH("راسب",H31)))</formula>
    </cfRule>
  </conditionalFormatting>
  <conditionalFormatting sqref="F29">
    <cfRule type="containsText" dxfId="76" priority="77" operator="containsText" text="أدخل العلامة">
      <formula>NOT(ISERROR(SEARCH("أدخل العلامة",F29)))</formula>
    </cfRule>
  </conditionalFormatting>
  <conditionalFormatting sqref="H29">
    <cfRule type="containsText" dxfId="75" priority="71" operator="containsText" text="أدخل العلامة">
      <formula>NOT(ISERROR(SEARCH("أدخل العلامة",H29)))</formula>
    </cfRule>
    <cfRule type="containsText" dxfId="74" priority="72" operator="containsText" text="ممتاز">
      <formula>NOT(ISERROR(SEARCH("ممتاز",H29)))</formula>
    </cfRule>
    <cfRule type="containsText" dxfId="73" priority="73" operator="containsText" text="جيد جداً">
      <formula>NOT(ISERROR(SEARCH("جيد جداً",H29)))</formula>
    </cfRule>
    <cfRule type="containsText" dxfId="72" priority="74" operator="containsText" text="جيد">
      <formula>NOT(ISERROR(SEARCH("جيد",H29)))</formula>
    </cfRule>
    <cfRule type="containsText" dxfId="71" priority="75" operator="containsText" text="مقبول">
      <formula>NOT(ISERROR(SEARCH("مقبول",H29)))</formula>
    </cfRule>
    <cfRule type="containsText" dxfId="70" priority="76" operator="containsText" text="راسب">
      <formula>NOT(ISERROR(SEARCH("راسب",H29)))</formula>
    </cfRule>
  </conditionalFormatting>
  <conditionalFormatting sqref="F46">
    <cfRule type="containsText" dxfId="69" priority="70" operator="containsText" text="أدخل العلامة">
      <formula>NOT(ISERROR(SEARCH("أدخل العلامة",F46)))</formula>
    </cfRule>
  </conditionalFormatting>
  <conditionalFormatting sqref="H46">
    <cfRule type="containsText" dxfId="68" priority="64" operator="containsText" text="أدخل العلامة">
      <formula>NOT(ISERROR(SEARCH("أدخل العلامة",H46)))</formula>
    </cfRule>
    <cfRule type="containsText" dxfId="67" priority="65" operator="containsText" text="ممتاز">
      <formula>NOT(ISERROR(SEARCH("ممتاز",H46)))</formula>
    </cfRule>
    <cfRule type="containsText" dxfId="66" priority="66" operator="containsText" text="جيد جداً">
      <formula>NOT(ISERROR(SEARCH("جيد جداً",H46)))</formula>
    </cfRule>
    <cfRule type="containsText" dxfId="65" priority="67" operator="containsText" text="جيد">
      <formula>NOT(ISERROR(SEARCH("جيد",H46)))</formula>
    </cfRule>
    <cfRule type="containsText" dxfId="64" priority="68" operator="containsText" text="مقبول">
      <formula>NOT(ISERROR(SEARCH("مقبول",H46)))</formula>
    </cfRule>
    <cfRule type="containsText" dxfId="63" priority="69" operator="containsText" text="راسب">
      <formula>NOT(ISERROR(SEARCH("راسب",H46)))</formula>
    </cfRule>
  </conditionalFormatting>
  <conditionalFormatting sqref="F36">
    <cfRule type="containsText" dxfId="62" priority="63" operator="containsText" text="أدخل العلامة">
      <formula>NOT(ISERROR(SEARCH("أدخل العلامة",F36)))</formula>
    </cfRule>
  </conditionalFormatting>
  <conditionalFormatting sqref="H36">
    <cfRule type="containsText" dxfId="61" priority="57" operator="containsText" text="أدخل العلامة">
      <formula>NOT(ISERROR(SEARCH("أدخل العلامة",H36)))</formula>
    </cfRule>
    <cfRule type="containsText" dxfId="60" priority="58" operator="containsText" text="ممتاز">
      <formula>NOT(ISERROR(SEARCH("ممتاز",H36)))</formula>
    </cfRule>
    <cfRule type="containsText" dxfId="59" priority="59" operator="containsText" text="جيد جداً">
      <formula>NOT(ISERROR(SEARCH("جيد جداً",H36)))</formula>
    </cfRule>
    <cfRule type="containsText" dxfId="58" priority="60" operator="containsText" text="جيد">
      <formula>NOT(ISERROR(SEARCH("جيد",H36)))</formula>
    </cfRule>
    <cfRule type="containsText" dxfId="57" priority="61" operator="containsText" text="مقبول">
      <formula>NOT(ISERROR(SEARCH("مقبول",H36)))</formula>
    </cfRule>
    <cfRule type="containsText" dxfId="56" priority="62" operator="containsText" text="راسب">
      <formula>NOT(ISERROR(SEARCH("راسب",H36)))</formula>
    </cfRule>
  </conditionalFormatting>
  <conditionalFormatting sqref="F41">
    <cfRule type="containsText" dxfId="55" priority="56" operator="containsText" text="أدخل العلامة">
      <formula>NOT(ISERROR(SEARCH("أدخل العلامة",F41)))</formula>
    </cfRule>
  </conditionalFormatting>
  <conditionalFormatting sqref="H41">
    <cfRule type="containsText" dxfId="54" priority="50" operator="containsText" text="أدخل العلامة">
      <formula>NOT(ISERROR(SEARCH("أدخل العلامة",H41)))</formula>
    </cfRule>
    <cfRule type="containsText" dxfId="53" priority="51" operator="containsText" text="ممتاز">
      <formula>NOT(ISERROR(SEARCH("ممتاز",H41)))</formula>
    </cfRule>
    <cfRule type="containsText" dxfId="52" priority="52" operator="containsText" text="جيد جداً">
      <formula>NOT(ISERROR(SEARCH("جيد جداً",H41)))</formula>
    </cfRule>
    <cfRule type="containsText" dxfId="51" priority="53" operator="containsText" text="جيد">
      <formula>NOT(ISERROR(SEARCH("جيد",H41)))</formula>
    </cfRule>
    <cfRule type="containsText" dxfId="50" priority="54" operator="containsText" text="مقبول">
      <formula>NOT(ISERROR(SEARCH("مقبول",H41)))</formula>
    </cfRule>
    <cfRule type="containsText" dxfId="49" priority="55" operator="containsText" text="راسب">
      <formula>NOT(ISERROR(SEARCH("راسب",H41)))</formula>
    </cfRule>
  </conditionalFormatting>
  <conditionalFormatting sqref="F39">
    <cfRule type="containsText" dxfId="48" priority="49" operator="containsText" text="أدخل العلامة">
      <formula>NOT(ISERROR(SEARCH("أدخل العلامة",F39)))</formula>
    </cfRule>
  </conditionalFormatting>
  <conditionalFormatting sqref="H39">
    <cfRule type="containsText" dxfId="47" priority="43" operator="containsText" text="أدخل العلامة">
      <formula>NOT(ISERROR(SEARCH("أدخل العلامة",H39)))</formula>
    </cfRule>
    <cfRule type="containsText" dxfId="46" priority="44" operator="containsText" text="ممتاز">
      <formula>NOT(ISERROR(SEARCH("ممتاز",H39)))</formula>
    </cfRule>
    <cfRule type="containsText" dxfId="45" priority="45" operator="containsText" text="جيد جداً">
      <formula>NOT(ISERROR(SEARCH("جيد جداً",H39)))</formula>
    </cfRule>
    <cfRule type="containsText" dxfId="44" priority="46" operator="containsText" text="جيد">
      <formula>NOT(ISERROR(SEARCH("جيد",H39)))</formula>
    </cfRule>
    <cfRule type="containsText" dxfId="43" priority="47" operator="containsText" text="مقبول">
      <formula>NOT(ISERROR(SEARCH("مقبول",H39)))</formula>
    </cfRule>
    <cfRule type="containsText" dxfId="42" priority="48" operator="containsText" text="راسب">
      <formula>NOT(ISERROR(SEARCH("راسب",H39)))</formula>
    </cfRule>
  </conditionalFormatting>
  <conditionalFormatting sqref="F40">
    <cfRule type="containsText" dxfId="41" priority="42" operator="containsText" text="أدخل العلامة">
      <formula>NOT(ISERROR(SEARCH("أدخل العلامة",F40)))</formula>
    </cfRule>
  </conditionalFormatting>
  <conditionalFormatting sqref="H40">
    <cfRule type="containsText" dxfId="40" priority="36" operator="containsText" text="أدخل العلامة">
      <formula>NOT(ISERROR(SEARCH("أدخل العلامة",H40)))</formula>
    </cfRule>
    <cfRule type="containsText" dxfId="39" priority="37" operator="containsText" text="ممتاز">
      <formula>NOT(ISERROR(SEARCH("ممتاز",H40)))</formula>
    </cfRule>
    <cfRule type="containsText" dxfId="38" priority="38" operator="containsText" text="جيد جداً">
      <formula>NOT(ISERROR(SEARCH("جيد جداً",H40)))</formula>
    </cfRule>
    <cfRule type="containsText" dxfId="37" priority="39" operator="containsText" text="جيد">
      <formula>NOT(ISERROR(SEARCH("جيد",H40)))</formula>
    </cfRule>
    <cfRule type="containsText" dxfId="36" priority="40" operator="containsText" text="مقبول">
      <formula>NOT(ISERROR(SEARCH("مقبول",H40)))</formula>
    </cfRule>
    <cfRule type="containsText" dxfId="35" priority="41" operator="containsText" text="راسب">
      <formula>NOT(ISERROR(SEARCH("راسب",H40)))</formula>
    </cfRule>
  </conditionalFormatting>
  <conditionalFormatting sqref="F37">
    <cfRule type="containsText" dxfId="34" priority="35" operator="containsText" text="أدخل العلامة">
      <formula>NOT(ISERROR(SEARCH("أدخل العلامة",F37)))</formula>
    </cfRule>
  </conditionalFormatting>
  <conditionalFormatting sqref="H37">
    <cfRule type="containsText" dxfId="33" priority="29" operator="containsText" text="أدخل العلامة">
      <formula>NOT(ISERROR(SEARCH("أدخل العلامة",H37)))</formula>
    </cfRule>
    <cfRule type="containsText" dxfId="32" priority="30" operator="containsText" text="ممتاز">
      <formula>NOT(ISERROR(SEARCH("ممتاز",H37)))</formula>
    </cfRule>
    <cfRule type="containsText" dxfId="31" priority="31" operator="containsText" text="جيد جداً">
      <formula>NOT(ISERROR(SEARCH("جيد جداً",H37)))</formula>
    </cfRule>
    <cfRule type="containsText" dxfId="30" priority="32" operator="containsText" text="جيد">
      <formula>NOT(ISERROR(SEARCH("جيد",H37)))</formula>
    </cfRule>
    <cfRule type="containsText" dxfId="29" priority="33" operator="containsText" text="مقبول">
      <formula>NOT(ISERROR(SEARCH("مقبول",H37)))</formula>
    </cfRule>
    <cfRule type="containsText" dxfId="28" priority="34" operator="containsText" text="راسب">
      <formula>NOT(ISERROR(SEARCH("راسب",H37)))</formula>
    </cfRule>
  </conditionalFormatting>
  <conditionalFormatting sqref="F38">
    <cfRule type="containsText" dxfId="27" priority="28" operator="containsText" text="أدخل العلامة">
      <formula>NOT(ISERROR(SEARCH("أدخل العلامة",F38)))</formula>
    </cfRule>
  </conditionalFormatting>
  <conditionalFormatting sqref="H38">
    <cfRule type="containsText" dxfId="26" priority="22" operator="containsText" text="أدخل العلامة">
      <formula>NOT(ISERROR(SEARCH("أدخل العلامة",H38)))</formula>
    </cfRule>
    <cfRule type="containsText" dxfId="25" priority="23" operator="containsText" text="ممتاز">
      <formula>NOT(ISERROR(SEARCH("ممتاز",H38)))</formula>
    </cfRule>
    <cfRule type="containsText" dxfId="24" priority="24" operator="containsText" text="جيد جداً">
      <formula>NOT(ISERROR(SEARCH("جيد جداً",H38)))</formula>
    </cfRule>
    <cfRule type="containsText" dxfId="23" priority="25" operator="containsText" text="جيد">
      <formula>NOT(ISERROR(SEARCH("جيد",H38)))</formula>
    </cfRule>
    <cfRule type="containsText" dxfId="22" priority="26" operator="containsText" text="مقبول">
      <formula>NOT(ISERROR(SEARCH("مقبول",H38)))</formula>
    </cfRule>
    <cfRule type="containsText" dxfId="21" priority="27" operator="containsText" text="راسب">
      <formula>NOT(ISERROR(SEARCH("راسب",H38)))</formula>
    </cfRule>
  </conditionalFormatting>
  <conditionalFormatting sqref="F45">
    <cfRule type="containsText" dxfId="20" priority="21" operator="containsText" text="أدخل العلامة">
      <formula>NOT(ISERROR(SEARCH("أدخل العلامة",F45)))</formula>
    </cfRule>
  </conditionalFormatting>
  <conditionalFormatting sqref="H45">
    <cfRule type="containsText" dxfId="19" priority="15" operator="containsText" text="أدخل العلامة">
      <formula>NOT(ISERROR(SEARCH("أدخل العلامة",H45)))</formula>
    </cfRule>
    <cfRule type="containsText" dxfId="18" priority="16" operator="containsText" text="ممتاز">
      <formula>NOT(ISERROR(SEARCH("ممتاز",H45)))</formula>
    </cfRule>
    <cfRule type="containsText" dxfId="17" priority="17" operator="containsText" text="جيد جداً">
      <formula>NOT(ISERROR(SEARCH("جيد جداً",H45)))</formula>
    </cfRule>
    <cfRule type="containsText" dxfId="16" priority="18" operator="containsText" text="جيد">
      <formula>NOT(ISERROR(SEARCH("جيد",H45)))</formula>
    </cfRule>
    <cfRule type="containsText" dxfId="15" priority="19" operator="containsText" text="مقبول">
      <formula>NOT(ISERROR(SEARCH("مقبول",H45)))</formula>
    </cfRule>
    <cfRule type="containsText" dxfId="14" priority="20" operator="containsText" text="راسب">
      <formula>NOT(ISERROR(SEARCH("راسب",H45)))</formula>
    </cfRule>
  </conditionalFormatting>
  <conditionalFormatting sqref="F43:F44">
    <cfRule type="containsText" dxfId="13" priority="14" operator="containsText" text="أدخل العلامة">
      <formula>NOT(ISERROR(SEARCH("أدخل العلامة",F43)))</formula>
    </cfRule>
  </conditionalFormatting>
  <conditionalFormatting sqref="H43:H44">
    <cfRule type="containsText" dxfId="12" priority="8" operator="containsText" text="أدخل العلامة">
      <formula>NOT(ISERROR(SEARCH("أدخل العلامة",H43)))</formula>
    </cfRule>
    <cfRule type="containsText" dxfId="11" priority="9" operator="containsText" text="ممتاز">
      <formula>NOT(ISERROR(SEARCH("ممتاز",H43)))</formula>
    </cfRule>
    <cfRule type="containsText" dxfId="10" priority="10" operator="containsText" text="جيد جداً">
      <formula>NOT(ISERROR(SEARCH("جيد جداً",H43)))</formula>
    </cfRule>
    <cfRule type="containsText" dxfId="9" priority="11" operator="containsText" text="جيد">
      <formula>NOT(ISERROR(SEARCH("جيد",H43)))</formula>
    </cfRule>
    <cfRule type="containsText" dxfId="8" priority="12" operator="containsText" text="مقبول">
      <formula>NOT(ISERROR(SEARCH("مقبول",H43)))</formula>
    </cfRule>
    <cfRule type="containsText" dxfId="7" priority="13" operator="containsText" text="راسب">
      <formula>NOT(ISERROR(SEARCH("راسب",H43)))</formula>
    </cfRule>
  </conditionalFormatting>
  <conditionalFormatting sqref="F42">
    <cfRule type="containsText" dxfId="6" priority="7" operator="containsText" text="أدخل العلامة">
      <formula>NOT(ISERROR(SEARCH("أدخل العلامة",F42)))</formula>
    </cfRule>
  </conditionalFormatting>
  <conditionalFormatting sqref="H42">
    <cfRule type="containsText" dxfId="5" priority="1" operator="containsText" text="أدخل العلامة">
      <formula>NOT(ISERROR(SEARCH("أدخل العلامة",H42)))</formula>
    </cfRule>
    <cfRule type="containsText" dxfId="4" priority="2" operator="containsText" text="ممتاز">
      <formula>NOT(ISERROR(SEARCH("ممتاز",H42)))</formula>
    </cfRule>
    <cfRule type="containsText" dxfId="3" priority="3" operator="containsText" text="جيد جداً">
      <formula>NOT(ISERROR(SEARCH("جيد جداً",H42)))</formula>
    </cfRule>
    <cfRule type="containsText" dxfId="2" priority="4" operator="containsText" text="جيد">
      <formula>NOT(ISERROR(SEARCH("جيد",H42)))</formula>
    </cfRule>
    <cfRule type="containsText" dxfId="1" priority="5" operator="containsText" text="مقبول">
      <formula>NOT(ISERROR(SEARCH("مقبول",H42)))</formula>
    </cfRule>
    <cfRule type="containsText" dxfId="0" priority="6" operator="containsText" text="راسب">
      <formula>NOT(ISERROR(SEARCH("راسب",H42)))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'بيانات التقييم'!$A$161:$A$248</xm:f>
          </x14:formula1>
          <xm:sqref>G60:J60</xm:sqref>
        </x14:dataValidation>
        <x14:dataValidation type="list" allowBlank="1" showInputMessage="1" showErrorMessage="1">
          <x14:formula1>
            <xm:f>'بيانات التقييم'!$A$74:$A$88</xm:f>
          </x14:formula1>
          <xm:sqref>F45 F32:F34 F51:F53 F12:F13 F15:F17 F27 F37:F39</xm:sqref>
        </x14:dataValidation>
        <x14:dataValidation type="list" allowBlank="1" showInputMessage="1" showErrorMessage="1">
          <x14:formula1>
            <xm:f>'C:\Users\W10User\Desktop\تمارين 2026\1. تمرين لعبات الحرب والجاهزية 2026\تمرين لعبات الحرب 2026\7. بنك المعاضل\[عبوة ناسفة - استطلاع.xlsx]بيانات التقييم'!#REF!</xm:f>
          </x14:formula1>
          <xm:sqref>F50 F14 F19:F23 F54:F56 F25:F26 F44 F8:F10 F35 F28:F29 F40:F42 F46:F48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00"/>
  <sheetViews>
    <sheetView rightToLeft="1" topLeftCell="A66" workbookViewId="0">
      <selection activeCell="A162" sqref="A162:A286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36</v>
      </c>
      <c r="C1" s="2" t="s">
        <v>39</v>
      </c>
    </row>
    <row r="2" spans="1:3" ht="20.100000000000001" customHeight="1" thickBot="1" x14ac:dyDescent="0.3">
      <c r="A2" s="2" t="s">
        <v>47</v>
      </c>
      <c r="C2" s="17"/>
    </row>
    <row r="3" spans="1:3" ht="20.100000000000001" customHeight="1" thickBot="1" x14ac:dyDescent="0.3">
      <c r="A3" s="2" t="s">
        <v>22</v>
      </c>
      <c r="C3" s="17"/>
    </row>
    <row r="4" spans="1:3" ht="20.100000000000001" customHeight="1" thickBot="1" x14ac:dyDescent="0.3">
      <c r="A4" s="2" t="s">
        <v>48</v>
      </c>
      <c r="C4" s="17"/>
    </row>
    <row r="5" spans="1:3" ht="20.100000000000001" customHeight="1" thickBot="1" x14ac:dyDescent="0.3">
      <c r="A5" s="2" t="s">
        <v>49</v>
      </c>
      <c r="C5" s="17"/>
    </row>
    <row r="6" spans="1:3" ht="20.100000000000001" customHeight="1" thickBot="1" x14ac:dyDescent="0.3">
      <c r="A6" s="2" t="s">
        <v>50</v>
      </c>
      <c r="C6" s="17"/>
    </row>
    <row r="7" spans="1:3" ht="20.100000000000001" customHeight="1" thickBot="1" x14ac:dyDescent="0.3">
      <c r="A7" s="2" t="s">
        <v>51</v>
      </c>
      <c r="C7" s="17"/>
    </row>
    <row r="8" spans="1:3" ht="20.100000000000001" customHeight="1" thickBot="1" x14ac:dyDescent="0.3">
      <c r="A8" s="2" t="s">
        <v>52</v>
      </c>
      <c r="C8" s="17"/>
    </row>
    <row r="9" spans="1:3" ht="20.100000000000001" customHeight="1" thickBot="1" x14ac:dyDescent="0.3">
      <c r="A9" s="2" t="s">
        <v>53</v>
      </c>
      <c r="C9" s="17"/>
    </row>
    <row r="10" spans="1:3" ht="20.100000000000001" customHeight="1" thickBot="1" x14ac:dyDescent="0.3">
      <c r="A10" s="2" t="s">
        <v>54</v>
      </c>
      <c r="C10" s="17"/>
    </row>
    <row r="11" spans="1:3" ht="20.100000000000001" customHeight="1" thickBot="1" x14ac:dyDescent="0.3">
      <c r="A11" s="2" t="s">
        <v>55</v>
      </c>
      <c r="C11" s="17"/>
    </row>
    <row r="12" spans="1:3" ht="20.100000000000001" customHeight="1" thickBot="1" x14ac:dyDescent="0.3">
      <c r="A12" s="2" t="s">
        <v>56</v>
      </c>
      <c r="C12" s="17"/>
    </row>
    <row r="13" spans="1:3" ht="20.100000000000001" customHeight="1" thickBot="1" x14ac:dyDescent="0.3">
      <c r="A13" s="2" t="s">
        <v>57</v>
      </c>
      <c r="C13" s="17"/>
    </row>
    <row r="14" spans="1:3" ht="20.100000000000001" customHeight="1" thickBot="1" x14ac:dyDescent="0.3">
      <c r="A14" s="2" t="s">
        <v>58</v>
      </c>
      <c r="C14" s="17"/>
    </row>
    <row r="15" spans="1:3" ht="20.100000000000001" customHeight="1" thickBot="1" x14ac:dyDescent="0.3">
      <c r="A15" s="2" t="s">
        <v>59</v>
      </c>
      <c r="C15" s="17"/>
    </row>
    <row r="16" spans="1:3" ht="20.100000000000001" customHeight="1" thickBot="1" x14ac:dyDescent="0.3">
      <c r="A16" s="2" t="s">
        <v>6</v>
      </c>
      <c r="C16" s="17"/>
    </row>
    <row r="17" spans="1:3" ht="20.100000000000001" customHeight="1" thickBot="1" x14ac:dyDescent="0.3">
      <c r="A17" s="2" t="s">
        <v>23</v>
      </c>
      <c r="C17" s="17"/>
    </row>
    <row r="18" spans="1:3" ht="20.100000000000001" customHeight="1" thickBot="1" x14ac:dyDescent="0.3">
      <c r="A18" s="2" t="s">
        <v>60</v>
      </c>
      <c r="C18" s="17"/>
    </row>
    <row r="19" spans="1:3" ht="20.100000000000001" customHeight="1" thickBot="1" x14ac:dyDescent="0.3">
      <c r="A19" s="2" t="s">
        <v>61</v>
      </c>
      <c r="C19" s="17"/>
    </row>
    <row r="20" spans="1:3" ht="20.100000000000001" customHeight="1" thickBot="1" x14ac:dyDescent="0.3">
      <c r="A20" s="2" t="s">
        <v>62</v>
      </c>
      <c r="C20" s="17"/>
    </row>
    <row r="21" spans="1:3" ht="20.100000000000001" customHeight="1" thickBot="1" x14ac:dyDescent="0.3">
      <c r="A21" s="2" t="s">
        <v>63</v>
      </c>
      <c r="C21" s="17"/>
    </row>
    <row r="22" spans="1:3" ht="20.100000000000001" customHeight="1" thickBot="1" x14ac:dyDescent="0.3">
      <c r="A22" s="2" t="s">
        <v>7</v>
      </c>
      <c r="C22" s="17"/>
    </row>
    <row r="23" spans="1:3" ht="20.100000000000001" customHeight="1" thickBot="1" x14ac:dyDescent="0.3">
      <c r="A23" s="2" t="s">
        <v>8</v>
      </c>
      <c r="C23" s="17"/>
    </row>
    <row r="24" spans="1:3" ht="20.100000000000001" customHeight="1" thickBot="1" x14ac:dyDescent="0.3">
      <c r="A24" s="2" t="s">
        <v>11</v>
      </c>
      <c r="C24" s="17"/>
    </row>
    <row r="25" spans="1:3" ht="20.100000000000001" customHeight="1" thickBot="1" x14ac:dyDescent="0.3">
      <c r="A25" s="2" t="s">
        <v>24</v>
      </c>
      <c r="C25" s="17"/>
    </row>
    <row r="26" spans="1:3" ht="20.100000000000001" customHeight="1" thickBot="1" x14ac:dyDescent="0.3">
      <c r="A26" s="2" t="s">
        <v>25</v>
      </c>
      <c r="C26" s="17"/>
    </row>
    <row r="27" spans="1:3" ht="20.100000000000001" customHeight="1" thickBot="1" x14ac:dyDescent="0.3">
      <c r="A27" s="2" t="s">
        <v>9</v>
      </c>
      <c r="C27" s="17"/>
    </row>
    <row r="28" spans="1:3" ht="20.100000000000001" customHeight="1" thickBot="1" x14ac:dyDescent="0.3">
      <c r="A28" s="2" t="s">
        <v>26</v>
      </c>
      <c r="C28" s="17"/>
    </row>
    <row r="29" spans="1:3" ht="20.100000000000001" customHeight="1" thickBot="1" x14ac:dyDescent="0.3">
      <c r="A29" s="2" t="s">
        <v>27</v>
      </c>
      <c r="C29" s="17"/>
    </row>
    <row r="30" spans="1:3" ht="20.100000000000001" customHeight="1" thickBot="1" x14ac:dyDescent="0.3">
      <c r="A30" s="2" t="s">
        <v>28</v>
      </c>
      <c r="C30" s="17"/>
    </row>
    <row r="31" spans="1:3" ht="20.100000000000001" customHeight="1" thickBot="1" x14ac:dyDescent="0.3">
      <c r="A31" s="2" t="s">
        <v>29</v>
      </c>
      <c r="C31" s="17"/>
    </row>
    <row r="32" spans="1:3" ht="20.100000000000001" customHeight="1" thickBot="1" x14ac:dyDescent="0.3">
      <c r="A32" s="2" t="s">
        <v>12</v>
      </c>
      <c r="C32" s="17"/>
    </row>
    <row r="33" spans="1:9" ht="20.100000000000001" customHeight="1" thickBot="1" x14ac:dyDescent="0.3">
      <c r="A33" s="2" t="s">
        <v>10</v>
      </c>
      <c r="C33" s="17"/>
    </row>
    <row r="34" spans="1:9" ht="20.100000000000001" customHeight="1" thickBot="1" x14ac:dyDescent="0.3">
      <c r="A34" s="2" t="s">
        <v>30</v>
      </c>
      <c r="C34" s="17"/>
    </row>
    <row r="35" spans="1:9" ht="20.100000000000001" customHeight="1" x14ac:dyDescent="0.25">
      <c r="A35" s="16"/>
    </row>
    <row r="36" spans="1:9" s="15" customFormat="1" ht="20.100000000000001" customHeight="1" x14ac:dyDescent="0.25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"/>
    <row r="38" spans="1:9" ht="20.100000000000001" customHeight="1" thickBot="1" x14ac:dyDescent="0.3">
      <c r="A38" s="2" t="s">
        <v>35</v>
      </c>
    </row>
    <row r="39" spans="1:9" ht="20.100000000000001" customHeight="1" thickBot="1" x14ac:dyDescent="0.3">
      <c r="A39" s="11">
        <v>46266</v>
      </c>
    </row>
    <row r="40" spans="1:9" ht="20.100000000000001" customHeight="1" thickBot="1" x14ac:dyDescent="0.3">
      <c r="A40" s="11">
        <v>46267</v>
      </c>
    </row>
    <row r="41" spans="1:9" ht="20.100000000000001" customHeight="1" thickBot="1" x14ac:dyDescent="0.3">
      <c r="A41" s="11">
        <v>46268</v>
      </c>
      <c r="C41" s="33" t="s">
        <v>46</v>
      </c>
    </row>
    <row r="42" spans="1:9" ht="20.100000000000001" customHeight="1" thickBot="1" x14ac:dyDescent="0.3">
      <c r="A42" s="11">
        <v>46269</v>
      </c>
      <c r="C42" s="11" t="s">
        <v>64</v>
      </c>
    </row>
    <row r="43" spans="1:9" ht="20.100000000000001" customHeight="1" thickBot="1" x14ac:dyDescent="0.3">
      <c r="A43" s="11">
        <v>46270</v>
      </c>
      <c r="C43" s="11" t="s">
        <v>65</v>
      </c>
    </row>
    <row r="44" spans="1:9" ht="20.100000000000001" customHeight="1" thickBot="1" x14ac:dyDescent="0.3">
      <c r="A44" s="11">
        <v>46271</v>
      </c>
      <c r="C44" s="11" t="s">
        <v>66</v>
      </c>
    </row>
    <row r="45" spans="1:9" ht="20.100000000000001" customHeight="1" thickBot="1" x14ac:dyDescent="0.3">
      <c r="A45" s="11">
        <v>46272</v>
      </c>
      <c r="C45" s="11" t="s">
        <v>67</v>
      </c>
    </row>
    <row r="46" spans="1:9" ht="20.100000000000001" customHeight="1" thickBot="1" x14ac:dyDescent="0.3">
      <c r="A46" s="11">
        <v>46273</v>
      </c>
      <c r="C46" s="11" t="s">
        <v>68</v>
      </c>
    </row>
    <row r="47" spans="1:9" ht="20.100000000000001" customHeight="1" thickBot="1" x14ac:dyDescent="0.3">
      <c r="A47" s="11">
        <v>46274</v>
      </c>
      <c r="C47" s="11" t="s">
        <v>69</v>
      </c>
    </row>
    <row r="48" spans="1:9" ht="20.100000000000001" customHeight="1" thickBot="1" x14ac:dyDescent="0.3">
      <c r="A48" s="11">
        <v>46275</v>
      </c>
    </row>
    <row r="49" spans="1:3" ht="20.100000000000001" customHeight="1" thickBot="1" x14ac:dyDescent="0.3">
      <c r="A49" s="11">
        <v>46276</v>
      </c>
    </row>
    <row r="50" spans="1:3" ht="20.100000000000001" customHeight="1" thickBot="1" x14ac:dyDescent="0.35">
      <c r="A50" s="11">
        <v>46277</v>
      </c>
      <c r="C50" s="34" t="s">
        <v>45</v>
      </c>
    </row>
    <row r="51" spans="1:3" ht="20.100000000000001" customHeight="1" thickBot="1" x14ac:dyDescent="0.35">
      <c r="A51" s="11">
        <v>46278</v>
      </c>
      <c r="C51" s="34">
        <v>1</v>
      </c>
    </row>
    <row r="52" spans="1:3" ht="20.100000000000001" customHeight="1" thickBot="1" x14ac:dyDescent="0.35">
      <c r="A52" s="11">
        <v>46279</v>
      </c>
      <c r="C52" s="34">
        <v>2</v>
      </c>
    </row>
    <row r="53" spans="1:3" ht="20.100000000000001" customHeight="1" thickBot="1" x14ac:dyDescent="0.35">
      <c r="A53" s="11">
        <v>46280</v>
      </c>
      <c r="C53" s="34">
        <v>3</v>
      </c>
    </row>
    <row r="54" spans="1:3" ht="20.100000000000001" customHeight="1" thickBot="1" x14ac:dyDescent="0.35">
      <c r="A54" s="11">
        <v>46281</v>
      </c>
      <c r="C54" s="34">
        <v>4</v>
      </c>
    </row>
    <row r="55" spans="1:3" ht="20.100000000000001" customHeight="1" thickBot="1" x14ac:dyDescent="0.35">
      <c r="A55" s="11">
        <v>46282</v>
      </c>
      <c r="C55" s="34">
        <v>5</v>
      </c>
    </row>
    <row r="56" spans="1:3" ht="20.100000000000001" customHeight="1" thickBot="1" x14ac:dyDescent="0.35">
      <c r="A56" s="11">
        <v>46283</v>
      </c>
      <c r="C56" s="34">
        <v>6</v>
      </c>
    </row>
    <row r="57" spans="1:3" ht="20.100000000000001" customHeight="1" thickBot="1" x14ac:dyDescent="0.35">
      <c r="A57" s="11">
        <v>46284</v>
      </c>
      <c r="C57" s="34">
        <v>7</v>
      </c>
    </row>
    <row r="58" spans="1:3" ht="20.100000000000001" customHeight="1" thickBot="1" x14ac:dyDescent="0.35">
      <c r="A58" s="11">
        <v>46285</v>
      </c>
      <c r="C58" s="34">
        <v>8</v>
      </c>
    </row>
    <row r="59" spans="1:3" ht="20.100000000000001" customHeight="1" thickBot="1" x14ac:dyDescent="0.35">
      <c r="A59" s="11">
        <v>46286</v>
      </c>
      <c r="C59" s="34">
        <v>9</v>
      </c>
    </row>
    <row r="60" spans="1:3" ht="20.100000000000001" customHeight="1" thickBot="1" x14ac:dyDescent="0.35">
      <c r="A60" s="11">
        <v>46287</v>
      </c>
      <c r="C60" s="34">
        <v>10</v>
      </c>
    </row>
    <row r="61" spans="1:3" ht="20.100000000000001" customHeight="1" thickBot="1" x14ac:dyDescent="0.35">
      <c r="A61" s="11">
        <v>46288</v>
      </c>
      <c r="C61" s="34">
        <v>11</v>
      </c>
    </row>
    <row r="62" spans="1:3" ht="20.100000000000001" customHeight="1" thickBot="1" x14ac:dyDescent="0.35">
      <c r="A62" s="11">
        <v>46289</v>
      </c>
      <c r="C62" s="34">
        <v>12</v>
      </c>
    </row>
    <row r="63" spans="1:3" ht="20.100000000000001" customHeight="1" thickBot="1" x14ac:dyDescent="0.35">
      <c r="A63" s="11">
        <v>46290</v>
      </c>
      <c r="C63" s="34">
        <v>13</v>
      </c>
    </row>
    <row r="64" spans="1:3" ht="20.100000000000001" customHeight="1" thickBot="1" x14ac:dyDescent="0.35">
      <c r="A64" s="11">
        <v>46291</v>
      </c>
      <c r="C64" s="34">
        <v>14</v>
      </c>
    </row>
    <row r="65" spans="1:9" ht="20.100000000000001" customHeight="1" thickBot="1" x14ac:dyDescent="0.35">
      <c r="A65" s="11">
        <v>46292</v>
      </c>
      <c r="C65" s="34">
        <v>15</v>
      </c>
    </row>
    <row r="66" spans="1:9" ht="20.100000000000001" customHeight="1" thickBot="1" x14ac:dyDescent="0.35">
      <c r="A66" s="11">
        <v>46293</v>
      </c>
      <c r="C66" s="34">
        <v>16</v>
      </c>
    </row>
    <row r="67" spans="1:9" ht="20.100000000000001" customHeight="1" thickBot="1" x14ac:dyDescent="0.35">
      <c r="A67" s="11">
        <v>46294</v>
      </c>
      <c r="C67" s="34">
        <v>17</v>
      </c>
    </row>
    <row r="68" spans="1:9" ht="20.100000000000001" customHeight="1" thickBot="1" x14ac:dyDescent="0.35">
      <c r="A68" s="11">
        <v>46295</v>
      </c>
      <c r="C68" s="34">
        <v>18</v>
      </c>
    </row>
    <row r="69" spans="1:9" ht="20.100000000000001" customHeight="1" thickBot="1" x14ac:dyDescent="0.35">
      <c r="A69" s="11">
        <v>46296</v>
      </c>
      <c r="C69" s="34">
        <v>19</v>
      </c>
    </row>
    <row r="70" spans="1:9" ht="20.100000000000001" customHeight="1" x14ac:dyDescent="0.3">
      <c r="A70" s="12"/>
      <c r="C70" s="34">
        <v>20</v>
      </c>
    </row>
    <row r="71" spans="1:9" ht="20.100000000000001" customHeight="1" x14ac:dyDescent="0.3">
      <c r="A71" s="12"/>
      <c r="C71" s="34">
        <v>21</v>
      </c>
    </row>
    <row r="72" spans="1:9" s="15" customFormat="1" ht="20.100000000000001" customHeight="1" x14ac:dyDescent="0.3">
      <c r="A72" s="13"/>
      <c r="B72" s="14"/>
      <c r="C72" s="34">
        <v>22</v>
      </c>
      <c r="D72" s="14"/>
      <c r="E72" s="14"/>
      <c r="F72" s="14"/>
      <c r="G72" s="14"/>
      <c r="H72" s="14"/>
      <c r="I72" s="14"/>
    </row>
    <row r="73" spans="1:9" ht="20.100000000000001" customHeight="1" thickBot="1" x14ac:dyDescent="0.35">
      <c r="C73" s="34">
        <v>23</v>
      </c>
    </row>
    <row r="74" spans="1:9" ht="20.100000000000001" customHeight="1" thickBot="1" x14ac:dyDescent="0.35">
      <c r="A74" s="2" t="s">
        <v>40</v>
      </c>
      <c r="C74" s="34">
        <v>24</v>
      </c>
    </row>
    <row r="75" spans="1:9" ht="20.100000000000001" customHeight="1" thickBot="1" x14ac:dyDescent="0.35">
      <c r="A75" s="2" t="s">
        <v>13</v>
      </c>
      <c r="C75" s="34">
        <v>25</v>
      </c>
    </row>
    <row r="76" spans="1:9" ht="20.100000000000001" customHeight="1" thickBot="1" x14ac:dyDescent="0.35">
      <c r="A76" s="2">
        <v>0</v>
      </c>
      <c r="C76" s="34">
        <v>26</v>
      </c>
    </row>
    <row r="77" spans="1:9" ht="20.100000000000001" customHeight="1" thickBot="1" x14ac:dyDescent="0.35">
      <c r="A77" s="2">
        <v>0.25</v>
      </c>
      <c r="C77" s="34">
        <v>27</v>
      </c>
    </row>
    <row r="78" spans="1:9" ht="20.100000000000001" customHeight="1" thickBot="1" x14ac:dyDescent="0.35">
      <c r="A78" s="2">
        <v>0.5</v>
      </c>
      <c r="C78" s="34">
        <v>28</v>
      </c>
    </row>
    <row r="79" spans="1:9" ht="20.100000000000001" customHeight="1" thickBot="1" x14ac:dyDescent="0.35">
      <c r="A79" s="2">
        <v>0.75</v>
      </c>
      <c r="C79" s="34">
        <v>29</v>
      </c>
    </row>
    <row r="80" spans="1:9" ht="20.100000000000001" customHeight="1" thickBot="1" x14ac:dyDescent="0.35">
      <c r="A80" s="2">
        <v>1</v>
      </c>
      <c r="C80" s="34">
        <v>30</v>
      </c>
    </row>
    <row r="81" spans="1:3" ht="20.100000000000001" customHeight="1" thickBot="1" x14ac:dyDescent="0.35">
      <c r="A81" s="2">
        <v>1.25</v>
      </c>
      <c r="C81" s="34">
        <v>31</v>
      </c>
    </row>
    <row r="82" spans="1:3" ht="20.100000000000001" customHeight="1" thickBot="1" x14ac:dyDescent="0.35">
      <c r="A82" s="2">
        <v>1.5</v>
      </c>
      <c r="C82" s="34">
        <v>32</v>
      </c>
    </row>
    <row r="83" spans="1:3" ht="20.100000000000001" customHeight="1" thickBot="1" x14ac:dyDescent="0.35">
      <c r="A83" s="2">
        <v>1.75</v>
      </c>
      <c r="C83" s="34">
        <v>33</v>
      </c>
    </row>
    <row r="84" spans="1:3" ht="20.100000000000001" customHeight="1" thickBot="1" x14ac:dyDescent="0.35">
      <c r="A84" s="2">
        <v>2</v>
      </c>
      <c r="C84" s="34">
        <v>34</v>
      </c>
    </row>
    <row r="85" spans="1:3" ht="20.100000000000001" customHeight="1" thickBot="1" x14ac:dyDescent="0.35">
      <c r="A85" s="2">
        <v>2.25</v>
      </c>
      <c r="C85" s="34">
        <v>35</v>
      </c>
    </row>
    <row r="86" spans="1:3" ht="20.100000000000001" customHeight="1" thickBot="1" x14ac:dyDescent="0.35">
      <c r="A86" s="2">
        <v>2.5</v>
      </c>
      <c r="C86" s="34">
        <v>36</v>
      </c>
    </row>
    <row r="87" spans="1:3" ht="20.100000000000001" customHeight="1" thickBot="1" x14ac:dyDescent="0.35">
      <c r="A87" s="2">
        <v>2.75</v>
      </c>
      <c r="C87" s="34">
        <v>37</v>
      </c>
    </row>
    <row r="88" spans="1:3" ht="20.100000000000001" customHeight="1" thickBot="1" x14ac:dyDescent="0.35">
      <c r="A88" s="2">
        <v>3</v>
      </c>
      <c r="C88" s="34">
        <v>38</v>
      </c>
    </row>
    <row r="89" spans="1:3" ht="20.100000000000001" customHeight="1" thickBot="1" x14ac:dyDescent="0.35">
      <c r="A89" s="2">
        <v>3.25</v>
      </c>
      <c r="C89" s="34">
        <v>39</v>
      </c>
    </row>
    <row r="90" spans="1:3" ht="20.100000000000001" customHeight="1" thickBot="1" x14ac:dyDescent="0.35">
      <c r="A90" s="2">
        <v>3.5</v>
      </c>
      <c r="C90" s="34">
        <v>40</v>
      </c>
    </row>
    <row r="91" spans="1:3" ht="20.100000000000001" customHeight="1" thickBot="1" x14ac:dyDescent="0.35">
      <c r="A91" s="2">
        <v>3.75</v>
      </c>
      <c r="C91" s="34">
        <v>41</v>
      </c>
    </row>
    <row r="92" spans="1:3" ht="20.100000000000001" customHeight="1" thickBot="1" x14ac:dyDescent="0.35">
      <c r="A92" s="2">
        <v>4</v>
      </c>
      <c r="C92" s="34">
        <v>42</v>
      </c>
    </row>
    <row r="93" spans="1:3" ht="20.100000000000001" customHeight="1" thickBot="1" x14ac:dyDescent="0.35">
      <c r="A93" s="2">
        <v>4.25</v>
      </c>
      <c r="C93" s="34">
        <v>43</v>
      </c>
    </row>
    <row r="94" spans="1:3" ht="20.100000000000001" customHeight="1" thickBot="1" x14ac:dyDescent="0.35">
      <c r="A94" s="2">
        <v>4.5</v>
      </c>
      <c r="C94" s="34">
        <v>44</v>
      </c>
    </row>
    <row r="95" spans="1:3" ht="20.100000000000001" customHeight="1" thickBot="1" x14ac:dyDescent="0.35">
      <c r="A95" s="2">
        <v>4.75</v>
      </c>
      <c r="C95" s="34">
        <v>45</v>
      </c>
    </row>
    <row r="96" spans="1:3" ht="20.100000000000001" customHeight="1" thickBot="1" x14ac:dyDescent="0.35">
      <c r="A96" s="2">
        <v>5</v>
      </c>
      <c r="C96" s="34">
        <v>46</v>
      </c>
    </row>
    <row r="97" spans="1:3" ht="20.100000000000001" customHeight="1" thickBot="1" x14ac:dyDescent="0.35">
      <c r="A97" s="2">
        <v>5.25</v>
      </c>
      <c r="C97" s="34">
        <v>47</v>
      </c>
    </row>
    <row r="98" spans="1:3" ht="20.100000000000001" customHeight="1" thickBot="1" x14ac:dyDescent="0.35">
      <c r="A98" s="2">
        <v>5.5</v>
      </c>
      <c r="C98" s="34">
        <v>48</v>
      </c>
    </row>
    <row r="99" spans="1:3" ht="20.100000000000001" customHeight="1" thickBot="1" x14ac:dyDescent="0.35">
      <c r="A99" s="2">
        <v>5.75</v>
      </c>
      <c r="C99" s="34">
        <v>49</v>
      </c>
    </row>
    <row r="100" spans="1:3" ht="20.100000000000001" customHeight="1" thickBot="1" x14ac:dyDescent="0.35">
      <c r="A100" s="2">
        <v>6</v>
      </c>
      <c r="C100" s="34">
        <v>50</v>
      </c>
    </row>
    <row r="101" spans="1:3" ht="20.100000000000001" customHeight="1" thickBot="1" x14ac:dyDescent="0.35">
      <c r="A101" s="2">
        <v>6.25</v>
      </c>
      <c r="C101" s="34">
        <v>51</v>
      </c>
    </row>
    <row r="102" spans="1:3" ht="20.100000000000001" customHeight="1" thickBot="1" x14ac:dyDescent="0.35">
      <c r="A102" s="2">
        <v>6.5</v>
      </c>
      <c r="C102" s="34">
        <v>52</v>
      </c>
    </row>
    <row r="103" spans="1:3" ht="20.100000000000001" customHeight="1" thickBot="1" x14ac:dyDescent="0.35">
      <c r="A103" s="2">
        <v>6.75</v>
      </c>
      <c r="C103" s="34">
        <v>53</v>
      </c>
    </row>
    <row r="104" spans="1:3" ht="20.100000000000001" customHeight="1" thickBot="1" x14ac:dyDescent="0.35">
      <c r="A104" s="2">
        <v>7</v>
      </c>
      <c r="C104" s="34">
        <v>54</v>
      </c>
    </row>
    <row r="105" spans="1:3" ht="20.100000000000001" customHeight="1" thickBot="1" x14ac:dyDescent="0.35">
      <c r="A105" s="2">
        <v>7.25</v>
      </c>
      <c r="C105" s="34">
        <v>55</v>
      </c>
    </row>
    <row r="106" spans="1:3" ht="20.100000000000001" customHeight="1" thickBot="1" x14ac:dyDescent="0.35">
      <c r="A106" s="2">
        <v>7.5</v>
      </c>
      <c r="C106" s="34">
        <v>56</v>
      </c>
    </row>
    <row r="107" spans="1:3" ht="20.100000000000001" customHeight="1" thickBot="1" x14ac:dyDescent="0.35">
      <c r="A107" s="2">
        <v>7.75</v>
      </c>
      <c r="C107" s="34">
        <v>57</v>
      </c>
    </row>
    <row r="108" spans="1:3" ht="20.100000000000001" customHeight="1" thickBot="1" x14ac:dyDescent="0.35">
      <c r="A108" s="2">
        <v>8</v>
      </c>
      <c r="C108" s="34">
        <v>58</v>
      </c>
    </row>
    <row r="109" spans="1:3" ht="20.100000000000001" customHeight="1" thickBot="1" x14ac:dyDescent="0.35">
      <c r="A109" s="2">
        <v>8.25</v>
      </c>
      <c r="C109" s="34">
        <v>59</v>
      </c>
    </row>
    <row r="110" spans="1:3" ht="20.100000000000001" customHeight="1" thickBot="1" x14ac:dyDescent="0.35">
      <c r="A110" s="2">
        <v>8.5</v>
      </c>
      <c r="C110" s="34">
        <v>60</v>
      </c>
    </row>
    <row r="111" spans="1:3" ht="20.100000000000001" customHeight="1" thickBot="1" x14ac:dyDescent="0.35">
      <c r="A111" s="2">
        <v>8.75</v>
      </c>
      <c r="C111" s="34">
        <v>61</v>
      </c>
    </row>
    <row r="112" spans="1:3" ht="20.100000000000001" customHeight="1" thickBot="1" x14ac:dyDescent="0.35">
      <c r="A112" s="2">
        <v>9</v>
      </c>
      <c r="C112" s="34">
        <v>62</v>
      </c>
    </row>
    <row r="113" spans="1:3" ht="20.100000000000001" customHeight="1" thickBot="1" x14ac:dyDescent="0.35">
      <c r="A113" s="2">
        <v>9.25</v>
      </c>
      <c r="C113" s="34">
        <v>63</v>
      </c>
    </row>
    <row r="114" spans="1:3" ht="20.100000000000001" customHeight="1" thickBot="1" x14ac:dyDescent="0.35">
      <c r="A114" s="2">
        <v>9.5</v>
      </c>
      <c r="C114" s="34">
        <v>64</v>
      </c>
    </row>
    <row r="115" spans="1:3" ht="20.100000000000001" customHeight="1" thickBot="1" x14ac:dyDescent="0.35">
      <c r="A115" s="2">
        <v>9.75</v>
      </c>
      <c r="C115" s="34">
        <v>65</v>
      </c>
    </row>
    <row r="116" spans="1:3" ht="20.100000000000001" customHeight="1" thickBot="1" x14ac:dyDescent="0.35">
      <c r="A116" s="2">
        <v>10</v>
      </c>
      <c r="C116" s="34">
        <v>66</v>
      </c>
    </row>
    <row r="117" spans="1:3" ht="20.100000000000001" customHeight="1" thickBot="1" x14ac:dyDescent="0.35">
      <c r="A117" s="2">
        <v>10.25</v>
      </c>
      <c r="C117" s="34">
        <v>67</v>
      </c>
    </row>
    <row r="118" spans="1:3" ht="20.100000000000001" customHeight="1" thickBot="1" x14ac:dyDescent="0.35">
      <c r="A118" s="2">
        <v>10.5</v>
      </c>
      <c r="C118" s="34">
        <v>68</v>
      </c>
    </row>
    <row r="119" spans="1:3" ht="20.100000000000001" customHeight="1" thickBot="1" x14ac:dyDescent="0.35">
      <c r="A119" s="2">
        <v>10.75</v>
      </c>
      <c r="C119" s="34">
        <v>69</v>
      </c>
    </row>
    <row r="120" spans="1:3" ht="20.100000000000001" customHeight="1" thickBot="1" x14ac:dyDescent="0.35">
      <c r="A120" s="2">
        <v>11</v>
      </c>
      <c r="C120" s="34">
        <v>70</v>
      </c>
    </row>
    <row r="121" spans="1:3" ht="20.100000000000001" customHeight="1" thickBot="1" x14ac:dyDescent="0.35">
      <c r="A121" s="2">
        <v>11.25</v>
      </c>
      <c r="C121" s="34">
        <v>71</v>
      </c>
    </row>
    <row r="122" spans="1:3" ht="20.100000000000001" customHeight="1" thickBot="1" x14ac:dyDescent="0.35">
      <c r="A122" s="2">
        <v>11.5</v>
      </c>
      <c r="C122" s="34">
        <v>72</v>
      </c>
    </row>
    <row r="123" spans="1:3" ht="20.100000000000001" customHeight="1" thickBot="1" x14ac:dyDescent="0.35">
      <c r="A123" s="2">
        <v>11.75</v>
      </c>
      <c r="C123" s="34">
        <v>73</v>
      </c>
    </row>
    <row r="124" spans="1:3" ht="20.100000000000001" customHeight="1" thickBot="1" x14ac:dyDescent="0.35">
      <c r="A124" s="2">
        <v>12</v>
      </c>
      <c r="C124" s="34">
        <v>74</v>
      </c>
    </row>
    <row r="125" spans="1:3" ht="20.100000000000001" customHeight="1" thickBot="1" x14ac:dyDescent="0.35">
      <c r="A125" s="2">
        <v>12.25</v>
      </c>
      <c r="C125" s="34">
        <v>75</v>
      </c>
    </row>
    <row r="126" spans="1:3" ht="20.100000000000001" customHeight="1" thickBot="1" x14ac:dyDescent="0.35">
      <c r="A126" s="2">
        <v>12.5</v>
      </c>
      <c r="C126" s="34">
        <v>76</v>
      </c>
    </row>
    <row r="127" spans="1:3" ht="20.100000000000001" customHeight="1" thickBot="1" x14ac:dyDescent="0.35">
      <c r="A127" s="2">
        <v>12.75</v>
      </c>
      <c r="C127" s="34">
        <v>77</v>
      </c>
    </row>
    <row r="128" spans="1:3" ht="20.100000000000001" customHeight="1" thickBot="1" x14ac:dyDescent="0.35">
      <c r="A128" s="2">
        <v>13</v>
      </c>
      <c r="C128" s="34">
        <v>78</v>
      </c>
    </row>
    <row r="129" spans="1:3" ht="20.100000000000001" customHeight="1" thickBot="1" x14ac:dyDescent="0.35">
      <c r="A129" s="2">
        <v>13.25</v>
      </c>
      <c r="C129" s="34">
        <v>79</v>
      </c>
    </row>
    <row r="130" spans="1:3" ht="20.100000000000001" customHeight="1" thickBot="1" x14ac:dyDescent="0.35">
      <c r="A130" s="2">
        <v>13.5</v>
      </c>
      <c r="C130" s="34">
        <v>80</v>
      </c>
    </row>
    <row r="131" spans="1:3" ht="20.100000000000001" customHeight="1" thickBot="1" x14ac:dyDescent="0.35">
      <c r="A131" s="2">
        <v>13.75</v>
      </c>
      <c r="C131" s="34">
        <v>81</v>
      </c>
    </row>
    <row r="132" spans="1:3" ht="20.100000000000001" customHeight="1" thickBot="1" x14ac:dyDescent="0.35">
      <c r="A132" s="2">
        <v>14</v>
      </c>
      <c r="C132" s="34">
        <v>82</v>
      </c>
    </row>
    <row r="133" spans="1:3" ht="20.100000000000001" customHeight="1" thickBot="1" x14ac:dyDescent="0.35">
      <c r="A133" s="2">
        <v>14.25</v>
      </c>
      <c r="C133" s="34">
        <v>83</v>
      </c>
    </row>
    <row r="134" spans="1:3" ht="20.100000000000001" customHeight="1" thickBot="1" x14ac:dyDescent="0.35">
      <c r="A134" s="2">
        <v>14.5</v>
      </c>
      <c r="C134" s="34">
        <v>84</v>
      </c>
    </row>
    <row r="135" spans="1:3" ht="20.100000000000001" customHeight="1" thickBot="1" x14ac:dyDescent="0.35">
      <c r="A135" s="2">
        <v>14.75</v>
      </c>
      <c r="C135" s="34">
        <v>85</v>
      </c>
    </row>
    <row r="136" spans="1:3" ht="20.100000000000001" customHeight="1" thickBot="1" x14ac:dyDescent="0.35">
      <c r="A136" s="2">
        <v>15</v>
      </c>
      <c r="C136" s="34">
        <v>86</v>
      </c>
    </row>
    <row r="137" spans="1:3" ht="20.100000000000001" customHeight="1" thickBot="1" x14ac:dyDescent="0.35">
      <c r="A137" s="2">
        <v>15.25</v>
      </c>
      <c r="C137" s="34">
        <v>87</v>
      </c>
    </row>
    <row r="138" spans="1:3" ht="20.100000000000001" customHeight="1" thickBot="1" x14ac:dyDescent="0.35">
      <c r="A138" s="2">
        <v>15.5</v>
      </c>
      <c r="C138" s="34">
        <v>88</v>
      </c>
    </row>
    <row r="139" spans="1:3" ht="20.100000000000001" customHeight="1" thickBot="1" x14ac:dyDescent="0.35">
      <c r="A139" s="2">
        <v>15.75</v>
      </c>
      <c r="C139" s="34">
        <v>89</v>
      </c>
    </row>
    <row r="140" spans="1:3" ht="20.100000000000001" customHeight="1" thickBot="1" x14ac:dyDescent="0.35">
      <c r="A140" s="2">
        <v>16</v>
      </c>
      <c r="C140" s="34">
        <v>90</v>
      </c>
    </row>
    <row r="141" spans="1:3" ht="20.100000000000001" customHeight="1" thickBot="1" x14ac:dyDescent="0.35">
      <c r="A141" s="2">
        <v>16.25</v>
      </c>
      <c r="C141" s="34">
        <v>91</v>
      </c>
    </row>
    <row r="142" spans="1:3" ht="20.100000000000001" customHeight="1" thickBot="1" x14ac:dyDescent="0.35">
      <c r="A142" s="2">
        <v>16.5</v>
      </c>
      <c r="C142" s="34">
        <v>92</v>
      </c>
    </row>
    <row r="143" spans="1:3" ht="20.100000000000001" customHeight="1" thickBot="1" x14ac:dyDescent="0.35">
      <c r="A143" s="2">
        <v>16.75</v>
      </c>
      <c r="C143" s="34">
        <v>93</v>
      </c>
    </row>
    <row r="144" spans="1:3" ht="20.100000000000001" customHeight="1" thickBot="1" x14ac:dyDescent="0.35">
      <c r="A144" s="2">
        <v>17</v>
      </c>
      <c r="C144" s="34">
        <v>94</v>
      </c>
    </row>
    <row r="145" spans="1:3" ht="20.100000000000001" customHeight="1" thickBot="1" x14ac:dyDescent="0.35">
      <c r="A145" s="2">
        <v>17.25</v>
      </c>
      <c r="C145" s="34">
        <v>95</v>
      </c>
    </row>
    <row r="146" spans="1:3" ht="20.100000000000001" customHeight="1" thickBot="1" x14ac:dyDescent="0.35">
      <c r="A146" s="2">
        <v>17.5</v>
      </c>
      <c r="C146" s="34">
        <v>96</v>
      </c>
    </row>
    <row r="147" spans="1:3" ht="20.100000000000001" customHeight="1" thickBot="1" x14ac:dyDescent="0.35">
      <c r="A147" s="2">
        <v>17.75</v>
      </c>
      <c r="C147" s="34">
        <v>97</v>
      </c>
    </row>
    <row r="148" spans="1:3" ht="20.100000000000001" customHeight="1" thickBot="1" x14ac:dyDescent="0.35">
      <c r="A148" s="2">
        <v>18</v>
      </c>
      <c r="C148" s="34">
        <v>98</v>
      </c>
    </row>
    <row r="149" spans="1:3" ht="20.100000000000001" customHeight="1" thickBot="1" x14ac:dyDescent="0.35">
      <c r="A149" s="2">
        <v>18.25</v>
      </c>
      <c r="C149" s="34">
        <v>99</v>
      </c>
    </row>
    <row r="150" spans="1:3" ht="20.100000000000001" customHeight="1" thickBot="1" x14ac:dyDescent="0.35">
      <c r="A150" s="2">
        <v>18.5</v>
      </c>
      <c r="C150" s="34">
        <v>100</v>
      </c>
    </row>
    <row r="151" spans="1:3" ht="20.100000000000001" customHeight="1" thickBot="1" x14ac:dyDescent="0.3">
      <c r="A151" s="2">
        <v>18.75</v>
      </c>
    </row>
    <row r="152" spans="1:3" ht="20.100000000000001" customHeight="1" thickBot="1" x14ac:dyDescent="0.3">
      <c r="A152" s="2">
        <v>19</v>
      </c>
    </row>
    <row r="153" spans="1:3" ht="20.100000000000001" customHeight="1" thickBot="1" x14ac:dyDescent="0.3">
      <c r="A153" s="2">
        <v>19.25</v>
      </c>
    </row>
    <row r="154" spans="1:3" ht="20.100000000000001" customHeight="1" thickBot="1" x14ac:dyDescent="0.3">
      <c r="A154" s="2">
        <v>19.5</v>
      </c>
    </row>
    <row r="155" spans="1:3" ht="20.100000000000001" customHeight="1" thickBot="1" x14ac:dyDescent="0.3">
      <c r="A155" s="2">
        <v>19.75</v>
      </c>
    </row>
    <row r="156" spans="1:3" ht="20.100000000000001" customHeight="1" thickBot="1" x14ac:dyDescent="0.3">
      <c r="A156" s="2">
        <v>20</v>
      </c>
    </row>
    <row r="160" spans="1:3" ht="20.100000000000001" customHeight="1" thickBot="1" x14ac:dyDescent="0.3"/>
    <row r="161" spans="1:1" ht="20.100000000000001" customHeight="1" thickBot="1" x14ac:dyDescent="0.3">
      <c r="A161" s="2" t="s">
        <v>38</v>
      </c>
    </row>
    <row r="162" spans="1:1" ht="20.100000000000001" customHeight="1" x14ac:dyDescent="0.25">
      <c r="A162" s="18"/>
    </row>
    <row r="163" spans="1:1" ht="20.100000000000001" customHeight="1" x14ac:dyDescent="0.25">
      <c r="A163" s="18"/>
    </row>
    <row r="164" spans="1:1" ht="20.100000000000001" customHeight="1" x14ac:dyDescent="0.25">
      <c r="A164" s="18"/>
    </row>
    <row r="165" spans="1:1" ht="20.100000000000001" customHeight="1" x14ac:dyDescent="0.25">
      <c r="A165" s="18"/>
    </row>
    <row r="166" spans="1:1" ht="20.100000000000001" customHeight="1" x14ac:dyDescent="0.25">
      <c r="A166" s="18"/>
    </row>
    <row r="167" spans="1:1" ht="20.100000000000001" customHeight="1" x14ac:dyDescent="0.25">
      <c r="A167" s="18"/>
    </row>
    <row r="168" spans="1:1" ht="20.100000000000001" customHeight="1" x14ac:dyDescent="0.25">
      <c r="A168" s="18"/>
    </row>
    <row r="169" spans="1:1" ht="20.100000000000001" customHeight="1" x14ac:dyDescent="0.25">
      <c r="A169" s="18"/>
    </row>
    <row r="170" spans="1:1" ht="20.100000000000001" customHeight="1" x14ac:dyDescent="0.25">
      <c r="A170" s="18"/>
    </row>
    <row r="171" spans="1:1" ht="20.100000000000001" customHeight="1" x14ac:dyDescent="0.25">
      <c r="A171" s="19"/>
    </row>
    <row r="172" spans="1:1" ht="20.100000000000001" customHeight="1" x14ac:dyDescent="0.25">
      <c r="A172" s="19"/>
    </row>
    <row r="173" spans="1:1" ht="20.100000000000001" customHeight="1" x14ac:dyDescent="0.25">
      <c r="A173" s="18"/>
    </row>
    <row r="174" spans="1:1" ht="20.100000000000001" customHeight="1" x14ac:dyDescent="0.25">
      <c r="A174" s="18"/>
    </row>
    <row r="175" spans="1:1" ht="20.100000000000001" customHeight="1" x14ac:dyDescent="0.25">
      <c r="A175" s="18"/>
    </row>
    <row r="176" spans="1:1" ht="20.100000000000001" customHeight="1" x14ac:dyDescent="0.25">
      <c r="A176" s="18"/>
    </row>
    <row r="177" spans="1:1" ht="20.100000000000001" customHeight="1" x14ac:dyDescent="0.25">
      <c r="A177" s="18"/>
    </row>
    <row r="178" spans="1:1" ht="20.100000000000001" customHeight="1" x14ac:dyDescent="0.25">
      <c r="A178" s="18"/>
    </row>
    <row r="179" spans="1:1" ht="20.100000000000001" customHeight="1" x14ac:dyDescent="0.25">
      <c r="A179" s="18"/>
    </row>
    <row r="180" spans="1:1" ht="20.100000000000001" customHeight="1" x14ac:dyDescent="0.25">
      <c r="A180" s="18"/>
    </row>
    <row r="181" spans="1:1" ht="20.100000000000001" customHeight="1" x14ac:dyDescent="0.25">
      <c r="A181" s="18"/>
    </row>
    <row r="182" spans="1:1" ht="20.100000000000001" customHeight="1" x14ac:dyDescent="0.25">
      <c r="A182" s="18"/>
    </row>
    <row r="183" spans="1:1" ht="20.100000000000001" customHeight="1" x14ac:dyDescent="0.25">
      <c r="A183" s="18"/>
    </row>
    <row r="184" spans="1:1" ht="20.100000000000001" customHeight="1" x14ac:dyDescent="0.25">
      <c r="A184" s="18"/>
    </row>
    <row r="185" spans="1:1" ht="20.100000000000001" customHeight="1" x14ac:dyDescent="0.25">
      <c r="A185" s="18"/>
    </row>
    <row r="186" spans="1:1" ht="20.100000000000001" customHeight="1" x14ac:dyDescent="0.25">
      <c r="A186" s="18"/>
    </row>
    <row r="187" spans="1:1" ht="20.100000000000001" customHeight="1" x14ac:dyDescent="0.25">
      <c r="A187" s="18"/>
    </row>
    <row r="188" spans="1:1" ht="20.100000000000001" customHeight="1" x14ac:dyDescent="0.25">
      <c r="A188" s="18"/>
    </row>
    <row r="189" spans="1:1" ht="20.100000000000001" customHeight="1" x14ac:dyDescent="0.25">
      <c r="A189" s="18"/>
    </row>
    <row r="190" spans="1:1" ht="20.100000000000001" customHeight="1" x14ac:dyDescent="0.25">
      <c r="A190" s="18"/>
    </row>
    <row r="191" spans="1:1" ht="20.100000000000001" customHeight="1" x14ac:dyDescent="0.25">
      <c r="A191" s="18"/>
    </row>
    <row r="192" spans="1:1" ht="20.100000000000001" customHeight="1" x14ac:dyDescent="0.25">
      <c r="A192" s="18"/>
    </row>
    <row r="193" spans="1:1" ht="20.100000000000001" customHeight="1" x14ac:dyDescent="0.25">
      <c r="A193" s="18"/>
    </row>
    <row r="194" spans="1:1" ht="20.100000000000001" customHeight="1" x14ac:dyDescent="0.25">
      <c r="A194" s="18"/>
    </row>
    <row r="195" spans="1:1" ht="20.100000000000001" customHeight="1" x14ac:dyDescent="0.25">
      <c r="A195" s="18"/>
    </row>
    <row r="196" spans="1:1" ht="20.100000000000001" customHeight="1" x14ac:dyDescent="0.25">
      <c r="A196" s="18"/>
    </row>
    <row r="197" spans="1:1" ht="20.100000000000001" customHeight="1" x14ac:dyDescent="0.25">
      <c r="A197" s="18"/>
    </row>
    <row r="198" spans="1:1" ht="20.100000000000001" customHeight="1" x14ac:dyDescent="0.25">
      <c r="A198" s="20"/>
    </row>
    <row r="199" spans="1:1" ht="20.100000000000001" customHeight="1" x14ac:dyDescent="0.25">
      <c r="A199" s="18"/>
    </row>
    <row r="200" spans="1:1" ht="20.100000000000001" customHeight="1" x14ac:dyDescent="0.25">
      <c r="A200" s="18"/>
    </row>
    <row r="201" spans="1:1" ht="20.100000000000001" customHeight="1" x14ac:dyDescent="0.25">
      <c r="A201" s="18"/>
    </row>
    <row r="202" spans="1:1" ht="20.100000000000001" customHeight="1" x14ac:dyDescent="0.25">
      <c r="A202" s="18"/>
    </row>
    <row r="203" spans="1:1" ht="20.100000000000001" customHeight="1" x14ac:dyDescent="0.25">
      <c r="A203" s="18"/>
    </row>
    <row r="204" spans="1:1" ht="20.100000000000001" customHeight="1" x14ac:dyDescent="0.25">
      <c r="A204" s="18"/>
    </row>
    <row r="205" spans="1:1" ht="20.100000000000001" customHeight="1" x14ac:dyDescent="0.25">
      <c r="A205" s="18"/>
    </row>
    <row r="206" spans="1:1" ht="20.100000000000001" customHeight="1" x14ac:dyDescent="0.25">
      <c r="A206" s="18"/>
    </row>
    <row r="207" spans="1:1" ht="20.100000000000001" customHeight="1" x14ac:dyDescent="0.25">
      <c r="A207" s="18"/>
    </row>
    <row r="208" spans="1:1" ht="20.100000000000001" customHeight="1" x14ac:dyDescent="0.25">
      <c r="A208" s="18"/>
    </row>
    <row r="209" spans="1:1" ht="20.100000000000001" customHeight="1" x14ac:dyDescent="0.25">
      <c r="A209" s="18"/>
    </row>
    <row r="210" spans="1:1" ht="20.100000000000001" customHeight="1" x14ac:dyDescent="0.25">
      <c r="A210" s="18"/>
    </row>
    <row r="211" spans="1:1" ht="20.100000000000001" customHeight="1" x14ac:dyDescent="0.25">
      <c r="A211" s="18"/>
    </row>
    <row r="212" spans="1:1" ht="20.100000000000001" customHeight="1" x14ac:dyDescent="0.25">
      <c r="A212" s="18"/>
    </row>
    <row r="213" spans="1:1" ht="20.100000000000001" customHeight="1" x14ac:dyDescent="0.25">
      <c r="A213" s="20"/>
    </row>
    <row r="214" spans="1:1" ht="20.100000000000001" customHeight="1" x14ac:dyDescent="0.25">
      <c r="A214" s="21"/>
    </row>
    <row r="215" spans="1:1" ht="20.100000000000001" customHeight="1" x14ac:dyDescent="0.25">
      <c r="A215" s="18"/>
    </row>
    <row r="216" spans="1:1" ht="20.100000000000001" customHeight="1" x14ac:dyDescent="0.25">
      <c r="A216" s="18"/>
    </row>
    <row r="217" spans="1:1" ht="20.100000000000001" customHeight="1" x14ac:dyDescent="0.25">
      <c r="A217" s="22"/>
    </row>
    <row r="218" spans="1:1" ht="20.100000000000001" customHeight="1" x14ac:dyDescent="0.25">
      <c r="A218" s="22"/>
    </row>
    <row r="219" spans="1:1" ht="20.100000000000001" customHeight="1" x14ac:dyDescent="0.25">
      <c r="A219" s="21"/>
    </row>
    <row r="220" spans="1:1" ht="20.100000000000001" customHeight="1" x14ac:dyDescent="0.25">
      <c r="A220" s="18"/>
    </row>
    <row r="221" spans="1:1" ht="20.100000000000001" customHeight="1" x14ac:dyDescent="0.25">
      <c r="A221" s="21"/>
    </row>
    <row r="222" spans="1:1" ht="20.100000000000001" customHeight="1" x14ac:dyDescent="0.25">
      <c r="A222" s="18"/>
    </row>
    <row r="223" spans="1:1" ht="20.100000000000001" customHeight="1" x14ac:dyDescent="0.25">
      <c r="A223" s="21"/>
    </row>
    <row r="224" spans="1:1" ht="20.100000000000001" customHeight="1" x14ac:dyDescent="0.25">
      <c r="A224" s="18"/>
    </row>
    <row r="225" spans="1:1" ht="20.100000000000001" customHeight="1" x14ac:dyDescent="0.25">
      <c r="A225" s="18"/>
    </row>
    <row r="226" spans="1:1" ht="20.100000000000001" customHeight="1" x14ac:dyDescent="0.25">
      <c r="A226" s="21"/>
    </row>
    <row r="227" spans="1:1" ht="20.100000000000001" customHeight="1" x14ac:dyDescent="0.25">
      <c r="A227" s="21"/>
    </row>
    <row r="228" spans="1:1" ht="20.100000000000001" customHeight="1" x14ac:dyDescent="0.25">
      <c r="A228" s="21"/>
    </row>
    <row r="229" spans="1:1" ht="20.100000000000001" customHeight="1" x14ac:dyDescent="0.25">
      <c r="A229" s="18"/>
    </row>
    <row r="230" spans="1:1" ht="20.100000000000001" customHeight="1" x14ac:dyDescent="0.25">
      <c r="A230" s="18"/>
    </row>
    <row r="231" spans="1:1" ht="20.100000000000001" customHeight="1" x14ac:dyDescent="0.25">
      <c r="A231" s="18"/>
    </row>
    <row r="232" spans="1:1" ht="20.100000000000001" customHeight="1" x14ac:dyDescent="0.25">
      <c r="A232" s="18"/>
    </row>
    <row r="233" spans="1:1" ht="20.100000000000001" customHeight="1" x14ac:dyDescent="0.25">
      <c r="A233" s="21"/>
    </row>
    <row r="234" spans="1:1" ht="20.100000000000001" customHeight="1" x14ac:dyDescent="0.25">
      <c r="A234" s="21"/>
    </row>
    <row r="235" spans="1:1" ht="20.100000000000001" customHeight="1" x14ac:dyDescent="0.25">
      <c r="A235" s="18"/>
    </row>
    <row r="236" spans="1:1" ht="20.100000000000001" customHeight="1" x14ac:dyDescent="0.25">
      <c r="A236" s="21"/>
    </row>
    <row r="237" spans="1:1" ht="20.100000000000001" customHeight="1" x14ac:dyDescent="0.25">
      <c r="A237" s="21"/>
    </row>
    <row r="238" spans="1:1" ht="20.100000000000001" customHeight="1" x14ac:dyDescent="0.25">
      <c r="A238" s="18"/>
    </row>
    <row r="239" spans="1:1" ht="20.100000000000001" customHeight="1" x14ac:dyDescent="0.25">
      <c r="A239" s="18"/>
    </row>
    <row r="240" spans="1:1" ht="20.100000000000001" customHeight="1" x14ac:dyDescent="0.25">
      <c r="A240" s="21"/>
    </row>
    <row r="241" spans="1:1" ht="20.100000000000001" customHeight="1" x14ac:dyDescent="0.25">
      <c r="A241" s="18"/>
    </row>
    <row r="242" spans="1:1" ht="20.100000000000001" customHeight="1" x14ac:dyDescent="0.25">
      <c r="A242" s="18"/>
    </row>
    <row r="243" spans="1:1" ht="20.100000000000001" customHeight="1" x14ac:dyDescent="0.25">
      <c r="A243" s="18"/>
    </row>
    <row r="244" spans="1:1" ht="20.100000000000001" customHeight="1" x14ac:dyDescent="0.25">
      <c r="A244" s="18"/>
    </row>
    <row r="245" spans="1:1" ht="20.100000000000001" customHeight="1" x14ac:dyDescent="0.25">
      <c r="A245" s="21"/>
    </row>
    <row r="246" spans="1:1" ht="20.100000000000001" customHeight="1" x14ac:dyDescent="0.25">
      <c r="A246" s="21"/>
    </row>
    <row r="247" spans="1:1" ht="20.100000000000001" customHeight="1" x14ac:dyDescent="0.25">
      <c r="A247" s="21"/>
    </row>
    <row r="248" spans="1:1" ht="20.100000000000001" customHeight="1" thickBot="1" x14ac:dyDescent="0.3">
      <c r="A248" s="18"/>
    </row>
    <row r="249" spans="1:1" ht="20.100000000000001" customHeight="1" thickBot="1" x14ac:dyDescent="0.3">
      <c r="A249" s="2"/>
    </row>
    <row r="250" spans="1:1" ht="20.100000000000001" customHeight="1" thickBot="1" x14ac:dyDescent="0.3">
      <c r="A250" s="2"/>
    </row>
    <row r="251" spans="1:1" ht="20.100000000000001" customHeight="1" thickBot="1" x14ac:dyDescent="0.3">
      <c r="A251" s="2"/>
    </row>
    <row r="252" spans="1:1" ht="20.100000000000001" customHeight="1" thickBot="1" x14ac:dyDescent="0.3">
      <c r="A252" s="2"/>
    </row>
    <row r="253" spans="1:1" ht="20.100000000000001" customHeight="1" thickBot="1" x14ac:dyDescent="0.3">
      <c r="A253" s="2"/>
    </row>
    <row r="254" spans="1:1" ht="20.100000000000001" customHeight="1" thickBot="1" x14ac:dyDescent="0.3">
      <c r="A254" s="2"/>
    </row>
    <row r="255" spans="1:1" ht="20.100000000000001" customHeight="1" thickBot="1" x14ac:dyDescent="0.3">
      <c r="A255" s="2"/>
    </row>
    <row r="256" spans="1:1" ht="20.100000000000001" customHeight="1" thickBot="1" x14ac:dyDescent="0.3">
      <c r="A256" s="2"/>
    </row>
    <row r="257" spans="1:1" ht="20.100000000000001" customHeight="1" thickBot="1" x14ac:dyDescent="0.3">
      <c r="A257" s="2"/>
    </row>
    <row r="258" spans="1:1" ht="20.100000000000001" customHeight="1" thickBot="1" x14ac:dyDescent="0.3">
      <c r="A258" s="2"/>
    </row>
    <row r="259" spans="1:1" ht="20.100000000000001" customHeight="1" thickBot="1" x14ac:dyDescent="0.3">
      <c r="A259" s="2"/>
    </row>
    <row r="260" spans="1:1" ht="20.100000000000001" customHeight="1" thickBot="1" x14ac:dyDescent="0.3">
      <c r="A260" s="2"/>
    </row>
    <row r="261" spans="1:1" ht="20.100000000000001" customHeight="1" thickBot="1" x14ac:dyDescent="0.3">
      <c r="A261" s="2"/>
    </row>
    <row r="262" spans="1:1" ht="20.100000000000001" customHeight="1" thickBot="1" x14ac:dyDescent="0.3">
      <c r="A262" s="2"/>
    </row>
    <row r="263" spans="1:1" ht="20.100000000000001" customHeight="1" thickBot="1" x14ac:dyDescent="0.3">
      <c r="A263" s="2"/>
    </row>
    <row r="264" spans="1:1" ht="20.100000000000001" customHeight="1" thickBot="1" x14ac:dyDescent="0.3">
      <c r="A264" s="2"/>
    </row>
    <row r="265" spans="1:1" ht="20.100000000000001" customHeight="1" thickBot="1" x14ac:dyDescent="0.3">
      <c r="A265" s="2"/>
    </row>
    <row r="266" spans="1:1" ht="20.100000000000001" customHeight="1" thickBot="1" x14ac:dyDescent="0.3">
      <c r="A266" s="2"/>
    </row>
    <row r="267" spans="1:1" ht="20.100000000000001" customHeight="1" thickBot="1" x14ac:dyDescent="0.3">
      <c r="A267" s="2"/>
    </row>
    <row r="268" spans="1:1" ht="20.100000000000001" customHeight="1" thickBot="1" x14ac:dyDescent="0.3">
      <c r="A268" s="2"/>
    </row>
    <row r="269" spans="1:1" ht="20.100000000000001" customHeight="1" thickBot="1" x14ac:dyDescent="0.3">
      <c r="A269" s="2"/>
    </row>
    <row r="270" spans="1:1" ht="20.100000000000001" customHeight="1" thickBot="1" x14ac:dyDescent="0.3">
      <c r="A270" s="2"/>
    </row>
    <row r="271" spans="1:1" ht="20.100000000000001" customHeight="1" thickBot="1" x14ac:dyDescent="0.3">
      <c r="A271" s="2"/>
    </row>
    <row r="272" spans="1:1" ht="20.100000000000001" customHeight="1" thickBot="1" x14ac:dyDescent="0.3">
      <c r="A272" s="2"/>
    </row>
    <row r="273" spans="1:1" ht="20.100000000000001" customHeight="1" thickBot="1" x14ac:dyDescent="0.3">
      <c r="A273" s="2"/>
    </row>
    <row r="274" spans="1:1" ht="20.100000000000001" customHeight="1" thickBot="1" x14ac:dyDescent="0.3">
      <c r="A274" s="2"/>
    </row>
    <row r="275" spans="1:1" ht="20.100000000000001" customHeight="1" thickBot="1" x14ac:dyDescent="0.3">
      <c r="A275" s="2"/>
    </row>
    <row r="276" spans="1:1" ht="20.100000000000001" customHeight="1" thickBot="1" x14ac:dyDescent="0.3">
      <c r="A276" s="2"/>
    </row>
    <row r="277" spans="1:1" ht="20.100000000000001" customHeight="1" thickBot="1" x14ac:dyDescent="0.3">
      <c r="A277" s="2"/>
    </row>
    <row r="278" spans="1:1" ht="20.100000000000001" customHeight="1" thickBot="1" x14ac:dyDescent="0.3">
      <c r="A278" s="2"/>
    </row>
    <row r="279" spans="1:1" ht="20.100000000000001" customHeight="1" thickBot="1" x14ac:dyDescent="0.3">
      <c r="A279" s="2"/>
    </row>
    <row r="280" spans="1:1" ht="20.100000000000001" customHeight="1" thickBot="1" x14ac:dyDescent="0.3">
      <c r="A280" s="2"/>
    </row>
    <row r="281" spans="1:1" ht="20.100000000000001" customHeight="1" thickBot="1" x14ac:dyDescent="0.3">
      <c r="A281" s="2"/>
    </row>
    <row r="282" spans="1:1" ht="20.100000000000001" customHeight="1" thickBot="1" x14ac:dyDescent="0.3">
      <c r="A282" s="2"/>
    </row>
    <row r="283" spans="1:1" ht="20.100000000000001" customHeight="1" thickBot="1" x14ac:dyDescent="0.3">
      <c r="A283" s="2"/>
    </row>
    <row r="284" spans="1:1" ht="20.100000000000001" customHeight="1" thickBot="1" x14ac:dyDescent="0.3">
      <c r="A284" s="2"/>
    </row>
    <row r="285" spans="1:1" ht="20.100000000000001" customHeight="1" thickBot="1" x14ac:dyDescent="0.3">
      <c r="A285" s="2"/>
    </row>
    <row r="286" spans="1:1" ht="20.100000000000001" customHeight="1" thickBot="1" x14ac:dyDescent="0.3">
      <c r="A286" s="2"/>
    </row>
    <row r="287" spans="1:1" ht="20.100000000000001" customHeight="1" thickBot="1" x14ac:dyDescent="0.3">
      <c r="A287" s="2" t="s">
        <v>37</v>
      </c>
    </row>
    <row r="288" spans="1:1" ht="20.100000000000001" customHeight="1" thickBot="1" x14ac:dyDescent="0.3">
      <c r="A288" s="2" t="s">
        <v>37</v>
      </c>
    </row>
    <row r="289" spans="1:1" ht="20.100000000000001" customHeight="1" thickBot="1" x14ac:dyDescent="0.3">
      <c r="A289" s="2" t="s">
        <v>37</v>
      </c>
    </row>
    <row r="290" spans="1:1" ht="20.100000000000001" customHeight="1" thickBot="1" x14ac:dyDescent="0.3">
      <c r="A290" s="2" t="s">
        <v>37</v>
      </c>
    </row>
    <row r="291" spans="1:1" ht="20.100000000000001" customHeight="1" thickBot="1" x14ac:dyDescent="0.3">
      <c r="A291" s="2" t="s">
        <v>37</v>
      </c>
    </row>
    <row r="292" spans="1:1" ht="20.100000000000001" customHeight="1" thickBot="1" x14ac:dyDescent="0.3">
      <c r="A292" s="2" t="s">
        <v>37</v>
      </c>
    </row>
    <row r="293" spans="1:1" ht="20.100000000000001" customHeight="1" thickBot="1" x14ac:dyDescent="0.3">
      <c r="A293" s="2" t="s">
        <v>37</v>
      </c>
    </row>
    <row r="294" spans="1:1" ht="20.100000000000001" customHeight="1" thickBot="1" x14ac:dyDescent="0.3">
      <c r="A294" s="2" t="s">
        <v>37</v>
      </c>
    </row>
    <row r="295" spans="1:1" ht="20.100000000000001" customHeight="1" thickBot="1" x14ac:dyDescent="0.3">
      <c r="A295" s="2" t="s">
        <v>37</v>
      </c>
    </row>
    <row r="296" spans="1:1" ht="20.100000000000001" customHeight="1" thickBot="1" x14ac:dyDescent="0.3">
      <c r="A296" s="2" t="s">
        <v>37</v>
      </c>
    </row>
    <row r="297" spans="1:1" ht="20.100000000000001" customHeight="1" thickBot="1" x14ac:dyDescent="0.3">
      <c r="A297" s="2" t="s">
        <v>37</v>
      </c>
    </row>
    <row r="298" spans="1:1" ht="20.100000000000001" customHeight="1" thickBot="1" x14ac:dyDescent="0.3">
      <c r="A298" s="2" t="s">
        <v>37</v>
      </c>
    </row>
    <row r="299" spans="1:1" ht="20.100000000000001" customHeight="1" thickBot="1" x14ac:dyDescent="0.3">
      <c r="A299" s="2" t="s">
        <v>37</v>
      </c>
    </row>
    <row r="300" spans="1:1" ht="20.100000000000001" customHeight="1" thickBot="1" x14ac:dyDescent="0.3">
      <c r="A300" s="2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قائمة التقييم</vt:lpstr>
      <vt:lpstr>بيانات التقييم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2026-09-10T04:33:27Z</dcterms:modified>
</cp:coreProperties>
</file>