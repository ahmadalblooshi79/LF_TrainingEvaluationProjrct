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B8DCC1B-B3FA-465B-AFA5-848A090627D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8" i="2"/>
  <c r="H8" i="2" s="1"/>
  <c r="F10" i="2" l="1"/>
  <c r="E10" i="2"/>
  <c r="G7" i="2"/>
  <c r="H7" i="2" s="1"/>
  <c r="E11" i="2" l="1"/>
  <c r="E12" i="2" s="1"/>
</calcChain>
</file>

<file path=xl/sharedStrings.xml><?xml version="1.0" encoding="utf-8"?>
<sst xmlns="http://schemas.openxmlformats.org/spreadsheetml/2006/main" count="92" uniqueCount="75">
  <si>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</si>
  <si>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</si>
  <si>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</si>
  <si>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</si>
  <si>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</si>
  <si>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</si>
  <si>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</si>
  <si>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</si>
  <si>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</si>
  <si>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</si>
  <si>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</si>
  <si>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</si>
  <si>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</si>
  <si>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</si>
  <si>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</si>
  <si>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</si>
  <si>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</si>
  <si>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</si>
  <si>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</si>
  <si>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</si>
  <si>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</si>
  <si>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</si>
  <si>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</si>
  <si>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</si>
  <si>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</si>
  <si>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</si>
  <si>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</si>
  <si>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</si>
  <si>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</si>
  <si>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</si>
  <si>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</si>
  <si>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</si>
  <si>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</si>
  <si>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</si>
  <si>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</si>
  <si>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</si>
  <si>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</si>
  <si>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</si>
  <si>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</si>
  <si>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</si>
  <si>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</si>
  <si>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</si>
  <si>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</si>
  <si>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</si>
  <si>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</si>
  <si>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</si>
  <si>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</si>
  <si>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</si>
  <si>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</si>
  <si>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</si>
  <si>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</si>
  <si>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</si>
  <si>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</si>
  <si>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</si>
  <si>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</si>
  <si>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</si>
  <si>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</si>
  <si>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</si>
  <si>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</si>
  <si>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</si>
  <si>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</si>
  <si>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</si>
  <si>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</si>
  <si>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</si>
  <si>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</si>
  <si>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</si>
  <si>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</si>
  <si>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</si>
  <si>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</si>
  <si>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</si>
  <si>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الاجراءات المتخذة عند أرسال الاحداثيات بواسطة جدول رموز الأرقام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</si>
  <si>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أرسال الاحداثيات من اليسار إلى اليمين.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</si>
  <si>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أرسال الإحداثيات بعد تشفيرها وفقاً لجدول رموز الأرقام.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</si>
  <si>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الصحيحة.</t>
    </r>
  </si>
  <si>
    <t>رد الفعل على ارسال الاحداثيات بواسطة جدول رموز الأرقام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</si>
</sst>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7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1" t="s">
        <v>74</v>
      </c>
      <c r="C1" s="81"/>
      <c r="D1" s="81"/>
      <c r="E1" s="81"/>
      <c r="F1" s="81"/>
      <c r="G1" s="81"/>
      <c r="H1" s="81"/>
      <c r="I1" s="81"/>
      <c r="J1" s="81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7" t="s">
        <v>0</v>
      </c>
      <c r="C3" s="68"/>
      <c r="D3" s="68"/>
      <c r="E3" s="71" t="s">
        <v>1</v>
      </c>
      <c r="F3" s="71"/>
      <c r="G3" s="71"/>
      <c r="H3" s="71"/>
      <c r="I3" s="71" t="s">
        <v>2</v>
      </c>
      <c r="J3" s="72"/>
    </row>
    <row r="4" spans="1:10" ht="24.95" customHeight="1" thickBot="1" x14ac:dyDescent="0.25">
      <c r="A4" s="9"/>
      <c r="B4" s="69"/>
      <c r="C4" s="70"/>
      <c r="D4" s="70"/>
      <c r="E4" s="10" t="s">
        <v>3</v>
      </c>
      <c r="F4" s="10" t="s">
        <v>4</v>
      </c>
      <c r="G4" s="10" t="s">
        <v>19</v>
      </c>
      <c r="H4" s="10" t="s">
        <v>20</v>
      </c>
      <c r="I4" s="73"/>
      <c r="J4" s="74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8" t="s">
        <v>70</v>
      </c>
      <c r="C6" s="49"/>
      <c r="D6" s="49"/>
      <c r="E6" s="34"/>
      <c r="F6" s="35"/>
      <c r="G6" s="36"/>
      <c r="H6" s="37"/>
      <c r="I6" s="46"/>
      <c r="J6" s="47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72</v>
      </c>
      <c r="C8" s="43"/>
      <c r="D8" s="43"/>
      <c r="E8" s="27">
        <v>3</v>
      </c>
      <c r="F8" s="33" t="s">
        <v>40</v>
      </c>
      <c r="G8" s="28" t="str">
        <f t="shared" ref="G8:G9" si="0">IFERROR(F8/E8,"")</f>
        <v/>
      </c>
      <c r="H8" s="29" t="str">
        <f t="shared" ref="H8:H9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73</v>
      </c>
      <c r="C9" s="43"/>
      <c r="D9" s="43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0" customHeight="1" thickBot="1" x14ac:dyDescent="0.25">
      <c r="A10" s="4"/>
      <c r="B10" s="57" t="s">
        <v>5</v>
      </c>
      <c r="C10" s="58"/>
      <c r="D10" s="58"/>
      <c r="E10" s="32">
        <f>SUM(E6:E9)</f>
        <v>9</v>
      </c>
      <c r="F10" s="32">
        <f>SUM(F6:F9)</f>
        <v>0</v>
      </c>
      <c r="G10" s="52"/>
      <c r="H10" s="53"/>
      <c r="I10" s="53"/>
      <c r="J10" s="54"/>
    </row>
    <row r="11" spans="1:10" ht="30" customHeight="1" thickBot="1" x14ac:dyDescent="0.25">
      <c r="A11" s="4"/>
      <c r="B11" s="59" t="s">
        <v>33</v>
      </c>
      <c r="C11" s="60"/>
      <c r="D11" s="60"/>
      <c r="E11" s="75">
        <f>F10/E10/100*100</f>
        <v>0</v>
      </c>
      <c r="F11" s="75"/>
      <c r="G11" s="75"/>
      <c r="H11" s="75"/>
      <c r="I11" s="75"/>
      <c r="J11" s="76"/>
    </row>
    <row r="12" spans="1:10" ht="30" customHeight="1" thickBot="1" x14ac:dyDescent="0.25">
      <c r="A12" s="4"/>
      <c r="B12" s="59" t="s">
        <v>34</v>
      </c>
      <c r="C12" s="60"/>
      <c r="D12" s="60"/>
      <c r="E12" s="79" t="str">
        <f>_xlfn.IFS(E11&gt;=90%,"ممتاز",E11&gt;=80%,"جيد جداً",E11&gt;=70%,"جيد",E11&gt;=60%,"مقبول",E11&lt;60%,"راسب")</f>
        <v>راسب</v>
      </c>
      <c r="F12" s="79"/>
      <c r="G12" s="79"/>
      <c r="H12" s="79"/>
      <c r="I12" s="79"/>
      <c r="J12" s="80"/>
    </row>
    <row r="13" spans="1:10" ht="42" customHeight="1" x14ac:dyDescent="0.2">
      <c r="B13" s="61" t="s">
        <v>44</v>
      </c>
      <c r="C13" s="61"/>
      <c r="D13" s="61"/>
      <c r="E13" s="50" t="s">
        <v>31</v>
      </c>
      <c r="F13" s="50"/>
      <c r="G13" s="77" t="s">
        <v>38</v>
      </c>
      <c r="H13" s="77"/>
      <c r="I13" s="77"/>
      <c r="J13" s="77"/>
    </row>
    <row r="14" spans="1:10" ht="51" customHeight="1" x14ac:dyDescent="0.2">
      <c r="A14" s="5"/>
      <c r="B14" s="62"/>
      <c r="C14" s="62"/>
      <c r="D14" s="62"/>
      <c r="E14" s="51" t="s">
        <v>32</v>
      </c>
      <c r="F14" s="51"/>
      <c r="G14" s="78"/>
      <c r="H14" s="78"/>
      <c r="I14" s="78"/>
      <c r="J14" s="78"/>
    </row>
    <row r="15" spans="1:10" ht="15.75" x14ac:dyDescent="0.2">
      <c r="A15" s="23">
        <v>3</v>
      </c>
      <c r="B15" s="63" t="s">
        <v>41</v>
      </c>
      <c r="C15" s="64"/>
    </row>
    <row r="16" spans="1:10" ht="15.75" x14ac:dyDescent="0.2">
      <c r="A16" s="24">
        <v>2</v>
      </c>
      <c r="B16" s="65" t="s">
        <v>42</v>
      </c>
      <c r="C16" s="66"/>
    </row>
    <row r="17" spans="1:3" ht="15.75" x14ac:dyDescent="0.2">
      <c r="A17" s="25">
        <v>1</v>
      </c>
      <c r="B17" s="55" t="s">
        <v>43</v>
      </c>
      <c r="C17" s="56"/>
    </row>
  </sheetData>
  <sheetProtection formatCells="0" formatColumns="0" formatRows="0" insertColumns="0" insertRows="0" insertHyperlinks="0" deleteColumns="0" deleteRows="0" selectLockedCells="1" sort="0" autoFilter="0" pivotTables="0"/>
  <mergeCells count="28">
    <mergeCell ref="B1:J1"/>
    <mergeCell ref="B3:D4"/>
    <mergeCell ref="E3:H3"/>
    <mergeCell ref="I3:J4"/>
    <mergeCell ref="B17:C17"/>
    <mergeCell ref="B10:D10"/>
    <mergeCell ref="B11:D11"/>
    <mergeCell ref="B12:D12"/>
    <mergeCell ref="B13:D14"/>
    <mergeCell ref="B15:C15"/>
    <mergeCell ref="B16:C16"/>
    <mergeCell ref="E13:F13"/>
    <mergeCell ref="E14:F14"/>
    <mergeCell ref="G10:J10"/>
    <mergeCell ref="B9:D9"/>
    <mergeCell ref="I9:J9"/>
    <mergeCell ref="E11:J11"/>
    <mergeCell ref="G13:J13"/>
    <mergeCell ref="G14:J14"/>
    <mergeCell ref="E12:J12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2">
    <cfRule type="expression" dxfId="37" priority="206">
      <formula>$E12="راسب"</formula>
    </cfRule>
  </conditionalFormatting>
  <conditionalFormatting sqref="E12:J12">
    <cfRule type="expression" dxfId="36" priority="207">
      <formula>$E12="مقبول"</formula>
    </cfRule>
    <cfRule type="expression" dxfId="35" priority="208">
      <formula>$E12="جيد"</formula>
    </cfRule>
    <cfRule type="expression" dxfId="34" priority="209">
      <formula>$E12="جيد جداً"</formula>
    </cfRule>
    <cfRule type="expression" dxfId="33" priority="210">
      <formula>$E12="ممتاز"</formula>
    </cfRule>
  </conditionalFormatting>
  <conditionalFormatting sqref="G13:J13">
    <cfRule type="containsText" dxfId="30" priority="164" operator="containsText" text="أدخل اسم المحكم">
      <formula>NOT(ISERROR(SEARCH("أدخل اسم المحكم",G13)))</formula>
    </cfRule>
  </conditionalFormatting>
  <conditionalFormatting sqref="F7">
    <cfRule type="containsText" dxfId="27" priority="126" operator="containsText" text="أدخل العلامة">
      <formula>NOT(ISERROR(SEARCH("أدخل العلامة",F7)))</formula>
    </cfRule>
  </conditionalFormatting>
  <conditionalFormatting sqref="H7">
    <cfRule type="containsText" dxfId="26" priority="120" operator="containsText" text="أدخل العلامة">
      <formula>NOT(ISERROR(SEARCH("أدخل العلامة",H7)))</formula>
    </cfRule>
    <cfRule type="containsText" dxfId="25" priority="121" operator="containsText" text="ممتاز">
      <formula>NOT(ISERROR(SEARCH("ممتاز",H7)))</formula>
    </cfRule>
    <cfRule type="containsText" dxfId="24" priority="122" operator="containsText" text="جيد جداً">
      <formula>NOT(ISERROR(SEARCH("جيد جداً",H7)))</formula>
    </cfRule>
    <cfRule type="containsText" dxfId="23" priority="123" operator="containsText" text="جيد">
      <formula>NOT(ISERROR(SEARCH("جيد",H7)))</formula>
    </cfRule>
    <cfRule type="containsText" dxfId="22" priority="124" operator="containsText" text="مقبول">
      <formula>NOT(ISERROR(SEARCH("مقبول",H7)))</formula>
    </cfRule>
    <cfRule type="containsText" dxfId="21" priority="125" operator="containsText" text="راسب">
      <formula>NOT(ISERROR(SEARCH("راسب",H7)))</formula>
    </cfRule>
  </conditionalFormatting>
  <conditionalFormatting sqref="F6">
    <cfRule type="containsText" dxfId="20" priority="91" operator="containsText" text="أدخل العلامة">
      <formula>NOT(ISERROR(SEARCH("أدخل العلامة",F6)))</formula>
    </cfRule>
  </conditionalFormatting>
  <conditionalFormatting sqref="H6">
    <cfRule type="containsText" dxfId="19" priority="85" operator="containsText" text="أدخل العلامة">
      <formula>NOT(ISERROR(SEARCH("أدخل العلامة",H6)))</formula>
    </cfRule>
    <cfRule type="containsText" dxfId="18" priority="86" operator="containsText" text="ممتاز">
      <formula>NOT(ISERROR(SEARCH("ممتاز",H6)))</formula>
    </cfRule>
    <cfRule type="containsText" dxfId="17" priority="87" operator="containsText" text="جيد جداً">
      <formula>NOT(ISERROR(SEARCH("جيد جداً",H6)))</formula>
    </cfRule>
    <cfRule type="containsText" dxfId="16" priority="88" operator="containsText" text="جيد">
      <formula>NOT(ISERROR(SEARCH("جيد",H6)))</formula>
    </cfRule>
    <cfRule type="containsText" dxfId="15" priority="89" operator="containsText" text="مقبول">
      <formula>NOT(ISERROR(SEARCH("مقبول",H6)))</formula>
    </cfRule>
    <cfRule type="containsText" dxfId="14" priority="90" operator="containsText" text="راسب">
      <formula>NOT(ISERROR(SEARCH("راسب",H6)))</formula>
    </cfRule>
  </conditionalFormatting>
  <conditionalFormatting sqref="F9">
    <cfRule type="containsText" dxfId="13" priority="70" operator="containsText" text="أدخل العلامة">
      <formula>NOT(ISERROR(SEARCH("أدخل العلامة",F9)))</formula>
    </cfRule>
  </conditionalFormatting>
  <conditionalFormatting sqref="H9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G13:J13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2026-09-03T04:42:54Z</dcterms:modified>
</cp:coreProperties>
</file>