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4B004E5-8467-422E-8917-22F32A0246A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9" i="2"/>
  <c r="H9" i="2" s="1"/>
  <c r="G8" i="2"/>
  <c r="H8" i="2" s="1"/>
  <c r="F11" i="2" l="1"/>
  <c r="E11" i="2"/>
  <c r="G6" i="2"/>
  <c r="H6" i="2" s="1"/>
  <c r="G7" i="2"/>
  <c r="H7" i="2" s="1"/>
  <c r="E12" i="2" l="1"/>
  <c r="E13" i="2" s="1"/>
</calcChain>
</file>

<file path=xl/sharedStrings.xml><?xml version="1.0" encoding="utf-8"?>
<sst xmlns="http://schemas.openxmlformats.org/spreadsheetml/2006/main" count="95" uniqueCount="76">
  <si>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</si>
  <si>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</si>
  <si>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</si>
  <si>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</si>
  <si>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</si>
  <si>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</si>
  <si>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</si>
  <si>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</si>
  <si>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</si>
  <si>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</si>
  <si>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</si>
  <si>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</si>
  <si>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</si>
  <si>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</si>
  <si>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</si>
  <si>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</si>
  <si>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</si>
  <si>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</si>
  <si>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</si>
  <si>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</si>
  <si>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</si>
  <si>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</si>
  <si>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</si>
  <si>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</si>
  <si>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</si>
  <si>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</si>
  <si>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</si>
  <si>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</si>
  <si>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</si>
  <si>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</si>
  <si>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</si>
  <si>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</si>
  <si>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</si>
  <si>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</si>
  <si>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</si>
  <si>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</si>
  <si>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</si>
  <si>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</si>
  <si>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</si>
  <si>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</si>
  <si>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</si>
  <si>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</si>
  <si>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</si>
  <si>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</si>
  <si>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</si>
  <si>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</si>
  <si>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</si>
  <si>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</si>
  <si>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</si>
  <si>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</si>
  <si>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</si>
  <si>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</si>
  <si>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</si>
  <si>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</si>
  <si>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</si>
  <si>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</si>
  <si>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</si>
  <si>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</si>
  <si>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</si>
  <si>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</si>
  <si>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</si>
  <si>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</si>
  <si>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</si>
  <si>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</si>
  <si>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</si>
  <si>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</si>
  <si>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</si>
  <si>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</si>
  <si>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</si>
  <si>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</si>
  <si>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1.    إبلاغ المستوى الأعلى.</t>
  </si>
  <si>
    <t>2.    الانتشار بمسافات آمنة وتبليغ النقاط المجاورة.</t>
  </si>
  <si>
    <t>3.    تحديد مصدر واتجاه الهجوم.</t>
  </si>
  <si>
    <t>4.    حصر وإخلاء الإصابات.</t>
  </si>
  <si>
    <t>5.    استعواض نقاط المراقبة الرادارية بالإمكانيات المتوفرة في الاحتياط.</t>
  </si>
  <si>
    <t>رد الفعل على تدمير رادار الاستطلاع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</si>
</sst>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8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75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6" t="s">
        <v>0</v>
      </c>
      <c r="C3" s="67"/>
      <c r="D3" s="67"/>
      <c r="E3" s="70" t="s">
        <v>1</v>
      </c>
      <c r="F3" s="70"/>
      <c r="G3" s="70"/>
      <c r="H3" s="70"/>
      <c r="I3" s="70" t="s">
        <v>2</v>
      </c>
      <c r="J3" s="71"/>
    </row>
    <row r="4" spans="1:10" ht="24.95" customHeight="1" thickBot="1" x14ac:dyDescent="0.25">
      <c r="A4" s="9"/>
      <c r="B4" s="68"/>
      <c r="C4" s="69"/>
      <c r="D4" s="69"/>
      <c r="E4" s="10" t="s">
        <v>3</v>
      </c>
      <c r="F4" s="10" t="s">
        <v>4</v>
      </c>
      <c r="G4" s="10" t="s">
        <v>19</v>
      </c>
      <c r="H4" s="10" t="s">
        <v>20</v>
      </c>
      <c r="I4" s="72"/>
      <c r="J4" s="73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2" t="s">
        <v>70</v>
      </c>
      <c r="C6" s="42"/>
      <c r="D6" s="42"/>
      <c r="E6" s="34">
        <v>3</v>
      </c>
      <c r="F6" s="35" t="s">
        <v>40</v>
      </c>
      <c r="G6" s="36" t="str">
        <f>IFERROR(F6/E6,"")</f>
        <v/>
      </c>
      <c r="H6" s="37" t="str">
        <f>_xlfn.IFS(F6="أدخل العلامة","",F6="لا ينطبق","تم الإلغاء",G6&gt;=90%,"ممتاز",G6&gt;=80%,"جيد جداً",G6&gt;=70%,"جيد",G6&gt;=60%,"مقبول",G6&lt;60%,"راسب")</f>
        <v/>
      </c>
      <c r="I6" s="46"/>
      <c r="J6" s="47"/>
    </row>
    <row r="7" spans="1:10" ht="39.950000000000003" customHeight="1" x14ac:dyDescent="0.2">
      <c r="A7" s="9"/>
      <c r="B7" s="42" t="s">
        <v>71</v>
      </c>
      <c r="C7" s="42"/>
      <c r="D7" s="42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4"/>
      <c r="J7" s="45"/>
    </row>
    <row r="8" spans="1:10" ht="39.950000000000003" customHeight="1" x14ac:dyDescent="0.2">
      <c r="A8" s="9"/>
      <c r="B8" s="42" t="s">
        <v>72</v>
      </c>
      <c r="C8" s="43"/>
      <c r="D8" s="43"/>
      <c r="E8" s="27">
        <v>3</v>
      </c>
      <c r="F8" s="33" t="s">
        <v>40</v>
      </c>
      <c r="G8" s="28" t="str">
        <f t="shared" ref="G8:G10" si="0">IFERROR(F8/E8,"")</f>
        <v/>
      </c>
      <c r="H8" s="29" t="str">
        <f t="shared" ref="H8:H10" si="1">_xlfn.IFS(F8="أدخل العلامة","",F8="لا ينطبق","تم الإلغاء",G8&gt;=90%,"ممتاز",G8&gt;=80%,"جيد جداً",G8&gt;=70%,"جيد",G8&gt;=60%,"مقبول",G8&lt;60%,"راسب")</f>
        <v/>
      </c>
      <c r="I8" s="44"/>
      <c r="J8" s="45"/>
    </row>
    <row r="9" spans="1:10" ht="39.950000000000003" customHeight="1" x14ac:dyDescent="0.2">
      <c r="A9" s="9"/>
      <c r="B9" s="42" t="s">
        <v>73</v>
      </c>
      <c r="C9" s="42"/>
      <c r="D9" s="42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4"/>
      <c r="J9" s="45"/>
    </row>
    <row r="10" spans="1:10" ht="39.950000000000003" customHeight="1" x14ac:dyDescent="0.2">
      <c r="A10" s="9"/>
      <c r="B10" s="42" t="s">
        <v>74</v>
      </c>
      <c r="C10" s="42"/>
      <c r="D10" s="42"/>
      <c r="E10" s="27">
        <v>3</v>
      </c>
      <c r="F10" s="33" t="s">
        <v>40</v>
      </c>
      <c r="G10" s="28" t="str">
        <f t="shared" si="0"/>
        <v/>
      </c>
      <c r="H10" s="29" t="str">
        <f t="shared" si="1"/>
        <v/>
      </c>
      <c r="I10" s="44"/>
      <c r="J10" s="45"/>
    </row>
    <row r="11" spans="1:10" ht="30" customHeight="1" thickBot="1" x14ac:dyDescent="0.25">
      <c r="A11" s="4"/>
      <c r="B11" s="55" t="s">
        <v>5</v>
      </c>
      <c r="C11" s="56"/>
      <c r="D11" s="56"/>
      <c r="E11" s="32">
        <f>SUM(E6:E10)</f>
        <v>15</v>
      </c>
      <c r="F11" s="32">
        <f>SUM(F6:F10)</f>
        <v>0</v>
      </c>
      <c r="G11" s="50"/>
      <c r="H11" s="51"/>
      <c r="I11" s="51"/>
      <c r="J11" s="52"/>
    </row>
    <row r="12" spans="1:10" ht="30" customHeight="1" thickBot="1" x14ac:dyDescent="0.25">
      <c r="A12" s="4"/>
      <c r="B12" s="57" t="s">
        <v>33</v>
      </c>
      <c r="C12" s="58"/>
      <c r="D12" s="58"/>
      <c r="E12" s="74">
        <f>F11/E11/100*100</f>
        <v>0</v>
      </c>
      <c r="F12" s="74"/>
      <c r="G12" s="74"/>
      <c r="H12" s="74"/>
      <c r="I12" s="74"/>
      <c r="J12" s="75"/>
    </row>
    <row r="13" spans="1:10" ht="30" customHeight="1" thickBot="1" x14ac:dyDescent="0.25">
      <c r="A13" s="4"/>
      <c r="B13" s="57" t="s">
        <v>34</v>
      </c>
      <c r="C13" s="58"/>
      <c r="D13" s="58"/>
      <c r="E13" s="78" t="str">
        <f>_xlfn.IFS(E12&gt;=90%,"ممتاز",E12&gt;=80%,"جيد جداً",E12&gt;=70%,"جيد",E12&gt;=60%,"مقبول",E12&lt;60%,"راسب")</f>
        <v>راسب</v>
      </c>
      <c r="F13" s="78"/>
      <c r="G13" s="78"/>
      <c r="H13" s="78"/>
      <c r="I13" s="78"/>
      <c r="J13" s="79"/>
    </row>
    <row r="14" spans="1:10" ht="42" customHeight="1" x14ac:dyDescent="0.2">
      <c r="B14" s="59" t="s">
        <v>44</v>
      </c>
      <c r="C14" s="59"/>
      <c r="D14" s="59"/>
      <c r="E14" s="48" t="s">
        <v>31</v>
      </c>
      <c r="F14" s="48"/>
      <c r="G14" s="76" t="s">
        <v>38</v>
      </c>
      <c r="H14" s="76"/>
      <c r="I14" s="76"/>
      <c r="J14" s="76"/>
    </row>
    <row r="15" spans="1:10" ht="51" customHeight="1" x14ac:dyDescent="0.2">
      <c r="A15" s="5"/>
      <c r="B15" s="60"/>
      <c r="C15" s="60"/>
      <c r="D15" s="60"/>
      <c r="E15" s="49" t="s">
        <v>32</v>
      </c>
      <c r="F15" s="49"/>
      <c r="G15" s="77"/>
      <c r="H15" s="77"/>
      <c r="I15" s="77"/>
      <c r="J15" s="77"/>
    </row>
    <row r="16" spans="1:10" ht="15.75" x14ac:dyDescent="0.2">
      <c r="A16" s="23">
        <v>3</v>
      </c>
      <c r="B16" s="61" t="s">
        <v>41</v>
      </c>
      <c r="C16" s="62"/>
    </row>
    <row r="17" spans="1:3" ht="15.75" x14ac:dyDescent="0.2">
      <c r="A17" s="24">
        <v>2</v>
      </c>
      <c r="B17" s="63" t="s">
        <v>42</v>
      </c>
      <c r="C17" s="64"/>
    </row>
    <row r="18" spans="1:3" ht="15.75" x14ac:dyDescent="0.2">
      <c r="A18" s="25">
        <v>1</v>
      </c>
      <c r="B18" s="53" t="s">
        <v>43</v>
      </c>
      <c r="C18" s="54"/>
    </row>
  </sheetData>
  <sheetProtection formatCells="0" formatColumns="0" formatRows="0" insertColumns="0" insertRows="0" insertHyperlinks="0" deleteColumns="0" deleteRows="0" selectLockedCells="1" sort="0" autoFilter="0" pivotTables="0"/>
  <mergeCells count="30">
    <mergeCell ref="B1:J1"/>
    <mergeCell ref="B3:D4"/>
    <mergeCell ref="E3:H3"/>
    <mergeCell ref="I3:J4"/>
    <mergeCell ref="B18:C18"/>
    <mergeCell ref="B11:D11"/>
    <mergeCell ref="B12:D12"/>
    <mergeCell ref="B13:D13"/>
    <mergeCell ref="B14:D15"/>
    <mergeCell ref="B16:C16"/>
    <mergeCell ref="B17:C17"/>
    <mergeCell ref="E14:F14"/>
    <mergeCell ref="E15:F15"/>
    <mergeCell ref="G11:J11"/>
    <mergeCell ref="B9:D9"/>
    <mergeCell ref="I9:J9"/>
    <mergeCell ref="B10:D10"/>
    <mergeCell ref="I10:J10"/>
    <mergeCell ref="E12:J12"/>
    <mergeCell ref="G14:J14"/>
    <mergeCell ref="G15:J15"/>
    <mergeCell ref="E13:J13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3">
    <cfRule type="expression" dxfId="37" priority="206">
      <formula>$E13="راسب"</formula>
    </cfRule>
  </conditionalFormatting>
  <conditionalFormatting sqref="E13:J13">
    <cfRule type="expression" dxfId="36" priority="207">
      <formula>$E13="مقبول"</formula>
    </cfRule>
    <cfRule type="expression" dxfId="35" priority="208">
      <formula>$E13="جيد"</formula>
    </cfRule>
    <cfRule type="expression" dxfId="34" priority="209">
      <formula>$E13="جيد جداً"</formula>
    </cfRule>
    <cfRule type="expression" dxfId="33" priority="210">
      <formula>$E13="ممتاز"</formula>
    </cfRule>
  </conditionalFormatting>
  <conditionalFormatting sqref="G14:J14">
    <cfRule type="containsText" dxfId="30" priority="164" operator="containsText" text="أدخل اسم المحكم">
      <formula>NOT(ISERROR(SEARCH("أدخل اسم المحكم",G14)))</formula>
    </cfRule>
  </conditionalFormatting>
  <conditionalFormatting sqref="F7">
    <cfRule type="containsText" dxfId="27" priority="126" operator="containsText" text="أدخل العلامة">
      <formula>NOT(ISERROR(SEARCH("أدخل العلامة",F7)))</formula>
    </cfRule>
  </conditionalFormatting>
  <conditionalFormatting sqref="H7">
    <cfRule type="containsText" dxfId="26" priority="120" operator="containsText" text="أدخل العلامة">
      <formula>NOT(ISERROR(SEARCH("أدخل العلامة",H7)))</formula>
    </cfRule>
    <cfRule type="containsText" dxfId="25" priority="121" operator="containsText" text="ممتاز">
      <formula>NOT(ISERROR(SEARCH("ممتاز",H7)))</formula>
    </cfRule>
    <cfRule type="containsText" dxfId="24" priority="122" operator="containsText" text="جيد جداً">
      <formula>NOT(ISERROR(SEARCH("جيد جداً",H7)))</formula>
    </cfRule>
    <cfRule type="containsText" dxfId="23" priority="123" operator="containsText" text="جيد">
      <formula>NOT(ISERROR(SEARCH("جيد",H7)))</formula>
    </cfRule>
    <cfRule type="containsText" dxfId="22" priority="124" operator="containsText" text="مقبول">
      <formula>NOT(ISERROR(SEARCH("مقبول",H7)))</formula>
    </cfRule>
    <cfRule type="containsText" dxfId="21" priority="125" operator="containsText" text="راسب">
      <formula>NOT(ISERROR(SEARCH("راسب",H7)))</formula>
    </cfRule>
  </conditionalFormatting>
  <conditionalFormatting sqref="F6">
    <cfRule type="containsText" dxfId="20" priority="91" operator="containsText" text="أدخل العلامة">
      <formula>NOT(ISERROR(SEARCH("أدخل العلامة",F6)))</formula>
    </cfRule>
  </conditionalFormatting>
  <conditionalFormatting sqref="H6">
    <cfRule type="containsText" dxfId="19" priority="85" operator="containsText" text="أدخل العلامة">
      <formula>NOT(ISERROR(SEARCH("أدخل العلامة",H6)))</formula>
    </cfRule>
    <cfRule type="containsText" dxfId="18" priority="86" operator="containsText" text="ممتاز">
      <formula>NOT(ISERROR(SEARCH("ممتاز",H6)))</formula>
    </cfRule>
    <cfRule type="containsText" dxfId="17" priority="87" operator="containsText" text="جيد جداً">
      <formula>NOT(ISERROR(SEARCH("جيد جداً",H6)))</formula>
    </cfRule>
    <cfRule type="containsText" dxfId="16" priority="88" operator="containsText" text="جيد">
      <formula>NOT(ISERROR(SEARCH("جيد",H6)))</formula>
    </cfRule>
    <cfRule type="containsText" dxfId="15" priority="89" operator="containsText" text="مقبول">
      <formula>NOT(ISERROR(SEARCH("مقبول",H6)))</formula>
    </cfRule>
    <cfRule type="containsText" dxfId="14" priority="90" operator="containsText" text="راسب">
      <formula>NOT(ISERROR(SEARCH("راسب",H6)))</formula>
    </cfRule>
  </conditionalFormatting>
  <conditionalFormatting sqref="F9:F10">
    <cfRule type="containsText" dxfId="13" priority="70" operator="containsText" text="أدخل العلامة">
      <formula>NOT(ISERROR(SEARCH("أدخل العلامة",F9)))</formula>
    </cfRule>
  </conditionalFormatting>
  <conditionalFormatting sqref="H9:H10">
    <cfRule type="containsText" dxfId="12" priority="64" operator="containsText" text="أدخل العلامة">
      <formula>NOT(ISERROR(SEARCH("أدخل العلامة",H9)))</formula>
    </cfRule>
    <cfRule type="containsText" dxfId="11" priority="65" operator="containsText" text="ممتاز">
      <formula>NOT(ISERROR(SEARCH("ممتاز",H9)))</formula>
    </cfRule>
    <cfRule type="containsText" dxfId="10" priority="66" operator="containsText" text="جيد جداً">
      <formula>NOT(ISERROR(SEARCH("جيد جداً",H9)))</formula>
    </cfRule>
    <cfRule type="containsText" dxfId="9" priority="67" operator="containsText" text="جيد">
      <formula>NOT(ISERROR(SEARCH("جيد",H9)))</formula>
    </cfRule>
    <cfRule type="containsText" dxfId="8" priority="68" operator="containsText" text="مقبول">
      <formula>NOT(ISERROR(SEARCH("مقبول",H9)))</formula>
    </cfRule>
    <cfRule type="containsText" dxfId="7" priority="69" operator="containsText" text="راسب">
      <formula>NOT(ISERROR(SEARCH("راسب",H9)))</formula>
    </cfRule>
  </conditionalFormatting>
  <conditionalFormatting sqref="F8">
    <cfRule type="containsText" dxfId="6" priority="63" operator="containsText" text="أدخل العلامة">
      <formula>NOT(ISERROR(SEARCH("أدخل العلامة",F8)))</formula>
    </cfRule>
  </conditionalFormatting>
  <conditionalFormatting sqref="H8">
    <cfRule type="containsText" dxfId="5" priority="57" operator="containsText" text="أدخل العلامة">
      <formula>NOT(ISERROR(SEARCH("أدخل العلامة",H8)))</formula>
    </cfRule>
    <cfRule type="containsText" dxfId="4" priority="58" operator="containsText" text="ممتاز">
      <formula>NOT(ISERROR(SEARCH("ممتاز",H8)))</formula>
    </cfRule>
    <cfRule type="containsText" dxfId="3" priority="59" operator="containsText" text="جيد جداً">
      <formula>NOT(ISERROR(SEARCH("جيد جداً",H8)))</formula>
    </cfRule>
    <cfRule type="containsText" dxfId="2" priority="60" operator="containsText" text="جيد">
      <formula>NOT(ISERROR(SEARCH("جيد",H8)))</formula>
    </cfRule>
    <cfRule type="containsText" dxfId="1" priority="61" operator="containsText" text="مقبول">
      <formula>NOT(ISERROR(SEARCH("مقبول",H8)))</formula>
    </cfRule>
    <cfRule type="containsText" dxfId="0" priority="6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G14:J14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2026-09-03T04:45:02Z</dcterms:modified>
</cp:coreProperties>
</file>