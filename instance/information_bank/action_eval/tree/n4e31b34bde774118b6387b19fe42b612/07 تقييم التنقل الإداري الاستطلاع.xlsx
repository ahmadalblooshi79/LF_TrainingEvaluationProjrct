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9BEE655-9CA9-40E2-B879-960364F36C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4" i="2"/>
  <c r="H34" i="2"/>
  <c r="G35" i="2"/>
  <c r="H35" i="2"/>
  <c r="G36" i="2"/>
  <c r="H36" i="2"/>
  <c r="G37" i="2"/>
  <c r="H37" i="2"/>
  <c r="F38" i="2"/>
  <c r="E38" i="2"/>
  <c r="E39" i="2"/>
  <c r="E40" i="2"/>
</calcChain>
</file>

<file path=xl/sharedStrings.xml><?xml version="1.0" encoding="utf-8"?>
<sst xmlns="http://schemas.openxmlformats.org/spreadsheetml/2006/main" count="267" uniqueCount="211">
  <si>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</si>
  <si>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</si>
  <si>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</si>
  <si>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</si>
  <si>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</si>
  <si>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</si>
  <si>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</si>
  <si>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</si>
  <si>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</si>
  <si>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</si>
  <si>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</si>
  <si>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</si>
  <si>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</si>
  <si>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</si>
  <si>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</si>
  <si>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</si>
  <si>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</si>
  <si>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</si>
  <si>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</si>
  <si>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</si>
  <si>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</si>
  <si>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</si>
  <si>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</si>
  <si>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</si>
  <si>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</si>
  <si>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</si>
  <si>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</si>
  <si>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</si>
  <si>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</si>
  <si>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</si>
  <si>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</si>
  <si>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</si>
  <si>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</si>
  <si>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</si>
  <si>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</si>
  <si>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</si>
  <si>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</si>
  <si>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</si>
  <si>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</si>
  <si>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</si>
  <si>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</si>
  <si>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</si>
  <si>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</si>
  <si>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</si>
  <si>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</si>
  <si>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</si>
  <si>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</si>
  <si>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</si>
  <si>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</si>
  <si>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</si>
  <si>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</si>
  <si>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</si>
  <si>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</si>
  <si>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</si>
  <si>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</si>
  <si>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</si>
  <si>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</si>
  <si>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</si>
  <si>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</si>
  <si>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</si>
  <si>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</si>
  <si>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</si>
  <si>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</si>
  <si>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</si>
  <si>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</si>
  <si>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</si>
  <si>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</si>
  <si>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</si>
  <si>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</si>
  <si>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</si>
  <si>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</si>
  <si>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</si>
  <si>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</si>
  <si>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</si>
  <si>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</si>
  <si>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</si>
  <si>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</si>
  <si>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</si>
  <si>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</si>
  <si>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</si>
  <si>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</si>
  <si>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</si>
  <si>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</si>
  <si>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</si>
  <si>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</si>
  <si>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</si>
  <si>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</si>
  <si>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</si>
  <si>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</si>
  <si>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</si>
  <si>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</si>
  <si>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</si>
  <si>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</si>
  <si>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</si>
  <si>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</si>
  <si>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</si>
  <si>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</si>
  <si>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</si>
  <si>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</si>
  <si>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</si>
  <si>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</si>
  <si>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</si>
  <si>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</si>
  <si>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</si>
  <si>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</si>
  <si>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</si>
  <si>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</si>
  <si>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</si>
  <si>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</si>
  <si>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</si>
  <si>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</si>
  <si>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</si>
  <si>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</si>
  <si>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</si>
  <si>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</si>
  <si>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</si>
  <si>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</si>
  <si>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</si>
  <si>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</si>
  <si>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</si>
  <si>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</si>
  <si>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</si>
  <si>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</si>
  <si>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</si>
  <si>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</si>
  <si>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</si>
  <si>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</si>
  <si>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</si>
  <si>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</si>
  <si>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</si>
  <si>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</si>
  <si>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</si>
  <si>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</si>
  <si>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</si>
  <si>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</si>
  <si>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</si>
  <si>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</si>
  <si>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</si>
  <si>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</si>
  <si>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</si>
  <si>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</si>
  <si>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</si>
  <si>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</si>
  <si>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</si>
  <si>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</si>
  <si>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</si>
  <si>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</si>
  <si>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</si>
  <si>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</si>
  <si>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</si>
  <si>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</si>
  <si>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</si>
  <si>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</si>
  <si>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</si>
  <si>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</si>
  <si>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</si>
  <si>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</si>
  <si>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</si>
  <si>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</si>
  <si>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</si>
  <si>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</si>
  <si>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</si>
  <si>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</si>
  <si>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</si>
  <si>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</si>
  <si>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</si>
  <si>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</si>
  <si>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</si>
  <si>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</si>
  <si>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</si>
  <si>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</si>
  <si>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</si>
  <si>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</si>
  <si>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</si>
  <si>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</si>
  <si>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</si>
  <si>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</si>
  <si>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</si>
  <si>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</si>
  <si>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</si>
  <si>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التنقل الإداري لسرية الاستطلاع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</si>
  <si>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القافلة، وتشمل:</t>
    </r>
  </si>
  <si>
    <r>
      <t xml:space="preserve">أ. </t>
    </r>
    <r>
      <rPr>
        <sz val="12"/>
        <color rgb="FF000000"/>
        <rFont val="Arial"/>
        <family val="2"/>
      </rPr>
      <t xml:space="preserve">وجود </t>
    </r>
    <r>
      <rPr>
        <sz val="12"/>
        <color theme="1"/>
        <rFont val="Arial"/>
        <family val="2"/>
      </rPr>
      <t>الأمر / برقية إعطاء الموافقة بالتحرك من المستوى الأعلـى.</t>
    </r>
  </si>
  <si>
    <t>ب. وجود أمـر التنقل ودقة البيانات الواردة به.</t>
  </si>
  <si>
    <t>جـ. وجود جدول التنقل ودقة البيانات الواردة به.</t>
  </si>
  <si>
    <t>د. وجود يومية التحرك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</si>
  <si>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السيطرة).</t>
    </r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</si>
  <si>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التحرك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</si>
  <si>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جاهزيـة الضباط والأفــراد من حيث.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</si>
  <si>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وجود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</si>
  <si>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</si>
  <si>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الشـرطة العسكرية</t>
    </r>
    <r>
      <rPr>
        <b/>
        <sz val="12"/>
        <color theme="1"/>
        <rFont val="Arial"/>
        <family val="2"/>
      </rPr>
      <t>.</t>
    </r>
  </si>
  <si>
    <t>أ. وجود برقية إخطار الشرطة العسكرية بالتحرك صادرة من المستوى الأعلى.</t>
  </si>
  <si>
    <t>ب. التأكد من التنسيق مع الشرطة المدينة حول التحرك من قبل الشرطة العسكرية.</t>
  </si>
  <si>
    <t>جـ. التأكد من عدم السماح للسيارة المدينة بالدخول بين آليات القافلة العسكرية.</t>
  </si>
  <si>
    <t>د. التأكد من جاهزية الأفراد والآليات من حيث (عدد الأفراد / الآليات، التسليح، الاتصالات، اللباس).</t>
  </si>
  <si>
    <r>
      <t>8.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.</t>
    </r>
  </si>
  <si>
    <t>أ.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</si>
  <si>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الآلية، جدول التحميل / الركوب لكل آلية.</t>
  </si>
  <si>
    <t>جـ. مدى صلاحية وجاهزية الآليات من حيث (الوقود، المياه، الإطار الاحتياطي، غطاء التمويه مع الركائز).</t>
  </si>
  <si>
    <t>د. التأكد من عدم تحميل الآليات أكثر من حمولتها أو وضع حمولة غير مرتبة بحيث توحي بأنها محملة أكثر من حمولتها.</t>
  </si>
  <si>
    <t>هـ. التأكد من تحميل ثلث ذخيرة الخط الأول لجميع الأصناف في صناديق (أثناء التنقل لتنفيذ التمارين الخارجية) مع وجود سند صرف لاستلام الذخائر.</t>
  </si>
  <si>
    <t>و.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</si>
  <si>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عند تحميل أي ذخيرة في القافلة.</t>
    </r>
  </si>
  <si>
    <t>أ. وجود سيارة إطفاء والتأكد من جاهزيتها وصلاحيتها وكفاءة طاقمها.</t>
  </si>
  <si>
    <t>ب. وجود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</si>
  <si>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u/>
        <sz val="12"/>
        <color rgb="FF000000"/>
        <rFont val="Arial"/>
        <family val="2"/>
      </rPr>
      <t>الشؤون الإدارية</t>
    </r>
    <r>
      <rPr>
        <b/>
        <sz val="12"/>
        <color rgb="FF000000"/>
        <rFont val="Arial"/>
        <family val="2"/>
      </rPr>
      <t>.</t>
    </r>
  </si>
  <si>
    <t>أ. توفر الإعاشة أثناء التنقـل.</t>
  </si>
  <si>
    <t>ب. وجود سيارة إسعاف مع طبيب /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</si>
  <si>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</si>
  <si>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وجود آلية قطر احتياط لأليات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</si>
</sst>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7"/>
      <color rgb="FF000000"/>
      <name val="Times New Roman"/>
      <family val="1"/>
    </font>
    <font>
      <sz val="12"/>
      <color theme="1"/>
      <name val="Arial"/>
      <family val="2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 vertical="center" wrapText="1" readingOrder="2"/>
    </xf>
    <xf numFmtId="9" fontId="3" fillId="0" borderId="13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7" fillId="4" borderId="22" xfId="0" applyFont="1" applyFill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0" fontId="15" fillId="0" borderId="12" xfId="0" applyFont="1" applyBorder="1" applyAlignment="1">
      <alignment horizontal="right" vertical="center" wrapText="1" indent="2" readingOrder="2"/>
    </xf>
    <xf numFmtId="0" fontId="15" fillId="0" borderId="13" xfId="0" applyFont="1" applyBorder="1" applyAlignment="1">
      <alignment horizontal="right" vertical="center" wrapText="1" indent="2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5" fillId="0" borderId="24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2" fillId="0" borderId="15" xfId="0" applyFont="1" applyBorder="1" applyAlignment="1">
      <alignment horizontal="right" vertical="center" wrapText="1" readingOrder="2"/>
    </xf>
    <xf numFmtId="0" fontId="2" fillId="0" borderId="11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277665</xdr:colOff>
      <xdr:row>40</xdr:row>
      <xdr:rowOff>508818</xdr:rowOff>
    </xdr:from>
    <xdr:to>
      <xdr:col>9</xdr:col>
      <xdr:colOff>115994</xdr:colOff>
      <xdr:row>42</xdr:row>
      <xdr:rowOff>1142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ECE0399-6658-B4BF-C7E4-3B064512F293}"/>
                </a:ext>
              </a:extLst>
            </xdr14:cNvPr>
            <xdr14:cNvContentPartPr/>
          </xdr14:nvContentPartPr>
          <xdr14:nvPr macro=""/>
          <xdr14:xfrm>
            <a:off x="10398470825" y="18081000"/>
            <a:ext cx="1812600" cy="669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ECE0399-6658-B4BF-C7E4-3B064512F2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462185" y="18072360"/>
              <a:ext cx="1830240" cy="68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323375</xdr:colOff>
      <xdr:row>41</xdr:row>
      <xdr:rowOff>572447</xdr:rowOff>
    </xdr:from>
    <xdr:to>
      <xdr:col>7</xdr:col>
      <xdr:colOff>323735</xdr:colOff>
      <xdr:row>41</xdr:row>
      <xdr:rowOff>579647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DA45107-3547-019A-ED41-E5108ACB9564}"/>
                </a:ext>
              </a:extLst>
            </xdr14:cNvPr>
            <xdr14:cNvContentPartPr/>
          </xdr14:nvContentPartPr>
          <xdr14:nvPr macro=""/>
          <xdr14:xfrm>
            <a:off x="10399579265" y="18675720"/>
            <a:ext cx="360" cy="7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DA45107-3547-019A-ED41-E5108ACB956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570625" y="18667080"/>
              <a:ext cx="18000" cy="24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09:00:06.0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4583 746,'0'0,"0"0,0 0,0 0,0 0,0 0,0 0,0 0,0 0,-17 0,15 0,-12-16,0 16,11 0,-10 0,-4 0,17 0,-30 0,14 0,16 0,-30 0,13 16,17-14,-13 12,13 19,0-28,0 22,0-11,0-14,13 28,20-13,-29-15,22 12,21 2,-41-14,34 12,23-14,-53 0,27 0,9 0,-38 0,31 0,8 0,-40 0,16 0,-7 0,-14 0,10 16,-12 0,0-14,-14 29,-32 1,36-27,-43 55,-56 21,94-69,-78 57,-46 12,117-69,-97 57,-7-5,111-55,-76 47,11-8,69-40,-39 1,4 8,37-15,-14-4,-8-15,27 14,-8-11,-2 14,12 0,-29-16,1 0,25 14,-20-28,9 14,14 14,-27-13,13-17,14 27,-26-6,-5-5,31 14,-26-12,-18-3,38 15,-15-12,-24-2,38 13,-14-10,-24-3,40 13,-33-10,10-20,25 28,-20-22,9-5,14 27,4-56,14-36,-14 83,10-69,34-46,-36 109,43-90,10-36,-53 123,41-51,-4-6,-38 67,28-39,10 4,-38 40,14-18,-9 26,-11 0,-6 16,-11 2,12-16,-12 12,-16 18,22-27,-63 71,-22 21,81-82,-84 67,-43 48,115-110,-125 105,-38 21,159-123,-130 83,-28 24,156-109,-93 71,-33-11,129-68,-70 39,-43 12,117-53,-47 12,-9 9,67-27,-69 6,20 5,51-14,-27-4,-9-14,36 13,-43 6,6-19,41 13,-34-10,-23-3,53 13,-11-28,-9-1,25 27,-23-38,15 10,11 28,4-38,-2-38,0 68,13-55,20-46,-30 97,41-79,17-17,-50 95,40-77,12 14,-54 68,59-72,8 4,-64 69,39-24,-4 4,-39 27,31-7,-9-4,-23 13,19 22,4-35,-23 13,3 22,-10-2,0-14,0 26,-17 36,14-54,-40 75,-35 11,65-80,-83 80,3 16,76-95,-89 77,-66 51,143-122,-113 81,-44 8,158-94,-114 59,-14 4,130-69,-72 39,5-20,79-27,-52 39,-10-28,64-14,-23 28,5-30,23 0,-2 0,25 0,-14 0,10 0,4 0,-14 0,43 0,48-48,-79 40,128-33,45-24,-159 55,160-60,15-28,-171 83,137-51,49-31,-188 83,126-53,108-79,-225 125,171-87,7-22,-185 111,122-91,2-4,-132 97,45-31,8-16,-66 55,41-31,55-73,-88 95,25-46,-44 32,0 27,16-38,-2-6,-12 41,-4-16,2-8,0 27,0-23,-14 12,12 13,-12-10,-2 29,16-13,-30 10,-1 20,26-28,-37 38,-21 54,55-81,-47 98,-21 32,61-122,-47 129,-1 10,54-137,-29 93,-8 27,39-124,-17 70,8-11,14-68,-12 38,14 46,0-82,-14 51,28 48,-12-96,-4 29,2-47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09:00:06.4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1,'0'0,"0"0,0 0,0 16,0-14,0-4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2"/>
  <sheetViews>
    <sheetView rightToLeft="1" tabSelected="1" view="pageBreakPreview" topLeftCell="B1" zoomScale="130" zoomScaleNormal="100" zoomScaleSheetLayoutView="130" workbookViewId="0">
      <selection activeCell="F4" sqref="F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9" t="s">
        <v>180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3">
      <c r="B2" s="14" t="s">
        <v>8</v>
      </c>
      <c r="C2" s="75" t="s">
        <v>10</v>
      </c>
      <c r="D2" s="75"/>
      <c r="E2" s="14" t="s">
        <v>7</v>
      </c>
      <c r="F2" s="70">
        <v>45931</v>
      </c>
      <c r="G2" s="70"/>
      <c r="H2" s="70"/>
      <c r="I2" s="70"/>
      <c r="J2" s="70"/>
    </row>
    <row r="3" spans="1:10" ht="30" customHeight="1" x14ac:dyDescent="0.3">
      <c r="B3" s="14" t="s">
        <v>9</v>
      </c>
      <c r="C3" s="75" t="s">
        <v>65</v>
      </c>
      <c r="D3" s="75"/>
      <c r="E3" s="14" t="s">
        <v>6</v>
      </c>
      <c r="F3" s="75" t="s">
        <v>113</v>
      </c>
      <c r="G3" s="75"/>
      <c r="H3" s="75"/>
      <c r="I3" s="75"/>
      <c r="J3" s="7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2"/>
      <c r="B5" s="71" t="s">
        <v>0</v>
      </c>
      <c r="C5" s="72"/>
      <c r="D5" s="72"/>
      <c r="E5" s="57" t="s">
        <v>1</v>
      </c>
      <c r="F5" s="57"/>
      <c r="G5" s="57"/>
      <c r="H5" s="57"/>
      <c r="I5" s="57" t="s">
        <v>2</v>
      </c>
      <c r="J5" s="58"/>
    </row>
    <row r="6" spans="1:10" ht="24.9" customHeight="1" thickBot="1" x14ac:dyDescent="0.35">
      <c r="A6" s="12"/>
      <c r="B6" s="73"/>
      <c r="C6" s="74"/>
      <c r="D6" s="74"/>
      <c r="E6" s="13" t="s">
        <v>3</v>
      </c>
      <c r="F6" s="13" t="s">
        <v>4</v>
      </c>
      <c r="G6" s="13" t="s">
        <v>23</v>
      </c>
      <c r="H6" s="13" t="s">
        <v>24</v>
      </c>
      <c r="I6" s="59"/>
      <c r="J6" s="60"/>
    </row>
    <row r="7" spans="1:10" ht="24.9" customHeight="1" thickBot="1" x14ac:dyDescent="0.35">
      <c r="A7" s="12"/>
      <c r="B7" s="78" t="s">
        <v>21</v>
      </c>
      <c r="C7" s="79"/>
      <c r="D7" s="79"/>
      <c r="E7" s="32" t="s">
        <v>18</v>
      </c>
      <c r="F7" s="32" t="s">
        <v>19</v>
      </c>
      <c r="G7" s="32" t="s">
        <v>22</v>
      </c>
      <c r="H7" s="32" t="s">
        <v>20</v>
      </c>
      <c r="I7" s="61" t="s">
        <v>25</v>
      </c>
      <c r="J7" s="62"/>
    </row>
    <row r="8" spans="1:10" ht="30" customHeight="1" x14ac:dyDescent="0.3">
      <c r="A8" s="12"/>
      <c r="B8" s="94" t="s">
        <v>181</v>
      </c>
      <c r="C8" s="95"/>
      <c r="D8" s="95"/>
      <c r="E8" s="36"/>
      <c r="F8" s="37"/>
      <c r="G8" s="38"/>
      <c r="H8" s="39"/>
      <c r="I8" s="55"/>
      <c r="J8" s="56"/>
    </row>
    <row r="9" spans="1:10" ht="30" customHeight="1" x14ac:dyDescent="0.3">
      <c r="A9" s="12"/>
      <c r="B9" s="92" t="s">
        <v>182</v>
      </c>
      <c r="C9" s="93"/>
      <c r="D9" s="93"/>
      <c r="E9" s="35">
        <v>5</v>
      </c>
      <c r="F9" s="28">
        <v>4.25</v>
      </c>
      <c r="G9" s="33">
        <f>IFERROR(F9/E9,"")</f>
        <v>0.85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3"/>
      <c r="J9" s="54"/>
    </row>
    <row r="10" spans="1:10" ht="30" customHeight="1" x14ac:dyDescent="0.3">
      <c r="A10" s="12"/>
      <c r="B10" s="92" t="s">
        <v>183</v>
      </c>
      <c r="C10" s="93"/>
      <c r="D10" s="93"/>
      <c r="E10" s="35">
        <v>5</v>
      </c>
      <c r="F10" s="28">
        <v>4</v>
      </c>
      <c r="G10" s="33">
        <f t="shared" ref="G10:G37" si="0">IFERROR(F10/E10,"")</f>
        <v>0.8</v>
      </c>
      <c r="H10" s="34" t="str">
        <f t="shared" ref="H10:H37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3"/>
      <c r="J10" s="54"/>
    </row>
    <row r="11" spans="1:10" ht="30" customHeight="1" x14ac:dyDescent="0.3">
      <c r="A11" s="12"/>
      <c r="B11" s="92" t="s">
        <v>184</v>
      </c>
      <c r="C11" s="93"/>
      <c r="D11" s="93"/>
      <c r="E11" s="35">
        <v>5</v>
      </c>
      <c r="F11" s="28">
        <v>4</v>
      </c>
      <c r="G11" s="33">
        <f t="shared" si="0"/>
        <v>0.8</v>
      </c>
      <c r="H11" s="34" t="str">
        <f t="shared" si="1"/>
        <v>جيد جداً</v>
      </c>
      <c r="I11" s="53"/>
      <c r="J11" s="54"/>
    </row>
    <row r="12" spans="1:10" ht="30" customHeight="1" thickBot="1" x14ac:dyDescent="0.35">
      <c r="A12" s="12"/>
      <c r="B12" s="88" t="s">
        <v>185</v>
      </c>
      <c r="C12" s="89"/>
      <c r="D12" s="89"/>
      <c r="E12" s="40">
        <v>5</v>
      </c>
      <c r="F12" s="31">
        <v>3.75</v>
      </c>
      <c r="G12" s="41">
        <f t="shared" si="0"/>
        <v>0.75</v>
      </c>
      <c r="H12" s="42" t="str">
        <f t="shared" si="1"/>
        <v>جيد</v>
      </c>
      <c r="I12" s="80"/>
      <c r="J12" s="81"/>
    </row>
    <row r="13" spans="1:10" ht="39.9" customHeight="1" thickBot="1" x14ac:dyDescent="0.35">
      <c r="A13" s="12"/>
      <c r="B13" s="96" t="s">
        <v>186</v>
      </c>
      <c r="C13" s="97"/>
      <c r="D13" s="97"/>
      <c r="E13" s="44">
        <v>5</v>
      </c>
      <c r="F13" s="45">
        <v>3.75</v>
      </c>
      <c r="G13" s="46">
        <f t="shared" si="0"/>
        <v>0.75</v>
      </c>
      <c r="H13" s="30" t="str">
        <f t="shared" si="1"/>
        <v>جيد</v>
      </c>
      <c r="I13" s="84"/>
      <c r="J13" s="85"/>
    </row>
    <row r="14" spans="1:10" ht="50.1" customHeight="1" thickBot="1" x14ac:dyDescent="0.35">
      <c r="A14" s="12"/>
      <c r="B14" s="96" t="s">
        <v>187</v>
      </c>
      <c r="C14" s="97"/>
      <c r="D14" s="97"/>
      <c r="E14" s="44">
        <v>5</v>
      </c>
      <c r="F14" s="45">
        <v>3.75</v>
      </c>
      <c r="G14" s="46">
        <f t="shared" si="0"/>
        <v>0.75</v>
      </c>
      <c r="H14" s="30" t="str">
        <f t="shared" si="1"/>
        <v>جيد</v>
      </c>
      <c r="I14" s="84"/>
      <c r="J14" s="85"/>
    </row>
    <row r="15" spans="1:10" ht="50.1" customHeight="1" thickBot="1" x14ac:dyDescent="0.35">
      <c r="A15" s="12"/>
      <c r="B15" s="96" t="s">
        <v>188</v>
      </c>
      <c r="C15" s="97"/>
      <c r="D15" s="97"/>
      <c r="E15" s="44">
        <v>5</v>
      </c>
      <c r="F15" s="45">
        <v>3.75</v>
      </c>
      <c r="G15" s="46">
        <f t="shared" si="0"/>
        <v>0.75</v>
      </c>
      <c r="H15" s="30" t="str">
        <f t="shared" si="1"/>
        <v>جيد</v>
      </c>
      <c r="I15" s="84"/>
      <c r="J15" s="85"/>
    </row>
    <row r="16" spans="1:10" ht="30" customHeight="1" thickBot="1" x14ac:dyDescent="0.35">
      <c r="A16" s="12"/>
      <c r="B16" s="96" t="s">
        <v>189</v>
      </c>
      <c r="C16" s="97"/>
      <c r="D16" s="97"/>
      <c r="E16" s="44">
        <v>5</v>
      </c>
      <c r="F16" s="45">
        <v>3.75</v>
      </c>
      <c r="G16" s="46">
        <f t="shared" si="0"/>
        <v>0.75</v>
      </c>
      <c r="H16" s="30" t="str">
        <f t="shared" si="1"/>
        <v>جيد</v>
      </c>
      <c r="I16" s="84"/>
      <c r="J16" s="85"/>
    </row>
    <row r="17" spans="1:10" ht="30" customHeight="1" thickBot="1" x14ac:dyDescent="0.35">
      <c r="A17" s="12"/>
      <c r="B17" s="96" t="s">
        <v>190</v>
      </c>
      <c r="C17" s="97"/>
      <c r="D17" s="97"/>
      <c r="E17" s="44">
        <v>5</v>
      </c>
      <c r="F17" s="45">
        <v>3.5</v>
      </c>
      <c r="G17" s="46">
        <f t="shared" si="0"/>
        <v>0.7</v>
      </c>
      <c r="H17" s="30" t="str">
        <f t="shared" si="1"/>
        <v>جيد</v>
      </c>
      <c r="I17" s="84"/>
      <c r="J17" s="85"/>
    </row>
    <row r="18" spans="1:10" ht="30" customHeight="1" x14ac:dyDescent="0.3">
      <c r="A18" s="12"/>
      <c r="B18" s="90" t="s">
        <v>191</v>
      </c>
      <c r="C18" s="91"/>
      <c r="D18" s="91"/>
      <c r="E18" s="47"/>
      <c r="F18" s="37"/>
      <c r="G18" s="38"/>
      <c r="H18" s="39"/>
      <c r="I18" s="55"/>
      <c r="J18" s="56"/>
    </row>
    <row r="19" spans="1:10" ht="39.9" customHeight="1" x14ac:dyDescent="0.3">
      <c r="A19" s="12"/>
      <c r="B19" s="92" t="s">
        <v>192</v>
      </c>
      <c r="C19" s="93"/>
      <c r="D19" s="93"/>
      <c r="E19" s="35">
        <v>5</v>
      </c>
      <c r="F19" s="28">
        <v>3.5</v>
      </c>
      <c r="G19" s="33">
        <f t="shared" si="0"/>
        <v>0.7</v>
      </c>
      <c r="H19" s="34" t="str">
        <f t="shared" si="1"/>
        <v>جيد</v>
      </c>
      <c r="I19" s="53"/>
      <c r="J19" s="54"/>
    </row>
    <row r="20" spans="1:10" ht="39.9" customHeight="1" x14ac:dyDescent="0.3">
      <c r="A20" s="12"/>
      <c r="B20" s="92" t="s">
        <v>193</v>
      </c>
      <c r="C20" s="93"/>
      <c r="D20" s="93"/>
      <c r="E20" s="35">
        <v>5</v>
      </c>
      <c r="F20" s="28">
        <v>3.5</v>
      </c>
      <c r="G20" s="33">
        <f t="shared" si="0"/>
        <v>0.7</v>
      </c>
      <c r="H20" s="34" t="str">
        <f t="shared" si="1"/>
        <v>جيد</v>
      </c>
      <c r="I20" s="53"/>
      <c r="J20" s="54"/>
    </row>
    <row r="21" spans="1:10" ht="39.9" customHeight="1" x14ac:dyDescent="0.3">
      <c r="A21" s="12"/>
      <c r="B21" s="92" t="s">
        <v>194</v>
      </c>
      <c r="C21" s="93"/>
      <c r="D21" s="93"/>
      <c r="E21" s="35">
        <v>5</v>
      </c>
      <c r="F21" s="28">
        <v>3.5</v>
      </c>
      <c r="G21" s="33">
        <f t="shared" si="0"/>
        <v>0.7</v>
      </c>
      <c r="H21" s="34" t="str">
        <f t="shared" si="1"/>
        <v>جيد</v>
      </c>
      <c r="I21" s="53"/>
      <c r="J21" s="54"/>
    </row>
    <row r="22" spans="1:10" ht="39.9" customHeight="1" thickBot="1" x14ac:dyDescent="0.35">
      <c r="A22" s="12"/>
      <c r="B22" s="88" t="s">
        <v>195</v>
      </c>
      <c r="C22" s="89"/>
      <c r="D22" s="89"/>
      <c r="E22" s="40">
        <v>5</v>
      </c>
      <c r="F22" s="31">
        <v>3.5</v>
      </c>
      <c r="G22" s="41">
        <f t="shared" si="0"/>
        <v>0.7</v>
      </c>
      <c r="H22" s="42" t="str">
        <f t="shared" si="1"/>
        <v>جيد</v>
      </c>
      <c r="I22" s="80"/>
      <c r="J22" s="81"/>
    </row>
    <row r="23" spans="1:10" ht="30" customHeight="1" x14ac:dyDescent="0.3">
      <c r="A23" s="12"/>
      <c r="B23" s="90" t="s">
        <v>196</v>
      </c>
      <c r="C23" s="91"/>
      <c r="D23" s="91"/>
      <c r="E23" s="47"/>
      <c r="F23" s="37"/>
      <c r="G23" s="38"/>
      <c r="H23" s="39"/>
      <c r="I23" s="55"/>
      <c r="J23" s="56"/>
    </row>
    <row r="24" spans="1:10" ht="52.5" customHeight="1" x14ac:dyDescent="0.3">
      <c r="A24" s="12"/>
      <c r="B24" s="92" t="s">
        <v>197</v>
      </c>
      <c r="C24" s="93"/>
      <c r="D24" s="93"/>
      <c r="E24" s="35">
        <v>5</v>
      </c>
      <c r="F24" s="28">
        <v>4.25</v>
      </c>
      <c r="G24" s="33">
        <f t="shared" si="0"/>
        <v>0.85</v>
      </c>
      <c r="H24" s="34" t="str">
        <f t="shared" si="1"/>
        <v>جيد جداً</v>
      </c>
      <c r="I24" s="53"/>
      <c r="J24" s="54"/>
    </row>
    <row r="25" spans="1:10" ht="30" customHeight="1" x14ac:dyDescent="0.3">
      <c r="A25" s="12"/>
      <c r="B25" s="92" t="s">
        <v>198</v>
      </c>
      <c r="C25" s="93"/>
      <c r="D25" s="93"/>
      <c r="E25" s="35">
        <v>5</v>
      </c>
      <c r="F25" s="28">
        <v>4</v>
      </c>
      <c r="G25" s="33">
        <f t="shared" si="0"/>
        <v>0.8</v>
      </c>
      <c r="H25" s="34" t="str">
        <f t="shared" si="1"/>
        <v>جيد جداً</v>
      </c>
      <c r="I25" s="53"/>
      <c r="J25" s="54"/>
    </row>
    <row r="26" spans="1:10" ht="39.9" customHeight="1" x14ac:dyDescent="0.3">
      <c r="A26" s="12"/>
      <c r="B26" s="92" t="s">
        <v>199</v>
      </c>
      <c r="C26" s="93"/>
      <c r="D26" s="93"/>
      <c r="E26" s="35">
        <v>5</v>
      </c>
      <c r="F26" s="28">
        <v>3.75</v>
      </c>
      <c r="G26" s="33">
        <f t="shared" si="0"/>
        <v>0.75</v>
      </c>
      <c r="H26" s="34" t="str">
        <f t="shared" si="1"/>
        <v>جيد</v>
      </c>
      <c r="I26" s="53"/>
      <c r="J26" s="54"/>
    </row>
    <row r="27" spans="1:10" ht="39.9" customHeight="1" x14ac:dyDescent="0.3">
      <c r="A27" s="12"/>
      <c r="B27" s="92" t="s">
        <v>200</v>
      </c>
      <c r="C27" s="93"/>
      <c r="D27" s="93"/>
      <c r="E27" s="35">
        <v>5</v>
      </c>
      <c r="F27" s="28">
        <v>3.75</v>
      </c>
      <c r="G27" s="33">
        <f t="shared" si="0"/>
        <v>0.75</v>
      </c>
      <c r="H27" s="34" t="str">
        <f t="shared" si="1"/>
        <v>جيد</v>
      </c>
      <c r="I27" s="53"/>
      <c r="J27" s="54"/>
    </row>
    <row r="28" spans="1:10" ht="51.75" customHeight="1" x14ac:dyDescent="0.3">
      <c r="A28" s="12"/>
      <c r="B28" s="92" t="s">
        <v>201</v>
      </c>
      <c r="C28" s="93"/>
      <c r="D28" s="93"/>
      <c r="E28" s="35">
        <v>5</v>
      </c>
      <c r="F28" s="28">
        <v>3.75</v>
      </c>
      <c r="G28" s="33">
        <f t="shared" si="0"/>
        <v>0.75</v>
      </c>
      <c r="H28" s="34" t="str">
        <f t="shared" si="1"/>
        <v>جيد</v>
      </c>
      <c r="I28" s="53"/>
      <c r="J28" s="54"/>
    </row>
    <row r="29" spans="1:10" ht="39.9" customHeight="1" thickBot="1" x14ac:dyDescent="0.35">
      <c r="A29" s="12"/>
      <c r="B29" s="88" t="s">
        <v>202</v>
      </c>
      <c r="C29" s="89"/>
      <c r="D29" s="89"/>
      <c r="E29" s="40">
        <v>5</v>
      </c>
      <c r="F29" s="31">
        <v>3.75</v>
      </c>
      <c r="G29" s="41">
        <f t="shared" si="0"/>
        <v>0.75</v>
      </c>
      <c r="H29" s="42" t="str">
        <f t="shared" si="1"/>
        <v>جيد</v>
      </c>
      <c r="I29" s="80"/>
      <c r="J29" s="81"/>
    </row>
    <row r="30" spans="1:10" ht="30" customHeight="1" x14ac:dyDescent="0.3">
      <c r="A30" s="12"/>
      <c r="B30" s="90" t="s">
        <v>203</v>
      </c>
      <c r="C30" s="91"/>
      <c r="D30" s="91"/>
      <c r="E30" s="47"/>
      <c r="F30" s="37"/>
      <c r="G30" s="38"/>
      <c r="H30" s="39"/>
      <c r="I30" s="55"/>
      <c r="J30" s="56"/>
    </row>
    <row r="31" spans="1:10" ht="30" customHeight="1" x14ac:dyDescent="0.3">
      <c r="A31" s="12"/>
      <c r="B31" s="92" t="s">
        <v>204</v>
      </c>
      <c r="C31" s="93"/>
      <c r="D31" s="93"/>
      <c r="E31" s="35">
        <v>5</v>
      </c>
      <c r="F31" s="28">
        <v>4.25</v>
      </c>
      <c r="G31" s="33">
        <f t="shared" si="0"/>
        <v>0.85</v>
      </c>
      <c r="H31" s="34" t="str">
        <f t="shared" si="1"/>
        <v>جيد جداً</v>
      </c>
      <c r="I31" s="53"/>
      <c r="J31" s="54"/>
    </row>
    <row r="32" spans="1:10" ht="39.9" customHeight="1" thickBot="1" x14ac:dyDescent="0.35">
      <c r="A32" s="12"/>
      <c r="B32" s="88" t="s">
        <v>205</v>
      </c>
      <c r="C32" s="89"/>
      <c r="D32" s="89"/>
      <c r="E32" s="40">
        <v>5</v>
      </c>
      <c r="F32" s="31">
        <v>4.25</v>
      </c>
      <c r="G32" s="41">
        <f t="shared" si="0"/>
        <v>0.85</v>
      </c>
      <c r="H32" s="42" t="str">
        <f t="shared" si="1"/>
        <v>جيد جداً</v>
      </c>
      <c r="I32" s="80"/>
      <c r="J32" s="81"/>
    </row>
    <row r="33" spans="1:10" ht="30" customHeight="1" x14ac:dyDescent="0.3">
      <c r="A33" s="12"/>
      <c r="B33" s="98" t="s">
        <v>206</v>
      </c>
      <c r="C33" s="99"/>
      <c r="D33" s="99"/>
      <c r="E33" s="43"/>
      <c r="F33" s="29"/>
      <c r="G33" s="10"/>
      <c r="H33" s="9"/>
      <c r="I33" s="86"/>
      <c r="J33" s="87"/>
    </row>
    <row r="34" spans="1:10" ht="30" customHeight="1" x14ac:dyDescent="0.3">
      <c r="A34" s="12"/>
      <c r="B34" s="92" t="s">
        <v>207</v>
      </c>
      <c r="C34" s="93"/>
      <c r="D34" s="93"/>
      <c r="E34" s="35">
        <v>5</v>
      </c>
      <c r="F34" s="28">
        <v>4</v>
      </c>
      <c r="G34" s="33">
        <f t="shared" si="0"/>
        <v>0.8</v>
      </c>
      <c r="H34" s="34" t="str">
        <f t="shared" si="1"/>
        <v>جيد جداً</v>
      </c>
      <c r="I34" s="53"/>
      <c r="J34" s="54"/>
    </row>
    <row r="35" spans="1:10" ht="30" customHeight="1" x14ac:dyDescent="0.3">
      <c r="A35" s="12"/>
      <c r="B35" s="92" t="s">
        <v>208</v>
      </c>
      <c r="C35" s="93"/>
      <c r="D35" s="93"/>
      <c r="E35" s="35">
        <v>5</v>
      </c>
      <c r="F35" s="28">
        <v>4</v>
      </c>
      <c r="G35" s="33">
        <f t="shared" si="0"/>
        <v>0.8</v>
      </c>
      <c r="H35" s="34" t="str">
        <f t="shared" si="1"/>
        <v>جيد جداً</v>
      </c>
      <c r="I35" s="53"/>
      <c r="J35" s="54"/>
    </row>
    <row r="36" spans="1:10" ht="39.9" customHeight="1" x14ac:dyDescent="0.3">
      <c r="A36" s="12"/>
      <c r="B36" s="92" t="s">
        <v>209</v>
      </c>
      <c r="C36" s="93"/>
      <c r="D36" s="93"/>
      <c r="E36" s="35">
        <v>5</v>
      </c>
      <c r="F36" s="28">
        <v>4</v>
      </c>
      <c r="G36" s="33">
        <f t="shared" si="0"/>
        <v>0.8</v>
      </c>
      <c r="H36" s="34" t="str">
        <f t="shared" si="1"/>
        <v>جيد جداً</v>
      </c>
      <c r="I36" s="53"/>
      <c r="J36" s="54"/>
    </row>
    <row r="37" spans="1:10" ht="30" customHeight="1" thickBot="1" x14ac:dyDescent="0.35">
      <c r="A37" s="12"/>
      <c r="B37" s="88" t="s">
        <v>210</v>
      </c>
      <c r="C37" s="89"/>
      <c r="D37" s="89"/>
      <c r="E37" s="40">
        <v>5</v>
      </c>
      <c r="F37" s="31">
        <v>4</v>
      </c>
      <c r="G37" s="41">
        <f t="shared" si="0"/>
        <v>0.8</v>
      </c>
      <c r="H37" s="42" t="str">
        <f t="shared" si="1"/>
        <v>جيد جداً</v>
      </c>
      <c r="I37" s="80"/>
      <c r="J37" s="81"/>
    </row>
    <row r="38" spans="1:10" ht="30" customHeight="1" thickBot="1" x14ac:dyDescent="0.35">
      <c r="A38" s="4"/>
      <c r="B38" s="82" t="s">
        <v>5</v>
      </c>
      <c r="C38" s="83"/>
      <c r="D38" s="83"/>
      <c r="E38" s="11">
        <f>SUM(E8:E37)</f>
        <v>125</v>
      </c>
      <c r="F38" s="11">
        <f>SUM(F8:F37)</f>
        <v>96.25</v>
      </c>
      <c r="G38" s="50"/>
      <c r="H38" s="51"/>
      <c r="I38" s="51"/>
      <c r="J38" s="52"/>
    </row>
    <row r="39" spans="1:10" ht="30" customHeight="1" thickBot="1" x14ac:dyDescent="0.35">
      <c r="A39" s="4"/>
      <c r="B39" s="82" t="s">
        <v>54</v>
      </c>
      <c r="C39" s="83"/>
      <c r="D39" s="83"/>
      <c r="E39" s="76">
        <f>F38/E38/100*100</f>
        <v>0.77</v>
      </c>
      <c r="F39" s="76"/>
      <c r="G39" s="76"/>
      <c r="H39" s="76"/>
      <c r="I39" s="76"/>
      <c r="J39" s="77"/>
    </row>
    <row r="40" spans="1:10" ht="30" customHeight="1" thickBot="1" x14ac:dyDescent="0.35">
      <c r="A40" s="4"/>
      <c r="B40" s="82" t="s">
        <v>55</v>
      </c>
      <c r="C40" s="83"/>
      <c r="D40" s="83"/>
      <c r="E40" s="67" t="str">
        <f>_xlfn.IFS(E39&gt;=90%,"ممتاز",E39&gt;=80%,"جيد جداً",E39&gt;=70%,"جيد",E39&gt;=60%,"مقبول",E39&lt;60%,"راسب")</f>
        <v>جيد</v>
      </c>
      <c r="F40" s="67"/>
      <c r="G40" s="67"/>
      <c r="H40" s="67"/>
      <c r="I40" s="67"/>
      <c r="J40" s="68"/>
    </row>
    <row r="41" spans="1:10" ht="42" customHeight="1" x14ac:dyDescent="0.3">
      <c r="B41" s="63" t="s">
        <v>174</v>
      </c>
      <c r="C41" s="63"/>
      <c r="D41" s="63"/>
      <c r="E41" s="48" t="s">
        <v>52</v>
      </c>
      <c r="F41" s="48"/>
      <c r="G41" s="65" t="s">
        <v>113</v>
      </c>
      <c r="H41" s="65"/>
      <c r="I41" s="65"/>
      <c r="J41" s="65"/>
    </row>
    <row r="42" spans="1:10" ht="51" customHeight="1" x14ac:dyDescent="0.3">
      <c r="A42" s="5"/>
      <c r="B42" s="64"/>
      <c r="C42" s="64"/>
      <c r="D42" s="64"/>
      <c r="E42" s="49" t="s">
        <v>53</v>
      </c>
      <c r="F42" s="49"/>
      <c r="G42" s="66"/>
      <c r="H42" s="66"/>
      <c r="I42" s="66"/>
      <c r="J42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1">
    <mergeCell ref="B20:D20"/>
    <mergeCell ref="B21:D21"/>
    <mergeCell ref="B35:D35"/>
    <mergeCell ref="B36:D36"/>
    <mergeCell ref="B37:D37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38:D38"/>
    <mergeCell ref="B39:D39"/>
    <mergeCell ref="B40:D4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1:J21"/>
    <mergeCell ref="I22:J22"/>
    <mergeCell ref="I32:J32"/>
    <mergeCell ref="B41:D42"/>
    <mergeCell ref="G41:J41"/>
    <mergeCell ref="G42:J42"/>
    <mergeCell ref="E40:J40"/>
    <mergeCell ref="B1:J1"/>
    <mergeCell ref="F2:J2"/>
    <mergeCell ref="B5:D6"/>
    <mergeCell ref="C2:D2"/>
    <mergeCell ref="C3:D3"/>
    <mergeCell ref="F3:J3"/>
    <mergeCell ref="E39:J39"/>
    <mergeCell ref="B7:D7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8:J8"/>
    <mergeCell ref="E41:F41"/>
    <mergeCell ref="E42:F42"/>
    <mergeCell ref="G38:J38"/>
    <mergeCell ref="I9:J9"/>
    <mergeCell ref="I23:J23"/>
    <mergeCell ref="I24:J24"/>
    <mergeCell ref="I25:J25"/>
    <mergeCell ref="I26:J26"/>
    <mergeCell ref="I27:J27"/>
    <mergeCell ref="I33:J33"/>
    <mergeCell ref="I34:J34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0">
    <cfRule type="expression" dxfId="14" priority="57">
      <formula>$E40="راسب"</formula>
    </cfRule>
  </conditionalFormatting>
  <conditionalFormatting sqref="E40:J40">
    <cfRule type="expression" dxfId="13" priority="60">
      <formula>$E40="جيد جداً"</formula>
    </cfRule>
    <cfRule type="expression" dxfId="12" priority="59">
      <formula>$E40="جيد"</formula>
    </cfRule>
    <cfRule type="expression" dxfId="11" priority="58">
      <formula>$E40="مقبول"</formula>
    </cfRule>
    <cfRule type="expression" dxfId="10" priority="61">
      <formula>$E40="ممتاز"</formula>
    </cfRule>
  </conditionalFormatting>
  <conditionalFormatting sqref="F8:F3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1:J41">
    <cfRule type="containsText" dxfId="6" priority="15" operator="containsText" text="أدخل اسم المحكم">
      <formula>NOT(ISERROR(SEARCH("أدخل اسم المحكم",G41)))</formula>
    </cfRule>
  </conditionalFormatting>
  <conditionalFormatting sqref="H8:H3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F9:F17 F19:F22 F34:F37 F24:F29 F31:F32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G41:J41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1" t="s">
        <v>62</v>
      </c>
    </row>
    <row r="3" spans="1:3" ht="20.100000000000001" customHeight="1" thickBot="1" x14ac:dyDescent="0.35">
      <c r="A3" s="2" t="s">
        <v>26</v>
      </c>
      <c r="C3" s="21" t="s">
        <v>63</v>
      </c>
    </row>
    <row r="4" spans="1:3" ht="20.100000000000001" customHeight="1" thickBot="1" x14ac:dyDescent="0.35">
      <c r="A4" s="2" t="s">
        <v>36</v>
      </c>
      <c r="C4" s="21" t="s">
        <v>64</v>
      </c>
    </row>
    <row r="5" spans="1:3" ht="20.100000000000001" customHeight="1" thickBot="1" x14ac:dyDescent="0.35">
      <c r="A5" s="2" t="s">
        <v>37</v>
      </c>
      <c r="C5" s="21" t="s">
        <v>65</v>
      </c>
    </row>
    <row r="6" spans="1:3" ht="20.100000000000001" customHeight="1" thickBot="1" x14ac:dyDescent="0.35">
      <c r="A6" s="2" t="s">
        <v>38</v>
      </c>
      <c r="C6" s="21" t="s">
        <v>66</v>
      </c>
    </row>
    <row r="7" spans="1:3" ht="20.100000000000001" customHeight="1" thickBot="1" x14ac:dyDescent="0.35">
      <c r="A7" s="2" t="s">
        <v>39</v>
      </c>
      <c r="C7" s="21" t="s">
        <v>67</v>
      </c>
    </row>
    <row r="8" spans="1:3" ht="20.100000000000001" customHeight="1" thickBot="1" x14ac:dyDescent="0.35">
      <c r="A8" s="2" t="s">
        <v>40</v>
      </c>
      <c r="C8" s="21" t="s">
        <v>68</v>
      </c>
    </row>
    <row r="9" spans="1:3" ht="20.100000000000001" customHeight="1" thickBot="1" x14ac:dyDescent="0.35">
      <c r="A9" s="2" t="s">
        <v>41</v>
      </c>
      <c r="C9" s="21" t="s">
        <v>69</v>
      </c>
    </row>
    <row r="10" spans="1:3" ht="20.100000000000001" customHeight="1" thickBot="1" x14ac:dyDescent="0.35">
      <c r="A10" s="2" t="s">
        <v>42</v>
      </c>
      <c r="C10" s="21" t="s">
        <v>70</v>
      </c>
    </row>
    <row r="11" spans="1:3" ht="20.100000000000001" customHeight="1" thickBot="1" x14ac:dyDescent="0.35">
      <c r="A11" s="2" t="s">
        <v>43</v>
      </c>
      <c r="C11" s="21" t="s">
        <v>71</v>
      </c>
    </row>
    <row r="12" spans="1:3" ht="20.100000000000001" customHeight="1" thickBot="1" x14ac:dyDescent="0.35">
      <c r="A12" s="2" t="s">
        <v>44</v>
      </c>
      <c r="C12" s="21" t="s">
        <v>72</v>
      </c>
    </row>
    <row r="13" spans="1:3" ht="20.100000000000001" customHeight="1" thickBot="1" x14ac:dyDescent="0.35">
      <c r="A13" s="2" t="s">
        <v>45</v>
      </c>
      <c r="C13" s="21" t="s">
        <v>73</v>
      </c>
    </row>
    <row r="14" spans="1:3" ht="20.100000000000001" customHeight="1" thickBot="1" x14ac:dyDescent="0.35">
      <c r="A14" s="2" t="s">
        <v>46</v>
      </c>
      <c r="C14" s="21" t="s">
        <v>74</v>
      </c>
    </row>
    <row r="15" spans="1:3" ht="20.100000000000001" customHeight="1" thickBot="1" x14ac:dyDescent="0.35">
      <c r="A15" s="2" t="s">
        <v>47</v>
      </c>
      <c r="C15" s="21" t="s">
        <v>75</v>
      </c>
    </row>
    <row r="16" spans="1:3" ht="20.100000000000001" customHeight="1" thickBot="1" x14ac:dyDescent="0.35">
      <c r="A16" s="2" t="s">
        <v>10</v>
      </c>
      <c r="C16" s="21" t="s">
        <v>76</v>
      </c>
    </row>
    <row r="17" spans="1:3" ht="20.100000000000001" customHeight="1" thickBot="1" x14ac:dyDescent="0.35">
      <c r="A17" s="2" t="s">
        <v>27</v>
      </c>
      <c r="C17" s="21" t="s">
        <v>77</v>
      </c>
    </row>
    <row r="18" spans="1:3" ht="20.100000000000001" customHeight="1" thickBot="1" x14ac:dyDescent="0.35">
      <c r="A18" s="2" t="s">
        <v>48</v>
      </c>
      <c r="C18" s="21" t="s">
        <v>78</v>
      </c>
    </row>
    <row r="19" spans="1:3" ht="20.100000000000001" customHeight="1" thickBot="1" x14ac:dyDescent="0.35">
      <c r="A19" s="2" t="s">
        <v>49</v>
      </c>
      <c r="C19" s="21" t="s">
        <v>79</v>
      </c>
    </row>
    <row r="20" spans="1:3" ht="20.100000000000001" customHeight="1" thickBot="1" x14ac:dyDescent="0.35">
      <c r="A20" s="2" t="s">
        <v>50</v>
      </c>
      <c r="C20" s="21" t="s">
        <v>80</v>
      </c>
    </row>
    <row r="21" spans="1:3" ht="20.100000000000001" customHeight="1" thickBot="1" x14ac:dyDescent="0.35">
      <c r="A21" s="2" t="s">
        <v>51</v>
      </c>
      <c r="C21" s="21" t="s">
        <v>81</v>
      </c>
    </row>
    <row r="22" spans="1:3" ht="20.100000000000001" customHeight="1" thickBot="1" x14ac:dyDescent="0.35">
      <c r="A22" s="2" t="s">
        <v>11</v>
      </c>
      <c r="C22" s="21" t="s">
        <v>82</v>
      </c>
    </row>
    <row r="23" spans="1:3" ht="20.100000000000001" customHeight="1" thickBot="1" x14ac:dyDescent="0.35">
      <c r="A23" s="2" t="s">
        <v>12</v>
      </c>
      <c r="C23" s="21" t="s">
        <v>83</v>
      </c>
    </row>
    <row r="24" spans="1:3" ht="20.100000000000001" customHeight="1" thickBot="1" x14ac:dyDescent="0.35">
      <c r="A24" s="2" t="s">
        <v>15</v>
      </c>
      <c r="C24" s="21" t="s">
        <v>84</v>
      </c>
    </row>
    <row r="25" spans="1:3" ht="20.100000000000001" customHeight="1" thickBot="1" x14ac:dyDescent="0.35">
      <c r="A25" s="2" t="s">
        <v>28</v>
      </c>
      <c r="C25" s="21" t="s">
        <v>85</v>
      </c>
    </row>
    <row r="26" spans="1:3" ht="20.100000000000001" customHeight="1" thickBot="1" x14ac:dyDescent="0.35">
      <c r="A26" s="2" t="s">
        <v>29</v>
      </c>
      <c r="C26" s="21" t="s">
        <v>86</v>
      </c>
    </row>
    <row r="27" spans="1:3" ht="20.100000000000001" customHeight="1" thickBot="1" x14ac:dyDescent="0.35">
      <c r="A27" s="2" t="s">
        <v>13</v>
      </c>
      <c r="C27" s="21" t="s">
        <v>87</v>
      </c>
    </row>
    <row r="28" spans="1:3" ht="20.100000000000001" customHeight="1" thickBot="1" x14ac:dyDescent="0.35">
      <c r="A28" s="2" t="s">
        <v>30</v>
      </c>
      <c r="C28" s="21" t="s">
        <v>88</v>
      </c>
    </row>
    <row r="29" spans="1:3" ht="20.100000000000001" customHeight="1" thickBot="1" x14ac:dyDescent="0.35">
      <c r="A29" s="2" t="s">
        <v>31</v>
      </c>
      <c r="C29" s="21" t="s">
        <v>177</v>
      </c>
    </row>
    <row r="30" spans="1:3" ht="20.100000000000001" customHeight="1" thickBot="1" x14ac:dyDescent="0.35">
      <c r="A30" s="2" t="s">
        <v>32</v>
      </c>
      <c r="C30" s="21" t="s">
        <v>178</v>
      </c>
    </row>
    <row r="31" spans="1:3" ht="20.100000000000001" customHeight="1" thickBot="1" x14ac:dyDescent="0.35">
      <c r="A31" s="2" t="s">
        <v>33</v>
      </c>
      <c r="C31" s="21" t="s">
        <v>179</v>
      </c>
    </row>
    <row r="32" spans="1:3" ht="20.100000000000001" customHeight="1" thickBot="1" x14ac:dyDescent="0.35">
      <c r="A32" s="2" t="s">
        <v>16</v>
      </c>
      <c r="C32" s="21"/>
    </row>
    <row r="33" spans="1:9" ht="20.100000000000001" customHeight="1" thickBot="1" x14ac:dyDescent="0.35">
      <c r="A33" s="2" t="s">
        <v>14</v>
      </c>
      <c r="C33" s="21"/>
    </row>
    <row r="34" spans="1:9" ht="20.100000000000001" customHeight="1" thickBot="1" x14ac:dyDescent="0.35">
      <c r="A34" s="2" t="s">
        <v>34</v>
      </c>
      <c r="C34" s="21"/>
    </row>
    <row r="35" spans="1:9" ht="20.100000000000001" customHeight="1" x14ac:dyDescent="0.3">
      <c r="A35" s="20"/>
    </row>
    <row r="36" spans="1:9" s="19" customFormat="1" ht="20.100000000000001" customHeight="1" x14ac:dyDescent="0.3">
      <c r="A36" s="17"/>
      <c r="B36" s="18"/>
      <c r="C36" s="18"/>
      <c r="D36" s="18"/>
      <c r="E36" s="18"/>
      <c r="F36" s="18"/>
      <c r="G36" s="18"/>
      <c r="H36" s="18"/>
      <c r="I36" s="18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5">
        <v>45901</v>
      </c>
    </row>
    <row r="40" spans="1:9" ht="20.100000000000001" customHeight="1" thickBot="1" x14ac:dyDescent="0.35">
      <c r="A40" s="15">
        <v>45902</v>
      </c>
    </row>
    <row r="41" spans="1:9" ht="20.100000000000001" customHeight="1" thickBot="1" x14ac:dyDescent="0.35">
      <c r="A41" s="15">
        <v>45903</v>
      </c>
    </row>
    <row r="42" spans="1:9" ht="20.100000000000001" customHeight="1" thickBot="1" x14ac:dyDescent="0.35">
      <c r="A42" s="15">
        <v>45904</v>
      </c>
    </row>
    <row r="43" spans="1:9" ht="20.100000000000001" customHeight="1" thickBot="1" x14ac:dyDescent="0.35">
      <c r="A43" s="15">
        <v>45905</v>
      </c>
    </row>
    <row r="44" spans="1:9" ht="20.100000000000001" customHeight="1" thickBot="1" x14ac:dyDescent="0.35">
      <c r="A44" s="15">
        <v>45906</v>
      </c>
    </row>
    <row r="45" spans="1:9" ht="20.100000000000001" customHeight="1" thickBot="1" x14ac:dyDescent="0.35">
      <c r="A45" s="15">
        <v>45907</v>
      </c>
    </row>
    <row r="46" spans="1:9" ht="20.100000000000001" customHeight="1" thickBot="1" x14ac:dyDescent="0.35">
      <c r="A46" s="15">
        <v>45908</v>
      </c>
    </row>
    <row r="47" spans="1:9" ht="20.100000000000001" customHeight="1" thickBot="1" x14ac:dyDescent="0.35">
      <c r="A47" s="15">
        <v>45909</v>
      </c>
    </row>
    <row r="48" spans="1:9" ht="20.100000000000001" customHeight="1" thickBot="1" x14ac:dyDescent="0.35">
      <c r="A48" s="15">
        <v>45910</v>
      </c>
    </row>
    <row r="49" spans="1:1" ht="20.100000000000001" customHeight="1" thickBot="1" x14ac:dyDescent="0.35">
      <c r="A49" s="15">
        <v>45911</v>
      </c>
    </row>
    <row r="50" spans="1:1" ht="20.100000000000001" customHeight="1" thickBot="1" x14ac:dyDescent="0.35">
      <c r="A50" s="15">
        <v>45912</v>
      </c>
    </row>
    <row r="51" spans="1:1" ht="20.100000000000001" customHeight="1" thickBot="1" x14ac:dyDescent="0.35">
      <c r="A51" s="15">
        <v>45913</v>
      </c>
    </row>
    <row r="52" spans="1:1" ht="20.100000000000001" customHeight="1" thickBot="1" x14ac:dyDescent="0.35">
      <c r="A52" s="15">
        <v>45914</v>
      </c>
    </row>
    <row r="53" spans="1:1" ht="20.100000000000001" customHeight="1" thickBot="1" x14ac:dyDescent="0.35">
      <c r="A53" s="15">
        <v>45915</v>
      </c>
    </row>
    <row r="54" spans="1:1" ht="20.100000000000001" customHeight="1" thickBot="1" x14ac:dyDescent="0.35">
      <c r="A54" s="15">
        <v>45916</v>
      </c>
    </row>
    <row r="55" spans="1:1" ht="20.100000000000001" customHeight="1" thickBot="1" x14ac:dyDescent="0.35">
      <c r="A55" s="15">
        <v>45917</v>
      </c>
    </row>
    <row r="56" spans="1:1" ht="20.100000000000001" customHeight="1" thickBot="1" x14ac:dyDescent="0.35">
      <c r="A56" s="15">
        <v>45918</v>
      </c>
    </row>
    <row r="57" spans="1:1" ht="20.100000000000001" customHeight="1" thickBot="1" x14ac:dyDescent="0.35">
      <c r="A57" s="15">
        <v>45919</v>
      </c>
    </row>
    <row r="58" spans="1:1" ht="20.100000000000001" customHeight="1" thickBot="1" x14ac:dyDescent="0.35">
      <c r="A58" s="15">
        <v>45920</v>
      </c>
    </row>
    <row r="59" spans="1:1" ht="20.100000000000001" customHeight="1" thickBot="1" x14ac:dyDescent="0.35">
      <c r="A59" s="15">
        <v>45921</v>
      </c>
    </row>
    <row r="60" spans="1:1" ht="20.100000000000001" customHeight="1" thickBot="1" x14ac:dyDescent="0.35">
      <c r="A60" s="15">
        <v>45922</v>
      </c>
    </row>
    <row r="61" spans="1:1" ht="20.100000000000001" customHeight="1" thickBot="1" x14ac:dyDescent="0.35">
      <c r="A61" s="15">
        <v>45923</v>
      </c>
    </row>
    <row r="62" spans="1:1" ht="20.100000000000001" customHeight="1" thickBot="1" x14ac:dyDescent="0.35">
      <c r="A62" s="15">
        <v>45924</v>
      </c>
    </row>
    <row r="63" spans="1:1" ht="20.100000000000001" customHeight="1" thickBot="1" x14ac:dyDescent="0.35">
      <c r="A63" s="15">
        <v>45925</v>
      </c>
    </row>
    <row r="64" spans="1:1" ht="20.100000000000001" customHeight="1" thickBot="1" x14ac:dyDescent="0.35">
      <c r="A64" s="15">
        <v>45926</v>
      </c>
    </row>
    <row r="65" spans="1:1" ht="20.100000000000001" customHeight="1" thickBot="1" x14ac:dyDescent="0.35">
      <c r="A65" s="15">
        <v>45927</v>
      </c>
    </row>
    <row r="66" spans="1:1" ht="20.100000000000001" customHeight="1" thickBot="1" x14ac:dyDescent="0.35">
      <c r="A66" s="15">
        <v>45928</v>
      </c>
    </row>
    <row r="67" spans="1:1" ht="20.100000000000001" customHeight="1" thickBot="1" x14ac:dyDescent="0.35">
      <c r="A67" s="15">
        <v>45929</v>
      </c>
    </row>
    <row r="68" spans="1:1" ht="20.100000000000001" customHeight="1" thickBot="1" x14ac:dyDescent="0.35">
      <c r="A68" s="15">
        <v>45930</v>
      </c>
    </row>
    <row r="69" spans="1:1" ht="20.100000000000001" customHeight="1" thickBot="1" x14ac:dyDescent="0.35">
      <c r="A69" s="15">
        <v>45931</v>
      </c>
    </row>
    <row r="70" spans="1:1" ht="20.100000000000001" customHeight="1" thickBot="1" x14ac:dyDescent="0.35">
      <c r="A70" s="15">
        <v>45932</v>
      </c>
    </row>
    <row r="71" spans="1:1" ht="20.100000000000001" customHeight="1" thickBot="1" x14ac:dyDescent="0.35">
      <c r="A71" s="15">
        <v>45933</v>
      </c>
    </row>
    <row r="72" spans="1:1" ht="20.100000000000001" customHeight="1" thickBot="1" x14ac:dyDescent="0.35">
      <c r="A72" s="15">
        <v>45934</v>
      </c>
    </row>
    <row r="73" spans="1:1" ht="20.100000000000001" customHeight="1" thickBot="1" x14ac:dyDescent="0.35">
      <c r="A73" s="15">
        <v>45935</v>
      </c>
    </row>
    <row r="74" spans="1:1" ht="20.100000000000001" customHeight="1" thickBot="1" x14ac:dyDescent="0.35">
      <c r="A74" s="15">
        <v>45936</v>
      </c>
    </row>
    <row r="75" spans="1:1" ht="20.100000000000001" customHeight="1" thickBot="1" x14ac:dyDescent="0.35">
      <c r="A75" s="15">
        <v>45937</v>
      </c>
    </row>
    <row r="76" spans="1:1" ht="20.100000000000001" customHeight="1" thickBot="1" x14ac:dyDescent="0.35">
      <c r="A76" s="15">
        <v>45938</v>
      </c>
    </row>
    <row r="77" spans="1:1" ht="20.100000000000001" customHeight="1" thickBot="1" x14ac:dyDescent="0.35">
      <c r="A77" s="15">
        <v>45939</v>
      </c>
    </row>
    <row r="78" spans="1:1" ht="20.100000000000001" customHeight="1" thickBot="1" x14ac:dyDescent="0.35">
      <c r="A78" s="15">
        <v>45940</v>
      </c>
    </row>
    <row r="79" spans="1:1" ht="20.100000000000001" customHeight="1" thickBot="1" x14ac:dyDescent="0.35">
      <c r="A79" s="15">
        <v>45941</v>
      </c>
    </row>
    <row r="80" spans="1:1" ht="20.100000000000001" customHeight="1" thickBot="1" x14ac:dyDescent="0.35">
      <c r="A80" s="15">
        <v>45942</v>
      </c>
    </row>
    <row r="81" spans="1:1" ht="20.100000000000001" customHeight="1" thickBot="1" x14ac:dyDescent="0.35">
      <c r="A81" s="15">
        <v>45943</v>
      </c>
    </row>
    <row r="82" spans="1:1" ht="20.100000000000001" customHeight="1" thickBot="1" x14ac:dyDescent="0.35">
      <c r="A82" s="15">
        <v>45944</v>
      </c>
    </row>
    <row r="83" spans="1:1" ht="20.100000000000001" customHeight="1" thickBot="1" x14ac:dyDescent="0.35">
      <c r="A83" s="15">
        <v>45945</v>
      </c>
    </row>
    <row r="84" spans="1:1" ht="20.100000000000001" customHeight="1" thickBot="1" x14ac:dyDescent="0.35">
      <c r="A84" s="15">
        <v>45946</v>
      </c>
    </row>
    <row r="85" spans="1:1" ht="20.100000000000001" customHeight="1" thickBot="1" x14ac:dyDescent="0.35">
      <c r="A85" s="15">
        <v>45947</v>
      </c>
    </row>
    <row r="86" spans="1:1" ht="20.100000000000001" customHeight="1" thickBot="1" x14ac:dyDescent="0.35">
      <c r="A86" s="15">
        <v>45948</v>
      </c>
    </row>
    <row r="87" spans="1:1" ht="20.100000000000001" customHeight="1" thickBot="1" x14ac:dyDescent="0.35">
      <c r="A87" s="15">
        <v>45949</v>
      </c>
    </row>
    <row r="88" spans="1:1" ht="20.100000000000001" customHeight="1" thickBot="1" x14ac:dyDescent="0.35">
      <c r="A88" s="15">
        <v>45950</v>
      </c>
    </row>
    <row r="89" spans="1:1" ht="20.100000000000001" customHeight="1" thickBot="1" x14ac:dyDescent="0.35">
      <c r="A89" s="15">
        <v>45951</v>
      </c>
    </row>
    <row r="90" spans="1:1" ht="20.100000000000001" customHeight="1" thickBot="1" x14ac:dyDescent="0.35">
      <c r="A90" s="15">
        <v>45952</v>
      </c>
    </row>
    <row r="91" spans="1:1" ht="20.100000000000001" customHeight="1" thickBot="1" x14ac:dyDescent="0.35">
      <c r="A91" s="15">
        <v>45953</v>
      </c>
    </row>
    <row r="92" spans="1:1" ht="20.100000000000001" customHeight="1" thickBot="1" x14ac:dyDescent="0.35">
      <c r="A92" s="15">
        <v>45954</v>
      </c>
    </row>
    <row r="93" spans="1:1" ht="20.100000000000001" customHeight="1" thickBot="1" x14ac:dyDescent="0.35">
      <c r="A93" s="15">
        <v>45955</v>
      </c>
    </row>
    <row r="94" spans="1:1" ht="20.100000000000001" customHeight="1" thickBot="1" x14ac:dyDescent="0.35">
      <c r="A94" s="15">
        <v>45956</v>
      </c>
    </row>
    <row r="95" spans="1:1" ht="20.100000000000001" customHeight="1" thickBot="1" x14ac:dyDescent="0.35">
      <c r="A95" s="15">
        <v>45957</v>
      </c>
    </row>
    <row r="96" spans="1:1" ht="20.100000000000001" customHeight="1" thickBot="1" x14ac:dyDescent="0.35">
      <c r="A96" s="15">
        <v>45958</v>
      </c>
    </row>
    <row r="97" spans="1:9" ht="20.100000000000001" customHeight="1" thickBot="1" x14ac:dyDescent="0.35">
      <c r="A97" s="15">
        <v>45959</v>
      </c>
    </row>
    <row r="98" spans="1:9" ht="20.100000000000001" customHeight="1" thickBot="1" x14ac:dyDescent="0.35">
      <c r="A98" s="15">
        <v>45960</v>
      </c>
    </row>
    <row r="99" spans="1:9" ht="20.100000000000001" customHeight="1" thickBot="1" x14ac:dyDescent="0.35">
      <c r="A99" s="15">
        <v>45961</v>
      </c>
    </row>
    <row r="100" spans="1:9" ht="20.100000000000001" customHeight="1" thickBot="1" x14ac:dyDescent="0.35">
      <c r="A100" s="15">
        <v>45962</v>
      </c>
    </row>
    <row r="101" spans="1:9" ht="20.100000000000001" customHeight="1" thickBot="1" x14ac:dyDescent="0.35">
      <c r="A101" s="15">
        <v>45963</v>
      </c>
    </row>
    <row r="102" spans="1:9" ht="20.100000000000001" customHeight="1" thickBot="1" x14ac:dyDescent="0.35">
      <c r="A102" s="15">
        <v>45964</v>
      </c>
    </row>
    <row r="103" spans="1:9" ht="20.100000000000001" customHeight="1" thickBot="1" x14ac:dyDescent="0.35">
      <c r="A103" s="15">
        <v>45965</v>
      </c>
    </row>
    <row r="104" spans="1:9" ht="20.100000000000001" customHeight="1" thickBot="1" x14ac:dyDescent="0.35">
      <c r="A104" s="15">
        <v>45966</v>
      </c>
    </row>
    <row r="105" spans="1:9" ht="20.100000000000001" customHeight="1" thickBot="1" x14ac:dyDescent="0.35">
      <c r="A105" s="15">
        <v>45967</v>
      </c>
    </row>
    <row r="106" spans="1:9" ht="20.100000000000001" customHeight="1" thickBot="1" x14ac:dyDescent="0.35">
      <c r="A106" s="15">
        <v>45968</v>
      </c>
    </row>
    <row r="107" spans="1:9" ht="20.100000000000001" customHeight="1" x14ac:dyDescent="0.3">
      <c r="A107" s="16"/>
    </row>
    <row r="108" spans="1:9" ht="20.100000000000001" customHeight="1" x14ac:dyDescent="0.3">
      <c r="A108" s="16"/>
    </row>
    <row r="109" spans="1:9" s="19" customFormat="1" ht="20.100000000000001" customHeight="1" x14ac:dyDescent="0.3">
      <c r="A109" s="17"/>
      <c r="B109" s="18"/>
      <c r="C109" s="18"/>
      <c r="D109" s="18"/>
      <c r="E109" s="18"/>
      <c r="F109" s="18"/>
      <c r="G109" s="18"/>
      <c r="H109" s="18"/>
      <c r="I109" s="18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2" t="s">
        <v>89</v>
      </c>
    </row>
    <row r="200" spans="1:1" ht="20.100000000000001" customHeight="1" x14ac:dyDescent="0.3">
      <c r="A200" s="22" t="s">
        <v>90</v>
      </c>
    </row>
    <row r="201" spans="1:1" ht="20.100000000000001" customHeight="1" x14ac:dyDescent="0.3">
      <c r="A201" s="22" t="s">
        <v>91</v>
      </c>
    </row>
    <row r="202" spans="1:1" ht="20.100000000000001" customHeight="1" x14ac:dyDescent="0.3">
      <c r="A202" s="22" t="s">
        <v>92</v>
      </c>
    </row>
    <row r="203" spans="1:1" ht="20.100000000000001" customHeight="1" x14ac:dyDescent="0.3">
      <c r="A203" s="22" t="s">
        <v>93</v>
      </c>
    </row>
    <row r="204" spans="1:1" ht="20.100000000000001" customHeight="1" x14ac:dyDescent="0.3">
      <c r="A204" s="22" t="s">
        <v>94</v>
      </c>
    </row>
    <row r="205" spans="1:1" ht="20.100000000000001" customHeight="1" x14ac:dyDescent="0.3">
      <c r="A205" s="22" t="s">
        <v>95</v>
      </c>
    </row>
    <row r="206" spans="1:1" ht="20.100000000000001" customHeight="1" x14ac:dyDescent="0.3">
      <c r="A206" s="22" t="s">
        <v>96</v>
      </c>
    </row>
    <row r="207" spans="1:1" ht="20.100000000000001" customHeight="1" x14ac:dyDescent="0.3">
      <c r="A207" s="22" t="s">
        <v>97</v>
      </c>
    </row>
    <row r="208" spans="1:1" ht="20.100000000000001" customHeight="1" x14ac:dyDescent="0.3">
      <c r="A208" s="23" t="s">
        <v>98</v>
      </c>
    </row>
    <row r="209" spans="1:1" ht="20.100000000000001" customHeight="1" x14ac:dyDescent="0.3">
      <c r="A209" s="23" t="s">
        <v>99</v>
      </c>
    </row>
    <row r="210" spans="1:1" ht="20.100000000000001" customHeight="1" x14ac:dyDescent="0.3">
      <c r="A210" s="22" t="s">
        <v>100</v>
      </c>
    </row>
    <row r="211" spans="1:1" ht="20.100000000000001" customHeight="1" x14ac:dyDescent="0.3">
      <c r="A211" s="22" t="s">
        <v>101</v>
      </c>
    </row>
    <row r="212" spans="1:1" ht="20.100000000000001" customHeight="1" x14ac:dyDescent="0.3">
      <c r="A212" s="22" t="s">
        <v>175</v>
      </c>
    </row>
    <row r="213" spans="1:1" ht="20.100000000000001" customHeight="1" x14ac:dyDescent="0.3">
      <c r="A213" s="22" t="s">
        <v>102</v>
      </c>
    </row>
    <row r="214" spans="1:1" ht="20.100000000000001" customHeight="1" x14ac:dyDescent="0.3">
      <c r="A214" s="22" t="s">
        <v>103</v>
      </c>
    </row>
    <row r="215" spans="1:1" ht="20.100000000000001" customHeight="1" x14ac:dyDescent="0.3">
      <c r="A215" s="22" t="s">
        <v>104</v>
      </c>
    </row>
    <row r="216" spans="1:1" ht="20.100000000000001" customHeight="1" x14ac:dyDescent="0.3">
      <c r="A216" s="22" t="s">
        <v>105</v>
      </c>
    </row>
    <row r="217" spans="1:1" ht="20.100000000000001" customHeight="1" x14ac:dyDescent="0.3">
      <c r="A217" s="22" t="s">
        <v>106</v>
      </c>
    </row>
    <row r="218" spans="1:1" ht="20.100000000000001" customHeight="1" x14ac:dyDescent="0.3">
      <c r="A218" s="22" t="s">
        <v>107</v>
      </c>
    </row>
    <row r="219" spans="1:1" ht="20.100000000000001" customHeight="1" x14ac:dyDescent="0.3">
      <c r="A219" s="22" t="s">
        <v>108</v>
      </c>
    </row>
    <row r="220" spans="1:1" ht="20.100000000000001" customHeight="1" x14ac:dyDescent="0.3">
      <c r="A220" s="22" t="s">
        <v>109</v>
      </c>
    </row>
    <row r="221" spans="1:1" ht="20.100000000000001" customHeight="1" x14ac:dyDescent="0.3">
      <c r="A221" s="22" t="s">
        <v>110</v>
      </c>
    </row>
    <row r="222" spans="1:1" ht="20.100000000000001" customHeight="1" x14ac:dyDescent="0.3">
      <c r="A222" s="22" t="s">
        <v>111</v>
      </c>
    </row>
    <row r="223" spans="1:1" ht="20.100000000000001" customHeight="1" x14ac:dyDescent="0.3">
      <c r="A223" s="22" t="s">
        <v>112</v>
      </c>
    </row>
    <row r="224" spans="1:1" ht="20.100000000000001" customHeight="1" x14ac:dyDescent="0.3">
      <c r="A224" s="22" t="s">
        <v>176</v>
      </c>
    </row>
    <row r="225" spans="1:1" ht="20.100000000000001" customHeight="1" x14ac:dyDescent="0.3">
      <c r="A225" s="22" t="s">
        <v>113</v>
      </c>
    </row>
    <row r="226" spans="1:1" ht="20.100000000000001" customHeight="1" x14ac:dyDescent="0.3">
      <c r="A226" s="22" t="s">
        <v>114</v>
      </c>
    </row>
    <row r="227" spans="1:1" ht="20.100000000000001" customHeight="1" x14ac:dyDescent="0.3">
      <c r="A227" s="22" t="s">
        <v>115</v>
      </c>
    </row>
    <row r="228" spans="1:1" ht="20.100000000000001" customHeight="1" x14ac:dyDescent="0.3">
      <c r="A228" s="22" t="s">
        <v>116</v>
      </c>
    </row>
    <row r="229" spans="1:1" ht="20.100000000000001" customHeight="1" x14ac:dyDescent="0.3">
      <c r="A229" s="22" t="s">
        <v>117</v>
      </c>
    </row>
    <row r="230" spans="1:1" ht="20.100000000000001" customHeight="1" x14ac:dyDescent="0.3">
      <c r="A230" s="22" t="s">
        <v>118</v>
      </c>
    </row>
    <row r="231" spans="1:1" ht="20.100000000000001" customHeight="1" x14ac:dyDescent="0.3">
      <c r="A231" s="22" t="s">
        <v>119</v>
      </c>
    </row>
    <row r="232" spans="1:1" ht="20.100000000000001" customHeight="1" x14ac:dyDescent="0.3">
      <c r="A232" s="22" t="s">
        <v>120</v>
      </c>
    </row>
    <row r="233" spans="1:1" ht="20.100000000000001" customHeight="1" x14ac:dyDescent="0.3">
      <c r="A233" s="22" t="s">
        <v>121</v>
      </c>
    </row>
    <row r="234" spans="1:1" ht="20.100000000000001" customHeight="1" x14ac:dyDescent="0.3">
      <c r="A234" s="22" t="s">
        <v>122</v>
      </c>
    </row>
    <row r="235" spans="1:1" ht="20.100000000000001" customHeight="1" x14ac:dyDescent="0.3">
      <c r="A235" s="22" t="s">
        <v>123</v>
      </c>
    </row>
    <row r="236" spans="1:1" ht="20.100000000000001" customHeight="1" x14ac:dyDescent="0.3">
      <c r="A236" s="24" t="s">
        <v>124</v>
      </c>
    </row>
    <row r="237" spans="1:1" ht="20.100000000000001" customHeight="1" x14ac:dyDescent="0.3">
      <c r="A237" s="22" t="s">
        <v>125</v>
      </c>
    </row>
    <row r="238" spans="1:1" ht="20.100000000000001" customHeight="1" x14ac:dyDescent="0.3">
      <c r="A238" s="22" t="s">
        <v>126</v>
      </c>
    </row>
    <row r="239" spans="1:1" ht="20.100000000000001" customHeight="1" x14ac:dyDescent="0.3">
      <c r="A239" s="22" t="s">
        <v>127</v>
      </c>
    </row>
    <row r="240" spans="1:1" ht="20.100000000000001" customHeight="1" x14ac:dyDescent="0.3">
      <c r="A240" s="22" t="s">
        <v>128</v>
      </c>
    </row>
    <row r="241" spans="1:1" ht="20.100000000000001" customHeight="1" x14ac:dyDescent="0.3">
      <c r="A241" s="22" t="s">
        <v>129</v>
      </c>
    </row>
    <row r="242" spans="1:1" ht="20.100000000000001" customHeight="1" x14ac:dyDescent="0.3">
      <c r="A242" s="22" t="s">
        <v>130</v>
      </c>
    </row>
    <row r="243" spans="1:1" ht="20.100000000000001" customHeight="1" x14ac:dyDescent="0.3">
      <c r="A243" s="22" t="s">
        <v>131</v>
      </c>
    </row>
    <row r="244" spans="1:1" ht="20.100000000000001" customHeight="1" x14ac:dyDescent="0.3">
      <c r="A244" s="22" t="s">
        <v>132</v>
      </c>
    </row>
    <row r="245" spans="1:1" ht="20.100000000000001" customHeight="1" x14ac:dyDescent="0.3">
      <c r="A245" s="22" t="s">
        <v>133</v>
      </c>
    </row>
    <row r="246" spans="1:1" ht="20.100000000000001" customHeight="1" x14ac:dyDescent="0.3">
      <c r="A246" s="22" t="s">
        <v>134</v>
      </c>
    </row>
    <row r="247" spans="1:1" ht="20.100000000000001" customHeight="1" x14ac:dyDescent="0.3">
      <c r="A247" s="22" t="s">
        <v>135</v>
      </c>
    </row>
    <row r="248" spans="1:1" ht="20.100000000000001" customHeight="1" x14ac:dyDescent="0.3">
      <c r="A248" s="22" t="s">
        <v>126</v>
      </c>
    </row>
    <row r="249" spans="1:1" ht="20.100000000000001" customHeight="1" x14ac:dyDescent="0.3">
      <c r="A249" s="22" t="s">
        <v>136</v>
      </c>
    </row>
    <row r="250" spans="1:1" ht="20.100000000000001" customHeight="1" x14ac:dyDescent="0.3">
      <c r="A250" s="22" t="s">
        <v>137</v>
      </c>
    </row>
    <row r="251" spans="1:1" ht="20.100000000000001" customHeight="1" x14ac:dyDescent="0.3">
      <c r="A251" s="24" t="s">
        <v>138</v>
      </c>
    </row>
    <row r="252" spans="1:1" ht="20.100000000000001" customHeight="1" x14ac:dyDescent="0.3">
      <c r="A252" s="25" t="s">
        <v>139</v>
      </c>
    </row>
    <row r="253" spans="1:1" ht="20.100000000000001" customHeight="1" x14ac:dyDescent="0.3">
      <c r="A253" s="22" t="s">
        <v>140</v>
      </c>
    </row>
    <row r="254" spans="1:1" ht="20.100000000000001" customHeight="1" x14ac:dyDescent="0.3">
      <c r="A254" s="22" t="s">
        <v>141</v>
      </c>
    </row>
    <row r="255" spans="1:1" ht="20.100000000000001" customHeight="1" x14ac:dyDescent="0.3">
      <c r="A255" s="26" t="s">
        <v>142</v>
      </c>
    </row>
    <row r="256" spans="1:1" ht="20.100000000000001" customHeight="1" x14ac:dyDescent="0.3">
      <c r="A256" s="26" t="s">
        <v>143</v>
      </c>
    </row>
    <row r="257" spans="1:1" ht="20.100000000000001" customHeight="1" x14ac:dyDescent="0.3">
      <c r="A257" s="27" t="s">
        <v>144</v>
      </c>
    </row>
    <row r="258" spans="1:1" ht="20.100000000000001" customHeight="1" x14ac:dyDescent="0.3">
      <c r="A258" s="22" t="s">
        <v>145</v>
      </c>
    </row>
    <row r="259" spans="1:1" ht="20.100000000000001" customHeight="1" x14ac:dyDescent="0.3">
      <c r="A259" s="27" t="s">
        <v>146</v>
      </c>
    </row>
    <row r="260" spans="1:1" ht="20.100000000000001" customHeight="1" x14ac:dyDescent="0.3">
      <c r="A260" s="22" t="s">
        <v>147</v>
      </c>
    </row>
    <row r="261" spans="1:1" ht="20.100000000000001" customHeight="1" x14ac:dyDescent="0.3">
      <c r="A261" s="27" t="s">
        <v>148</v>
      </c>
    </row>
    <row r="262" spans="1:1" ht="20.100000000000001" customHeight="1" x14ac:dyDescent="0.3">
      <c r="A262" s="22" t="s">
        <v>149</v>
      </c>
    </row>
    <row r="263" spans="1:1" ht="20.100000000000001" customHeight="1" x14ac:dyDescent="0.3">
      <c r="A263" s="22" t="s">
        <v>150</v>
      </c>
    </row>
    <row r="264" spans="1:1" ht="20.100000000000001" customHeight="1" x14ac:dyDescent="0.3">
      <c r="A264" s="27" t="s">
        <v>151</v>
      </c>
    </row>
    <row r="265" spans="1:1" ht="20.100000000000001" customHeight="1" x14ac:dyDescent="0.3">
      <c r="A265" s="27" t="s">
        <v>152</v>
      </c>
    </row>
    <row r="266" spans="1:1" ht="20.100000000000001" customHeight="1" x14ac:dyDescent="0.3">
      <c r="A266" s="27" t="s">
        <v>153</v>
      </c>
    </row>
    <row r="267" spans="1:1" ht="20.100000000000001" customHeight="1" x14ac:dyDescent="0.3">
      <c r="A267" s="22" t="s">
        <v>154</v>
      </c>
    </row>
    <row r="268" spans="1:1" ht="20.100000000000001" customHeight="1" x14ac:dyDescent="0.3">
      <c r="A268" s="22" t="s">
        <v>155</v>
      </c>
    </row>
    <row r="269" spans="1:1" ht="20.100000000000001" customHeight="1" x14ac:dyDescent="0.3">
      <c r="A269" s="22" t="s">
        <v>156</v>
      </c>
    </row>
    <row r="270" spans="1:1" ht="20.100000000000001" customHeight="1" x14ac:dyDescent="0.3">
      <c r="A270" s="22" t="s">
        <v>157</v>
      </c>
    </row>
    <row r="271" spans="1:1" ht="20.100000000000001" customHeight="1" x14ac:dyDescent="0.3">
      <c r="A271" s="27" t="s">
        <v>158</v>
      </c>
    </row>
    <row r="272" spans="1:1" ht="20.100000000000001" customHeight="1" x14ac:dyDescent="0.3">
      <c r="A272" s="27" t="s">
        <v>159</v>
      </c>
    </row>
    <row r="273" spans="1:1" ht="20.100000000000001" customHeight="1" x14ac:dyDescent="0.3">
      <c r="A273" s="22" t="s">
        <v>160</v>
      </c>
    </row>
    <row r="274" spans="1:1" ht="20.100000000000001" customHeight="1" x14ac:dyDescent="0.3">
      <c r="A274" s="27" t="s">
        <v>161</v>
      </c>
    </row>
    <row r="275" spans="1:1" ht="20.100000000000001" customHeight="1" x14ac:dyDescent="0.3">
      <c r="A275" s="27" t="s">
        <v>162</v>
      </c>
    </row>
    <row r="276" spans="1:1" ht="20.100000000000001" customHeight="1" x14ac:dyDescent="0.3">
      <c r="A276" s="22" t="s">
        <v>163</v>
      </c>
    </row>
    <row r="277" spans="1:1" ht="20.100000000000001" customHeight="1" x14ac:dyDescent="0.3">
      <c r="A277" s="22" t="s">
        <v>164</v>
      </c>
    </row>
    <row r="278" spans="1:1" ht="20.100000000000001" customHeight="1" x14ac:dyDescent="0.3">
      <c r="A278" s="27" t="s">
        <v>165</v>
      </c>
    </row>
    <row r="279" spans="1:1" ht="20.100000000000001" customHeight="1" x14ac:dyDescent="0.3">
      <c r="A279" s="22" t="s">
        <v>166</v>
      </c>
    </row>
    <row r="280" spans="1:1" ht="20.100000000000001" customHeight="1" x14ac:dyDescent="0.3">
      <c r="A280" s="22" t="s">
        <v>167</v>
      </c>
    </row>
    <row r="281" spans="1:1" ht="20.100000000000001" customHeight="1" x14ac:dyDescent="0.3">
      <c r="A281" s="22" t="s">
        <v>168</v>
      </c>
    </row>
    <row r="282" spans="1:1" ht="20.100000000000001" customHeight="1" x14ac:dyDescent="0.3">
      <c r="A282" s="22" t="s">
        <v>169</v>
      </c>
    </row>
    <row r="283" spans="1:1" ht="20.100000000000001" customHeight="1" x14ac:dyDescent="0.3">
      <c r="A283" s="27" t="s">
        <v>170</v>
      </c>
    </row>
    <row r="284" spans="1:1" ht="20.100000000000001" customHeight="1" x14ac:dyDescent="0.3">
      <c r="A284" s="27" t="s">
        <v>171</v>
      </c>
    </row>
    <row r="285" spans="1:1" ht="20.100000000000001" customHeight="1" x14ac:dyDescent="0.3">
      <c r="A285" s="27" t="s">
        <v>172</v>
      </c>
    </row>
    <row r="286" spans="1:1" ht="20.100000000000001" customHeight="1" thickBot="1" x14ac:dyDescent="0.35">
      <c r="A286" s="22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2025-10-07T21:03:36Z</dcterms:modified>
</cp:coreProperties>
</file>