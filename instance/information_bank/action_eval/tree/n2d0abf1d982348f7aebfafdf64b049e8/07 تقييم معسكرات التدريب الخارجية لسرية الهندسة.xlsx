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3F406345-1486-49A5-AD91-0E500F9E3D4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3" i="2"/>
  <c r="H13" i="2"/>
  <c r="G14" i="2"/>
  <c r="H14" i="2"/>
  <c r="G15" i="2"/>
  <c r="H15" i="2"/>
  <c r="G16" i="2"/>
  <c r="H16" i="2"/>
  <c r="G17" i="2"/>
  <c r="H17" i="2"/>
  <c r="G18" i="2"/>
  <c r="H18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30" i="2"/>
  <c r="H30" i="2"/>
  <c r="G31" i="2"/>
  <c r="H31" i="2"/>
  <c r="G32" i="2"/>
  <c r="H32" i="2"/>
  <c r="G33" i="2"/>
  <c r="H33" i="2"/>
  <c r="F34" i="2"/>
  <c r="E34" i="2"/>
  <c r="E35" i="2"/>
  <c r="E36" i="2"/>
</calcChain>
</file>

<file path=xl/sharedStrings.xml><?xml version="1.0" encoding="utf-8"?>
<sst xmlns="http://schemas.openxmlformats.org/spreadsheetml/2006/main" count="263" uniqueCount="207">
  <si>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</si>
  <si>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</si>
  <si>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</si>
  <si>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</si>
  <si>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</si>
  <si>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</si>
  <si>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</si>
  <si>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</si>
  <si>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</si>
  <si>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</si>
  <si>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</si>
  <si>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</si>
  <si>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</si>
  <si>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</si>
  <si>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</si>
  <si>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</si>
  <si>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</si>
  <si>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</si>
  <si>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</si>
  <si>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</si>
  <si>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</si>
  <si>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</si>
  <si>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</si>
  <si>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</si>
  <si>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</si>
  <si>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</si>
  <si>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</si>
  <si>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</si>
  <si>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</si>
  <si>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</si>
  <si>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</si>
  <si>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</si>
  <si>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</si>
  <si>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</si>
  <si>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</si>
  <si>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</si>
  <si>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</si>
  <si>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</si>
  <si>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</si>
  <si>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</si>
  <si>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</si>
  <si>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</si>
  <si>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</si>
  <si>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</si>
  <si>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</si>
  <si>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</si>
  <si>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</si>
  <si>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</si>
  <si>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</si>
  <si>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</si>
  <si>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</si>
  <si>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</si>
  <si>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</si>
  <si>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</si>
  <si>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</si>
  <si>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</si>
  <si>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</si>
  <si>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</si>
  <si>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</si>
  <si>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</si>
  <si>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</si>
  <si>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</si>
  <si>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</si>
  <si>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</si>
  <si>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</si>
  <si>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</si>
  <si>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</si>
  <si>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</si>
  <si>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</si>
  <si>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</si>
  <si>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</si>
  <si>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</si>
  <si>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</si>
  <si>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</si>
  <si>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</si>
  <si>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</si>
  <si>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</si>
  <si>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</si>
  <si>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</si>
  <si>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</si>
  <si>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</si>
  <si>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</si>
  <si>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</si>
  <si>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</si>
  <si>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</si>
  <si>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</si>
  <si>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</si>
  <si>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</si>
  <si>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</si>
  <si>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</si>
  <si>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</si>
  <si>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</si>
  <si>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</si>
  <si>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</si>
  <si>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</si>
  <si>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</si>
  <si>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</si>
  <si>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</si>
  <si>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</si>
  <si>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</si>
  <si>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</si>
  <si>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</si>
  <si>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</si>
  <si>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</si>
  <si>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</si>
  <si>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</si>
  <si>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</si>
  <si>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</si>
  <si>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</si>
  <si>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</si>
  <si>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</si>
  <si>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</si>
  <si>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</si>
  <si>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</si>
  <si>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</si>
  <si>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</si>
  <si>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</si>
  <si>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</si>
  <si>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</si>
  <si>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</si>
  <si>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</si>
  <si>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</si>
  <si>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</si>
  <si>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</si>
  <si>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</si>
  <si>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</si>
  <si>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</si>
  <si>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</si>
  <si>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</si>
  <si>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</si>
  <si>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</si>
  <si>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</si>
  <si>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</si>
  <si>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</si>
  <si>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</si>
  <si>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</si>
  <si>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</si>
  <si>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</si>
  <si>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</si>
  <si>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</si>
  <si>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</si>
  <si>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</si>
  <si>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</si>
  <si>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</si>
  <si>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</si>
  <si>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</si>
  <si>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</si>
  <si>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</si>
  <si>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</si>
  <si>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</si>
  <si>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</si>
  <si>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</si>
  <si>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</si>
  <si>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</si>
  <si>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</si>
  <si>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</si>
  <si>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</si>
  <si>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</si>
  <si>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</si>
  <si>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</si>
  <si>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</si>
  <si>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</si>
  <si>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</si>
  <si>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</si>
  <si>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</si>
  <si>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</si>
  <si>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</si>
  <si>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</si>
  <si>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</si>
  <si>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</si>
  <si>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</si>
  <si>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</si>
  <si>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</si>
  <si>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</si>
  <si>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</si>
  <si>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</si>
  <si>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</si>
  <si>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</si>
  <si>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</si>
  <si>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</si>
  <si>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معسكرات التدريب الخارجية لسرية هندسة الميدان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
</t>
    </r>
  </si>
  <si>
    <r>
      <t>التدريب</t>
    </r>
    <r>
      <rPr>
        <b/>
        <sz val="12"/>
        <color rgb="FF000000"/>
        <rFont val="Arial"/>
        <family val="2"/>
      </rPr>
      <t>.</t>
    </r>
  </si>
  <si>
    <t>1.   وجود تعليمات وخطة التدريب لمعسكر التدريب الخارجي.</t>
  </si>
  <si>
    <t>2.   مدى تطابق خطة وتعليمات التدريب الخارجي مع خطة التدريب / الزمنية الشهرية للمستوى الأعلى.</t>
  </si>
  <si>
    <t>3.   وجود برامج التدريب / التمرين ومدى تطابقها مع خطة التدريب الشهرية.</t>
  </si>
  <si>
    <r>
      <t>مساعدات التدريب</t>
    </r>
    <r>
      <rPr>
        <b/>
        <sz val="12"/>
        <color rgb="FF000000"/>
        <rFont val="Arial"/>
        <family val="2"/>
      </rPr>
      <t>.</t>
    </r>
  </si>
  <si>
    <t>1.   وجود وملائمة مناطق التدريب مع برنامج التدريب.</t>
  </si>
  <si>
    <t>2.   توفر وصلاحية النماذج والمجسمات.</t>
  </si>
  <si>
    <t>3.   توفر وصلاحية وسائل الإيضاح.</t>
  </si>
  <si>
    <t>4.   وجود وثائق وتعليمات التمرين.</t>
  </si>
  <si>
    <t>5.   وجود التعليمات التنظيمية للمعسكر.</t>
  </si>
  <si>
    <t>6.   وجود خطة الدفاع والحراسة و خطة الحريق.</t>
  </si>
  <si>
    <r>
      <t>إدارة التمرين</t>
    </r>
    <r>
      <rPr>
        <b/>
        <sz val="12"/>
        <color rgb="FF000000"/>
        <rFont val="Arial"/>
        <family val="2"/>
      </rPr>
      <t>.</t>
    </r>
  </si>
  <si>
    <t>1.   التقيد بالتعليمات الإدارية للتمرين.</t>
  </si>
  <si>
    <t>2.   مدى إلمام المرتب والمتدربين بالتعليمات الإدارية.</t>
  </si>
  <si>
    <t>3.   مدى إلمام المدربين بالتمرين.</t>
  </si>
  <si>
    <t>4.   مدى سيطرة المدربين على المتدربين.</t>
  </si>
  <si>
    <t>5.   مدى تقيد المدربين بتوجيه المتدربين وتصحيح الأخطاء.</t>
  </si>
  <si>
    <t>6.   مدى التعاون والعمل بروح الفريق بين المتدربين.</t>
  </si>
  <si>
    <t>7.   التقيد بتوزيع المهام على المتدربين.</t>
  </si>
  <si>
    <t>8.   التقيد بمجرى الحوادث وتوقيتات التمرين.</t>
  </si>
  <si>
    <t>9.   مدى تطابق الأهداف التدريبية مع الغاية من التمرين.</t>
  </si>
  <si>
    <r>
      <t>الإشارة</t>
    </r>
    <r>
      <rPr>
        <b/>
        <sz val="12"/>
        <color rgb="FF000000"/>
        <rFont val="Arial"/>
        <family val="2"/>
      </rPr>
      <t>.</t>
    </r>
  </si>
  <si>
    <t>1.   مدى التقيد بالتعليمات الإشارية ومخططات شبكة الاتصالات.</t>
  </si>
  <si>
    <t>2.   توفر وصلاحية وسائل الاتصال في التمرين.</t>
  </si>
  <si>
    <t>3.   مدى التقيد بأصول المخابرة الصحيحة والالتزام بالأمن اللاسلكي من قبل مستخدمي الأجهزة.</t>
  </si>
  <si>
    <t>4.   مدى كفاءة الاتصالات في التمرين.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</si>
</sst>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3" fillId="0" borderId="4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2" fillId="0" borderId="23" xfId="0" applyFont="1" applyBorder="1" applyAlignment="1">
      <alignment horizontal="right" vertical="center" wrapText="1" indent="1" readingOrder="2"/>
    </xf>
    <xf numFmtId="0" fontId="12" fillId="0" borderId="3" xfId="0" applyFont="1" applyBorder="1" applyAlignment="1">
      <alignment horizontal="right" vertical="center" wrapText="1" indent="1" readingOrder="2"/>
    </xf>
    <xf numFmtId="0" fontId="1" fillId="0" borderId="5" xfId="0" applyFont="1" applyBorder="1" applyAlignment="1">
      <alignment horizontal="right" vertical="center" wrapText="1" indent="1" readingOrder="2"/>
    </xf>
    <xf numFmtId="0" fontId="1" fillId="0" borderId="4" xfId="0" applyFont="1" applyBorder="1" applyAlignment="1">
      <alignment horizontal="right" vertical="center" wrapText="1" indent="1" readingOrder="2"/>
    </xf>
    <xf numFmtId="0" fontId="12" fillId="0" borderId="11" xfId="0" applyFont="1" applyBorder="1" applyAlignment="1">
      <alignment horizontal="right" vertical="center" wrapText="1" indent="1" readingOrder="2"/>
    </xf>
    <xf numFmtId="0" fontId="12" fillId="0" borderId="12" xfId="0" applyFont="1" applyBorder="1" applyAlignment="1">
      <alignment horizontal="right" vertical="center" wrapText="1" inden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380625</xdr:colOff>
      <xdr:row>37</xdr:row>
      <xdr:rowOff>135827</xdr:rowOff>
    </xdr:from>
    <xdr:to>
      <xdr:col>9</xdr:col>
      <xdr:colOff>139394</xdr:colOff>
      <xdr:row>37</xdr:row>
      <xdr:rowOff>602387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E2A2776D-7BA6-B507-BD6E-0B6CF8177B33}"/>
                </a:ext>
              </a:extLst>
            </xdr14:cNvPr>
            <xdr14:cNvContentPartPr/>
          </xdr14:nvContentPartPr>
          <xdr14:nvPr macro=""/>
          <xdr14:xfrm>
            <a:off x="10398447425" y="14619600"/>
            <a:ext cx="1733040" cy="4665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2A2776D-7BA6-B507-BD6E-0B6CF8177B3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441305" y="14613480"/>
              <a:ext cx="1745280" cy="478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9:48:44.6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4594 643 6913,'0'0'0,"0"-21"456,0-2 40,0 23-496,0-26 432,0 2 0,3 10-120,-1 1-160,-2 13-152,5-13 80,-3 2-56,1 5-8,-1-6-8,-2 12-8,2-5-16,2 1 40,-1 0-8,-1 2-72,-2 2 56,5-1 0,-5 1-184,0 0-256,0 0 104,0 0 336,0 4-344,0 0 128,0 1 208,0-1 0,0-4 8,0 11 0,0-11-8,0 5 32,0-1-8,0-4-16,0 4-24,2 0 32,-2-1 8,3 0 0,-3-3-16,0 0 40,0 0-16,2 0 24,-2 0-40,0 0-8,3 0 8,1 0-8,-2 0-24,0-1 32,-2 1-8,5-2 24,-3 1 0,1-1-24,-3 1-24,0 1 24,0 0 16,0 0 0,0 0 8,-3 3-16,3-3-8,-2 3-56,-3 0 0,-8 8 72,1-7 32,12-4-48,-14 17 24,-5-3 64,3 2-88,-7 0 16,23-16-16,-24 18 0,1 2 0,-2 1-32,-3-1-40,28-20 72,-33 23 40,0-3-8,-3 3-16,-4-2 8,40-21-24,-37 23 16,0 0-32,0-2 40,2 2 48,35-23-72,-40 21-40,5-1 48,0 1 8,3-4 16,32-17-32,-30 17 32,-3-3 8,7-1 8,-6-1-16,32-12-32,-26 11 120,-2-7-56,1 9-8,3-10-40,24-3-16,-24 4 48,-1-1 32,4-3 16,3 0 40,18 0-136,-17-1 120,5-4-40,11 0 8,-16-8 0,17 13-88,-5-6 33,-6-8-9,6 1 0,1 2-32,4 11 8,-3-13-16,3-1 0,0 0-17,0-2 1,0 16 32,12-14-56,-9-1-56,8 3-16,-7-1-48,-4 13 176,12-6-152,-8-9 8,8 10 48,-7-7 24,-5 12 72,13-5-48,-1-6 24,1 7 32,-9-2-72,-4 6 64,16-6 8,-11 1-24,8 0-8,-13 1 136,0 4-112,5-3 24,-2 2-16,1-1-16,-4 2-40,0 0 48,0 0-16,-2 0 8,0 3-8,2-3 16,-5 3-8,2 0 24,-3 1 48,-3 9-40,9-13-24,-8 4 56,-5 12-64,1-12 0,-4 12 24,16-16-16,-14 4-16,-2 13 16,1-6 16,0 1-16,15-12 0,-15 13-8,-3-1 8,-1 4-32,0-2 32,19-14 0,-23 14-8,4 1 16,-4-3-48,0 3 72,23-15-32,-21 12 16,-4 1 8,-2-1 48,4-1-80,23-11 8,-23 4 24,0 10-40,3-11 40,-2 0 40,22-3-64,-21 4 80,3-1 0,1-3 8,6 0-48,11 0-40,-12 0 40,5 0-8,-4-3-32,6-1 24,5 4-24,-2-13 8,2 2-8,0-2-8,0-2-24,0 15 32,9-17-16,-5-1-24,8 3-32,0-2 32,-12 17 40,11-17-64,1 1 16,-1 0 8,-6 2-8,-5 14 48,12-11-16,-9 7-16,1-8 56,-1 11 0,-3 1-24,0-3 8,1 2-8,-1-1 0,0 2 8,0 0-8,-1 0 24,-2 0-16,-9 4 8,7 1-32,5-5 16,-18 15-16,-1-2 8,-4 3-16,0 1 32,23-17-8,-26 17 0,1 3 24,0 0-8,-6 1-24,31-21 8,-25 21-16,-5-1 16,2 1 0,-7-1-16,35-20 16,-33 17 16,5 0-16,0-4 32,3-8-56,25-5 24,-22 15 16,4-12 0,0 0 24,3-3-16,15 0-24,-12 0 8,1-2 32,4-3-16,2-11 80,5 16-104,-5-14 40,5-3-40,0-2 8,3-2-32,-3 21 24,12-21-16,-10-1 0,9 3 16,-4-3-64,-7 22 64,15-18-40,-13-2 16,14 1-24,-14 2 8,-2 17 40,5-14 8,-2 1-48,1 8 48,-1-8 24,-3 13-32,0-4 8,0-1 16,0 1-16,0 0 56,0 4-64,-3-5 24,3 1 16,-7 1 0,5 2 8,2 1-48,-5-3 8,-6 2 8,6 1-16,-12 0-56,17 0 56,-11 0 16,-3 0-8,2 0-16,-2 3-8,14-3 16,-14 2 24,1 1-32,-4 0 16,1 1 8,16-4-16,-16 5 0,-3-1 0,3 0-8,-5 0 72,21-4-64,-21 5 16,0 6 16,-2-8 0,-2 1-8,25-4-24,-31 11 24,1-8-8,-5 10 24,0-9-16,35-4-24,-38 13 16,-1-9 24,-3 12-24,-2-12 0,44-4-16,-54 17 48,1-5 1,-3 1-17,-7-1-16,63-12-16,-63 13 8,1-1 16,-5 0-48,-6 0 32,73-12-8,-74 12 0,-2 3 8,-2-3 40,-3 3-24,81-15-24,-81 12 8,1 1-8,-4 0 0,3 0-8,81-13 8,-81 14-24,4 2-16,3 1 40,0-2-8,74-15 8,-73 17 8,3-1 32,3 0-56,2-3 24,65-13-8,-61 12 0,-4-7-24,5 9 8,1-11-16,59-3 32,-55 3-16,11-3 24,4-2 16,5-2-24,35 4 0,-30-16 24,7 2-24,4-5 40,12-5-40,7 24 0,-2-28-48,2-3 40,18-8-24,1-2 56,-19 41-24,28-45 32,9-2-16,7-3 0,7 2-24,-51 48 8,58-52-24,10 1 24,2-1-16,4-5 8,-74 57 8,79-60-8,7 0-8,2 1 0,10 2 8,-98 57 8,101-53-49,3 2 17,0 1 48,-1 8-32,-103 42 16,104-42 24,-1 5-16,-1 3-32,3 3 16,-105 31 8,105-27-8,0 3-8,-1 5 8,-3 5-16,-101 14 24,94-6-24,-1 1 0,-9 1 8,-4 4 16,-80 0 0,78 0-8,-4 4 0,-1 11 0,-5-10-32,-68-5 40,64 18 0,-1-4-24,-2 2 0,-6 0 0,-55-16 24,52 15-24,-6 2 8,-6-1 0,-6 1 8,-34-17 8,31 19-8,-5-2-48,-8 1 0,-4 2 32,-14-20 24,12 18-32,-12 1 40,2-1 48,-2 1-32,0-19-24,-5 17 32,-13 1 16,1 2-8,-1 0 24,18-20-64,-23 22 32,0-1 0,-1-1 8,-4-3-24,28-17-16,-30 18 8,-4-1 24,1 2-24,-4 1 8,37-20-16,-36 21 8,-1 2 0,-4 0 8,3 1 8,38-24-24,-37 22 16,3 0 17,-4-4-1,8-1-32,30-17 0,-33 15 16,8-1-8,2 0-24,3-3 8,20-11 8,-15 5 24,3 6-8,9-11-16,1 0 48,2 0-48,-3 0 8,3 0-48,5-3-24,14-10-9,-19 13 73,23-15-72,8-7 32,4 0 32,-1-5-8,-34 27 16,37-27 0,3-2-24,-1-2 16,3 2 0,-42 29 8,40-29-48,2-1 32,0 0-32,2-1-8,-44 31 56,47-33-80,-6 2 24,-4 2 8,-1 4 16,-36 25 32,32-23-32,-4 2 24,2 1 24,-4 3-8,-26 17-8,20-13 88,-3 1-80,-6 10-32,-11-1 32,0 3-8,3-2-40,-3 2 8,0 0 0,-3 13-32,3-13 64,-11 12-32,-1 3 8,-4 4 48,-3 2-16,-6 3-40,2 0 56,-5 3-32,2 2 64,1-1-32,-2 2 8,4-2-16,-2-2-16,25-26 0,-28 27 8,3-1 0,-1-2-40,-4 0 24,30-24 8,-23 24 16,-1-3-40,6-1 16,-1-3-8,19-17 16,-19 15-16,3-11-8,4 10 56,7-14-16,5 0-16,-11 4-24,7-1 48,1-3-16,1 0-32,2 0 24,0 0 48,-3 0-48,3 0-56,0 0-40,0 0 96,0-1-80,5-1-48,7 0 88,-12-1-40,0 3 80,5-2-120,-1 1 80,-2 1 0,1 0 56,-3 0-16,2 0-8,-2 0 0,0 3-24,0 0 32,0-3 0,0 2 40,0 1-56,0 1 8,0-1 0,0-3 8,0 3 24,0 0 0,0 0-24,0 0 16,0-3-16,-2 3-80,-1-1 72,3 1-8,0 0-40,0-3 56,-2 0-32,-1 3-112,0-3-64,0 0-72,3 0 280,-5 0-344,1 0 56,1 0 80,3 0 104,0 0 104,-5 0-56,1 0 48,1 3 24,2-3 48,1 0-64,-5 0 112,0 3 40,5-1 48,-7 1-16,7-3-184,-3 0 144,1 3-48,2 0-80,-2 0-32,2-3 16,-3 4 8,3 0-16,-2 1-144,2-3-792,0-2 944,-2 3-4025,2-3 4025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zoomScale="130" zoomScaleNormal="100" zoomScaleSheetLayoutView="130" workbookViewId="0">
      <selection activeCell="D4" sqref="D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9" t="s">
        <v>180</v>
      </c>
      <c r="C1" s="59"/>
      <c r="D1" s="59"/>
      <c r="E1" s="59"/>
      <c r="F1" s="59"/>
      <c r="G1" s="59"/>
      <c r="H1" s="59"/>
      <c r="I1" s="59"/>
      <c r="J1" s="59"/>
    </row>
    <row r="2" spans="1:10" ht="30" customHeight="1" x14ac:dyDescent="0.3">
      <c r="B2" s="12" t="s">
        <v>8</v>
      </c>
      <c r="C2" s="65" t="s">
        <v>12</v>
      </c>
      <c r="D2" s="65"/>
      <c r="E2" s="12" t="s">
        <v>7</v>
      </c>
      <c r="F2" s="60">
        <v>45937</v>
      </c>
      <c r="G2" s="60"/>
      <c r="H2" s="60"/>
      <c r="I2" s="60"/>
      <c r="J2" s="60"/>
    </row>
    <row r="3" spans="1:10" ht="30" customHeight="1" x14ac:dyDescent="0.3">
      <c r="B3" s="12" t="s">
        <v>9</v>
      </c>
      <c r="C3" s="65" t="s">
        <v>73</v>
      </c>
      <c r="D3" s="65"/>
      <c r="E3" s="12" t="s">
        <v>6</v>
      </c>
      <c r="F3" s="65" t="s">
        <v>119</v>
      </c>
      <c r="G3" s="65"/>
      <c r="H3" s="65"/>
      <c r="I3" s="65"/>
      <c r="J3" s="65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1" t="s">
        <v>0</v>
      </c>
      <c r="C5" s="62"/>
      <c r="D5" s="62"/>
      <c r="E5" s="70" t="s">
        <v>1</v>
      </c>
      <c r="F5" s="70"/>
      <c r="G5" s="70"/>
      <c r="H5" s="70"/>
      <c r="I5" s="70" t="s">
        <v>2</v>
      </c>
      <c r="J5" s="71"/>
    </row>
    <row r="6" spans="1:10" ht="24.9" customHeight="1" thickBot="1" x14ac:dyDescent="0.35">
      <c r="A6" s="10"/>
      <c r="B6" s="63"/>
      <c r="C6" s="64"/>
      <c r="D6" s="64"/>
      <c r="E6" s="11" t="s">
        <v>3</v>
      </c>
      <c r="F6" s="11" t="s">
        <v>4</v>
      </c>
      <c r="G6" s="11" t="s">
        <v>23</v>
      </c>
      <c r="H6" s="11" t="s">
        <v>24</v>
      </c>
      <c r="I6" s="72"/>
      <c r="J6" s="73"/>
    </row>
    <row r="7" spans="1:10" ht="24.9" customHeight="1" thickBot="1" x14ac:dyDescent="0.35">
      <c r="A7" s="10"/>
      <c r="B7" s="68" t="s">
        <v>21</v>
      </c>
      <c r="C7" s="69"/>
      <c r="D7" s="69"/>
      <c r="E7" s="31" t="s">
        <v>18</v>
      </c>
      <c r="F7" s="31" t="s">
        <v>19</v>
      </c>
      <c r="G7" s="31" t="s">
        <v>22</v>
      </c>
      <c r="H7" s="31" t="s">
        <v>20</v>
      </c>
      <c r="I7" s="47" t="s">
        <v>25</v>
      </c>
      <c r="J7" s="48"/>
    </row>
    <row r="8" spans="1:10" ht="30" customHeight="1" x14ac:dyDescent="0.3">
      <c r="A8" s="10"/>
      <c r="B8" s="80" t="s">
        <v>181</v>
      </c>
      <c r="C8" s="81"/>
      <c r="D8" s="81"/>
      <c r="E8" s="28"/>
      <c r="F8" s="35"/>
      <c r="G8" s="36"/>
      <c r="H8" s="37"/>
      <c r="I8" s="49"/>
      <c r="J8" s="50"/>
    </row>
    <row r="9" spans="1:10" ht="30" customHeight="1" x14ac:dyDescent="0.3">
      <c r="A9" s="10"/>
      <c r="B9" s="78" t="s">
        <v>182</v>
      </c>
      <c r="C9" s="79"/>
      <c r="D9" s="79"/>
      <c r="E9" s="9">
        <v>5</v>
      </c>
      <c r="F9" s="26">
        <v>3.75</v>
      </c>
      <c r="G9" s="33">
        <f>IFERROR(F9/E9,"")</f>
        <v>0.75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5"/>
      <c r="J9" s="46"/>
    </row>
    <row r="10" spans="1:10" ht="36" customHeight="1" x14ac:dyDescent="0.3">
      <c r="A10" s="10"/>
      <c r="B10" s="78" t="s">
        <v>183</v>
      </c>
      <c r="C10" s="79"/>
      <c r="D10" s="79"/>
      <c r="E10" s="9">
        <v>5</v>
      </c>
      <c r="F10" s="26">
        <v>3.75</v>
      </c>
      <c r="G10" s="33">
        <f t="shared" ref="G10:G33" si="0">IFERROR(F10/E10,"")</f>
        <v>0.75</v>
      </c>
      <c r="H10" s="34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جيد</v>
      </c>
      <c r="I10" s="45"/>
      <c r="J10" s="46"/>
    </row>
    <row r="11" spans="1:10" ht="36" customHeight="1" thickBot="1" x14ac:dyDescent="0.35">
      <c r="A11" s="10"/>
      <c r="B11" s="82" t="s">
        <v>184</v>
      </c>
      <c r="C11" s="83"/>
      <c r="D11" s="83"/>
      <c r="E11" s="29">
        <v>5</v>
      </c>
      <c r="F11" s="27">
        <v>3.5</v>
      </c>
      <c r="G11" s="38">
        <f t="shared" si="0"/>
        <v>0.7</v>
      </c>
      <c r="H11" s="39" t="str">
        <f t="shared" si="1"/>
        <v>جيد</v>
      </c>
      <c r="I11" s="51"/>
      <c r="J11" s="52"/>
    </row>
    <row r="12" spans="1:10" ht="30" customHeight="1" x14ac:dyDescent="0.3">
      <c r="A12" s="10"/>
      <c r="B12" s="80" t="s">
        <v>185</v>
      </c>
      <c r="C12" s="81"/>
      <c r="D12" s="81"/>
      <c r="E12" s="30"/>
      <c r="F12" s="35"/>
      <c r="G12" s="36"/>
      <c r="H12" s="37"/>
      <c r="I12" s="49"/>
      <c r="J12" s="50"/>
    </row>
    <row r="13" spans="1:10" ht="30" customHeight="1" x14ac:dyDescent="0.3">
      <c r="A13" s="10"/>
      <c r="B13" s="78" t="s">
        <v>186</v>
      </c>
      <c r="C13" s="79"/>
      <c r="D13" s="79"/>
      <c r="E13" s="9">
        <v>5</v>
      </c>
      <c r="F13" s="26">
        <v>4</v>
      </c>
      <c r="G13" s="33">
        <f t="shared" si="0"/>
        <v>0.8</v>
      </c>
      <c r="H13" s="34" t="str">
        <f t="shared" si="1"/>
        <v>جيد جداً</v>
      </c>
      <c r="I13" s="45"/>
      <c r="J13" s="46"/>
    </row>
    <row r="14" spans="1:10" ht="30" customHeight="1" x14ac:dyDescent="0.3">
      <c r="A14" s="10"/>
      <c r="B14" s="78" t="s">
        <v>187</v>
      </c>
      <c r="C14" s="79"/>
      <c r="D14" s="79"/>
      <c r="E14" s="9">
        <v>5</v>
      </c>
      <c r="F14" s="26">
        <v>3.5</v>
      </c>
      <c r="G14" s="33">
        <f t="shared" si="0"/>
        <v>0.7</v>
      </c>
      <c r="H14" s="34" t="str">
        <f t="shared" si="1"/>
        <v>جيد</v>
      </c>
      <c r="I14" s="45"/>
      <c r="J14" s="46"/>
    </row>
    <row r="15" spans="1:10" ht="30" customHeight="1" x14ac:dyDescent="0.3">
      <c r="A15" s="10"/>
      <c r="B15" s="78" t="s">
        <v>188</v>
      </c>
      <c r="C15" s="79"/>
      <c r="D15" s="79"/>
      <c r="E15" s="9">
        <v>5</v>
      </c>
      <c r="F15" s="26">
        <v>3.5</v>
      </c>
      <c r="G15" s="33">
        <f t="shared" si="0"/>
        <v>0.7</v>
      </c>
      <c r="H15" s="34" t="str">
        <f t="shared" si="1"/>
        <v>جيد</v>
      </c>
      <c r="I15" s="45"/>
      <c r="J15" s="46"/>
    </row>
    <row r="16" spans="1:10" ht="30" customHeight="1" x14ac:dyDescent="0.3">
      <c r="A16" s="10"/>
      <c r="B16" s="78" t="s">
        <v>189</v>
      </c>
      <c r="C16" s="79"/>
      <c r="D16" s="79"/>
      <c r="E16" s="9">
        <v>5</v>
      </c>
      <c r="F16" s="26">
        <v>3.75</v>
      </c>
      <c r="G16" s="33">
        <f t="shared" si="0"/>
        <v>0.75</v>
      </c>
      <c r="H16" s="34" t="str">
        <f t="shared" si="1"/>
        <v>جيد</v>
      </c>
      <c r="I16" s="45"/>
      <c r="J16" s="46"/>
    </row>
    <row r="17" spans="1:10" ht="30" customHeight="1" x14ac:dyDescent="0.3">
      <c r="A17" s="10"/>
      <c r="B17" s="78" t="s">
        <v>190</v>
      </c>
      <c r="C17" s="79"/>
      <c r="D17" s="79"/>
      <c r="E17" s="9">
        <v>5</v>
      </c>
      <c r="F17" s="26">
        <v>3.5</v>
      </c>
      <c r="G17" s="33">
        <f t="shared" si="0"/>
        <v>0.7</v>
      </c>
      <c r="H17" s="34" t="str">
        <f t="shared" si="1"/>
        <v>جيد</v>
      </c>
      <c r="I17" s="45"/>
      <c r="J17" s="46"/>
    </row>
    <row r="18" spans="1:10" ht="30" customHeight="1" thickBot="1" x14ac:dyDescent="0.35">
      <c r="A18" s="10"/>
      <c r="B18" s="82" t="s">
        <v>191</v>
      </c>
      <c r="C18" s="83"/>
      <c r="D18" s="83"/>
      <c r="E18" s="29">
        <v>5</v>
      </c>
      <c r="F18" s="27">
        <v>4</v>
      </c>
      <c r="G18" s="38">
        <f t="shared" si="0"/>
        <v>0.8</v>
      </c>
      <c r="H18" s="39" t="str">
        <f t="shared" si="1"/>
        <v>جيد جداً</v>
      </c>
      <c r="I18" s="51"/>
      <c r="J18" s="52"/>
    </row>
    <row r="19" spans="1:10" ht="30" customHeight="1" x14ac:dyDescent="0.3">
      <c r="A19" s="10"/>
      <c r="B19" s="80" t="s">
        <v>192</v>
      </c>
      <c r="C19" s="81"/>
      <c r="D19" s="81"/>
      <c r="E19" s="28"/>
      <c r="F19" s="35"/>
      <c r="G19" s="36"/>
      <c r="H19" s="37"/>
      <c r="I19" s="49"/>
      <c r="J19" s="50"/>
    </row>
    <row r="20" spans="1:10" ht="30" customHeight="1" x14ac:dyDescent="0.3">
      <c r="A20" s="10"/>
      <c r="B20" s="78" t="s">
        <v>193</v>
      </c>
      <c r="C20" s="79"/>
      <c r="D20" s="79"/>
      <c r="E20" s="9">
        <v>5</v>
      </c>
      <c r="F20" s="26">
        <v>3.5</v>
      </c>
      <c r="G20" s="33">
        <f t="shared" si="0"/>
        <v>0.7</v>
      </c>
      <c r="H20" s="34" t="str">
        <f t="shared" si="1"/>
        <v>جيد</v>
      </c>
      <c r="I20" s="45"/>
      <c r="J20" s="46"/>
    </row>
    <row r="21" spans="1:10" ht="30" customHeight="1" x14ac:dyDescent="0.3">
      <c r="A21" s="10"/>
      <c r="B21" s="78" t="s">
        <v>194</v>
      </c>
      <c r="C21" s="79"/>
      <c r="D21" s="79"/>
      <c r="E21" s="9">
        <v>5</v>
      </c>
      <c r="F21" s="26">
        <v>3.5</v>
      </c>
      <c r="G21" s="33">
        <f t="shared" si="0"/>
        <v>0.7</v>
      </c>
      <c r="H21" s="34" t="str">
        <f t="shared" si="1"/>
        <v>جيد</v>
      </c>
      <c r="I21" s="45"/>
      <c r="J21" s="46"/>
    </row>
    <row r="22" spans="1:10" ht="30" customHeight="1" x14ac:dyDescent="0.3">
      <c r="A22" s="10"/>
      <c r="B22" s="78" t="s">
        <v>195</v>
      </c>
      <c r="C22" s="79"/>
      <c r="D22" s="79"/>
      <c r="E22" s="9">
        <v>5</v>
      </c>
      <c r="F22" s="26">
        <v>3.75</v>
      </c>
      <c r="G22" s="33">
        <f t="shared" si="0"/>
        <v>0.75</v>
      </c>
      <c r="H22" s="34" t="str">
        <f t="shared" si="1"/>
        <v>جيد</v>
      </c>
      <c r="I22" s="45"/>
      <c r="J22" s="46"/>
    </row>
    <row r="23" spans="1:10" ht="30" customHeight="1" x14ac:dyDescent="0.3">
      <c r="A23" s="10"/>
      <c r="B23" s="78" t="s">
        <v>196</v>
      </c>
      <c r="C23" s="79"/>
      <c r="D23" s="79"/>
      <c r="E23" s="9">
        <v>5</v>
      </c>
      <c r="F23" s="26">
        <v>3.75</v>
      </c>
      <c r="G23" s="33">
        <f t="shared" si="0"/>
        <v>0.75</v>
      </c>
      <c r="H23" s="34" t="str">
        <f t="shared" si="1"/>
        <v>جيد</v>
      </c>
      <c r="I23" s="45"/>
      <c r="J23" s="46"/>
    </row>
    <row r="24" spans="1:10" ht="30" customHeight="1" x14ac:dyDescent="0.3">
      <c r="A24" s="10"/>
      <c r="B24" s="78" t="s">
        <v>197</v>
      </c>
      <c r="C24" s="79"/>
      <c r="D24" s="79"/>
      <c r="E24" s="9">
        <v>5</v>
      </c>
      <c r="F24" s="26">
        <v>3.5</v>
      </c>
      <c r="G24" s="33">
        <f t="shared" si="0"/>
        <v>0.7</v>
      </c>
      <c r="H24" s="34" t="str">
        <f t="shared" si="1"/>
        <v>جيد</v>
      </c>
      <c r="I24" s="45"/>
      <c r="J24" s="46"/>
    </row>
    <row r="25" spans="1:10" ht="30" customHeight="1" x14ac:dyDescent="0.3">
      <c r="A25" s="10"/>
      <c r="B25" s="78" t="s">
        <v>198</v>
      </c>
      <c r="C25" s="79"/>
      <c r="D25" s="79"/>
      <c r="E25" s="9">
        <v>5</v>
      </c>
      <c r="F25" s="26">
        <v>4</v>
      </c>
      <c r="G25" s="33">
        <f t="shared" si="0"/>
        <v>0.8</v>
      </c>
      <c r="H25" s="34" t="str">
        <f t="shared" si="1"/>
        <v>جيد جداً</v>
      </c>
      <c r="I25" s="45"/>
      <c r="J25" s="46"/>
    </row>
    <row r="26" spans="1:10" ht="30" customHeight="1" x14ac:dyDescent="0.3">
      <c r="A26" s="10"/>
      <c r="B26" s="78" t="s">
        <v>199</v>
      </c>
      <c r="C26" s="79"/>
      <c r="D26" s="79"/>
      <c r="E26" s="9">
        <v>5</v>
      </c>
      <c r="F26" s="26">
        <v>3.75</v>
      </c>
      <c r="G26" s="33">
        <f t="shared" si="0"/>
        <v>0.75</v>
      </c>
      <c r="H26" s="34" t="str">
        <f t="shared" si="1"/>
        <v>جيد</v>
      </c>
      <c r="I26" s="45"/>
      <c r="J26" s="46"/>
    </row>
    <row r="27" spans="1:10" ht="30" customHeight="1" x14ac:dyDescent="0.3">
      <c r="A27" s="10"/>
      <c r="B27" s="78" t="s">
        <v>200</v>
      </c>
      <c r="C27" s="79"/>
      <c r="D27" s="79"/>
      <c r="E27" s="9">
        <v>5</v>
      </c>
      <c r="F27" s="26">
        <v>3.5</v>
      </c>
      <c r="G27" s="33">
        <f t="shared" si="0"/>
        <v>0.7</v>
      </c>
      <c r="H27" s="34" t="str">
        <f t="shared" si="1"/>
        <v>جيد</v>
      </c>
      <c r="I27" s="45"/>
      <c r="J27" s="46"/>
    </row>
    <row r="28" spans="1:10" ht="30" customHeight="1" thickBot="1" x14ac:dyDescent="0.35">
      <c r="A28" s="10"/>
      <c r="B28" s="82" t="s">
        <v>201</v>
      </c>
      <c r="C28" s="83"/>
      <c r="D28" s="83"/>
      <c r="E28" s="29">
        <v>5</v>
      </c>
      <c r="F28" s="27">
        <v>3.5</v>
      </c>
      <c r="G28" s="38">
        <f t="shared" si="0"/>
        <v>0.7</v>
      </c>
      <c r="H28" s="39" t="str">
        <f t="shared" si="1"/>
        <v>جيد</v>
      </c>
      <c r="I28" s="51"/>
      <c r="J28" s="52"/>
    </row>
    <row r="29" spans="1:10" ht="30" customHeight="1" x14ac:dyDescent="0.3">
      <c r="A29" s="10"/>
      <c r="B29" s="80" t="s">
        <v>202</v>
      </c>
      <c r="C29" s="81"/>
      <c r="D29" s="81"/>
      <c r="E29" s="28"/>
      <c r="F29" s="35"/>
      <c r="G29" s="36"/>
      <c r="H29" s="37"/>
      <c r="I29" s="49"/>
      <c r="J29" s="50"/>
    </row>
    <row r="30" spans="1:10" ht="30" customHeight="1" x14ac:dyDescent="0.3">
      <c r="A30" s="10"/>
      <c r="B30" s="78" t="s">
        <v>203</v>
      </c>
      <c r="C30" s="79"/>
      <c r="D30" s="79"/>
      <c r="E30" s="9">
        <v>5</v>
      </c>
      <c r="F30" s="26">
        <v>3.5</v>
      </c>
      <c r="G30" s="33">
        <f t="shared" si="0"/>
        <v>0.7</v>
      </c>
      <c r="H30" s="34" t="str">
        <f t="shared" si="1"/>
        <v>جيد</v>
      </c>
      <c r="I30" s="45"/>
      <c r="J30" s="46"/>
    </row>
    <row r="31" spans="1:10" ht="30" customHeight="1" x14ac:dyDescent="0.3">
      <c r="A31" s="10"/>
      <c r="B31" s="78" t="s">
        <v>204</v>
      </c>
      <c r="C31" s="79"/>
      <c r="D31" s="79"/>
      <c r="E31" s="9">
        <v>5</v>
      </c>
      <c r="F31" s="26">
        <v>4</v>
      </c>
      <c r="G31" s="33">
        <f t="shared" si="0"/>
        <v>0.8</v>
      </c>
      <c r="H31" s="34" t="str">
        <f t="shared" si="1"/>
        <v>جيد جداً</v>
      </c>
      <c r="I31" s="45"/>
      <c r="J31" s="46"/>
    </row>
    <row r="32" spans="1:10" ht="36.75" customHeight="1" x14ac:dyDescent="0.3">
      <c r="A32" s="10"/>
      <c r="B32" s="78" t="s">
        <v>205</v>
      </c>
      <c r="C32" s="79"/>
      <c r="D32" s="79"/>
      <c r="E32" s="9">
        <v>5</v>
      </c>
      <c r="F32" s="26">
        <v>3.5</v>
      </c>
      <c r="G32" s="33">
        <f t="shared" si="0"/>
        <v>0.7</v>
      </c>
      <c r="H32" s="34" t="str">
        <f t="shared" si="1"/>
        <v>جيد</v>
      </c>
      <c r="I32" s="45"/>
      <c r="J32" s="46"/>
    </row>
    <row r="33" spans="1:10" ht="30" customHeight="1" thickBot="1" x14ac:dyDescent="0.35">
      <c r="A33" s="10"/>
      <c r="B33" s="82" t="s">
        <v>206</v>
      </c>
      <c r="C33" s="83"/>
      <c r="D33" s="83"/>
      <c r="E33" s="29">
        <v>5</v>
      </c>
      <c r="F33" s="27">
        <v>3.75</v>
      </c>
      <c r="G33" s="38">
        <f t="shared" si="0"/>
        <v>0.75</v>
      </c>
      <c r="H33" s="39" t="str">
        <f t="shared" si="1"/>
        <v>جيد</v>
      </c>
      <c r="I33" s="51"/>
      <c r="J33" s="52"/>
    </row>
    <row r="34" spans="1:10" ht="30" customHeight="1" thickBot="1" x14ac:dyDescent="0.35">
      <c r="A34" s="4"/>
      <c r="B34" s="74" t="s">
        <v>5</v>
      </c>
      <c r="C34" s="75"/>
      <c r="D34" s="75"/>
      <c r="E34" s="32">
        <f>SUM(E8:E33)</f>
        <v>110</v>
      </c>
      <c r="F34" s="32">
        <f>SUM(F8:F33)</f>
        <v>80.75</v>
      </c>
      <c r="G34" s="42"/>
      <c r="H34" s="43"/>
      <c r="I34" s="43"/>
      <c r="J34" s="44"/>
    </row>
    <row r="35" spans="1:10" ht="30" customHeight="1" thickBot="1" x14ac:dyDescent="0.35">
      <c r="A35" s="4"/>
      <c r="B35" s="76" t="s">
        <v>54</v>
      </c>
      <c r="C35" s="77"/>
      <c r="D35" s="77"/>
      <c r="E35" s="66">
        <f>F34/E34/100*100</f>
        <v>0.73409090909090913</v>
      </c>
      <c r="F35" s="66"/>
      <c r="G35" s="66"/>
      <c r="H35" s="66"/>
      <c r="I35" s="66"/>
      <c r="J35" s="67"/>
    </row>
    <row r="36" spans="1:10" ht="30" customHeight="1" thickBot="1" x14ac:dyDescent="0.35">
      <c r="A36" s="4"/>
      <c r="B36" s="76" t="s">
        <v>55</v>
      </c>
      <c r="C36" s="77"/>
      <c r="D36" s="77"/>
      <c r="E36" s="57" t="str">
        <f>_xlfn.IFS(E35&gt;=90%,"ممتاز",E35&gt;=80%,"جيد جداً",E35&gt;=70%,"جيد",E35&gt;=60%,"مقبول",E35&lt;60%,"راسب")</f>
        <v>جيد</v>
      </c>
      <c r="F36" s="57"/>
      <c r="G36" s="57"/>
      <c r="H36" s="57"/>
      <c r="I36" s="57"/>
      <c r="J36" s="58"/>
    </row>
    <row r="37" spans="1:10" ht="42" customHeight="1" x14ac:dyDescent="0.3">
      <c r="B37" s="53" t="s">
        <v>174</v>
      </c>
      <c r="C37" s="53"/>
      <c r="D37" s="53"/>
      <c r="E37" s="40" t="s">
        <v>52</v>
      </c>
      <c r="F37" s="40"/>
      <c r="G37" s="55" t="s">
        <v>119</v>
      </c>
      <c r="H37" s="55"/>
      <c r="I37" s="55"/>
      <c r="J37" s="55"/>
    </row>
    <row r="38" spans="1:10" ht="51" customHeight="1" x14ac:dyDescent="0.3">
      <c r="A38" s="5"/>
      <c r="B38" s="54"/>
      <c r="C38" s="54"/>
      <c r="D38" s="54"/>
      <c r="E38" s="41" t="s">
        <v>53</v>
      </c>
      <c r="F38" s="41"/>
      <c r="G38" s="56"/>
      <c r="H38" s="56"/>
      <c r="I38" s="56"/>
      <c r="J38" s="5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B33:D33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8:D8"/>
    <mergeCell ref="B9:D9"/>
    <mergeCell ref="B10:D10"/>
    <mergeCell ref="B11:D11"/>
    <mergeCell ref="B12:D12"/>
    <mergeCell ref="B15:D15"/>
    <mergeCell ref="B16:D16"/>
    <mergeCell ref="I32:J32"/>
    <mergeCell ref="I23:J23"/>
    <mergeCell ref="I24:J24"/>
    <mergeCell ref="I25:J25"/>
    <mergeCell ref="I26:J26"/>
    <mergeCell ref="I27:J27"/>
    <mergeCell ref="B31:D31"/>
    <mergeCell ref="B32:D32"/>
    <mergeCell ref="B34:D34"/>
    <mergeCell ref="B35:D35"/>
    <mergeCell ref="B36:D36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2:J22"/>
    <mergeCell ref="B13:D13"/>
    <mergeCell ref="B14:D14"/>
    <mergeCell ref="B37:D38"/>
    <mergeCell ref="G37:J37"/>
    <mergeCell ref="G38:J38"/>
    <mergeCell ref="E36:J36"/>
    <mergeCell ref="B1:J1"/>
    <mergeCell ref="F2:J2"/>
    <mergeCell ref="B5:D6"/>
    <mergeCell ref="C2:D2"/>
    <mergeCell ref="C3:D3"/>
    <mergeCell ref="F3:J3"/>
    <mergeCell ref="E35:J35"/>
    <mergeCell ref="B7:D7"/>
    <mergeCell ref="I30:J30"/>
    <mergeCell ref="I31:J31"/>
    <mergeCell ref="E5:H5"/>
    <mergeCell ref="I5:J6"/>
    <mergeCell ref="E37:F37"/>
    <mergeCell ref="E38:F38"/>
    <mergeCell ref="G34:J34"/>
    <mergeCell ref="I9:J9"/>
    <mergeCell ref="I7:J7"/>
    <mergeCell ref="I10:J10"/>
    <mergeCell ref="I19:J19"/>
    <mergeCell ref="I20:J20"/>
    <mergeCell ref="I21:J21"/>
    <mergeCell ref="I33:J33"/>
    <mergeCell ref="I8:J8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58">
      <formula>$E36="مقبول"</formula>
    </cfRule>
    <cfRule type="expression" dxfId="12" priority="59">
      <formula>$E36="جيد"</formula>
    </cfRule>
    <cfRule type="expression" dxfId="11" priority="60">
      <formula>$E36="جيد جداً"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F30:F33 F20:F28 F13:F18 F9:F11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2025-10-08T19:50:57Z</dcterms:modified>
</cp:coreProperties>
</file>