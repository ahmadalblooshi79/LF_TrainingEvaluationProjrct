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CF2F28F7-70A0-4F62-AA06-6B824A57A40F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التقييم'!$A$1:$J$29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2" l="1"/>
  <c r="G21" i="2"/>
  <c r="H21" i="2" s="1"/>
  <c r="G20" i="2"/>
  <c r="H20" i="2" s="1"/>
  <c r="G19" i="2"/>
  <c r="H19" i="2" s="1"/>
  <c r="G18" i="2"/>
  <c r="H18" i="2" s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22" i="2" l="1"/>
  <c r="E23" i="2" l="1"/>
  <c r="E24" i="2" s="1"/>
</calcChain>
</file>

<file path=xl/sharedStrings.xml><?xml version="1.0" encoding="utf-8"?>
<sst xmlns="http://schemas.openxmlformats.org/spreadsheetml/2006/main" count="273" uniqueCount="203">
  <si>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</si>
  <si>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</si>
  <si>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</si>
  <si>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</si>
  <si>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</si>
  <si>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</si>
  <si>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</si>
  <si>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</si>
  <si>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</si>
  <si>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</si>
  <si>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</si>
  <si>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</si>
  <si>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</si>
  <si>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</si>
  <si>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</si>
  <si>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</si>
  <si>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</si>
  <si>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</si>
  <si>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</si>
  <si>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</si>
  <si>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</si>
  <si>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</si>
  <si>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</si>
  <si>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</si>
  <si>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</si>
  <si>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</si>
  <si>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</si>
  <si>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</si>
  <si>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</si>
  <si>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</si>
  <si>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</si>
  <si>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</si>
  <si>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</si>
  <si>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</si>
  <si>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</si>
  <si>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</si>
  <si>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</si>
  <si>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</si>
  <si>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</si>
  <si>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</si>
  <si>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</si>
  <si>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</si>
  <si>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</si>
  <si>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</si>
  <si>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</si>
  <si>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</si>
  <si>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</si>
  <si>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</si>
  <si>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</si>
  <si>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</si>
  <si>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</si>
  <si>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</si>
  <si>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</si>
  <si>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</si>
  <si>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</si>
  <si>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</si>
  <si>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</si>
  <si>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</si>
  <si>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</si>
  <si>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</si>
  <si>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</si>
  <si>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</si>
  <si>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</si>
  <si>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</si>
  <si>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</si>
  <si>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</si>
  <si>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</si>
  <si>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</si>
  <si>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</si>
  <si>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</si>
  <si>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</si>
  <si>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</si>
  <si>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</si>
  <si>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</si>
  <si>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</si>
  <si>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</si>
  <si>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</si>
  <si>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</si>
  <si>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</si>
  <si>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</si>
  <si>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</si>
  <si>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</si>
  <si>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</si>
  <si>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</si>
  <si>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</si>
  <si>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</si>
  <si>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</si>
  <si>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</si>
  <si>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</si>
  <si>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</si>
  <si>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</si>
  <si>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</si>
  <si>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</si>
  <si>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</si>
  <si>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</si>
  <si>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</si>
  <si>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</si>
  <si>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</si>
  <si>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</si>
  <si>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</si>
  <si>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</si>
  <si>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</si>
  <si>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</si>
  <si>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</si>
  <si>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</si>
  <si>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</si>
  <si>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</si>
  <si>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</si>
  <si>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</si>
  <si>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</si>
  <si>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</si>
  <si>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</si>
  <si>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</si>
  <si>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</si>
  <si>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</si>
  <si>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</si>
  <si>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</si>
  <si>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</si>
  <si>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</si>
  <si>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</si>
  <si>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</si>
  <si>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</si>
  <si>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</si>
  <si>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</si>
  <si>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</si>
  <si>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</si>
  <si>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</si>
  <si>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</si>
  <si>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</si>
  <si>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</si>
  <si>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</si>
  <si>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</si>
  <si>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</si>
  <si>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</si>
  <si>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</si>
  <si>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</si>
  <si>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</si>
  <si>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</si>
  <si>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</si>
  <si>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</si>
  <si>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</si>
  <si>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</si>
  <si>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</si>
  <si>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</si>
  <si>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</si>
  <si>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</si>
  <si>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</si>
  <si>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</si>
  <si>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</si>
  <si>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</si>
  <si>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</si>
  <si>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</si>
  <si>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</si>
  <si>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</si>
  <si>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</si>
  <si>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</si>
  <si>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</si>
  <si>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</si>
  <si>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</si>
  <si>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</si>
  <si>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</si>
  <si>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</si>
  <si>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</si>
  <si>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</si>
  <si>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</si>
  <si>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</si>
  <si>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</si>
  <si>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</si>
  <si>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</si>
  <si>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</si>
  <si>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</si>
  <si>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</si>
  <si>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</si>
  <si>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</si>
  <si>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</si>
  <si>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</si>
  <si>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</si>
  <si>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</si>
  <si>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</si>
  <si>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</si>
  <si>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</si>
  <si>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</si>
  <si>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</si>
  <si>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</si>
  <si>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</si>
  <si>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</si>
  <si>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</si>
  <si>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</si>
  <si>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</si>
  <si>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معضلة تدمير مركز الاتصال الرئيسي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</si>
  <si>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التعامل مع تدمير مركز الاتصال الرئيسي في مجموعة اللواء وفقدان جميع الاتصالات السلكية واللاسلكية.</t>
    </r>
  </si>
  <si>
    <t>إجراءات قائد سرية الإشارة لإبلاغ المستوى الأعلى:</t>
  </si>
  <si>
    <t>اجراءات قائد سرية الاشارة لتأسيس الاتصال مع قيادة مجموعة اللواء والكتائب والوحدات:</t>
  </si>
  <si>
    <t>الانتقال إلى مركز الاتصال التبادلي الذي تم تجهيزه مسبقاً.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</si>
  <si>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ابلاغ المستوى الاعلى بأي وسيلة من وسائل الاتصال التي بقيت فعالة مثال (الاتصال بالوسائل المتحركة).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</si>
  <si>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ابلاغ المستوى الاعلى باستخدام جهاز الثريا على ان يكون الجهاز مشفراً.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</si>
  <si>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ابلاغ المستوى الاعلى باستخدام جهاز الاتصالات بالأقمار الاصطناعية محمول على الظهر.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</si>
  <si>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الاعتماد على هذه الوسائل لحين الانتقال إلى الموقع التبادلي.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</si>
  <si>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الاتصال بالوسائل المتحركة ومنها (الآليات - الدراجات النارية - السعاة الراجلين).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</si>
  <si>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الاتصال بالوسائل الصوتية والمرئية ومنها (الاعلام – الصفارات – طلقات الدخان).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</si>
  <si>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استخدام جولات البريد العسكري وفقاً للتعليمات الاشارية وحسب التوقيتات المذكورة.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</si>
  <si>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جاهزية الموقع من الاتصالات بنسبة 40% قبل الانتقال للموقع وتوفر وسيلة أتصال خطية وفاكس ووسيلة أتصال لاسلكي مع جميع تفرعاتها.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</si>
  <si>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جاهزية الموقع من الاتصالات بعد الانتقال بنسبة 100% بجميع وسائل الاتصالات.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</si>
</sst>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2" fillId="0" borderId="20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6" fillId="0" borderId="0" xfId="0" applyFont="1" applyProtection="1"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6" zoomScaleNormal="100" zoomScaleSheetLayoutView="136" workbookViewId="0">
      <selection activeCell="B2" sqref="B2:J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9" t="s">
        <v>186</v>
      </c>
      <c r="C5" s="89"/>
      <c r="D5" s="39" t="s">
        <v>188</v>
      </c>
      <c r="E5" s="89" t="s">
        <v>187</v>
      </c>
      <c r="F5" s="89"/>
      <c r="G5" s="89"/>
      <c r="H5" s="89"/>
      <c r="I5" s="90" t="s">
        <v>185</v>
      </c>
      <c r="J5" s="90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s="95" customFormat="1" ht="39.950000000000003" customHeight="1" x14ac:dyDescent="0.2">
      <c r="A10" s="9"/>
      <c r="B10" s="96" t="s">
        <v>191</v>
      </c>
      <c r="C10" s="97"/>
      <c r="D10" s="97"/>
      <c r="E10" s="31"/>
      <c r="F10" s="43"/>
      <c r="G10" s="32"/>
      <c r="H10" s="33"/>
      <c r="I10" s="73"/>
      <c r="J10" s="74"/>
    </row>
    <row r="11" spans="1:10" s="95" customFormat="1" ht="39.950000000000003" customHeight="1" x14ac:dyDescent="0.2">
      <c r="A11" s="9"/>
      <c r="B11" s="75" t="s">
        <v>194</v>
      </c>
      <c r="C11" s="76"/>
      <c r="D11" s="76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s="95" customFormat="1" ht="39.950000000000003" customHeight="1" x14ac:dyDescent="0.2">
      <c r="A12" s="9"/>
      <c r="B12" s="75" t="s">
        <v>195</v>
      </c>
      <c r="C12" s="76"/>
      <c r="D12" s="76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s="95" customFormat="1" ht="39.950000000000003" customHeight="1" x14ac:dyDescent="0.2">
      <c r="A13" s="9"/>
      <c r="B13" s="75" t="s">
        <v>196</v>
      </c>
      <c r="C13" s="76"/>
      <c r="D13" s="76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s="95" customFormat="1" ht="39.950000000000003" customHeight="1" thickBot="1" x14ac:dyDescent="0.25">
      <c r="A14" s="9"/>
      <c r="B14" s="91" t="s">
        <v>197</v>
      </c>
      <c r="C14" s="92"/>
      <c r="D14" s="92"/>
      <c r="E14" s="34">
        <v>3</v>
      </c>
      <c r="F14" s="42" t="s">
        <v>61</v>
      </c>
      <c r="G14" s="35" t="str">
        <f t="shared" si="0"/>
        <v/>
      </c>
      <c r="H14" s="36" t="str">
        <f t="shared" si="1"/>
        <v/>
      </c>
      <c r="I14" s="93"/>
      <c r="J14" s="94"/>
    </row>
    <row r="15" spans="1:10" s="95" customFormat="1" ht="39.950000000000003" customHeight="1" x14ac:dyDescent="0.2">
      <c r="A15" s="9"/>
      <c r="B15" s="96" t="s">
        <v>192</v>
      </c>
      <c r="C15" s="97"/>
      <c r="D15" s="97"/>
      <c r="E15" s="31">
        <v>3</v>
      </c>
      <c r="F15" s="43" t="s">
        <v>61</v>
      </c>
      <c r="G15" s="32" t="str">
        <f t="shared" si="0"/>
        <v/>
      </c>
      <c r="H15" s="33" t="str">
        <f t="shared" si="1"/>
        <v/>
      </c>
      <c r="I15" s="73"/>
      <c r="J15" s="74"/>
    </row>
    <row r="16" spans="1:10" s="95" customFormat="1" ht="39.950000000000003" customHeight="1" x14ac:dyDescent="0.2">
      <c r="A16" s="9"/>
      <c r="B16" s="75" t="s">
        <v>198</v>
      </c>
      <c r="C16" s="76"/>
      <c r="D16" s="76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45"/>
      <c r="J16" s="46"/>
    </row>
    <row r="17" spans="1:10" s="95" customFormat="1" ht="39.950000000000003" customHeight="1" x14ac:dyDescent="0.2">
      <c r="A17" s="9"/>
      <c r="B17" s="75" t="s">
        <v>199</v>
      </c>
      <c r="C17" s="76"/>
      <c r="D17" s="76"/>
      <c r="E17" s="28">
        <v>3</v>
      </c>
      <c r="F17" s="41" t="s">
        <v>61</v>
      </c>
      <c r="G17" s="29" t="str">
        <f>IFERROR(F17/E17,"")</f>
        <v/>
      </c>
      <c r="H17" s="30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45"/>
      <c r="J17" s="46"/>
    </row>
    <row r="18" spans="1:10" s="95" customFormat="1" ht="39.950000000000003" customHeight="1" thickBot="1" x14ac:dyDescent="0.25">
      <c r="A18" s="9"/>
      <c r="B18" s="91" t="s">
        <v>200</v>
      </c>
      <c r="C18" s="92"/>
      <c r="D18" s="92"/>
      <c r="E18" s="34">
        <v>3</v>
      </c>
      <c r="F18" s="42" t="s">
        <v>61</v>
      </c>
      <c r="G18" s="35" t="str">
        <f t="shared" ref="G18:G21" si="2">IFERROR(F18/E18,"")</f>
        <v/>
      </c>
      <c r="H18" s="36" t="str">
        <f t="shared" ref="H18:H21" si="3">_xlfn.IFS(F18="أدخل العلامة","",F18="لا ينطبق","تم الإلغاء",G18&gt;=90%,"ممتاز",G18&gt;=80%,"جيد جداً",G18&gt;=70%,"جيد",G18&gt;=60%,"مقبول",G18&lt;60%,"راسب")</f>
        <v/>
      </c>
      <c r="I18" s="93"/>
      <c r="J18" s="94"/>
    </row>
    <row r="19" spans="1:10" s="95" customFormat="1" ht="39.950000000000003" customHeight="1" x14ac:dyDescent="0.2">
      <c r="A19" s="9"/>
      <c r="B19" s="96" t="s">
        <v>193</v>
      </c>
      <c r="C19" s="97"/>
      <c r="D19" s="97"/>
      <c r="E19" s="31">
        <v>3</v>
      </c>
      <c r="F19" s="43" t="s">
        <v>61</v>
      </c>
      <c r="G19" s="32" t="str">
        <f t="shared" si="2"/>
        <v/>
      </c>
      <c r="H19" s="33" t="str">
        <f t="shared" si="3"/>
        <v/>
      </c>
      <c r="I19" s="73"/>
      <c r="J19" s="74"/>
    </row>
    <row r="20" spans="1:10" s="95" customFormat="1" ht="59.25" customHeight="1" x14ac:dyDescent="0.2">
      <c r="A20" s="9"/>
      <c r="B20" s="75" t="s">
        <v>201</v>
      </c>
      <c r="C20" s="76"/>
      <c r="D20" s="76"/>
      <c r="E20" s="28">
        <v>3</v>
      </c>
      <c r="F20" s="41" t="s">
        <v>61</v>
      </c>
      <c r="G20" s="29" t="str">
        <f t="shared" si="2"/>
        <v/>
      </c>
      <c r="H20" s="30" t="str">
        <f t="shared" si="3"/>
        <v/>
      </c>
      <c r="I20" s="45"/>
      <c r="J20" s="46"/>
    </row>
    <row r="21" spans="1:10" s="95" customFormat="1" ht="39.950000000000003" customHeight="1" thickBot="1" x14ac:dyDescent="0.25">
      <c r="A21" s="9"/>
      <c r="B21" s="91" t="s">
        <v>202</v>
      </c>
      <c r="C21" s="92"/>
      <c r="D21" s="92"/>
      <c r="E21" s="34">
        <v>3</v>
      </c>
      <c r="F21" s="42" t="s">
        <v>61</v>
      </c>
      <c r="G21" s="35" t="str">
        <f t="shared" si="2"/>
        <v/>
      </c>
      <c r="H21" s="36" t="str">
        <f t="shared" si="3"/>
        <v/>
      </c>
      <c r="I21" s="93"/>
      <c r="J21" s="94"/>
    </row>
    <row r="22" spans="1:10" ht="30" customHeight="1" thickBot="1" x14ac:dyDescent="0.25">
      <c r="A22" s="4"/>
      <c r="B22" s="79" t="s">
        <v>5</v>
      </c>
      <c r="C22" s="80"/>
      <c r="D22" s="80"/>
      <c r="E22" s="40">
        <f>SUM(E10:E21)</f>
        <v>33</v>
      </c>
      <c r="F22" s="40">
        <f>SUM(F10:F16)</f>
        <v>0</v>
      </c>
      <c r="G22" s="49"/>
      <c r="H22" s="50"/>
      <c r="I22" s="50"/>
      <c r="J22" s="51"/>
    </row>
    <row r="23" spans="1:10" ht="30" customHeight="1" thickBot="1" x14ac:dyDescent="0.25">
      <c r="A23" s="4"/>
      <c r="B23" s="81" t="s">
        <v>54</v>
      </c>
      <c r="C23" s="82"/>
      <c r="D23" s="82"/>
      <c r="E23" s="52">
        <f>F22/E22/100*100</f>
        <v>0</v>
      </c>
      <c r="F23" s="52"/>
      <c r="G23" s="52"/>
      <c r="H23" s="52"/>
      <c r="I23" s="52"/>
      <c r="J23" s="53"/>
    </row>
    <row r="24" spans="1:10" ht="30" customHeight="1" thickBot="1" x14ac:dyDescent="0.25">
      <c r="A24" s="4"/>
      <c r="B24" s="81" t="s">
        <v>55</v>
      </c>
      <c r="C24" s="82"/>
      <c r="D24" s="82"/>
      <c r="E24" s="60" t="str">
        <f>_xlfn.IFS(E23&gt;=90%,"ممتاز",E23&gt;=80%,"جيد جداً",E23&gt;=70%,"جيد",E23&gt;=60%,"مقبول",E23&lt;60%,"راسب")</f>
        <v>راسب</v>
      </c>
      <c r="F24" s="60"/>
      <c r="G24" s="60"/>
      <c r="H24" s="60"/>
      <c r="I24" s="60"/>
      <c r="J24" s="61"/>
    </row>
    <row r="25" spans="1:10" ht="42" customHeight="1" x14ac:dyDescent="0.2">
      <c r="B25" s="83" t="s">
        <v>178</v>
      </c>
      <c r="C25" s="83"/>
      <c r="D25" s="83"/>
      <c r="E25" s="47" t="s">
        <v>52</v>
      </c>
      <c r="F25" s="47"/>
      <c r="G25" s="58" t="s">
        <v>59</v>
      </c>
      <c r="H25" s="58"/>
      <c r="I25" s="58"/>
      <c r="J25" s="58"/>
    </row>
    <row r="26" spans="1:10" ht="51" customHeight="1" x14ac:dyDescent="0.2">
      <c r="A26" s="5"/>
      <c r="B26" s="84"/>
      <c r="C26" s="84"/>
      <c r="D26" s="84"/>
      <c r="E26" s="48" t="s">
        <v>53</v>
      </c>
      <c r="F26" s="48"/>
      <c r="G26" s="59"/>
      <c r="H26" s="59"/>
      <c r="I26" s="59"/>
      <c r="J26" s="59"/>
    </row>
    <row r="27" spans="1:10" ht="15.75" x14ac:dyDescent="0.2">
      <c r="A27" s="24">
        <v>3</v>
      </c>
      <c r="B27" s="85" t="s">
        <v>175</v>
      </c>
      <c r="C27" s="86"/>
    </row>
    <row r="28" spans="1:10" ht="15.75" x14ac:dyDescent="0.2">
      <c r="A28" s="25">
        <v>2</v>
      </c>
      <c r="B28" s="87" t="s">
        <v>176</v>
      </c>
      <c r="C28" s="88"/>
    </row>
    <row r="29" spans="1:10" ht="15.75" x14ac:dyDescent="0.2">
      <c r="A29" s="26">
        <v>1</v>
      </c>
      <c r="B29" s="77" t="s">
        <v>177</v>
      </c>
      <c r="C29" s="7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16:D16"/>
    <mergeCell ref="B10:D10"/>
    <mergeCell ref="B11:D11"/>
    <mergeCell ref="B13:D13"/>
    <mergeCell ref="B14:D14"/>
    <mergeCell ref="B15:D15"/>
    <mergeCell ref="B17:D17"/>
    <mergeCell ref="B18:D18"/>
    <mergeCell ref="B19:D19"/>
    <mergeCell ref="B21:D21"/>
    <mergeCell ref="B5:C5"/>
    <mergeCell ref="E5:H5"/>
    <mergeCell ref="I5:J5"/>
    <mergeCell ref="B12:D12"/>
    <mergeCell ref="B29:C29"/>
    <mergeCell ref="B22:D22"/>
    <mergeCell ref="B23:D23"/>
    <mergeCell ref="B24:D24"/>
    <mergeCell ref="B25:D26"/>
    <mergeCell ref="B27:C27"/>
    <mergeCell ref="B28:C28"/>
    <mergeCell ref="G26:J26"/>
    <mergeCell ref="E24:J24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0:D20"/>
    <mergeCell ref="B2:J2"/>
    <mergeCell ref="I21:J21"/>
    <mergeCell ref="E25:F25"/>
    <mergeCell ref="E26:F26"/>
    <mergeCell ref="G22:J22"/>
    <mergeCell ref="E23:J23"/>
    <mergeCell ref="I17:J17"/>
    <mergeCell ref="I18:J18"/>
    <mergeCell ref="I19:J19"/>
    <mergeCell ref="I20:J20"/>
    <mergeCell ref="B9:D9"/>
    <mergeCell ref="I11:J11"/>
    <mergeCell ref="I9:J9"/>
    <mergeCell ref="I12:J12"/>
    <mergeCell ref="G25:J25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4">
    <cfRule type="expression" dxfId="37" priority="80">
      <formula>$E24="راسب"</formula>
    </cfRule>
  </conditionalFormatting>
  <conditionalFormatting sqref="E24:J24">
    <cfRule type="expression" dxfId="36" priority="81">
      <formula>$E24="مقبول"</formula>
    </cfRule>
    <cfRule type="expression" dxfId="35" priority="82">
      <formula>$E24="جيد"</formula>
    </cfRule>
    <cfRule type="expression" dxfId="34" priority="83">
      <formula>$E24="جيد جداً"</formula>
    </cfRule>
    <cfRule type="expression" dxfId="33" priority="84">
      <formula>$E24="ممتاز"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5:J25">
    <cfRule type="containsText" dxfId="29" priority="38" operator="containsText" text="أدخل اسم المحكم">
      <formula>NOT(ISERROR(SEARCH("أدخل اسم المحكم",G25)))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7:F21">
    <cfRule type="containsText" dxfId="20" priority="21" operator="containsText" text="أدخل العلامة">
      <formula>NOT(ISERROR(SEARCH("أدخل العلامة",F17)))</formula>
    </cfRule>
  </conditionalFormatting>
  <conditionalFormatting sqref="H17:H21">
    <cfRule type="containsText" dxfId="19" priority="15" operator="containsText" text="أدخل العلامة">
      <formula>NOT(ISERROR(SEARCH("أدخل العلامة",H17)))</formula>
    </cfRule>
    <cfRule type="containsText" dxfId="18" priority="16" operator="containsText" text="ممتاز">
      <formula>NOT(ISERROR(SEARCH("ممتاز",H17)))</formula>
    </cfRule>
    <cfRule type="containsText" dxfId="17" priority="17" operator="containsText" text="جيد جداً">
      <formula>NOT(ISERROR(SEARCH("جيد جداً",H17)))</formula>
    </cfRule>
    <cfRule type="containsText" dxfId="16" priority="18" operator="containsText" text="جيد">
      <formula>NOT(ISERROR(SEARCH("جيد",H17)))</formula>
    </cfRule>
    <cfRule type="containsText" dxfId="15" priority="19" operator="containsText" text="مقبول">
      <formula>NOT(ISERROR(SEARCH("مقبول",H17)))</formula>
    </cfRule>
    <cfRule type="containsText" dxfId="14" priority="20" operator="containsText" text="راسب">
      <formula>NOT(ISERROR(SEARCH("راسب",H17)))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G25:J25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F11:F21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2025-10-23T08:21:12Z</dcterms:modified>
</cp:coreProperties>
</file>