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3561024-D31F-455A-8694-818E223C33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F57" i="2"/>
  <c r="E57" i="2"/>
  <c r="E58" i="2"/>
  <c r="E59" i="2"/>
</calcChain>
</file>

<file path=xl/sharedStrings.xml><?xml version="1.0" encoding="utf-8"?>
<sst xmlns="http://schemas.openxmlformats.org/spreadsheetml/2006/main" count="286" uniqueCount="230">
  <si>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</si>
  <si>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</si>
  <si>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</si>
  <si>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</si>
  <si>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</si>
  <si>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</si>
  <si>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</si>
  <si>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</si>
  <si>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</si>
  <si>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</si>
  <si>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</si>
  <si>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</si>
  <si>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</si>
  <si>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</si>
  <si>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</si>
  <si>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</si>
  <si>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</si>
  <si>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</si>
  <si>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</si>
  <si>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</si>
  <si>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</si>
  <si>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</si>
  <si>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</si>
  <si>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</si>
  <si>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</si>
  <si>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</si>
  <si>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</si>
  <si>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</si>
  <si>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</si>
  <si>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</si>
  <si>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</si>
  <si>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</si>
  <si>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</si>
  <si>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</si>
  <si>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</si>
  <si>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</si>
  <si>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</si>
  <si>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</si>
  <si>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</si>
  <si>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</si>
  <si>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</si>
  <si>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</si>
  <si>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</si>
  <si>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</si>
  <si>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</si>
  <si>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</si>
  <si>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</si>
  <si>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</si>
  <si>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</si>
  <si>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</si>
  <si>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</si>
  <si>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</si>
  <si>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</si>
  <si>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</si>
  <si>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</si>
  <si>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</si>
  <si>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</si>
  <si>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</si>
  <si>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</si>
  <si>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</si>
  <si>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</si>
  <si>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</si>
  <si>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</si>
  <si>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</si>
  <si>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</si>
  <si>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</si>
  <si>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</si>
  <si>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</si>
  <si>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</si>
  <si>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</si>
  <si>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</si>
  <si>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</si>
  <si>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</si>
  <si>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</si>
  <si>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</si>
  <si>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</si>
  <si>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</si>
  <si>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</si>
  <si>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</si>
  <si>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</si>
  <si>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</si>
  <si>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</si>
  <si>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</si>
  <si>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</si>
  <si>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</si>
  <si>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</si>
  <si>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</si>
  <si>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</si>
  <si>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</si>
  <si>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</si>
  <si>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</si>
  <si>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</si>
  <si>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</si>
  <si>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</si>
  <si>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</si>
  <si>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</si>
  <si>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</si>
  <si>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</si>
  <si>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</si>
  <si>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</si>
  <si>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</si>
  <si>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</si>
  <si>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</si>
  <si>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</si>
  <si>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</si>
  <si>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</si>
  <si>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</si>
  <si>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</si>
  <si>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</si>
  <si>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</si>
  <si>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</si>
  <si>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</si>
  <si>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</si>
  <si>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</si>
  <si>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</si>
  <si>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</si>
  <si>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</si>
  <si>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</si>
  <si>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</si>
  <si>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</si>
  <si>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</si>
  <si>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</si>
  <si>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</si>
  <si>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</si>
  <si>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</si>
  <si>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</si>
  <si>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</si>
  <si>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</si>
  <si>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</si>
  <si>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</si>
  <si>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</si>
  <si>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</si>
  <si>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</si>
  <si>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</si>
  <si>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</si>
  <si>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</si>
  <si>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</si>
  <si>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</si>
  <si>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</si>
  <si>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</si>
  <si>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</si>
  <si>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</si>
  <si>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</si>
  <si>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</si>
  <si>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</si>
  <si>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</si>
  <si>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</si>
  <si>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</si>
  <si>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</si>
  <si>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</si>
  <si>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</si>
  <si>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</si>
  <si>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</si>
  <si>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</si>
  <si>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</si>
  <si>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</si>
  <si>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</si>
  <si>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</si>
  <si>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</si>
  <si>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</si>
  <si>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</si>
  <si>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</si>
  <si>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</si>
  <si>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</si>
  <si>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</si>
  <si>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</si>
  <si>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</si>
  <si>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</si>
  <si>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</si>
  <si>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</si>
  <si>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</si>
  <si>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</si>
  <si>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</si>
  <si>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</si>
  <si>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</si>
  <si>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</si>
  <si>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</si>
  <si>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</si>
  <si>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</si>
  <si>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</si>
  <si>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التجهيزات.</t>
    </r>
  </si>
  <si>
    <t>أ. تجهيز الآليات.</t>
  </si>
  <si>
    <t>ب. تجهيز أنظمة الآليات.</t>
  </si>
  <si>
    <t>جـ. تجهيز أجهزة الاتصال.</t>
  </si>
  <si>
    <t>د. تجهيز الأسلحة.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</si>
  <si>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معدات متفرقة.</t>
    </r>
  </si>
  <si>
    <t>أ. تفقد المناظير.</t>
  </si>
  <si>
    <t>ب. تفقد شبكة التمويه والتخفية وأنظمة الإسناد.</t>
  </si>
  <si>
    <t>جـ. تفقد أجهزة الرؤية الليلية.</t>
  </si>
  <si>
    <t>د. البطاريات موجودة وصالحة.</t>
  </si>
  <si>
    <t>هـ. توفر معدات التخييم.</t>
  </si>
  <si>
    <t>و. توفر أنظمة تحديد المواقع العالمية والأنظمة الرقمية الأخرى.</t>
  </si>
  <si>
    <t>ز. توفر قوائم التحميل.</t>
  </si>
  <si>
    <t>ح. خرائط الطرق (مع الشفافات).</t>
  </si>
  <si>
    <t>ط. توفر جميع المعدات في الآلية.</t>
  </si>
  <si>
    <t>ي. توفر السجلات وتحديثها.</t>
  </si>
  <si>
    <t>ك. توفر رخص القيادة العسكرية لدى جميع السائقين.</t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</si>
  <si>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معدات الاتصالات.</t>
    </r>
  </si>
  <si>
    <t>أ. الأجهزة اللاسلكية صالحة.</t>
  </si>
  <si>
    <t>ب. معدات الاتصالات الطبية متوفرة وصالحة.</t>
  </si>
  <si>
    <t>جـ. معدات الاتصالات متوفرة وشغالة وموضوعة على الترددات الصحيحة.</t>
  </si>
  <si>
    <t>د. الهوائيات مربوطة بطريقة صحيحة.</t>
  </si>
  <si>
    <t>هـ. الموصلات نظيفة وصالحة.</t>
  </si>
  <si>
    <t>و. الهواتف الميدانية موجودة وصالحة.</t>
  </si>
  <si>
    <t>ز. البطاريات موجودة وصالحة للاستخدام.</t>
  </si>
  <si>
    <t>ح. مجموعات الأجهزة اللاسلكية كاملة.</t>
  </si>
  <si>
    <t>ط. لوحات المفاتيح موجودة وصالحة.</t>
  </si>
  <si>
    <t>ي. أسلاك الاتصالات موجودة وصالحة.</t>
  </si>
  <si>
    <t>ك. تعليمات تشغيل الإشارة موجودة ومحمية.</t>
  </si>
  <si>
    <t>ل. الجنود يعرفون النداءات والترددات وكلمات التحدي السرية.</t>
  </si>
  <si>
    <r>
      <t>4.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الآليـــــات.</t>
    </r>
  </si>
  <si>
    <t>أ. أن تكون الحمولات وفقاً لخطة التحميل، وخطة التحميل ملصقة في الآلية.</t>
  </si>
  <si>
    <t>ب. المواد الخطيرة محددة بشكل صحيح ومخزّنة باتجاه مؤخرة العربة للوصول والتفتيش السهل.</t>
  </si>
  <si>
    <t>جـ. الذخيرة مصروفة ومخزنة بشكل صحيح.</t>
  </si>
  <si>
    <t>د. خزانات الوقود للآليات معبأة.</t>
  </si>
  <si>
    <t>هـ. رُزم الوقود والزيوت وزيت الأسلحة الخفيفة تكون موجودة ومتوفرة.</t>
  </si>
  <si>
    <t>و. مطرات المياه معبأة.</t>
  </si>
  <si>
    <t>ز. الوجبات الجاهزة مصروفة ومعبأة.</t>
  </si>
  <si>
    <t>ح. صناديق الإسعافات الأولية موجودة وكاملة.</t>
  </si>
  <si>
    <t>ط. دليل العمل وأوامر التزييت موجودة للآليات والأجهزة اللاسلكية والمعدات ذات العلاقة.</t>
  </si>
  <si>
    <t>ي. المعدات الأساسية داخل الآلية والمواد المصروفة الأساسية موجودة.</t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</si>
  <si>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الأسلحة الفردية.</t>
    </r>
  </si>
  <si>
    <t xml:space="preserve">أ. نظيفة وصالحة. </t>
  </si>
  <si>
    <t>ب. أدوات وعدة التنظيف، ومسامير التثبيت، ونتّاش ظرف الطلقات موجودة.</t>
  </si>
  <si>
    <t>جـ. بطاقات المدى موجودة.</t>
  </si>
  <si>
    <t>د. الذخيرة مصروفة ومعدودة ومحميّة.</t>
  </si>
  <si>
    <t>هـ. المخازن مصروفة.</t>
  </si>
  <si>
    <t>و. وصلة الطلقات الفارغة مركّبة.</t>
  </si>
  <si>
    <t>ز. اختبار "أنّ السلاح يعمل".</t>
  </si>
  <si>
    <t>التحضيرات وخطط التحميل القتالية لسرية الاستطلاع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</si>
</sst>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/>
    </xf>
    <xf numFmtId="0" fontId="12" fillId="0" borderId="3" xfId="0" applyFont="1" applyBorder="1" applyAlignment="1">
      <alignment horizontal="right" vertical="center" wrapText="1" indent="2"/>
    </xf>
    <xf numFmtId="0" fontId="12" fillId="0" borderId="11" xfId="0" applyFont="1" applyBorder="1" applyAlignment="1">
      <alignment horizontal="right" vertical="center" wrapText="1" indent="2"/>
    </xf>
    <xf numFmtId="0" fontId="12" fillId="0" borderId="12" xfId="0" applyFont="1" applyBorder="1" applyAlignment="1">
      <alignment horizontal="right" vertical="center" wrapText="1" indent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79352</xdr:colOff>
      <xdr:row>59</xdr:row>
      <xdr:rowOff>445480</xdr:rowOff>
    </xdr:from>
    <xdr:to>
      <xdr:col>9</xdr:col>
      <xdr:colOff>11281</xdr:colOff>
      <xdr:row>60</xdr:row>
      <xdr:rowOff>624668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2B4A2D4-0CE0-E780-1DEA-F919652512D4}"/>
                </a:ext>
              </a:extLst>
            </xdr14:cNvPr>
            <xdr14:cNvContentPartPr/>
          </xdr14:nvContentPartPr>
          <xdr14:nvPr macro=""/>
          <xdr14:xfrm>
            <a:off x="10398575538" y="23559480"/>
            <a:ext cx="1906200" cy="7102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2B4A2D4-0CE0-E780-1DEA-F919652512D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566538" y="23550480"/>
              <a:ext cx="1923840" cy="727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03:36:04.70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4697 338,'0'0,"0"0,0 0,-14 0,-2 16,13-14,-11 12,-16 2,25-14,-21 28,-21 52,41-72,-51 76,11 10,41-83,-20 70,-8 14,31-82,4 67,-2-18,0-54,16 44,31-22,-40-27,79-10,8 5,-80 0,65-16,14-32,-76 40,59 0,2-24,-66 27,39-6,12-21,-54 27,-4-6,11-5,-14 13,-34 22,29-18,-27 14,-63 17,81-28,-84 40,-60 4,133-41,-110 51,-54-10,162-41,-137 50,-38-9,167-40,-121 33,-3-9,134-28,-93 8,23-12,78 0,-64 0,2-16,65 13,-23-10,-28-3,54 13,-28-11,-10-18,40 27,-32-22,8-5,27 27,-38-38,9-38,28 68,-5-54,10-29,0 81,31-83,-1-47,-23 121,33-80,7 7,-38 80,45-79,-8 32,-39 53,33-42,6 5,-38 40,15-17,-6 9,-15 13,11 6,2-3,-13 0,12 16,-12-15,-20 15,3 16,13-27,-28 22,-16 53,38-68,-78 72,-7 30,81-97,-100 78,3 17,94-95,-124 79,-18 17,136-98,-114 66,-5 0,121-69,-102 24,28-4,81-27,-69 6,20 5,51-13,-43-6,6 3,42 0,-20 0,-8-16,31 14,-26-12,11-2,17 14,-30-12,14-18,16 27,-15-39,0-4,12 40,21-64,-3 8,-13 53,28-59,-16 5,-12 55,29-44,-1-10,-23 54,17-12,8-26,-27 40,21-16,4 8,-23 13,2-10,8 13,-15 0,26-16,-12 16,-13 0,9 0,3 16,-12-14,11 12,-14 2,0-14,0 28,-17 18,15-41,-42 50,-3 7,40-54,-63 61,-39 42,92-96,-107 62,-32 34,133-96,-124 78,-23 18,141-96,-129 62,2 2,130-68,-88 38,-10-3,103-40,-51 16,-7 8,67-27,-37 6,17 5,27-13,-21-6,9 3,17 0,-14 16,13-13,-14-6,15 19,0-13,16-6,46 3,-51 0,71 0,57-16,-117 14,96-12,69-34,-157 41,143-50,44-39,-182 81,133-83,49-47,-182 123,117-117,4-21,-133 135,124-112,26-39,-148 150,90-109,24-10,-117 124,50-70,-11 26,-50 54,41-42,-22 5,-23 40,19 0,-26-8,0 13,14 6,-5-3,-18-17,25 17,-13 0,-22 33,5-1,12-27,-29 70,-16 70,40-123,-32 100,-22 56,52-149,-45 134,8 31,38-163,-31 147,-24 63,54-205,-13 137,6 21,16-161,-14 62,14-95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1"/>
  <sheetViews>
    <sheetView rightToLeft="1" tabSelected="1" view="pageBreakPreview" topLeftCell="A52" zoomScale="130" zoomScaleNormal="100" zoomScaleSheetLayoutView="130" workbookViewId="0">
      <selection activeCell="F3" sqref="F3:J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9" t="s">
        <v>229</v>
      </c>
      <c r="C1" s="39"/>
      <c r="D1" s="39"/>
      <c r="E1" s="39"/>
      <c r="F1" s="39"/>
      <c r="G1" s="39"/>
      <c r="H1" s="39"/>
      <c r="I1" s="39"/>
      <c r="J1" s="39"/>
    </row>
    <row r="2" spans="1:10" ht="30" customHeight="1" x14ac:dyDescent="0.3">
      <c r="B2" s="11" t="s">
        <v>8</v>
      </c>
      <c r="C2" s="45" t="s">
        <v>10</v>
      </c>
      <c r="D2" s="45"/>
      <c r="E2" s="11" t="s">
        <v>7</v>
      </c>
      <c r="F2" s="40">
        <v>45929</v>
      </c>
      <c r="G2" s="40"/>
      <c r="H2" s="40"/>
      <c r="I2" s="40"/>
      <c r="J2" s="40"/>
    </row>
    <row r="3" spans="1:10" ht="30" customHeight="1" x14ac:dyDescent="0.3">
      <c r="B3" s="11" t="s">
        <v>9</v>
      </c>
      <c r="C3" s="45" t="s">
        <v>65</v>
      </c>
      <c r="D3" s="45"/>
      <c r="E3" s="11" t="s">
        <v>6</v>
      </c>
      <c r="F3" s="45" t="s">
        <v>113</v>
      </c>
      <c r="G3" s="45"/>
      <c r="H3" s="45"/>
      <c r="I3" s="45"/>
      <c r="J3" s="4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41" t="s">
        <v>0</v>
      </c>
      <c r="C5" s="42"/>
      <c r="D5" s="42"/>
      <c r="E5" s="54" t="s">
        <v>1</v>
      </c>
      <c r="F5" s="54"/>
      <c r="G5" s="54"/>
      <c r="H5" s="54"/>
      <c r="I5" s="54" t="s">
        <v>2</v>
      </c>
      <c r="J5" s="57"/>
    </row>
    <row r="6" spans="1:10" ht="24.9" customHeight="1" thickBot="1" x14ac:dyDescent="0.35">
      <c r="A6" s="9"/>
      <c r="B6" s="43"/>
      <c r="C6" s="44"/>
      <c r="D6" s="44"/>
      <c r="E6" s="10" t="s">
        <v>3</v>
      </c>
      <c r="F6" s="10" t="s">
        <v>4</v>
      </c>
      <c r="G6" s="10" t="s">
        <v>23</v>
      </c>
      <c r="H6" s="10" t="s">
        <v>24</v>
      </c>
      <c r="I6" s="58"/>
      <c r="J6" s="59"/>
    </row>
    <row r="7" spans="1:10" ht="24.9" customHeight="1" thickBot="1" x14ac:dyDescent="0.35">
      <c r="A7" s="9"/>
      <c r="B7" s="48" t="s">
        <v>21</v>
      </c>
      <c r="C7" s="49"/>
      <c r="D7" s="49"/>
      <c r="E7" s="27" t="s">
        <v>18</v>
      </c>
      <c r="F7" s="27" t="s">
        <v>19</v>
      </c>
      <c r="G7" s="27" t="s">
        <v>22</v>
      </c>
      <c r="H7" s="27" t="s">
        <v>20</v>
      </c>
      <c r="I7" s="60" t="s">
        <v>25</v>
      </c>
      <c r="J7" s="61"/>
    </row>
    <row r="8" spans="1:10" ht="30" customHeight="1" x14ac:dyDescent="0.3">
      <c r="A8" s="9"/>
      <c r="B8" s="77" t="s">
        <v>180</v>
      </c>
      <c r="C8" s="78"/>
      <c r="D8" s="78"/>
      <c r="E8" s="32"/>
      <c r="F8" s="33"/>
      <c r="G8" s="34"/>
      <c r="H8" s="35"/>
      <c r="I8" s="50"/>
      <c r="J8" s="51"/>
    </row>
    <row r="9" spans="1:10" ht="30" customHeight="1" x14ac:dyDescent="0.3">
      <c r="A9" s="9"/>
      <c r="B9" s="79" t="s">
        <v>181</v>
      </c>
      <c r="C9" s="80"/>
      <c r="D9" s="80"/>
      <c r="E9" s="29">
        <v>5</v>
      </c>
      <c r="F9" s="25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2"/>
      <c r="J9" s="53"/>
    </row>
    <row r="10" spans="1:10" ht="30" customHeight="1" x14ac:dyDescent="0.3">
      <c r="A10" s="9"/>
      <c r="B10" s="79" t="s">
        <v>182</v>
      </c>
      <c r="C10" s="80"/>
      <c r="D10" s="80"/>
      <c r="E10" s="29">
        <v>5</v>
      </c>
      <c r="F10" s="25">
        <v>3.75</v>
      </c>
      <c r="G10" s="30">
        <f t="shared" ref="G10:G56" si="0">IFERROR(F10/E10,"")</f>
        <v>0.75</v>
      </c>
      <c r="H10" s="31" t="str">
        <f t="shared" ref="H10:H56" si="1">_xlfn.IFS(F10="أدخل العلامة","",F10="لا ينطبق","تم الإلغاء",G10&gt;=90%,"ممتاز",G10&gt;=80%,"جيد جداً",G10&gt;=70%,"جيد",G10&gt;=60%,"مقبول",G10&lt;60%,"راسب")</f>
        <v>جيد</v>
      </c>
      <c r="I10" s="52"/>
      <c r="J10" s="53"/>
    </row>
    <row r="11" spans="1:10" ht="30" customHeight="1" x14ac:dyDescent="0.3">
      <c r="A11" s="9"/>
      <c r="B11" s="79" t="s">
        <v>183</v>
      </c>
      <c r="C11" s="80"/>
      <c r="D11" s="80"/>
      <c r="E11" s="29">
        <v>5</v>
      </c>
      <c r="F11" s="25">
        <v>3.75</v>
      </c>
      <c r="G11" s="30">
        <f t="shared" si="0"/>
        <v>0.75</v>
      </c>
      <c r="H11" s="31" t="str">
        <f t="shared" si="1"/>
        <v>جيد</v>
      </c>
      <c r="I11" s="52"/>
      <c r="J11" s="53"/>
    </row>
    <row r="12" spans="1:10" ht="30" customHeight="1" thickBot="1" x14ac:dyDescent="0.35">
      <c r="A12" s="9"/>
      <c r="B12" s="81" t="s">
        <v>184</v>
      </c>
      <c r="C12" s="82"/>
      <c r="D12" s="82"/>
      <c r="E12" s="36">
        <v>5</v>
      </c>
      <c r="F12" s="26">
        <v>3.75</v>
      </c>
      <c r="G12" s="37">
        <f t="shared" si="0"/>
        <v>0.75</v>
      </c>
      <c r="H12" s="38" t="str">
        <f t="shared" si="1"/>
        <v>جيد</v>
      </c>
      <c r="I12" s="55"/>
      <c r="J12" s="56"/>
    </row>
    <row r="13" spans="1:10" ht="30" customHeight="1" x14ac:dyDescent="0.3">
      <c r="A13" s="9"/>
      <c r="B13" s="77" t="s">
        <v>185</v>
      </c>
      <c r="C13" s="78"/>
      <c r="D13" s="78"/>
      <c r="E13" s="32"/>
      <c r="F13" s="33"/>
      <c r="G13" s="34"/>
      <c r="H13" s="35"/>
      <c r="I13" s="50"/>
      <c r="J13" s="51"/>
    </row>
    <row r="14" spans="1:10" ht="30" customHeight="1" x14ac:dyDescent="0.3">
      <c r="A14" s="9"/>
      <c r="B14" s="79" t="s">
        <v>186</v>
      </c>
      <c r="C14" s="80"/>
      <c r="D14" s="80"/>
      <c r="E14" s="29">
        <v>5</v>
      </c>
      <c r="F14" s="25">
        <v>3.75</v>
      </c>
      <c r="G14" s="30">
        <f t="shared" si="0"/>
        <v>0.75</v>
      </c>
      <c r="H14" s="31" t="str">
        <f t="shared" si="1"/>
        <v>جيد</v>
      </c>
      <c r="I14" s="52"/>
      <c r="J14" s="53"/>
    </row>
    <row r="15" spans="1:10" ht="30" customHeight="1" x14ac:dyDescent="0.3">
      <c r="A15" s="9"/>
      <c r="B15" s="79" t="s">
        <v>187</v>
      </c>
      <c r="C15" s="80"/>
      <c r="D15" s="80"/>
      <c r="E15" s="29">
        <v>5</v>
      </c>
      <c r="F15" s="25">
        <v>3.75</v>
      </c>
      <c r="G15" s="30">
        <f t="shared" si="0"/>
        <v>0.75</v>
      </c>
      <c r="H15" s="31" t="str">
        <f t="shared" si="1"/>
        <v>جيد</v>
      </c>
      <c r="I15" s="52"/>
      <c r="J15" s="53"/>
    </row>
    <row r="16" spans="1:10" ht="30" customHeight="1" x14ac:dyDescent="0.3">
      <c r="A16" s="9"/>
      <c r="B16" s="79" t="s">
        <v>188</v>
      </c>
      <c r="C16" s="80"/>
      <c r="D16" s="80"/>
      <c r="E16" s="29">
        <v>5</v>
      </c>
      <c r="F16" s="25">
        <v>3.75</v>
      </c>
      <c r="G16" s="30">
        <f t="shared" si="0"/>
        <v>0.75</v>
      </c>
      <c r="H16" s="31" t="str">
        <f t="shared" si="1"/>
        <v>جيد</v>
      </c>
      <c r="I16" s="52"/>
      <c r="J16" s="53"/>
    </row>
    <row r="17" spans="1:10" ht="30" customHeight="1" x14ac:dyDescent="0.3">
      <c r="A17" s="9"/>
      <c r="B17" s="79" t="s">
        <v>189</v>
      </c>
      <c r="C17" s="80"/>
      <c r="D17" s="80"/>
      <c r="E17" s="29">
        <v>5</v>
      </c>
      <c r="F17" s="25">
        <v>3.75</v>
      </c>
      <c r="G17" s="30">
        <f t="shared" si="0"/>
        <v>0.75</v>
      </c>
      <c r="H17" s="31" t="str">
        <f t="shared" si="1"/>
        <v>جيد</v>
      </c>
      <c r="I17" s="52"/>
      <c r="J17" s="53"/>
    </row>
    <row r="18" spans="1:10" ht="30" customHeight="1" x14ac:dyDescent="0.3">
      <c r="A18" s="9"/>
      <c r="B18" s="79" t="s">
        <v>190</v>
      </c>
      <c r="C18" s="80"/>
      <c r="D18" s="80"/>
      <c r="E18" s="29">
        <v>5</v>
      </c>
      <c r="F18" s="25">
        <v>3.75</v>
      </c>
      <c r="G18" s="30">
        <f t="shared" si="0"/>
        <v>0.75</v>
      </c>
      <c r="H18" s="31" t="str">
        <f t="shared" si="1"/>
        <v>جيد</v>
      </c>
      <c r="I18" s="52"/>
      <c r="J18" s="53"/>
    </row>
    <row r="19" spans="1:10" ht="30" customHeight="1" x14ac:dyDescent="0.3">
      <c r="A19" s="9"/>
      <c r="B19" s="79" t="s">
        <v>191</v>
      </c>
      <c r="C19" s="80"/>
      <c r="D19" s="80"/>
      <c r="E19" s="29">
        <v>5</v>
      </c>
      <c r="F19" s="25">
        <v>3.75</v>
      </c>
      <c r="G19" s="30">
        <f t="shared" si="0"/>
        <v>0.75</v>
      </c>
      <c r="H19" s="31" t="str">
        <f t="shared" si="1"/>
        <v>جيد</v>
      </c>
      <c r="I19" s="52"/>
      <c r="J19" s="53"/>
    </row>
    <row r="20" spans="1:10" ht="30" customHeight="1" x14ac:dyDescent="0.3">
      <c r="A20" s="9"/>
      <c r="B20" s="79" t="s">
        <v>192</v>
      </c>
      <c r="C20" s="80"/>
      <c r="D20" s="80"/>
      <c r="E20" s="29">
        <v>5</v>
      </c>
      <c r="F20" s="25">
        <v>3.75</v>
      </c>
      <c r="G20" s="30">
        <f t="shared" si="0"/>
        <v>0.75</v>
      </c>
      <c r="H20" s="31" t="str">
        <f t="shared" si="1"/>
        <v>جيد</v>
      </c>
      <c r="I20" s="52"/>
      <c r="J20" s="53"/>
    </row>
    <row r="21" spans="1:10" ht="30" customHeight="1" x14ac:dyDescent="0.3">
      <c r="A21" s="9"/>
      <c r="B21" s="79" t="s">
        <v>193</v>
      </c>
      <c r="C21" s="80"/>
      <c r="D21" s="80"/>
      <c r="E21" s="29">
        <v>5</v>
      </c>
      <c r="F21" s="25">
        <v>3.75</v>
      </c>
      <c r="G21" s="30">
        <f t="shared" si="0"/>
        <v>0.75</v>
      </c>
      <c r="H21" s="31" t="str">
        <f t="shared" si="1"/>
        <v>جيد</v>
      </c>
      <c r="I21" s="52"/>
      <c r="J21" s="53"/>
    </row>
    <row r="22" spans="1:10" ht="30" customHeight="1" x14ac:dyDescent="0.3">
      <c r="A22" s="9"/>
      <c r="B22" s="79" t="s">
        <v>194</v>
      </c>
      <c r="C22" s="80"/>
      <c r="D22" s="80"/>
      <c r="E22" s="29">
        <v>5</v>
      </c>
      <c r="F22" s="25">
        <v>3.75</v>
      </c>
      <c r="G22" s="30">
        <f t="shared" si="0"/>
        <v>0.75</v>
      </c>
      <c r="H22" s="31" t="str">
        <f t="shared" si="1"/>
        <v>جيد</v>
      </c>
      <c r="I22" s="52"/>
      <c r="J22" s="53"/>
    </row>
    <row r="23" spans="1:10" ht="30" customHeight="1" x14ac:dyDescent="0.3">
      <c r="A23" s="9"/>
      <c r="B23" s="79" t="s">
        <v>195</v>
      </c>
      <c r="C23" s="80"/>
      <c r="D23" s="80"/>
      <c r="E23" s="29">
        <v>5</v>
      </c>
      <c r="F23" s="25">
        <v>3.75</v>
      </c>
      <c r="G23" s="30">
        <f t="shared" si="0"/>
        <v>0.75</v>
      </c>
      <c r="H23" s="31" t="str">
        <f t="shared" si="1"/>
        <v>جيد</v>
      </c>
      <c r="I23" s="52"/>
      <c r="J23" s="53"/>
    </row>
    <row r="24" spans="1:10" ht="30" customHeight="1" thickBot="1" x14ac:dyDescent="0.35">
      <c r="A24" s="9"/>
      <c r="B24" s="81" t="s">
        <v>196</v>
      </c>
      <c r="C24" s="82"/>
      <c r="D24" s="82"/>
      <c r="E24" s="36">
        <v>5</v>
      </c>
      <c r="F24" s="26">
        <v>3.75</v>
      </c>
      <c r="G24" s="37">
        <f t="shared" si="0"/>
        <v>0.75</v>
      </c>
      <c r="H24" s="38" t="str">
        <f t="shared" si="1"/>
        <v>جيد</v>
      </c>
      <c r="I24" s="55"/>
      <c r="J24" s="56"/>
    </row>
    <row r="25" spans="1:10" ht="30" customHeight="1" x14ac:dyDescent="0.3">
      <c r="A25" s="9"/>
      <c r="B25" s="77" t="s">
        <v>197</v>
      </c>
      <c r="C25" s="78"/>
      <c r="D25" s="78"/>
      <c r="E25" s="32"/>
      <c r="F25" s="33"/>
      <c r="G25" s="34"/>
      <c r="H25" s="35"/>
      <c r="I25" s="50"/>
      <c r="J25" s="51"/>
    </row>
    <row r="26" spans="1:10" ht="30" customHeight="1" x14ac:dyDescent="0.3">
      <c r="A26" s="9"/>
      <c r="B26" s="79" t="s">
        <v>198</v>
      </c>
      <c r="C26" s="80"/>
      <c r="D26" s="80"/>
      <c r="E26" s="29">
        <v>5</v>
      </c>
      <c r="F26" s="25">
        <v>3.75</v>
      </c>
      <c r="G26" s="30">
        <f t="shared" si="0"/>
        <v>0.75</v>
      </c>
      <c r="H26" s="31" t="str">
        <f t="shared" si="1"/>
        <v>جيد</v>
      </c>
      <c r="I26" s="52"/>
      <c r="J26" s="53"/>
    </row>
    <row r="27" spans="1:10" ht="30" customHeight="1" x14ac:dyDescent="0.3">
      <c r="A27" s="9"/>
      <c r="B27" s="79" t="s">
        <v>199</v>
      </c>
      <c r="C27" s="80"/>
      <c r="D27" s="80"/>
      <c r="E27" s="29">
        <v>5</v>
      </c>
      <c r="F27" s="25">
        <v>3.75</v>
      </c>
      <c r="G27" s="30">
        <f t="shared" si="0"/>
        <v>0.75</v>
      </c>
      <c r="H27" s="31" t="str">
        <f t="shared" si="1"/>
        <v>جيد</v>
      </c>
      <c r="I27" s="52"/>
      <c r="J27" s="53"/>
    </row>
    <row r="28" spans="1:10" ht="39.9" customHeight="1" x14ac:dyDescent="0.3">
      <c r="A28" s="9"/>
      <c r="B28" s="79" t="s">
        <v>200</v>
      </c>
      <c r="C28" s="80"/>
      <c r="D28" s="80"/>
      <c r="E28" s="29">
        <v>5</v>
      </c>
      <c r="F28" s="25">
        <v>3.75</v>
      </c>
      <c r="G28" s="30">
        <f t="shared" si="0"/>
        <v>0.75</v>
      </c>
      <c r="H28" s="31" t="str">
        <f t="shared" si="1"/>
        <v>جيد</v>
      </c>
      <c r="I28" s="52"/>
      <c r="J28" s="53"/>
    </row>
    <row r="29" spans="1:10" ht="30" customHeight="1" x14ac:dyDescent="0.3">
      <c r="A29" s="9"/>
      <c r="B29" s="79" t="s">
        <v>201</v>
      </c>
      <c r="C29" s="80"/>
      <c r="D29" s="80"/>
      <c r="E29" s="29">
        <v>5</v>
      </c>
      <c r="F29" s="25">
        <v>3.75</v>
      </c>
      <c r="G29" s="30">
        <f t="shared" si="0"/>
        <v>0.75</v>
      </c>
      <c r="H29" s="31" t="str">
        <f t="shared" si="1"/>
        <v>جيد</v>
      </c>
      <c r="I29" s="52"/>
      <c r="J29" s="53"/>
    </row>
    <row r="30" spans="1:10" ht="30" customHeight="1" x14ac:dyDescent="0.3">
      <c r="A30" s="9"/>
      <c r="B30" s="79" t="s">
        <v>202</v>
      </c>
      <c r="C30" s="80"/>
      <c r="D30" s="80"/>
      <c r="E30" s="29">
        <v>5</v>
      </c>
      <c r="F30" s="25">
        <v>3.75</v>
      </c>
      <c r="G30" s="30">
        <f t="shared" si="0"/>
        <v>0.75</v>
      </c>
      <c r="H30" s="31" t="str">
        <f t="shared" si="1"/>
        <v>جيد</v>
      </c>
      <c r="I30" s="52"/>
      <c r="J30" s="53"/>
    </row>
    <row r="31" spans="1:10" ht="30" customHeight="1" x14ac:dyDescent="0.3">
      <c r="A31" s="9"/>
      <c r="B31" s="79" t="s">
        <v>203</v>
      </c>
      <c r="C31" s="80"/>
      <c r="D31" s="80"/>
      <c r="E31" s="29">
        <v>5</v>
      </c>
      <c r="F31" s="25">
        <v>3.75</v>
      </c>
      <c r="G31" s="30">
        <f t="shared" si="0"/>
        <v>0.75</v>
      </c>
      <c r="H31" s="31" t="str">
        <f t="shared" si="1"/>
        <v>جيد</v>
      </c>
      <c r="I31" s="52"/>
      <c r="J31" s="53"/>
    </row>
    <row r="32" spans="1:10" ht="30" customHeight="1" x14ac:dyDescent="0.3">
      <c r="A32" s="9"/>
      <c r="B32" s="79" t="s">
        <v>204</v>
      </c>
      <c r="C32" s="80"/>
      <c r="D32" s="80"/>
      <c r="E32" s="29">
        <v>5</v>
      </c>
      <c r="F32" s="25">
        <v>3.75</v>
      </c>
      <c r="G32" s="30">
        <f t="shared" si="0"/>
        <v>0.75</v>
      </c>
      <c r="H32" s="31" t="str">
        <f t="shared" si="1"/>
        <v>جيد</v>
      </c>
      <c r="I32" s="52"/>
      <c r="J32" s="53"/>
    </row>
    <row r="33" spans="1:10" ht="30" customHeight="1" x14ac:dyDescent="0.3">
      <c r="A33" s="9"/>
      <c r="B33" s="79" t="s">
        <v>205</v>
      </c>
      <c r="C33" s="80"/>
      <c r="D33" s="80"/>
      <c r="E33" s="29">
        <v>5</v>
      </c>
      <c r="F33" s="25">
        <v>3.75</v>
      </c>
      <c r="G33" s="30">
        <f t="shared" si="0"/>
        <v>0.75</v>
      </c>
      <c r="H33" s="31" t="str">
        <f t="shared" si="1"/>
        <v>جيد</v>
      </c>
      <c r="I33" s="52"/>
      <c r="J33" s="53"/>
    </row>
    <row r="34" spans="1:10" ht="30" customHeight="1" x14ac:dyDescent="0.3">
      <c r="A34" s="9"/>
      <c r="B34" s="79" t="s">
        <v>206</v>
      </c>
      <c r="C34" s="80"/>
      <c r="D34" s="80"/>
      <c r="E34" s="29">
        <v>5</v>
      </c>
      <c r="F34" s="25">
        <v>3.75</v>
      </c>
      <c r="G34" s="30">
        <f t="shared" si="0"/>
        <v>0.75</v>
      </c>
      <c r="H34" s="31" t="str">
        <f t="shared" si="1"/>
        <v>جيد</v>
      </c>
      <c r="I34" s="52"/>
      <c r="J34" s="53"/>
    </row>
    <row r="35" spans="1:10" ht="30" customHeight="1" x14ac:dyDescent="0.3">
      <c r="A35" s="9"/>
      <c r="B35" s="79" t="s">
        <v>207</v>
      </c>
      <c r="C35" s="80"/>
      <c r="D35" s="80"/>
      <c r="E35" s="29">
        <v>5</v>
      </c>
      <c r="F35" s="25">
        <v>3.75</v>
      </c>
      <c r="G35" s="30">
        <f t="shared" si="0"/>
        <v>0.75</v>
      </c>
      <c r="H35" s="31" t="str">
        <f t="shared" si="1"/>
        <v>جيد</v>
      </c>
      <c r="I35" s="52"/>
      <c r="J35" s="53"/>
    </row>
    <row r="36" spans="1:10" ht="30" customHeight="1" x14ac:dyDescent="0.3">
      <c r="A36" s="9"/>
      <c r="B36" s="79" t="s">
        <v>208</v>
      </c>
      <c r="C36" s="80"/>
      <c r="D36" s="80"/>
      <c r="E36" s="29">
        <v>5</v>
      </c>
      <c r="F36" s="25">
        <v>3.75</v>
      </c>
      <c r="G36" s="30">
        <f t="shared" si="0"/>
        <v>0.75</v>
      </c>
      <c r="H36" s="31" t="str">
        <f t="shared" si="1"/>
        <v>جيد</v>
      </c>
      <c r="I36" s="52"/>
      <c r="J36" s="53"/>
    </row>
    <row r="37" spans="1:10" ht="30" customHeight="1" thickBot="1" x14ac:dyDescent="0.35">
      <c r="A37" s="9"/>
      <c r="B37" s="81" t="s">
        <v>209</v>
      </c>
      <c r="C37" s="82"/>
      <c r="D37" s="82"/>
      <c r="E37" s="36">
        <v>5</v>
      </c>
      <c r="F37" s="26">
        <v>3.75</v>
      </c>
      <c r="G37" s="37">
        <f t="shared" si="0"/>
        <v>0.75</v>
      </c>
      <c r="H37" s="38" t="str">
        <f t="shared" si="1"/>
        <v>جيد</v>
      </c>
      <c r="I37" s="55"/>
      <c r="J37" s="56"/>
    </row>
    <row r="38" spans="1:10" ht="30" customHeight="1" x14ac:dyDescent="0.3">
      <c r="A38" s="9"/>
      <c r="B38" s="77" t="s">
        <v>210</v>
      </c>
      <c r="C38" s="78"/>
      <c r="D38" s="78"/>
      <c r="E38" s="32"/>
      <c r="F38" s="33"/>
      <c r="G38" s="34"/>
      <c r="H38" s="35"/>
      <c r="I38" s="50"/>
      <c r="J38" s="51"/>
    </row>
    <row r="39" spans="1:10" ht="39.9" customHeight="1" x14ac:dyDescent="0.3">
      <c r="A39" s="9"/>
      <c r="B39" s="79" t="s">
        <v>211</v>
      </c>
      <c r="C39" s="80"/>
      <c r="D39" s="80"/>
      <c r="E39" s="29">
        <v>5</v>
      </c>
      <c r="F39" s="25">
        <v>3.75</v>
      </c>
      <c r="G39" s="30">
        <f t="shared" si="0"/>
        <v>0.75</v>
      </c>
      <c r="H39" s="31" t="str">
        <f t="shared" si="1"/>
        <v>جيد</v>
      </c>
      <c r="I39" s="52"/>
      <c r="J39" s="53"/>
    </row>
    <row r="40" spans="1:10" ht="39.9" customHeight="1" x14ac:dyDescent="0.3">
      <c r="A40" s="9"/>
      <c r="B40" s="79" t="s">
        <v>212</v>
      </c>
      <c r="C40" s="80"/>
      <c r="D40" s="80"/>
      <c r="E40" s="29">
        <v>5</v>
      </c>
      <c r="F40" s="25">
        <v>3.75</v>
      </c>
      <c r="G40" s="30">
        <f t="shared" si="0"/>
        <v>0.75</v>
      </c>
      <c r="H40" s="31" t="str">
        <f t="shared" si="1"/>
        <v>جيد</v>
      </c>
      <c r="I40" s="52"/>
      <c r="J40" s="53"/>
    </row>
    <row r="41" spans="1:10" ht="30" customHeight="1" x14ac:dyDescent="0.3">
      <c r="A41" s="9"/>
      <c r="B41" s="79" t="s">
        <v>213</v>
      </c>
      <c r="C41" s="80"/>
      <c r="D41" s="80"/>
      <c r="E41" s="29">
        <v>5</v>
      </c>
      <c r="F41" s="25">
        <v>3.75</v>
      </c>
      <c r="G41" s="30">
        <f t="shared" si="0"/>
        <v>0.75</v>
      </c>
      <c r="H41" s="31" t="str">
        <f t="shared" si="1"/>
        <v>جيد</v>
      </c>
      <c r="I41" s="52"/>
      <c r="J41" s="53"/>
    </row>
    <row r="42" spans="1:10" ht="30" customHeight="1" x14ac:dyDescent="0.3">
      <c r="A42" s="9"/>
      <c r="B42" s="79" t="s">
        <v>214</v>
      </c>
      <c r="C42" s="80"/>
      <c r="D42" s="80"/>
      <c r="E42" s="29">
        <v>5</v>
      </c>
      <c r="F42" s="25">
        <v>3.75</v>
      </c>
      <c r="G42" s="30">
        <f t="shared" si="0"/>
        <v>0.75</v>
      </c>
      <c r="H42" s="31" t="str">
        <f t="shared" si="1"/>
        <v>جيد</v>
      </c>
      <c r="I42" s="52"/>
      <c r="J42" s="53"/>
    </row>
    <row r="43" spans="1:10" ht="30" customHeight="1" x14ac:dyDescent="0.3">
      <c r="A43" s="9"/>
      <c r="B43" s="79" t="s">
        <v>215</v>
      </c>
      <c r="C43" s="80"/>
      <c r="D43" s="80"/>
      <c r="E43" s="29">
        <v>5</v>
      </c>
      <c r="F43" s="25">
        <v>3.75</v>
      </c>
      <c r="G43" s="30">
        <f t="shared" si="0"/>
        <v>0.75</v>
      </c>
      <c r="H43" s="31" t="str">
        <f t="shared" si="1"/>
        <v>جيد</v>
      </c>
      <c r="I43" s="52"/>
      <c r="J43" s="53"/>
    </row>
    <row r="44" spans="1:10" ht="30" customHeight="1" x14ac:dyDescent="0.3">
      <c r="A44" s="9"/>
      <c r="B44" s="79" t="s">
        <v>216</v>
      </c>
      <c r="C44" s="80"/>
      <c r="D44" s="80"/>
      <c r="E44" s="29">
        <v>5</v>
      </c>
      <c r="F44" s="25">
        <v>3.75</v>
      </c>
      <c r="G44" s="30">
        <f t="shared" si="0"/>
        <v>0.75</v>
      </c>
      <c r="H44" s="31" t="str">
        <f t="shared" si="1"/>
        <v>جيد</v>
      </c>
      <c r="I44" s="52"/>
      <c r="J44" s="53"/>
    </row>
    <row r="45" spans="1:10" ht="30" customHeight="1" x14ac:dyDescent="0.3">
      <c r="A45" s="9"/>
      <c r="B45" s="79" t="s">
        <v>217</v>
      </c>
      <c r="C45" s="80"/>
      <c r="D45" s="80"/>
      <c r="E45" s="29">
        <v>5</v>
      </c>
      <c r="F45" s="25">
        <v>3.75</v>
      </c>
      <c r="G45" s="30">
        <f t="shared" si="0"/>
        <v>0.75</v>
      </c>
      <c r="H45" s="31" t="str">
        <f t="shared" si="1"/>
        <v>جيد</v>
      </c>
      <c r="I45" s="52"/>
      <c r="J45" s="53"/>
    </row>
    <row r="46" spans="1:10" ht="30" customHeight="1" x14ac:dyDescent="0.3">
      <c r="A46" s="9"/>
      <c r="B46" s="79" t="s">
        <v>218</v>
      </c>
      <c r="C46" s="80"/>
      <c r="D46" s="80"/>
      <c r="E46" s="29">
        <v>5</v>
      </c>
      <c r="F46" s="25">
        <v>3.75</v>
      </c>
      <c r="G46" s="30">
        <f t="shared" si="0"/>
        <v>0.75</v>
      </c>
      <c r="H46" s="31" t="str">
        <f t="shared" si="1"/>
        <v>جيد</v>
      </c>
      <c r="I46" s="52"/>
      <c r="J46" s="53"/>
    </row>
    <row r="47" spans="1:10" ht="39.9" customHeight="1" x14ac:dyDescent="0.3">
      <c r="A47" s="9"/>
      <c r="B47" s="79" t="s">
        <v>219</v>
      </c>
      <c r="C47" s="80"/>
      <c r="D47" s="80"/>
      <c r="E47" s="29">
        <v>5</v>
      </c>
      <c r="F47" s="25">
        <v>3.75</v>
      </c>
      <c r="G47" s="30">
        <f t="shared" si="0"/>
        <v>0.75</v>
      </c>
      <c r="H47" s="31" t="str">
        <f t="shared" si="1"/>
        <v>جيد</v>
      </c>
      <c r="I47" s="52"/>
      <c r="J47" s="53"/>
    </row>
    <row r="48" spans="1:10" ht="30" customHeight="1" thickBot="1" x14ac:dyDescent="0.35">
      <c r="A48" s="9"/>
      <c r="B48" s="81" t="s">
        <v>220</v>
      </c>
      <c r="C48" s="82"/>
      <c r="D48" s="82"/>
      <c r="E48" s="36">
        <v>5</v>
      </c>
      <c r="F48" s="26">
        <v>3.75</v>
      </c>
      <c r="G48" s="37">
        <f t="shared" si="0"/>
        <v>0.75</v>
      </c>
      <c r="H48" s="38" t="str">
        <f t="shared" si="1"/>
        <v>جيد</v>
      </c>
      <c r="I48" s="55"/>
      <c r="J48" s="56"/>
    </row>
    <row r="49" spans="1:10" ht="30" customHeight="1" x14ac:dyDescent="0.3">
      <c r="A49" s="9"/>
      <c r="B49" s="77" t="s">
        <v>221</v>
      </c>
      <c r="C49" s="78"/>
      <c r="D49" s="78"/>
      <c r="E49" s="32"/>
      <c r="F49" s="33"/>
      <c r="G49" s="34"/>
      <c r="H49" s="35"/>
      <c r="I49" s="50"/>
      <c r="J49" s="51"/>
    </row>
    <row r="50" spans="1:10" ht="30" customHeight="1" x14ac:dyDescent="0.3">
      <c r="A50" s="9"/>
      <c r="B50" s="79" t="s">
        <v>222</v>
      </c>
      <c r="C50" s="80"/>
      <c r="D50" s="80"/>
      <c r="E50" s="29">
        <v>5</v>
      </c>
      <c r="F50" s="25">
        <v>3.75</v>
      </c>
      <c r="G50" s="30">
        <f t="shared" si="0"/>
        <v>0.75</v>
      </c>
      <c r="H50" s="31" t="str">
        <f t="shared" si="1"/>
        <v>جيد</v>
      </c>
      <c r="I50" s="52"/>
      <c r="J50" s="53"/>
    </row>
    <row r="51" spans="1:10" ht="39.9" customHeight="1" x14ac:dyDescent="0.3">
      <c r="A51" s="9"/>
      <c r="B51" s="79" t="s">
        <v>223</v>
      </c>
      <c r="C51" s="80"/>
      <c r="D51" s="80"/>
      <c r="E51" s="29">
        <v>5</v>
      </c>
      <c r="F51" s="25">
        <v>3.75</v>
      </c>
      <c r="G51" s="30">
        <f t="shared" si="0"/>
        <v>0.75</v>
      </c>
      <c r="H51" s="31" t="str">
        <f t="shared" si="1"/>
        <v>جيد</v>
      </c>
      <c r="I51" s="52"/>
      <c r="J51" s="53"/>
    </row>
    <row r="52" spans="1:10" ht="30" customHeight="1" x14ac:dyDescent="0.3">
      <c r="A52" s="9"/>
      <c r="B52" s="79" t="s">
        <v>224</v>
      </c>
      <c r="C52" s="80"/>
      <c r="D52" s="80"/>
      <c r="E52" s="29">
        <v>5</v>
      </c>
      <c r="F52" s="25">
        <v>3.75</v>
      </c>
      <c r="G52" s="30">
        <f t="shared" si="0"/>
        <v>0.75</v>
      </c>
      <c r="H52" s="31" t="str">
        <f t="shared" si="1"/>
        <v>جيد</v>
      </c>
      <c r="I52" s="52"/>
      <c r="J52" s="53"/>
    </row>
    <row r="53" spans="1:10" ht="30" customHeight="1" x14ac:dyDescent="0.3">
      <c r="A53" s="9"/>
      <c r="B53" s="79" t="s">
        <v>225</v>
      </c>
      <c r="C53" s="80"/>
      <c r="D53" s="80"/>
      <c r="E53" s="29">
        <v>5</v>
      </c>
      <c r="F53" s="25">
        <v>3.75</v>
      </c>
      <c r="G53" s="30">
        <f t="shared" si="0"/>
        <v>0.75</v>
      </c>
      <c r="H53" s="31" t="str">
        <f t="shared" si="1"/>
        <v>جيد</v>
      </c>
      <c r="I53" s="52"/>
      <c r="J53" s="53"/>
    </row>
    <row r="54" spans="1:10" ht="30" customHeight="1" x14ac:dyDescent="0.3">
      <c r="A54" s="9"/>
      <c r="B54" s="79" t="s">
        <v>226</v>
      </c>
      <c r="C54" s="80"/>
      <c r="D54" s="80"/>
      <c r="E54" s="29">
        <v>5</v>
      </c>
      <c r="F54" s="25">
        <v>3.75</v>
      </c>
      <c r="G54" s="30">
        <f t="shared" si="0"/>
        <v>0.75</v>
      </c>
      <c r="H54" s="31" t="str">
        <f t="shared" si="1"/>
        <v>جيد</v>
      </c>
      <c r="I54" s="52"/>
      <c r="J54" s="53"/>
    </row>
    <row r="55" spans="1:10" ht="30" customHeight="1" x14ac:dyDescent="0.3">
      <c r="A55" s="9"/>
      <c r="B55" s="79" t="s">
        <v>227</v>
      </c>
      <c r="C55" s="80"/>
      <c r="D55" s="80"/>
      <c r="E55" s="29">
        <v>5</v>
      </c>
      <c r="F55" s="25">
        <v>3.75</v>
      </c>
      <c r="G55" s="30">
        <f t="shared" si="0"/>
        <v>0.75</v>
      </c>
      <c r="H55" s="31" t="str">
        <f t="shared" si="1"/>
        <v>جيد</v>
      </c>
      <c r="I55" s="52"/>
      <c r="J55" s="53"/>
    </row>
    <row r="56" spans="1:10" ht="30" customHeight="1" thickBot="1" x14ac:dyDescent="0.35">
      <c r="A56" s="9"/>
      <c r="B56" s="81" t="s">
        <v>228</v>
      </c>
      <c r="C56" s="82"/>
      <c r="D56" s="82"/>
      <c r="E56" s="36">
        <v>5</v>
      </c>
      <c r="F56" s="26">
        <v>3.75</v>
      </c>
      <c r="G56" s="37">
        <f t="shared" si="0"/>
        <v>0.75</v>
      </c>
      <c r="H56" s="38" t="str">
        <f t="shared" si="1"/>
        <v>جيد</v>
      </c>
      <c r="I56" s="55"/>
      <c r="J56" s="56"/>
    </row>
    <row r="57" spans="1:10" ht="30" customHeight="1" thickBot="1" x14ac:dyDescent="0.35">
      <c r="A57" s="4"/>
      <c r="B57" s="73" t="s">
        <v>5</v>
      </c>
      <c r="C57" s="74"/>
      <c r="D57" s="74"/>
      <c r="E57" s="28">
        <f>SUM(E8:E56)</f>
        <v>220</v>
      </c>
      <c r="F57" s="28">
        <f>SUM(F8:F56)</f>
        <v>165</v>
      </c>
      <c r="G57" s="70"/>
      <c r="H57" s="71"/>
      <c r="I57" s="71"/>
      <c r="J57" s="72"/>
    </row>
    <row r="58" spans="1:10" ht="30" customHeight="1" thickBot="1" x14ac:dyDescent="0.35">
      <c r="A58" s="4"/>
      <c r="B58" s="75" t="s">
        <v>54</v>
      </c>
      <c r="C58" s="76"/>
      <c r="D58" s="76"/>
      <c r="E58" s="46">
        <f>F57/E57/100*100</f>
        <v>0.75</v>
      </c>
      <c r="F58" s="46"/>
      <c r="G58" s="46"/>
      <c r="H58" s="46"/>
      <c r="I58" s="46"/>
      <c r="J58" s="47"/>
    </row>
    <row r="59" spans="1:10" ht="30" customHeight="1" thickBot="1" x14ac:dyDescent="0.35">
      <c r="A59" s="4"/>
      <c r="B59" s="75" t="s">
        <v>55</v>
      </c>
      <c r="C59" s="76"/>
      <c r="D59" s="76"/>
      <c r="E59" s="66" t="str">
        <f>_xlfn.IFS(E58&gt;=90%,"ممتاز",E58&gt;=80%,"جيد جداً",E58&gt;=70%,"جيد",E58&gt;=60%,"مقبول",E58&lt;60%,"راسب")</f>
        <v>جيد</v>
      </c>
      <c r="F59" s="66"/>
      <c r="G59" s="66"/>
      <c r="H59" s="66"/>
      <c r="I59" s="66"/>
      <c r="J59" s="67"/>
    </row>
    <row r="60" spans="1:10" ht="42" customHeight="1" x14ac:dyDescent="0.3">
      <c r="B60" s="62" t="s">
        <v>174</v>
      </c>
      <c r="C60" s="62"/>
      <c r="D60" s="62"/>
      <c r="E60" s="68" t="s">
        <v>52</v>
      </c>
      <c r="F60" s="68"/>
      <c r="G60" s="64" t="s">
        <v>113</v>
      </c>
      <c r="H60" s="64"/>
      <c r="I60" s="64"/>
      <c r="J60" s="64"/>
    </row>
    <row r="61" spans="1:10" ht="51" customHeight="1" x14ac:dyDescent="0.3">
      <c r="A61" s="5"/>
      <c r="B61" s="63"/>
      <c r="C61" s="63"/>
      <c r="D61" s="63"/>
      <c r="E61" s="69" t="s">
        <v>53</v>
      </c>
      <c r="F61" s="69"/>
      <c r="G61" s="65"/>
      <c r="H61" s="65"/>
      <c r="I61" s="65"/>
      <c r="J61" s="6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9">
    <mergeCell ref="B55:D55"/>
    <mergeCell ref="B56:D56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7:D37"/>
    <mergeCell ref="B38:D38"/>
    <mergeCell ref="B39:D39"/>
    <mergeCell ref="B40:D40"/>
    <mergeCell ref="B41:D41"/>
    <mergeCell ref="B42:D42"/>
    <mergeCell ref="B43:D43"/>
    <mergeCell ref="B53:D53"/>
    <mergeCell ref="B54:D54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57:D57"/>
    <mergeCell ref="B58:D58"/>
    <mergeCell ref="B59:D59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60:D61"/>
    <mergeCell ref="G60:J60"/>
    <mergeCell ref="G61:J61"/>
    <mergeCell ref="E59:J59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45:J45"/>
    <mergeCell ref="I46:J46"/>
    <mergeCell ref="I47:J47"/>
    <mergeCell ref="I48:J48"/>
    <mergeCell ref="E60:F60"/>
    <mergeCell ref="E61:F61"/>
    <mergeCell ref="G57:J57"/>
    <mergeCell ref="B1:J1"/>
    <mergeCell ref="F2:J2"/>
    <mergeCell ref="B5:D6"/>
    <mergeCell ref="C2:D2"/>
    <mergeCell ref="C3:D3"/>
    <mergeCell ref="F3:J3"/>
    <mergeCell ref="E58:J58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9">
    <cfRule type="expression" dxfId="14" priority="57">
      <formula>$E59="راسب"</formula>
    </cfRule>
  </conditionalFormatting>
  <conditionalFormatting sqref="E59:J59">
    <cfRule type="expression" dxfId="13" priority="60">
      <formula>$E59="جيد جداً"</formula>
    </cfRule>
    <cfRule type="expression" dxfId="12" priority="59">
      <formula>$E59="جيد"</formula>
    </cfRule>
    <cfRule type="expression" dxfId="11" priority="58">
      <formula>$E59="مقبول"</formula>
    </cfRule>
    <cfRule type="expression" dxfId="10" priority="61">
      <formula>$E59="ممتاز"</formula>
    </cfRule>
  </conditionalFormatting>
  <conditionalFormatting sqref="F8:F5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0:J60">
    <cfRule type="containsText" dxfId="6" priority="15" operator="containsText" text="أدخل اسم المحكم">
      <formula>NOT(ISERROR(SEARCH("أدخل اسم المحكم",G60)))</formula>
    </cfRule>
  </conditionalFormatting>
  <conditionalFormatting sqref="H8:H56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F50:F56 F39:F48 F26:F37 F14:F24 F9:F12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G60:J60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2025-10-07T17:03:26Z</dcterms:modified>
</cp:coreProperties>
</file>