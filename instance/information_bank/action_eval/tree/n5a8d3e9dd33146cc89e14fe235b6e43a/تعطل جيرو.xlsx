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updateLinks="never" codeName="ThisWorkbook"/>
  <xr:revisionPtr revIDLastSave="0" documentId="13_ncr:1_{B76C6037-3C68-4A51-A432-25948DF88A0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التقييم'!$B$5</definedName>
    <definedName name="_xlnm.Print_Titles" localSheetId="0">'قائمة التقييم'!$10:$10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2" l="1"/>
  <c r="E23" i="2"/>
  <c r="G17" i="2" l="1"/>
  <c r="H17" i="2" s="1"/>
  <c r="G22" i="2" l="1"/>
  <c r="H22" i="2" s="1"/>
  <c r="G21" i="2"/>
  <c r="H21" i="2" s="1"/>
  <c r="G20" i="2"/>
  <c r="H20" i="2" s="1"/>
  <c r="G16" i="2" l="1"/>
  <c r="H16" i="2" s="1"/>
  <c r="G14" i="2"/>
  <c r="H14" i="2" s="1"/>
  <c r="G13" i="2"/>
  <c r="H13" i="2" s="1"/>
  <c r="G12" i="2"/>
  <c r="H12" i="2" s="1"/>
  <c r="G18" i="2" l="1"/>
  <c r="H18" i="2" s="1"/>
  <c r="E24" i="2" l="1"/>
  <c r="E25" i="2" s="1"/>
</calcChain>
</file>

<file path=xl/sharedStrings.xml><?xml version="1.0" encoding="utf-8"?>
<sst xmlns="http://schemas.openxmlformats.org/spreadsheetml/2006/main" count="143" uniqueCount="111">
  <si>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</si>
  <si>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</si>
  <si>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</si>
  <si>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</si>
  <si>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</si>
  <si>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</si>
  <si>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</si>
  <si>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</si>
  <si>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</si>
  <si>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</si>
  <si>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</si>
  <si>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</si>
  <si>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</si>
  <si>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</si>
  <si>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</si>
  <si>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</si>
  <si>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</si>
  <si>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</si>
  <si>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</si>
  <si>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</si>
  <si>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</si>
  <si>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</si>
  <si>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</si>
  <si>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</si>
  <si>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</si>
  <si>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</si>
  <si>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</si>
  <si>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</si>
  <si>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</si>
  <si>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</si>
  <si>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</si>
  <si>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</si>
  <si>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</si>
  <si>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</si>
  <si>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</si>
  <si>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</si>
  <si>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</si>
  <si>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</si>
  <si>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</si>
  <si>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</si>
  <si>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</si>
  <si>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</si>
  <si>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</si>
  <si>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</si>
  <si>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</si>
  <si>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</si>
  <si>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</si>
  <si>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</si>
  <si>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مجـرى الأحـداث والمعاضل:</t>
  </si>
  <si>
    <t>أدخل مجرى الأحداث والمعاضل</t>
  </si>
  <si>
    <t>اليوم/1</t>
  </si>
  <si>
    <t>اليوم/2</t>
  </si>
  <si>
    <t>اليوم/3</t>
  </si>
  <si>
    <t>اليوم/4</t>
  </si>
  <si>
    <t>اليوم/5</t>
  </si>
  <si>
    <t>اليوم/6</t>
  </si>
  <si>
    <t>نــــــــوع التمريــــــــن:</t>
  </si>
  <si>
    <t>لعبات حرب</t>
  </si>
  <si>
    <t>جاهزية المهمة</t>
  </si>
  <si>
    <t>رقــم المعضلـة :</t>
  </si>
  <si>
    <t xml:space="preserve">أدخل الرقم </t>
  </si>
  <si>
    <t>أدخل نوع التمرين</t>
  </si>
  <si>
    <t>قيادة مجموعة اللواء</t>
  </si>
  <si>
    <t>قيادة كتيبة المشاة الآلية/1</t>
  </si>
  <si>
    <t>كتيبة المشاة الآلية/1 - السرية/1</t>
  </si>
  <si>
    <t>كتيبة المشاة الآلية/1 - السرية/2</t>
  </si>
  <si>
    <t>كتيبة المشاة الآلية/1 - السرية/3</t>
  </si>
  <si>
    <t>قيادة كتيبة المشاة الآلية/2</t>
  </si>
  <si>
    <t>كتيبة المشاة الآلية/2 - السرية/1</t>
  </si>
  <si>
    <t>كتيبة المشاة الآلية/2 - السرية/2</t>
  </si>
  <si>
    <t>كتيبة المشاة الآلية/2 - السرية/3</t>
  </si>
  <si>
    <t>قيادة كتيبة الدبابات/3</t>
  </si>
  <si>
    <t>كتيبة الدبابات/3 - السرية/1</t>
  </si>
  <si>
    <t>كتيبة الدبابات/3 - السرية/2</t>
  </si>
  <si>
    <t>كتيبة الدبابات/3 - السرية/3</t>
  </si>
  <si>
    <t>قيادة كتيبة المدفعية</t>
  </si>
  <si>
    <t>كتيبة المدفعية - السرية/1</t>
  </si>
  <si>
    <t>كتيبة المدفعية - السرية/2</t>
  </si>
  <si>
    <t>كتيبة المدفعية - السرية/3</t>
  </si>
  <si>
    <t>اليوم</t>
  </si>
  <si>
    <t>الشهر</t>
  </si>
  <si>
    <t>السنة</t>
  </si>
  <si>
    <t>اليوم/7</t>
  </si>
  <si>
    <t>اليوم/8</t>
  </si>
  <si>
    <t>اليوم/9</t>
  </si>
  <si>
    <t>اليوم/10</t>
  </si>
  <si>
    <t>اليوم/11</t>
  </si>
  <si>
    <t>اليوم/12</t>
  </si>
  <si>
    <t>اليوم/13</t>
  </si>
  <si>
    <t>اليوم/14</t>
  </si>
  <si>
    <t>اليوم/15</t>
  </si>
  <si>
    <t>اليوم/16</t>
  </si>
  <si>
    <t>اليوم/17</t>
  </si>
  <si>
    <t>اليوم/18</t>
  </si>
  <si>
    <t>اليوم/19</t>
  </si>
  <si>
    <t>اليوم/20</t>
  </si>
  <si>
    <t>تقييم معضلة تعطل جهاز الجيرو في أحد المدافع</t>
  </si>
  <si>
    <r>
      <t>وصف المعضلة:</t>
    </r>
    <r>
      <rPr>
        <sz val="14"/>
        <color rgb="FF000000"/>
        <rFont val="Arial"/>
        <family val="2"/>
      </rPr>
      <t xml:space="preserve"> تعرض أحد أجهزة الجيرو لعطل فني اثناء قيام المدفع بتنفيذ الرماية.</t>
    </r>
  </si>
  <si>
    <r>
      <t>متطلبات تنفيذ المعضلة:</t>
    </r>
    <r>
      <rPr>
        <sz val="14"/>
        <color rgb="FF000000"/>
        <rFont val="Arial"/>
        <family val="2"/>
      </rPr>
      <t xml:space="preserve"> 
1.    ابلاغ عدد أول بتعطل جهاز الجيرو في مدفعه.
2.    تفرض المعضلة من قبل المحكم شفهياً في تمارين لعبات الحرب والجاهزية إذا لم تتوفر المعدات اللازمة لتنفيذ المعضلة.</t>
    </r>
  </si>
  <si>
    <t>تقييم الاجراءات المتخذة مسبقا للمحافظة على كفاءة جهاز الجيرو: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</si>
  <si>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اجراء التفتيشات المعتمدة على الجهاز وبشكل منتظم.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</si>
  <si>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اجراء عمليات الصيانة باستمرار.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</si>
  <si>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اجراء عملية المعايرة والتأسيس للجهاز بشكل صحيح.</t>
    </r>
  </si>
  <si>
    <t>تقييم اجراءات عدد اول عند تعطل جهاز الجيرو: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</si>
  <si>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يقوم بإبلاغ ضابط الموقع عن العطل.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</si>
  <si>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التحول لاستخدام الأسلوب اليدوي في توجيه المدفع (مسطرة المدفع والمزواة).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</si>
  <si>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بعد انتهاء الرماية يطلب فني الأجهزة لفحص وإصلاح جهاز الجيرو.</t>
    </r>
  </si>
  <si>
    <t>تقييم تأثير المعضلة على قدرة السرية في تنفيذ واجباتها: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</si>
  <si>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القيام بأعمال الصيانة اللازمة للمهمات والأجهزة يؤدي الى المحافظة عليها والى رفع كفاءتها.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</si>
  <si>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توفر وسائل بديلة لأجهزة الرمي يمكن المدفع من الاستمرار في تنفيذ الرماية.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</si>
  <si>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Arial"/>
        <family val="2"/>
      </rPr>
      <t>إصلاح الأجهزة من قبل الفنيين المختصين عند تعطلها يؤدي لعودها إلى العمل بكفاءة.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</si>
</sst>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0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164" fontId="6" fillId="0" borderId="3" xfId="0" applyNumberFormat="1" applyFont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16" fillId="0" borderId="0" xfId="0" applyFont="1" applyAlignment="1" applyProtection="1">
      <alignment horizontal="center" readingOrder="2"/>
      <protection locked="0"/>
    </xf>
    <xf numFmtId="49" fontId="6" fillId="0" borderId="3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0" borderId="0" xfId="0" applyFill="1" applyProtection="1">
      <protection locked="0"/>
    </xf>
    <xf numFmtId="0" fontId="0" fillId="0" borderId="0" xfId="0" applyFill="1"/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vertical="center" wrapText="1" readingOrder="2"/>
      <protection locked="0"/>
    </xf>
    <xf numFmtId="0" fontId="6" fillId="4" borderId="16" xfId="0" applyFont="1" applyFill="1" applyBorder="1" applyAlignment="1" applyProtection="1">
      <alignment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Border="1" applyAlignment="1" applyProtection="1">
      <alignment horizontal="right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49" fontId="6" fillId="0" borderId="3" xfId="0" applyNumberFormat="1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26" xfId="0" applyFont="1" applyFill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8" fillId="0" borderId="3" xfId="0" applyFont="1" applyBorder="1" applyAlignment="1">
      <alignment horizontal="right" vertical="center" wrapText="1" readingOrder="2"/>
    </xf>
    <xf numFmtId="0" fontId="17" fillId="0" borderId="5" xfId="0" applyFont="1" applyBorder="1" applyAlignment="1">
      <alignment horizontal="right" vertical="center" wrapText="1" readingOrder="2"/>
    </xf>
    <xf numFmtId="0" fontId="17" fillId="0" borderId="4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8" fillId="0" borderId="25" xfId="0" applyFont="1" applyBorder="1" applyAlignment="1">
      <alignment horizontal="right" vertical="center" wrapText="1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7" fillId="0" borderId="27" xfId="0" applyFont="1" applyBorder="1" applyAlignment="1">
      <alignment horizontal="right" vertical="center" wrapText="1" readingOrder="2"/>
    </xf>
    <xf numFmtId="0" fontId="17" fillId="0" borderId="28" xfId="0" applyFont="1" applyBorder="1" applyAlignment="1">
      <alignment horizontal="right" vertical="center" wrapText="1" readingOrder="2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5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topLeftCell="A17" zoomScale="136" zoomScaleNormal="100" zoomScaleSheetLayoutView="136" workbookViewId="0">
      <selection activeCell="M11" sqref="M1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9" t="s">
        <v>96</v>
      </c>
      <c r="C1" s="79"/>
      <c r="D1" s="79"/>
      <c r="E1" s="79"/>
      <c r="F1" s="79"/>
      <c r="G1" s="79"/>
      <c r="H1" s="79"/>
      <c r="I1" s="79"/>
      <c r="J1" s="79"/>
    </row>
    <row r="2" spans="1:10" ht="45" customHeight="1" x14ac:dyDescent="0.2">
      <c r="B2" s="66" t="s">
        <v>97</v>
      </c>
      <c r="C2" s="66"/>
      <c r="D2" s="66"/>
      <c r="E2" s="66"/>
      <c r="F2" s="66"/>
      <c r="G2" s="66"/>
      <c r="H2" s="66"/>
      <c r="I2" s="66"/>
      <c r="J2" s="66"/>
    </row>
    <row r="3" spans="1:10" ht="61.5" customHeight="1" x14ac:dyDescent="0.2">
      <c r="B3" s="66" t="s">
        <v>98</v>
      </c>
      <c r="C3" s="66"/>
      <c r="D3" s="66"/>
      <c r="E3" s="66"/>
      <c r="F3" s="66"/>
      <c r="G3" s="66"/>
      <c r="H3" s="66"/>
      <c r="I3" s="66"/>
      <c r="J3" s="66"/>
    </row>
    <row r="4" spans="1:10" ht="30" customHeight="1" x14ac:dyDescent="0.2">
      <c r="B4" s="11" t="s">
        <v>8</v>
      </c>
      <c r="C4" s="84" t="s">
        <v>39</v>
      </c>
      <c r="D4" s="84"/>
      <c r="E4" s="11" t="s">
        <v>7</v>
      </c>
      <c r="F4" s="90" t="s">
        <v>79</v>
      </c>
      <c r="G4" s="90"/>
      <c r="H4" s="90" t="s">
        <v>80</v>
      </c>
      <c r="I4" s="90"/>
      <c r="J4" s="41" t="s">
        <v>81</v>
      </c>
    </row>
    <row r="5" spans="1:10" ht="30" customHeight="1" x14ac:dyDescent="0.2">
      <c r="B5" s="11" t="s">
        <v>9</v>
      </c>
      <c r="C5" s="84" t="s">
        <v>42</v>
      </c>
      <c r="D5" s="84"/>
      <c r="E5" s="11" t="s">
        <v>6</v>
      </c>
      <c r="F5" s="84" t="s">
        <v>41</v>
      </c>
      <c r="G5" s="84"/>
      <c r="H5" s="84"/>
      <c r="I5" s="84"/>
      <c r="J5" s="84"/>
    </row>
    <row r="6" spans="1:10" ht="30" customHeight="1" x14ac:dyDescent="0.2">
      <c r="B6" s="89" t="s">
        <v>48</v>
      </c>
      <c r="C6" s="89"/>
      <c r="D6" s="36" t="s">
        <v>49</v>
      </c>
      <c r="E6" s="91" t="s">
        <v>59</v>
      </c>
      <c r="F6" s="92"/>
      <c r="G6" s="39" t="s">
        <v>60</v>
      </c>
      <c r="H6" s="47" t="s">
        <v>56</v>
      </c>
      <c r="I6" s="48"/>
      <c r="J6" s="38" t="s">
        <v>61</v>
      </c>
    </row>
    <row r="7" spans="1:10" ht="30" customHeight="1" thickBot="1" x14ac:dyDescent="0.25">
      <c r="B7" s="6"/>
      <c r="C7" s="7"/>
      <c r="D7" s="7"/>
      <c r="E7" s="6"/>
      <c r="F7" s="7"/>
      <c r="G7" s="7"/>
      <c r="H7" s="8"/>
      <c r="I7" s="7"/>
      <c r="J7" s="7"/>
    </row>
    <row r="8" spans="1:10" ht="24.95" customHeight="1" x14ac:dyDescent="0.2">
      <c r="A8" s="9"/>
      <c r="B8" s="80" t="s">
        <v>0</v>
      </c>
      <c r="C8" s="81"/>
      <c r="D8" s="81"/>
      <c r="E8" s="85" t="s">
        <v>1</v>
      </c>
      <c r="F8" s="85"/>
      <c r="G8" s="85"/>
      <c r="H8" s="85"/>
      <c r="I8" s="85" t="s">
        <v>2</v>
      </c>
      <c r="J8" s="86"/>
    </row>
    <row r="9" spans="1:10" ht="24.95" customHeight="1" thickBot="1" x14ac:dyDescent="0.25">
      <c r="A9" s="9"/>
      <c r="B9" s="82"/>
      <c r="C9" s="83"/>
      <c r="D9" s="83"/>
      <c r="E9" s="10" t="s">
        <v>3</v>
      </c>
      <c r="F9" s="10" t="s">
        <v>4</v>
      </c>
      <c r="G9" s="10" t="s">
        <v>23</v>
      </c>
      <c r="H9" s="10" t="s">
        <v>24</v>
      </c>
      <c r="I9" s="87"/>
      <c r="J9" s="88"/>
    </row>
    <row r="10" spans="1:10" ht="24.95" customHeight="1" thickBot="1" x14ac:dyDescent="0.25">
      <c r="A10" s="9"/>
      <c r="B10" s="53" t="s">
        <v>21</v>
      </c>
      <c r="C10" s="54"/>
      <c r="D10" s="54"/>
      <c r="E10" s="27" t="s">
        <v>18</v>
      </c>
      <c r="F10" s="27" t="s">
        <v>19</v>
      </c>
      <c r="G10" s="27" t="s">
        <v>22</v>
      </c>
      <c r="H10" s="27" t="s">
        <v>20</v>
      </c>
      <c r="I10" s="55" t="s">
        <v>25</v>
      </c>
      <c r="J10" s="56"/>
    </row>
    <row r="11" spans="1:10" ht="39.950000000000003" customHeight="1" x14ac:dyDescent="0.2">
      <c r="A11" s="9"/>
      <c r="B11" s="96" t="s">
        <v>99</v>
      </c>
      <c r="C11" s="97"/>
      <c r="D11" s="97"/>
      <c r="E11" s="98"/>
      <c r="F11" s="99"/>
      <c r="G11" s="100"/>
      <c r="H11" s="101"/>
      <c r="I11" s="102"/>
      <c r="J11" s="103"/>
    </row>
    <row r="12" spans="1:10" ht="39.950000000000003" customHeight="1" x14ac:dyDescent="0.2">
      <c r="A12" s="9"/>
      <c r="B12" s="104" t="s">
        <v>100</v>
      </c>
      <c r="C12" s="95"/>
      <c r="D12" s="95"/>
      <c r="E12" s="28">
        <v>3</v>
      </c>
      <c r="F12" s="46" t="s">
        <v>43</v>
      </c>
      <c r="G12" s="29" t="str">
        <f t="shared" ref="G12:G15" si="0">IFERROR(F12/E12,"")</f>
        <v/>
      </c>
      <c r="H12" s="30" t="str">
        <f t="shared" ref="H12:H15" si="1">_xlfn.IFS(F12="أدخل العلامة","",F12="لا ينطبق","تم الإلغاء",G12&gt;=90%,"ممتاز",G12&gt;=80%,"جيد جداً",G12&gt;=70%,"جيد",G12&gt;=60%,"مقبول",G12&lt;60%,"راسب")</f>
        <v/>
      </c>
      <c r="I12" s="49"/>
      <c r="J12" s="50"/>
    </row>
    <row r="13" spans="1:10" ht="39.950000000000003" customHeight="1" x14ac:dyDescent="0.2">
      <c r="A13" s="9"/>
      <c r="B13" s="104" t="s">
        <v>101</v>
      </c>
      <c r="C13" s="95"/>
      <c r="D13" s="95"/>
      <c r="E13" s="28">
        <v>3</v>
      </c>
      <c r="F13" s="46" t="s">
        <v>43</v>
      </c>
      <c r="G13" s="29" t="str">
        <f t="shared" si="0"/>
        <v/>
      </c>
      <c r="H13" s="30" t="str">
        <f t="shared" si="1"/>
        <v/>
      </c>
      <c r="I13" s="49"/>
      <c r="J13" s="50"/>
    </row>
    <row r="14" spans="1:10" ht="39.950000000000003" customHeight="1" thickBot="1" x14ac:dyDescent="0.25">
      <c r="A14" s="9"/>
      <c r="B14" s="105" t="s">
        <v>102</v>
      </c>
      <c r="C14" s="106"/>
      <c r="D14" s="106"/>
      <c r="E14" s="31">
        <v>3</v>
      </c>
      <c r="F14" s="45" t="s">
        <v>43</v>
      </c>
      <c r="G14" s="32" t="str">
        <f t="shared" si="0"/>
        <v/>
      </c>
      <c r="H14" s="33" t="str">
        <f t="shared" si="1"/>
        <v/>
      </c>
      <c r="I14" s="51"/>
      <c r="J14" s="52"/>
    </row>
    <row r="15" spans="1:10" ht="39.950000000000003" customHeight="1" x14ac:dyDescent="0.2">
      <c r="A15" s="9"/>
      <c r="B15" s="96" t="s">
        <v>103</v>
      </c>
      <c r="C15" s="97"/>
      <c r="D15" s="97"/>
      <c r="E15" s="98"/>
      <c r="F15" s="99"/>
      <c r="G15" s="100"/>
      <c r="H15" s="101"/>
      <c r="I15" s="102"/>
      <c r="J15" s="103"/>
    </row>
    <row r="16" spans="1:10" ht="39.950000000000003" customHeight="1" x14ac:dyDescent="0.2">
      <c r="A16" s="9"/>
      <c r="B16" s="104" t="s">
        <v>104</v>
      </c>
      <c r="C16" s="95"/>
      <c r="D16" s="95"/>
      <c r="E16" s="28">
        <v>3</v>
      </c>
      <c r="F16" s="46" t="s">
        <v>43</v>
      </c>
      <c r="G16" s="29" t="str">
        <f>IFERROR(F16/E16,"")</f>
        <v/>
      </c>
      <c r="H16" s="30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49"/>
      <c r="J16" s="50"/>
    </row>
    <row r="17" spans="1:10" ht="39.950000000000003" customHeight="1" x14ac:dyDescent="0.2">
      <c r="A17" s="9"/>
      <c r="B17" s="104" t="s">
        <v>105</v>
      </c>
      <c r="C17" s="95"/>
      <c r="D17" s="95"/>
      <c r="E17" s="28">
        <v>3</v>
      </c>
      <c r="F17" s="46" t="s">
        <v>43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49"/>
      <c r="J17" s="50"/>
    </row>
    <row r="18" spans="1:10" ht="39.950000000000003" customHeight="1" thickBot="1" x14ac:dyDescent="0.25">
      <c r="A18" s="9"/>
      <c r="B18" s="105" t="s">
        <v>106</v>
      </c>
      <c r="C18" s="106"/>
      <c r="D18" s="106"/>
      <c r="E18" s="31">
        <v>3</v>
      </c>
      <c r="F18" s="45" t="s">
        <v>43</v>
      </c>
      <c r="G18" s="32" t="str">
        <f t="shared" ref="G18" si="2">IFERROR(F18/E18,"")</f>
        <v/>
      </c>
      <c r="H18" s="33" t="str">
        <f t="shared" ref="H18" si="3">_xlfn.IFS(F18="أدخل العلامة","",F18="لا ينطبق","تم الإلغاء",G18&gt;=90%,"ممتاز",G18&gt;=80%,"جيد جداً",G18&gt;=70%,"جيد",G18&gt;=60%,"مقبول",G18&lt;60%,"راسب")</f>
        <v/>
      </c>
      <c r="I18" s="51"/>
      <c r="J18" s="52"/>
    </row>
    <row r="19" spans="1:10" ht="39.950000000000003" customHeight="1" x14ac:dyDescent="0.2">
      <c r="A19" s="9"/>
      <c r="B19" s="107" t="s">
        <v>107</v>
      </c>
      <c r="C19" s="108"/>
      <c r="D19" s="108"/>
      <c r="E19" s="109"/>
      <c r="F19" s="110"/>
      <c r="G19" s="111"/>
      <c r="H19" s="112"/>
      <c r="I19" s="113"/>
      <c r="J19" s="114"/>
    </row>
    <row r="20" spans="1:10" ht="39.950000000000003" customHeight="1" x14ac:dyDescent="0.2">
      <c r="A20" s="9"/>
      <c r="B20" s="104" t="s">
        <v>108</v>
      </c>
      <c r="C20" s="95"/>
      <c r="D20" s="95"/>
      <c r="E20" s="28">
        <v>3</v>
      </c>
      <c r="F20" s="46" t="s">
        <v>43</v>
      </c>
      <c r="G20" s="29" t="str">
        <f>IFERROR(F20/E20,"")</f>
        <v/>
      </c>
      <c r="H20" s="30" t="str">
        <f>_xlfn.IFS(F20="أدخل العلامة","",F20="لا ينطبق","تم الإلغاء",G20&gt;=90%,"ممتاز",G20&gt;=80%,"جيد جداً",G20&gt;=70%,"جيد",G20&gt;=60%,"مقبول",G20&lt;60%,"راسب")</f>
        <v/>
      </c>
      <c r="I20" s="49"/>
      <c r="J20" s="50"/>
    </row>
    <row r="21" spans="1:10" ht="39.950000000000003" customHeight="1" x14ac:dyDescent="0.2">
      <c r="A21" s="9"/>
      <c r="B21" s="104" t="s">
        <v>109</v>
      </c>
      <c r="C21" s="95"/>
      <c r="D21" s="95"/>
      <c r="E21" s="28">
        <v>3</v>
      </c>
      <c r="F21" s="46" t="s">
        <v>43</v>
      </c>
      <c r="G21" s="29" t="str">
        <f t="shared" ref="G21:G22" si="4">IFERROR(F21/E21,"")</f>
        <v/>
      </c>
      <c r="H21" s="30" t="str">
        <f t="shared" ref="H21:H22" si="5">_xlfn.IFS(F21="أدخل العلامة","",F21="لا ينطبق","تم الإلغاء",G21&gt;=90%,"ممتاز",G21&gt;=80%,"جيد جداً",G21&gt;=70%,"جيد",G21&gt;=60%,"مقبول",G21&lt;60%,"راسب")</f>
        <v/>
      </c>
      <c r="I21" s="49"/>
      <c r="J21" s="50"/>
    </row>
    <row r="22" spans="1:10" ht="39.950000000000003" customHeight="1" thickBot="1" x14ac:dyDescent="0.25">
      <c r="A22" s="9"/>
      <c r="B22" s="105" t="s">
        <v>110</v>
      </c>
      <c r="C22" s="106"/>
      <c r="D22" s="106"/>
      <c r="E22" s="31">
        <v>3</v>
      </c>
      <c r="F22" s="45" t="s">
        <v>43</v>
      </c>
      <c r="G22" s="32" t="str">
        <f t="shared" si="4"/>
        <v/>
      </c>
      <c r="H22" s="33" t="str">
        <f t="shared" si="5"/>
        <v/>
      </c>
      <c r="I22" s="51"/>
      <c r="J22" s="52"/>
    </row>
    <row r="23" spans="1:10" ht="30" customHeight="1" thickBot="1" x14ac:dyDescent="0.25">
      <c r="A23" s="4"/>
      <c r="B23" s="69" t="s">
        <v>5</v>
      </c>
      <c r="C23" s="70"/>
      <c r="D23" s="70"/>
      <c r="E23" s="37">
        <f>SUM(E11:E22)</f>
        <v>27</v>
      </c>
      <c r="F23" s="37">
        <f>SUM(F11:F22)</f>
        <v>0</v>
      </c>
      <c r="G23" s="59"/>
      <c r="H23" s="60"/>
      <c r="I23" s="60"/>
      <c r="J23" s="61"/>
    </row>
    <row r="24" spans="1:10" ht="30" customHeight="1" thickBot="1" x14ac:dyDescent="0.25">
      <c r="A24" s="4"/>
      <c r="B24" s="71" t="s">
        <v>37</v>
      </c>
      <c r="C24" s="72"/>
      <c r="D24" s="72"/>
      <c r="E24" s="62">
        <f>F23/E23/100*100</f>
        <v>0</v>
      </c>
      <c r="F24" s="62"/>
      <c r="G24" s="62"/>
      <c r="H24" s="62"/>
      <c r="I24" s="62"/>
      <c r="J24" s="63"/>
    </row>
    <row r="25" spans="1:10" ht="30" customHeight="1" thickBot="1" x14ac:dyDescent="0.25">
      <c r="A25" s="4"/>
      <c r="B25" s="71" t="s">
        <v>38</v>
      </c>
      <c r="C25" s="72"/>
      <c r="D25" s="72"/>
      <c r="E25" s="93" t="str">
        <f>_xlfn.IFS(E24&gt;=90%,"ممتاز",E24&gt;=80%,"جيد جداً",E24&gt;=70%,"جيد",E24&gt;=60%,"مقبول",E24&lt;60%,"راسب")</f>
        <v>راسب</v>
      </c>
      <c r="F25" s="93"/>
      <c r="G25" s="93"/>
      <c r="H25" s="93"/>
      <c r="I25" s="93"/>
      <c r="J25" s="94"/>
    </row>
    <row r="26" spans="1:10" ht="42" customHeight="1" x14ac:dyDescent="0.2">
      <c r="B26" s="73" t="s">
        <v>47</v>
      </c>
      <c r="C26" s="73"/>
      <c r="D26" s="73"/>
      <c r="E26" s="57" t="s">
        <v>35</v>
      </c>
      <c r="F26" s="57"/>
      <c r="G26" s="64" t="s">
        <v>41</v>
      </c>
      <c r="H26" s="64"/>
      <c r="I26" s="64"/>
      <c r="J26" s="64"/>
    </row>
    <row r="27" spans="1:10" ht="51" customHeight="1" x14ac:dyDescent="0.2">
      <c r="A27" s="5"/>
      <c r="B27" s="74"/>
      <c r="C27" s="74"/>
      <c r="D27" s="74"/>
      <c r="E27" s="58" t="s">
        <v>36</v>
      </c>
      <c r="F27" s="58"/>
      <c r="G27" s="65"/>
      <c r="H27" s="65"/>
      <c r="I27" s="65"/>
      <c r="J27" s="65"/>
    </row>
    <row r="28" spans="1:10" ht="15.75" x14ac:dyDescent="0.2">
      <c r="A28" s="24">
        <v>3</v>
      </c>
      <c r="B28" s="75" t="s">
        <v>44</v>
      </c>
      <c r="C28" s="76"/>
    </row>
    <row r="29" spans="1:10" ht="15.75" x14ac:dyDescent="0.2">
      <c r="A29" s="25">
        <v>2</v>
      </c>
      <c r="B29" s="77" t="s">
        <v>45</v>
      </c>
      <c r="C29" s="78"/>
    </row>
    <row r="30" spans="1:10" ht="15.75" x14ac:dyDescent="0.2">
      <c r="A30" s="26">
        <v>1</v>
      </c>
      <c r="B30" s="67" t="s">
        <v>46</v>
      </c>
      <c r="C30" s="68"/>
    </row>
  </sheetData>
  <sheetProtection formatCells="0" formatColumns="0" formatRows="0" insertColumns="0" insertRows="0" insertHyperlinks="0" deleteColumns="0" deleteRows="0" selectLockedCells="1" sort="0" autoFilter="0" pivotTables="0"/>
  <mergeCells count="54">
    <mergeCell ref="B3:J3"/>
    <mergeCell ref="B30:C30"/>
    <mergeCell ref="B23:D23"/>
    <mergeCell ref="B24:D24"/>
    <mergeCell ref="B25:D25"/>
    <mergeCell ref="B26:D27"/>
    <mergeCell ref="B28:C28"/>
    <mergeCell ref="B29:C29"/>
    <mergeCell ref="B1:J1"/>
    <mergeCell ref="B8:D9"/>
    <mergeCell ref="C4:D4"/>
    <mergeCell ref="C5:D5"/>
    <mergeCell ref="F5:J5"/>
    <mergeCell ref="E8:H8"/>
    <mergeCell ref="I8:J9"/>
    <mergeCell ref="B2:J2"/>
    <mergeCell ref="B6:C6"/>
    <mergeCell ref="F4:G4"/>
    <mergeCell ref="H4:I4"/>
    <mergeCell ref="E6:F6"/>
    <mergeCell ref="B17:D17"/>
    <mergeCell ref="I17:J17"/>
    <mergeCell ref="E25:J25"/>
    <mergeCell ref="B18:D18"/>
    <mergeCell ref="E26:F26"/>
    <mergeCell ref="E27:F27"/>
    <mergeCell ref="G23:J23"/>
    <mergeCell ref="B13:D13"/>
    <mergeCell ref="I13:J13"/>
    <mergeCell ref="B14:D14"/>
    <mergeCell ref="I14:J14"/>
    <mergeCell ref="B15:D15"/>
    <mergeCell ref="I15:J15"/>
    <mergeCell ref="B16:D16"/>
    <mergeCell ref="I16:J16"/>
    <mergeCell ref="E24:J24"/>
    <mergeCell ref="G26:J26"/>
    <mergeCell ref="G27:J27"/>
    <mergeCell ref="B19:D19"/>
    <mergeCell ref="I19:J19"/>
    <mergeCell ref="B20:D20"/>
    <mergeCell ref="I20:J20"/>
    <mergeCell ref="B21:D21"/>
    <mergeCell ref="I21:J21"/>
    <mergeCell ref="B22:D22"/>
    <mergeCell ref="I22:J22"/>
    <mergeCell ref="B10:D10"/>
    <mergeCell ref="I10:J10"/>
    <mergeCell ref="B11:D11"/>
    <mergeCell ref="B12:D12"/>
    <mergeCell ref="I12:J12"/>
    <mergeCell ref="I11:J11"/>
    <mergeCell ref="I18:J18"/>
    <mergeCell ref="H6:I6"/>
  </mergeCells>
  <conditionalFormatting sqref="C4:D4">
    <cfRule type="containsText" dxfId="249" priority="364" operator="containsText" text="أدخل الوحدة الخاضعة للتقييم">
      <formula>NOT(ISERROR(SEARCH("أدخل الوحدة الخاضعة للتقييم",C4)))</formula>
    </cfRule>
  </conditionalFormatting>
  <conditionalFormatting sqref="C5:D5 D6">
    <cfRule type="containsText" dxfId="248" priority="363" operator="containsText" text="أدخل أسم قائد الوحدة الخاضعة للتقييم">
      <formula>NOT(ISERROR(SEARCH("أدخل أسم قائد الوحدة الخاضعة للتقييم",C5)))</formula>
    </cfRule>
  </conditionalFormatting>
  <conditionalFormatting sqref="E25">
    <cfRule type="expression" dxfId="247" priority="403">
      <formula>$E25="راسب"</formula>
    </cfRule>
  </conditionalFormatting>
  <conditionalFormatting sqref="E25:J25">
    <cfRule type="expression" dxfId="246" priority="404">
      <formula>$E25="مقبول"</formula>
    </cfRule>
    <cfRule type="expression" dxfId="245" priority="405">
      <formula>$E25="جيد"</formula>
    </cfRule>
    <cfRule type="expression" dxfId="244" priority="406">
      <formula>$E25="جيد جداً"</formula>
    </cfRule>
    <cfRule type="expression" dxfId="243" priority="407">
      <formula>$E25="ممتاز"</formula>
    </cfRule>
  </conditionalFormatting>
  <conditionalFormatting sqref="F4">
    <cfRule type="containsText" dxfId="242" priority="365" operator="containsText" text="أدخل التاريخ">
      <formula>NOT(ISERROR(SEARCH("أدخل التاريخ",F4)))</formula>
    </cfRule>
  </conditionalFormatting>
  <conditionalFormatting sqref="F5:J5">
    <cfRule type="containsText" dxfId="241" priority="362" operator="containsText" text="أدخل أسم المحكم">
      <formula>NOT(ISERROR(SEARCH("أدخل أسم المحكم",F5)))</formula>
    </cfRule>
  </conditionalFormatting>
  <conditionalFormatting sqref="G26:J26">
    <cfRule type="containsText" dxfId="240" priority="361" operator="containsText" text="أدخل اسم المحكم">
      <formula>NOT(ISERROR(SEARCH("أدخل اسم المحكم",G26)))</formula>
    </cfRule>
  </conditionalFormatting>
  <conditionalFormatting sqref="D6">
    <cfRule type="containsText" dxfId="239" priority="346" operator="containsText" text="أدخل مجرى الأحداث والمعاضل">
      <formula>NOT(ISERROR(SEARCH("أدخل مجرى الأحداث والمعاضل",D6)))</formula>
    </cfRule>
  </conditionalFormatting>
  <conditionalFormatting sqref="F11">
    <cfRule type="containsText" dxfId="238" priority="323" operator="containsText" text="أدخل العلامة">
      <formula>NOT(ISERROR(SEARCH("أدخل العلامة",F11)))</formula>
    </cfRule>
  </conditionalFormatting>
  <conditionalFormatting sqref="H11">
    <cfRule type="containsText" dxfId="237" priority="317" operator="containsText" text="أدخل العلامة">
      <formula>NOT(ISERROR(SEARCH("أدخل العلامة",H11)))</formula>
    </cfRule>
    <cfRule type="containsText" dxfId="236" priority="318" operator="containsText" text="ممتاز">
      <formula>NOT(ISERROR(SEARCH("ممتاز",H11)))</formula>
    </cfRule>
    <cfRule type="containsText" dxfId="235" priority="319" operator="containsText" text="جيد جداً">
      <formula>NOT(ISERROR(SEARCH("جيد جداً",H11)))</formula>
    </cfRule>
    <cfRule type="containsText" dxfId="234" priority="320" operator="containsText" text="جيد">
      <formula>NOT(ISERROR(SEARCH("جيد",H11)))</formula>
    </cfRule>
    <cfRule type="containsText" dxfId="233" priority="321" operator="containsText" text="مقبول">
      <formula>NOT(ISERROR(SEARCH("مقبول",H11)))</formula>
    </cfRule>
    <cfRule type="containsText" dxfId="232" priority="322" operator="containsText" text="راسب">
      <formula>NOT(ISERROR(SEARCH("راسب",H11)))</formula>
    </cfRule>
  </conditionalFormatting>
  <conditionalFormatting sqref="F18">
    <cfRule type="containsText" dxfId="231" priority="295" operator="containsText" text="أدخل العلامة">
      <formula>NOT(ISERROR(SEARCH("أدخل العلامة",F18)))</formula>
    </cfRule>
  </conditionalFormatting>
  <conditionalFormatting sqref="H18">
    <cfRule type="containsText" dxfId="230" priority="289" operator="containsText" text="أدخل العلامة">
      <formula>NOT(ISERROR(SEARCH("أدخل العلامة",H18)))</formula>
    </cfRule>
    <cfRule type="containsText" dxfId="229" priority="290" operator="containsText" text="ممتاز">
      <formula>NOT(ISERROR(SEARCH("ممتاز",H18)))</formula>
    </cfRule>
    <cfRule type="containsText" dxfId="228" priority="291" operator="containsText" text="جيد جداً">
      <formula>NOT(ISERROR(SEARCH("جيد جداً",H18)))</formula>
    </cfRule>
    <cfRule type="containsText" dxfId="227" priority="292" operator="containsText" text="جيد">
      <formula>NOT(ISERROR(SEARCH("جيد",H18)))</formula>
    </cfRule>
    <cfRule type="containsText" dxfId="226" priority="293" operator="containsText" text="مقبول">
      <formula>NOT(ISERROR(SEARCH("مقبول",H18)))</formula>
    </cfRule>
    <cfRule type="containsText" dxfId="225" priority="294" operator="containsText" text="راسب">
      <formula>NOT(ISERROR(SEARCH("راسب",H18)))</formula>
    </cfRule>
  </conditionalFormatting>
  <conditionalFormatting sqref="F15">
    <cfRule type="containsText" dxfId="224" priority="281" operator="containsText" text="أدخل العلامة">
      <formula>NOT(ISERROR(SEARCH("أدخل العلامة",F15)))</formula>
    </cfRule>
  </conditionalFormatting>
  <conditionalFormatting sqref="H15">
    <cfRule type="containsText" dxfId="223" priority="275" operator="containsText" text="أدخل العلامة">
      <formula>NOT(ISERROR(SEARCH("أدخل العلامة",H15)))</formula>
    </cfRule>
    <cfRule type="containsText" dxfId="222" priority="276" operator="containsText" text="ممتاز">
      <formula>NOT(ISERROR(SEARCH("ممتاز",H15)))</formula>
    </cfRule>
    <cfRule type="containsText" dxfId="221" priority="277" operator="containsText" text="جيد جداً">
      <formula>NOT(ISERROR(SEARCH("جيد جداً",H15)))</formula>
    </cfRule>
    <cfRule type="containsText" dxfId="220" priority="278" operator="containsText" text="جيد">
      <formula>NOT(ISERROR(SEARCH("جيد",H15)))</formula>
    </cfRule>
    <cfRule type="containsText" dxfId="219" priority="279" operator="containsText" text="مقبول">
      <formula>NOT(ISERROR(SEARCH("مقبول",H15)))</formula>
    </cfRule>
    <cfRule type="containsText" dxfId="218" priority="280" operator="containsText" text="راسب">
      <formula>NOT(ISERROR(SEARCH("راسب",H15)))</formula>
    </cfRule>
  </conditionalFormatting>
  <conditionalFormatting sqref="F16">
    <cfRule type="containsText" dxfId="217" priority="274" operator="containsText" text="أدخل العلامة">
      <formula>NOT(ISERROR(SEARCH("أدخل العلامة",F16)))</formula>
    </cfRule>
  </conditionalFormatting>
  <conditionalFormatting sqref="H16">
    <cfRule type="containsText" dxfId="216" priority="268" operator="containsText" text="أدخل العلامة">
      <formula>NOT(ISERROR(SEARCH("أدخل العلامة",H16)))</formula>
    </cfRule>
    <cfRule type="containsText" dxfId="215" priority="269" operator="containsText" text="ممتاز">
      <formula>NOT(ISERROR(SEARCH("ممتاز",H16)))</formula>
    </cfRule>
    <cfRule type="containsText" dxfId="214" priority="270" operator="containsText" text="جيد جداً">
      <formula>NOT(ISERROR(SEARCH("جيد جداً",H16)))</formula>
    </cfRule>
    <cfRule type="containsText" dxfId="213" priority="271" operator="containsText" text="جيد">
      <formula>NOT(ISERROR(SEARCH("جيد",H16)))</formula>
    </cfRule>
    <cfRule type="containsText" dxfId="212" priority="272" operator="containsText" text="مقبول">
      <formula>NOT(ISERROR(SEARCH("مقبول",H16)))</formula>
    </cfRule>
    <cfRule type="containsText" dxfId="211" priority="273" operator="containsText" text="راسب">
      <formula>NOT(ISERROR(SEARCH("راسب",H16)))</formula>
    </cfRule>
  </conditionalFormatting>
  <conditionalFormatting sqref="F13:F14">
    <cfRule type="containsText" dxfId="210" priority="267" operator="containsText" text="أدخل العلامة">
      <formula>NOT(ISERROR(SEARCH("أدخل العلامة",F13)))</formula>
    </cfRule>
  </conditionalFormatting>
  <conditionalFormatting sqref="H13:H14">
    <cfRule type="containsText" dxfId="209" priority="261" operator="containsText" text="أدخل العلامة">
      <formula>NOT(ISERROR(SEARCH("أدخل العلامة",H13)))</formula>
    </cfRule>
    <cfRule type="containsText" dxfId="208" priority="262" operator="containsText" text="ممتاز">
      <formula>NOT(ISERROR(SEARCH("ممتاز",H13)))</formula>
    </cfRule>
    <cfRule type="containsText" dxfId="207" priority="263" operator="containsText" text="جيد جداً">
      <formula>NOT(ISERROR(SEARCH("جيد جداً",H13)))</formula>
    </cfRule>
    <cfRule type="containsText" dxfId="206" priority="264" operator="containsText" text="جيد">
      <formula>NOT(ISERROR(SEARCH("جيد",H13)))</formula>
    </cfRule>
    <cfRule type="containsText" dxfId="205" priority="265" operator="containsText" text="مقبول">
      <formula>NOT(ISERROR(SEARCH("مقبول",H13)))</formula>
    </cfRule>
    <cfRule type="containsText" dxfId="204" priority="266" operator="containsText" text="راسب">
      <formula>NOT(ISERROR(SEARCH("راسب",H13)))</formula>
    </cfRule>
  </conditionalFormatting>
  <conditionalFormatting sqref="F12">
    <cfRule type="containsText" dxfId="203" priority="260" operator="containsText" text="أدخل العلامة">
      <formula>NOT(ISERROR(SEARCH("أدخل العلامة",F12)))</formula>
    </cfRule>
  </conditionalFormatting>
  <conditionalFormatting sqref="H12">
    <cfRule type="containsText" dxfId="202" priority="254" operator="containsText" text="أدخل العلامة">
      <formula>NOT(ISERROR(SEARCH("أدخل العلامة",H12)))</formula>
    </cfRule>
    <cfRule type="containsText" dxfId="201" priority="255" operator="containsText" text="ممتاز">
      <formula>NOT(ISERROR(SEARCH("ممتاز",H12)))</formula>
    </cfRule>
    <cfRule type="containsText" dxfId="200" priority="256" operator="containsText" text="جيد جداً">
      <formula>NOT(ISERROR(SEARCH("جيد جداً",H12)))</formula>
    </cfRule>
    <cfRule type="containsText" dxfId="199" priority="257" operator="containsText" text="جيد">
      <formula>NOT(ISERROR(SEARCH("جيد",H12)))</formula>
    </cfRule>
    <cfRule type="containsText" dxfId="198" priority="258" operator="containsText" text="مقبول">
      <formula>NOT(ISERROR(SEARCH("مقبول",H12)))</formula>
    </cfRule>
    <cfRule type="containsText" dxfId="197" priority="259" operator="containsText" text="راسب">
      <formula>NOT(ISERROR(SEARCH("راسب",H12)))</formula>
    </cfRule>
  </conditionalFormatting>
  <conditionalFormatting sqref="F20">
    <cfRule type="containsText" dxfId="196" priority="246" operator="containsText" text="أدخل العلامة">
      <formula>NOT(ISERROR(SEARCH("أدخل العلامة",F20)))</formula>
    </cfRule>
  </conditionalFormatting>
  <conditionalFormatting sqref="H20">
    <cfRule type="containsText" dxfId="195" priority="240" operator="containsText" text="أدخل العلامة">
      <formula>NOT(ISERROR(SEARCH("أدخل العلامة",H20)))</formula>
    </cfRule>
    <cfRule type="containsText" dxfId="194" priority="241" operator="containsText" text="ممتاز">
      <formula>NOT(ISERROR(SEARCH("ممتاز",H20)))</formula>
    </cfRule>
    <cfRule type="containsText" dxfId="193" priority="242" operator="containsText" text="جيد جداً">
      <formula>NOT(ISERROR(SEARCH("جيد جداً",H20)))</formula>
    </cfRule>
    <cfRule type="containsText" dxfId="192" priority="243" operator="containsText" text="جيد">
      <formula>NOT(ISERROR(SEARCH("جيد",H20)))</formula>
    </cfRule>
    <cfRule type="containsText" dxfId="191" priority="244" operator="containsText" text="مقبول">
      <formula>NOT(ISERROR(SEARCH("مقبول",H20)))</formula>
    </cfRule>
    <cfRule type="containsText" dxfId="190" priority="245" operator="containsText" text="راسب">
      <formula>NOT(ISERROR(SEARCH("راسب",H20)))</formula>
    </cfRule>
  </conditionalFormatting>
  <conditionalFormatting sqref="F19">
    <cfRule type="containsText" dxfId="189" priority="232" operator="containsText" text="أدخل العلامة">
      <formula>NOT(ISERROR(SEARCH("أدخل العلامة",F19)))</formula>
    </cfRule>
  </conditionalFormatting>
  <conditionalFormatting sqref="H19">
    <cfRule type="containsText" dxfId="188" priority="226" operator="containsText" text="أدخل العلامة">
      <formula>NOT(ISERROR(SEARCH("أدخل العلامة",H19)))</formula>
    </cfRule>
    <cfRule type="containsText" dxfId="187" priority="227" operator="containsText" text="ممتاز">
      <formula>NOT(ISERROR(SEARCH("ممتاز",H19)))</formula>
    </cfRule>
    <cfRule type="containsText" dxfId="186" priority="228" operator="containsText" text="جيد جداً">
      <formula>NOT(ISERROR(SEARCH("جيد جداً",H19)))</formula>
    </cfRule>
    <cfRule type="containsText" dxfId="185" priority="229" operator="containsText" text="جيد">
      <formula>NOT(ISERROR(SEARCH("جيد",H19)))</formula>
    </cfRule>
    <cfRule type="containsText" dxfId="184" priority="230" operator="containsText" text="مقبول">
      <formula>NOT(ISERROR(SEARCH("مقبول",H19)))</formula>
    </cfRule>
    <cfRule type="containsText" dxfId="183" priority="231" operator="containsText" text="راسب">
      <formula>NOT(ISERROR(SEARCH("راسب",H19)))</formula>
    </cfRule>
  </conditionalFormatting>
  <conditionalFormatting sqref="F22">
    <cfRule type="containsText" dxfId="182" priority="211" operator="containsText" text="أدخل العلامة">
      <formula>NOT(ISERROR(SEARCH("أدخل العلامة",F22)))</formula>
    </cfRule>
  </conditionalFormatting>
  <conditionalFormatting sqref="H22">
    <cfRule type="containsText" dxfId="181" priority="205" operator="containsText" text="أدخل العلامة">
      <formula>NOT(ISERROR(SEARCH("أدخل العلامة",H22)))</formula>
    </cfRule>
    <cfRule type="containsText" dxfId="180" priority="206" operator="containsText" text="ممتاز">
      <formula>NOT(ISERROR(SEARCH("ممتاز",H22)))</formula>
    </cfRule>
    <cfRule type="containsText" dxfId="179" priority="207" operator="containsText" text="جيد جداً">
      <formula>NOT(ISERROR(SEARCH("جيد جداً",H22)))</formula>
    </cfRule>
    <cfRule type="containsText" dxfId="178" priority="208" operator="containsText" text="جيد">
      <formula>NOT(ISERROR(SEARCH("جيد",H22)))</formula>
    </cfRule>
    <cfRule type="containsText" dxfId="177" priority="209" operator="containsText" text="مقبول">
      <formula>NOT(ISERROR(SEARCH("مقبول",H22)))</formula>
    </cfRule>
    <cfRule type="containsText" dxfId="176" priority="210" operator="containsText" text="راسب">
      <formula>NOT(ISERROR(SEARCH("راسب",H22)))</formula>
    </cfRule>
  </conditionalFormatting>
  <conditionalFormatting sqref="F21">
    <cfRule type="containsText" dxfId="175" priority="204" operator="containsText" text="أدخل العلامة">
      <formula>NOT(ISERROR(SEARCH("أدخل العلامة",F21)))</formula>
    </cfRule>
  </conditionalFormatting>
  <conditionalFormatting sqref="H21">
    <cfRule type="containsText" dxfId="174" priority="198" operator="containsText" text="أدخل العلامة">
      <formula>NOT(ISERROR(SEARCH("أدخل العلامة",H21)))</formula>
    </cfRule>
    <cfRule type="containsText" dxfId="173" priority="199" operator="containsText" text="ممتاز">
      <formula>NOT(ISERROR(SEARCH("ممتاز",H21)))</formula>
    </cfRule>
    <cfRule type="containsText" dxfId="172" priority="200" operator="containsText" text="جيد جداً">
      <formula>NOT(ISERROR(SEARCH("جيد جداً",H21)))</formula>
    </cfRule>
    <cfRule type="containsText" dxfId="171" priority="201" operator="containsText" text="جيد">
      <formula>NOT(ISERROR(SEARCH("جيد",H21)))</formula>
    </cfRule>
    <cfRule type="containsText" dxfId="170" priority="202" operator="containsText" text="مقبول">
      <formula>NOT(ISERROR(SEARCH("مقبول",H21)))</formula>
    </cfRule>
    <cfRule type="containsText" dxfId="169" priority="203" operator="containsText" text="راسب">
      <formula>NOT(ISERROR(SEARCH("راسب",H21)))</formula>
    </cfRule>
  </conditionalFormatting>
  <conditionalFormatting sqref="F17">
    <cfRule type="containsText" dxfId="168" priority="197" operator="containsText" text="أدخل العلامة">
      <formula>NOT(ISERROR(SEARCH("أدخل العلامة",F17)))</formula>
    </cfRule>
  </conditionalFormatting>
  <conditionalFormatting sqref="H17">
    <cfRule type="containsText" dxfId="167" priority="191" operator="containsText" text="أدخل العلامة">
      <formula>NOT(ISERROR(SEARCH("أدخل العلامة",H17)))</formula>
    </cfRule>
    <cfRule type="containsText" dxfId="166" priority="192" operator="containsText" text="ممتاز">
      <formula>NOT(ISERROR(SEARCH("ممتاز",H17)))</formula>
    </cfRule>
    <cfRule type="containsText" dxfId="165" priority="193" operator="containsText" text="جيد جداً">
      <formula>NOT(ISERROR(SEARCH("جيد جداً",H17)))</formula>
    </cfRule>
    <cfRule type="containsText" dxfId="164" priority="194" operator="containsText" text="جيد">
      <formula>NOT(ISERROR(SEARCH("جيد",H17)))</formula>
    </cfRule>
    <cfRule type="containsText" dxfId="163" priority="195" operator="containsText" text="مقبول">
      <formula>NOT(ISERROR(SEARCH("مقبول",H17)))</formula>
    </cfRule>
    <cfRule type="containsText" dxfId="162" priority="196" operator="containsText" text="راسب">
      <formula>NOT(ISERROR(SEARCH("راسب",H17)))</formula>
    </cfRule>
  </conditionalFormatting>
  <conditionalFormatting sqref="G6">
    <cfRule type="containsText" dxfId="7" priority="5" operator="containsText" text="أدخل الرقم ">
      <formula>NOT(ISERROR(SEARCH("أدخل الرقم ",G6)))</formula>
    </cfRule>
    <cfRule type="containsText" dxfId="6" priority="8" operator="containsText" text="أدخل أسم المحكم">
      <formula>NOT(ISERROR(SEARCH("أدخل أسم المحكم",G6)))</formula>
    </cfRule>
  </conditionalFormatting>
  <conditionalFormatting sqref="G6">
    <cfRule type="containsText" dxfId="5" priority="7" operator="containsText" text="أدخل رقم المعضلة">
      <formula>NOT(ISERROR(SEARCH("أدخل رقم المعضلة",G6)))</formula>
    </cfRule>
  </conditionalFormatting>
  <conditionalFormatting sqref="J6">
    <cfRule type="containsText" dxfId="4" priority="4" operator="containsText" text="أدخل نوع التمرين">
      <formula>NOT(ISERROR(SEARCH("أدخل نوع التمرين",J6)))</formula>
    </cfRule>
    <cfRule type="containsText" dxfId="3" priority="6" operator="containsText" text="أدخل التاريخ">
      <formula>NOT(ISERROR(SEARCH("أدخل التاريخ",J6)))</formula>
    </cfRule>
  </conditionalFormatting>
  <conditionalFormatting sqref="F4:G4">
    <cfRule type="containsText" dxfId="2" priority="3" operator="containsText" text="اليوم">
      <formula>NOT(ISERROR(SEARCH("اليوم",F4)))</formula>
    </cfRule>
  </conditionalFormatting>
  <conditionalFormatting sqref="H4:I4">
    <cfRule type="containsText" dxfId="1" priority="2" operator="containsText" text="الشهر">
      <formula>NOT(ISERROR(SEARCH("الشهر",H4)))</formula>
    </cfRule>
  </conditionalFormatting>
  <conditionalFormatting sqref="J4">
    <cfRule type="containsText" dxfId="0" priority="1" operator="containsText" text="السنة">
      <formula>NOT(ISERROR(SEARCH("السنة",J4)))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F16:F17</xm:sqref>
        </x14:dataValidation>
        <x14:dataValidation type="list" allowBlank="1" showInputMessage="1" showErrorMessage="1" xr:uid="{58CE3459-45CE-4663-998C-88FB1B38926D}">
          <x14:formula1>
            <xm:f>'بيانات التقييم'!$C$26:$C$46</xm:f>
          </x14:formula1>
          <xm:sqref>D6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G6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F20:F22 F18 F12:F14</xm:sqref>
        </x14:dataValidation>
        <x14:dataValidation type="list" allowBlank="1" showInputMessage="1" showErrorMessage="1" xr:uid="{8B6F6508-5B6C-4422-9824-77B28B79004E}">
          <x14:formula1>
            <xm:f>'بيانات التقييم'!$F$1:$F$3</xm:f>
          </x14:formula1>
          <xm:sqref>J6</xm:sqref>
        </x14:dataValidation>
        <x14:dataValidation type="list" allowBlank="1" showInputMessage="1" showErrorMessage="1" xr:uid="{C7AEDE7D-3DAA-4132-8045-7A6B98B31BF9}">
          <x14:formula1>
            <xm:f>'بيانات التقييم'!$G$40:$G$71</xm:f>
          </x14:formula1>
          <xm:sqref>F4:G4</xm:sqref>
        </x14:dataValidation>
        <x14:dataValidation type="list" allowBlank="1" showInputMessage="1" showErrorMessage="1" xr:uid="{745334DF-5E70-4050-9EB1-1B5E0968A14D}">
          <x14:formula1>
            <xm:f>'بيانات التقييم'!$H$40:$H$52</xm:f>
          </x14:formula1>
          <xm:sqref>H4:I4</xm:sqref>
        </x14:dataValidation>
        <x14:dataValidation type="list" allowBlank="1" showInputMessage="1" showErrorMessage="1" xr:uid="{29881FA9-06AF-4BA3-9377-B81A80982A47}">
          <x14:formula1>
            <xm:f>'بيانات التقييم'!$I$40:$I$55</xm:f>
          </x14:formula1>
          <xm:sqref>J4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workbookViewId="0">
      <selection activeCell="C31" sqref="C3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6" ht="20.100000000000001" customHeight="1" thickBot="1" x14ac:dyDescent="0.25">
      <c r="A1" s="2" t="s">
        <v>39</v>
      </c>
      <c r="C1" s="2" t="s">
        <v>42</v>
      </c>
      <c r="F1" s="1" t="s">
        <v>61</v>
      </c>
    </row>
    <row r="2" spans="1:6" ht="20.100000000000001" customHeight="1" thickBot="1" x14ac:dyDescent="0.25">
      <c r="A2" s="2" t="s">
        <v>62</v>
      </c>
      <c r="C2" s="18"/>
      <c r="F2" s="1" t="s">
        <v>58</v>
      </c>
    </row>
    <row r="3" spans="1:6" ht="20.100000000000001" customHeight="1" thickBot="1" x14ac:dyDescent="0.25">
      <c r="A3" s="2" t="s">
        <v>26</v>
      </c>
      <c r="C3" s="18"/>
      <c r="F3" s="1" t="s">
        <v>57</v>
      </c>
    </row>
    <row r="4" spans="1:6" ht="20.100000000000001" customHeight="1" thickBot="1" x14ac:dyDescent="0.25">
      <c r="A4" s="2" t="s">
        <v>63</v>
      </c>
      <c r="C4" s="18"/>
    </row>
    <row r="5" spans="1:6" ht="20.100000000000001" customHeight="1" thickBot="1" x14ac:dyDescent="0.25">
      <c r="A5" s="2" t="s">
        <v>64</v>
      </c>
      <c r="C5" s="18"/>
    </row>
    <row r="6" spans="1:6" ht="20.100000000000001" customHeight="1" thickBot="1" x14ac:dyDescent="0.25">
      <c r="A6" s="2" t="s">
        <v>65</v>
      </c>
      <c r="C6" s="18"/>
    </row>
    <row r="7" spans="1:6" ht="20.100000000000001" customHeight="1" thickBot="1" x14ac:dyDescent="0.25">
      <c r="A7" s="2" t="s">
        <v>66</v>
      </c>
      <c r="C7" s="18"/>
    </row>
    <row r="8" spans="1:6" ht="20.100000000000001" customHeight="1" thickBot="1" x14ac:dyDescent="0.25">
      <c r="A8" s="2" t="s">
        <v>67</v>
      </c>
      <c r="C8" s="18"/>
    </row>
    <row r="9" spans="1:6" ht="20.100000000000001" customHeight="1" thickBot="1" x14ac:dyDescent="0.25">
      <c r="A9" s="2" t="s">
        <v>68</v>
      </c>
      <c r="C9" s="18"/>
    </row>
    <row r="10" spans="1:6" ht="20.100000000000001" customHeight="1" thickBot="1" x14ac:dyDescent="0.25">
      <c r="A10" s="2" t="s">
        <v>69</v>
      </c>
      <c r="C10" s="18"/>
    </row>
    <row r="11" spans="1:6" ht="20.100000000000001" customHeight="1" thickBot="1" x14ac:dyDescent="0.25">
      <c r="A11" s="2" t="s">
        <v>70</v>
      </c>
      <c r="C11" s="18"/>
    </row>
    <row r="12" spans="1:6" ht="20.100000000000001" customHeight="1" thickBot="1" x14ac:dyDescent="0.25">
      <c r="A12" s="2" t="s">
        <v>71</v>
      </c>
      <c r="C12" s="18"/>
    </row>
    <row r="13" spans="1:6" ht="20.100000000000001" customHeight="1" thickBot="1" x14ac:dyDescent="0.25">
      <c r="A13" s="2" t="s">
        <v>72</v>
      </c>
      <c r="C13" s="18"/>
    </row>
    <row r="14" spans="1:6" ht="20.100000000000001" customHeight="1" thickBot="1" x14ac:dyDescent="0.25">
      <c r="A14" s="2" t="s">
        <v>73</v>
      </c>
      <c r="C14" s="18"/>
    </row>
    <row r="15" spans="1:6" ht="20.100000000000001" customHeight="1" thickBot="1" x14ac:dyDescent="0.25">
      <c r="A15" s="2" t="s">
        <v>74</v>
      </c>
      <c r="C15" s="18"/>
    </row>
    <row r="16" spans="1:6" ht="20.100000000000001" customHeight="1" thickBot="1" x14ac:dyDescent="0.25">
      <c r="A16" s="2" t="s">
        <v>10</v>
      </c>
      <c r="C16" s="18"/>
    </row>
    <row r="17" spans="1:3" ht="20.100000000000001" customHeight="1" thickBot="1" x14ac:dyDescent="0.25">
      <c r="A17" s="2" t="s">
        <v>27</v>
      </c>
      <c r="C17" s="18"/>
    </row>
    <row r="18" spans="1:3" ht="20.100000000000001" customHeight="1" thickBot="1" x14ac:dyDescent="0.25">
      <c r="A18" s="2" t="s">
        <v>75</v>
      </c>
      <c r="C18" s="18"/>
    </row>
    <row r="19" spans="1:3" ht="20.100000000000001" customHeight="1" thickBot="1" x14ac:dyDescent="0.25">
      <c r="A19" s="2" t="s">
        <v>76</v>
      </c>
      <c r="C19" s="18"/>
    </row>
    <row r="20" spans="1:3" ht="20.100000000000001" customHeight="1" thickBot="1" x14ac:dyDescent="0.25">
      <c r="A20" s="2" t="s">
        <v>77</v>
      </c>
      <c r="C20" s="18"/>
    </row>
    <row r="21" spans="1:3" ht="20.100000000000001" customHeight="1" thickBot="1" x14ac:dyDescent="0.25">
      <c r="A21" s="2" t="s">
        <v>78</v>
      </c>
      <c r="C21" s="18"/>
    </row>
    <row r="22" spans="1:3" ht="20.100000000000001" customHeight="1" thickBot="1" x14ac:dyDescent="0.25">
      <c r="A22" s="2" t="s">
        <v>11</v>
      </c>
      <c r="C22" s="18"/>
    </row>
    <row r="23" spans="1:3" ht="20.100000000000001" customHeight="1" thickBot="1" x14ac:dyDescent="0.25">
      <c r="A23" s="2" t="s">
        <v>12</v>
      </c>
      <c r="C23" s="18"/>
    </row>
    <row r="24" spans="1:3" ht="20.100000000000001" customHeight="1" thickBot="1" x14ac:dyDescent="0.25">
      <c r="A24" s="2" t="s">
        <v>15</v>
      </c>
      <c r="C24" s="18"/>
    </row>
    <row r="25" spans="1:3" ht="20.100000000000001" customHeight="1" thickBot="1" x14ac:dyDescent="0.25">
      <c r="A25" s="2" t="s">
        <v>28</v>
      </c>
      <c r="C25" s="18"/>
    </row>
    <row r="26" spans="1:3" ht="20.100000000000001" customHeight="1" thickBot="1" x14ac:dyDescent="0.25">
      <c r="A26" s="2" t="s">
        <v>29</v>
      </c>
      <c r="C26" s="34" t="s">
        <v>49</v>
      </c>
    </row>
    <row r="27" spans="1:3" ht="20.100000000000001" customHeight="1" thickBot="1" x14ac:dyDescent="0.25">
      <c r="A27" s="2" t="s">
        <v>13</v>
      </c>
      <c r="C27" s="12" t="s">
        <v>50</v>
      </c>
    </row>
    <row r="28" spans="1:3" ht="20.100000000000001" customHeight="1" thickBot="1" x14ac:dyDescent="0.25">
      <c r="A28" s="2" t="s">
        <v>30</v>
      </c>
      <c r="C28" s="12" t="s">
        <v>51</v>
      </c>
    </row>
    <row r="29" spans="1:3" ht="20.100000000000001" customHeight="1" thickBot="1" x14ac:dyDescent="0.25">
      <c r="A29" s="2" t="s">
        <v>31</v>
      </c>
      <c r="C29" s="12" t="s">
        <v>52</v>
      </c>
    </row>
    <row r="30" spans="1:3" ht="20.100000000000001" customHeight="1" thickBot="1" x14ac:dyDescent="0.25">
      <c r="A30" s="2" t="s">
        <v>32</v>
      </c>
      <c r="C30" s="12" t="s">
        <v>53</v>
      </c>
    </row>
    <row r="31" spans="1:3" ht="20.100000000000001" customHeight="1" thickBot="1" x14ac:dyDescent="0.25">
      <c r="A31" s="2" t="s">
        <v>33</v>
      </c>
      <c r="C31" s="12" t="s">
        <v>54</v>
      </c>
    </row>
    <row r="32" spans="1:3" ht="20.100000000000001" customHeight="1" thickBot="1" x14ac:dyDescent="0.25">
      <c r="A32" s="2" t="s">
        <v>16</v>
      </c>
      <c r="C32" s="12" t="s">
        <v>55</v>
      </c>
    </row>
    <row r="33" spans="1:9" ht="20.100000000000001" customHeight="1" thickBot="1" x14ac:dyDescent="0.25">
      <c r="A33" s="2" t="s">
        <v>14</v>
      </c>
      <c r="C33" s="12" t="s">
        <v>82</v>
      </c>
    </row>
    <row r="34" spans="1:9" ht="20.100000000000001" customHeight="1" thickBot="1" x14ac:dyDescent="0.25">
      <c r="A34" s="2" t="s">
        <v>34</v>
      </c>
      <c r="C34" s="12" t="s">
        <v>83</v>
      </c>
    </row>
    <row r="35" spans="1:9" ht="20.100000000000001" customHeight="1" thickBot="1" x14ac:dyDescent="0.25">
      <c r="A35" s="17"/>
      <c r="C35" s="12" t="s">
        <v>84</v>
      </c>
    </row>
    <row r="36" spans="1:9" s="44" customFormat="1" ht="20.100000000000001" customHeight="1" thickBot="1" x14ac:dyDescent="0.25">
      <c r="A36" s="42"/>
      <c r="B36" s="43"/>
      <c r="C36" s="12" t="s">
        <v>85</v>
      </c>
      <c r="D36" s="43"/>
      <c r="E36" s="43"/>
      <c r="F36" s="43"/>
      <c r="G36" s="43"/>
      <c r="H36" s="43"/>
      <c r="I36" s="43"/>
    </row>
    <row r="37" spans="1:9" ht="20.100000000000001" customHeight="1" thickBot="1" x14ac:dyDescent="0.25">
      <c r="C37" s="12" t="s">
        <v>86</v>
      </c>
    </row>
    <row r="38" spans="1:9" ht="20.100000000000001" customHeight="1" thickBot="1" x14ac:dyDescent="0.25">
      <c r="A38" s="2"/>
      <c r="C38" s="12" t="s">
        <v>87</v>
      </c>
    </row>
    <row r="39" spans="1:9" ht="20.100000000000001" customHeight="1" thickBot="1" x14ac:dyDescent="0.25">
      <c r="A39" s="12"/>
      <c r="C39" s="12" t="s">
        <v>88</v>
      </c>
    </row>
    <row r="40" spans="1:9" ht="20.100000000000001" customHeight="1" thickBot="1" x14ac:dyDescent="0.3">
      <c r="A40" s="12"/>
      <c r="C40" s="12" t="s">
        <v>89</v>
      </c>
      <c r="G40" s="40" t="s">
        <v>79</v>
      </c>
      <c r="H40" s="40" t="s">
        <v>80</v>
      </c>
      <c r="I40" s="40" t="s">
        <v>81</v>
      </c>
    </row>
    <row r="41" spans="1:9" ht="20.100000000000001" customHeight="1" thickBot="1" x14ac:dyDescent="0.25">
      <c r="A41" s="12"/>
      <c r="C41" s="12" t="s">
        <v>90</v>
      </c>
      <c r="G41" s="3">
        <v>1</v>
      </c>
      <c r="H41" s="3">
        <v>1</v>
      </c>
      <c r="I41" s="3">
        <v>2026</v>
      </c>
    </row>
    <row r="42" spans="1:9" ht="20.100000000000001" customHeight="1" thickBot="1" x14ac:dyDescent="0.25">
      <c r="A42" s="12"/>
      <c r="C42" s="12" t="s">
        <v>91</v>
      </c>
      <c r="G42" s="3">
        <v>2</v>
      </c>
      <c r="H42" s="3">
        <v>2</v>
      </c>
      <c r="I42" s="3">
        <v>2027</v>
      </c>
    </row>
    <row r="43" spans="1:9" ht="20.100000000000001" customHeight="1" thickBot="1" x14ac:dyDescent="0.25">
      <c r="A43" s="12"/>
      <c r="C43" s="12" t="s">
        <v>92</v>
      </c>
      <c r="G43" s="3">
        <v>3</v>
      </c>
      <c r="H43" s="3">
        <v>3</v>
      </c>
      <c r="I43" s="3">
        <v>2028</v>
      </c>
    </row>
    <row r="44" spans="1:9" ht="20.100000000000001" customHeight="1" thickBot="1" x14ac:dyDescent="0.25">
      <c r="A44" s="12"/>
      <c r="C44" s="12" t="s">
        <v>93</v>
      </c>
      <c r="G44" s="3">
        <v>4</v>
      </c>
      <c r="H44" s="3">
        <v>4</v>
      </c>
      <c r="I44" s="3">
        <v>2029</v>
      </c>
    </row>
    <row r="45" spans="1:9" ht="20.100000000000001" customHeight="1" thickBot="1" x14ac:dyDescent="0.25">
      <c r="A45" s="12"/>
      <c r="C45" s="12" t="s">
        <v>94</v>
      </c>
      <c r="G45" s="3">
        <v>5</v>
      </c>
      <c r="H45" s="3">
        <v>5</v>
      </c>
      <c r="I45" s="3">
        <v>2030</v>
      </c>
    </row>
    <row r="46" spans="1:9" ht="20.100000000000001" customHeight="1" thickBot="1" x14ac:dyDescent="0.25">
      <c r="A46" s="12"/>
      <c r="C46" s="12" t="s">
        <v>95</v>
      </c>
      <c r="G46" s="3">
        <v>6</v>
      </c>
      <c r="H46" s="3">
        <v>6</v>
      </c>
      <c r="I46" s="3">
        <v>2031</v>
      </c>
    </row>
    <row r="47" spans="1:9" ht="20.100000000000001" customHeight="1" thickBot="1" x14ac:dyDescent="0.25">
      <c r="A47" s="12"/>
      <c r="C47" s="12"/>
      <c r="G47" s="3">
        <v>7</v>
      </c>
      <c r="H47" s="3">
        <v>7</v>
      </c>
      <c r="I47" s="3">
        <v>2032</v>
      </c>
    </row>
    <row r="48" spans="1:9" ht="20.100000000000001" customHeight="1" thickBot="1" x14ac:dyDescent="0.25">
      <c r="A48" s="12"/>
      <c r="G48" s="3">
        <v>8</v>
      </c>
      <c r="H48" s="3">
        <v>8</v>
      </c>
      <c r="I48" s="3">
        <v>2033</v>
      </c>
    </row>
    <row r="49" spans="1:9" ht="20.100000000000001" customHeight="1" thickBot="1" x14ac:dyDescent="0.25">
      <c r="A49" s="12"/>
      <c r="G49" s="3">
        <v>9</v>
      </c>
      <c r="H49" s="3">
        <v>9</v>
      </c>
      <c r="I49" s="3">
        <v>2034</v>
      </c>
    </row>
    <row r="50" spans="1:9" ht="20.100000000000001" customHeight="1" thickBot="1" x14ac:dyDescent="0.3">
      <c r="A50" s="12"/>
      <c r="C50" s="35" t="s">
        <v>60</v>
      </c>
      <c r="G50" s="3">
        <v>10</v>
      </c>
      <c r="H50" s="3">
        <v>10</v>
      </c>
      <c r="I50" s="3">
        <v>2035</v>
      </c>
    </row>
    <row r="51" spans="1:9" ht="20.100000000000001" customHeight="1" thickBot="1" x14ac:dyDescent="0.3">
      <c r="A51" s="12"/>
      <c r="C51" s="35">
        <v>1</v>
      </c>
      <c r="G51" s="3">
        <v>11</v>
      </c>
      <c r="H51" s="3">
        <v>11</v>
      </c>
      <c r="I51" s="3">
        <v>2036</v>
      </c>
    </row>
    <row r="52" spans="1:9" ht="20.100000000000001" customHeight="1" thickBot="1" x14ac:dyDescent="0.3">
      <c r="A52" s="12"/>
      <c r="C52" s="35">
        <v>2</v>
      </c>
      <c r="G52" s="3">
        <v>12</v>
      </c>
      <c r="H52" s="3">
        <v>12</v>
      </c>
      <c r="I52" s="3">
        <v>2037</v>
      </c>
    </row>
    <row r="53" spans="1:9" ht="20.100000000000001" customHeight="1" thickBot="1" x14ac:dyDescent="0.3">
      <c r="A53" s="12"/>
      <c r="C53" s="35">
        <v>3</v>
      </c>
      <c r="G53" s="3">
        <v>13</v>
      </c>
      <c r="I53" s="3">
        <v>2038</v>
      </c>
    </row>
    <row r="54" spans="1:9" ht="20.100000000000001" customHeight="1" thickBot="1" x14ac:dyDescent="0.3">
      <c r="A54" s="12"/>
      <c r="C54" s="35">
        <v>4</v>
      </c>
      <c r="G54" s="3">
        <v>14</v>
      </c>
      <c r="I54" s="3">
        <v>2039</v>
      </c>
    </row>
    <row r="55" spans="1:9" ht="20.100000000000001" customHeight="1" thickBot="1" x14ac:dyDescent="0.3">
      <c r="A55" s="12"/>
      <c r="C55" s="35">
        <v>5</v>
      </c>
      <c r="G55" s="3">
        <v>15</v>
      </c>
      <c r="I55" s="3">
        <v>2040</v>
      </c>
    </row>
    <row r="56" spans="1:9" ht="20.100000000000001" customHeight="1" thickBot="1" x14ac:dyDescent="0.3">
      <c r="A56" s="12"/>
      <c r="C56" s="35">
        <v>6</v>
      </c>
      <c r="G56" s="3">
        <v>16</v>
      </c>
    </row>
    <row r="57" spans="1:9" ht="20.100000000000001" customHeight="1" thickBot="1" x14ac:dyDescent="0.3">
      <c r="A57" s="12"/>
      <c r="C57" s="35">
        <v>7</v>
      </c>
      <c r="G57" s="3">
        <v>17</v>
      </c>
    </row>
    <row r="58" spans="1:9" ht="20.100000000000001" customHeight="1" thickBot="1" x14ac:dyDescent="0.3">
      <c r="A58" s="12"/>
      <c r="C58" s="35">
        <v>8</v>
      </c>
      <c r="G58" s="3">
        <v>18</v>
      </c>
    </row>
    <row r="59" spans="1:9" ht="20.100000000000001" customHeight="1" thickBot="1" x14ac:dyDescent="0.3">
      <c r="A59" s="12"/>
      <c r="C59" s="35">
        <v>9</v>
      </c>
      <c r="G59" s="3">
        <v>19</v>
      </c>
    </row>
    <row r="60" spans="1:9" ht="20.100000000000001" customHeight="1" thickBot="1" x14ac:dyDescent="0.3">
      <c r="A60" s="12"/>
      <c r="C60" s="35">
        <v>10</v>
      </c>
      <c r="G60" s="3">
        <v>20</v>
      </c>
    </row>
    <row r="61" spans="1:9" ht="20.100000000000001" customHeight="1" thickBot="1" x14ac:dyDescent="0.3">
      <c r="A61" s="12"/>
      <c r="C61" s="35">
        <v>11</v>
      </c>
      <c r="G61" s="3">
        <v>21</v>
      </c>
    </row>
    <row r="62" spans="1:9" ht="20.100000000000001" customHeight="1" thickBot="1" x14ac:dyDescent="0.3">
      <c r="A62" s="12"/>
      <c r="C62" s="35">
        <v>12</v>
      </c>
      <c r="G62" s="3">
        <v>22</v>
      </c>
    </row>
    <row r="63" spans="1:9" ht="20.100000000000001" customHeight="1" thickBot="1" x14ac:dyDescent="0.3">
      <c r="A63" s="12"/>
      <c r="C63" s="35">
        <v>13</v>
      </c>
      <c r="G63" s="3">
        <v>23</v>
      </c>
    </row>
    <row r="64" spans="1:9" ht="20.100000000000001" customHeight="1" thickBot="1" x14ac:dyDescent="0.3">
      <c r="A64" s="12"/>
      <c r="C64" s="35">
        <v>14</v>
      </c>
      <c r="G64" s="3">
        <v>24</v>
      </c>
    </row>
    <row r="65" spans="1:9" ht="20.100000000000001" customHeight="1" thickBot="1" x14ac:dyDescent="0.3">
      <c r="A65" s="12"/>
      <c r="C65" s="35">
        <v>15</v>
      </c>
      <c r="G65" s="3">
        <v>25</v>
      </c>
    </row>
    <row r="66" spans="1:9" ht="20.100000000000001" customHeight="1" thickBot="1" x14ac:dyDescent="0.3">
      <c r="A66" s="12"/>
      <c r="C66" s="35">
        <v>16</v>
      </c>
      <c r="G66" s="3">
        <v>26</v>
      </c>
    </row>
    <row r="67" spans="1:9" ht="20.100000000000001" customHeight="1" thickBot="1" x14ac:dyDescent="0.3">
      <c r="A67" s="12"/>
      <c r="C67" s="35">
        <v>17</v>
      </c>
      <c r="G67" s="3">
        <v>27</v>
      </c>
    </row>
    <row r="68" spans="1:9" ht="20.100000000000001" customHeight="1" thickBot="1" x14ac:dyDescent="0.3">
      <c r="A68" s="12"/>
      <c r="C68" s="35">
        <v>18</v>
      </c>
      <c r="G68" s="3">
        <v>28</v>
      </c>
    </row>
    <row r="69" spans="1:9" ht="20.100000000000001" customHeight="1" thickBot="1" x14ac:dyDescent="0.3">
      <c r="A69" s="12"/>
      <c r="C69" s="35">
        <v>19</v>
      </c>
      <c r="G69" s="3">
        <v>29</v>
      </c>
    </row>
    <row r="70" spans="1:9" ht="20.100000000000001" customHeight="1" x14ac:dyDescent="0.25">
      <c r="A70" s="13"/>
      <c r="C70" s="35">
        <v>20</v>
      </c>
      <c r="G70" s="3">
        <v>30</v>
      </c>
    </row>
    <row r="71" spans="1:9" ht="20.100000000000001" customHeight="1" x14ac:dyDescent="0.25">
      <c r="A71" s="13"/>
      <c r="C71" s="35">
        <v>21</v>
      </c>
      <c r="G71" s="3">
        <v>31</v>
      </c>
    </row>
    <row r="72" spans="1:9" s="16" customFormat="1" ht="20.100000000000001" customHeight="1" x14ac:dyDescent="0.25">
      <c r="A72" s="14"/>
      <c r="B72" s="15"/>
      <c r="C72" s="35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5">
        <v>23</v>
      </c>
    </row>
    <row r="74" spans="1:9" ht="20.100000000000001" customHeight="1" thickBot="1" x14ac:dyDescent="0.3">
      <c r="A74" s="2" t="s">
        <v>43</v>
      </c>
      <c r="C74" s="35">
        <v>24</v>
      </c>
    </row>
    <row r="75" spans="1:9" ht="20.100000000000001" customHeight="1" thickBot="1" x14ac:dyDescent="0.3">
      <c r="A75" s="2" t="s">
        <v>17</v>
      </c>
      <c r="C75" s="35">
        <v>25</v>
      </c>
    </row>
    <row r="76" spans="1:9" ht="20.100000000000001" customHeight="1" thickBot="1" x14ac:dyDescent="0.3">
      <c r="A76" s="2">
        <v>0</v>
      </c>
      <c r="C76" s="35">
        <v>26</v>
      </c>
    </row>
    <row r="77" spans="1:9" ht="20.100000000000001" customHeight="1" thickBot="1" x14ac:dyDescent="0.3">
      <c r="A77" s="2">
        <v>0.25</v>
      </c>
      <c r="C77" s="35">
        <v>27</v>
      </c>
    </row>
    <row r="78" spans="1:9" ht="20.100000000000001" customHeight="1" thickBot="1" x14ac:dyDescent="0.3">
      <c r="A78" s="2">
        <v>0.5</v>
      </c>
      <c r="C78" s="35">
        <v>28</v>
      </c>
    </row>
    <row r="79" spans="1:9" ht="20.100000000000001" customHeight="1" thickBot="1" x14ac:dyDescent="0.3">
      <c r="A79" s="2">
        <v>0.75</v>
      </c>
      <c r="C79" s="35">
        <v>29</v>
      </c>
    </row>
    <row r="80" spans="1:9" ht="20.100000000000001" customHeight="1" thickBot="1" x14ac:dyDescent="0.3">
      <c r="A80" s="2">
        <v>1</v>
      </c>
      <c r="C80" s="35">
        <v>30</v>
      </c>
    </row>
    <row r="81" spans="1:3" ht="20.100000000000001" customHeight="1" thickBot="1" x14ac:dyDescent="0.3">
      <c r="A81" s="2">
        <v>1.25</v>
      </c>
      <c r="C81" s="35">
        <v>31</v>
      </c>
    </row>
    <row r="82" spans="1:3" ht="20.100000000000001" customHeight="1" thickBot="1" x14ac:dyDescent="0.3">
      <c r="A82" s="2">
        <v>1.5</v>
      </c>
      <c r="C82" s="35">
        <v>32</v>
      </c>
    </row>
    <row r="83" spans="1:3" ht="20.100000000000001" customHeight="1" thickBot="1" x14ac:dyDescent="0.3">
      <c r="A83" s="2">
        <v>1.75</v>
      </c>
      <c r="C83" s="35">
        <v>33</v>
      </c>
    </row>
    <row r="84" spans="1:3" ht="20.100000000000001" customHeight="1" thickBot="1" x14ac:dyDescent="0.3">
      <c r="A84" s="2">
        <v>2</v>
      </c>
      <c r="C84" s="35">
        <v>34</v>
      </c>
    </row>
    <row r="85" spans="1:3" ht="20.100000000000001" customHeight="1" thickBot="1" x14ac:dyDescent="0.3">
      <c r="A85" s="2">
        <v>2.25</v>
      </c>
      <c r="C85" s="35">
        <v>35</v>
      </c>
    </row>
    <row r="86" spans="1:3" ht="20.100000000000001" customHeight="1" thickBot="1" x14ac:dyDescent="0.3">
      <c r="A86" s="2">
        <v>2.5</v>
      </c>
      <c r="C86" s="35">
        <v>36</v>
      </c>
    </row>
    <row r="87" spans="1:3" ht="20.100000000000001" customHeight="1" thickBot="1" x14ac:dyDescent="0.3">
      <c r="A87" s="2">
        <v>2.75</v>
      </c>
      <c r="C87" s="35">
        <v>37</v>
      </c>
    </row>
    <row r="88" spans="1:3" ht="20.100000000000001" customHeight="1" thickBot="1" x14ac:dyDescent="0.3">
      <c r="A88" s="2">
        <v>3</v>
      </c>
      <c r="C88" s="35">
        <v>38</v>
      </c>
    </row>
    <row r="89" spans="1:3" ht="20.100000000000001" customHeight="1" thickBot="1" x14ac:dyDescent="0.3">
      <c r="A89" s="2">
        <v>3.25</v>
      </c>
      <c r="C89" s="35">
        <v>39</v>
      </c>
    </row>
    <row r="90" spans="1:3" ht="20.100000000000001" customHeight="1" thickBot="1" x14ac:dyDescent="0.3">
      <c r="A90" s="2">
        <v>3.5</v>
      </c>
      <c r="C90" s="35">
        <v>40</v>
      </c>
    </row>
    <row r="91" spans="1:3" ht="20.100000000000001" customHeight="1" thickBot="1" x14ac:dyDescent="0.3">
      <c r="A91" s="2">
        <v>3.75</v>
      </c>
      <c r="C91" s="35">
        <v>41</v>
      </c>
    </row>
    <row r="92" spans="1:3" ht="20.100000000000001" customHeight="1" thickBot="1" x14ac:dyDescent="0.3">
      <c r="A92" s="2">
        <v>4</v>
      </c>
      <c r="C92" s="35">
        <v>42</v>
      </c>
    </row>
    <row r="93" spans="1:3" ht="20.100000000000001" customHeight="1" thickBot="1" x14ac:dyDescent="0.3">
      <c r="A93" s="2">
        <v>4.25</v>
      </c>
      <c r="C93" s="35">
        <v>43</v>
      </c>
    </row>
    <row r="94" spans="1:3" ht="20.100000000000001" customHeight="1" thickBot="1" x14ac:dyDescent="0.3">
      <c r="A94" s="2">
        <v>4.5</v>
      </c>
      <c r="C94" s="35">
        <v>44</v>
      </c>
    </row>
    <row r="95" spans="1:3" ht="20.100000000000001" customHeight="1" thickBot="1" x14ac:dyDescent="0.3">
      <c r="A95" s="2">
        <v>4.75</v>
      </c>
      <c r="C95" s="35">
        <v>45</v>
      </c>
    </row>
    <row r="96" spans="1:3" ht="20.100000000000001" customHeight="1" thickBot="1" x14ac:dyDescent="0.3">
      <c r="A96" s="2">
        <v>5</v>
      </c>
      <c r="C96" s="35">
        <v>46</v>
      </c>
    </row>
    <row r="97" spans="1:3" ht="20.100000000000001" customHeight="1" thickBot="1" x14ac:dyDescent="0.3">
      <c r="A97" s="2">
        <v>5.25</v>
      </c>
      <c r="C97" s="35">
        <v>47</v>
      </c>
    </row>
    <row r="98" spans="1:3" ht="20.100000000000001" customHeight="1" thickBot="1" x14ac:dyDescent="0.3">
      <c r="A98" s="2">
        <v>5.5</v>
      </c>
      <c r="C98" s="35">
        <v>48</v>
      </c>
    </row>
    <row r="99" spans="1:3" ht="20.100000000000001" customHeight="1" thickBot="1" x14ac:dyDescent="0.3">
      <c r="A99" s="2">
        <v>5.75</v>
      </c>
      <c r="C99" s="35">
        <v>49</v>
      </c>
    </row>
    <row r="100" spans="1:3" ht="20.100000000000001" customHeight="1" thickBot="1" x14ac:dyDescent="0.3">
      <c r="A100" s="2">
        <v>6</v>
      </c>
      <c r="C100" s="35">
        <v>50</v>
      </c>
    </row>
    <row r="101" spans="1:3" ht="20.100000000000001" customHeight="1" thickBot="1" x14ac:dyDescent="0.3">
      <c r="A101" s="2">
        <v>6.25</v>
      </c>
      <c r="C101" s="35">
        <v>51</v>
      </c>
    </row>
    <row r="102" spans="1:3" ht="20.100000000000001" customHeight="1" thickBot="1" x14ac:dyDescent="0.3">
      <c r="A102" s="2">
        <v>6.5</v>
      </c>
      <c r="C102" s="35">
        <v>52</v>
      </c>
    </row>
    <row r="103" spans="1:3" ht="20.100000000000001" customHeight="1" thickBot="1" x14ac:dyDescent="0.3">
      <c r="A103" s="2">
        <v>6.75</v>
      </c>
      <c r="C103" s="35">
        <v>53</v>
      </c>
    </row>
    <row r="104" spans="1:3" ht="20.100000000000001" customHeight="1" thickBot="1" x14ac:dyDescent="0.3">
      <c r="A104" s="2">
        <v>7</v>
      </c>
      <c r="C104" s="35">
        <v>54</v>
      </c>
    </row>
    <row r="105" spans="1:3" ht="20.100000000000001" customHeight="1" thickBot="1" x14ac:dyDescent="0.3">
      <c r="A105" s="2">
        <v>7.25</v>
      </c>
      <c r="C105" s="35">
        <v>55</v>
      </c>
    </row>
    <row r="106" spans="1:3" ht="20.100000000000001" customHeight="1" thickBot="1" x14ac:dyDescent="0.3">
      <c r="A106" s="2">
        <v>7.5</v>
      </c>
      <c r="C106" s="35">
        <v>56</v>
      </c>
    </row>
    <row r="107" spans="1:3" ht="20.100000000000001" customHeight="1" thickBot="1" x14ac:dyDescent="0.3">
      <c r="A107" s="2">
        <v>7.75</v>
      </c>
      <c r="C107" s="35">
        <v>57</v>
      </c>
    </row>
    <row r="108" spans="1:3" ht="20.100000000000001" customHeight="1" thickBot="1" x14ac:dyDescent="0.3">
      <c r="A108" s="2">
        <v>8</v>
      </c>
      <c r="C108" s="35">
        <v>58</v>
      </c>
    </row>
    <row r="109" spans="1:3" ht="20.100000000000001" customHeight="1" thickBot="1" x14ac:dyDescent="0.3">
      <c r="A109" s="2">
        <v>8.25</v>
      </c>
      <c r="C109" s="35">
        <v>59</v>
      </c>
    </row>
    <row r="110" spans="1:3" ht="20.100000000000001" customHeight="1" thickBot="1" x14ac:dyDescent="0.3">
      <c r="A110" s="2">
        <v>8.5</v>
      </c>
      <c r="C110" s="35">
        <v>60</v>
      </c>
    </row>
    <row r="111" spans="1:3" ht="20.100000000000001" customHeight="1" thickBot="1" x14ac:dyDescent="0.3">
      <c r="A111" s="2">
        <v>8.75</v>
      </c>
      <c r="C111" s="35">
        <v>61</v>
      </c>
    </row>
    <row r="112" spans="1:3" ht="20.100000000000001" customHeight="1" thickBot="1" x14ac:dyDescent="0.3">
      <c r="A112" s="2">
        <v>9</v>
      </c>
      <c r="C112" s="35">
        <v>62</v>
      </c>
    </row>
    <row r="113" spans="1:3" ht="20.100000000000001" customHeight="1" thickBot="1" x14ac:dyDescent="0.3">
      <c r="A113" s="2">
        <v>9.25</v>
      </c>
      <c r="C113" s="35">
        <v>63</v>
      </c>
    </row>
    <row r="114" spans="1:3" ht="20.100000000000001" customHeight="1" thickBot="1" x14ac:dyDescent="0.3">
      <c r="A114" s="2">
        <v>9.5</v>
      </c>
      <c r="C114" s="35">
        <v>64</v>
      </c>
    </row>
    <row r="115" spans="1:3" ht="20.100000000000001" customHeight="1" thickBot="1" x14ac:dyDescent="0.3">
      <c r="A115" s="2">
        <v>9.75</v>
      </c>
      <c r="C115" s="35">
        <v>65</v>
      </c>
    </row>
    <row r="116" spans="1:3" ht="20.100000000000001" customHeight="1" thickBot="1" x14ac:dyDescent="0.3">
      <c r="A116" s="2">
        <v>10</v>
      </c>
      <c r="C116" s="35">
        <v>66</v>
      </c>
    </row>
    <row r="117" spans="1:3" ht="20.100000000000001" customHeight="1" thickBot="1" x14ac:dyDescent="0.3">
      <c r="A117" s="2">
        <v>10.25</v>
      </c>
      <c r="C117" s="35">
        <v>67</v>
      </c>
    </row>
    <row r="118" spans="1:3" ht="20.100000000000001" customHeight="1" thickBot="1" x14ac:dyDescent="0.3">
      <c r="A118" s="2">
        <v>10.5</v>
      </c>
      <c r="C118" s="35">
        <v>68</v>
      </c>
    </row>
    <row r="119" spans="1:3" ht="20.100000000000001" customHeight="1" thickBot="1" x14ac:dyDescent="0.3">
      <c r="A119" s="2">
        <v>10.75</v>
      </c>
      <c r="C119" s="35">
        <v>69</v>
      </c>
    </row>
    <row r="120" spans="1:3" ht="20.100000000000001" customHeight="1" thickBot="1" x14ac:dyDescent="0.3">
      <c r="A120" s="2">
        <v>11</v>
      </c>
      <c r="C120" s="35">
        <v>70</v>
      </c>
    </row>
    <row r="121" spans="1:3" ht="20.100000000000001" customHeight="1" thickBot="1" x14ac:dyDescent="0.3">
      <c r="A121" s="2">
        <v>11.25</v>
      </c>
      <c r="C121" s="35">
        <v>71</v>
      </c>
    </row>
    <row r="122" spans="1:3" ht="20.100000000000001" customHeight="1" thickBot="1" x14ac:dyDescent="0.3">
      <c r="A122" s="2">
        <v>11.5</v>
      </c>
      <c r="C122" s="35">
        <v>72</v>
      </c>
    </row>
    <row r="123" spans="1:3" ht="20.100000000000001" customHeight="1" thickBot="1" x14ac:dyDescent="0.3">
      <c r="A123" s="2">
        <v>11.75</v>
      </c>
      <c r="C123" s="35">
        <v>73</v>
      </c>
    </row>
    <row r="124" spans="1:3" ht="20.100000000000001" customHeight="1" thickBot="1" x14ac:dyDescent="0.3">
      <c r="A124" s="2">
        <v>12</v>
      </c>
      <c r="C124" s="35">
        <v>74</v>
      </c>
    </row>
    <row r="125" spans="1:3" ht="20.100000000000001" customHeight="1" thickBot="1" x14ac:dyDescent="0.3">
      <c r="A125" s="2">
        <v>12.25</v>
      </c>
      <c r="C125" s="35">
        <v>75</v>
      </c>
    </row>
    <row r="126" spans="1:3" ht="20.100000000000001" customHeight="1" thickBot="1" x14ac:dyDescent="0.3">
      <c r="A126" s="2">
        <v>12.5</v>
      </c>
      <c r="C126" s="35">
        <v>76</v>
      </c>
    </row>
    <row r="127" spans="1:3" ht="20.100000000000001" customHeight="1" thickBot="1" x14ac:dyDescent="0.3">
      <c r="A127" s="2">
        <v>12.75</v>
      </c>
      <c r="C127" s="35">
        <v>77</v>
      </c>
    </row>
    <row r="128" spans="1:3" ht="20.100000000000001" customHeight="1" thickBot="1" x14ac:dyDescent="0.3">
      <c r="A128" s="2">
        <v>13</v>
      </c>
      <c r="C128" s="35">
        <v>78</v>
      </c>
    </row>
    <row r="129" spans="1:3" ht="20.100000000000001" customHeight="1" thickBot="1" x14ac:dyDescent="0.3">
      <c r="A129" s="2">
        <v>13.25</v>
      </c>
      <c r="C129" s="35">
        <v>79</v>
      </c>
    </row>
    <row r="130" spans="1:3" ht="20.100000000000001" customHeight="1" thickBot="1" x14ac:dyDescent="0.3">
      <c r="A130" s="2">
        <v>13.5</v>
      </c>
      <c r="C130" s="35">
        <v>80</v>
      </c>
    </row>
    <row r="131" spans="1:3" ht="20.100000000000001" customHeight="1" thickBot="1" x14ac:dyDescent="0.3">
      <c r="A131" s="2">
        <v>13.75</v>
      </c>
      <c r="C131" s="35">
        <v>81</v>
      </c>
    </row>
    <row r="132" spans="1:3" ht="20.100000000000001" customHeight="1" thickBot="1" x14ac:dyDescent="0.3">
      <c r="A132" s="2">
        <v>14</v>
      </c>
      <c r="C132" s="35">
        <v>82</v>
      </c>
    </row>
    <row r="133" spans="1:3" ht="20.100000000000001" customHeight="1" thickBot="1" x14ac:dyDescent="0.3">
      <c r="A133" s="2">
        <v>14.25</v>
      </c>
      <c r="C133" s="35">
        <v>83</v>
      </c>
    </row>
    <row r="134" spans="1:3" ht="20.100000000000001" customHeight="1" thickBot="1" x14ac:dyDescent="0.3">
      <c r="A134" s="2">
        <v>14.5</v>
      </c>
      <c r="C134" s="35">
        <v>84</v>
      </c>
    </row>
    <row r="135" spans="1:3" ht="20.100000000000001" customHeight="1" thickBot="1" x14ac:dyDescent="0.3">
      <c r="A135" s="2">
        <v>14.75</v>
      </c>
      <c r="C135" s="35">
        <v>85</v>
      </c>
    </row>
    <row r="136" spans="1:3" ht="20.100000000000001" customHeight="1" thickBot="1" x14ac:dyDescent="0.3">
      <c r="A136" s="2">
        <v>15</v>
      </c>
      <c r="C136" s="35">
        <v>86</v>
      </c>
    </row>
    <row r="137" spans="1:3" ht="20.100000000000001" customHeight="1" thickBot="1" x14ac:dyDescent="0.3">
      <c r="A137" s="2">
        <v>15.25</v>
      </c>
      <c r="C137" s="35">
        <v>87</v>
      </c>
    </row>
    <row r="138" spans="1:3" ht="20.100000000000001" customHeight="1" thickBot="1" x14ac:dyDescent="0.3">
      <c r="A138" s="2">
        <v>15.5</v>
      </c>
      <c r="C138" s="35">
        <v>88</v>
      </c>
    </row>
    <row r="139" spans="1:3" ht="20.100000000000001" customHeight="1" thickBot="1" x14ac:dyDescent="0.3">
      <c r="A139" s="2">
        <v>15.75</v>
      </c>
      <c r="C139" s="35">
        <v>89</v>
      </c>
    </row>
    <row r="140" spans="1:3" ht="20.100000000000001" customHeight="1" thickBot="1" x14ac:dyDescent="0.3">
      <c r="A140" s="2">
        <v>16</v>
      </c>
      <c r="C140" s="35">
        <v>90</v>
      </c>
    </row>
    <row r="141" spans="1:3" ht="20.100000000000001" customHeight="1" thickBot="1" x14ac:dyDescent="0.3">
      <c r="A141" s="2">
        <v>16.25</v>
      </c>
      <c r="C141" s="35">
        <v>91</v>
      </c>
    </row>
    <row r="142" spans="1:3" ht="20.100000000000001" customHeight="1" thickBot="1" x14ac:dyDescent="0.3">
      <c r="A142" s="2">
        <v>16.5</v>
      </c>
      <c r="C142" s="35">
        <v>92</v>
      </c>
    </row>
    <row r="143" spans="1:3" ht="20.100000000000001" customHeight="1" thickBot="1" x14ac:dyDescent="0.3">
      <c r="A143" s="2">
        <v>16.75</v>
      </c>
      <c r="C143" s="35">
        <v>93</v>
      </c>
    </row>
    <row r="144" spans="1:3" ht="20.100000000000001" customHeight="1" thickBot="1" x14ac:dyDescent="0.3">
      <c r="A144" s="2">
        <v>17</v>
      </c>
      <c r="C144" s="35">
        <v>94</v>
      </c>
    </row>
    <row r="145" spans="1:3" ht="20.100000000000001" customHeight="1" thickBot="1" x14ac:dyDescent="0.3">
      <c r="A145" s="2">
        <v>17.25</v>
      </c>
      <c r="C145" s="35">
        <v>95</v>
      </c>
    </row>
    <row r="146" spans="1:3" ht="20.100000000000001" customHeight="1" thickBot="1" x14ac:dyDescent="0.3">
      <c r="A146" s="2">
        <v>17.5</v>
      </c>
      <c r="C146" s="35">
        <v>96</v>
      </c>
    </row>
    <row r="147" spans="1:3" ht="20.100000000000001" customHeight="1" thickBot="1" x14ac:dyDescent="0.3">
      <c r="A147" s="2">
        <v>17.75</v>
      </c>
      <c r="C147" s="35">
        <v>97</v>
      </c>
    </row>
    <row r="148" spans="1:3" ht="20.100000000000001" customHeight="1" thickBot="1" x14ac:dyDescent="0.3">
      <c r="A148" s="2">
        <v>18</v>
      </c>
      <c r="C148" s="35">
        <v>98</v>
      </c>
    </row>
    <row r="149" spans="1:3" ht="20.100000000000001" customHeight="1" thickBot="1" x14ac:dyDescent="0.3">
      <c r="A149" s="2">
        <v>18.25</v>
      </c>
      <c r="C149" s="35">
        <v>99</v>
      </c>
    </row>
    <row r="150" spans="1:3" ht="20.100000000000001" customHeight="1" thickBot="1" x14ac:dyDescent="0.3">
      <c r="A150" s="2">
        <v>18.5</v>
      </c>
      <c r="C150" s="35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41</v>
      </c>
    </row>
    <row r="162" spans="1:1" ht="20.100000000000001" customHeight="1" x14ac:dyDescent="0.2">
      <c r="A162" s="19"/>
    </row>
    <row r="163" spans="1:1" ht="20.100000000000001" customHeight="1" x14ac:dyDescent="0.2">
      <c r="A163" s="19"/>
    </row>
    <row r="164" spans="1:1" ht="20.100000000000001" customHeight="1" x14ac:dyDescent="0.2">
      <c r="A164" s="19"/>
    </row>
    <row r="165" spans="1:1" ht="20.100000000000001" customHeight="1" x14ac:dyDescent="0.2">
      <c r="A165" s="19"/>
    </row>
    <row r="166" spans="1:1" ht="20.100000000000001" customHeight="1" x14ac:dyDescent="0.2">
      <c r="A166" s="19"/>
    </row>
    <row r="167" spans="1:1" ht="20.100000000000001" customHeight="1" x14ac:dyDescent="0.2">
      <c r="A167" s="19"/>
    </row>
    <row r="168" spans="1:1" ht="20.100000000000001" customHeight="1" x14ac:dyDescent="0.2">
      <c r="A168" s="19"/>
    </row>
    <row r="169" spans="1:1" ht="20.100000000000001" customHeight="1" x14ac:dyDescent="0.2">
      <c r="A169" s="19"/>
    </row>
    <row r="170" spans="1:1" ht="20.100000000000001" customHeight="1" x14ac:dyDescent="0.2">
      <c r="A170" s="19"/>
    </row>
    <row r="171" spans="1:1" ht="20.100000000000001" customHeight="1" x14ac:dyDescent="0.2">
      <c r="A171" s="20"/>
    </row>
    <row r="172" spans="1:1" ht="20.100000000000001" customHeight="1" x14ac:dyDescent="0.2">
      <c r="A172" s="20"/>
    </row>
    <row r="173" spans="1:1" ht="20.100000000000001" customHeight="1" x14ac:dyDescent="0.2">
      <c r="A173" s="19"/>
    </row>
    <row r="174" spans="1:1" ht="20.100000000000001" customHeight="1" x14ac:dyDescent="0.2">
      <c r="A174" s="19"/>
    </row>
    <row r="175" spans="1:1" ht="20.100000000000001" customHeight="1" x14ac:dyDescent="0.2">
      <c r="A175" s="19"/>
    </row>
    <row r="176" spans="1:1" ht="20.100000000000001" customHeight="1" x14ac:dyDescent="0.2">
      <c r="A176" s="19"/>
    </row>
    <row r="177" spans="1:1" ht="20.100000000000001" customHeight="1" x14ac:dyDescent="0.2">
      <c r="A177" s="19"/>
    </row>
    <row r="178" spans="1:1" ht="20.100000000000001" customHeight="1" x14ac:dyDescent="0.2">
      <c r="A178" s="19"/>
    </row>
    <row r="179" spans="1:1" ht="20.100000000000001" customHeight="1" x14ac:dyDescent="0.2">
      <c r="A179" s="19"/>
    </row>
    <row r="180" spans="1:1" ht="20.100000000000001" customHeight="1" x14ac:dyDescent="0.2">
      <c r="A180" s="19"/>
    </row>
    <row r="181" spans="1:1" ht="20.100000000000001" customHeight="1" x14ac:dyDescent="0.2">
      <c r="A181" s="19"/>
    </row>
    <row r="182" spans="1:1" ht="20.100000000000001" customHeight="1" x14ac:dyDescent="0.2">
      <c r="A182" s="19"/>
    </row>
    <row r="183" spans="1:1" ht="20.100000000000001" customHeight="1" x14ac:dyDescent="0.2">
      <c r="A183" s="19"/>
    </row>
    <row r="184" spans="1:1" ht="20.100000000000001" customHeight="1" x14ac:dyDescent="0.2">
      <c r="A184" s="19"/>
    </row>
    <row r="185" spans="1:1" ht="20.100000000000001" customHeight="1" x14ac:dyDescent="0.2">
      <c r="A185" s="19"/>
    </row>
    <row r="186" spans="1:1" ht="20.100000000000001" customHeight="1" x14ac:dyDescent="0.2">
      <c r="A186" s="19"/>
    </row>
    <row r="187" spans="1:1" ht="20.100000000000001" customHeight="1" x14ac:dyDescent="0.2">
      <c r="A187" s="19"/>
    </row>
    <row r="188" spans="1:1" ht="20.100000000000001" customHeight="1" x14ac:dyDescent="0.2">
      <c r="A188" s="19"/>
    </row>
    <row r="189" spans="1:1" ht="20.100000000000001" customHeight="1" x14ac:dyDescent="0.2">
      <c r="A189" s="19"/>
    </row>
    <row r="190" spans="1:1" ht="20.100000000000001" customHeight="1" x14ac:dyDescent="0.2">
      <c r="A190" s="19"/>
    </row>
    <row r="191" spans="1:1" ht="20.100000000000001" customHeight="1" x14ac:dyDescent="0.2">
      <c r="A191" s="19"/>
    </row>
    <row r="192" spans="1:1" ht="20.100000000000001" customHeight="1" x14ac:dyDescent="0.2">
      <c r="A192" s="19"/>
    </row>
    <row r="193" spans="1:1" ht="20.100000000000001" customHeight="1" x14ac:dyDescent="0.2">
      <c r="A193" s="19"/>
    </row>
    <row r="194" spans="1:1" ht="20.100000000000001" customHeight="1" x14ac:dyDescent="0.2">
      <c r="A194" s="19"/>
    </row>
    <row r="195" spans="1:1" ht="20.100000000000001" customHeight="1" x14ac:dyDescent="0.2">
      <c r="A195" s="19"/>
    </row>
    <row r="196" spans="1:1" ht="20.100000000000001" customHeight="1" x14ac:dyDescent="0.2">
      <c r="A196" s="19"/>
    </row>
    <row r="197" spans="1:1" ht="20.100000000000001" customHeight="1" x14ac:dyDescent="0.2">
      <c r="A197" s="19"/>
    </row>
    <row r="198" spans="1:1" ht="20.100000000000001" customHeight="1" x14ac:dyDescent="0.2">
      <c r="A198" s="21"/>
    </row>
    <row r="199" spans="1:1" ht="20.100000000000001" customHeight="1" x14ac:dyDescent="0.2">
      <c r="A199" s="19"/>
    </row>
    <row r="200" spans="1:1" ht="20.100000000000001" customHeight="1" x14ac:dyDescent="0.2">
      <c r="A200" s="19"/>
    </row>
    <row r="201" spans="1:1" ht="20.100000000000001" customHeight="1" x14ac:dyDescent="0.2">
      <c r="A201" s="19"/>
    </row>
    <row r="202" spans="1:1" ht="20.100000000000001" customHeight="1" x14ac:dyDescent="0.2">
      <c r="A202" s="19"/>
    </row>
    <row r="203" spans="1:1" ht="20.100000000000001" customHeight="1" x14ac:dyDescent="0.2">
      <c r="A203" s="19"/>
    </row>
    <row r="204" spans="1:1" ht="20.100000000000001" customHeight="1" x14ac:dyDescent="0.2">
      <c r="A204" s="19"/>
    </row>
    <row r="205" spans="1:1" ht="20.100000000000001" customHeight="1" x14ac:dyDescent="0.2">
      <c r="A205" s="19"/>
    </row>
    <row r="206" spans="1:1" ht="20.100000000000001" customHeight="1" x14ac:dyDescent="0.2">
      <c r="A206" s="19"/>
    </row>
    <row r="207" spans="1:1" ht="20.100000000000001" customHeight="1" x14ac:dyDescent="0.2">
      <c r="A207" s="19"/>
    </row>
    <row r="208" spans="1:1" ht="20.100000000000001" customHeight="1" x14ac:dyDescent="0.2">
      <c r="A208" s="19"/>
    </row>
    <row r="209" spans="1:1" ht="20.100000000000001" customHeight="1" x14ac:dyDescent="0.2">
      <c r="A209" s="19"/>
    </row>
    <row r="210" spans="1:1" ht="20.100000000000001" customHeight="1" x14ac:dyDescent="0.2">
      <c r="A210" s="19"/>
    </row>
    <row r="211" spans="1:1" ht="20.100000000000001" customHeight="1" x14ac:dyDescent="0.2">
      <c r="A211" s="19"/>
    </row>
    <row r="212" spans="1:1" ht="20.100000000000001" customHeight="1" x14ac:dyDescent="0.2">
      <c r="A212" s="19"/>
    </row>
    <row r="213" spans="1:1" ht="20.100000000000001" customHeight="1" x14ac:dyDescent="0.2">
      <c r="A213" s="21"/>
    </row>
    <row r="214" spans="1:1" ht="20.100000000000001" customHeight="1" x14ac:dyDescent="0.2">
      <c r="A214" s="22"/>
    </row>
    <row r="215" spans="1:1" ht="20.100000000000001" customHeight="1" x14ac:dyDescent="0.2">
      <c r="A215" s="19"/>
    </row>
    <row r="216" spans="1:1" ht="20.100000000000001" customHeight="1" x14ac:dyDescent="0.2">
      <c r="A216" s="19"/>
    </row>
    <row r="217" spans="1:1" ht="20.100000000000001" customHeight="1" x14ac:dyDescent="0.2">
      <c r="A217" s="23"/>
    </row>
    <row r="218" spans="1:1" ht="20.100000000000001" customHeight="1" x14ac:dyDescent="0.2">
      <c r="A218" s="23"/>
    </row>
    <row r="219" spans="1:1" ht="20.100000000000001" customHeight="1" x14ac:dyDescent="0.2">
      <c r="A219" s="22"/>
    </row>
    <row r="220" spans="1:1" ht="20.100000000000001" customHeight="1" x14ac:dyDescent="0.2">
      <c r="A220" s="19"/>
    </row>
    <row r="221" spans="1:1" ht="20.100000000000001" customHeight="1" x14ac:dyDescent="0.2">
      <c r="A221" s="22"/>
    </row>
    <row r="222" spans="1:1" ht="20.100000000000001" customHeight="1" x14ac:dyDescent="0.2">
      <c r="A222" s="19"/>
    </row>
    <row r="223" spans="1:1" ht="20.100000000000001" customHeight="1" x14ac:dyDescent="0.2">
      <c r="A223" s="22"/>
    </row>
    <row r="224" spans="1:1" ht="20.100000000000001" customHeight="1" x14ac:dyDescent="0.2">
      <c r="A224" s="19"/>
    </row>
    <row r="225" spans="1:1" ht="20.100000000000001" customHeight="1" x14ac:dyDescent="0.2">
      <c r="A225" s="19"/>
    </row>
    <row r="226" spans="1:1" ht="20.100000000000001" customHeight="1" x14ac:dyDescent="0.2">
      <c r="A226" s="22"/>
    </row>
    <row r="227" spans="1:1" ht="20.100000000000001" customHeight="1" x14ac:dyDescent="0.2">
      <c r="A227" s="22"/>
    </row>
    <row r="228" spans="1:1" ht="20.100000000000001" customHeight="1" x14ac:dyDescent="0.2">
      <c r="A228" s="22"/>
    </row>
    <row r="229" spans="1:1" ht="20.100000000000001" customHeight="1" x14ac:dyDescent="0.2">
      <c r="A229" s="19"/>
    </row>
    <row r="230" spans="1:1" ht="20.100000000000001" customHeight="1" x14ac:dyDescent="0.2">
      <c r="A230" s="19"/>
    </row>
    <row r="231" spans="1:1" ht="20.100000000000001" customHeight="1" x14ac:dyDescent="0.2">
      <c r="A231" s="19"/>
    </row>
    <row r="232" spans="1:1" ht="20.100000000000001" customHeight="1" x14ac:dyDescent="0.2">
      <c r="A232" s="19"/>
    </row>
    <row r="233" spans="1:1" ht="20.100000000000001" customHeight="1" x14ac:dyDescent="0.2">
      <c r="A233" s="22"/>
    </row>
    <row r="234" spans="1:1" ht="20.100000000000001" customHeight="1" x14ac:dyDescent="0.2">
      <c r="A234" s="22"/>
    </row>
    <row r="235" spans="1:1" ht="20.100000000000001" customHeight="1" x14ac:dyDescent="0.2">
      <c r="A235" s="19"/>
    </row>
    <row r="236" spans="1:1" ht="20.100000000000001" customHeight="1" x14ac:dyDescent="0.2">
      <c r="A236" s="22"/>
    </row>
    <row r="237" spans="1:1" ht="20.100000000000001" customHeight="1" x14ac:dyDescent="0.2">
      <c r="A237" s="22"/>
    </row>
    <row r="238" spans="1:1" ht="20.100000000000001" customHeight="1" x14ac:dyDescent="0.2">
      <c r="A238" s="19"/>
    </row>
    <row r="239" spans="1:1" ht="20.100000000000001" customHeight="1" x14ac:dyDescent="0.2">
      <c r="A239" s="19"/>
    </row>
    <row r="240" spans="1:1" ht="20.100000000000001" customHeight="1" x14ac:dyDescent="0.2">
      <c r="A240" s="22"/>
    </row>
    <row r="241" spans="1:1" ht="20.100000000000001" customHeight="1" x14ac:dyDescent="0.2">
      <c r="A241" s="19"/>
    </row>
    <row r="242" spans="1:1" ht="20.100000000000001" customHeight="1" x14ac:dyDescent="0.2">
      <c r="A242" s="19"/>
    </row>
    <row r="243" spans="1:1" ht="20.100000000000001" customHeight="1" x14ac:dyDescent="0.2">
      <c r="A243" s="19"/>
    </row>
    <row r="244" spans="1:1" ht="20.100000000000001" customHeight="1" x14ac:dyDescent="0.2">
      <c r="A244" s="19"/>
    </row>
    <row r="245" spans="1:1" ht="20.100000000000001" customHeight="1" x14ac:dyDescent="0.2">
      <c r="A245" s="22"/>
    </row>
    <row r="246" spans="1:1" ht="20.100000000000001" customHeight="1" x14ac:dyDescent="0.2">
      <c r="A246" s="22"/>
    </row>
    <row r="247" spans="1:1" ht="20.100000000000001" customHeight="1" x14ac:dyDescent="0.2">
      <c r="A247" s="22"/>
    </row>
    <row r="248" spans="1:1" ht="20.100000000000001" customHeight="1" thickBot="1" x14ac:dyDescent="0.25">
      <c r="A248" s="19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40</v>
      </c>
    </row>
    <row r="288" spans="1:1" ht="20.100000000000001" customHeight="1" thickBot="1" x14ac:dyDescent="0.25">
      <c r="A288" s="2" t="s">
        <v>40</v>
      </c>
    </row>
    <row r="289" spans="1:1" ht="20.100000000000001" customHeight="1" thickBot="1" x14ac:dyDescent="0.25">
      <c r="A289" s="2" t="s">
        <v>40</v>
      </c>
    </row>
    <row r="290" spans="1:1" ht="20.100000000000001" customHeight="1" thickBot="1" x14ac:dyDescent="0.25">
      <c r="A290" s="2" t="s">
        <v>40</v>
      </c>
    </row>
    <row r="291" spans="1:1" ht="20.100000000000001" customHeight="1" thickBot="1" x14ac:dyDescent="0.25">
      <c r="A291" s="2" t="s">
        <v>40</v>
      </c>
    </row>
    <row r="292" spans="1:1" ht="20.100000000000001" customHeight="1" thickBot="1" x14ac:dyDescent="0.25">
      <c r="A292" s="2" t="s">
        <v>40</v>
      </c>
    </row>
    <row r="293" spans="1:1" ht="20.100000000000001" customHeight="1" thickBot="1" x14ac:dyDescent="0.25">
      <c r="A293" s="2" t="s">
        <v>40</v>
      </c>
    </row>
    <row r="294" spans="1:1" ht="20.100000000000001" customHeight="1" thickBot="1" x14ac:dyDescent="0.25">
      <c r="A294" s="2" t="s">
        <v>40</v>
      </c>
    </row>
    <row r="295" spans="1:1" ht="20.100000000000001" customHeight="1" thickBot="1" x14ac:dyDescent="0.25">
      <c r="A295" s="2" t="s">
        <v>40</v>
      </c>
    </row>
    <row r="296" spans="1:1" ht="20.100000000000001" customHeight="1" thickBot="1" x14ac:dyDescent="0.25">
      <c r="A296" s="2" t="s">
        <v>40</v>
      </c>
    </row>
    <row r="297" spans="1:1" ht="20.100000000000001" customHeight="1" thickBot="1" x14ac:dyDescent="0.25">
      <c r="A297" s="2" t="s">
        <v>40</v>
      </c>
    </row>
    <row r="298" spans="1:1" ht="20.100000000000001" customHeight="1" thickBot="1" x14ac:dyDescent="0.25">
      <c r="A298" s="2" t="s">
        <v>40</v>
      </c>
    </row>
    <row r="299" spans="1:1" ht="20.100000000000001" customHeight="1" thickBot="1" x14ac:dyDescent="0.25">
      <c r="A299" s="2" t="s">
        <v>40</v>
      </c>
    </row>
    <row r="300" spans="1:1" ht="20.100000000000001" customHeight="1" thickBot="1" x14ac:dyDescent="0.25">
      <c r="A300" s="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2026-09-08T06:57:11Z</dcterms:modified>
</cp:coreProperties>
</file>