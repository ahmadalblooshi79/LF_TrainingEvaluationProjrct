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2EF0EC4B-AF6C-4881-B133-12003D9844CC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" i="2" l="1"/>
  <c r="H27" i="2" s="1"/>
  <c r="G26" i="2"/>
  <c r="H26" i="2" s="1"/>
  <c r="G25" i="2"/>
  <c r="H25" i="2" s="1"/>
  <c r="G29" i="2"/>
  <c r="H29" i="2" s="1"/>
  <c r="G28" i="2"/>
  <c r="H28" i="2" s="1"/>
  <c r="G24" i="2"/>
  <c r="H24" i="2" s="1"/>
  <c r="G23" i="2"/>
  <c r="H23" i="2" s="1"/>
  <c r="G22" i="2"/>
  <c r="H22" i="2" s="1"/>
  <c r="G21" i="2"/>
  <c r="H21" i="2" s="1"/>
  <c r="G9" i="2" l="1"/>
  <c r="H9" i="2" s="1"/>
  <c r="G10" i="2" l="1"/>
  <c r="H10" i="2" s="1"/>
  <c r="G11" i="2"/>
  <c r="H11" i="2" s="1"/>
  <c r="G12" i="2"/>
  <c r="H12" i="2" s="1"/>
  <c r="G13" i="2"/>
  <c r="H13" i="2" s="1"/>
  <c r="G14" i="2"/>
  <c r="H14" i="2" s="1"/>
  <c r="G16" i="2"/>
  <c r="H16" i="2" s="1"/>
  <c r="G17" i="2"/>
  <c r="H17" i="2" s="1"/>
  <c r="G18" i="2"/>
  <c r="H18" i="2" s="1"/>
  <c r="G19" i="2"/>
  <c r="H19" i="2" s="1"/>
  <c r="G30" i="2"/>
  <c r="H30" i="2" s="1"/>
  <c r="F31" i="2" l="1"/>
  <c r="E31" i="2" l="1"/>
  <c r="E32" i="2" l="1"/>
  <c r="E33" i="2" s="1"/>
</calcChain>
</file>

<file path=xl/sharedStrings.xml><?xml version="1.0" encoding="utf-8"?>
<sst xmlns="http://schemas.openxmlformats.org/spreadsheetml/2006/main" count="280" uniqueCount="203">
  <si>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</si>
  <si>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</si>
  <si>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</si>
  <si>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</si>
  <si>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</si>
  <si>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</si>
  <si>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</si>
  <si>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</si>
  <si>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</si>
  <si>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</si>
  <si>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</si>
  <si>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</si>
  <si>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</si>
  <si>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</si>
  <si>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</si>
  <si>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</si>
  <si>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</si>
  <si>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</si>
  <si>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</si>
  <si>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</si>
  <si>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</si>
  <si>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</si>
  <si>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</si>
  <si>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</si>
  <si>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</si>
  <si>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</si>
  <si>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</si>
  <si>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</si>
  <si>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</si>
  <si>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</si>
  <si>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</si>
  <si>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</si>
  <si>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</si>
  <si>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</si>
  <si>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</si>
  <si>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</si>
  <si>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</si>
  <si>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</si>
  <si>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</si>
  <si>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</si>
  <si>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</si>
  <si>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</si>
  <si>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</si>
  <si>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</si>
  <si>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</si>
  <si>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</si>
  <si>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</si>
  <si>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</si>
  <si>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</si>
  <si>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</si>
  <si>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</si>
  <si>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</si>
  <si>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</si>
  <si>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</si>
  <si>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</si>
  <si>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</si>
  <si>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</si>
  <si>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</si>
  <si>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</si>
  <si>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</si>
  <si>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</si>
  <si>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</si>
  <si>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</si>
  <si>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</si>
  <si>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</si>
  <si>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</si>
  <si>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</si>
  <si>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</si>
  <si>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</si>
  <si>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</si>
  <si>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</si>
  <si>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</si>
  <si>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</si>
  <si>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</si>
  <si>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</si>
  <si>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</si>
  <si>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</si>
  <si>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</si>
  <si>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</si>
  <si>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</si>
  <si>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</si>
  <si>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</si>
  <si>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</si>
  <si>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</si>
  <si>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</si>
  <si>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</si>
  <si>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</si>
  <si>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</si>
  <si>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</si>
  <si>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</si>
  <si>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</si>
  <si>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</si>
  <si>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</si>
  <si>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</si>
  <si>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</si>
  <si>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</si>
  <si>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</si>
  <si>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</si>
  <si>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</si>
  <si>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</si>
  <si>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</si>
  <si>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</si>
  <si>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</si>
  <si>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</si>
  <si>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</si>
  <si>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</si>
  <si>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</si>
  <si>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</si>
  <si>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</si>
  <si>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</si>
  <si>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</si>
  <si>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</si>
  <si>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</si>
  <si>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</si>
  <si>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</si>
  <si>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</si>
  <si>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</si>
  <si>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</si>
  <si>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</si>
  <si>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</si>
  <si>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</si>
  <si>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</si>
  <si>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</si>
  <si>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</si>
  <si>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</si>
  <si>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</si>
  <si>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</si>
  <si>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</si>
  <si>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</si>
  <si>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</si>
  <si>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</si>
  <si>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</si>
  <si>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</si>
  <si>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</si>
  <si>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</si>
  <si>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</si>
  <si>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</si>
  <si>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</si>
  <si>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</si>
  <si>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</si>
  <si>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</si>
  <si>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</si>
  <si>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</si>
  <si>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</si>
  <si>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</si>
  <si>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</si>
  <si>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</si>
  <si>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</si>
  <si>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</si>
  <si>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</si>
  <si>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</si>
  <si>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</si>
  <si>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</si>
  <si>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</si>
  <si>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</si>
  <si>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</si>
  <si>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</si>
  <si>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</si>
  <si>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</si>
  <si>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</si>
  <si>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</si>
  <si>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</si>
  <si>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</si>
  <si>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</si>
  <si>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</si>
  <si>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</si>
  <si>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</si>
  <si>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</si>
  <si>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</si>
  <si>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</si>
  <si>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</si>
  <si>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</si>
  <si>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</si>
  <si>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</si>
  <si>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</si>
  <si>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</si>
  <si>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</si>
  <si>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</si>
  <si>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</si>
  <si>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سرعة الوصول إلى موقع الحدث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</si>
  <si>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التوزيع السليم للأدوار</t>
    </r>
  </si>
  <si>
    <t>اجراءات رد فعل الوحدة المتأثرة بالإصابة</t>
  </si>
  <si>
    <t>اجراءات رد فعل العناصر الطبية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</si>
  <si>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إبلاغ المستوى الأعلى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</si>
  <si>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توفير الحماية</t>
    </r>
  </si>
  <si>
    <r>
      <t>3.</t>
    </r>
    <r>
      <rPr>
        <sz val="12"/>
        <color rgb="FF000000"/>
        <rFont val="Times New Roman"/>
        <family val="1"/>
      </rPr>
      <t xml:space="preserve">      توفير </t>
    </r>
    <r>
      <rPr>
        <sz val="12"/>
        <color rgb="FF000000"/>
        <rFont val="Arial"/>
        <family val="2"/>
      </rPr>
      <t xml:space="preserve">الإسعاف الذاتي والإسعاف التبادلي 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</si>
  <si>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اخراج ونقل المصابين من الآلية/موقع الإصابة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</si>
  <si>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التعامل مع الشهداء حسب الأوامر المستديمة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</si>
  <si>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نقل المصابين إلى نقطة جمع المصابين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</si>
  <si>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إبلاغ المستوى الأعلى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</si>
  <si>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تصنيف الإصابات حسب الأوامر المستديمة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</si>
  <si>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تنفيذ الإخلاء الطبي/الأرضي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</si>
  <si>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طلب إخلاء جوي/أرضي حسب الأوامر المستديمة والنسق التالي:</t>
    </r>
  </si>
  <si>
    <t>أ.   مكان موقع التحميل.</t>
  </si>
  <si>
    <t>ب.  ترددات الأجهزة اللاسلكية، النداء، الكلمات الرمزية.</t>
  </si>
  <si>
    <t>جـ.  عدد المرضى بالأسبقية.</t>
  </si>
  <si>
    <t>د.   المعدات الخاصة المطلوبة.</t>
  </si>
  <si>
    <t>هـ.  عدد المرضى حسب النوع.</t>
  </si>
  <si>
    <t>و.  حماية موقع التحميل.</t>
  </si>
  <si>
    <t>ز.  طريقة تأشير موقع التحميل.</t>
  </si>
  <si>
    <t>ح.  جنسية وحالة المصاب.</t>
  </si>
  <si>
    <t>ط. مستوى التلوث الكيميائي والبيولوجي والإشعاعي والنووي.</t>
  </si>
  <si>
    <t>تقييم الإخلاء الطبي للمصابين - اليوم/1 - تقييم معضلة/10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</si>
</sst>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7" fillId="4" borderId="20" xfId="0" applyFont="1" applyFill="1" applyBorder="1" applyAlignment="1" applyProtection="1">
      <alignment horizontal="center" vertical="center" wrapText="1" readingOrder="2"/>
      <protection locked="0"/>
    </xf>
    <xf numFmtId="0" fontId="7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3" borderId="18" xfId="0" applyFont="1" applyFill="1" applyBorder="1" applyAlignment="1">
      <alignment horizontal="center" vertical="center" wrapText="1" readingOrder="2"/>
    </xf>
    <xf numFmtId="0" fontId="3" fillId="3" borderId="19" xfId="0" applyFont="1" applyFill="1" applyBorder="1" applyAlignment="1">
      <alignment horizontal="center" vertical="center" wrapText="1" readingOrder="2"/>
    </xf>
    <xf numFmtId="0" fontId="3" fillId="5" borderId="18" xfId="0" applyFont="1" applyFill="1" applyBorder="1" applyAlignment="1">
      <alignment horizontal="center" vertical="center" wrapText="1" readingOrder="2"/>
    </xf>
    <xf numFmtId="0" fontId="3" fillId="5" borderId="19" xfId="0" applyFont="1" applyFill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8" xfId="0" applyFont="1" applyFill="1" applyBorder="1" applyAlignment="1">
      <alignment horizontal="center" vertical="center" wrapText="1" readingOrder="2"/>
    </xf>
    <xf numFmtId="0" fontId="3" fillId="6" borderId="19" xfId="0" applyFont="1" applyFill="1" applyBorder="1" applyAlignment="1">
      <alignment horizontal="center" vertical="center" wrapText="1" readingOrder="2"/>
    </xf>
    <xf numFmtId="0" fontId="12" fillId="0" borderId="23" xfId="0" applyFont="1" applyBorder="1" applyAlignment="1">
      <alignment horizontal="right" vertical="center" wrapText="1" indent="3" readingOrder="2"/>
    </xf>
    <xf numFmtId="0" fontId="12" fillId="0" borderId="3" xfId="0" applyFont="1" applyBorder="1" applyAlignment="1">
      <alignment horizontal="right" vertical="center" wrapText="1" indent="3" readingOrder="2"/>
    </xf>
    <xf numFmtId="0" fontId="12" fillId="0" borderId="11" xfId="0" applyFont="1" applyBorder="1" applyAlignment="1">
      <alignment horizontal="right" vertical="center" wrapText="1" indent="3" readingOrder="2"/>
    </xf>
    <xf numFmtId="0" fontId="12" fillId="0" borderId="12" xfId="0" applyFont="1" applyBorder="1" applyAlignment="1">
      <alignment horizontal="right" vertical="center" wrapText="1" indent="3" readingOrder="2"/>
    </xf>
  </cellXfs>
  <cellStyles count="1">
    <cellStyle name="Normal" xfId="0" builtinId="0"/>
  </cellStyles>
  <dxfs count="3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zoomScale="136" zoomScaleNormal="100" zoomScaleSheetLayoutView="136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70" t="s">
        <v>202</v>
      </c>
      <c r="C1" s="70"/>
      <c r="D1" s="70"/>
      <c r="E1" s="70"/>
      <c r="F1" s="70"/>
      <c r="G1" s="70"/>
      <c r="H1" s="70"/>
      <c r="I1" s="70"/>
      <c r="J1" s="70"/>
    </row>
    <row r="2" spans="1:10" ht="30" customHeight="1" x14ac:dyDescent="0.2">
      <c r="B2" s="12" t="s">
        <v>8</v>
      </c>
      <c r="C2" s="76" t="s">
        <v>57</v>
      </c>
      <c r="D2" s="76"/>
      <c r="E2" s="12" t="s">
        <v>7</v>
      </c>
      <c r="F2" s="71" t="s">
        <v>56</v>
      </c>
      <c r="G2" s="71"/>
      <c r="H2" s="71"/>
      <c r="I2" s="71"/>
      <c r="J2" s="71"/>
    </row>
    <row r="3" spans="1:10" ht="30" customHeight="1" x14ac:dyDescent="0.2">
      <c r="B3" s="12" t="s">
        <v>9</v>
      </c>
      <c r="C3" s="76" t="s">
        <v>60</v>
      </c>
      <c r="D3" s="76"/>
      <c r="E3" s="12" t="s">
        <v>6</v>
      </c>
      <c r="F3" s="76" t="s">
        <v>59</v>
      </c>
      <c r="G3" s="76"/>
      <c r="H3" s="76"/>
      <c r="I3" s="76"/>
      <c r="J3" s="76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72" t="s">
        <v>0</v>
      </c>
      <c r="C5" s="73"/>
      <c r="D5" s="73"/>
      <c r="E5" s="77" t="s">
        <v>1</v>
      </c>
      <c r="F5" s="77"/>
      <c r="G5" s="77"/>
      <c r="H5" s="77"/>
      <c r="I5" s="77" t="s">
        <v>2</v>
      </c>
      <c r="J5" s="78"/>
    </row>
    <row r="6" spans="1:10" ht="24.95" customHeight="1" thickBot="1" x14ac:dyDescent="0.25">
      <c r="A6" s="10"/>
      <c r="B6" s="74"/>
      <c r="C6" s="75"/>
      <c r="D6" s="75"/>
      <c r="E6" s="11" t="s">
        <v>3</v>
      </c>
      <c r="F6" s="11" t="s">
        <v>4</v>
      </c>
      <c r="G6" s="11" t="s">
        <v>23</v>
      </c>
      <c r="H6" s="11" t="s">
        <v>24</v>
      </c>
      <c r="I6" s="79"/>
      <c r="J6" s="80"/>
    </row>
    <row r="7" spans="1:10" ht="24.95" customHeight="1" thickBot="1" x14ac:dyDescent="0.25">
      <c r="A7" s="10"/>
      <c r="B7" s="56" t="s">
        <v>21</v>
      </c>
      <c r="C7" s="57"/>
      <c r="D7" s="57"/>
      <c r="E7" s="32" t="s">
        <v>18</v>
      </c>
      <c r="F7" s="32" t="s">
        <v>19</v>
      </c>
      <c r="G7" s="32" t="s">
        <v>22</v>
      </c>
      <c r="H7" s="32" t="s">
        <v>20</v>
      </c>
      <c r="I7" s="58" t="s">
        <v>25</v>
      </c>
      <c r="J7" s="59"/>
    </row>
    <row r="8" spans="1:10" ht="30" customHeight="1" x14ac:dyDescent="0.2">
      <c r="A8" s="10"/>
      <c r="B8" s="64" t="s">
        <v>181</v>
      </c>
      <c r="C8" s="65"/>
      <c r="D8" s="65"/>
      <c r="E8" s="36"/>
      <c r="F8" s="37"/>
      <c r="G8" s="38"/>
      <c r="H8" s="39"/>
      <c r="I8" s="54"/>
      <c r="J8" s="55"/>
    </row>
    <row r="9" spans="1:10" ht="30" customHeight="1" x14ac:dyDescent="0.2">
      <c r="A9" s="10"/>
      <c r="B9" s="60" t="s">
        <v>183</v>
      </c>
      <c r="C9" s="61"/>
      <c r="D9" s="61"/>
      <c r="E9" s="33">
        <v>3</v>
      </c>
      <c r="F9" s="28" t="s">
        <v>61</v>
      </c>
      <c r="G9" s="34" t="str">
        <f>IFERROR(F9/E9,"")</f>
        <v/>
      </c>
      <c r="H9" s="35" t="str">
        <f>_xlfn.IFS(F9="أدخل العلامة","",F9="لا ينطبق","تم الإلغاء",G9&gt;=90%,"ممتاز",G9&gt;=80%,"جيد جداً",G9&gt;=70%,"جيد",G9&gt;=60%,"مقبول",G9&lt;60%,"راسب")</f>
        <v/>
      </c>
      <c r="I9" s="43"/>
      <c r="J9" s="44"/>
    </row>
    <row r="10" spans="1:10" ht="30" customHeight="1" x14ac:dyDescent="0.2">
      <c r="A10" s="10"/>
      <c r="B10" s="60" t="s">
        <v>184</v>
      </c>
      <c r="C10" s="61"/>
      <c r="D10" s="61"/>
      <c r="E10" s="33">
        <v>3</v>
      </c>
      <c r="F10" s="28" t="s">
        <v>61</v>
      </c>
      <c r="G10" s="34" t="str">
        <f t="shared" ref="G10:G30" si="0">IFERROR(F10/E10,"")</f>
        <v/>
      </c>
      <c r="H10" s="35" t="str">
        <f t="shared" ref="H10:H30" si="1">_xlfn.IFS(F10="أدخل العلامة","",F10="لا ينطبق","تم الإلغاء",G10&gt;=90%,"ممتاز",G10&gt;=80%,"جيد جداً",G10&gt;=70%,"جيد",G10&gt;=60%,"مقبول",G10&lt;60%,"راسب")</f>
        <v/>
      </c>
      <c r="I10" s="43"/>
      <c r="J10" s="44"/>
    </row>
    <row r="11" spans="1:10" ht="30" customHeight="1" x14ac:dyDescent="0.2">
      <c r="A11" s="10"/>
      <c r="B11" s="60" t="s">
        <v>185</v>
      </c>
      <c r="C11" s="61"/>
      <c r="D11" s="61"/>
      <c r="E11" s="33">
        <v>3</v>
      </c>
      <c r="F11" s="28" t="s">
        <v>61</v>
      </c>
      <c r="G11" s="34" t="str">
        <f t="shared" si="0"/>
        <v/>
      </c>
      <c r="H11" s="35" t="str">
        <f t="shared" si="1"/>
        <v/>
      </c>
      <c r="I11" s="43"/>
      <c r="J11" s="44"/>
    </row>
    <row r="12" spans="1:10" ht="30" customHeight="1" x14ac:dyDescent="0.2">
      <c r="A12" s="10"/>
      <c r="B12" s="60" t="s">
        <v>186</v>
      </c>
      <c r="C12" s="61"/>
      <c r="D12" s="61"/>
      <c r="E12" s="33">
        <v>3</v>
      </c>
      <c r="F12" s="28" t="s">
        <v>61</v>
      </c>
      <c r="G12" s="34" t="str">
        <f t="shared" si="0"/>
        <v/>
      </c>
      <c r="H12" s="35" t="str">
        <f t="shared" si="1"/>
        <v/>
      </c>
      <c r="I12" s="43"/>
      <c r="J12" s="44"/>
    </row>
    <row r="13" spans="1:10" ht="30" customHeight="1" x14ac:dyDescent="0.2">
      <c r="A13" s="10"/>
      <c r="B13" s="60" t="s">
        <v>187</v>
      </c>
      <c r="C13" s="61"/>
      <c r="D13" s="61"/>
      <c r="E13" s="33">
        <v>3</v>
      </c>
      <c r="F13" s="28" t="s">
        <v>61</v>
      </c>
      <c r="G13" s="34" t="str">
        <f t="shared" si="0"/>
        <v/>
      </c>
      <c r="H13" s="35" t="str">
        <f t="shared" si="1"/>
        <v/>
      </c>
      <c r="I13" s="43"/>
      <c r="J13" s="44"/>
    </row>
    <row r="14" spans="1:10" ht="30" customHeight="1" thickBot="1" x14ac:dyDescent="0.25">
      <c r="A14" s="10"/>
      <c r="B14" s="62" t="s">
        <v>188</v>
      </c>
      <c r="C14" s="63"/>
      <c r="D14" s="63"/>
      <c r="E14" s="40">
        <v>3</v>
      </c>
      <c r="F14" s="29" t="s">
        <v>61</v>
      </c>
      <c r="G14" s="41" t="str">
        <f t="shared" si="0"/>
        <v/>
      </c>
      <c r="H14" s="42" t="str">
        <f t="shared" si="1"/>
        <v/>
      </c>
      <c r="I14" s="45"/>
      <c r="J14" s="46"/>
    </row>
    <row r="15" spans="1:10" ht="30" customHeight="1" x14ac:dyDescent="0.2">
      <c r="A15" s="10"/>
      <c r="B15" s="64" t="s">
        <v>182</v>
      </c>
      <c r="C15" s="65"/>
      <c r="D15" s="65"/>
      <c r="E15" s="36"/>
      <c r="F15" s="37"/>
      <c r="G15" s="38"/>
      <c r="H15" s="39"/>
      <c r="I15" s="54"/>
      <c r="J15" s="55"/>
    </row>
    <row r="16" spans="1:10" ht="30" customHeight="1" x14ac:dyDescent="0.2">
      <c r="A16" s="10"/>
      <c r="B16" s="60" t="s">
        <v>179</v>
      </c>
      <c r="C16" s="61"/>
      <c r="D16" s="61"/>
      <c r="E16" s="33">
        <v>3</v>
      </c>
      <c r="F16" s="28" t="s">
        <v>61</v>
      </c>
      <c r="G16" s="34" t="str">
        <f t="shared" si="0"/>
        <v/>
      </c>
      <c r="H16" s="35" t="str">
        <f t="shared" si="1"/>
        <v/>
      </c>
      <c r="I16" s="43"/>
      <c r="J16" s="44"/>
    </row>
    <row r="17" spans="1:10" ht="30" customHeight="1" x14ac:dyDescent="0.2">
      <c r="A17" s="10"/>
      <c r="B17" s="60" t="s">
        <v>180</v>
      </c>
      <c r="C17" s="61"/>
      <c r="D17" s="61"/>
      <c r="E17" s="33">
        <v>3</v>
      </c>
      <c r="F17" s="28" t="s">
        <v>61</v>
      </c>
      <c r="G17" s="34" t="str">
        <f t="shared" si="0"/>
        <v/>
      </c>
      <c r="H17" s="35" t="str">
        <f t="shared" si="1"/>
        <v/>
      </c>
      <c r="I17" s="43"/>
      <c r="J17" s="44"/>
    </row>
    <row r="18" spans="1:10" ht="30" customHeight="1" x14ac:dyDescent="0.2">
      <c r="A18" s="10"/>
      <c r="B18" s="60" t="s">
        <v>190</v>
      </c>
      <c r="C18" s="61"/>
      <c r="D18" s="61"/>
      <c r="E18" s="33">
        <v>3</v>
      </c>
      <c r="F18" s="28" t="s">
        <v>61</v>
      </c>
      <c r="G18" s="34" t="str">
        <f t="shared" si="0"/>
        <v/>
      </c>
      <c r="H18" s="35" t="str">
        <f t="shared" si="1"/>
        <v/>
      </c>
      <c r="I18" s="43"/>
      <c r="J18" s="44"/>
    </row>
    <row r="19" spans="1:10" ht="30" customHeight="1" x14ac:dyDescent="0.2">
      <c r="A19" s="10"/>
      <c r="B19" s="60" t="s">
        <v>189</v>
      </c>
      <c r="C19" s="61"/>
      <c r="D19" s="61"/>
      <c r="E19" s="33">
        <v>3</v>
      </c>
      <c r="F19" s="28" t="s">
        <v>61</v>
      </c>
      <c r="G19" s="34" t="str">
        <f t="shared" si="0"/>
        <v/>
      </c>
      <c r="H19" s="35" t="str">
        <f t="shared" si="1"/>
        <v/>
      </c>
      <c r="I19" s="43"/>
      <c r="J19" s="44"/>
    </row>
    <row r="20" spans="1:10" ht="30" customHeight="1" x14ac:dyDescent="0.2">
      <c r="A20" s="10"/>
      <c r="B20" s="60" t="s">
        <v>192</v>
      </c>
      <c r="C20" s="61"/>
      <c r="D20" s="61"/>
      <c r="E20" s="33"/>
      <c r="F20" s="28"/>
      <c r="G20" s="34"/>
      <c r="H20" s="35"/>
      <c r="I20" s="43"/>
      <c r="J20" s="44"/>
    </row>
    <row r="21" spans="1:10" ht="30" customHeight="1" x14ac:dyDescent="0.2">
      <c r="A21" s="10"/>
      <c r="B21" s="91" t="s">
        <v>193</v>
      </c>
      <c r="C21" s="92"/>
      <c r="D21" s="92"/>
      <c r="E21" s="33">
        <v>3</v>
      </c>
      <c r="F21" s="30" t="s">
        <v>61</v>
      </c>
      <c r="G21" s="34" t="str">
        <f>IFERROR(F21/E21,"")</f>
        <v/>
      </c>
      <c r="H21" s="35" t="str">
        <f>_xlfn.IFS(F21="أدخل العلامة","",F21="لا ينطبق","تم الإلغاء",G21&gt;=90%,"ممتاز",G21&gt;=80%,"جيد جداً",G21&gt;=70%,"جيد",G21&gt;=60%,"مقبول",G21&lt;60%,"راسب")</f>
        <v/>
      </c>
      <c r="I21" s="43"/>
      <c r="J21" s="44"/>
    </row>
    <row r="22" spans="1:10" ht="30" customHeight="1" x14ac:dyDescent="0.2">
      <c r="A22" s="10"/>
      <c r="B22" s="91" t="s">
        <v>194</v>
      </c>
      <c r="C22" s="92"/>
      <c r="D22" s="92"/>
      <c r="E22" s="33">
        <v>3</v>
      </c>
      <c r="F22" s="30" t="s">
        <v>61</v>
      </c>
      <c r="G22" s="34" t="str">
        <f t="shared" ref="G22:G29" si="2">IFERROR(F22/E22,"")</f>
        <v/>
      </c>
      <c r="H22" s="35" t="str">
        <f t="shared" ref="H22:H29" si="3">_xlfn.IFS(F22="أدخل العلامة","",F22="لا ينطبق","تم الإلغاء",G22&gt;=90%,"ممتاز",G22&gt;=80%,"جيد جداً",G22&gt;=70%,"جيد",G22&gt;=60%,"مقبول",G22&lt;60%,"راسب")</f>
        <v/>
      </c>
      <c r="I22" s="43"/>
      <c r="J22" s="44"/>
    </row>
    <row r="23" spans="1:10" ht="30" customHeight="1" x14ac:dyDescent="0.2">
      <c r="A23" s="10"/>
      <c r="B23" s="91" t="s">
        <v>195</v>
      </c>
      <c r="C23" s="92"/>
      <c r="D23" s="92"/>
      <c r="E23" s="33">
        <v>3</v>
      </c>
      <c r="F23" s="30" t="s">
        <v>61</v>
      </c>
      <c r="G23" s="34" t="str">
        <f t="shared" si="2"/>
        <v/>
      </c>
      <c r="H23" s="35" t="str">
        <f t="shared" si="3"/>
        <v/>
      </c>
      <c r="I23" s="43"/>
      <c r="J23" s="44"/>
    </row>
    <row r="24" spans="1:10" ht="30" customHeight="1" x14ac:dyDescent="0.2">
      <c r="A24" s="10"/>
      <c r="B24" s="91" t="s">
        <v>196</v>
      </c>
      <c r="C24" s="92"/>
      <c r="D24" s="92"/>
      <c r="E24" s="33">
        <v>3</v>
      </c>
      <c r="F24" s="30" t="s">
        <v>61</v>
      </c>
      <c r="G24" s="34" t="str">
        <f t="shared" si="2"/>
        <v/>
      </c>
      <c r="H24" s="35" t="str">
        <f t="shared" si="3"/>
        <v/>
      </c>
      <c r="I24" s="43"/>
      <c r="J24" s="44"/>
    </row>
    <row r="25" spans="1:10" ht="30" customHeight="1" x14ac:dyDescent="0.2">
      <c r="A25" s="10"/>
      <c r="B25" s="91" t="s">
        <v>197</v>
      </c>
      <c r="C25" s="92"/>
      <c r="D25" s="92"/>
      <c r="E25" s="33">
        <v>3</v>
      </c>
      <c r="F25" s="30" t="s">
        <v>61</v>
      </c>
      <c r="G25" s="34" t="str">
        <f>IFERROR(F25/E25,"")</f>
        <v/>
      </c>
      <c r="H25" s="35" t="str">
        <f>_xlfn.IFS(F25="أدخل العلامة","",F25="لا ينطبق","تم الإلغاء",G25&gt;=90%,"ممتاز",G25&gt;=80%,"جيد جداً",G25&gt;=70%,"جيد",G25&gt;=60%,"مقبول",G25&lt;60%,"راسب")</f>
        <v/>
      </c>
      <c r="I25" s="43"/>
      <c r="J25" s="44"/>
    </row>
    <row r="26" spans="1:10" ht="30" customHeight="1" x14ac:dyDescent="0.2">
      <c r="A26" s="10"/>
      <c r="B26" s="91" t="s">
        <v>198</v>
      </c>
      <c r="C26" s="92"/>
      <c r="D26" s="92"/>
      <c r="E26" s="33">
        <v>3</v>
      </c>
      <c r="F26" s="30" t="s">
        <v>61</v>
      </c>
      <c r="G26" s="34" t="str">
        <f t="shared" ref="G26:G27" si="4">IFERROR(F26/E26,"")</f>
        <v/>
      </c>
      <c r="H26" s="35" t="str">
        <f t="shared" ref="H26:H27" si="5">_xlfn.IFS(F26="أدخل العلامة","",F26="لا ينطبق","تم الإلغاء",G26&gt;=90%,"ممتاز",G26&gt;=80%,"جيد جداً",G26&gt;=70%,"جيد",G26&gt;=60%,"مقبول",G26&lt;60%,"راسب")</f>
        <v/>
      </c>
      <c r="I26" s="43"/>
      <c r="J26" s="44"/>
    </row>
    <row r="27" spans="1:10" ht="30" customHeight="1" x14ac:dyDescent="0.2">
      <c r="A27" s="10"/>
      <c r="B27" s="91" t="s">
        <v>199</v>
      </c>
      <c r="C27" s="92"/>
      <c r="D27" s="92"/>
      <c r="E27" s="33">
        <v>3</v>
      </c>
      <c r="F27" s="30" t="s">
        <v>61</v>
      </c>
      <c r="G27" s="34" t="str">
        <f t="shared" si="4"/>
        <v/>
      </c>
      <c r="H27" s="35" t="str">
        <f t="shared" si="5"/>
        <v/>
      </c>
      <c r="I27" s="43"/>
      <c r="J27" s="44"/>
    </row>
    <row r="28" spans="1:10" ht="30" customHeight="1" x14ac:dyDescent="0.2">
      <c r="A28" s="10"/>
      <c r="B28" s="91" t="s">
        <v>200</v>
      </c>
      <c r="C28" s="92"/>
      <c r="D28" s="92"/>
      <c r="E28" s="33">
        <v>3</v>
      </c>
      <c r="F28" s="30" t="s">
        <v>61</v>
      </c>
      <c r="G28" s="34" t="str">
        <f t="shared" si="2"/>
        <v/>
      </c>
      <c r="H28" s="35" t="str">
        <f t="shared" si="3"/>
        <v/>
      </c>
      <c r="I28" s="43"/>
      <c r="J28" s="44"/>
    </row>
    <row r="29" spans="1:10" ht="30" customHeight="1" thickBot="1" x14ac:dyDescent="0.25">
      <c r="A29" s="10"/>
      <c r="B29" s="93" t="s">
        <v>201</v>
      </c>
      <c r="C29" s="94"/>
      <c r="D29" s="94"/>
      <c r="E29" s="40">
        <v>3</v>
      </c>
      <c r="F29" s="31" t="s">
        <v>61</v>
      </c>
      <c r="G29" s="41" t="str">
        <f t="shared" si="2"/>
        <v/>
      </c>
      <c r="H29" s="42" t="str">
        <f t="shared" si="3"/>
        <v/>
      </c>
      <c r="I29" s="45"/>
      <c r="J29" s="46"/>
    </row>
    <row r="30" spans="1:10" ht="30" customHeight="1" thickBot="1" x14ac:dyDescent="0.25">
      <c r="A30" s="10"/>
      <c r="B30" s="62" t="s">
        <v>191</v>
      </c>
      <c r="C30" s="63"/>
      <c r="D30" s="63"/>
      <c r="E30" s="40">
        <v>3</v>
      </c>
      <c r="F30" s="29" t="s">
        <v>61</v>
      </c>
      <c r="G30" s="41" t="str">
        <f t="shared" si="0"/>
        <v/>
      </c>
      <c r="H30" s="42" t="str">
        <f t="shared" si="1"/>
        <v/>
      </c>
      <c r="I30" s="45"/>
      <c r="J30" s="46"/>
    </row>
    <row r="31" spans="1:10" ht="30" customHeight="1" thickBot="1" x14ac:dyDescent="0.25">
      <c r="A31" s="4"/>
      <c r="B31" s="85" t="s">
        <v>5</v>
      </c>
      <c r="C31" s="86"/>
      <c r="D31" s="86"/>
      <c r="E31" s="9">
        <f>SUM(E8:E30)</f>
        <v>60</v>
      </c>
      <c r="F31" s="9">
        <f>SUM(F8:F30)</f>
        <v>0</v>
      </c>
      <c r="G31" s="49"/>
      <c r="H31" s="50"/>
      <c r="I31" s="50"/>
      <c r="J31" s="51"/>
    </row>
    <row r="32" spans="1:10" ht="30" customHeight="1" thickBot="1" x14ac:dyDescent="0.25">
      <c r="A32" s="4"/>
      <c r="B32" s="85" t="s">
        <v>54</v>
      </c>
      <c r="C32" s="86"/>
      <c r="D32" s="86"/>
      <c r="E32" s="52">
        <f>F31/E31/100*100</f>
        <v>0</v>
      </c>
      <c r="F32" s="52"/>
      <c r="G32" s="52"/>
      <c r="H32" s="52"/>
      <c r="I32" s="52"/>
      <c r="J32" s="53"/>
    </row>
    <row r="33" spans="1:10" ht="30" customHeight="1" thickBot="1" x14ac:dyDescent="0.25">
      <c r="A33" s="4"/>
      <c r="B33" s="85" t="s">
        <v>55</v>
      </c>
      <c r="C33" s="86"/>
      <c r="D33" s="86"/>
      <c r="E33" s="68" t="str">
        <f>_xlfn.IFS(E32&gt;=90%,"ممتاز",E32&gt;=80%,"جيد جداً",E32&gt;=70%,"جيد",E32&gt;=60%,"مقبول",E32&lt;60%,"راسب")</f>
        <v>راسب</v>
      </c>
      <c r="F33" s="68"/>
      <c r="G33" s="68"/>
      <c r="H33" s="68"/>
      <c r="I33" s="68"/>
      <c r="J33" s="69"/>
    </row>
    <row r="34" spans="1:10" ht="42" customHeight="1" x14ac:dyDescent="0.2">
      <c r="B34" s="87" t="s">
        <v>178</v>
      </c>
      <c r="C34" s="87"/>
      <c r="D34" s="87"/>
      <c r="E34" s="47" t="s">
        <v>52</v>
      </c>
      <c r="F34" s="47"/>
      <c r="G34" s="66" t="s">
        <v>59</v>
      </c>
      <c r="H34" s="66"/>
      <c r="I34" s="66"/>
      <c r="J34" s="66"/>
    </row>
    <row r="35" spans="1:10" ht="51" customHeight="1" x14ac:dyDescent="0.2">
      <c r="A35" s="5"/>
      <c r="B35" s="88"/>
      <c r="C35" s="88"/>
      <c r="D35" s="88"/>
      <c r="E35" s="48" t="s">
        <v>53</v>
      </c>
      <c r="F35" s="48"/>
      <c r="G35" s="67"/>
      <c r="H35" s="67"/>
      <c r="I35" s="67"/>
      <c r="J35" s="67"/>
    </row>
    <row r="36" spans="1:10" ht="15.75" x14ac:dyDescent="0.2">
      <c r="A36" s="25">
        <v>3</v>
      </c>
      <c r="B36" s="89" t="s">
        <v>175</v>
      </c>
      <c r="C36" s="90"/>
    </row>
    <row r="37" spans="1:10" ht="15.75" x14ac:dyDescent="0.2">
      <c r="A37" s="26">
        <v>2</v>
      </c>
      <c r="B37" s="81" t="s">
        <v>176</v>
      </c>
      <c r="C37" s="82"/>
    </row>
    <row r="38" spans="1:10" ht="15.75" x14ac:dyDescent="0.2">
      <c r="A38" s="27">
        <v>1</v>
      </c>
      <c r="B38" s="83" t="s">
        <v>177</v>
      </c>
      <c r="C38" s="8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0">
    <mergeCell ref="B10:D10"/>
    <mergeCell ref="B11:D11"/>
    <mergeCell ref="B12:D12"/>
    <mergeCell ref="B19:D19"/>
    <mergeCell ref="B20:D20"/>
    <mergeCell ref="B30:D30"/>
    <mergeCell ref="B36:C36"/>
    <mergeCell ref="B21:D21"/>
    <mergeCell ref="B22:D22"/>
    <mergeCell ref="B23:D23"/>
    <mergeCell ref="B24:D24"/>
    <mergeCell ref="B28:D28"/>
    <mergeCell ref="B29:D29"/>
    <mergeCell ref="B25:D25"/>
    <mergeCell ref="B26:D26"/>
    <mergeCell ref="B27:D27"/>
    <mergeCell ref="B37:C37"/>
    <mergeCell ref="B38:C38"/>
    <mergeCell ref="B31:D31"/>
    <mergeCell ref="B32:D32"/>
    <mergeCell ref="B33:D33"/>
    <mergeCell ref="B34:D35"/>
    <mergeCell ref="G34:J34"/>
    <mergeCell ref="G35:J35"/>
    <mergeCell ref="E33:J33"/>
    <mergeCell ref="B1:J1"/>
    <mergeCell ref="F2:J2"/>
    <mergeCell ref="B5:D6"/>
    <mergeCell ref="C2:D2"/>
    <mergeCell ref="C3:D3"/>
    <mergeCell ref="F3:J3"/>
    <mergeCell ref="E5:H5"/>
    <mergeCell ref="I5:J6"/>
    <mergeCell ref="I8:J8"/>
    <mergeCell ref="I11:J11"/>
    <mergeCell ref="I12:J12"/>
    <mergeCell ref="I13:J13"/>
    <mergeCell ref="I14:J14"/>
    <mergeCell ref="I15:J15"/>
    <mergeCell ref="I16:J16"/>
    <mergeCell ref="I17:J17"/>
    <mergeCell ref="I18:J18"/>
    <mergeCell ref="B7:D7"/>
    <mergeCell ref="I9:J9"/>
    <mergeCell ref="I7:J7"/>
    <mergeCell ref="I10:J10"/>
    <mergeCell ref="B18:D18"/>
    <mergeCell ref="B13:D13"/>
    <mergeCell ref="B14:D14"/>
    <mergeCell ref="B15:D15"/>
    <mergeCell ref="B16:D16"/>
    <mergeCell ref="B17:D17"/>
    <mergeCell ref="B8:D8"/>
    <mergeCell ref="B9:D9"/>
    <mergeCell ref="I19:J19"/>
    <mergeCell ref="I20:J20"/>
    <mergeCell ref="I30:J30"/>
    <mergeCell ref="E34:F34"/>
    <mergeCell ref="E35:F35"/>
    <mergeCell ref="G31:J31"/>
    <mergeCell ref="E32:J32"/>
    <mergeCell ref="I21:J21"/>
    <mergeCell ref="I22:J22"/>
    <mergeCell ref="I23:J23"/>
    <mergeCell ref="I24:J24"/>
    <mergeCell ref="I28:J28"/>
    <mergeCell ref="I29:J29"/>
    <mergeCell ref="I25:J25"/>
    <mergeCell ref="I26:J26"/>
    <mergeCell ref="I27:J27"/>
  </mergeCells>
  <conditionalFormatting sqref="C2:D2">
    <cfRule type="containsText" dxfId="30" priority="32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9" priority="31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3">
    <cfRule type="expression" dxfId="28" priority="71">
      <formula>$E33="راسب"</formula>
    </cfRule>
  </conditionalFormatting>
  <conditionalFormatting sqref="E33:J33">
    <cfRule type="expression" dxfId="27" priority="72">
      <formula>$E33="مقبول"</formula>
    </cfRule>
    <cfRule type="expression" dxfId="26" priority="73">
      <formula>$E33="جيد"</formula>
    </cfRule>
    <cfRule type="expression" dxfId="25" priority="74">
      <formula>$E33="جيد جداً"</formula>
    </cfRule>
    <cfRule type="expression" dxfId="24" priority="75">
      <formula>$E33="ممتاز"</formula>
    </cfRule>
  </conditionalFormatting>
  <conditionalFormatting sqref="F8:F20 F30">
    <cfRule type="containsText" dxfId="23" priority="28" operator="containsText" text="أدخل العلامة">
      <formula>NOT(ISERROR(SEARCH("أدخل العلامة",F8)))</formula>
    </cfRule>
  </conditionalFormatting>
  <conditionalFormatting sqref="F2:J2">
    <cfRule type="containsText" dxfId="22" priority="33" operator="containsText" text="أدخل التاريخ">
      <formula>NOT(ISERROR(SEARCH("أدخل التاريخ",F2)))</formula>
    </cfRule>
  </conditionalFormatting>
  <conditionalFormatting sqref="F3:J3">
    <cfRule type="containsText" dxfId="21" priority="30" operator="containsText" text="أدخل أسم المحكم">
      <formula>NOT(ISERROR(SEARCH("أدخل أسم المحكم",F3)))</formula>
    </cfRule>
  </conditionalFormatting>
  <conditionalFormatting sqref="G34:J34">
    <cfRule type="containsText" dxfId="20" priority="29" operator="containsText" text="أدخل اسم المحكم">
      <formula>NOT(ISERROR(SEARCH("أدخل اسم المحكم",G34)))</formula>
    </cfRule>
  </conditionalFormatting>
  <conditionalFormatting sqref="H8:H20 H30">
    <cfRule type="containsText" dxfId="19" priority="19" operator="containsText" text="أدخل العلامة">
      <formula>NOT(ISERROR(SEARCH("أدخل العلامة",H8)))</formula>
    </cfRule>
    <cfRule type="containsText" dxfId="18" priority="20" operator="containsText" text="ممتاز">
      <formula>NOT(ISERROR(SEARCH("ممتاز",H8)))</formula>
    </cfRule>
    <cfRule type="containsText" dxfId="17" priority="21" operator="containsText" text="جيد جداً">
      <formula>NOT(ISERROR(SEARCH("جيد جداً",H8)))</formula>
    </cfRule>
    <cfRule type="containsText" dxfId="16" priority="22" operator="containsText" text="جيد">
      <formula>NOT(ISERROR(SEARCH("جيد",H8)))</formula>
    </cfRule>
    <cfRule type="containsText" dxfId="15" priority="23" operator="containsText" text="مقبول">
      <formula>NOT(ISERROR(SEARCH("مقبول",H8)))</formula>
    </cfRule>
    <cfRule type="containsText" dxfId="14" priority="24" operator="containsText" text="راسب">
      <formula>NOT(ISERROR(SEARCH("راسب",H8)))</formula>
    </cfRule>
  </conditionalFormatting>
  <conditionalFormatting sqref="F21:F24 F28:F29">
    <cfRule type="containsText" dxfId="13" priority="14" operator="containsText" text="أدخل العلامة">
      <formula>NOT(ISERROR(SEARCH("أدخل العلامة",F21)))</formula>
    </cfRule>
  </conditionalFormatting>
  <conditionalFormatting sqref="H21:H24 H28:H29">
    <cfRule type="containsText" dxfId="12" priority="8" operator="containsText" text="أدخل العلامة">
      <formula>NOT(ISERROR(SEARCH("أدخل العلامة",H21)))</formula>
    </cfRule>
    <cfRule type="containsText" dxfId="11" priority="9" operator="containsText" text="ممتاز">
      <formula>NOT(ISERROR(SEARCH("ممتاز",H21)))</formula>
    </cfRule>
    <cfRule type="containsText" dxfId="10" priority="10" operator="containsText" text="جيد جداً">
      <formula>NOT(ISERROR(SEARCH("جيد جداً",H21)))</formula>
    </cfRule>
    <cfRule type="containsText" dxfId="9" priority="11" operator="containsText" text="جيد">
      <formula>NOT(ISERROR(SEARCH("جيد",H21)))</formula>
    </cfRule>
    <cfRule type="containsText" dxfId="8" priority="12" operator="containsText" text="مقبول">
      <formula>NOT(ISERROR(SEARCH("مقبول",H21)))</formula>
    </cfRule>
    <cfRule type="containsText" dxfId="7" priority="13" operator="containsText" text="راسب">
      <formula>NOT(ISERROR(SEARCH("راسب",H21)))</formula>
    </cfRule>
  </conditionalFormatting>
  <conditionalFormatting sqref="F25:F27">
    <cfRule type="containsText" dxfId="6" priority="7" operator="containsText" text="أدخل العلامة">
      <formula>NOT(ISERROR(SEARCH("أدخل العلامة",F25)))</formula>
    </cfRule>
  </conditionalFormatting>
  <conditionalFormatting sqref="H25:H27">
    <cfRule type="containsText" dxfId="5" priority="1" operator="containsText" text="أدخل العلامة">
      <formula>NOT(ISERROR(SEARCH("أدخل العلامة",H25)))</formula>
    </cfRule>
    <cfRule type="containsText" dxfId="4" priority="2" operator="containsText" text="ممتاز">
      <formula>NOT(ISERROR(SEARCH("ممتاز",H25)))</formula>
    </cfRule>
    <cfRule type="containsText" dxfId="3" priority="3" operator="containsText" text="جيد جداً">
      <formula>NOT(ISERROR(SEARCH("جيد جداً",H25)))</formula>
    </cfRule>
    <cfRule type="containsText" dxfId="2" priority="4" operator="containsText" text="جيد">
      <formula>NOT(ISERROR(SEARCH("جيد",H25)))</formula>
    </cfRule>
    <cfRule type="containsText" dxfId="1" priority="5" operator="containsText" text="مقبول">
      <formula>NOT(ISERROR(SEARCH("مقبول",H25)))</formula>
    </cfRule>
    <cfRule type="containsText" dxfId="0" priority="6" operator="containsText" text="راسب">
      <formula>NOT(ISERROR(SEARCH("راسب",H25)))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G34:J34 F3:J3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F9:F14 F16:F19 F21:F30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F2:J2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5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9" t="s">
        <v>62</v>
      </c>
    </row>
    <row r="3" spans="1:3" ht="20.100000000000001" customHeight="1" thickBot="1" x14ac:dyDescent="0.25">
      <c r="A3" s="2" t="s">
        <v>26</v>
      </c>
      <c r="C3" s="19" t="s">
        <v>63</v>
      </c>
    </row>
    <row r="4" spans="1:3" ht="20.100000000000001" customHeight="1" thickBot="1" x14ac:dyDescent="0.25">
      <c r="A4" s="2" t="s">
        <v>36</v>
      </c>
      <c r="C4" s="19" t="s">
        <v>64</v>
      </c>
    </row>
    <row r="5" spans="1:3" ht="20.100000000000001" customHeight="1" thickBot="1" x14ac:dyDescent="0.25">
      <c r="A5" s="2" t="s">
        <v>37</v>
      </c>
      <c r="C5" s="19" t="s">
        <v>65</v>
      </c>
    </row>
    <row r="6" spans="1:3" ht="20.100000000000001" customHeight="1" thickBot="1" x14ac:dyDescent="0.25">
      <c r="A6" s="2" t="s">
        <v>38</v>
      </c>
      <c r="C6" s="19" t="s">
        <v>66</v>
      </c>
    </row>
    <row r="7" spans="1:3" ht="20.100000000000001" customHeight="1" thickBot="1" x14ac:dyDescent="0.25">
      <c r="A7" s="2" t="s">
        <v>39</v>
      </c>
      <c r="C7" s="19" t="s">
        <v>67</v>
      </c>
    </row>
    <row r="8" spans="1:3" ht="20.100000000000001" customHeight="1" thickBot="1" x14ac:dyDescent="0.25">
      <c r="A8" s="2" t="s">
        <v>40</v>
      </c>
      <c r="C8" s="19" t="s">
        <v>68</v>
      </c>
    </row>
    <row r="9" spans="1:3" ht="20.100000000000001" customHeight="1" thickBot="1" x14ac:dyDescent="0.25">
      <c r="A9" s="2" t="s">
        <v>41</v>
      </c>
      <c r="C9" s="19" t="s">
        <v>69</v>
      </c>
    </row>
    <row r="10" spans="1:3" ht="20.100000000000001" customHeight="1" thickBot="1" x14ac:dyDescent="0.25">
      <c r="A10" s="2" t="s">
        <v>42</v>
      </c>
      <c r="C10" s="19" t="s">
        <v>70</v>
      </c>
    </row>
    <row r="11" spans="1:3" ht="20.100000000000001" customHeight="1" thickBot="1" x14ac:dyDescent="0.25">
      <c r="A11" s="2" t="s">
        <v>43</v>
      </c>
      <c r="C11" s="19" t="s">
        <v>71</v>
      </c>
    </row>
    <row r="12" spans="1:3" ht="20.100000000000001" customHeight="1" thickBot="1" x14ac:dyDescent="0.25">
      <c r="A12" s="2" t="s">
        <v>44</v>
      </c>
      <c r="C12" s="19" t="s">
        <v>72</v>
      </c>
    </row>
    <row r="13" spans="1:3" ht="20.100000000000001" customHeight="1" thickBot="1" x14ac:dyDescent="0.25">
      <c r="A13" s="2" t="s">
        <v>45</v>
      </c>
      <c r="C13" s="19" t="s">
        <v>73</v>
      </c>
    </row>
    <row r="14" spans="1:3" ht="20.100000000000001" customHeight="1" thickBot="1" x14ac:dyDescent="0.25">
      <c r="A14" s="2" t="s">
        <v>46</v>
      </c>
      <c r="C14" s="19" t="s">
        <v>74</v>
      </c>
    </row>
    <row r="15" spans="1:3" ht="20.100000000000001" customHeight="1" thickBot="1" x14ac:dyDescent="0.25">
      <c r="A15" s="2" t="s">
        <v>47</v>
      </c>
      <c r="C15" s="19" t="s">
        <v>75</v>
      </c>
    </row>
    <row r="16" spans="1:3" ht="20.100000000000001" customHeight="1" thickBot="1" x14ac:dyDescent="0.25">
      <c r="A16" s="2" t="s">
        <v>10</v>
      </c>
      <c r="C16" s="19" t="s">
        <v>76</v>
      </c>
    </row>
    <row r="17" spans="1:3" ht="20.100000000000001" customHeight="1" thickBot="1" x14ac:dyDescent="0.25">
      <c r="A17" s="2" t="s">
        <v>27</v>
      </c>
      <c r="C17" s="19" t="s">
        <v>77</v>
      </c>
    </row>
    <row r="18" spans="1:3" ht="20.100000000000001" customHeight="1" thickBot="1" x14ac:dyDescent="0.25">
      <c r="A18" s="2" t="s">
        <v>48</v>
      </c>
      <c r="C18" s="19" t="s">
        <v>78</v>
      </c>
    </row>
    <row r="19" spans="1:3" ht="20.100000000000001" customHeight="1" thickBot="1" x14ac:dyDescent="0.25">
      <c r="A19" s="2" t="s">
        <v>49</v>
      </c>
      <c r="C19" s="19" t="s">
        <v>79</v>
      </c>
    </row>
    <row r="20" spans="1:3" ht="20.100000000000001" customHeight="1" thickBot="1" x14ac:dyDescent="0.25">
      <c r="A20" s="2" t="s">
        <v>50</v>
      </c>
      <c r="C20" s="19" t="s">
        <v>80</v>
      </c>
    </row>
    <row r="21" spans="1:3" ht="20.100000000000001" customHeight="1" thickBot="1" x14ac:dyDescent="0.25">
      <c r="A21" s="2" t="s">
        <v>51</v>
      </c>
      <c r="C21" s="19" t="s">
        <v>81</v>
      </c>
    </row>
    <row r="22" spans="1:3" ht="20.100000000000001" customHeight="1" thickBot="1" x14ac:dyDescent="0.25">
      <c r="A22" s="2" t="s">
        <v>11</v>
      </c>
      <c r="C22" s="19" t="s">
        <v>82</v>
      </c>
    </row>
    <row r="23" spans="1:3" ht="20.100000000000001" customHeight="1" thickBot="1" x14ac:dyDescent="0.25">
      <c r="A23" s="2" t="s">
        <v>12</v>
      </c>
      <c r="C23" s="19" t="s">
        <v>83</v>
      </c>
    </row>
    <row r="24" spans="1:3" ht="20.100000000000001" customHeight="1" thickBot="1" x14ac:dyDescent="0.25">
      <c r="A24" s="2" t="s">
        <v>15</v>
      </c>
      <c r="C24" s="19" t="s">
        <v>84</v>
      </c>
    </row>
    <row r="25" spans="1:3" ht="20.100000000000001" customHeight="1" thickBot="1" x14ac:dyDescent="0.25">
      <c r="A25" s="2" t="s">
        <v>28</v>
      </c>
      <c r="C25" s="19" t="s">
        <v>85</v>
      </c>
    </row>
    <row r="26" spans="1:3" ht="20.100000000000001" customHeight="1" thickBot="1" x14ac:dyDescent="0.25">
      <c r="A26" s="2" t="s">
        <v>29</v>
      </c>
      <c r="C26" s="19" t="s">
        <v>86</v>
      </c>
    </row>
    <row r="27" spans="1:3" ht="20.100000000000001" customHeight="1" thickBot="1" x14ac:dyDescent="0.25">
      <c r="A27" s="2" t="s">
        <v>13</v>
      </c>
      <c r="C27" s="19" t="s">
        <v>87</v>
      </c>
    </row>
    <row r="28" spans="1:3" ht="20.100000000000001" customHeight="1" thickBot="1" x14ac:dyDescent="0.25">
      <c r="A28" s="2" t="s">
        <v>30</v>
      </c>
      <c r="C28" s="19" t="s">
        <v>88</v>
      </c>
    </row>
    <row r="29" spans="1:3" ht="20.100000000000001" customHeight="1" thickBot="1" x14ac:dyDescent="0.25">
      <c r="A29" s="2" t="s">
        <v>31</v>
      </c>
      <c r="C29" s="19"/>
    </row>
    <row r="30" spans="1:3" ht="20.100000000000001" customHeight="1" thickBot="1" x14ac:dyDescent="0.25">
      <c r="A30" s="2" t="s">
        <v>32</v>
      </c>
      <c r="C30" s="19"/>
    </row>
    <row r="31" spans="1:3" ht="20.100000000000001" customHeight="1" thickBot="1" x14ac:dyDescent="0.25">
      <c r="A31" s="2" t="s">
        <v>33</v>
      </c>
      <c r="C31" s="19"/>
    </row>
    <row r="32" spans="1:3" ht="20.100000000000001" customHeight="1" thickBot="1" x14ac:dyDescent="0.25">
      <c r="A32" s="2" t="s">
        <v>16</v>
      </c>
      <c r="C32" s="19"/>
    </row>
    <row r="33" spans="1:9" ht="20.100000000000001" customHeight="1" thickBot="1" x14ac:dyDescent="0.25">
      <c r="A33" s="2" t="s">
        <v>14</v>
      </c>
      <c r="C33" s="19"/>
    </row>
    <row r="34" spans="1:9" ht="20.100000000000001" customHeight="1" thickBot="1" x14ac:dyDescent="0.25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3">
        <v>45931</v>
      </c>
    </row>
    <row r="40" spans="1:9" ht="20.100000000000001" customHeight="1" thickBot="1" x14ac:dyDescent="0.25">
      <c r="A40" s="13">
        <v>45932</v>
      </c>
    </row>
    <row r="41" spans="1:9" ht="20.100000000000001" customHeight="1" thickBot="1" x14ac:dyDescent="0.25">
      <c r="A41" s="13">
        <v>45933</v>
      </c>
    </row>
    <row r="42" spans="1:9" ht="20.100000000000001" customHeight="1" thickBot="1" x14ac:dyDescent="0.25">
      <c r="A42" s="13">
        <v>45934</v>
      </c>
    </row>
    <row r="43" spans="1:9" ht="20.100000000000001" customHeight="1" thickBot="1" x14ac:dyDescent="0.25">
      <c r="A43" s="13">
        <v>45935</v>
      </c>
    </row>
    <row r="44" spans="1:9" ht="20.100000000000001" customHeight="1" thickBot="1" x14ac:dyDescent="0.25">
      <c r="A44" s="13">
        <v>45936</v>
      </c>
    </row>
    <row r="45" spans="1:9" ht="20.100000000000001" customHeight="1" thickBot="1" x14ac:dyDescent="0.25">
      <c r="A45" s="13">
        <v>45937</v>
      </c>
    </row>
    <row r="46" spans="1:9" ht="20.100000000000001" customHeight="1" thickBot="1" x14ac:dyDescent="0.25">
      <c r="A46" s="13">
        <v>45938</v>
      </c>
    </row>
    <row r="47" spans="1:9" ht="20.100000000000001" customHeight="1" thickBot="1" x14ac:dyDescent="0.25">
      <c r="A47" s="13">
        <v>45939</v>
      </c>
    </row>
    <row r="48" spans="1:9" ht="20.100000000000001" customHeight="1" thickBot="1" x14ac:dyDescent="0.25">
      <c r="A48" s="13">
        <v>45940</v>
      </c>
    </row>
    <row r="49" spans="1:1" ht="20.100000000000001" customHeight="1" thickBot="1" x14ac:dyDescent="0.25">
      <c r="A49" s="13">
        <v>45941</v>
      </c>
    </row>
    <row r="50" spans="1:1" ht="20.100000000000001" customHeight="1" thickBot="1" x14ac:dyDescent="0.25">
      <c r="A50" s="13">
        <v>45942</v>
      </c>
    </row>
    <row r="51" spans="1:1" ht="20.100000000000001" customHeight="1" thickBot="1" x14ac:dyDescent="0.25">
      <c r="A51" s="13">
        <v>45943</v>
      </c>
    </row>
    <row r="52" spans="1:1" ht="20.100000000000001" customHeight="1" thickBot="1" x14ac:dyDescent="0.25">
      <c r="A52" s="13">
        <v>45944</v>
      </c>
    </row>
    <row r="53" spans="1:1" ht="20.100000000000001" customHeight="1" thickBot="1" x14ac:dyDescent="0.25">
      <c r="A53" s="13">
        <v>45945</v>
      </c>
    </row>
    <row r="54" spans="1:1" ht="20.100000000000001" customHeight="1" thickBot="1" x14ac:dyDescent="0.25">
      <c r="A54" s="13">
        <v>45946</v>
      </c>
    </row>
    <row r="55" spans="1:1" ht="20.100000000000001" customHeight="1" thickBot="1" x14ac:dyDescent="0.25">
      <c r="A55" s="13">
        <v>45947</v>
      </c>
    </row>
    <row r="56" spans="1:1" ht="20.100000000000001" customHeight="1" thickBot="1" x14ac:dyDescent="0.25">
      <c r="A56" s="13">
        <v>45948</v>
      </c>
    </row>
    <row r="57" spans="1:1" ht="20.100000000000001" customHeight="1" thickBot="1" x14ac:dyDescent="0.25">
      <c r="A57" s="13">
        <v>45949</v>
      </c>
    </row>
    <row r="58" spans="1:1" ht="20.100000000000001" customHeight="1" thickBot="1" x14ac:dyDescent="0.25">
      <c r="A58" s="13">
        <v>45950</v>
      </c>
    </row>
    <row r="59" spans="1:1" ht="20.100000000000001" customHeight="1" thickBot="1" x14ac:dyDescent="0.25">
      <c r="A59" s="13">
        <v>45951</v>
      </c>
    </row>
    <row r="60" spans="1:1" ht="20.100000000000001" customHeight="1" thickBot="1" x14ac:dyDescent="0.25">
      <c r="A60" s="13">
        <v>45952</v>
      </c>
    </row>
    <row r="61" spans="1:1" ht="20.100000000000001" customHeight="1" thickBot="1" x14ac:dyDescent="0.25">
      <c r="A61" s="13">
        <v>45953</v>
      </c>
    </row>
    <row r="62" spans="1:1" ht="20.100000000000001" customHeight="1" thickBot="1" x14ac:dyDescent="0.25">
      <c r="A62" s="13">
        <v>45954</v>
      </c>
    </row>
    <row r="63" spans="1:1" ht="20.100000000000001" customHeight="1" thickBot="1" x14ac:dyDescent="0.25">
      <c r="A63" s="13">
        <v>45955</v>
      </c>
    </row>
    <row r="64" spans="1:1" ht="20.100000000000001" customHeight="1" thickBot="1" x14ac:dyDescent="0.25">
      <c r="A64" s="13">
        <v>45956</v>
      </c>
    </row>
    <row r="65" spans="1:9" ht="20.100000000000001" customHeight="1" thickBot="1" x14ac:dyDescent="0.25">
      <c r="A65" s="13">
        <v>45957</v>
      </c>
    </row>
    <row r="66" spans="1:9" ht="20.100000000000001" customHeight="1" thickBot="1" x14ac:dyDescent="0.25">
      <c r="A66" s="13">
        <v>45958</v>
      </c>
    </row>
    <row r="67" spans="1:9" ht="20.100000000000001" customHeight="1" thickBot="1" x14ac:dyDescent="0.25">
      <c r="A67" s="13">
        <v>45959</v>
      </c>
    </row>
    <row r="68" spans="1:9" ht="20.100000000000001" customHeight="1" thickBot="1" x14ac:dyDescent="0.25">
      <c r="A68" s="13">
        <v>45960</v>
      </c>
    </row>
    <row r="69" spans="1:9" ht="20.100000000000001" customHeight="1" thickBot="1" x14ac:dyDescent="0.25">
      <c r="A69" s="13">
        <v>45961</v>
      </c>
    </row>
    <row r="70" spans="1:9" ht="20.100000000000001" customHeight="1" x14ac:dyDescent="0.2">
      <c r="A70" s="14"/>
    </row>
    <row r="71" spans="1:9" ht="20.100000000000001" customHeight="1" x14ac:dyDescent="0.2">
      <c r="A71" s="14"/>
    </row>
    <row r="72" spans="1:9" s="17" customFormat="1" ht="20.100000000000001" customHeight="1" x14ac:dyDescent="0.2">
      <c r="A72" s="15"/>
      <c r="B72" s="16"/>
      <c r="C72" s="16"/>
      <c r="D72" s="16"/>
      <c r="E72" s="16"/>
      <c r="F72" s="16"/>
      <c r="G72" s="16"/>
      <c r="H72" s="16"/>
      <c r="I72" s="16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20" t="s">
        <v>89</v>
      </c>
    </row>
    <row r="163" spans="1:1" ht="20.100000000000001" customHeight="1" x14ac:dyDescent="0.2">
      <c r="A163" s="20" t="s">
        <v>90</v>
      </c>
    </row>
    <row r="164" spans="1:1" ht="20.100000000000001" customHeight="1" x14ac:dyDescent="0.2">
      <c r="A164" s="20" t="s">
        <v>91</v>
      </c>
    </row>
    <row r="165" spans="1:1" ht="20.100000000000001" customHeight="1" x14ac:dyDescent="0.2">
      <c r="A165" s="20" t="s">
        <v>92</v>
      </c>
    </row>
    <row r="166" spans="1:1" ht="20.100000000000001" customHeight="1" x14ac:dyDescent="0.2">
      <c r="A166" s="20" t="s">
        <v>93</v>
      </c>
    </row>
    <row r="167" spans="1:1" ht="20.100000000000001" customHeight="1" x14ac:dyDescent="0.2">
      <c r="A167" s="20" t="s">
        <v>94</v>
      </c>
    </row>
    <row r="168" spans="1:1" ht="20.100000000000001" customHeight="1" x14ac:dyDescent="0.2">
      <c r="A168" s="20" t="s">
        <v>95</v>
      </c>
    </row>
    <row r="169" spans="1:1" ht="20.100000000000001" customHeight="1" x14ac:dyDescent="0.2">
      <c r="A169" s="20" t="s">
        <v>96</v>
      </c>
    </row>
    <row r="170" spans="1:1" ht="20.100000000000001" customHeight="1" x14ac:dyDescent="0.2">
      <c r="A170" s="20" t="s">
        <v>97</v>
      </c>
    </row>
    <row r="171" spans="1:1" ht="20.100000000000001" customHeight="1" x14ac:dyDescent="0.2">
      <c r="A171" s="21" t="s">
        <v>98</v>
      </c>
    </row>
    <row r="172" spans="1:1" ht="20.100000000000001" customHeight="1" x14ac:dyDescent="0.2">
      <c r="A172" s="21" t="s">
        <v>99</v>
      </c>
    </row>
    <row r="173" spans="1:1" ht="20.100000000000001" customHeight="1" x14ac:dyDescent="0.2">
      <c r="A173" s="20" t="s">
        <v>100</v>
      </c>
    </row>
    <row r="174" spans="1:1" ht="20.100000000000001" customHeight="1" x14ac:dyDescent="0.2">
      <c r="A174" s="20" t="s">
        <v>101</v>
      </c>
    </row>
    <row r="175" spans="1:1" ht="20.100000000000001" customHeight="1" x14ac:dyDescent="0.2">
      <c r="A175" s="20" t="s">
        <v>102</v>
      </c>
    </row>
    <row r="176" spans="1:1" ht="20.100000000000001" customHeight="1" x14ac:dyDescent="0.2">
      <c r="A176" s="20" t="s">
        <v>103</v>
      </c>
    </row>
    <row r="177" spans="1:1" ht="20.100000000000001" customHeight="1" x14ac:dyDescent="0.2">
      <c r="A177" s="20" t="s">
        <v>104</v>
      </c>
    </row>
    <row r="178" spans="1:1" ht="20.100000000000001" customHeight="1" x14ac:dyDescent="0.2">
      <c r="A178" s="20" t="s">
        <v>105</v>
      </c>
    </row>
    <row r="179" spans="1:1" ht="20.100000000000001" customHeight="1" x14ac:dyDescent="0.2">
      <c r="A179" s="20" t="s">
        <v>106</v>
      </c>
    </row>
    <row r="180" spans="1:1" ht="20.100000000000001" customHeight="1" x14ac:dyDescent="0.2">
      <c r="A180" s="20" t="s">
        <v>107</v>
      </c>
    </row>
    <row r="181" spans="1:1" ht="20.100000000000001" customHeight="1" x14ac:dyDescent="0.2">
      <c r="A181" s="20" t="s">
        <v>108</v>
      </c>
    </row>
    <row r="182" spans="1:1" ht="20.100000000000001" customHeight="1" x14ac:dyDescent="0.2">
      <c r="A182" s="20" t="s">
        <v>109</v>
      </c>
    </row>
    <row r="183" spans="1:1" ht="20.100000000000001" customHeight="1" x14ac:dyDescent="0.2">
      <c r="A183" s="20" t="s">
        <v>110</v>
      </c>
    </row>
    <row r="184" spans="1:1" ht="20.100000000000001" customHeight="1" x14ac:dyDescent="0.2">
      <c r="A184" s="20" t="s">
        <v>111</v>
      </c>
    </row>
    <row r="185" spans="1:1" ht="20.100000000000001" customHeight="1" x14ac:dyDescent="0.2">
      <c r="A185" s="20" t="s">
        <v>112</v>
      </c>
    </row>
    <row r="186" spans="1:1" ht="20.100000000000001" customHeight="1" x14ac:dyDescent="0.2">
      <c r="A186" s="20" t="s">
        <v>113</v>
      </c>
    </row>
    <row r="187" spans="1:1" ht="20.100000000000001" customHeight="1" x14ac:dyDescent="0.2">
      <c r="A187" s="20" t="s">
        <v>114</v>
      </c>
    </row>
    <row r="188" spans="1:1" ht="20.100000000000001" customHeight="1" x14ac:dyDescent="0.2">
      <c r="A188" s="20" t="s">
        <v>115</v>
      </c>
    </row>
    <row r="189" spans="1:1" ht="20.100000000000001" customHeight="1" x14ac:dyDescent="0.2">
      <c r="A189" s="20" t="s">
        <v>116</v>
      </c>
    </row>
    <row r="190" spans="1:1" ht="20.100000000000001" customHeight="1" x14ac:dyDescent="0.2">
      <c r="A190" s="20" t="s">
        <v>117</v>
      </c>
    </row>
    <row r="191" spans="1:1" ht="20.100000000000001" customHeight="1" x14ac:dyDescent="0.2">
      <c r="A191" s="20" t="s">
        <v>118</v>
      </c>
    </row>
    <row r="192" spans="1:1" ht="20.100000000000001" customHeight="1" x14ac:dyDescent="0.2">
      <c r="A192" s="20" t="s">
        <v>119</v>
      </c>
    </row>
    <row r="193" spans="1:1" ht="20.100000000000001" customHeight="1" x14ac:dyDescent="0.2">
      <c r="A193" s="20" t="s">
        <v>120</v>
      </c>
    </row>
    <row r="194" spans="1:1" ht="20.100000000000001" customHeight="1" x14ac:dyDescent="0.2">
      <c r="A194" s="20" t="s">
        <v>121</v>
      </c>
    </row>
    <row r="195" spans="1:1" ht="20.100000000000001" customHeight="1" x14ac:dyDescent="0.2">
      <c r="A195" s="20" t="s">
        <v>122</v>
      </c>
    </row>
    <row r="196" spans="1:1" ht="20.100000000000001" customHeight="1" x14ac:dyDescent="0.2">
      <c r="A196" s="20" t="s">
        <v>123</v>
      </c>
    </row>
    <row r="197" spans="1:1" ht="20.100000000000001" customHeight="1" x14ac:dyDescent="0.2">
      <c r="A197" s="20" t="s">
        <v>124</v>
      </c>
    </row>
    <row r="198" spans="1:1" ht="20.100000000000001" customHeight="1" x14ac:dyDescent="0.2">
      <c r="A198" s="22" t="s">
        <v>125</v>
      </c>
    </row>
    <row r="199" spans="1:1" ht="20.100000000000001" customHeight="1" x14ac:dyDescent="0.2">
      <c r="A199" s="20" t="s">
        <v>126</v>
      </c>
    </row>
    <row r="200" spans="1:1" ht="20.100000000000001" customHeight="1" x14ac:dyDescent="0.2">
      <c r="A200" s="20" t="s">
        <v>127</v>
      </c>
    </row>
    <row r="201" spans="1:1" ht="20.100000000000001" customHeight="1" x14ac:dyDescent="0.2">
      <c r="A201" s="20" t="s">
        <v>128</v>
      </c>
    </row>
    <row r="202" spans="1:1" ht="20.100000000000001" customHeight="1" x14ac:dyDescent="0.2">
      <c r="A202" s="20" t="s">
        <v>129</v>
      </c>
    </row>
    <row r="203" spans="1:1" ht="20.100000000000001" customHeight="1" x14ac:dyDescent="0.2">
      <c r="A203" s="20" t="s">
        <v>130</v>
      </c>
    </row>
    <row r="204" spans="1:1" ht="20.100000000000001" customHeight="1" x14ac:dyDescent="0.2">
      <c r="A204" s="20" t="s">
        <v>131</v>
      </c>
    </row>
    <row r="205" spans="1:1" ht="20.100000000000001" customHeight="1" x14ac:dyDescent="0.2">
      <c r="A205" s="20" t="s">
        <v>132</v>
      </c>
    </row>
    <row r="206" spans="1:1" ht="20.100000000000001" customHeight="1" x14ac:dyDescent="0.2">
      <c r="A206" s="20" t="s">
        <v>133</v>
      </c>
    </row>
    <row r="207" spans="1:1" ht="20.100000000000001" customHeight="1" x14ac:dyDescent="0.2">
      <c r="A207" s="20" t="s">
        <v>134</v>
      </c>
    </row>
    <row r="208" spans="1:1" ht="20.100000000000001" customHeight="1" x14ac:dyDescent="0.2">
      <c r="A208" s="20" t="s">
        <v>135</v>
      </c>
    </row>
    <row r="209" spans="1:1" ht="20.100000000000001" customHeight="1" x14ac:dyDescent="0.2">
      <c r="A209" s="20" t="s">
        <v>136</v>
      </c>
    </row>
    <row r="210" spans="1:1" ht="20.100000000000001" customHeight="1" x14ac:dyDescent="0.2">
      <c r="A210" s="20" t="s">
        <v>127</v>
      </c>
    </row>
    <row r="211" spans="1:1" ht="20.100000000000001" customHeight="1" x14ac:dyDescent="0.2">
      <c r="A211" s="20" t="s">
        <v>137</v>
      </c>
    </row>
    <row r="212" spans="1:1" ht="20.100000000000001" customHeight="1" x14ac:dyDescent="0.2">
      <c r="A212" s="20" t="s">
        <v>138</v>
      </c>
    </row>
    <row r="213" spans="1:1" ht="20.100000000000001" customHeight="1" x14ac:dyDescent="0.2">
      <c r="A213" s="22" t="s">
        <v>139</v>
      </c>
    </row>
    <row r="214" spans="1:1" ht="20.100000000000001" customHeight="1" x14ac:dyDescent="0.2">
      <c r="A214" s="23" t="s">
        <v>140</v>
      </c>
    </row>
    <row r="215" spans="1:1" ht="20.100000000000001" customHeight="1" x14ac:dyDescent="0.2">
      <c r="A215" s="20" t="s">
        <v>141</v>
      </c>
    </row>
    <row r="216" spans="1:1" ht="20.100000000000001" customHeight="1" x14ac:dyDescent="0.2">
      <c r="A216" s="20" t="s">
        <v>142</v>
      </c>
    </row>
    <row r="217" spans="1:1" ht="20.100000000000001" customHeight="1" x14ac:dyDescent="0.2">
      <c r="A217" s="24" t="s">
        <v>143</v>
      </c>
    </row>
    <row r="218" spans="1:1" ht="20.100000000000001" customHeight="1" x14ac:dyDescent="0.2">
      <c r="A218" s="24" t="s">
        <v>144</v>
      </c>
    </row>
    <row r="219" spans="1:1" ht="20.100000000000001" customHeight="1" x14ac:dyDescent="0.2">
      <c r="A219" s="23" t="s">
        <v>145</v>
      </c>
    </row>
    <row r="220" spans="1:1" ht="20.100000000000001" customHeight="1" x14ac:dyDescent="0.2">
      <c r="A220" s="20" t="s">
        <v>146</v>
      </c>
    </row>
    <row r="221" spans="1:1" ht="20.100000000000001" customHeight="1" x14ac:dyDescent="0.2">
      <c r="A221" s="23" t="s">
        <v>147</v>
      </c>
    </row>
    <row r="222" spans="1:1" ht="20.100000000000001" customHeight="1" x14ac:dyDescent="0.2">
      <c r="A222" s="20" t="s">
        <v>148</v>
      </c>
    </row>
    <row r="223" spans="1:1" ht="20.100000000000001" customHeight="1" x14ac:dyDescent="0.2">
      <c r="A223" s="23" t="s">
        <v>149</v>
      </c>
    </row>
    <row r="224" spans="1:1" ht="20.100000000000001" customHeight="1" x14ac:dyDescent="0.2">
      <c r="A224" s="20" t="s">
        <v>150</v>
      </c>
    </row>
    <row r="225" spans="1:1" ht="20.100000000000001" customHeight="1" x14ac:dyDescent="0.2">
      <c r="A225" s="20" t="s">
        <v>151</v>
      </c>
    </row>
    <row r="226" spans="1:1" ht="20.100000000000001" customHeight="1" x14ac:dyDescent="0.2">
      <c r="A226" s="23" t="s">
        <v>152</v>
      </c>
    </row>
    <row r="227" spans="1:1" ht="20.100000000000001" customHeight="1" x14ac:dyDescent="0.2">
      <c r="A227" s="23" t="s">
        <v>153</v>
      </c>
    </row>
    <row r="228" spans="1:1" ht="20.100000000000001" customHeight="1" x14ac:dyDescent="0.2">
      <c r="A228" s="23" t="s">
        <v>154</v>
      </c>
    </row>
    <row r="229" spans="1:1" ht="20.100000000000001" customHeight="1" x14ac:dyDescent="0.2">
      <c r="A229" s="20" t="s">
        <v>155</v>
      </c>
    </row>
    <row r="230" spans="1:1" ht="20.100000000000001" customHeight="1" x14ac:dyDescent="0.2">
      <c r="A230" s="20" t="s">
        <v>156</v>
      </c>
    </row>
    <row r="231" spans="1:1" ht="20.100000000000001" customHeight="1" x14ac:dyDescent="0.2">
      <c r="A231" s="20" t="s">
        <v>157</v>
      </c>
    </row>
    <row r="232" spans="1:1" ht="20.100000000000001" customHeight="1" x14ac:dyDescent="0.2">
      <c r="A232" s="20" t="s">
        <v>158</v>
      </c>
    </row>
    <row r="233" spans="1:1" ht="20.100000000000001" customHeight="1" x14ac:dyDescent="0.2">
      <c r="A233" s="23" t="s">
        <v>159</v>
      </c>
    </row>
    <row r="234" spans="1:1" ht="20.100000000000001" customHeight="1" x14ac:dyDescent="0.2">
      <c r="A234" s="23" t="s">
        <v>160</v>
      </c>
    </row>
    <row r="235" spans="1:1" ht="20.100000000000001" customHeight="1" x14ac:dyDescent="0.2">
      <c r="A235" s="20" t="s">
        <v>161</v>
      </c>
    </row>
    <row r="236" spans="1:1" ht="20.100000000000001" customHeight="1" x14ac:dyDescent="0.2">
      <c r="A236" s="23" t="s">
        <v>162</v>
      </c>
    </row>
    <row r="237" spans="1:1" ht="20.100000000000001" customHeight="1" x14ac:dyDescent="0.2">
      <c r="A237" s="23" t="s">
        <v>163</v>
      </c>
    </row>
    <row r="238" spans="1:1" ht="20.100000000000001" customHeight="1" x14ac:dyDescent="0.2">
      <c r="A238" s="20" t="s">
        <v>164</v>
      </c>
    </row>
    <row r="239" spans="1:1" ht="20.100000000000001" customHeight="1" x14ac:dyDescent="0.2">
      <c r="A239" s="20" t="s">
        <v>165</v>
      </c>
    </row>
    <row r="240" spans="1:1" ht="20.100000000000001" customHeight="1" x14ac:dyDescent="0.2">
      <c r="A240" s="23" t="s">
        <v>166</v>
      </c>
    </row>
    <row r="241" spans="1:1" ht="20.100000000000001" customHeight="1" x14ac:dyDescent="0.2">
      <c r="A241" s="20" t="s">
        <v>167</v>
      </c>
    </row>
    <row r="242" spans="1:1" ht="20.100000000000001" customHeight="1" x14ac:dyDescent="0.2">
      <c r="A242" s="20" t="s">
        <v>168</v>
      </c>
    </row>
    <row r="243" spans="1:1" ht="20.100000000000001" customHeight="1" x14ac:dyDescent="0.2">
      <c r="A243" s="20" t="s">
        <v>169</v>
      </c>
    </row>
    <row r="244" spans="1:1" ht="20.100000000000001" customHeight="1" x14ac:dyDescent="0.2">
      <c r="A244" s="20" t="s">
        <v>170</v>
      </c>
    </row>
    <row r="245" spans="1:1" ht="20.100000000000001" customHeight="1" x14ac:dyDescent="0.2">
      <c r="A245" s="23" t="s">
        <v>171</v>
      </c>
    </row>
    <row r="246" spans="1:1" ht="20.100000000000001" customHeight="1" x14ac:dyDescent="0.2">
      <c r="A246" s="23" t="s">
        <v>172</v>
      </c>
    </row>
    <row r="247" spans="1:1" ht="20.100000000000001" customHeight="1" x14ac:dyDescent="0.2">
      <c r="A247" s="23" t="s">
        <v>173</v>
      </c>
    </row>
    <row r="248" spans="1:1" ht="20.100000000000001" customHeight="1" thickBot="1" x14ac:dyDescent="0.25">
      <c r="A248" s="20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2025-10-20T08:57:02Z</dcterms:modified>
</cp:coreProperties>
</file>