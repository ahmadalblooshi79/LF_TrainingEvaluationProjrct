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350C4805-7894-49BB-A53A-0E9B6C84EC6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7" i="2" l="1"/>
  <c r="E18" i="2" l="1"/>
  <c r="E19" i="2" s="1"/>
</calcChain>
</file>

<file path=xl/sharedStrings.xml><?xml version="1.0" encoding="utf-8"?>
<sst xmlns="http://schemas.openxmlformats.org/spreadsheetml/2006/main" count="263" uniqueCount="198">
  <si>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</si>
  <si>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</si>
  <si>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</si>
  <si>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</si>
  <si>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</si>
  <si>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</si>
  <si>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</si>
  <si>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</si>
  <si>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</si>
  <si>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</si>
  <si>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</si>
  <si>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</si>
  <si>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</si>
  <si>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</si>
  <si>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</si>
  <si>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</si>
  <si>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</si>
  <si>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</si>
  <si>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</si>
  <si>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</si>
  <si>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</si>
  <si>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</si>
  <si>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</si>
  <si>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</si>
  <si>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</si>
  <si>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</si>
  <si>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</si>
  <si>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</si>
  <si>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</si>
  <si>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</si>
  <si>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</si>
  <si>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</si>
  <si>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</si>
  <si>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</si>
  <si>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</si>
  <si>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</si>
  <si>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</si>
  <si>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</si>
  <si>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</si>
  <si>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</si>
  <si>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</si>
  <si>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</si>
  <si>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</si>
  <si>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</si>
  <si>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</si>
  <si>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</si>
  <si>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</si>
  <si>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</si>
  <si>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</si>
  <si>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</si>
  <si>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</si>
  <si>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</si>
  <si>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</si>
  <si>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</si>
  <si>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</si>
  <si>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</si>
  <si>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</si>
  <si>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</si>
  <si>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</si>
  <si>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</si>
  <si>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</si>
  <si>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</si>
  <si>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</si>
  <si>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</si>
  <si>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</si>
  <si>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</si>
  <si>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</si>
  <si>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</si>
  <si>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</si>
  <si>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</si>
  <si>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</si>
  <si>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</si>
  <si>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</si>
  <si>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</si>
  <si>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</si>
  <si>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</si>
  <si>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</si>
  <si>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</si>
  <si>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</si>
  <si>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</si>
  <si>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</si>
  <si>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</si>
  <si>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</si>
  <si>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</si>
  <si>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</si>
  <si>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</si>
  <si>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</si>
  <si>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</si>
  <si>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</si>
  <si>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</si>
  <si>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</si>
  <si>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</si>
  <si>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</si>
  <si>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</si>
  <si>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</si>
  <si>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</si>
  <si>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</si>
  <si>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</si>
  <si>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</si>
  <si>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</si>
  <si>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</si>
  <si>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</si>
  <si>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</si>
  <si>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</si>
  <si>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</si>
  <si>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</si>
  <si>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</si>
  <si>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</si>
  <si>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</si>
  <si>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</si>
  <si>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</si>
  <si>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</si>
  <si>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</si>
  <si>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</si>
  <si>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</si>
  <si>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</si>
  <si>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</si>
  <si>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</si>
  <si>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</si>
  <si>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</si>
  <si>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</si>
  <si>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</si>
  <si>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</si>
  <si>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</si>
  <si>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</si>
  <si>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</si>
  <si>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</si>
  <si>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</si>
  <si>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</si>
  <si>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</si>
  <si>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</si>
  <si>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</si>
  <si>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</si>
  <si>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</si>
  <si>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</si>
  <si>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</si>
  <si>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</si>
  <si>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</si>
  <si>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</si>
  <si>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</si>
  <si>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</si>
  <si>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</si>
  <si>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</si>
  <si>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</si>
  <si>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</si>
  <si>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</si>
  <si>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</si>
  <si>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</si>
  <si>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</si>
  <si>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</si>
  <si>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</si>
  <si>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</si>
  <si>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</si>
  <si>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</si>
  <si>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</si>
  <si>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</si>
  <si>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</si>
  <si>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</si>
  <si>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</si>
  <si>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</si>
  <si>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</si>
  <si>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</si>
  <si>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</si>
  <si>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</si>
  <si>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</si>
  <si>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</si>
  <si>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</si>
  <si>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</si>
  <si>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</si>
  <si>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</si>
  <si>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</si>
  <si>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</si>
  <si>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</si>
  <si>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</si>
  <si>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</si>
  <si>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</si>
  <si>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</si>
  <si>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</si>
  <si>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</si>
  <si>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</si>
  <si>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</si>
  <si>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</si>
  <si>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</si>
  <si>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</si>
  <si>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</si>
  <si>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</si>
  <si>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</si>
  <si>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</si>
  <si>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</si>
  <si>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تعبئة الجروح باستخدام الضمادة لإيقاف النزيف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</si>
  <si>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اجراءات رد الفعل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</si>
  <si>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تحديد مكان النزيف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</si>
  <si>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الكشف عن الجرح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</si>
  <si>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إزالة الدم من منطقة الجرح وطريقة استخراج واستخدام الضمادة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</si>
  <si>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الضغط على الجرح لمدة لا تقل عن 3 دقائق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</si>
  <si>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تقييم النزيف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</si>
  <si>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استخدام ضمادة أخرى لتثبيت الضمادة الأولى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</si>
  <si>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تشخيص الجروح الغائرة وتمييزها وطريقة إيقاف النزيف باستخدام الضمادة.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</si>
</sst>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7" t="s">
        <v>189</v>
      </c>
      <c r="C1" s="67"/>
      <c r="D1" s="67"/>
      <c r="E1" s="67"/>
      <c r="F1" s="67"/>
      <c r="G1" s="67"/>
      <c r="H1" s="67"/>
      <c r="I1" s="67"/>
      <c r="J1" s="67"/>
    </row>
    <row r="2" spans="1:10" ht="45" customHeight="1" x14ac:dyDescent="0.2">
      <c r="B2" s="84" t="s">
        <v>197</v>
      </c>
      <c r="C2" s="84"/>
      <c r="D2" s="84"/>
      <c r="E2" s="84"/>
      <c r="F2" s="84"/>
      <c r="G2" s="84"/>
      <c r="H2" s="84"/>
      <c r="I2" s="84"/>
      <c r="J2" s="84"/>
    </row>
    <row r="3" spans="1:10" ht="30" customHeight="1" x14ac:dyDescent="0.2">
      <c r="B3" s="11" t="s">
        <v>8</v>
      </c>
      <c r="C3" s="73" t="s">
        <v>57</v>
      </c>
      <c r="D3" s="73"/>
      <c r="E3" s="11" t="s">
        <v>7</v>
      </c>
      <c r="F3" s="68" t="s">
        <v>56</v>
      </c>
      <c r="G3" s="68"/>
      <c r="H3" s="68"/>
      <c r="I3" s="68"/>
      <c r="J3" s="68"/>
    </row>
    <row r="4" spans="1:10" ht="30" customHeight="1" x14ac:dyDescent="0.2">
      <c r="B4" s="11" t="s">
        <v>9</v>
      </c>
      <c r="C4" s="73" t="s">
        <v>60</v>
      </c>
      <c r="D4" s="73"/>
      <c r="E4" s="11" t="s">
        <v>6</v>
      </c>
      <c r="F4" s="73" t="s">
        <v>59</v>
      </c>
      <c r="G4" s="73"/>
      <c r="H4" s="73"/>
      <c r="I4" s="73"/>
      <c r="J4" s="73"/>
    </row>
    <row r="5" spans="1:10" ht="30" customHeight="1" x14ac:dyDescent="0.2">
      <c r="B5" s="50" t="s">
        <v>186</v>
      </c>
      <c r="C5" s="50"/>
      <c r="D5" s="39" t="s">
        <v>188</v>
      </c>
      <c r="E5" s="50" t="s">
        <v>187</v>
      </c>
      <c r="F5" s="50"/>
      <c r="G5" s="50"/>
      <c r="H5" s="50"/>
      <c r="I5" s="51" t="s">
        <v>185</v>
      </c>
      <c r="J5" s="51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9" t="s">
        <v>0</v>
      </c>
      <c r="C7" s="70"/>
      <c r="D7" s="70"/>
      <c r="E7" s="74" t="s">
        <v>1</v>
      </c>
      <c r="F7" s="74"/>
      <c r="G7" s="74"/>
      <c r="H7" s="74"/>
      <c r="I7" s="74" t="s">
        <v>2</v>
      </c>
      <c r="J7" s="75"/>
    </row>
    <row r="8" spans="1:10" ht="24.95" customHeight="1" thickBot="1" x14ac:dyDescent="0.25">
      <c r="A8" s="9"/>
      <c r="B8" s="71"/>
      <c r="C8" s="72"/>
      <c r="D8" s="72"/>
      <c r="E8" s="10" t="s">
        <v>3</v>
      </c>
      <c r="F8" s="10" t="s">
        <v>4</v>
      </c>
      <c r="G8" s="10" t="s">
        <v>23</v>
      </c>
      <c r="H8" s="10" t="s">
        <v>24</v>
      </c>
      <c r="I8" s="76"/>
      <c r="J8" s="77"/>
    </row>
    <row r="9" spans="1:10" ht="24.95" customHeight="1" thickBot="1" x14ac:dyDescent="0.25">
      <c r="A9" s="9"/>
      <c r="B9" s="92" t="s">
        <v>21</v>
      </c>
      <c r="C9" s="93"/>
      <c r="D9" s="93"/>
      <c r="E9" s="27" t="s">
        <v>18</v>
      </c>
      <c r="F9" s="27" t="s">
        <v>19</v>
      </c>
      <c r="G9" s="27" t="s">
        <v>22</v>
      </c>
      <c r="H9" s="27" t="s">
        <v>20</v>
      </c>
      <c r="I9" s="94" t="s">
        <v>25</v>
      </c>
      <c r="J9" s="95"/>
    </row>
    <row r="10" spans="1:10" ht="39.950000000000003" customHeight="1" x14ac:dyDescent="0.2">
      <c r="A10" s="9"/>
      <c r="B10" s="46" t="s">
        <v>190</v>
      </c>
      <c r="C10" s="47"/>
      <c r="D10" s="47"/>
      <c r="E10" s="31"/>
      <c r="F10" s="43"/>
      <c r="G10" s="32"/>
      <c r="H10" s="33"/>
      <c r="I10" s="78"/>
      <c r="J10" s="79"/>
    </row>
    <row r="11" spans="1:10" ht="39.950000000000003" customHeight="1" x14ac:dyDescent="0.2">
      <c r="A11" s="9"/>
      <c r="B11" s="48" t="s">
        <v>191</v>
      </c>
      <c r="C11" s="49"/>
      <c r="D11" s="49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80"/>
      <c r="J11" s="81"/>
    </row>
    <row r="12" spans="1:10" ht="39.950000000000003" customHeight="1" x14ac:dyDescent="0.2">
      <c r="A12" s="9"/>
      <c r="B12" s="48" t="s">
        <v>192</v>
      </c>
      <c r="C12" s="49"/>
      <c r="D12" s="49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80"/>
      <c r="J12" s="81"/>
    </row>
    <row r="13" spans="1:10" ht="39.950000000000003" customHeight="1" x14ac:dyDescent="0.2">
      <c r="A13" s="9"/>
      <c r="B13" s="48" t="s">
        <v>193</v>
      </c>
      <c r="C13" s="49"/>
      <c r="D13" s="49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80"/>
      <c r="J13" s="81"/>
    </row>
    <row r="14" spans="1:10" ht="39.950000000000003" customHeight="1" x14ac:dyDescent="0.2">
      <c r="A14" s="9"/>
      <c r="B14" s="48" t="s">
        <v>194</v>
      </c>
      <c r="C14" s="49"/>
      <c r="D14" s="49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80"/>
      <c r="J14" s="81"/>
    </row>
    <row r="15" spans="1:10" ht="39.950000000000003" customHeight="1" x14ac:dyDescent="0.2">
      <c r="A15" s="9"/>
      <c r="B15" s="48" t="s">
        <v>195</v>
      </c>
      <c r="C15" s="49"/>
      <c r="D15" s="49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80"/>
      <c r="J15" s="81"/>
    </row>
    <row r="16" spans="1:10" ht="39.950000000000003" customHeight="1" thickBot="1" x14ac:dyDescent="0.25">
      <c r="A16" s="9"/>
      <c r="B16" s="44" t="s">
        <v>196</v>
      </c>
      <c r="C16" s="45"/>
      <c r="D16" s="45"/>
      <c r="E16" s="34">
        <v>3</v>
      </c>
      <c r="F16" s="42" t="s">
        <v>61</v>
      </c>
      <c r="G16" s="35" t="str">
        <f t="shared" si="0"/>
        <v/>
      </c>
      <c r="H16" s="36" t="str">
        <f t="shared" si="1"/>
        <v/>
      </c>
      <c r="I16" s="82"/>
      <c r="J16" s="83"/>
    </row>
    <row r="17" spans="1:10" ht="30" customHeight="1" thickBot="1" x14ac:dyDescent="0.25">
      <c r="A17" s="4"/>
      <c r="B17" s="54" t="s">
        <v>5</v>
      </c>
      <c r="C17" s="55"/>
      <c r="D17" s="55"/>
      <c r="E17" s="40">
        <f>SUM(E10:E16)</f>
        <v>18</v>
      </c>
      <c r="F17" s="40">
        <f>SUM(F10:F16)</f>
        <v>0</v>
      </c>
      <c r="G17" s="87"/>
      <c r="H17" s="88"/>
      <c r="I17" s="88"/>
      <c r="J17" s="89"/>
    </row>
    <row r="18" spans="1:10" ht="30" customHeight="1" thickBot="1" x14ac:dyDescent="0.25">
      <c r="A18" s="4"/>
      <c r="B18" s="56" t="s">
        <v>54</v>
      </c>
      <c r="C18" s="57"/>
      <c r="D18" s="57"/>
      <c r="E18" s="90">
        <f>F17/E17/100*100</f>
        <v>0</v>
      </c>
      <c r="F18" s="90"/>
      <c r="G18" s="90"/>
      <c r="H18" s="90"/>
      <c r="I18" s="90"/>
      <c r="J18" s="91"/>
    </row>
    <row r="19" spans="1:10" ht="30" customHeight="1" thickBot="1" x14ac:dyDescent="0.25">
      <c r="A19" s="4"/>
      <c r="B19" s="56" t="s">
        <v>55</v>
      </c>
      <c r="C19" s="57"/>
      <c r="D19" s="57"/>
      <c r="E19" s="65" t="str">
        <f>_xlfn.IFS(E18&gt;=90%,"ممتاز",E18&gt;=80%,"جيد جداً",E18&gt;=70%,"جيد",E18&gt;=60%,"مقبول",E18&lt;60%,"راسب")</f>
        <v>راسب</v>
      </c>
      <c r="F19" s="65"/>
      <c r="G19" s="65"/>
      <c r="H19" s="65"/>
      <c r="I19" s="65"/>
      <c r="J19" s="66"/>
    </row>
    <row r="20" spans="1:10" ht="42" customHeight="1" x14ac:dyDescent="0.2">
      <c r="B20" s="58" t="s">
        <v>178</v>
      </c>
      <c r="C20" s="58"/>
      <c r="D20" s="58"/>
      <c r="E20" s="85" t="s">
        <v>52</v>
      </c>
      <c r="F20" s="85"/>
      <c r="G20" s="96" t="s">
        <v>59</v>
      </c>
      <c r="H20" s="96"/>
      <c r="I20" s="96"/>
      <c r="J20" s="96"/>
    </row>
    <row r="21" spans="1:10" ht="51" customHeight="1" x14ac:dyDescent="0.2">
      <c r="A21" s="5"/>
      <c r="B21" s="59"/>
      <c r="C21" s="59"/>
      <c r="D21" s="59"/>
      <c r="E21" s="86" t="s">
        <v>53</v>
      </c>
      <c r="F21" s="86"/>
      <c r="G21" s="64"/>
      <c r="H21" s="64"/>
      <c r="I21" s="64"/>
      <c r="J21" s="64"/>
    </row>
    <row r="22" spans="1:10" ht="15.75" x14ac:dyDescent="0.2">
      <c r="A22" s="24">
        <v>3</v>
      </c>
      <c r="B22" s="60" t="s">
        <v>175</v>
      </c>
      <c r="C22" s="61"/>
    </row>
    <row r="23" spans="1:10" ht="15.75" x14ac:dyDescent="0.2">
      <c r="A23" s="25">
        <v>2</v>
      </c>
      <c r="B23" s="62" t="s">
        <v>176</v>
      </c>
      <c r="C23" s="63"/>
    </row>
    <row r="24" spans="1:10" ht="15.75" x14ac:dyDescent="0.2">
      <c r="A24" s="26">
        <v>1</v>
      </c>
      <c r="B24" s="52" t="s">
        <v>177</v>
      </c>
      <c r="C24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I15:J15"/>
    <mergeCell ref="I16:J16"/>
    <mergeCell ref="B2:J2"/>
    <mergeCell ref="E20:F20"/>
    <mergeCell ref="E21:F21"/>
    <mergeCell ref="G17:J17"/>
    <mergeCell ref="E18:J18"/>
    <mergeCell ref="B9:D9"/>
    <mergeCell ref="I11:J11"/>
    <mergeCell ref="I9:J9"/>
    <mergeCell ref="I12:J12"/>
    <mergeCell ref="G20:J20"/>
    <mergeCell ref="B1:J1"/>
    <mergeCell ref="F3:J3"/>
    <mergeCell ref="B7:D8"/>
    <mergeCell ref="C3:D3"/>
    <mergeCell ref="C4:D4"/>
    <mergeCell ref="F4:J4"/>
    <mergeCell ref="E7:H7"/>
    <mergeCell ref="I7:J8"/>
    <mergeCell ref="B5:C5"/>
    <mergeCell ref="E5:H5"/>
    <mergeCell ref="I5:J5"/>
    <mergeCell ref="B12:D12"/>
    <mergeCell ref="B24:C24"/>
    <mergeCell ref="B17:D17"/>
    <mergeCell ref="B18:D18"/>
    <mergeCell ref="B19:D19"/>
    <mergeCell ref="B20:D21"/>
    <mergeCell ref="B22:C22"/>
    <mergeCell ref="B23:C23"/>
    <mergeCell ref="G21:J21"/>
    <mergeCell ref="E19:J19"/>
    <mergeCell ref="I10:J10"/>
    <mergeCell ref="I13:J13"/>
    <mergeCell ref="I14:J14"/>
    <mergeCell ref="B16:D16"/>
    <mergeCell ref="B10:D10"/>
    <mergeCell ref="B11:D11"/>
    <mergeCell ref="B13:D13"/>
    <mergeCell ref="B14:D14"/>
    <mergeCell ref="B15:D15"/>
  </mergeCells>
  <conditionalFormatting sqref="C3:D3">
    <cfRule type="containsText" dxfId="18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17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16" priority="80">
      <formula>$E19="راسب"</formula>
    </cfRule>
  </conditionalFormatting>
  <conditionalFormatting sqref="E19:J19">
    <cfRule type="expression" dxfId="15" priority="81">
      <formula>$E19="مقبول"</formula>
    </cfRule>
    <cfRule type="expression" dxfId="14" priority="82">
      <formula>$E19="جيد"</formula>
    </cfRule>
    <cfRule type="expression" dxfId="13" priority="83">
      <formula>$E19="جيد جداً"</formula>
    </cfRule>
    <cfRule type="expression" dxfId="12" priority="84">
      <formula>$E19="ممتاز"</formula>
    </cfRule>
  </conditionalFormatting>
  <conditionalFormatting sqref="F10:F16">
    <cfRule type="containsText" dxfId="11" priority="37" operator="containsText" text="أدخل العلامة">
      <formula>NOT(ISERROR(SEARCH("أدخل العلامة",F10)))</formula>
    </cfRule>
  </conditionalFormatting>
  <conditionalFormatting sqref="F3:J3">
    <cfRule type="containsText" dxfId="10" priority="42" operator="containsText" text="أدخل التاريخ">
      <formula>NOT(ISERROR(SEARCH("أدخل التاريخ",F3)))</formula>
    </cfRule>
  </conditionalFormatting>
  <conditionalFormatting sqref="F4:J4 I5">
    <cfRule type="containsText" dxfId="9" priority="39" operator="containsText" text="أدخل أسم المحكم">
      <formula>NOT(ISERROR(SEARCH("أدخل أسم المحكم",F4)))</formula>
    </cfRule>
  </conditionalFormatting>
  <conditionalFormatting sqref="G20:J20">
    <cfRule type="containsText" dxfId="8" priority="38" operator="containsText" text="أدخل اسم المحكم">
      <formula>NOT(ISERROR(SEARCH("أدخل اسم المحكم",G20)))</formula>
    </cfRule>
  </conditionalFormatting>
  <conditionalFormatting sqref="H10:H16">
    <cfRule type="containsText" dxfId="7" priority="28" operator="containsText" text="أدخل العلامة">
      <formula>NOT(ISERROR(SEARCH("أدخل العلامة",H10)))</formula>
    </cfRule>
    <cfRule type="containsText" dxfId="6" priority="29" operator="containsText" text="ممتاز">
      <formula>NOT(ISERROR(SEARCH("ممتاز",H10)))</formula>
    </cfRule>
    <cfRule type="containsText" dxfId="5" priority="30" operator="containsText" text="جيد جداً">
      <formula>NOT(ISERROR(SEARCH("جيد جداً",H10)))</formula>
    </cfRule>
    <cfRule type="containsText" dxfId="4" priority="31" operator="containsText" text="جيد">
      <formula>NOT(ISERROR(SEARCH("جيد",H10)))</formula>
    </cfRule>
    <cfRule type="containsText" dxfId="3" priority="32" operator="containsText" text="مقبول">
      <formula>NOT(ISERROR(SEARCH("مقبول",H10)))</formula>
    </cfRule>
    <cfRule type="containsText" dxfId="2" priority="33" operator="containsText" text="راسب">
      <formula>NOT(ISERROR(SEARCH("راسب",H10)))</formula>
    </cfRule>
  </conditionalFormatting>
  <conditionalFormatting sqref="D5">
    <cfRule type="containsText" dxfId="1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0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2025-10-23T05:49:54Z</dcterms:modified>
</cp:coreProperties>
</file>