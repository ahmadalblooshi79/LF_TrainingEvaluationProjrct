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9FDC02DE-4B56-4E22-9F65-3298F313C9A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G16" i="2"/>
  <c r="H16" i="2" s="1"/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F17" i="2" l="1"/>
  <c r="E18" i="2" l="1"/>
  <c r="E19" i="2" s="1"/>
</calcChain>
</file>

<file path=xl/sharedStrings.xml><?xml version="1.0" encoding="utf-8"?>
<sst xmlns="http://schemas.openxmlformats.org/spreadsheetml/2006/main" count="264" uniqueCount="198">
  <si>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</si>
  <si>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</si>
  <si>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</si>
  <si>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</si>
  <si>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</si>
  <si>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</si>
  <si>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</si>
  <si>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</si>
  <si>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</si>
  <si>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</si>
  <si>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</si>
  <si>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</si>
  <si>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</si>
  <si>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</si>
  <si>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</si>
  <si>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</si>
  <si>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</si>
  <si>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</si>
  <si>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</si>
  <si>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</si>
  <si>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</si>
  <si>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</si>
  <si>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</si>
  <si>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</si>
  <si>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</si>
  <si>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</si>
  <si>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</si>
  <si>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</si>
  <si>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</si>
  <si>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</si>
  <si>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</si>
  <si>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</si>
  <si>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</si>
  <si>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</si>
  <si>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</si>
  <si>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</si>
  <si>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</si>
  <si>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</si>
  <si>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</si>
  <si>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</si>
  <si>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</si>
  <si>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</si>
  <si>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</si>
  <si>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</si>
  <si>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</si>
  <si>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</si>
  <si>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</si>
  <si>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</si>
  <si>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</si>
  <si>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</si>
  <si>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</si>
  <si>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</si>
  <si>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</si>
  <si>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</si>
  <si>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</si>
  <si>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</si>
  <si>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</si>
  <si>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</si>
  <si>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</si>
  <si>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</si>
  <si>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</si>
  <si>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</si>
  <si>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</si>
  <si>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</si>
  <si>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</si>
  <si>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</si>
  <si>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</si>
  <si>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</si>
  <si>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</si>
  <si>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</si>
  <si>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</si>
  <si>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</si>
  <si>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</si>
  <si>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</si>
  <si>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</si>
  <si>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</si>
  <si>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</si>
  <si>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</si>
  <si>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</si>
  <si>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</si>
  <si>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</si>
  <si>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</si>
  <si>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</si>
  <si>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</si>
  <si>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</si>
  <si>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</si>
  <si>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</si>
  <si>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</si>
  <si>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</si>
  <si>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</si>
  <si>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</si>
  <si>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</si>
  <si>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</si>
  <si>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</si>
  <si>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</si>
  <si>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</si>
  <si>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</si>
  <si>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</si>
  <si>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</si>
  <si>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</si>
  <si>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</si>
  <si>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</si>
  <si>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</si>
  <si>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</si>
  <si>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</si>
  <si>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</si>
  <si>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</si>
  <si>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</si>
  <si>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</si>
  <si>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</si>
  <si>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</si>
  <si>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</si>
  <si>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</si>
  <si>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</si>
  <si>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</si>
  <si>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</si>
  <si>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</si>
  <si>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</si>
  <si>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</si>
  <si>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</si>
  <si>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</si>
  <si>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</si>
  <si>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</si>
  <si>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</si>
  <si>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</si>
  <si>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</si>
  <si>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</si>
  <si>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</si>
  <si>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</si>
  <si>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</si>
  <si>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</si>
  <si>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</si>
  <si>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</si>
  <si>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</si>
  <si>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</si>
  <si>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</si>
  <si>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</si>
  <si>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</si>
  <si>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</si>
  <si>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</si>
  <si>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</si>
  <si>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</si>
  <si>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</si>
  <si>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</si>
  <si>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</si>
  <si>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</si>
  <si>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</si>
  <si>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</si>
  <si>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</si>
  <si>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</si>
  <si>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</si>
  <si>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</si>
  <si>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</si>
  <si>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</si>
  <si>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</si>
  <si>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</si>
  <si>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</si>
  <si>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</si>
  <si>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</si>
  <si>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</si>
  <si>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</si>
  <si>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</si>
  <si>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</si>
  <si>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</si>
  <si>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</si>
  <si>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</si>
  <si>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</si>
  <si>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</si>
  <si>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</si>
  <si>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</si>
  <si>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</si>
  <si>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</si>
  <si>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</si>
  <si>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</si>
  <si>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</si>
  <si>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</si>
  <si>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</si>
  <si>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</si>
  <si>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</si>
  <si>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</si>
  <si>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</si>
  <si>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</si>
  <si>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</si>
  <si>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</si>
  <si>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</si>
  <si>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</si>
  <si>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</si>
  <si>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</si>
  <si>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</si>
  <si>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t>وصف المعضلة:</t>
    </r>
    <r>
      <rPr>
        <sz val="14"/>
        <color rgb="FF000000"/>
        <rFont val="Arial"/>
        <family val="2"/>
      </rPr>
      <t xml:space="preserve"> رد الفعل على الإنذار بتهديد جوي وشيك في منطقة العمليات من المستوى الأعلى (يشمل التهديد كل من المسيرات الإنتحارية والاستطلاع والطائرات المقاتلة والعمودية والضربات الصاروخية).</t>
    </r>
  </si>
  <si>
    <r>
      <t>1.</t>
    </r>
    <r>
      <rPr>
        <sz val="14"/>
        <color theme="1"/>
        <rFont val="Times New Roman"/>
        <family val="1"/>
      </rPr>
      <t xml:space="preserve">      تعميم </t>
    </r>
    <r>
      <rPr>
        <sz val="14"/>
        <color theme="1"/>
        <rFont val="Arial"/>
        <family val="2"/>
      </rPr>
      <t>الإنذار على جميع الوحدات المرؤوسة وحسب إجراءات الإنذار المحددة مسبقاً</t>
    </r>
  </si>
  <si>
    <r>
      <t>2.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إذا لم يتم كشف الهجوم الجوي المعادي قبل استهداف وحدة صديقة، تُصدر الوحدة المتأثرة بالهجوم إنذار حسب إجراءات الإنذار اللاسلكي المحددة مسبقاً</t>
    </r>
  </si>
  <si>
    <r>
      <t>3.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إصدار الإنذار على شبكات القيادة والعمليات والاستخبارات والإدارة والإمداد ويحدد الإنذار اتجاه الهجوم واتجاه التهديد الجوي المعادي</t>
    </r>
  </si>
  <si>
    <r>
      <t>4.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يستخدم مركز القيادة الكلمة الرمزية للإشارة إلى التهديد الجوي المعادي (تُكرر الكلمة الرمزية ثلاث مرات)</t>
    </r>
  </si>
  <si>
    <r>
      <t>5.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تغيير وضعية أسلحة الدفاع الجوي بسبب وجود طائرات صديقة في منطقة العمليات، ويتخذ القائد هذا القرار حسب طبيعة الموقف.</t>
    </r>
  </si>
  <si>
    <r>
      <t>6.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السلبي </t>
    </r>
  </si>
  <si>
    <r>
      <t>7.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الإيجابي </t>
    </r>
  </si>
  <si>
    <r>
      <rPr>
        <b/>
        <sz val="14"/>
        <color rgb="FF000000"/>
        <rFont val="Arial"/>
        <family val="2"/>
      </rPr>
      <t>تقييم رد فعل الوحدات على الإنذار بتهديد جوي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</si>
</sst>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16" fillId="0" borderId="20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2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1" t="s">
        <v>197</v>
      </c>
      <c r="C1" s="61"/>
      <c r="D1" s="61"/>
      <c r="E1" s="61"/>
      <c r="F1" s="61"/>
      <c r="G1" s="61"/>
      <c r="H1" s="61"/>
      <c r="I1" s="61"/>
      <c r="J1" s="61"/>
    </row>
    <row r="2" spans="1:10" ht="45" customHeight="1" x14ac:dyDescent="0.2">
      <c r="B2" s="74" t="s">
        <v>189</v>
      </c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2">
      <c r="B3" s="11" t="s">
        <v>8</v>
      </c>
      <c r="C3" s="67" t="s">
        <v>57</v>
      </c>
      <c r="D3" s="67"/>
      <c r="E3" s="11" t="s">
        <v>7</v>
      </c>
      <c r="F3" s="62" t="s">
        <v>56</v>
      </c>
      <c r="G3" s="62"/>
      <c r="H3" s="62"/>
      <c r="I3" s="62"/>
      <c r="J3" s="62"/>
    </row>
    <row r="4" spans="1:10" ht="30" customHeight="1" x14ac:dyDescent="0.2">
      <c r="B4" s="11" t="s">
        <v>9</v>
      </c>
      <c r="C4" s="67" t="s">
        <v>60</v>
      </c>
      <c r="D4" s="67"/>
      <c r="E4" s="11" t="s">
        <v>6</v>
      </c>
      <c r="F4" s="67" t="s">
        <v>59</v>
      </c>
      <c r="G4" s="67"/>
      <c r="H4" s="67"/>
      <c r="I4" s="67"/>
      <c r="J4" s="67"/>
    </row>
    <row r="5" spans="1:10" ht="30" customHeight="1" x14ac:dyDescent="0.2">
      <c r="B5" s="42" t="s">
        <v>186</v>
      </c>
      <c r="C5" s="42"/>
      <c r="D5" s="36" t="s">
        <v>188</v>
      </c>
      <c r="E5" s="42" t="s">
        <v>187</v>
      </c>
      <c r="F5" s="42"/>
      <c r="G5" s="42"/>
      <c r="H5" s="42"/>
      <c r="I5" s="43" t="s">
        <v>185</v>
      </c>
      <c r="J5" s="43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3" t="s">
        <v>0</v>
      </c>
      <c r="C7" s="64"/>
      <c r="D7" s="64"/>
      <c r="E7" s="68" t="s">
        <v>1</v>
      </c>
      <c r="F7" s="68"/>
      <c r="G7" s="68"/>
      <c r="H7" s="68"/>
      <c r="I7" s="68" t="s">
        <v>2</v>
      </c>
      <c r="J7" s="69"/>
    </row>
    <row r="8" spans="1:10" ht="24.95" customHeight="1" thickBot="1" x14ac:dyDescent="0.25">
      <c r="A8" s="9"/>
      <c r="B8" s="65"/>
      <c r="C8" s="66"/>
      <c r="D8" s="66"/>
      <c r="E8" s="10" t="s">
        <v>3</v>
      </c>
      <c r="F8" s="10" t="s">
        <v>4</v>
      </c>
      <c r="G8" s="10" t="s">
        <v>23</v>
      </c>
      <c r="H8" s="10" t="s">
        <v>24</v>
      </c>
      <c r="I8" s="70"/>
      <c r="J8" s="71"/>
    </row>
    <row r="9" spans="1:10" ht="24.95" customHeight="1" x14ac:dyDescent="0.2">
      <c r="A9" s="9"/>
      <c r="B9" s="84" t="s">
        <v>21</v>
      </c>
      <c r="C9" s="85"/>
      <c r="D9" s="85"/>
      <c r="E9" s="27" t="s">
        <v>18</v>
      </c>
      <c r="F9" s="27" t="s">
        <v>19</v>
      </c>
      <c r="G9" s="27" t="s">
        <v>22</v>
      </c>
      <c r="H9" s="27" t="s">
        <v>20</v>
      </c>
      <c r="I9" s="86" t="s">
        <v>25</v>
      </c>
      <c r="J9" s="87"/>
    </row>
    <row r="10" spans="1:10" ht="39.950000000000003" customHeight="1" x14ac:dyDescent="0.2">
      <c r="A10" s="9"/>
      <c r="B10" s="44" t="s">
        <v>190</v>
      </c>
      <c r="C10" s="45"/>
      <c r="D10" s="45"/>
      <c r="E10" s="28">
        <v>3</v>
      </c>
      <c r="F10" s="38" t="s">
        <v>61</v>
      </c>
      <c r="G10" s="29" t="str">
        <f>IFERROR(F10/E10,"")</f>
        <v/>
      </c>
      <c r="H10" s="30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72"/>
      <c r="J10" s="73"/>
    </row>
    <row r="11" spans="1:10" ht="63" customHeight="1" x14ac:dyDescent="0.2">
      <c r="A11" s="9"/>
      <c r="B11" s="44" t="s">
        <v>191</v>
      </c>
      <c r="C11" s="45"/>
      <c r="D11" s="45"/>
      <c r="E11" s="28">
        <v>3</v>
      </c>
      <c r="F11" s="38" t="s">
        <v>61</v>
      </c>
      <c r="G11" s="29" t="str">
        <f t="shared" ref="G11:G15" si="0">IFERROR(F11/E11,"")</f>
        <v/>
      </c>
      <c r="H11" s="30" t="str">
        <f t="shared" ref="H11:H15" si="1">_xlfn.IFS(F11="أدخل العلامة","",F11="لا ينطبق","تم الإلغاء",G11&gt;=90%,"ممتاز",G11&gt;=80%,"جيد جداً",G11&gt;=70%,"جيد",G11&gt;=60%,"مقبول",G11&lt;60%,"راسب")</f>
        <v/>
      </c>
      <c r="I11" s="72"/>
      <c r="J11" s="73"/>
    </row>
    <row r="12" spans="1:10" ht="61.5" customHeight="1" x14ac:dyDescent="0.2">
      <c r="A12" s="9"/>
      <c r="B12" s="44" t="s">
        <v>192</v>
      </c>
      <c r="C12" s="45"/>
      <c r="D12" s="45"/>
      <c r="E12" s="28">
        <v>3</v>
      </c>
      <c r="F12" s="38" t="s">
        <v>61</v>
      </c>
      <c r="G12" s="29" t="str">
        <f t="shared" si="0"/>
        <v/>
      </c>
      <c r="H12" s="30" t="str">
        <f t="shared" si="1"/>
        <v/>
      </c>
      <c r="I12" s="72"/>
      <c r="J12" s="73"/>
    </row>
    <row r="13" spans="1:10" ht="39.950000000000003" customHeight="1" x14ac:dyDescent="0.2">
      <c r="A13" s="9"/>
      <c r="B13" s="44" t="s">
        <v>193</v>
      </c>
      <c r="C13" s="45"/>
      <c r="D13" s="45"/>
      <c r="E13" s="28">
        <v>3</v>
      </c>
      <c r="F13" s="38" t="s">
        <v>61</v>
      </c>
      <c r="G13" s="29" t="str">
        <f t="shared" si="0"/>
        <v/>
      </c>
      <c r="H13" s="30" t="str">
        <f t="shared" si="1"/>
        <v/>
      </c>
      <c r="I13" s="72"/>
      <c r="J13" s="73"/>
    </row>
    <row r="14" spans="1:10" ht="55.5" customHeight="1" x14ac:dyDescent="0.2">
      <c r="A14" s="9"/>
      <c r="B14" s="44" t="s">
        <v>194</v>
      </c>
      <c r="C14" s="45"/>
      <c r="D14" s="45"/>
      <c r="E14" s="28">
        <v>3</v>
      </c>
      <c r="F14" s="38" t="s">
        <v>61</v>
      </c>
      <c r="G14" s="29" t="str">
        <f t="shared" si="0"/>
        <v/>
      </c>
      <c r="H14" s="30" t="str">
        <f t="shared" si="1"/>
        <v/>
      </c>
      <c r="I14" s="72"/>
      <c r="J14" s="73"/>
    </row>
    <row r="15" spans="1:10" ht="39.950000000000003" customHeight="1" x14ac:dyDescent="0.2">
      <c r="A15" s="9"/>
      <c r="B15" s="44" t="s">
        <v>195</v>
      </c>
      <c r="C15" s="45"/>
      <c r="D15" s="45"/>
      <c r="E15" s="28">
        <v>3</v>
      </c>
      <c r="F15" s="38" t="s">
        <v>61</v>
      </c>
      <c r="G15" s="29" t="str">
        <f t="shared" si="0"/>
        <v/>
      </c>
      <c r="H15" s="30" t="str">
        <f t="shared" si="1"/>
        <v/>
      </c>
      <c r="I15" s="72"/>
      <c r="J15" s="73"/>
    </row>
    <row r="16" spans="1:10" ht="39.950000000000003" customHeight="1" thickBot="1" x14ac:dyDescent="0.25">
      <c r="A16" s="9"/>
      <c r="B16" s="40" t="s">
        <v>196</v>
      </c>
      <c r="C16" s="41"/>
      <c r="D16" s="41"/>
      <c r="E16" s="31">
        <v>3</v>
      </c>
      <c r="F16" s="39" t="s">
        <v>61</v>
      </c>
      <c r="G16" s="32" t="str">
        <f>IFERROR(F16/E16,"")</f>
        <v/>
      </c>
      <c r="H16" s="33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82"/>
      <c r="J16" s="83"/>
    </row>
    <row r="17" spans="1:10" ht="30" customHeight="1" thickBot="1" x14ac:dyDescent="0.25">
      <c r="A17" s="4"/>
      <c r="B17" s="48" t="s">
        <v>5</v>
      </c>
      <c r="C17" s="49"/>
      <c r="D17" s="49"/>
      <c r="E17" s="37">
        <f>SUM(E10:E16)</f>
        <v>21</v>
      </c>
      <c r="F17" s="37">
        <f>SUM(F10:F15)</f>
        <v>0</v>
      </c>
      <c r="G17" s="77"/>
      <c r="H17" s="78"/>
      <c r="I17" s="78"/>
      <c r="J17" s="79"/>
    </row>
    <row r="18" spans="1:10" ht="30" customHeight="1" thickBot="1" x14ac:dyDescent="0.25">
      <c r="A18" s="4"/>
      <c r="B18" s="50" t="s">
        <v>54</v>
      </c>
      <c r="C18" s="51"/>
      <c r="D18" s="51"/>
      <c r="E18" s="80">
        <f>F17/E17/100*100</f>
        <v>0</v>
      </c>
      <c r="F18" s="80"/>
      <c r="G18" s="80"/>
      <c r="H18" s="80"/>
      <c r="I18" s="80"/>
      <c r="J18" s="81"/>
    </row>
    <row r="19" spans="1:10" ht="30" customHeight="1" thickBot="1" x14ac:dyDescent="0.25">
      <c r="A19" s="4"/>
      <c r="B19" s="50" t="s">
        <v>55</v>
      </c>
      <c r="C19" s="51"/>
      <c r="D19" s="51"/>
      <c r="E19" s="59" t="str">
        <f>_xlfn.IFS(E18&gt;=90%,"ممتاز",E18&gt;=80%,"جيد جداً",E18&gt;=70%,"جيد",E18&gt;=60%,"مقبول",E18&lt;60%,"راسب")</f>
        <v>راسب</v>
      </c>
      <c r="F19" s="59"/>
      <c r="G19" s="59"/>
      <c r="H19" s="59"/>
      <c r="I19" s="59"/>
      <c r="J19" s="60"/>
    </row>
    <row r="20" spans="1:10" ht="42" customHeight="1" x14ac:dyDescent="0.2">
      <c r="B20" s="52" t="s">
        <v>178</v>
      </c>
      <c r="C20" s="52"/>
      <c r="D20" s="52"/>
      <c r="E20" s="75" t="s">
        <v>52</v>
      </c>
      <c r="F20" s="75"/>
      <c r="G20" s="88" t="s">
        <v>59</v>
      </c>
      <c r="H20" s="88"/>
      <c r="I20" s="88"/>
      <c r="J20" s="88"/>
    </row>
    <row r="21" spans="1:10" ht="51" customHeight="1" x14ac:dyDescent="0.2">
      <c r="A21" s="5"/>
      <c r="B21" s="53"/>
      <c r="C21" s="53"/>
      <c r="D21" s="53"/>
      <c r="E21" s="76" t="s">
        <v>53</v>
      </c>
      <c r="F21" s="76"/>
      <c r="G21" s="58"/>
      <c r="H21" s="58"/>
      <c r="I21" s="58"/>
      <c r="J21" s="58"/>
    </row>
    <row r="22" spans="1:10" ht="15.75" x14ac:dyDescent="0.2">
      <c r="A22" s="24">
        <v>3</v>
      </c>
      <c r="B22" s="54" t="s">
        <v>175</v>
      </c>
      <c r="C22" s="55"/>
    </row>
    <row r="23" spans="1:10" ht="15.75" x14ac:dyDescent="0.2">
      <c r="A23" s="25">
        <v>2</v>
      </c>
      <c r="B23" s="56" t="s">
        <v>176</v>
      </c>
      <c r="C23" s="57"/>
    </row>
    <row r="24" spans="1:10" ht="15.75" x14ac:dyDescent="0.2">
      <c r="A24" s="26">
        <v>1</v>
      </c>
      <c r="B24" s="46" t="s">
        <v>177</v>
      </c>
      <c r="C24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2">
    <mergeCell ref="E21:F21"/>
    <mergeCell ref="G17:J17"/>
    <mergeCell ref="E18:J18"/>
    <mergeCell ref="I16:J16"/>
    <mergeCell ref="B9:D9"/>
    <mergeCell ref="I10:J10"/>
    <mergeCell ref="I9:J9"/>
    <mergeCell ref="I11:J11"/>
    <mergeCell ref="G20:J20"/>
    <mergeCell ref="G21:J21"/>
    <mergeCell ref="E19:J19"/>
    <mergeCell ref="B1:J1"/>
    <mergeCell ref="F3:J3"/>
    <mergeCell ref="B7:D8"/>
    <mergeCell ref="C3:D3"/>
    <mergeCell ref="C4:D4"/>
    <mergeCell ref="F4:J4"/>
    <mergeCell ref="E7:H7"/>
    <mergeCell ref="I7:J8"/>
    <mergeCell ref="I12:J12"/>
    <mergeCell ref="I13:J13"/>
    <mergeCell ref="I14:J14"/>
    <mergeCell ref="I15:J15"/>
    <mergeCell ref="B2:J2"/>
    <mergeCell ref="E20:F20"/>
    <mergeCell ref="B24:C24"/>
    <mergeCell ref="B17:D17"/>
    <mergeCell ref="B18:D18"/>
    <mergeCell ref="B19:D19"/>
    <mergeCell ref="B20:D21"/>
    <mergeCell ref="B22:C22"/>
    <mergeCell ref="B23:C23"/>
    <mergeCell ref="B16:D16"/>
    <mergeCell ref="B5:C5"/>
    <mergeCell ref="E5:H5"/>
    <mergeCell ref="I5:J5"/>
    <mergeCell ref="B10:D10"/>
    <mergeCell ref="B11:D11"/>
    <mergeCell ref="B12:D12"/>
    <mergeCell ref="B13:D13"/>
    <mergeCell ref="B14:D14"/>
    <mergeCell ref="B15:D15"/>
  </mergeCells>
  <conditionalFormatting sqref="C3:D3">
    <cfRule type="containsText" dxfId="25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24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23" priority="80">
      <formula>$E19="راسب"</formula>
    </cfRule>
  </conditionalFormatting>
  <conditionalFormatting sqref="E19:J19">
    <cfRule type="expression" dxfId="22" priority="81">
      <formula>$E19="مقبول"</formula>
    </cfRule>
    <cfRule type="expression" dxfId="21" priority="82">
      <formula>$E19="جيد"</formula>
    </cfRule>
    <cfRule type="expression" dxfId="20" priority="83">
      <formula>$E19="جيد جداً"</formula>
    </cfRule>
    <cfRule type="expression" dxfId="19" priority="84">
      <formula>$E19="ممتاز"</formula>
    </cfRule>
  </conditionalFormatting>
  <conditionalFormatting sqref="F10:F15">
    <cfRule type="containsText" dxfId="18" priority="37" operator="containsText" text="أدخل العلامة">
      <formula>NOT(ISERROR(SEARCH("أدخل العلامة",F10)))</formula>
    </cfRule>
  </conditionalFormatting>
  <conditionalFormatting sqref="F3:J3">
    <cfRule type="containsText" dxfId="17" priority="42" operator="containsText" text="أدخل التاريخ">
      <formula>NOT(ISERROR(SEARCH("أدخل التاريخ",F3)))</formula>
    </cfRule>
  </conditionalFormatting>
  <conditionalFormatting sqref="F4:J4 I5">
    <cfRule type="containsText" dxfId="16" priority="39" operator="containsText" text="أدخل أسم المحكم">
      <formula>NOT(ISERROR(SEARCH("أدخل أسم المحكم",F4)))</formula>
    </cfRule>
  </conditionalFormatting>
  <conditionalFormatting sqref="G20:J20">
    <cfRule type="containsText" dxfId="15" priority="38" operator="containsText" text="أدخل اسم المحكم">
      <formula>NOT(ISERROR(SEARCH("أدخل اسم المحكم",G20)))</formula>
    </cfRule>
  </conditionalFormatting>
  <conditionalFormatting sqref="H10:H15">
    <cfRule type="containsText" dxfId="14" priority="28" operator="containsText" text="أدخل العلامة">
      <formula>NOT(ISERROR(SEARCH("أدخل العلامة",H10)))</formula>
    </cfRule>
    <cfRule type="containsText" dxfId="13" priority="29" operator="containsText" text="ممتاز">
      <formula>NOT(ISERROR(SEARCH("ممتاز",H10)))</formula>
    </cfRule>
    <cfRule type="containsText" dxfId="12" priority="30" operator="containsText" text="جيد جداً">
      <formula>NOT(ISERROR(SEARCH("جيد جداً",H10)))</formula>
    </cfRule>
    <cfRule type="containsText" dxfId="11" priority="31" operator="containsText" text="جيد">
      <formula>NOT(ISERROR(SEARCH("جيد",H10)))</formula>
    </cfRule>
    <cfRule type="containsText" dxfId="10" priority="32" operator="containsText" text="مقبول">
      <formula>NOT(ISERROR(SEARCH("مقبول",H10)))</formula>
    </cfRule>
    <cfRule type="containsText" dxfId="9" priority="33" operator="containsText" text="راسب">
      <formula>NOT(ISERROR(SEARCH("راسب",H10)))</formula>
    </cfRule>
  </conditionalFormatting>
  <conditionalFormatting sqref="D5">
    <cfRule type="containsText" dxfId="8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7" priority="22" operator="containsText" text="أدخل رقم المعضلة">
      <formula>NOT(ISERROR(SEARCH("أدخل رقم المعضلة",I5)))</formula>
    </cfRule>
  </conditionalFormatting>
  <conditionalFormatting sqref="F16">
    <cfRule type="containsText" dxfId="6" priority="21" operator="containsText" text="أدخل العلامة">
      <formula>NOT(ISERROR(SEARCH("أدخل العلامة",F16)))</formula>
    </cfRule>
  </conditionalFormatting>
  <conditionalFormatting sqref="H16">
    <cfRule type="containsText" dxfId="5" priority="15" operator="containsText" text="أدخل العلامة">
      <formula>NOT(ISERROR(SEARCH("أدخل العلامة",H16)))</formula>
    </cfRule>
    <cfRule type="containsText" dxfId="4" priority="16" operator="containsText" text="ممتاز">
      <formula>NOT(ISERROR(SEARCH("ممتاز",H16)))</formula>
    </cfRule>
    <cfRule type="containsText" dxfId="3" priority="17" operator="containsText" text="جيد جداً">
      <formula>NOT(ISERROR(SEARCH("جيد جداً",H16)))</formula>
    </cfRule>
    <cfRule type="containsText" dxfId="2" priority="18" operator="containsText" text="جيد">
      <formula>NOT(ISERROR(SEARCH("جيد",H16)))</formula>
    </cfRule>
    <cfRule type="containsText" dxfId="1" priority="19" operator="containsText" text="مقبول">
      <formula>NOT(ISERROR(SEARCH("مقبول",H16)))</formula>
    </cfRule>
    <cfRule type="containsText" dxfId="0" priority="20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4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5" t="s">
        <v>185</v>
      </c>
    </row>
    <row r="51" spans="1:3" ht="20.100000000000001" customHeight="1" thickBot="1" x14ac:dyDescent="0.3">
      <c r="A51" s="12">
        <v>45943</v>
      </c>
      <c r="C51" s="35">
        <v>1</v>
      </c>
    </row>
    <row r="52" spans="1:3" ht="20.100000000000001" customHeight="1" thickBot="1" x14ac:dyDescent="0.3">
      <c r="A52" s="12">
        <v>45944</v>
      </c>
      <c r="C52" s="35">
        <v>2</v>
      </c>
    </row>
    <row r="53" spans="1:3" ht="20.100000000000001" customHeight="1" thickBot="1" x14ac:dyDescent="0.3">
      <c r="A53" s="12">
        <v>45945</v>
      </c>
      <c r="C53" s="35">
        <v>3</v>
      </c>
    </row>
    <row r="54" spans="1:3" ht="20.100000000000001" customHeight="1" thickBot="1" x14ac:dyDescent="0.3">
      <c r="A54" s="12">
        <v>45946</v>
      </c>
      <c r="C54" s="35">
        <v>4</v>
      </c>
    </row>
    <row r="55" spans="1:3" ht="20.100000000000001" customHeight="1" thickBot="1" x14ac:dyDescent="0.3">
      <c r="A55" s="12">
        <v>45947</v>
      </c>
      <c r="C55" s="35">
        <v>5</v>
      </c>
    </row>
    <row r="56" spans="1:3" ht="20.100000000000001" customHeight="1" thickBot="1" x14ac:dyDescent="0.3">
      <c r="A56" s="12">
        <v>45948</v>
      </c>
      <c r="C56" s="35">
        <v>6</v>
      </c>
    </row>
    <row r="57" spans="1:3" ht="20.100000000000001" customHeight="1" thickBot="1" x14ac:dyDescent="0.3">
      <c r="A57" s="12">
        <v>45949</v>
      </c>
      <c r="C57" s="35">
        <v>7</v>
      </c>
    </row>
    <row r="58" spans="1:3" ht="20.100000000000001" customHeight="1" thickBot="1" x14ac:dyDescent="0.3">
      <c r="A58" s="12">
        <v>45950</v>
      </c>
      <c r="C58" s="35">
        <v>8</v>
      </c>
    </row>
    <row r="59" spans="1:3" ht="20.100000000000001" customHeight="1" thickBot="1" x14ac:dyDescent="0.3">
      <c r="A59" s="12">
        <v>45951</v>
      </c>
      <c r="C59" s="35">
        <v>9</v>
      </c>
    </row>
    <row r="60" spans="1:3" ht="20.100000000000001" customHeight="1" thickBot="1" x14ac:dyDescent="0.3">
      <c r="A60" s="12">
        <v>45952</v>
      </c>
      <c r="C60" s="35">
        <v>10</v>
      </c>
    </row>
    <row r="61" spans="1:3" ht="20.100000000000001" customHeight="1" thickBot="1" x14ac:dyDescent="0.3">
      <c r="A61" s="12">
        <v>45953</v>
      </c>
      <c r="C61" s="35">
        <v>11</v>
      </c>
    </row>
    <row r="62" spans="1:3" ht="20.100000000000001" customHeight="1" thickBot="1" x14ac:dyDescent="0.3">
      <c r="A62" s="12">
        <v>45954</v>
      </c>
      <c r="C62" s="35">
        <v>12</v>
      </c>
    </row>
    <row r="63" spans="1:3" ht="20.100000000000001" customHeight="1" thickBot="1" x14ac:dyDescent="0.3">
      <c r="A63" s="12">
        <v>45955</v>
      </c>
      <c r="C63" s="35">
        <v>13</v>
      </c>
    </row>
    <row r="64" spans="1:3" ht="20.100000000000001" customHeight="1" thickBot="1" x14ac:dyDescent="0.3">
      <c r="A64" s="12">
        <v>45956</v>
      </c>
      <c r="C64" s="35">
        <v>14</v>
      </c>
    </row>
    <row r="65" spans="1:9" ht="20.100000000000001" customHeight="1" thickBot="1" x14ac:dyDescent="0.3">
      <c r="A65" s="12">
        <v>45957</v>
      </c>
      <c r="C65" s="35">
        <v>15</v>
      </c>
    </row>
    <row r="66" spans="1:9" ht="20.100000000000001" customHeight="1" thickBot="1" x14ac:dyDescent="0.3">
      <c r="A66" s="12">
        <v>45958</v>
      </c>
      <c r="C66" s="35">
        <v>16</v>
      </c>
    </row>
    <row r="67" spans="1:9" ht="20.100000000000001" customHeight="1" thickBot="1" x14ac:dyDescent="0.3">
      <c r="A67" s="12">
        <v>45959</v>
      </c>
      <c r="C67" s="35">
        <v>17</v>
      </c>
    </row>
    <row r="68" spans="1:9" ht="20.100000000000001" customHeight="1" thickBot="1" x14ac:dyDescent="0.3">
      <c r="A68" s="12">
        <v>45960</v>
      </c>
      <c r="C68" s="35">
        <v>18</v>
      </c>
    </row>
    <row r="69" spans="1:9" ht="20.100000000000001" customHeight="1" thickBot="1" x14ac:dyDescent="0.3">
      <c r="A69" s="12">
        <v>45961</v>
      </c>
      <c r="C69" s="35">
        <v>19</v>
      </c>
    </row>
    <row r="70" spans="1:9" ht="20.100000000000001" customHeight="1" x14ac:dyDescent="0.25">
      <c r="A70" s="13"/>
      <c r="C70" s="35">
        <v>20</v>
      </c>
    </row>
    <row r="71" spans="1:9" ht="20.100000000000001" customHeight="1" x14ac:dyDescent="0.25">
      <c r="A71" s="13"/>
      <c r="C71" s="35">
        <v>21</v>
      </c>
    </row>
    <row r="72" spans="1:9" s="16" customFormat="1" ht="20.100000000000001" customHeight="1" x14ac:dyDescent="0.25">
      <c r="A72" s="14"/>
      <c r="B72" s="15"/>
      <c r="C72" s="35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5">
        <v>23</v>
      </c>
    </row>
    <row r="74" spans="1:9" ht="20.100000000000001" customHeight="1" thickBot="1" x14ac:dyDescent="0.3">
      <c r="A74" s="2" t="s">
        <v>61</v>
      </c>
      <c r="C74" s="35">
        <v>24</v>
      </c>
    </row>
    <row r="75" spans="1:9" ht="20.100000000000001" customHeight="1" thickBot="1" x14ac:dyDescent="0.3">
      <c r="A75" s="2" t="s">
        <v>17</v>
      </c>
      <c r="C75" s="35">
        <v>25</v>
      </c>
    </row>
    <row r="76" spans="1:9" ht="20.100000000000001" customHeight="1" thickBot="1" x14ac:dyDescent="0.3">
      <c r="A76" s="2">
        <v>0</v>
      </c>
      <c r="C76" s="35">
        <v>26</v>
      </c>
    </row>
    <row r="77" spans="1:9" ht="20.100000000000001" customHeight="1" thickBot="1" x14ac:dyDescent="0.3">
      <c r="A77" s="2">
        <v>0.25</v>
      </c>
      <c r="C77" s="35">
        <v>27</v>
      </c>
    </row>
    <row r="78" spans="1:9" ht="20.100000000000001" customHeight="1" thickBot="1" x14ac:dyDescent="0.3">
      <c r="A78" s="2">
        <v>0.5</v>
      </c>
      <c r="C78" s="35">
        <v>28</v>
      </c>
    </row>
    <row r="79" spans="1:9" ht="20.100000000000001" customHeight="1" thickBot="1" x14ac:dyDescent="0.3">
      <c r="A79" s="2">
        <v>0.75</v>
      </c>
      <c r="C79" s="35">
        <v>29</v>
      </c>
    </row>
    <row r="80" spans="1:9" ht="20.100000000000001" customHeight="1" thickBot="1" x14ac:dyDescent="0.3">
      <c r="A80" s="2">
        <v>1</v>
      </c>
      <c r="C80" s="35">
        <v>30</v>
      </c>
    </row>
    <row r="81" spans="1:3" ht="20.100000000000001" customHeight="1" thickBot="1" x14ac:dyDescent="0.3">
      <c r="A81" s="2">
        <v>1.25</v>
      </c>
      <c r="C81" s="35">
        <v>31</v>
      </c>
    </row>
    <row r="82" spans="1:3" ht="20.100000000000001" customHeight="1" thickBot="1" x14ac:dyDescent="0.3">
      <c r="A82" s="2">
        <v>1.5</v>
      </c>
      <c r="C82" s="35">
        <v>32</v>
      </c>
    </row>
    <row r="83" spans="1:3" ht="20.100000000000001" customHeight="1" thickBot="1" x14ac:dyDescent="0.3">
      <c r="A83" s="2">
        <v>1.75</v>
      </c>
      <c r="C83" s="35">
        <v>33</v>
      </c>
    </row>
    <row r="84" spans="1:3" ht="20.100000000000001" customHeight="1" thickBot="1" x14ac:dyDescent="0.3">
      <c r="A84" s="2">
        <v>2</v>
      </c>
      <c r="C84" s="35">
        <v>34</v>
      </c>
    </row>
    <row r="85" spans="1:3" ht="20.100000000000001" customHeight="1" thickBot="1" x14ac:dyDescent="0.3">
      <c r="A85" s="2">
        <v>2.25</v>
      </c>
      <c r="C85" s="35">
        <v>35</v>
      </c>
    </row>
    <row r="86" spans="1:3" ht="20.100000000000001" customHeight="1" thickBot="1" x14ac:dyDescent="0.3">
      <c r="A86" s="2">
        <v>2.5</v>
      </c>
      <c r="C86" s="35">
        <v>36</v>
      </c>
    </row>
    <row r="87" spans="1:3" ht="20.100000000000001" customHeight="1" thickBot="1" x14ac:dyDescent="0.3">
      <c r="A87" s="2">
        <v>2.75</v>
      </c>
      <c r="C87" s="35">
        <v>37</v>
      </c>
    </row>
    <row r="88" spans="1:3" ht="20.100000000000001" customHeight="1" thickBot="1" x14ac:dyDescent="0.3">
      <c r="A88" s="2">
        <v>3</v>
      </c>
      <c r="C88" s="35">
        <v>38</v>
      </c>
    </row>
    <row r="89" spans="1:3" ht="20.100000000000001" customHeight="1" thickBot="1" x14ac:dyDescent="0.3">
      <c r="A89" s="2">
        <v>3.25</v>
      </c>
      <c r="C89" s="35">
        <v>39</v>
      </c>
    </row>
    <row r="90" spans="1:3" ht="20.100000000000001" customHeight="1" thickBot="1" x14ac:dyDescent="0.3">
      <c r="A90" s="2">
        <v>3.5</v>
      </c>
      <c r="C90" s="35">
        <v>40</v>
      </c>
    </row>
    <row r="91" spans="1:3" ht="20.100000000000001" customHeight="1" thickBot="1" x14ac:dyDescent="0.3">
      <c r="A91" s="2">
        <v>3.75</v>
      </c>
      <c r="C91" s="35">
        <v>41</v>
      </c>
    </row>
    <row r="92" spans="1:3" ht="20.100000000000001" customHeight="1" thickBot="1" x14ac:dyDescent="0.3">
      <c r="A92" s="2">
        <v>4</v>
      </c>
      <c r="C92" s="35">
        <v>42</v>
      </c>
    </row>
    <row r="93" spans="1:3" ht="20.100000000000001" customHeight="1" thickBot="1" x14ac:dyDescent="0.3">
      <c r="A93" s="2">
        <v>4.25</v>
      </c>
      <c r="C93" s="35">
        <v>43</v>
      </c>
    </row>
    <row r="94" spans="1:3" ht="20.100000000000001" customHeight="1" thickBot="1" x14ac:dyDescent="0.3">
      <c r="A94" s="2">
        <v>4.5</v>
      </c>
      <c r="C94" s="35">
        <v>44</v>
      </c>
    </row>
    <row r="95" spans="1:3" ht="20.100000000000001" customHeight="1" thickBot="1" x14ac:dyDescent="0.3">
      <c r="A95" s="2">
        <v>4.75</v>
      </c>
      <c r="C95" s="35">
        <v>45</v>
      </c>
    </row>
    <row r="96" spans="1:3" ht="20.100000000000001" customHeight="1" thickBot="1" x14ac:dyDescent="0.3">
      <c r="A96" s="2">
        <v>5</v>
      </c>
      <c r="C96" s="35">
        <v>46</v>
      </c>
    </row>
    <row r="97" spans="1:3" ht="20.100000000000001" customHeight="1" thickBot="1" x14ac:dyDescent="0.3">
      <c r="A97" s="2">
        <v>5.25</v>
      </c>
      <c r="C97" s="35">
        <v>47</v>
      </c>
    </row>
    <row r="98" spans="1:3" ht="20.100000000000001" customHeight="1" thickBot="1" x14ac:dyDescent="0.3">
      <c r="A98" s="2">
        <v>5.5</v>
      </c>
      <c r="C98" s="35">
        <v>48</v>
      </c>
    </row>
    <row r="99" spans="1:3" ht="20.100000000000001" customHeight="1" thickBot="1" x14ac:dyDescent="0.3">
      <c r="A99" s="2">
        <v>5.75</v>
      </c>
      <c r="C99" s="35">
        <v>49</v>
      </c>
    </row>
    <row r="100" spans="1:3" ht="20.100000000000001" customHeight="1" thickBot="1" x14ac:dyDescent="0.3">
      <c r="A100" s="2">
        <v>6</v>
      </c>
      <c r="C100" s="35">
        <v>50</v>
      </c>
    </row>
    <row r="101" spans="1:3" ht="20.100000000000001" customHeight="1" thickBot="1" x14ac:dyDescent="0.3">
      <c r="A101" s="2">
        <v>6.25</v>
      </c>
      <c r="C101" s="35">
        <v>51</v>
      </c>
    </row>
    <row r="102" spans="1:3" ht="20.100000000000001" customHeight="1" thickBot="1" x14ac:dyDescent="0.3">
      <c r="A102" s="2">
        <v>6.5</v>
      </c>
      <c r="C102" s="35">
        <v>52</v>
      </c>
    </row>
    <row r="103" spans="1:3" ht="20.100000000000001" customHeight="1" thickBot="1" x14ac:dyDescent="0.3">
      <c r="A103" s="2">
        <v>6.75</v>
      </c>
      <c r="C103" s="35">
        <v>53</v>
      </c>
    </row>
    <row r="104" spans="1:3" ht="20.100000000000001" customHeight="1" thickBot="1" x14ac:dyDescent="0.3">
      <c r="A104" s="2">
        <v>7</v>
      </c>
      <c r="C104" s="35">
        <v>54</v>
      </c>
    </row>
    <row r="105" spans="1:3" ht="20.100000000000001" customHeight="1" thickBot="1" x14ac:dyDescent="0.3">
      <c r="A105" s="2">
        <v>7.25</v>
      </c>
      <c r="C105" s="35">
        <v>55</v>
      </c>
    </row>
    <row r="106" spans="1:3" ht="20.100000000000001" customHeight="1" thickBot="1" x14ac:dyDescent="0.3">
      <c r="A106" s="2">
        <v>7.5</v>
      </c>
      <c r="C106" s="35">
        <v>56</v>
      </c>
    </row>
    <row r="107" spans="1:3" ht="20.100000000000001" customHeight="1" thickBot="1" x14ac:dyDescent="0.3">
      <c r="A107" s="2">
        <v>7.75</v>
      </c>
      <c r="C107" s="35">
        <v>57</v>
      </c>
    </row>
    <row r="108" spans="1:3" ht="20.100000000000001" customHeight="1" thickBot="1" x14ac:dyDescent="0.3">
      <c r="A108" s="2">
        <v>8</v>
      </c>
      <c r="C108" s="35">
        <v>58</v>
      </c>
    </row>
    <row r="109" spans="1:3" ht="20.100000000000001" customHeight="1" thickBot="1" x14ac:dyDescent="0.3">
      <c r="A109" s="2">
        <v>8.25</v>
      </c>
      <c r="C109" s="35">
        <v>59</v>
      </c>
    </row>
    <row r="110" spans="1:3" ht="20.100000000000001" customHeight="1" thickBot="1" x14ac:dyDescent="0.3">
      <c r="A110" s="2">
        <v>8.5</v>
      </c>
      <c r="C110" s="35">
        <v>60</v>
      </c>
    </row>
    <row r="111" spans="1:3" ht="20.100000000000001" customHeight="1" thickBot="1" x14ac:dyDescent="0.3">
      <c r="A111" s="2">
        <v>8.75</v>
      </c>
      <c r="C111" s="35">
        <v>61</v>
      </c>
    </row>
    <row r="112" spans="1:3" ht="20.100000000000001" customHeight="1" thickBot="1" x14ac:dyDescent="0.3">
      <c r="A112" s="2">
        <v>9</v>
      </c>
      <c r="C112" s="35">
        <v>62</v>
      </c>
    </row>
    <row r="113" spans="1:3" ht="20.100000000000001" customHeight="1" thickBot="1" x14ac:dyDescent="0.3">
      <c r="A113" s="2">
        <v>9.25</v>
      </c>
      <c r="C113" s="35">
        <v>63</v>
      </c>
    </row>
    <row r="114" spans="1:3" ht="20.100000000000001" customHeight="1" thickBot="1" x14ac:dyDescent="0.3">
      <c r="A114" s="2">
        <v>9.5</v>
      </c>
      <c r="C114" s="35">
        <v>64</v>
      </c>
    </row>
    <row r="115" spans="1:3" ht="20.100000000000001" customHeight="1" thickBot="1" x14ac:dyDescent="0.3">
      <c r="A115" s="2">
        <v>9.75</v>
      </c>
      <c r="C115" s="35">
        <v>65</v>
      </c>
    </row>
    <row r="116" spans="1:3" ht="20.100000000000001" customHeight="1" thickBot="1" x14ac:dyDescent="0.3">
      <c r="A116" s="2">
        <v>10</v>
      </c>
      <c r="C116" s="35">
        <v>66</v>
      </c>
    </row>
    <row r="117" spans="1:3" ht="20.100000000000001" customHeight="1" thickBot="1" x14ac:dyDescent="0.3">
      <c r="A117" s="2">
        <v>10.25</v>
      </c>
      <c r="C117" s="35">
        <v>67</v>
      </c>
    </row>
    <row r="118" spans="1:3" ht="20.100000000000001" customHeight="1" thickBot="1" x14ac:dyDescent="0.3">
      <c r="A118" s="2">
        <v>10.5</v>
      </c>
      <c r="C118" s="35">
        <v>68</v>
      </c>
    </row>
    <row r="119" spans="1:3" ht="20.100000000000001" customHeight="1" thickBot="1" x14ac:dyDescent="0.3">
      <c r="A119" s="2">
        <v>10.75</v>
      </c>
      <c r="C119" s="35">
        <v>69</v>
      </c>
    </row>
    <row r="120" spans="1:3" ht="20.100000000000001" customHeight="1" thickBot="1" x14ac:dyDescent="0.3">
      <c r="A120" s="2">
        <v>11</v>
      </c>
      <c r="C120" s="35">
        <v>70</v>
      </c>
    </row>
    <row r="121" spans="1:3" ht="20.100000000000001" customHeight="1" thickBot="1" x14ac:dyDescent="0.3">
      <c r="A121" s="2">
        <v>11.25</v>
      </c>
      <c r="C121" s="35">
        <v>71</v>
      </c>
    </row>
    <row r="122" spans="1:3" ht="20.100000000000001" customHeight="1" thickBot="1" x14ac:dyDescent="0.3">
      <c r="A122" s="2">
        <v>11.5</v>
      </c>
      <c r="C122" s="35">
        <v>72</v>
      </c>
    </row>
    <row r="123" spans="1:3" ht="20.100000000000001" customHeight="1" thickBot="1" x14ac:dyDescent="0.3">
      <c r="A123" s="2">
        <v>11.75</v>
      </c>
      <c r="C123" s="35">
        <v>73</v>
      </c>
    </row>
    <row r="124" spans="1:3" ht="20.100000000000001" customHeight="1" thickBot="1" x14ac:dyDescent="0.3">
      <c r="A124" s="2">
        <v>12</v>
      </c>
      <c r="C124" s="35">
        <v>74</v>
      </c>
    </row>
    <row r="125" spans="1:3" ht="20.100000000000001" customHeight="1" thickBot="1" x14ac:dyDescent="0.3">
      <c r="A125" s="2">
        <v>12.25</v>
      </c>
      <c r="C125" s="35">
        <v>75</v>
      </c>
    </row>
    <row r="126" spans="1:3" ht="20.100000000000001" customHeight="1" thickBot="1" x14ac:dyDescent="0.3">
      <c r="A126" s="2">
        <v>12.5</v>
      </c>
      <c r="C126" s="35">
        <v>76</v>
      </c>
    </row>
    <row r="127" spans="1:3" ht="20.100000000000001" customHeight="1" thickBot="1" x14ac:dyDescent="0.3">
      <c r="A127" s="2">
        <v>12.75</v>
      </c>
      <c r="C127" s="35">
        <v>77</v>
      </c>
    </row>
    <row r="128" spans="1:3" ht="20.100000000000001" customHeight="1" thickBot="1" x14ac:dyDescent="0.3">
      <c r="A128" s="2">
        <v>13</v>
      </c>
      <c r="C128" s="35">
        <v>78</v>
      </c>
    </row>
    <row r="129" spans="1:3" ht="20.100000000000001" customHeight="1" thickBot="1" x14ac:dyDescent="0.3">
      <c r="A129" s="2">
        <v>13.25</v>
      </c>
      <c r="C129" s="35">
        <v>79</v>
      </c>
    </row>
    <row r="130" spans="1:3" ht="20.100000000000001" customHeight="1" thickBot="1" x14ac:dyDescent="0.3">
      <c r="A130" s="2">
        <v>13.5</v>
      </c>
      <c r="C130" s="35">
        <v>80</v>
      </c>
    </row>
    <row r="131" spans="1:3" ht="20.100000000000001" customHeight="1" thickBot="1" x14ac:dyDescent="0.3">
      <c r="A131" s="2">
        <v>13.75</v>
      </c>
      <c r="C131" s="35">
        <v>81</v>
      </c>
    </row>
    <row r="132" spans="1:3" ht="20.100000000000001" customHeight="1" thickBot="1" x14ac:dyDescent="0.3">
      <c r="A132" s="2">
        <v>14</v>
      </c>
      <c r="C132" s="35">
        <v>82</v>
      </c>
    </row>
    <row r="133" spans="1:3" ht="20.100000000000001" customHeight="1" thickBot="1" x14ac:dyDescent="0.3">
      <c r="A133" s="2">
        <v>14.25</v>
      </c>
      <c r="C133" s="35">
        <v>83</v>
      </c>
    </row>
    <row r="134" spans="1:3" ht="20.100000000000001" customHeight="1" thickBot="1" x14ac:dyDescent="0.3">
      <c r="A134" s="2">
        <v>14.5</v>
      </c>
      <c r="C134" s="35">
        <v>84</v>
      </c>
    </row>
    <row r="135" spans="1:3" ht="20.100000000000001" customHeight="1" thickBot="1" x14ac:dyDescent="0.3">
      <c r="A135" s="2">
        <v>14.75</v>
      </c>
      <c r="C135" s="35">
        <v>85</v>
      </c>
    </row>
    <row r="136" spans="1:3" ht="20.100000000000001" customHeight="1" thickBot="1" x14ac:dyDescent="0.3">
      <c r="A136" s="2">
        <v>15</v>
      </c>
      <c r="C136" s="35">
        <v>86</v>
      </c>
    </row>
    <row r="137" spans="1:3" ht="20.100000000000001" customHeight="1" thickBot="1" x14ac:dyDescent="0.3">
      <c r="A137" s="2">
        <v>15.25</v>
      </c>
      <c r="C137" s="35">
        <v>87</v>
      </c>
    </row>
    <row r="138" spans="1:3" ht="20.100000000000001" customHeight="1" thickBot="1" x14ac:dyDescent="0.3">
      <c r="A138" s="2">
        <v>15.5</v>
      </c>
      <c r="C138" s="35">
        <v>88</v>
      </c>
    </row>
    <row r="139" spans="1:3" ht="20.100000000000001" customHeight="1" thickBot="1" x14ac:dyDescent="0.3">
      <c r="A139" s="2">
        <v>15.75</v>
      </c>
      <c r="C139" s="35">
        <v>89</v>
      </c>
    </row>
    <row r="140" spans="1:3" ht="20.100000000000001" customHeight="1" thickBot="1" x14ac:dyDescent="0.3">
      <c r="A140" s="2">
        <v>16</v>
      </c>
      <c r="C140" s="35">
        <v>90</v>
      </c>
    </row>
    <row r="141" spans="1:3" ht="20.100000000000001" customHeight="1" thickBot="1" x14ac:dyDescent="0.3">
      <c r="A141" s="2">
        <v>16.25</v>
      </c>
      <c r="C141" s="35">
        <v>91</v>
      </c>
    </row>
    <row r="142" spans="1:3" ht="20.100000000000001" customHeight="1" thickBot="1" x14ac:dyDescent="0.3">
      <c r="A142" s="2">
        <v>16.5</v>
      </c>
      <c r="C142" s="35">
        <v>92</v>
      </c>
    </row>
    <row r="143" spans="1:3" ht="20.100000000000001" customHeight="1" thickBot="1" x14ac:dyDescent="0.3">
      <c r="A143" s="2">
        <v>16.75</v>
      </c>
      <c r="C143" s="35">
        <v>93</v>
      </c>
    </row>
    <row r="144" spans="1:3" ht="20.100000000000001" customHeight="1" thickBot="1" x14ac:dyDescent="0.3">
      <c r="A144" s="2">
        <v>17</v>
      </c>
      <c r="C144" s="35">
        <v>94</v>
      </c>
    </row>
    <row r="145" spans="1:3" ht="20.100000000000001" customHeight="1" thickBot="1" x14ac:dyDescent="0.3">
      <c r="A145" s="2">
        <v>17.25</v>
      </c>
      <c r="C145" s="35">
        <v>95</v>
      </c>
    </row>
    <row r="146" spans="1:3" ht="20.100000000000001" customHeight="1" thickBot="1" x14ac:dyDescent="0.3">
      <c r="A146" s="2">
        <v>17.5</v>
      </c>
      <c r="C146" s="35">
        <v>96</v>
      </c>
    </row>
    <row r="147" spans="1:3" ht="20.100000000000001" customHeight="1" thickBot="1" x14ac:dyDescent="0.3">
      <c r="A147" s="2">
        <v>17.75</v>
      </c>
      <c r="C147" s="35">
        <v>97</v>
      </c>
    </row>
    <row r="148" spans="1:3" ht="20.100000000000001" customHeight="1" thickBot="1" x14ac:dyDescent="0.3">
      <c r="A148" s="2">
        <v>18</v>
      </c>
      <c r="C148" s="35">
        <v>98</v>
      </c>
    </row>
    <row r="149" spans="1:3" ht="20.100000000000001" customHeight="1" thickBot="1" x14ac:dyDescent="0.3">
      <c r="A149" s="2">
        <v>18.25</v>
      </c>
      <c r="C149" s="35">
        <v>99</v>
      </c>
    </row>
    <row r="150" spans="1:3" ht="20.100000000000001" customHeight="1" thickBot="1" x14ac:dyDescent="0.3">
      <c r="A150" s="2">
        <v>18.5</v>
      </c>
      <c r="C150" s="35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2025-10-23T04:52:42Z</dcterms:modified>
</cp:coreProperties>
</file>