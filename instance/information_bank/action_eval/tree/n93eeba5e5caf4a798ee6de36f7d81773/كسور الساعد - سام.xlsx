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E1BCDE6-99FE-42EA-A0BE-21A1406EC5C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8" i="2" l="1"/>
  <c r="E19" i="2" l="1"/>
  <c r="E20" i="2" s="1"/>
</calcChain>
</file>

<file path=xl/sharedStrings.xml><?xml version="1.0" encoding="utf-8"?>
<sst xmlns="http://schemas.openxmlformats.org/spreadsheetml/2006/main" count="265" uniqueCount="199">
  <si>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</si>
  <si>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</si>
  <si>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</si>
  <si>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</si>
  <si>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</si>
  <si>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</si>
  <si>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</si>
  <si>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</si>
  <si>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</si>
  <si>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</si>
  <si>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</si>
  <si>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</si>
  <si>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</si>
  <si>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</si>
  <si>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</si>
  <si>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</si>
  <si>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</si>
  <si>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</si>
  <si>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</si>
  <si>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</si>
  <si>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</si>
  <si>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</si>
  <si>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</si>
  <si>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</si>
  <si>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</si>
  <si>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</si>
  <si>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</si>
  <si>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</si>
  <si>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</si>
  <si>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</si>
  <si>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</si>
  <si>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</si>
  <si>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</si>
  <si>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</si>
  <si>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</si>
  <si>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</si>
  <si>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</si>
  <si>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</si>
  <si>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</si>
  <si>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</si>
  <si>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</si>
  <si>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</si>
  <si>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</si>
  <si>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</si>
  <si>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</si>
  <si>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</si>
  <si>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</si>
  <si>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</si>
  <si>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</si>
  <si>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</si>
  <si>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</si>
  <si>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</si>
  <si>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</si>
  <si>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</si>
  <si>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</si>
  <si>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</si>
  <si>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</si>
  <si>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</si>
  <si>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</si>
  <si>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</si>
  <si>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</si>
  <si>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</si>
  <si>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</si>
  <si>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</si>
  <si>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</si>
  <si>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</si>
  <si>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</si>
  <si>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</si>
  <si>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</si>
  <si>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</si>
  <si>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</si>
  <si>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</si>
  <si>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</si>
  <si>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</si>
  <si>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</si>
  <si>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</si>
  <si>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</si>
  <si>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</si>
  <si>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</si>
  <si>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</si>
  <si>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</si>
  <si>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</si>
  <si>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</si>
  <si>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</si>
  <si>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</si>
  <si>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</si>
  <si>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</si>
  <si>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</si>
  <si>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</si>
  <si>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</si>
  <si>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</si>
  <si>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</si>
  <si>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</si>
  <si>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</si>
  <si>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</si>
  <si>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</si>
  <si>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</si>
  <si>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</si>
  <si>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</si>
  <si>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</si>
  <si>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</si>
  <si>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</si>
  <si>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</si>
  <si>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</si>
  <si>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</si>
  <si>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</si>
  <si>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</si>
  <si>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</si>
  <si>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</si>
  <si>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</si>
  <si>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</si>
  <si>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</si>
  <si>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</si>
  <si>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</si>
  <si>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</si>
  <si>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</si>
  <si>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</si>
  <si>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</si>
  <si>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</si>
  <si>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</si>
  <si>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</si>
  <si>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</si>
  <si>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</si>
  <si>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</si>
  <si>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</si>
  <si>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</si>
  <si>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</si>
  <si>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</si>
  <si>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</si>
  <si>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</si>
  <si>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</si>
  <si>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</si>
  <si>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</si>
  <si>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</si>
  <si>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</si>
  <si>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</si>
  <si>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</si>
  <si>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</si>
  <si>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</si>
  <si>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</si>
  <si>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</si>
  <si>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</si>
  <si>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</si>
  <si>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</si>
  <si>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</si>
  <si>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</si>
  <si>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</si>
  <si>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</si>
  <si>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</si>
  <si>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</si>
  <si>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</si>
  <si>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</si>
  <si>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</si>
  <si>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</si>
  <si>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</si>
  <si>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</si>
  <si>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</si>
  <si>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</si>
  <si>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</si>
  <si>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</si>
  <si>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</si>
  <si>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</si>
  <si>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</si>
  <si>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</si>
  <si>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</si>
  <si>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</si>
  <si>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</si>
  <si>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</si>
  <si>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</si>
  <si>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</si>
  <si>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</si>
  <si>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</si>
  <si>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</si>
  <si>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</si>
  <si>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</si>
  <si>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</si>
  <si>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</si>
  <si>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</si>
  <si>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</si>
  <si>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</si>
  <si>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</si>
  <si>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</si>
  <si>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</si>
  <si>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</si>
  <si>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</si>
  <si>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</si>
  <si>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</si>
  <si>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</si>
  <si>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</si>
  <si>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مهارة التعامل مع كسور الساعد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</si>
  <si>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تمييز كسور الأطراف العلوية وطريقة التعامل معها باستخدام جبيرة سام.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</si>
  <si>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</si>
  <si>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معاينة المريض والتحقق من وجود نبض فالأطراف البعيدة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</si>
  <si>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استخراج واستخدام جبيرتان بالشكل الصحيح فوق وتحت الذراع 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</si>
  <si>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أن الجبيرة موضوعة من المعصم إلى المرفق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</si>
  <si>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استخدام الضمادة لتأمين الجبيرة 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</si>
  <si>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معاينة نبض الأطراف البعيدة بعد الانتهاء من الجبيرة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</si>
  <si>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وضع الساعد على الصدر بالطريقة الصحيحة 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</si>
  <si>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دعم الذراع باستخدام الحمالة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</si>
</sst>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9" zoomScale="136" zoomScaleNormal="100" zoomScaleSheetLayoutView="136" workbookViewId="0">
      <selection activeCell="F17" sqref="F1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197</v>
      </c>
      <c r="C16" s="91"/>
      <c r="D16" s="91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thickBot="1" x14ac:dyDescent="0.25">
      <c r="A17" s="9"/>
      <c r="B17" s="95" t="s">
        <v>198</v>
      </c>
      <c r="C17" s="96"/>
      <c r="D17" s="96"/>
      <c r="E17" s="34">
        <v>3</v>
      </c>
      <c r="F17" s="42" t="s">
        <v>61</v>
      </c>
      <c r="G17" s="35" t="str">
        <f>IFERROR(F17/E17,"")</f>
        <v/>
      </c>
      <c r="H17" s="36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89"/>
      <c r="J17" s="90"/>
    </row>
    <row r="18" spans="1:10" ht="30" customHeight="1" thickBot="1" x14ac:dyDescent="0.25">
      <c r="A18" s="4"/>
      <c r="B18" s="77" t="s">
        <v>5</v>
      </c>
      <c r="C18" s="78"/>
      <c r="D18" s="78"/>
      <c r="E18" s="40">
        <f>SUM(E10:E17)</f>
        <v>21</v>
      </c>
      <c r="F18" s="40">
        <f>SUM(F10:F16)</f>
        <v>0</v>
      </c>
      <c r="G18" s="49"/>
      <c r="H18" s="50"/>
      <c r="I18" s="50"/>
      <c r="J18" s="51"/>
    </row>
    <row r="19" spans="1:10" ht="30" customHeight="1" thickBot="1" x14ac:dyDescent="0.25">
      <c r="A19" s="4"/>
      <c r="B19" s="79" t="s">
        <v>54</v>
      </c>
      <c r="C19" s="80"/>
      <c r="D19" s="80"/>
      <c r="E19" s="52">
        <f>F18/E18/100*100</f>
        <v>0</v>
      </c>
      <c r="F19" s="52"/>
      <c r="G19" s="52"/>
      <c r="H19" s="52"/>
      <c r="I19" s="52"/>
      <c r="J19" s="53"/>
    </row>
    <row r="20" spans="1:10" ht="30" customHeight="1" thickBot="1" x14ac:dyDescent="0.25">
      <c r="A20" s="4"/>
      <c r="B20" s="79" t="s">
        <v>55</v>
      </c>
      <c r="C20" s="80"/>
      <c r="D20" s="80"/>
      <c r="E20" s="60" t="str">
        <f>_xlfn.IFS(E19&gt;=90%,"ممتاز",E19&gt;=80%,"جيد جداً",E19&gt;=70%,"جيد",E19&gt;=60%,"مقبول",E19&lt;60%,"راسب")</f>
        <v>راسب</v>
      </c>
      <c r="F20" s="60"/>
      <c r="G20" s="60"/>
      <c r="H20" s="60"/>
      <c r="I20" s="60"/>
      <c r="J20" s="61"/>
    </row>
    <row r="21" spans="1:10" ht="42" customHeight="1" x14ac:dyDescent="0.2">
      <c r="B21" s="81" t="s">
        <v>178</v>
      </c>
      <c r="C21" s="81"/>
      <c r="D21" s="81"/>
      <c r="E21" s="47" t="s">
        <v>52</v>
      </c>
      <c r="F21" s="47"/>
      <c r="G21" s="58" t="s">
        <v>59</v>
      </c>
      <c r="H21" s="58"/>
      <c r="I21" s="58"/>
      <c r="J21" s="58"/>
    </row>
    <row r="22" spans="1:10" ht="51" customHeight="1" x14ac:dyDescent="0.2">
      <c r="A22" s="5"/>
      <c r="B22" s="82"/>
      <c r="C22" s="82"/>
      <c r="D22" s="82"/>
      <c r="E22" s="48" t="s">
        <v>53</v>
      </c>
      <c r="F22" s="48"/>
      <c r="G22" s="59"/>
      <c r="H22" s="59"/>
      <c r="I22" s="59"/>
      <c r="J22" s="59"/>
    </row>
    <row r="23" spans="1:10" ht="15.75" x14ac:dyDescent="0.2">
      <c r="A23" s="24">
        <v>3</v>
      </c>
      <c r="B23" s="83" t="s">
        <v>175</v>
      </c>
      <c r="C23" s="84"/>
    </row>
    <row r="24" spans="1:10" ht="15.75" x14ac:dyDescent="0.2">
      <c r="A24" s="25">
        <v>2</v>
      </c>
      <c r="B24" s="85" t="s">
        <v>176</v>
      </c>
      <c r="C24" s="86"/>
    </row>
    <row r="25" spans="1:10" ht="15.75" x14ac:dyDescent="0.2">
      <c r="A25" s="26">
        <v>1</v>
      </c>
      <c r="B25" s="75" t="s">
        <v>177</v>
      </c>
      <c r="C25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4">
    <mergeCell ref="B16:D16"/>
    <mergeCell ref="B10:D10"/>
    <mergeCell ref="B11:D11"/>
    <mergeCell ref="B13:D13"/>
    <mergeCell ref="B14:D14"/>
    <mergeCell ref="B15:D15"/>
    <mergeCell ref="B17:D17"/>
    <mergeCell ref="B5:C5"/>
    <mergeCell ref="E5:H5"/>
    <mergeCell ref="I5:J5"/>
    <mergeCell ref="B12:D12"/>
    <mergeCell ref="B25:C25"/>
    <mergeCell ref="B18:D18"/>
    <mergeCell ref="B19:D19"/>
    <mergeCell ref="B20:D20"/>
    <mergeCell ref="B21:D22"/>
    <mergeCell ref="B23:C23"/>
    <mergeCell ref="B24:C24"/>
    <mergeCell ref="G22:J22"/>
    <mergeCell ref="E20:J20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1:F21"/>
    <mergeCell ref="E22:F22"/>
    <mergeCell ref="G18:J18"/>
    <mergeCell ref="E19:J19"/>
    <mergeCell ref="I17:J17"/>
    <mergeCell ref="B9:D9"/>
    <mergeCell ref="I11:J11"/>
    <mergeCell ref="I9:J9"/>
    <mergeCell ref="I12:J12"/>
    <mergeCell ref="G21:J21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37" priority="80">
      <formula>$E20="راسب"</formula>
    </cfRule>
  </conditionalFormatting>
  <conditionalFormatting sqref="E20:J20">
    <cfRule type="expression" dxfId="36" priority="81">
      <formula>$E20="مقبول"</formula>
    </cfRule>
    <cfRule type="expression" dxfId="35" priority="82">
      <formula>$E20="جيد"</formula>
    </cfRule>
    <cfRule type="expression" dxfId="34" priority="83">
      <formula>$E20="جيد جداً"</formula>
    </cfRule>
    <cfRule type="expression" dxfId="33" priority="84">
      <formula>$E20="ممتاز"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1:J21">
    <cfRule type="containsText" dxfId="29" priority="38" operator="containsText" text="أدخل اسم المحكم">
      <formula>NOT(ISERROR(SEARCH("أدخل اسم المحكم",G21)))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">
    <cfRule type="containsText" dxfId="20" priority="21" operator="containsText" text="أدخل العلامة">
      <formula>NOT(ISERROR(SEARCH("أدخل العلامة",F17)))</formula>
    </cfRule>
  </conditionalFormatting>
  <conditionalFormatting sqref="H17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2025-10-23T05:46:21Z</dcterms:modified>
</cp:coreProperties>
</file>