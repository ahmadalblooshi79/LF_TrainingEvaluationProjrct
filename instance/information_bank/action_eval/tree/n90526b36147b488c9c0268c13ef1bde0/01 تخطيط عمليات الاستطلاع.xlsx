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9C89D100-D152-4724-B8D1-C323DC4AF8F4}" xr6:coauthVersionLast="47" xr6:coauthVersionMax="47" xr10:uidLastSave="{00000000-0000-0000-0000-000000000000}"/>
  <bookViews>
    <workbookView xWindow="-16200" yWindow="-1605" windowWidth="16020" windowHeight="15285"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التقييم'!$A$1:$J$89</definedName>
    <definedName name="_xlnm.Print_Titles" localSheetId="0">'قائمة التقييم'!$7:$7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9" i="2" l="1"/>
  <c r="H9" i="2" s="1"/>
  <c r="G10" i="2" l="1"/>
  <c r="H10" i="2" s="1"/>
  <c r="G12" i="2"/>
  <c r="H12" i="2" s="1"/>
  <c r="G13" i="2"/>
  <c r="G14" i="2"/>
  <c r="H14" i="2" s="1"/>
  <c r="G15" i="2"/>
  <c r="H15" i="2" s="1"/>
  <c r="G16" i="2"/>
  <c r="H16" i="2" s="1"/>
  <c r="G17" i="2"/>
  <c r="H17" i="2" s="1"/>
  <c r="G18" i="2"/>
  <c r="H18" i="2" s="1"/>
  <c r="G19" i="2"/>
  <c r="H19" i="2" s="1"/>
  <c r="G20" i="2"/>
  <c r="H20" i="2" s="1"/>
  <c r="G23" i="2"/>
  <c r="H23" i="2" s="1"/>
  <c r="G24" i="2"/>
  <c r="H24" i="2" s="1"/>
  <c r="G25" i="2"/>
  <c r="H25" i="2" s="1"/>
  <c r="G26" i="2"/>
  <c r="H26" i="2" s="1"/>
  <c r="G27" i="2"/>
  <c r="H27" i="2" s="1"/>
  <c r="G30" i="2"/>
  <c r="H30" i="2" s="1"/>
  <c r="G31" i="2"/>
  <c r="H31" i="2" s="1"/>
  <c r="G32" i="2"/>
  <c r="H32" i="2" s="1"/>
  <c r="G34" i="2"/>
  <c r="H34" i="2" s="1"/>
  <c r="G35" i="2"/>
  <c r="H35" i="2" s="1"/>
  <c r="G36" i="2"/>
  <c r="H36" i="2" s="1"/>
  <c r="G37" i="2"/>
  <c r="H37" i="2" s="1"/>
  <c r="G38" i="2"/>
  <c r="H38" i="2" s="1"/>
  <c r="G40" i="2"/>
  <c r="H40" i="2" s="1"/>
  <c r="G41" i="2"/>
  <c r="H41" i="2" s="1"/>
  <c r="G42" i="2"/>
  <c r="H42" i="2" s="1"/>
  <c r="G43" i="2"/>
  <c r="H43" i="2" s="1"/>
  <c r="G44" i="2"/>
  <c r="H44" i="2" s="1"/>
  <c r="G45" i="2"/>
  <c r="H45" i="2" s="1"/>
  <c r="G47" i="2"/>
  <c r="H47" i="2" s="1"/>
  <c r="G48" i="2"/>
  <c r="H48" i="2" s="1"/>
  <c r="G49" i="2"/>
  <c r="H49" i="2" s="1"/>
  <c r="G50" i="2"/>
  <c r="H50" i="2" s="1"/>
  <c r="G51" i="2"/>
  <c r="H51" i="2" s="1"/>
  <c r="G53" i="2"/>
  <c r="H53" i="2" s="1"/>
  <c r="G54" i="2"/>
  <c r="H54" i="2" s="1"/>
  <c r="G55" i="2"/>
  <c r="H55" i="2" s="1"/>
  <c r="G56" i="2"/>
  <c r="H56" i="2" s="1"/>
  <c r="G58" i="2"/>
  <c r="H58" i="2" s="1"/>
  <c r="G59" i="2"/>
  <c r="H59" i="2" s="1"/>
  <c r="G60" i="2"/>
  <c r="H60" i="2" s="1"/>
  <c r="G61" i="2"/>
  <c r="H61" i="2" s="1"/>
  <c r="G63" i="2"/>
  <c r="H63" i="2" s="1"/>
  <c r="G64" i="2"/>
  <c r="H64" i="2" s="1"/>
  <c r="G66" i="2"/>
  <c r="H66" i="2" s="1"/>
  <c r="G67" i="2"/>
  <c r="H67" i="2" s="1"/>
  <c r="G68" i="2"/>
  <c r="H68" i="2" s="1"/>
  <c r="G69" i="2"/>
  <c r="H69" i="2" s="1"/>
  <c r="G70" i="2"/>
  <c r="H70" i="2" s="1"/>
  <c r="G71" i="2"/>
  <c r="H71" i="2" s="1"/>
  <c r="G72" i="2"/>
  <c r="H72" i="2" s="1"/>
  <c r="G74" i="2"/>
  <c r="H74" i="2" s="1"/>
  <c r="G75" i="2"/>
  <c r="H75" i="2" s="1"/>
  <c r="G76" i="2"/>
  <c r="H76" i="2" s="1"/>
  <c r="G77" i="2"/>
  <c r="H77" i="2" s="1"/>
  <c r="G78" i="2"/>
  <c r="H78" i="2" s="1"/>
  <c r="G79" i="2"/>
  <c r="H79" i="2" s="1"/>
  <c r="G80" i="2"/>
  <c r="H80" i="2" s="1"/>
  <c r="G82" i="2"/>
  <c r="H82" i="2" s="1"/>
  <c r="G83" i="2"/>
  <c r="H83" i="2" s="1"/>
  <c r="G84" i="2"/>
  <c r="H84" i="2" s="1"/>
  <c r="G8" i="2" l="1"/>
  <c r="H8" i="2" s="1"/>
  <c r="F85" i="2" l="1"/>
  <c r="E85" i="2" l="1"/>
  <c r="E86" i="2" l="1"/>
  <c r="E87" i="2" s="1"/>
</calcChain>
</file>

<file path=xl/sharedStrings.xml><?xml version="1.0" encoding="utf-8"?>
<sst xmlns="http://schemas.openxmlformats.org/spreadsheetml/2006/main" count="314" uniqueCount="258">
  <si>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</si>
  <si>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</si>
  <si>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</si>
  <si>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</si>
  <si>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</si>
  <si>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</si>
  <si>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</si>
  <si>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</si>
  <si>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</si>
  <si>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</si>
  <si>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</si>
  <si>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</si>
  <si>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</si>
  <si>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</si>
  <si>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</si>
  <si>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</si>
  <si>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</si>
  <si>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</si>
  <si>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</si>
  <si>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</si>
  <si>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</si>
  <si>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</si>
  <si>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</si>
  <si>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</si>
  <si>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</si>
  <si>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</si>
  <si>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</si>
  <si>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</si>
  <si>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</si>
  <si>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</si>
  <si>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</si>
  <si>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</si>
  <si>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</si>
  <si>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</si>
  <si>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</si>
  <si>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</si>
  <si>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</si>
  <si>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</si>
  <si>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</si>
  <si>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</si>
  <si>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</si>
  <si>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</si>
  <si>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</si>
  <si>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</si>
  <si>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</si>
  <si>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</si>
  <si>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</si>
  <si>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</si>
  <si>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</si>
  <si>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</si>
  <si>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</si>
  <si>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</si>
  <si>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</si>
  <si>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</si>
  <si>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</si>
  <si>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</si>
  <si>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</si>
  <si>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</si>
  <si>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</si>
  <si>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</si>
  <si>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</si>
  <si>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</si>
  <si>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</si>
  <si>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</si>
  <si>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</si>
  <si>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</si>
  <si>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</si>
  <si>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</si>
  <si>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</si>
  <si>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</si>
  <si>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</si>
  <si>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</si>
  <si>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</si>
  <si>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</si>
  <si>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</si>
  <si>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</si>
  <si>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</si>
  <si>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</si>
  <si>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</si>
  <si>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</si>
  <si>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</si>
  <si>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</si>
  <si>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</si>
  <si>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</si>
  <si>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</si>
  <si>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</si>
  <si>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</si>
  <si>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</si>
  <si>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</si>
  <si>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</si>
  <si>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</si>
  <si>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</si>
  <si>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</si>
  <si>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</si>
  <si>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</si>
  <si>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</si>
  <si>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</si>
  <si>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</si>
  <si>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</si>
  <si>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</si>
  <si>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</si>
  <si>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</si>
  <si>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</si>
  <si>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</si>
  <si>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</si>
  <si>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</si>
  <si>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</si>
  <si>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</si>
  <si>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</si>
  <si>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</si>
  <si>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</si>
  <si>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</si>
  <si>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</si>
  <si>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</si>
  <si>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</si>
  <si>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</si>
  <si>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</si>
  <si>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</si>
  <si>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</si>
  <si>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</si>
  <si>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</si>
  <si>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</si>
  <si>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</si>
  <si>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</si>
  <si>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</si>
  <si>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</si>
  <si>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</si>
  <si>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</si>
  <si>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</si>
  <si>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</si>
  <si>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</si>
  <si>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</si>
  <si>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</si>
  <si>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</si>
  <si>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</si>
  <si>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</si>
  <si>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</si>
  <si>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</si>
  <si>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</si>
  <si>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</si>
  <si>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</si>
  <si>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</si>
  <si>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</si>
  <si>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</si>
  <si>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</si>
  <si>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</si>
  <si>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</si>
  <si>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</si>
  <si>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</si>
  <si>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</si>
  <si>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</si>
  <si>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</si>
  <si>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</si>
  <si>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</si>
  <si>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</si>
  <si>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</si>
  <si>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</si>
  <si>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</si>
  <si>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</si>
  <si>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</si>
  <si>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</si>
  <si>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</si>
  <si>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</si>
  <si>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</si>
  <si>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</si>
  <si>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</si>
  <si>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</si>
  <si>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</si>
  <si>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</si>
  <si>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</si>
  <si>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</si>
  <si>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</si>
  <si>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</si>
  <si>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</si>
  <si>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</si>
  <si>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</si>
  <si>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</si>
  <si>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</si>
  <si>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</si>
  <si>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</si>
  <si>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r>
      <t>1.</t>
    </r>
    <r>
      <rPr>
        <sz val="7"/>
        <color theme="1"/>
        <rFont val="Times New Roman"/>
        <family val="1"/>
      </rPr>
      <t xml:space="preserve">        </t>
    </r>
    <r>
      <rPr>
        <sz val="12"/>
        <color theme="1"/>
        <rFont val="Arial"/>
        <family val="2"/>
      </rPr>
      <t>يعمل القادة في السرية على فهم الموقف باستخدام معدات الاتصال المتوفرة، والخرائط، وملخصات الاستخبارات، وتقارير الموقف، ومصادر المعلومات المتوفرة الأخرى.</t>
    </r>
  </si>
  <si>
    <r>
      <t>2.</t>
    </r>
    <r>
      <rPr>
        <sz val="7"/>
        <color theme="1"/>
        <rFont val="Times New Roman"/>
        <family val="1"/>
      </rPr>
      <t xml:space="preserve">        </t>
    </r>
    <r>
      <rPr>
        <sz val="12"/>
        <color theme="1"/>
        <rFont val="Arial"/>
        <family val="2"/>
      </rPr>
      <t>تستلم السرية أمر العمليات أو الأمر الإنذاري من قيادة مجموعة اللواء، ويتم البدء بالتخطيط باستخدام اجراءات المعركة الثمانية.</t>
    </r>
  </si>
  <si>
    <r>
      <t>3.</t>
    </r>
    <r>
      <rPr>
        <sz val="7"/>
        <color theme="1"/>
        <rFont val="Times New Roman"/>
        <family val="1"/>
      </rPr>
      <t xml:space="preserve">        </t>
    </r>
    <r>
      <rPr>
        <b/>
        <u/>
        <sz val="12"/>
        <color theme="1"/>
        <rFont val="Arial"/>
        <family val="2"/>
      </rPr>
      <t>الخطوة/1 – استلام المهمة</t>
    </r>
    <r>
      <rPr>
        <sz val="12"/>
        <color theme="1"/>
        <rFont val="Arial"/>
        <family val="2"/>
      </rPr>
      <t>. يقوم القائد وبمساعدة نائبه ووكيل السرية بتحليل سريع للمهمة والوقت المتوفر للسرية وتخصيص الوقت المتوفر للتخطيط والتحضير (قاعدة الثلث والثلثين).</t>
    </r>
  </si>
  <si>
    <r>
      <t>4.</t>
    </r>
    <r>
      <rPr>
        <b/>
        <sz val="7"/>
        <color theme="1"/>
        <rFont val="Times New Roman"/>
        <family val="1"/>
      </rPr>
      <t xml:space="preserve">        </t>
    </r>
    <r>
      <rPr>
        <b/>
        <u/>
        <sz val="12"/>
        <color theme="1"/>
        <rFont val="Arial"/>
        <family val="2"/>
      </rPr>
      <t>الخطوة/2 – إصدار الأمر الإنذاري.</t>
    </r>
  </si>
  <si>
    <t>أ. يتم إصدار الأمر الإنذاري للمرؤوسين (قد يكون شفهياً على مستوى السرية).</t>
  </si>
  <si>
    <t>ب. يجب أن يتضمن الأمر الإنذاري ما يلي:</t>
  </si>
  <si>
    <t>(1) المهمة الجديدة للوحدة.</t>
  </si>
  <si>
    <t xml:space="preserve">(2) الجدول الزمني الأولي لمختلف النشاطات التي سيتم تنفيذها. </t>
  </si>
  <si>
    <t xml:space="preserve">(3) التعليمات أو المعلومات التي تساعد الوحدات المرؤوسة في التحضير للمهمة الجديدة مثل (ملخص عن المهمة والعدو، وتعليمات محددة للتحضير). </t>
  </si>
  <si>
    <t xml:space="preserve">(4) أي تعليمات تتعلق بالحركة. </t>
  </si>
  <si>
    <t>(5) تعليمات تتعلق بمكان ووقت الاجتماع لقسم الأمر.</t>
  </si>
  <si>
    <t xml:space="preserve">(6) تعليمات إعادة التزويد وحسب الحاجة. </t>
  </si>
  <si>
    <t>(7) تعليمات إجراء التجارب.</t>
  </si>
  <si>
    <r>
      <t>5.</t>
    </r>
    <r>
      <rPr>
        <b/>
        <sz val="7"/>
        <color theme="1"/>
        <rFont val="Times New Roman"/>
        <family val="1"/>
      </rPr>
      <t xml:space="preserve">        </t>
    </r>
    <r>
      <rPr>
        <b/>
        <u/>
        <sz val="12"/>
        <color theme="1"/>
        <rFont val="Arial"/>
        <family val="2"/>
      </rPr>
      <t>الخطوة/3 – عمل خطة أولية.</t>
    </r>
  </si>
  <si>
    <t>أ.  تحليل المهمة ويشمل ما يلي:</t>
  </si>
  <si>
    <t>(1) مهمة وقصد ومفهوم عمليات مجموعة اللواء.</t>
  </si>
  <si>
    <t>(2) مهمة/ واجبات السرية كما وردت من قيادة مجموعة اللواء.</t>
  </si>
  <si>
    <t>(3) التحديدات الموضوعة على قائد السرية من قبل مجموعة اللواء للقيام بعمل (افعل) أو الامتناع عن عمل (لا تفعل).</t>
  </si>
  <si>
    <t>(4) تحديد المخاطر التعبوية والعارضة.</t>
  </si>
  <si>
    <t>(5) صياغة مهمة السرية المستخلصة باستخدام العناصر الخمسة (ماذا، من، متى، أين، ولماذا).</t>
  </si>
  <si>
    <t>ب. تحليل الأرض والطقس ويشمل ما يلي:</t>
  </si>
  <si>
    <t>(1) تحليل الأرض وتصنيفها ضمن إحدى الفئات التالية:</t>
  </si>
  <si>
    <t>( أ ) غير معيقة للحركة.</t>
  </si>
  <si>
    <t>(ب) معيقة للحركة.</t>
  </si>
  <si>
    <t>(جـ) مانعة للحركة.</t>
  </si>
  <si>
    <t>(2) تحليل العناصر العسكرية للأرض وهي:</t>
  </si>
  <si>
    <t>( أ ) الموانع.</t>
  </si>
  <si>
    <t>(ب) ممرات الحركة.</t>
  </si>
  <si>
    <t>(جـ) الأرض التعبوية.</t>
  </si>
  <si>
    <t>( د ) المراقبة وميادين الرمي.</t>
  </si>
  <si>
    <t>(هـ) التخفية والتستر.</t>
  </si>
  <si>
    <t>(3) تحليل العناصر العسكرية للطقس وهي:</t>
  </si>
  <si>
    <t>( أ ) مدى الرؤية</t>
  </si>
  <si>
    <t xml:space="preserve">(ب) بيانات الضوء. </t>
  </si>
  <si>
    <t xml:space="preserve">(جـ) درجة الحرارة. </t>
  </si>
  <si>
    <t xml:space="preserve">( د )  الهطول (الأمطار والثلوج والندى). </t>
  </si>
  <si>
    <t xml:space="preserve">(هـ) الرياح. </t>
  </si>
  <si>
    <t xml:space="preserve">(و) غطاء الغيوم. </t>
  </si>
  <si>
    <t>جـ. تحليل القوات المتوفرة (حسب التجميع للواجب) وتشمل:</t>
  </si>
  <si>
    <t>(1) الوحدات العضوية، الإسناد القتالي والخدماتي.</t>
  </si>
  <si>
    <t>(2) هل تكفي القوات المتوفرة لتنفيذ المهمة.</t>
  </si>
  <si>
    <t>(3) هل هناك حاجة لطلب قوات إضافية أو قوات قدرات معينة للمهمة.</t>
  </si>
  <si>
    <t>د. تحليل الوقت المتوفر بشكل مفصل (الوقت الكلي المتوفر، الوقت المتوفر نهاراً وليلاً)، تخصيص الوقت (قاعدة الثلث والثلثين)، تحديث الجدول الزمني بحيث يتم تخصيص الوقت لبعض النشاطات الهامة خلال التخطيط والتحضير مثل الوقت المخصص لتحضير أمر العمليات، التجارب، الإيجازات، والتحضيرات الأخرى اللازمة للعناصر المرؤوسة وتحديد النشاطات التي ستنفذ ليلاً ونهاراً.</t>
  </si>
  <si>
    <t>هـ. الاعتبارات المدنية.</t>
  </si>
  <si>
    <t>و. تحليل العدو، ويشمل ما يلي:</t>
  </si>
  <si>
    <t xml:space="preserve">(1) التأليف. </t>
  </si>
  <si>
    <t>(2) التوزيع.</t>
  </si>
  <si>
    <t>(3) القدرات.</t>
  </si>
  <si>
    <t>(4) أعمال العدو الممكنة المحتملة.</t>
  </si>
  <si>
    <t>ز. إعداد وتطوير الأعمال الممكنة للسرية (حسب الحاجة وحسب الوقت المتوفر) وتتضمن هذه الخطوة ما يلي:</t>
  </si>
  <si>
    <t>(1) التنظيم الأولي للقوات (التجميع للواجب).</t>
  </si>
  <si>
    <t>(2) تطوير خطط المناورة.</t>
  </si>
  <si>
    <t>(3) إجراء التجارب على الأعمال الممكنة.</t>
  </si>
  <si>
    <t>(4) مقارنة واختيار الأعمال الممكنة.</t>
  </si>
  <si>
    <r>
      <t>6.</t>
    </r>
    <r>
      <rPr>
        <b/>
        <sz val="7"/>
        <color theme="1"/>
        <rFont val="Times New Roman"/>
        <family val="1"/>
      </rPr>
      <t xml:space="preserve">        </t>
    </r>
    <r>
      <rPr>
        <b/>
        <u/>
        <sz val="12"/>
        <color theme="1"/>
        <rFont val="Arial"/>
        <family val="2"/>
      </rPr>
      <t>الخطوة/4 – بدء الحركة</t>
    </r>
    <r>
      <rPr>
        <b/>
        <sz val="12"/>
        <color theme="1"/>
        <rFont val="Arial"/>
        <family val="2"/>
      </rPr>
      <t>.</t>
    </r>
  </si>
  <si>
    <t xml:space="preserve">أ. يقوم قائد السرية بإصدار الأوامر للسرية بتنفيذ أي حركة ضرورية لاستمرار التحضيرات أو تهيئة القوة للعملية، مثل الحركة إلى منطقة التجمُّع، أو منطقة التشكيل، أو اتخاذ دفاع دائري. </t>
  </si>
  <si>
    <t>ب. التأكد من جاهزية الأفراد والأسلحة والمعدات قبل بدء الحركة (تنفيذ تفقدات وتفتيشات ما قبل القتال).</t>
  </si>
  <si>
    <r>
      <t>7.</t>
    </r>
    <r>
      <rPr>
        <b/>
        <sz val="7"/>
        <color theme="1"/>
        <rFont val="Times New Roman"/>
        <family val="1"/>
      </rPr>
      <t xml:space="preserve">        </t>
    </r>
    <r>
      <rPr>
        <b/>
        <u/>
        <sz val="12"/>
        <color theme="1"/>
        <rFont val="Arial"/>
        <family val="2"/>
      </rPr>
      <t>الخطوة/5 – الاستطلاع.</t>
    </r>
  </si>
  <si>
    <t>أ. يتم الاستطلاع من الخارطة أو الصور الجوية المتوفرة.</t>
  </si>
  <si>
    <t>ب. يتم تحديد الطرق وحساب المسافات.</t>
  </si>
  <si>
    <t>جـ. يتم تحديد وتأشير نقاط الاهتمام المسماة.</t>
  </si>
  <si>
    <t>د. يتم تحديد المعالم البارزة والأراضي التعبوية والحيوية.</t>
  </si>
  <si>
    <t>هـ. يتم تحديد نقاط الالتقاء والتفقد والتوزيع.</t>
  </si>
  <si>
    <t>و. انتخاب أفضل الأماكن لتوزيع عناصر الاستطلاع.</t>
  </si>
  <si>
    <t>ز. تحديد وتأشير الحدود الجانبية والامامية وحدود الاستطلاع.</t>
  </si>
  <si>
    <r>
      <t>8.</t>
    </r>
    <r>
      <rPr>
        <b/>
        <sz val="7"/>
        <color theme="1"/>
        <rFont val="Times New Roman"/>
        <family val="1"/>
      </rPr>
      <t xml:space="preserve">        </t>
    </r>
    <r>
      <rPr>
        <b/>
        <u/>
        <sz val="12"/>
        <color theme="1"/>
        <rFont val="Arial"/>
        <family val="2"/>
      </rPr>
      <t>الخطوة/6 – إكمال الخطة.</t>
    </r>
  </si>
  <si>
    <t>أ. تنقيح الخطة بناءً على جميع المعلومات المتوفرة.</t>
  </si>
  <si>
    <t>ب. التأكد من أن الخطة تسند مجال مناورة القائد.</t>
  </si>
  <si>
    <t>جـ. تحضير الأمر لإصداره.</t>
  </si>
  <si>
    <r>
      <t>9.</t>
    </r>
    <r>
      <rPr>
        <b/>
        <sz val="7"/>
        <color theme="1"/>
        <rFont val="Times New Roman"/>
        <family val="1"/>
      </rPr>
      <t xml:space="preserve">        </t>
    </r>
    <r>
      <rPr>
        <b/>
        <u/>
        <sz val="12"/>
        <color theme="1"/>
        <rFont val="Arial"/>
        <family val="2"/>
      </rPr>
      <t>الخطوة/7 – إصدار الأمر.</t>
    </r>
  </si>
  <si>
    <t>أ. يصدر قائد السرية أوامره للقادة المرؤوسين.</t>
  </si>
  <si>
    <t>ب. يتم استخدام نموذج أمر العمليات المكون من خمس فقرات.</t>
  </si>
  <si>
    <t>جـ. يتم استخدام نموذج طاولة رملية/ مخططات/ خرائط لإصدار أمر العمليات.</t>
  </si>
  <si>
    <r>
      <t>10.</t>
    </r>
    <r>
      <rPr>
        <b/>
        <sz val="7"/>
        <color theme="1"/>
        <rFont val="Times New Roman"/>
        <family val="1"/>
      </rPr>
      <t xml:space="preserve">    </t>
    </r>
    <r>
      <rPr>
        <b/>
        <u/>
        <sz val="12"/>
        <color theme="1"/>
        <rFont val="Arial"/>
        <family val="2"/>
      </rPr>
      <t>الخطوة/8 – الإشراف والمراقبة.</t>
    </r>
  </si>
  <si>
    <t>أ. يتأكد القائد ونائبه ووكيل السرية أن السرية جاهزة للمهمة.</t>
  </si>
  <si>
    <t>ب. ينفِّذ القادة المرؤوسين الإيجاز العكسي/ التأكيدي لقائد السرية (من قادة الفصائل لقائد السرية) بعد إصدار أمر العمليات للتأكد من أن المرؤوسين يفهمون المهمة وقصد القائد ومفهوم العملية وواجباتهم.</t>
  </si>
  <si>
    <t xml:space="preserve">جـ. تنفيذ التجارب إذا سمح الوقت بذلك. </t>
  </si>
  <si>
    <t>تخطيط عمليات سرية الاستطلاع -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</si>
</sst>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b/>
      <u/>
      <sz val="12"/>
      <color theme="1"/>
      <name val="Arial"/>
      <family val="2"/>
    </font>
    <font>
      <b/>
      <sz val="7"/>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FFFF"/>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7">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3" fillId="5" borderId="3" xfId="0" applyFont="1" applyFill="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5" borderId="4" xfId="0" applyFont="1" applyFill="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3" fillId="5" borderId="12" xfId="0" applyFont="1" applyFill="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5" borderId="9" xfId="0" applyFont="1" applyFill="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2" fillId="0" borderId="21"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2"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20"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13" fillId="5" borderId="8" xfId="0" applyFont="1" applyFill="1" applyBorder="1" applyAlignment="1">
      <alignment horizontal="right" vertical="center" wrapText="1" readingOrder="2"/>
    </xf>
    <xf numFmtId="0" fontId="13" fillId="5" borderId="9" xfId="0" applyFont="1" applyFill="1" applyBorder="1" applyAlignment="1">
      <alignment horizontal="right" vertical="center" wrapText="1" readingOrder="2"/>
    </xf>
    <xf numFmtId="0" fontId="13" fillId="5" borderId="19" xfId="0" applyFont="1" applyFill="1" applyBorder="1" applyAlignment="1">
      <alignment horizontal="right" vertical="center" wrapText="1" indent="4" readingOrder="2"/>
    </xf>
    <xf numFmtId="0" fontId="13" fillId="5" borderId="3" xfId="0" applyFont="1" applyFill="1" applyBorder="1" applyAlignment="1">
      <alignment horizontal="right" vertical="center" wrapText="1" indent="4" readingOrder="2"/>
    </xf>
    <xf numFmtId="0" fontId="13" fillId="5" borderId="11" xfId="0" applyFont="1" applyFill="1" applyBorder="1" applyAlignment="1">
      <alignment horizontal="right" vertical="center" wrapText="1" indent="4" readingOrder="2"/>
    </xf>
    <xf numFmtId="0" fontId="13" fillId="5" borderId="12" xfId="0" applyFont="1" applyFill="1" applyBorder="1" applyAlignment="1">
      <alignment horizontal="right" vertical="center" wrapText="1" indent="4" readingOrder="2"/>
    </xf>
    <xf numFmtId="0" fontId="3" fillId="5" borderId="5" xfId="0" applyFont="1" applyFill="1" applyBorder="1" applyAlignment="1">
      <alignment horizontal="right" vertical="center" wrapText="1" readingOrder="2"/>
    </xf>
    <xf numFmtId="0" fontId="3" fillId="5" borderId="4" xfId="0" applyFont="1" applyFill="1" applyBorder="1" applyAlignment="1">
      <alignment horizontal="right" vertical="center" wrapText="1" readingOrder="2"/>
    </xf>
    <xf numFmtId="0" fontId="13" fillId="5" borderId="19" xfId="0" applyFont="1" applyFill="1" applyBorder="1" applyAlignment="1">
      <alignment horizontal="right" vertical="center" wrapText="1" indent="2" readingOrder="2"/>
    </xf>
    <xf numFmtId="0" fontId="13" fillId="5" borderId="3" xfId="0" applyFont="1" applyFill="1" applyBorder="1" applyAlignment="1">
      <alignment horizontal="right" vertical="center" wrapText="1" indent="2"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3" fillId="5" borderId="19" xfId="0" applyFont="1" applyFill="1" applyBorder="1" applyAlignment="1">
      <alignment horizontal="right" vertical="center" wrapText="1" indent="6" readingOrder="2"/>
    </xf>
    <xf numFmtId="0" fontId="13" fillId="5" borderId="3" xfId="0" applyFont="1" applyFill="1" applyBorder="1" applyAlignment="1">
      <alignment horizontal="right" vertical="center" wrapText="1" indent="6" readingOrder="2"/>
    </xf>
    <xf numFmtId="0" fontId="13" fillId="5" borderId="11" xfId="0" applyFont="1" applyFill="1" applyBorder="1" applyAlignment="1">
      <alignment horizontal="right" vertical="center" wrapText="1" indent="2" readingOrder="2"/>
    </xf>
    <xf numFmtId="0" fontId="13" fillId="5" borderId="12" xfId="0" applyFont="1" applyFill="1" applyBorder="1" applyAlignment="1">
      <alignment horizontal="right" vertical="center" wrapText="1" indent="2" readingOrder="2"/>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454270</xdr:colOff>
      <xdr:row>88</xdr:row>
      <xdr:rowOff>117231</xdr:rowOff>
    </xdr:from>
    <xdr:to>
      <xdr:col>9</xdr:col>
      <xdr:colOff>111541</xdr:colOff>
      <xdr:row>88</xdr:row>
      <xdr:rowOff>493341</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1405166-2E76-4550-B9D8-BCB0C566B704}"/>
                </a:ext>
              </a:extLst>
            </xdr14:cNvPr>
            <xdr14:cNvContentPartPr/>
          </xdr14:nvContentPartPr>
          <xdr14:nvPr macro=""/>
          <xdr14:xfrm>
            <a:off x="9838539382" y="36927693"/>
            <a:ext cx="1525636" cy="376110"/>
          </xdr14:xfrm>
        </xdr:contentPart>
      </mc:Choice>
      <mc:Fallback xmlns="">
        <xdr:pic>
          <xdr:nvPicPr>
            <xdr:cNvPr id="2" name="Ink 1">
              <a:extLst>
                <a:ext uri="{FF2B5EF4-FFF2-40B4-BE49-F238E27FC236}">
                  <a16:creationId xmlns:a16="http://schemas.microsoft.com/office/drawing/2014/main" id="{3C2912F8-72B9-F93D-01F1-901A5EA2EF3F}"/>
                </a:ext>
              </a:extLst>
            </xdr:cNvPr>
            <xdr:cNvPicPr/>
          </xdr:nvPicPr>
          <xdr:blipFill>
            <a:blip xmlns:r="http://schemas.openxmlformats.org/officeDocument/2006/relationships" r:embed="rId2"/>
            <a:stretch>
              <a:fillRect/>
            </a:stretch>
          </xdr:blipFill>
          <xdr:spPr>
            <a:xfrm>
              <a:off x="10398717491" y="22874400"/>
              <a:ext cx="1613880" cy="565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30T05:14:33.926"/>
    </inkml:context>
    <inkml:brush xml:id="br0">
      <inkml:brushProperty name="width" value="0.05" units="cm"/>
      <inkml:brushProperty name="height" value="0.05" units="cm"/>
    </inkml:brush>
  </inkml:definitions>
  <inkml:trace contextRef="#ctx0" brushRef="#br0">4191 97 10090,'0'0'0,"-18"-23"648,-3 0-488,-7-3-72,28 26-88,-23-18 144,0 15-72,-1 0-160,-4 2-112,28 1 200,-33 3-272,-3 11 24,-6 1 24,-4 9 72,46-24 152,-48 27-136,-2 7 0,-1 3 40,5 2-16,46-39 112,-41 40-120,6 0-33,10-2-23,7-1-8,18-37 184,-15 37-208,11-1-40,4-1-160,2-3-256,-2-32 664,21 28-840,-1-3 8,6-3 160,9-4 199,-35-18 473,34 14-304,7-6 104,5-8 16,5 0 48,-51 0 136,50-9-64,6-4 32,-1-3 64,-5-1 8,-50 17-40,51-19 64,-9 1 24,-6 4 48,-8 1 56,-28 13-192,23-11 272,-7 3 233,-3 4 271,-10-4 488,-3 8-1264,2 0 1616,-2-2-15,0 0-201,-5 1-456,5 1-944,-16-1 544,1-1-256,-11 1-248,-6 1-128,32 0 88,-44 3-112,-6 8 56,-10-2 112,-9 4 40,69-13-96,-76 13 88,-4 2 0,-5 2-16,0 1 0,85-18-72,-93 21 48,1 0 8,1 2-16,-1-2 24,92-21-64,-95 21 72,5-3 0,3 0 9,7-3-33,80-15-48,-74 14 48,8-2-40,8-1 56,8-1 16,50-10-80,-42 7-24,5-3 56,6 4-64,5-6 32,26-2 0,-18 3 40,1 0-48,6-1-64,-2-1 8,13-1 64,-10 0-40,5 0 16,-11 0 16,14-3-40,2 3 48,-14-3-16,2-1-49,1-5 41,-3 6 40,14 3-16,-16-9-16,-5 5 81,1-5 63,-8 6-64,28 3-64,-27-10 80,-6 6 32,-1-5-8,-3 5 16,37 4-120,-44-7 112,-1 4-48,-1-1-96,-7 2 80,53 2-48,-51-3-16,3 1 0,-3 1-8,10-1-8,41 2 32,-41-2 56,6-1-48,10 0 32,5-1-112,20 4 72,-13-2-320,11-2-353,2 2-535,5-6-240,-5 8 1448,18-8-1400,10-5 311,11-5 281,7-7 88,-46 25 720,60-30-592,-1-2 8,8-1 176,0 0 200,-67 33 208,62-30-144,2 2 96,-4 1 24,-2 1 56,-58 26-32,53-25 120,-3 3 128,-9 2 160,-6 4 104,-35 16-512,27-12 528,-4 3 24,-6 4-56,-6 1-40,-11 4-456,5-2 480,-3 1-15,3 1 55,-5 0 104,0 0-624,0 0 664,-2 2 56,-10 1-112,-2 8-208,14-11-400,-18 12 232,-15 7-192,-13 6-64,-9 6-8,55-31 32,-66 36-120,-8 4 8,-7-1 24,-4 1-64,85-40 152,-87 41-8,-3-1-64,-2-1 8,1-2 32,91-37 32,-95 35-56,-3-3 32,-4 1-16,1-3 24,101-30 16,-103 29-40,6-2 8,-2-2 32,5 0-16,94-25 16,-88 19-40,3-1 16,5-4 24,1-2 40,79-12-40,-73 9 72,-1 0-32,8-6-8,6 7 24,60-10-56,-55 2 0,5 1-8,8 0 16,6-1-40,36-2 32,-31 0 0,6 1 0,4-1 0,10 0-16,11 0 16,-2 0-176,-3 0-336,5 0-272,7 0-40,-7 0 824,14 0-720,4 0 279,7 0 225,17 0 88,-42 0 128,51-9-64,6-1 8,12-4 0,11-2 0,-80 16 56,95-19-88,8-5 16,10-3 0,2-3-40,-115 30 112,126-34-104,12-1-88,9-2-48,3-1-160,-150 38 400,152-43-464,8-3-96,-1-4 64,4-2 152,-163 52 344,166-54-264,-10 1 144,-7 1 64,-11 2-16,-138 50 72,127-46-32,-12 6 32,-14 1 0,-19 7 32,-82 32-32,74-26 24,-17 3 56,-10 6 208,-17 3 352,-30 14-640,18-9 1144,-13 6 608,-3 1 217,-2 1-89,0 1-1880,-2 0 1408,-10 0-623,-2 3-409,-6 8-232,20-11-144,-26 11 8,-10 9-72,-8 6 8,-7 7 24,51-33 32,-51 38-8,1 2 16,2 3 8,-3 1 24,51-44-40,-46 46 24,3 4 48,1 1 16,3 3-88,39-54 0,-32 56 16,9-1-80,7 1-56,9-1-64,7-55 184,-5 58-792,5 1-1121,0 2-975,14 4-105,-14-65 2993,12 65-5017,-12-65 5017</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89"/>
  <sheetViews>
    <sheetView rightToLeft="1" tabSelected="1" view="pageBreakPreview" topLeftCell="A76" zoomScale="130" zoomScaleNormal="100" zoomScaleSheetLayoutView="130" workbookViewId="0">
      <selection activeCell="N87" sqref="N87"/>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3" customWidth="1"/>
    <col min="9" max="9" width="9.28515625" style="1" customWidth="1"/>
    <col min="10" max="10" width="15.42578125" style="1" customWidth="1"/>
    <col min="11" max="16384" width="9" style="1"/>
  </cols>
  <sheetData>
    <row r="1" spans="1:10" ht="45" customHeight="1" x14ac:dyDescent="0.25">
      <c r="B1" s="56" t="s">
        <v>257</v>
      </c>
      <c r="C1" s="56"/>
      <c r="D1" s="56"/>
      <c r="E1" s="56"/>
      <c r="F1" s="56"/>
      <c r="G1" s="56"/>
      <c r="H1" s="56"/>
      <c r="I1" s="56"/>
      <c r="J1" s="56"/>
    </row>
    <row r="2" spans="1:10" ht="30" customHeight="1" x14ac:dyDescent="0.25">
      <c r="B2" s="11" t="s">
        <v>8</v>
      </c>
      <c r="C2" s="62" t="s">
        <v>10</v>
      </c>
      <c r="D2" s="62"/>
      <c r="E2" s="11" t="s">
        <v>7</v>
      </c>
      <c r="F2" s="57">
        <v>45929</v>
      </c>
      <c r="G2" s="57"/>
      <c r="H2" s="57"/>
      <c r="I2" s="57"/>
      <c r="J2" s="57"/>
    </row>
    <row r="3" spans="1:10" ht="30" customHeight="1" x14ac:dyDescent="0.25">
      <c r="B3" s="11" t="s">
        <v>9</v>
      </c>
      <c r="C3" s="62" t="s">
        <v>65</v>
      </c>
      <c r="D3" s="62"/>
      <c r="E3" s="11" t="s">
        <v>6</v>
      </c>
      <c r="F3" s="62" t="s">
        <v>113</v>
      </c>
      <c r="G3" s="62"/>
      <c r="H3" s="62"/>
      <c r="I3" s="62"/>
      <c r="J3" s="62"/>
    </row>
    <row r="4" spans="1:10" ht="30" customHeight="1" thickBot="1" x14ac:dyDescent="0.3">
      <c r="B4" s="6"/>
      <c r="C4" s="7"/>
      <c r="D4" s="7"/>
      <c r="E4" s="6"/>
      <c r="F4" s="7"/>
      <c r="G4" s="7"/>
      <c r="H4" s="8"/>
      <c r="I4" s="7"/>
      <c r="J4" s="7"/>
    </row>
    <row r="5" spans="1:10" ht="24.95" customHeight="1" x14ac:dyDescent="0.25">
      <c r="A5" s="9"/>
      <c r="B5" s="58" t="s">
        <v>0</v>
      </c>
      <c r="C5" s="59"/>
      <c r="D5" s="59"/>
      <c r="E5" s="67" t="s">
        <v>1</v>
      </c>
      <c r="F5" s="67"/>
      <c r="G5" s="67"/>
      <c r="H5" s="67"/>
      <c r="I5" s="67" t="s">
        <v>2</v>
      </c>
      <c r="J5" s="68"/>
    </row>
    <row r="6" spans="1:10" ht="24.95" customHeight="1" thickBot="1" x14ac:dyDescent="0.3">
      <c r="A6" s="9"/>
      <c r="B6" s="60"/>
      <c r="C6" s="61"/>
      <c r="D6" s="61"/>
      <c r="E6" s="10" t="s">
        <v>3</v>
      </c>
      <c r="F6" s="10" t="s">
        <v>4</v>
      </c>
      <c r="G6" s="10" t="s">
        <v>23</v>
      </c>
      <c r="H6" s="10" t="s">
        <v>24</v>
      </c>
      <c r="I6" s="69"/>
      <c r="J6" s="70"/>
    </row>
    <row r="7" spans="1:10" ht="24.95" customHeight="1" thickBot="1" x14ac:dyDescent="0.3">
      <c r="A7" s="9"/>
      <c r="B7" s="65" t="s">
        <v>21</v>
      </c>
      <c r="C7" s="66"/>
      <c r="D7" s="66"/>
      <c r="E7" s="28" t="s">
        <v>18</v>
      </c>
      <c r="F7" s="28" t="s">
        <v>19</v>
      </c>
      <c r="G7" s="28" t="s">
        <v>22</v>
      </c>
      <c r="H7" s="28" t="s">
        <v>20</v>
      </c>
      <c r="I7" s="71" t="s">
        <v>25</v>
      </c>
      <c r="J7" s="72"/>
    </row>
    <row r="8" spans="1:10" ht="50.1" customHeight="1" thickBot="1" x14ac:dyDescent="0.3">
      <c r="A8" s="9"/>
      <c r="B8" s="81" t="s">
        <v>180</v>
      </c>
      <c r="C8" s="82"/>
      <c r="D8" s="82"/>
      <c r="E8" s="39">
        <v>5</v>
      </c>
      <c r="F8" s="40">
        <v>3.5</v>
      </c>
      <c r="G8" s="41">
        <f>IFERROR(F8/E8,"")</f>
        <v>0.7</v>
      </c>
      <c r="H8" s="26" t="str">
        <f>_xlfn.IFS(F8="أدخل العلامة","",F8="لا ينطبق","تم الإلغاء",G8&gt;=90%,"ممتاز",G8&gt;=80%,"جيد جداً",G8&gt;=70%,"جيد",G8&gt;=60%,"مقبول",G8&lt;60%,"راسب")</f>
        <v>جيد</v>
      </c>
      <c r="I8" s="43"/>
      <c r="J8" s="44"/>
    </row>
    <row r="9" spans="1:10" ht="39.950000000000003" customHeight="1" thickBot="1" x14ac:dyDescent="0.3">
      <c r="A9" s="9"/>
      <c r="B9" s="81" t="s">
        <v>181</v>
      </c>
      <c r="C9" s="82"/>
      <c r="D9" s="82"/>
      <c r="E9" s="39">
        <v>5</v>
      </c>
      <c r="F9" s="40">
        <v>3.5</v>
      </c>
      <c r="G9" s="41">
        <f>IFERROR(F9/E9,"")</f>
        <v>0.7</v>
      </c>
      <c r="H9" s="26" t="str">
        <f>_xlfn.IFS(F9="أدخل العلامة","",F9="لا ينطبق","تم الإلغاء",G9&gt;=90%,"ممتاز",G9&gt;=80%,"جيد جداً",G9&gt;=70%,"جيد",G9&gt;=60%,"مقبول",G9&lt;60%,"راسب")</f>
        <v>جيد</v>
      </c>
      <c r="I9" s="43"/>
      <c r="J9" s="44"/>
    </row>
    <row r="10" spans="1:10" ht="50.1" customHeight="1" thickBot="1" x14ac:dyDescent="0.3">
      <c r="A10" s="9"/>
      <c r="B10" s="81" t="s">
        <v>182</v>
      </c>
      <c r="C10" s="82"/>
      <c r="D10" s="82"/>
      <c r="E10" s="39">
        <v>5</v>
      </c>
      <c r="F10" s="40">
        <v>3.5</v>
      </c>
      <c r="G10" s="41">
        <f t="shared" ref="G10:G72" si="0">IFERROR(F10/E10,"")</f>
        <v>0.7</v>
      </c>
      <c r="H10" s="26" t="str">
        <f t="shared" ref="H10:H72" si="1">_xlfn.IFS(F10="أدخل العلامة","",F10="لا ينطبق","تم الإلغاء",G10&gt;=90%,"ممتاز",G10&gt;=80%,"جيد جداً",G10&gt;=70%,"جيد",G10&gt;=60%,"مقبول",G10&lt;60%,"راسب")</f>
        <v>جيد</v>
      </c>
      <c r="I10" s="43"/>
      <c r="J10" s="44"/>
    </row>
    <row r="11" spans="1:10" ht="30" customHeight="1" x14ac:dyDescent="0.25">
      <c r="A11" s="9"/>
      <c r="B11" s="87" t="s">
        <v>183</v>
      </c>
      <c r="C11" s="88"/>
      <c r="D11" s="88"/>
      <c r="E11" s="32"/>
      <c r="F11" s="33"/>
      <c r="G11" s="34"/>
      <c r="H11" s="35"/>
      <c r="I11" s="54"/>
      <c r="J11" s="55"/>
    </row>
    <row r="12" spans="1:10" ht="39.950000000000003" customHeight="1" x14ac:dyDescent="0.25">
      <c r="A12" s="9"/>
      <c r="B12" s="89" t="s">
        <v>184</v>
      </c>
      <c r="C12" s="90"/>
      <c r="D12" s="90"/>
      <c r="E12" s="29">
        <v>5</v>
      </c>
      <c r="F12" s="25">
        <v>3.75</v>
      </c>
      <c r="G12" s="30">
        <f t="shared" si="0"/>
        <v>0.75</v>
      </c>
      <c r="H12" s="31" t="str">
        <f t="shared" si="1"/>
        <v>جيد</v>
      </c>
      <c r="I12" s="45"/>
      <c r="J12" s="46"/>
    </row>
    <row r="13" spans="1:10" ht="30" customHeight="1" x14ac:dyDescent="0.25">
      <c r="A13" s="9"/>
      <c r="B13" s="89" t="s">
        <v>185</v>
      </c>
      <c r="C13" s="90"/>
      <c r="D13" s="90"/>
      <c r="E13" s="29">
        <v>0</v>
      </c>
      <c r="F13" s="25"/>
      <c r="G13" s="30" t="str">
        <f t="shared" si="0"/>
        <v/>
      </c>
      <c r="H13" s="31"/>
      <c r="I13" s="45"/>
      <c r="J13" s="46"/>
    </row>
    <row r="14" spans="1:10" ht="30" customHeight="1" x14ac:dyDescent="0.25">
      <c r="A14" s="9"/>
      <c r="B14" s="83" t="s">
        <v>186</v>
      </c>
      <c r="C14" s="84"/>
      <c r="D14" s="84"/>
      <c r="E14" s="29">
        <v>5</v>
      </c>
      <c r="F14" s="25">
        <v>3.5</v>
      </c>
      <c r="G14" s="30">
        <f t="shared" si="0"/>
        <v>0.7</v>
      </c>
      <c r="H14" s="31" t="str">
        <f t="shared" si="1"/>
        <v>جيد</v>
      </c>
      <c r="I14" s="45"/>
      <c r="J14" s="46"/>
    </row>
    <row r="15" spans="1:10" ht="30" customHeight="1" x14ac:dyDescent="0.25">
      <c r="A15" s="9"/>
      <c r="B15" s="83" t="s">
        <v>187</v>
      </c>
      <c r="C15" s="84"/>
      <c r="D15" s="84"/>
      <c r="E15" s="29">
        <v>5</v>
      </c>
      <c r="F15" s="25">
        <v>3.75</v>
      </c>
      <c r="G15" s="30">
        <f t="shared" si="0"/>
        <v>0.75</v>
      </c>
      <c r="H15" s="31" t="str">
        <f t="shared" si="1"/>
        <v>جيد</v>
      </c>
      <c r="I15" s="45"/>
      <c r="J15" s="46"/>
    </row>
    <row r="16" spans="1:10" ht="50.1" customHeight="1" x14ac:dyDescent="0.25">
      <c r="A16" s="9"/>
      <c r="B16" s="83" t="s">
        <v>188</v>
      </c>
      <c r="C16" s="84"/>
      <c r="D16" s="84"/>
      <c r="E16" s="29">
        <v>5</v>
      </c>
      <c r="F16" s="25">
        <v>3.5</v>
      </c>
      <c r="G16" s="30">
        <f t="shared" si="0"/>
        <v>0.7</v>
      </c>
      <c r="H16" s="31" t="str">
        <f t="shared" si="1"/>
        <v>جيد</v>
      </c>
      <c r="I16" s="45"/>
      <c r="J16" s="46"/>
    </row>
    <row r="17" spans="1:10" ht="30" customHeight="1" x14ac:dyDescent="0.25">
      <c r="A17" s="9"/>
      <c r="B17" s="83" t="s">
        <v>189</v>
      </c>
      <c r="C17" s="84"/>
      <c r="D17" s="84"/>
      <c r="E17" s="29">
        <v>5</v>
      </c>
      <c r="F17" s="25">
        <v>3.5</v>
      </c>
      <c r="G17" s="30">
        <f t="shared" si="0"/>
        <v>0.7</v>
      </c>
      <c r="H17" s="31" t="str">
        <f t="shared" si="1"/>
        <v>جيد</v>
      </c>
      <c r="I17" s="45"/>
      <c r="J17" s="46"/>
    </row>
    <row r="18" spans="1:10" ht="30" customHeight="1" x14ac:dyDescent="0.25">
      <c r="A18" s="9"/>
      <c r="B18" s="83" t="s">
        <v>190</v>
      </c>
      <c r="C18" s="84"/>
      <c r="D18" s="84"/>
      <c r="E18" s="29">
        <v>5</v>
      </c>
      <c r="F18" s="25">
        <v>3.5</v>
      </c>
      <c r="G18" s="30">
        <f t="shared" si="0"/>
        <v>0.7</v>
      </c>
      <c r="H18" s="31" t="str">
        <f t="shared" si="1"/>
        <v>جيد</v>
      </c>
      <c r="I18" s="45"/>
      <c r="J18" s="46"/>
    </row>
    <row r="19" spans="1:10" ht="30" customHeight="1" x14ac:dyDescent="0.25">
      <c r="A19" s="9"/>
      <c r="B19" s="83" t="s">
        <v>191</v>
      </c>
      <c r="C19" s="84"/>
      <c r="D19" s="84"/>
      <c r="E19" s="29">
        <v>5</v>
      </c>
      <c r="F19" s="25">
        <v>3.5</v>
      </c>
      <c r="G19" s="30">
        <f t="shared" si="0"/>
        <v>0.7</v>
      </c>
      <c r="H19" s="31" t="str">
        <f t="shared" si="1"/>
        <v>جيد</v>
      </c>
      <c r="I19" s="45"/>
      <c r="J19" s="46"/>
    </row>
    <row r="20" spans="1:10" ht="30" customHeight="1" thickBot="1" x14ac:dyDescent="0.3">
      <c r="A20" s="9"/>
      <c r="B20" s="85" t="s">
        <v>192</v>
      </c>
      <c r="C20" s="86"/>
      <c r="D20" s="86"/>
      <c r="E20" s="36">
        <v>5</v>
      </c>
      <c r="F20" s="27">
        <v>3.75</v>
      </c>
      <c r="G20" s="37">
        <f t="shared" si="0"/>
        <v>0.75</v>
      </c>
      <c r="H20" s="38" t="str">
        <f t="shared" si="1"/>
        <v>جيد</v>
      </c>
      <c r="I20" s="52"/>
      <c r="J20" s="53"/>
    </row>
    <row r="21" spans="1:10" ht="30" customHeight="1" x14ac:dyDescent="0.25">
      <c r="A21" s="9"/>
      <c r="B21" s="87" t="s">
        <v>193</v>
      </c>
      <c r="C21" s="88"/>
      <c r="D21" s="88"/>
      <c r="E21" s="32"/>
      <c r="F21" s="33"/>
      <c r="G21" s="34"/>
      <c r="H21" s="35"/>
      <c r="I21" s="54"/>
      <c r="J21" s="55"/>
    </row>
    <row r="22" spans="1:10" ht="30" customHeight="1" x14ac:dyDescent="0.25">
      <c r="A22" s="9"/>
      <c r="B22" s="89" t="s">
        <v>194</v>
      </c>
      <c r="C22" s="90"/>
      <c r="D22" s="90"/>
      <c r="E22" s="29"/>
      <c r="F22" s="25"/>
      <c r="G22" s="30"/>
      <c r="H22" s="31"/>
      <c r="I22" s="45"/>
      <c r="J22" s="46"/>
    </row>
    <row r="23" spans="1:10" ht="30" customHeight="1" x14ac:dyDescent="0.25">
      <c r="A23" s="9"/>
      <c r="B23" s="83" t="s">
        <v>195</v>
      </c>
      <c r="C23" s="84"/>
      <c r="D23" s="84"/>
      <c r="E23" s="29">
        <v>5</v>
      </c>
      <c r="F23" s="25">
        <v>3.75</v>
      </c>
      <c r="G23" s="30">
        <f t="shared" si="0"/>
        <v>0.75</v>
      </c>
      <c r="H23" s="31" t="str">
        <f t="shared" si="1"/>
        <v>جيد</v>
      </c>
      <c r="I23" s="45"/>
      <c r="J23" s="46"/>
    </row>
    <row r="24" spans="1:10" ht="30" customHeight="1" x14ac:dyDescent="0.25">
      <c r="A24" s="9"/>
      <c r="B24" s="83" t="s">
        <v>196</v>
      </c>
      <c r="C24" s="84"/>
      <c r="D24" s="84"/>
      <c r="E24" s="29">
        <v>5</v>
      </c>
      <c r="F24" s="25">
        <v>3.5</v>
      </c>
      <c r="G24" s="30">
        <f t="shared" si="0"/>
        <v>0.7</v>
      </c>
      <c r="H24" s="31" t="str">
        <f t="shared" si="1"/>
        <v>جيد</v>
      </c>
      <c r="I24" s="45"/>
      <c r="J24" s="46"/>
    </row>
    <row r="25" spans="1:10" ht="39.950000000000003" customHeight="1" x14ac:dyDescent="0.25">
      <c r="A25" s="9"/>
      <c r="B25" s="83" t="s">
        <v>197</v>
      </c>
      <c r="C25" s="84"/>
      <c r="D25" s="84"/>
      <c r="E25" s="29">
        <v>5</v>
      </c>
      <c r="F25" s="25">
        <v>3.5</v>
      </c>
      <c r="G25" s="30">
        <f t="shared" si="0"/>
        <v>0.7</v>
      </c>
      <c r="H25" s="31" t="str">
        <f t="shared" si="1"/>
        <v>جيد</v>
      </c>
      <c r="I25" s="45"/>
      <c r="J25" s="46"/>
    </row>
    <row r="26" spans="1:10" ht="30" customHeight="1" x14ac:dyDescent="0.25">
      <c r="A26" s="9"/>
      <c r="B26" s="83" t="s">
        <v>198</v>
      </c>
      <c r="C26" s="84"/>
      <c r="D26" s="84"/>
      <c r="E26" s="29">
        <v>5</v>
      </c>
      <c r="F26" s="25">
        <v>3.5</v>
      </c>
      <c r="G26" s="30">
        <f t="shared" si="0"/>
        <v>0.7</v>
      </c>
      <c r="H26" s="31" t="str">
        <f t="shared" si="1"/>
        <v>جيد</v>
      </c>
      <c r="I26" s="45"/>
      <c r="J26" s="46"/>
    </row>
    <row r="27" spans="1:10" ht="39.950000000000003" customHeight="1" x14ac:dyDescent="0.25">
      <c r="A27" s="9"/>
      <c r="B27" s="83" t="s">
        <v>199</v>
      </c>
      <c r="C27" s="84"/>
      <c r="D27" s="84"/>
      <c r="E27" s="29">
        <v>5</v>
      </c>
      <c r="F27" s="25">
        <v>3.5</v>
      </c>
      <c r="G27" s="30">
        <f t="shared" si="0"/>
        <v>0.7</v>
      </c>
      <c r="H27" s="31" t="str">
        <f t="shared" si="1"/>
        <v>جيد</v>
      </c>
      <c r="I27" s="45"/>
      <c r="J27" s="46"/>
    </row>
    <row r="28" spans="1:10" ht="30" customHeight="1" x14ac:dyDescent="0.25">
      <c r="A28" s="9"/>
      <c r="B28" s="89" t="s">
        <v>200</v>
      </c>
      <c r="C28" s="90"/>
      <c r="D28" s="90"/>
      <c r="E28" s="29"/>
      <c r="F28" s="25"/>
      <c r="G28" s="30"/>
      <c r="H28" s="31"/>
      <c r="I28" s="45"/>
      <c r="J28" s="46"/>
    </row>
    <row r="29" spans="1:10" ht="30" customHeight="1" x14ac:dyDescent="0.25">
      <c r="A29" s="9"/>
      <c r="B29" s="83" t="s">
        <v>201</v>
      </c>
      <c r="C29" s="84"/>
      <c r="D29" s="84"/>
      <c r="E29" s="29"/>
      <c r="F29" s="25"/>
      <c r="G29" s="30"/>
      <c r="H29" s="31"/>
      <c r="I29" s="45"/>
      <c r="J29" s="46"/>
    </row>
    <row r="30" spans="1:10" ht="30" customHeight="1" x14ac:dyDescent="0.25">
      <c r="A30" s="9"/>
      <c r="B30" s="93" t="s">
        <v>202</v>
      </c>
      <c r="C30" s="94"/>
      <c r="D30" s="94"/>
      <c r="E30" s="29">
        <v>5</v>
      </c>
      <c r="F30" s="25">
        <v>3.5</v>
      </c>
      <c r="G30" s="30">
        <f t="shared" si="0"/>
        <v>0.7</v>
      </c>
      <c r="H30" s="31" t="str">
        <f t="shared" si="1"/>
        <v>جيد</v>
      </c>
      <c r="I30" s="45"/>
      <c r="J30" s="46"/>
    </row>
    <row r="31" spans="1:10" ht="30" customHeight="1" x14ac:dyDescent="0.25">
      <c r="A31" s="9"/>
      <c r="B31" s="93" t="s">
        <v>203</v>
      </c>
      <c r="C31" s="94"/>
      <c r="D31" s="94"/>
      <c r="E31" s="29">
        <v>5</v>
      </c>
      <c r="F31" s="25">
        <v>3.5</v>
      </c>
      <c r="G31" s="30">
        <f t="shared" si="0"/>
        <v>0.7</v>
      </c>
      <c r="H31" s="31" t="str">
        <f t="shared" si="1"/>
        <v>جيد</v>
      </c>
      <c r="I31" s="45"/>
      <c r="J31" s="46"/>
    </row>
    <row r="32" spans="1:10" ht="30" customHeight="1" x14ac:dyDescent="0.25">
      <c r="A32" s="9"/>
      <c r="B32" s="93" t="s">
        <v>204</v>
      </c>
      <c r="C32" s="94"/>
      <c r="D32" s="94"/>
      <c r="E32" s="29">
        <v>5</v>
      </c>
      <c r="F32" s="25">
        <v>3.5</v>
      </c>
      <c r="G32" s="30">
        <f t="shared" si="0"/>
        <v>0.7</v>
      </c>
      <c r="H32" s="31" t="str">
        <f t="shared" si="1"/>
        <v>جيد</v>
      </c>
      <c r="I32" s="45"/>
      <c r="J32" s="46"/>
    </row>
    <row r="33" spans="1:10" ht="30" customHeight="1" x14ac:dyDescent="0.25">
      <c r="A33" s="9"/>
      <c r="B33" s="83" t="s">
        <v>205</v>
      </c>
      <c r="C33" s="84"/>
      <c r="D33" s="84"/>
      <c r="E33" s="29"/>
      <c r="F33" s="25"/>
      <c r="G33" s="30"/>
      <c r="H33" s="31"/>
      <c r="I33" s="45"/>
      <c r="J33" s="46"/>
    </row>
    <row r="34" spans="1:10" ht="30" customHeight="1" x14ac:dyDescent="0.25">
      <c r="A34" s="9"/>
      <c r="B34" s="93" t="s">
        <v>206</v>
      </c>
      <c r="C34" s="94"/>
      <c r="D34" s="94"/>
      <c r="E34" s="29">
        <v>5</v>
      </c>
      <c r="F34" s="25">
        <v>3.5</v>
      </c>
      <c r="G34" s="30">
        <f t="shared" si="0"/>
        <v>0.7</v>
      </c>
      <c r="H34" s="31" t="str">
        <f t="shared" si="1"/>
        <v>جيد</v>
      </c>
      <c r="I34" s="45"/>
      <c r="J34" s="46"/>
    </row>
    <row r="35" spans="1:10" ht="30" customHeight="1" x14ac:dyDescent="0.25">
      <c r="A35" s="9"/>
      <c r="B35" s="93" t="s">
        <v>207</v>
      </c>
      <c r="C35" s="94"/>
      <c r="D35" s="94"/>
      <c r="E35" s="29">
        <v>5</v>
      </c>
      <c r="F35" s="25">
        <v>3.75</v>
      </c>
      <c r="G35" s="30">
        <f t="shared" si="0"/>
        <v>0.75</v>
      </c>
      <c r="H35" s="31" t="str">
        <f t="shared" si="1"/>
        <v>جيد</v>
      </c>
      <c r="I35" s="45"/>
      <c r="J35" s="46"/>
    </row>
    <row r="36" spans="1:10" ht="30" customHeight="1" x14ac:dyDescent="0.25">
      <c r="A36" s="9"/>
      <c r="B36" s="93" t="s">
        <v>208</v>
      </c>
      <c r="C36" s="94"/>
      <c r="D36" s="94"/>
      <c r="E36" s="29">
        <v>5</v>
      </c>
      <c r="F36" s="25">
        <v>3.5</v>
      </c>
      <c r="G36" s="30">
        <f t="shared" si="0"/>
        <v>0.7</v>
      </c>
      <c r="H36" s="31" t="str">
        <f t="shared" si="1"/>
        <v>جيد</v>
      </c>
      <c r="I36" s="45"/>
      <c r="J36" s="46"/>
    </row>
    <row r="37" spans="1:10" ht="30" customHeight="1" x14ac:dyDescent="0.25">
      <c r="A37" s="9"/>
      <c r="B37" s="93" t="s">
        <v>209</v>
      </c>
      <c r="C37" s="94"/>
      <c r="D37" s="94"/>
      <c r="E37" s="29">
        <v>5</v>
      </c>
      <c r="F37" s="25">
        <v>3.5</v>
      </c>
      <c r="G37" s="30">
        <f t="shared" si="0"/>
        <v>0.7</v>
      </c>
      <c r="H37" s="31" t="str">
        <f t="shared" si="1"/>
        <v>جيد</v>
      </c>
      <c r="I37" s="45"/>
      <c r="J37" s="46"/>
    </row>
    <row r="38" spans="1:10" ht="30" customHeight="1" x14ac:dyDescent="0.25">
      <c r="A38" s="9"/>
      <c r="B38" s="93" t="s">
        <v>210</v>
      </c>
      <c r="C38" s="94"/>
      <c r="D38" s="94"/>
      <c r="E38" s="29">
        <v>5</v>
      </c>
      <c r="F38" s="25">
        <v>3.5</v>
      </c>
      <c r="G38" s="30">
        <f t="shared" si="0"/>
        <v>0.7</v>
      </c>
      <c r="H38" s="31" t="str">
        <f t="shared" si="1"/>
        <v>جيد</v>
      </c>
      <c r="I38" s="45"/>
      <c r="J38" s="46"/>
    </row>
    <row r="39" spans="1:10" ht="30" customHeight="1" x14ac:dyDescent="0.25">
      <c r="A39" s="9"/>
      <c r="B39" s="83" t="s">
        <v>211</v>
      </c>
      <c r="C39" s="84"/>
      <c r="D39" s="84"/>
      <c r="E39" s="29"/>
      <c r="F39" s="25"/>
      <c r="G39" s="30"/>
      <c r="H39" s="31"/>
      <c r="I39" s="45"/>
      <c r="J39" s="46"/>
    </row>
    <row r="40" spans="1:10" ht="30" customHeight="1" x14ac:dyDescent="0.25">
      <c r="A40" s="9"/>
      <c r="B40" s="93" t="s">
        <v>212</v>
      </c>
      <c r="C40" s="94"/>
      <c r="D40" s="94"/>
      <c r="E40" s="29">
        <v>5</v>
      </c>
      <c r="F40" s="25">
        <v>3.5</v>
      </c>
      <c r="G40" s="30">
        <f t="shared" si="0"/>
        <v>0.7</v>
      </c>
      <c r="H40" s="31" t="str">
        <f t="shared" si="1"/>
        <v>جيد</v>
      </c>
      <c r="I40" s="45"/>
      <c r="J40" s="46"/>
    </row>
    <row r="41" spans="1:10" ht="30" customHeight="1" x14ac:dyDescent="0.25">
      <c r="A41" s="9"/>
      <c r="B41" s="93" t="s">
        <v>213</v>
      </c>
      <c r="C41" s="94"/>
      <c r="D41" s="94"/>
      <c r="E41" s="29">
        <v>5</v>
      </c>
      <c r="F41" s="25">
        <v>3.75</v>
      </c>
      <c r="G41" s="30">
        <f t="shared" si="0"/>
        <v>0.75</v>
      </c>
      <c r="H41" s="31" t="str">
        <f t="shared" si="1"/>
        <v>جيد</v>
      </c>
      <c r="I41" s="45"/>
      <c r="J41" s="46"/>
    </row>
    <row r="42" spans="1:10" ht="30" customHeight="1" x14ac:dyDescent="0.25">
      <c r="A42" s="9"/>
      <c r="B42" s="93" t="s">
        <v>214</v>
      </c>
      <c r="C42" s="94"/>
      <c r="D42" s="94"/>
      <c r="E42" s="29">
        <v>5</v>
      </c>
      <c r="F42" s="25">
        <v>3.5</v>
      </c>
      <c r="G42" s="30">
        <f t="shared" si="0"/>
        <v>0.7</v>
      </c>
      <c r="H42" s="31" t="str">
        <f t="shared" si="1"/>
        <v>جيد</v>
      </c>
      <c r="I42" s="45"/>
      <c r="J42" s="46"/>
    </row>
    <row r="43" spans="1:10" ht="30" customHeight="1" x14ac:dyDescent="0.25">
      <c r="A43" s="9"/>
      <c r="B43" s="93" t="s">
        <v>215</v>
      </c>
      <c r="C43" s="94"/>
      <c r="D43" s="94"/>
      <c r="E43" s="29">
        <v>5</v>
      </c>
      <c r="F43" s="25">
        <v>3.5</v>
      </c>
      <c r="G43" s="30">
        <f t="shared" si="0"/>
        <v>0.7</v>
      </c>
      <c r="H43" s="31" t="str">
        <f t="shared" si="1"/>
        <v>جيد</v>
      </c>
      <c r="I43" s="45"/>
      <c r="J43" s="46"/>
    </row>
    <row r="44" spans="1:10" ht="30" customHeight="1" x14ac:dyDescent="0.25">
      <c r="A44" s="9"/>
      <c r="B44" s="93" t="s">
        <v>216</v>
      </c>
      <c r="C44" s="94"/>
      <c r="D44" s="94"/>
      <c r="E44" s="29">
        <v>5</v>
      </c>
      <c r="F44" s="25">
        <v>3.5</v>
      </c>
      <c r="G44" s="30">
        <f t="shared" si="0"/>
        <v>0.7</v>
      </c>
      <c r="H44" s="31" t="str">
        <f t="shared" si="1"/>
        <v>جيد</v>
      </c>
      <c r="I44" s="45"/>
      <c r="J44" s="46"/>
    </row>
    <row r="45" spans="1:10" ht="30" customHeight="1" x14ac:dyDescent="0.25">
      <c r="A45" s="9"/>
      <c r="B45" s="93" t="s">
        <v>217</v>
      </c>
      <c r="C45" s="94"/>
      <c r="D45" s="94"/>
      <c r="E45" s="29">
        <v>5</v>
      </c>
      <c r="F45" s="25">
        <v>3.75</v>
      </c>
      <c r="G45" s="30">
        <f t="shared" si="0"/>
        <v>0.75</v>
      </c>
      <c r="H45" s="31" t="str">
        <f t="shared" si="1"/>
        <v>جيد</v>
      </c>
      <c r="I45" s="45"/>
      <c r="J45" s="46"/>
    </row>
    <row r="46" spans="1:10" ht="30" customHeight="1" x14ac:dyDescent="0.25">
      <c r="A46" s="9"/>
      <c r="B46" s="89" t="s">
        <v>218</v>
      </c>
      <c r="C46" s="90"/>
      <c r="D46" s="90"/>
      <c r="E46" s="29"/>
      <c r="F46" s="25"/>
      <c r="G46" s="30"/>
      <c r="H46" s="31"/>
      <c r="I46" s="45"/>
      <c r="J46" s="46"/>
    </row>
    <row r="47" spans="1:10" ht="30" customHeight="1" x14ac:dyDescent="0.25">
      <c r="A47" s="9"/>
      <c r="B47" s="83" t="s">
        <v>219</v>
      </c>
      <c r="C47" s="84"/>
      <c r="D47" s="84"/>
      <c r="E47" s="29">
        <v>5</v>
      </c>
      <c r="F47" s="25">
        <v>3.5</v>
      </c>
      <c r="G47" s="30">
        <f t="shared" si="0"/>
        <v>0.7</v>
      </c>
      <c r="H47" s="31" t="str">
        <f t="shared" si="1"/>
        <v>جيد</v>
      </c>
      <c r="I47" s="45"/>
      <c r="J47" s="46"/>
    </row>
    <row r="48" spans="1:10" ht="30" customHeight="1" x14ac:dyDescent="0.25">
      <c r="A48" s="9"/>
      <c r="B48" s="83" t="s">
        <v>220</v>
      </c>
      <c r="C48" s="84"/>
      <c r="D48" s="84"/>
      <c r="E48" s="29">
        <v>5</v>
      </c>
      <c r="F48" s="25">
        <v>3.5</v>
      </c>
      <c r="G48" s="30">
        <f t="shared" si="0"/>
        <v>0.7</v>
      </c>
      <c r="H48" s="31" t="str">
        <f t="shared" si="1"/>
        <v>جيد</v>
      </c>
      <c r="I48" s="45"/>
      <c r="J48" s="46"/>
    </row>
    <row r="49" spans="1:10" ht="39.950000000000003" customHeight="1" x14ac:dyDescent="0.25">
      <c r="A49" s="9"/>
      <c r="B49" s="83" t="s">
        <v>221</v>
      </c>
      <c r="C49" s="84"/>
      <c r="D49" s="84"/>
      <c r="E49" s="29">
        <v>5</v>
      </c>
      <c r="F49" s="25">
        <v>3.5</v>
      </c>
      <c r="G49" s="30">
        <f t="shared" si="0"/>
        <v>0.7</v>
      </c>
      <c r="H49" s="31" t="str">
        <f t="shared" si="1"/>
        <v>جيد</v>
      </c>
      <c r="I49" s="45"/>
      <c r="J49" s="46"/>
    </row>
    <row r="50" spans="1:10" ht="100.5" customHeight="1" x14ac:dyDescent="0.25">
      <c r="A50" s="9"/>
      <c r="B50" s="89" t="s">
        <v>222</v>
      </c>
      <c r="C50" s="90"/>
      <c r="D50" s="90"/>
      <c r="E50" s="29">
        <v>5</v>
      </c>
      <c r="F50" s="25">
        <v>3.5</v>
      </c>
      <c r="G50" s="30">
        <f t="shared" si="0"/>
        <v>0.7</v>
      </c>
      <c r="H50" s="31" t="str">
        <f t="shared" si="1"/>
        <v>جيد</v>
      </c>
      <c r="I50" s="45"/>
      <c r="J50" s="46"/>
    </row>
    <row r="51" spans="1:10" ht="30" customHeight="1" x14ac:dyDescent="0.25">
      <c r="A51" s="9"/>
      <c r="B51" s="89" t="s">
        <v>223</v>
      </c>
      <c r="C51" s="90"/>
      <c r="D51" s="90"/>
      <c r="E51" s="29">
        <v>5</v>
      </c>
      <c r="F51" s="25">
        <v>3.5</v>
      </c>
      <c r="G51" s="30">
        <f t="shared" si="0"/>
        <v>0.7</v>
      </c>
      <c r="H51" s="31" t="str">
        <f t="shared" si="1"/>
        <v>جيد</v>
      </c>
      <c r="I51" s="45"/>
      <c r="J51" s="46"/>
    </row>
    <row r="52" spans="1:10" ht="30" customHeight="1" x14ac:dyDescent="0.25">
      <c r="A52" s="9"/>
      <c r="B52" s="89" t="s">
        <v>224</v>
      </c>
      <c r="C52" s="90"/>
      <c r="D52" s="90"/>
      <c r="E52" s="29"/>
      <c r="F52" s="25"/>
      <c r="G52" s="30"/>
      <c r="H52" s="31"/>
      <c r="I52" s="45"/>
      <c r="J52" s="46"/>
    </row>
    <row r="53" spans="1:10" ht="30" customHeight="1" x14ac:dyDescent="0.25">
      <c r="A53" s="9"/>
      <c r="B53" s="83" t="s">
        <v>225</v>
      </c>
      <c r="C53" s="84"/>
      <c r="D53" s="84"/>
      <c r="E53" s="29">
        <v>5</v>
      </c>
      <c r="F53" s="25">
        <v>3.5</v>
      </c>
      <c r="G53" s="30">
        <f t="shared" si="0"/>
        <v>0.7</v>
      </c>
      <c r="H53" s="31" t="str">
        <f t="shared" si="1"/>
        <v>جيد</v>
      </c>
      <c r="I53" s="45"/>
      <c r="J53" s="46"/>
    </row>
    <row r="54" spans="1:10" ht="30" customHeight="1" x14ac:dyDescent="0.25">
      <c r="A54" s="9"/>
      <c r="B54" s="83" t="s">
        <v>226</v>
      </c>
      <c r="C54" s="84"/>
      <c r="D54" s="84"/>
      <c r="E54" s="29">
        <v>5</v>
      </c>
      <c r="F54" s="25">
        <v>3.5</v>
      </c>
      <c r="G54" s="30">
        <f t="shared" si="0"/>
        <v>0.7</v>
      </c>
      <c r="H54" s="31" t="str">
        <f t="shared" si="1"/>
        <v>جيد</v>
      </c>
      <c r="I54" s="45"/>
      <c r="J54" s="46"/>
    </row>
    <row r="55" spans="1:10" ht="30" customHeight="1" x14ac:dyDescent="0.25">
      <c r="A55" s="9"/>
      <c r="B55" s="83" t="s">
        <v>227</v>
      </c>
      <c r="C55" s="84"/>
      <c r="D55" s="84"/>
      <c r="E55" s="29">
        <v>5</v>
      </c>
      <c r="F55" s="25">
        <v>3.5</v>
      </c>
      <c r="G55" s="30">
        <f t="shared" si="0"/>
        <v>0.7</v>
      </c>
      <c r="H55" s="31" t="str">
        <f t="shared" si="1"/>
        <v>جيد</v>
      </c>
      <c r="I55" s="45"/>
      <c r="J55" s="46"/>
    </row>
    <row r="56" spans="1:10" ht="30" customHeight="1" x14ac:dyDescent="0.25">
      <c r="A56" s="9"/>
      <c r="B56" s="83" t="s">
        <v>228</v>
      </c>
      <c r="C56" s="84"/>
      <c r="D56" s="84"/>
      <c r="E56" s="29">
        <v>5</v>
      </c>
      <c r="F56" s="25">
        <v>3.75</v>
      </c>
      <c r="G56" s="30">
        <f t="shared" si="0"/>
        <v>0.75</v>
      </c>
      <c r="H56" s="31" t="str">
        <f t="shared" si="1"/>
        <v>جيد</v>
      </c>
      <c r="I56" s="45"/>
      <c r="J56" s="46"/>
    </row>
    <row r="57" spans="1:10" ht="39.950000000000003" customHeight="1" x14ac:dyDescent="0.25">
      <c r="A57" s="9"/>
      <c r="B57" s="89" t="s">
        <v>229</v>
      </c>
      <c r="C57" s="90"/>
      <c r="D57" s="90"/>
      <c r="E57" s="29"/>
      <c r="F57" s="25"/>
      <c r="G57" s="30"/>
      <c r="H57" s="31"/>
      <c r="I57" s="45"/>
      <c r="J57" s="46"/>
    </row>
    <row r="58" spans="1:10" ht="30" customHeight="1" x14ac:dyDescent="0.25">
      <c r="A58" s="9"/>
      <c r="B58" s="83" t="s">
        <v>230</v>
      </c>
      <c r="C58" s="84"/>
      <c r="D58" s="84"/>
      <c r="E58" s="29">
        <v>5</v>
      </c>
      <c r="F58" s="25">
        <v>3.75</v>
      </c>
      <c r="G58" s="30">
        <f t="shared" si="0"/>
        <v>0.75</v>
      </c>
      <c r="H58" s="31" t="str">
        <f t="shared" si="1"/>
        <v>جيد</v>
      </c>
      <c r="I58" s="45"/>
      <c r="J58" s="46"/>
    </row>
    <row r="59" spans="1:10" ht="30" customHeight="1" x14ac:dyDescent="0.25">
      <c r="A59" s="9"/>
      <c r="B59" s="83" t="s">
        <v>231</v>
      </c>
      <c r="C59" s="84"/>
      <c r="D59" s="84"/>
      <c r="E59" s="29">
        <v>5</v>
      </c>
      <c r="F59" s="25">
        <v>3.5</v>
      </c>
      <c r="G59" s="30">
        <f t="shared" si="0"/>
        <v>0.7</v>
      </c>
      <c r="H59" s="31" t="str">
        <f t="shared" si="1"/>
        <v>جيد</v>
      </c>
      <c r="I59" s="45"/>
      <c r="J59" s="46"/>
    </row>
    <row r="60" spans="1:10" ht="30" customHeight="1" x14ac:dyDescent="0.25">
      <c r="A60" s="9"/>
      <c r="B60" s="83" t="s">
        <v>232</v>
      </c>
      <c r="C60" s="84"/>
      <c r="D60" s="84"/>
      <c r="E60" s="29">
        <v>5</v>
      </c>
      <c r="F60" s="25">
        <v>3.5</v>
      </c>
      <c r="G60" s="30">
        <f t="shared" si="0"/>
        <v>0.7</v>
      </c>
      <c r="H60" s="31" t="str">
        <f t="shared" si="1"/>
        <v>جيد</v>
      </c>
      <c r="I60" s="45"/>
      <c r="J60" s="46"/>
    </row>
    <row r="61" spans="1:10" ht="30" customHeight="1" thickBot="1" x14ac:dyDescent="0.3">
      <c r="A61" s="9"/>
      <c r="B61" s="85" t="s">
        <v>233</v>
      </c>
      <c r="C61" s="86"/>
      <c r="D61" s="86"/>
      <c r="E61" s="36">
        <v>5</v>
      </c>
      <c r="F61" s="27">
        <v>3.5</v>
      </c>
      <c r="G61" s="37">
        <f t="shared" si="0"/>
        <v>0.7</v>
      </c>
      <c r="H61" s="38" t="str">
        <f t="shared" si="1"/>
        <v>جيد</v>
      </c>
      <c r="I61" s="52"/>
      <c r="J61" s="53"/>
    </row>
    <row r="62" spans="1:10" ht="30" customHeight="1" x14ac:dyDescent="0.25">
      <c r="A62" s="9"/>
      <c r="B62" s="87" t="s">
        <v>234</v>
      </c>
      <c r="C62" s="88"/>
      <c r="D62" s="88"/>
      <c r="E62" s="32"/>
      <c r="F62" s="33"/>
      <c r="G62" s="34"/>
      <c r="H62" s="35"/>
      <c r="I62" s="54"/>
      <c r="J62" s="55"/>
    </row>
    <row r="63" spans="1:10" ht="50.1" customHeight="1" x14ac:dyDescent="0.25">
      <c r="A63" s="9"/>
      <c r="B63" s="89" t="s">
        <v>235</v>
      </c>
      <c r="C63" s="90"/>
      <c r="D63" s="90"/>
      <c r="E63" s="29">
        <v>5</v>
      </c>
      <c r="F63" s="25">
        <v>3.5</v>
      </c>
      <c r="G63" s="30">
        <f t="shared" si="0"/>
        <v>0.7</v>
      </c>
      <c r="H63" s="31" t="str">
        <f t="shared" si="1"/>
        <v>جيد</v>
      </c>
      <c r="I63" s="45"/>
      <c r="J63" s="46"/>
    </row>
    <row r="64" spans="1:10" ht="39.950000000000003" customHeight="1" thickBot="1" x14ac:dyDescent="0.3">
      <c r="A64" s="9"/>
      <c r="B64" s="95" t="s">
        <v>236</v>
      </c>
      <c r="C64" s="96"/>
      <c r="D64" s="96"/>
      <c r="E64" s="36">
        <v>5</v>
      </c>
      <c r="F64" s="27">
        <v>3.75</v>
      </c>
      <c r="G64" s="37">
        <f t="shared" si="0"/>
        <v>0.75</v>
      </c>
      <c r="H64" s="38" t="str">
        <f t="shared" si="1"/>
        <v>جيد</v>
      </c>
      <c r="I64" s="52"/>
      <c r="J64" s="53"/>
    </row>
    <row r="65" spans="1:10" ht="30" customHeight="1" x14ac:dyDescent="0.25">
      <c r="A65" s="9"/>
      <c r="B65" s="87" t="s">
        <v>237</v>
      </c>
      <c r="C65" s="88"/>
      <c r="D65" s="88"/>
      <c r="E65" s="32"/>
      <c r="F65" s="33"/>
      <c r="G65" s="34"/>
      <c r="H65" s="35"/>
      <c r="I65" s="54"/>
      <c r="J65" s="55"/>
    </row>
    <row r="66" spans="1:10" ht="30" customHeight="1" x14ac:dyDescent="0.25">
      <c r="A66" s="9"/>
      <c r="B66" s="89" t="s">
        <v>238</v>
      </c>
      <c r="C66" s="90"/>
      <c r="D66" s="90"/>
      <c r="E66" s="29">
        <v>5</v>
      </c>
      <c r="F66" s="25">
        <v>3.5</v>
      </c>
      <c r="G66" s="30">
        <f t="shared" si="0"/>
        <v>0.7</v>
      </c>
      <c r="H66" s="31" t="str">
        <f t="shared" si="1"/>
        <v>جيد</v>
      </c>
      <c r="I66" s="45"/>
      <c r="J66" s="46"/>
    </row>
    <row r="67" spans="1:10" ht="30" customHeight="1" x14ac:dyDescent="0.25">
      <c r="A67" s="9"/>
      <c r="B67" s="89" t="s">
        <v>239</v>
      </c>
      <c r="C67" s="90"/>
      <c r="D67" s="90"/>
      <c r="E67" s="29">
        <v>5</v>
      </c>
      <c r="F67" s="25">
        <v>3.5</v>
      </c>
      <c r="G67" s="30">
        <f t="shared" si="0"/>
        <v>0.7</v>
      </c>
      <c r="H67" s="31" t="str">
        <f t="shared" si="1"/>
        <v>جيد</v>
      </c>
      <c r="I67" s="45"/>
      <c r="J67" s="46"/>
    </row>
    <row r="68" spans="1:10" ht="30" customHeight="1" x14ac:dyDescent="0.25">
      <c r="A68" s="9"/>
      <c r="B68" s="89" t="s">
        <v>240</v>
      </c>
      <c r="C68" s="90"/>
      <c r="D68" s="90"/>
      <c r="E68" s="29">
        <v>5</v>
      </c>
      <c r="F68" s="25">
        <v>3.75</v>
      </c>
      <c r="G68" s="30">
        <f t="shared" si="0"/>
        <v>0.75</v>
      </c>
      <c r="H68" s="31" t="str">
        <f t="shared" si="1"/>
        <v>جيد</v>
      </c>
      <c r="I68" s="45"/>
      <c r="J68" s="46"/>
    </row>
    <row r="69" spans="1:10" ht="30" customHeight="1" x14ac:dyDescent="0.25">
      <c r="A69" s="9"/>
      <c r="B69" s="89" t="s">
        <v>241</v>
      </c>
      <c r="C69" s="90"/>
      <c r="D69" s="90"/>
      <c r="E69" s="29">
        <v>5</v>
      </c>
      <c r="F69" s="25">
        <v>3.5</v>
      </c>
      <c r="G69" s="30">
        <f t="shared" si="0"/>
        <v>0.7</v>
      </c>
      <c r="H69" s="31" t="str">
        <f t="shared" si="1"/>
        <v>جيد</v>
      </c>
      <c r="I69" s="45"/>
      <c r="J69" s="46"/>
    </row>
    <row r="70" spans="1:10" ht="30" customHeight="1" x14ac:dyDescent="0.25">
      <c r="A70" s="9"/>
      <c r="B70" s="89" t="s">
        <v>242</v>
      </c>
      <c r="C70" s="90"/>
      <c r="D70" s="90"/>
      <c r="E70" s="29">
        <v>5</v>
      </c>
      <c r="F70" s="25">
        <v>3.5</v>
      </c>
      <c r="G70" s="30">
        <f t="shared" si="0"/>
        <v>0.7</v>
      </c>
      <c r="H70" s="31" t="str">
        <f t="shared" si="1"/>
        <v>جيد</v>
      </c>
      <c r="I70" s="45"/>
      <c r="J70" s="46"/>
    </row>
    <row r="71" spans="1:10" ht="30" customHeight="1" x14ac:dyDescent="0.25">
      <c r="A71" s="9"/>
      <c r="B71" s="89" t="s">
        <v>243</v>
      </c>
      <c r="C71" s="90"/>
      <c r="D71" s="90"/>
      <c r="E71" s="29">
        <v>5</v>
      </c>
      <c r="F71" s="25">
        <v>3.5</v>
      </c>
      <c r="G71" s="30">
        <f t="shared" si="0"/>
        <v>0.7</v>
      </c>
      <c r="H71" s="31" t="str">
        <f t="shared" si="1"/>
        <v>جيد</v>
      </c>
      <c r="I71" s="45"/>
      <c r="J71" s="46"/>
    </row>
    <row r="72" spans="1:10" ht="30" customHeight="1" thickBot="1" x14ac:dyDescent="0.3">
      <c r="A72" s="9"/>
      <c r="B72" s="95" t="s">
        <v>244</v>
      </c>
      <c r="C72" s="96"/>
      <c r="D72" s="96"/>
      <c r="E72" s="36">
        <v>5</v>
      </c>
      <c r="F72" s="27">
        <v>3.5</v>
      </c>
      <c r="G72" s="37">
        <f t="shared" si="0"/>
        <v>0.7</v>
      </c>
      <c r="H72" s="38" t="str">
        <f t="shared" si="1"/>
        <v>جيد</v>
      </c>
      <c r="I72" s="52"/>
      <c r="J72" s="53"/>
    </row>
    <row r="73" spans="1:10" ht="30" customHeight="1" x14ac:dyDescent="0.25">
      <c r="A73" s="9"/>
      <c r="B73" s="87" t="s">
        <v>245</v>
      </c>
      <c r="C73" s="88"/>
      <c r="D73" s="88"/>
      <c r="E73" s="32"/>
      <c r="F73" s="33"/>
      <c r="G73" s="34"/>
      <c r="H73" s="35"/>
      <c r="I73" s="54"/>
      <c r="J73" s="55"/>
    </row>
    <row r="74" spans="1:10" ht="30" customHeight="1" x14ac:dyDescent="0.25">
      <c r="A74" s="9"/>
      <c r="B74" s="89" t="s">
        <v>246</v>
      </c>
      <c r="C74" s="90"/>
      <c r="D74" s="90"/>
      <c r="E74" s="29">
        <v>5</v>
      </c>
      <c r="F74" s="25">
        <v>3.75</v>
      </c>
      <c r="G74" s="30">
        <f t="shared" ref="G74:G84" si="2">IFERROR(F74/E74,"")</f>
        <v>0.75</v>
      </c>
      <c r="H74" s="31" t="str">
        <f t="shared" ref="H74:H84" si="3">_xlfn.IFS(F74="أدخل العلامة","",F74="لا ينطبق","تم الإلغاء",G74&gt;=90%,"ممتاز",G74&gt;=80%,"جيد جداً",G74&gt;=70%,"جيد",G74&gt;=60%,"مقبول",G74&lt;60%,"راسب")</f>
        <v>جيد</v>
      </c>
      <c r="I74" s="45"/>
      <c r="J74" s="46"/>
    </row>
    <row r="75" spans="1:10" ht="30" customHeight="1" x14ac:dyDescent="0.25">
      <c r="A75" s="9"/>
      <c r="B75" s="89" t="s">
        <v>247</v>
      </c>
      <c r="C75" s="90"/>
      <c r="D75" s="90"/>
      <c r="E75" s="29">
        <v>5</v>
      </c>
      <c r="F75" s="25">
        <v>3.5</v>
      </c>
      <c r="G75" s="30">
        <f t="shared" si="2"/>
        <v>0.7</v>
      </c>
      <c r="H75" s="31" t="str">
        <f t="shared" si="3"/>
        <v>جيد</v>
      </c>
      <c r="I75" s="45"/>
      <c r="J75" s="46"/>
    </row>
    <row r="76" spans="1:10" ht="30" customHeight="1" thickBot="1" x14ac:dyDescent="0.3">
      <c r="A76" s="9"/>
      <c r="B76" s="95" t="s">
        <v>248</v>
      </c>
      <c r="C76" s="96"/>
      <c r="D76" s="96"/>
      <c r="E76" s="36">
        <v>5</v>
      </c>
      <c r="F76" s="27">
        <v>3.5</v>
      </c>
      <c r="G76" s="37">
        <f t="shared" si="2"/>
        <v>0.7</v>
      </c>
      <c r="H76" s="38" t="str">
        <f t="shared" si="3"/>
        <v>جيد</v>
      </c>
      <c r="I76" s="52"/>
      <c r="J76" s="53"/>
    </row>
    <row r="77" spans="1:10" ht="30" customHeight="1" x14ac:dyDescent="0.25">
      <c r="A77" s="9"/>
      <c r="B77" s="87" t="s">
        <v>249</v>
      </c>
      <c r="C77" s="88"/>
      <c r="D77" s="88"/>
      <c r="E77" s="32">
        <v>5</v>
      </c>
      <c r="F77" s="33">
        <v>3.5</v>
      </c>
      <c r="G77" s="34">
        <f t="shared" si="2"/>
        <v>0.7</v>
      </c>
      <c r="H77" s="35" t="str">
        <f t="shared" si="3"/>
        <v>جيد</v>
      </c>
      <c r="I77" s="54"/>
      <c r="J77" s="55"/>
    </row>
    <row r="78" spans="1:10" ht="30" customHeight="1" x14ac:dyDescent="0.25">
      <c r="A78" s="9"/>
      <c r="B78" s="89" t="s">
        <v>250</v>
      </c>
      <c r="C78" s="90"/>
      <c r="D78" s="90"/>
      <c r="E78" s="29">
        <v>5</v>
      </c>
      <c r="F78" s="25">
        <v>3.5</v>
      </c>
      <c r="G78" s="30">
        <f t="shared" si="2"/>
        <v>0.7</v>
      </c>
      <c r="H78" s="31" t="str">
        <f t="shared" si="3"/>
        <v>جيد</v>
      </c>
      <c r="I78" s="45"/>
      <c r="J78" s="46"/>
    </row>
    <row r="79" spans="1:10" ht="30" customHeight="1" x14ac:dyDescent="0.25">
      <c r="A79" s="9"/>
      <c r="B79" s="89" t="s">
        <v>251</v>
      </c>
      <c r="C79" s="90"/>
      <c r="D79" s="90"/>
      <c r="E79" s="29">
        <v>5</v>
      </c>
      <c r="F79" s="25">
        <v>3.75</v>
      </c>
      <c r="G79" s="30">
        <f t="shared" si="2"/>
        <v>0.75</v>
      </c>
      <c r="H79" s="31" t="str">
        <f t="shared" si="3"/>
        <v>جيد</v>
      </c>
      <c r="I79" s="45"/>
      <c r="J79" s="46"/>
    </row>
    <row r="80" spans="1:10" ht="39.950000000000003" customHeight="1" thickBot="1" x14ac:dyDescent="0.3">
      <c r="A80" s="9"/>
      <c r="B80" s="95" t="s">
        <v>252</v>
      </c>
      <c r="C80" s="96"/>
      <c r="D80" s="96"/>
      <c r="E80" s="36">
        <v>5</v>
      </c>
      <c r="F80" s="27">
        <v>3.75</v>
      </c>
      <c r="G80" s="37">
        <f t="shared" si="2"/>
        <v>0.75</v>
      </c>
      <c r="H80" s="38" t="str">
        <f t="shared" si="3"/>
        <v>جيد</v>
      </c>
      <c r="I80" s="52"/>
      <c r="J80" s="53"/>
    </row>
    <row r="81" spans="1:10" ht="30" customHeight="1" x14ac:dyDescent="0.25">
      <c r="A81" s="9"/>
      <c r="B81" s="87" t="s">
        <v>253</v>
      </c>
      <c r="C81" s="88"/>
      <c r="D81" s="88"/>
      <c r="E81" s="32"/>
      <c r="F81" s="33"/>
      <c r="G81" s="34"/>
      <c r="H81" s="35"/>
      <c r="I81" s="54"/>
      <c r="J81" s="55"/>
    </row>
    <row r="82" spans="1:10" ht="30" customHeight="1" x14ac:dyDescent="0.25">
      <c r="A82" s="9"/>
      <c r="B82" s="89" t="s">
        <v>254</v>
      </c>
      <c r="C82" s="90"/>
      <c r="D82" s="90"/>
      <c r="E82" s="29">
        <v>5</v>
      </c>
      <c r="F82" s="25">
        <v>3.5</v>
      </c>
      <c r="G82" s="30">
        <f t="shared" si="2"/>
        <v>0.7</v>
      </c>
      <c r="H82" s="31" t="str">
        <f t="shared" si="3"/>
        <v>جيد</v>
      </c>
      <c r="I82" s="45"/>
      <c r="J82" s="46"/>
    </row>
    <row r="83" spans="1:10" ht="50.1" customHeight="1" x14ac:dyDescent="0.25">
      <c r="A83" s="9"/>
      <c r="B83" s="89" t="s">
        <v>255</v>
      </c>
      <c r="C83" s="90"/>
      <c r="D83" s="90"/>
      <c r="E83" s="29">
        <v>5</v>
      </c>
      <c r="F83" s="25">
        <v>3.5</v>
      </c>
      <c r="G83" s="30">
        <f t="shared" si="2"/>
        <v>0.7</v>
      </c>
      <c r="H83" s="31" t="str">
        <f t="shared" si="3"/>
        <v>جيد</v>
      </c>
      <c r="I83" s="45"/>
      <c r="J83" s="46"/>
    </row>
    <row r="84" spans="1:10" ht="30" customHeight="1" thickBot="1" x14ac:dyDescent="0.3">
      <c r="A84" s="9"/>
      <c r="B84" s="95" t="s">
        <v>256</v>
      </c>
      <c r="C84" s="96"/>
      <c r="D84" s="96"/>
      <c r="E84" s="36">
        <v>5</v>
      </c>
      <c r="F84" s="27">
        <v>3.5</v>
      </c>
      <c r="G84" s="37">
        <f t="shared" si="2"/>
        <v>0.7</v>
      </c>
      <c r="H84" s="38" t="str">
        <f t="shared" si="3"/>
        <v>جيد</v>
      </c>
      <c r="I84" s="52"/>
      <c r="J84" s="53"/>
    </row>
    <row r="85" spans="1:10" ht="30" customHeight="1" thickBot="1" x14ac:dyDescent="0.3">
      <c r="A85" s="4"/>
      <c r="B85" s="79" t="s">
        <v>5</v>
      </c>
      <c r="C85" s="80"/>
      <c r="D85" s="80"/>
      <c r="E85" s="42">
        <f>SUM(E8:E84)</f>
        <v>310</v>
      </c>
      <c r="F85" s="42">
        <f>SUM(F8:F84)</f>
        <v>220.5</v>
      </c>
      <c r="G85" s="49"/>
      <c r="H85" s="50"/>
      <c r="I85" s="50"/>
      <c r="J85" s="51"/>
    </row>
    <row r="86" spans="1:10" ht="30" customHeight="1" thickBot="1" x14ac:dyDescent="0.3">
      <c r="A86" s="4"/>
      <c r="B86" s="91" t="s">
        <v>54</v>
      </c>
      <c r="C86" s="92"/>
      <c r="D86" s="92"/>
      <c r="E86" s="63">
        <f>F85/E85/100*100</f>
        <v>0.71129032258064517</v>
      </c>
      <c r="F86" s="63"/>
      <c r="G86" s="63"/>
      <c r="H86" s="63"/>
      <c r="I86" s="63"/>
      <c r="J86" s="64"/>
    </row>
    <row r="87" spans="1:10" ht="30" customHeight="1" thickBot="1" x14ac:dyDescent="0.3">
      <c r="A87" s="4"/>
      <c r="B87" s="91" t="s">
        <v>55</v>
      </c>
      <c r="C87" s="92"/>
      <c r="D87" s="92"/>
      <c r="E87" s="77" t="str">
        <f>_xlfn.IFS(E86&gt;=90%,"ممتاز",E86&gt;=80%,"جيد جداً",E86&gt;=70%,"جيد",E86&gt;=60%,"مقبول",E86&lt;60%,"راسب")</f>
        <v>جيد</v>
      </c>
      <c r="F87" s="77"/>
      <c r="G87" s="77"/>
      <c r="H87" s="77"/>
      <c r="I87" s="77"/>
      <c r="J87" s="78"/>
    </row>
    <row r="88" spans="1:10" ht="42" customHeight="1" x14ac:dyDescent="0.25">
      <c r="B88" s="73" t="s">
        <v>174</v>
      </c>
      <c r="C88" s="73"/>
      <c r="D88" s="73"/>
      <c r="E88" s="47" t="s">
        <v>52</v>
      </c>
      <c r="F88" s="47"/>
      <c r="G88" s="75" t="s">
        <v>113</v>
      </c>
      <c r="H88" s="75"/>
      <c r="I88" s="75"/>
      <c r="J88" s="75"/>
    </row>
    <row r="89" spans="1:10" ht="51" customHeight="1" x14ac:dyDescent="0.25">
      <c r="A89" s="5"/>
      <c r="B89" s="74"/>
      <c r="C89" s="74"/>
      <c r="D89" s="74"/>
      <c r="E89" s="48" t="s">
        <v>53</v>
      </c>
      <c r="F89" s="48"/>
      <c r="G89" s="76"/>
      <c r="H89" s="76"/>
      <c r="I89" s="76"/>
      <c r="J89" s="76"/>
    </row>
  </sheetData>
  <sheetProtection sheet="1" formatCells="0" formatColumns="0" formatRows="0" insertColumns="0" insertRows="0" insertHyperlinks="0" deleteColumns="0" deleteRows="0" selectLockedCells="1" sort="0" autoFilter="0" pivotTables="0"/>
  <mergeCells count="175">
    <mergeCell ref="B84:D84"/>
    <mergeCell ref="B71:D71"/>
    <mergeCell ref="B72:D72"/>
    <mergeCell ref="B73:D73"/>
    <mergeCell ref="B74:D74"/>
    <mergeCell ref="B75:D75"/>
    <mergeCell ref="B76:D76"/>
    <mergeCell ref="B77:D77"/>
    <mergeCell ref="B78:D78"/>
    <mergeCell ref="B79:D79"/>
    <mergeCell ref="B66:D66"/>
    <mergeCell ref="B67:D67"/>
    <mergeCell ref="B68:D68"/>
    <mergeCell ref="B69:D69"/>
    <mergeCell ref="B70:D70"/>
    <mergeCell ref="B80:D80"/>
    <mergeCell ref="B81:D81"/>
    <mergeCell ref="B82:D82"/>
    <mergeCell ref="B83:D83"/>
    <mergeCell ref="B57:D57"/>
    <mergeCell ref="B58:D58"/>
    <mergeCell ref="B59:D59"/>
    <mergeCell ref="B60:D60"/>
    <mergeCell ref="B61:D61"/>
    <mergeCell ref="B62:D62"/>
    <mergeCell ref="B63:D63"/>
    <mergeCell ref="B64:D64"/>
    <mergeCell ref="B65:D65"/>
    <mergeCell ref="B48:D48"/>
    <mergeCell ref="B49:D49"/>
    <mergeCell ref="B50:D50"/>
    <mergeCell ref="B51:D51"/>
    <mergeCell ref="B52:D52"/>
    <mergeCell ref="B53:D53"/>
    <mergeCell ref="B54:D54"/>
    <mergeCell ref="B55:D55"/>
    <mergeCell ref="B56:D56"/>
    <mergeCell ref="B39:D39"/>
    <mergeCell ref="B40:D40"/>
    <mergeCell ref="B41:D41"/>
    <mergeCell ref="B42:D42"/>
    <mergeCell ref="B43:D43"/>
    <mergeCell ref="B44:D44"/>
    <mergeCell ref="B45:D45"/>
    <mergeCell ref="B46:D46"/>
    <mergeCell ref="B47:D47"/>
    <mergeCell ref="B30:D30"/>
    <mergeCell ref="B31:D31"/>
    <mergeCell ref="B32:D32"/>
    <mergeCell ref="B33:D33"/>
    <mergeCell ref="B34:D34"/>
    <mergeCell ref="B35:D35"/>
    <mergeCell ref="B36:D36"/>
    <mergeCell ref="B37:D37"/>
    <mergeCell ref="B38:D38"/>
    <mergeCell ref="B86:D86"/>
    <mergeCell ref="B87:D87"/>
    <mergeCell ref="I11:J11"/>
    <mergeCell ref="I12:J12"/>
    <mergeCell ref="I13:J13"/>
    <mergeCell ref="I14:J14"/>
    <mergeCell ref="I15:J15"/>
    <mergeCell ref="I16:J16"/>
    <mergeCell ref="I17:J17"/>
    <mergeCell ref="I18:J18"/>
    <mergeCell ref="I28:J28"/>
    <mergeCell ref="I29:J29"/>
    <mergeCell ref="I59:J59"/>
    <mergeCell ref="I60:J60"/>
    <mergeCell ref="I61:J61"/>
    <mergeCell ref="I25:J25"/>
    <mergeCell ref="I26:J26"/>
    <mergeCell ref="B11:D11"/>
    <mergeCell ref="B12:D12"/>
    <mergeCell ref="B13:D13"/>
    <mergeCell ref="B14:D14"/>
    <mergeCell ref="B15:D15"/>
    <mergeCell ref="B16:D16"/>
    <mergeCell ref="B17:D17"/>
    <mergeCell ref="I58:J58"/>
    <mergeCell ref="I66:J66"/>
    <mergeCell ref="I32:J32"/>
    <mergeCell ref="I33:J33"/>
    <mergeCell ref="I34:J34"/>
    <mergeCell ref="I35:J35"/>
    <mergeCell ref="I36:J36"/>
    <mergeCell ref="I8:J8"/>
    <mergeCell ref="B85:D85"/>
    <mergeCell ref="B8:D8"/>
    <mergeCell ref="B9:D9"/>
    <mergeCell ref="B10:D10"/>
    <mergeCell ref="B18:D18"/>
    <mergeCell ref="B19:D19"/>
    <mergeCell ref="B20:D20"/>
    <mergeCell ref="B21:D21"/>
    <mergeCell ref="B22:D22"/>
    <mergeCell ref="B23:D23"/>
    <mergeCell ref="B24:D24"/>
    <mergeCell ref="B25:D25"/>
    <mergeCell ref="B26:D26"/>
    <mergeCell ref="B27:D27"/>
    <mergeCell ref="B28:D28"/>
    <mergeCell ref="B29:D29"/>
    <mergeCell ref="I23:J23"/>
    <mergeCell ref="I24:J24"/>
    <mergeCell ref="B88:D89"/>
    <mergeCell ref="G88:J88"/>
    <mergeCell ref="G89:J89"/>
    <mergeCell ref="E87:J87"/>
    <mergeCell ref="I40:J40"/>
    <mergeCell ref="I41:J41"/>
    <mergeCell ref="I42:J42"/>
    <mergeCell ref="I43:J43"/>
    <mergeCell ref="I44:J44"/>
    <mergeCell ref="I80:J80"/>
    <mergeCell ref="I81:J81"/>
    <mergeCell ref="I82:J82"/>
    <mergeCell ref="I83:J83"/>
    <mergeCell ref="I49:J49"/>
    <mergeCell ref="I50:J50"/>
    <mergeCell ref="I51:J51"/>
    <mergeCell ref="I52:J52"/>
    <mergeCell ref="I53:J53"/>
    <mergeCell ref="I54:J54"/>
    <mergeCell ref="I55:J55"/>
    <mergeCell ref="I56:J56"/>
    <mergeCell ref="I57:J57"/>
    <mergeCell ref="I64:J64"/>
    <mergeCell ref="I65:J65"/>
    <mergeCell ref="B1:J1"/>
    <mergeCell ref="F2:J2"/>
    <mergeCell ref="B5:D6"/>
    <mergeCell ref="C2:D2"/>
    <mergeCell ref="C3:D3"/>
    <mergeCell ref="F3:J3"/>
    <mergeCell ref="E86:J86"/>
    <mergeCell ref="B7:D7"/>
    <mergeCell ref="I38:J38"/>
    <mergeCell ref="I39:J39"/>
    <mergeCell ref="I84:J84"/>
    <mergeCell ref="I30:J30"/>
    <mergeCell ref="I31:J31"/>
    <mergeCell ref="E5:H5"/>
    <mergeCell ref="I37:J37"/>
    <mergeCell ref="I5:J6"/>
    <mergeCell ref="I7:J7"/>
    <mergeCell ref="I10:J10"/>
    <mergeCell ref="I19:J19"/>
    <mergeCell ref="I20:J20"/>
    <mergeCell ref="I21:J21"/>
    <mergeCell ref="I22:J22"/>
    <mergeCell ref="I9:J9"/>
    <mergeCell ref="I67:J67"/>
    <mergeCell ref="I68:J68"/>
    <mergeCell ref="I69:J69"/>
    <mergeCell ref="I70:J70"/>
    <mergeCell ref="I71:J71"/>
    <mergeCell ref="E88:F88"/>
    <mergeCell ref="E89:F89"/>
    <mergeCell ref="G85:J85"/>
    <mergeCell ref="I72:J72"/>
    <mergeCell ref="I73:J73"/>
    <mergeCell ref="I74:J74"/>
    <mergeCell ref="I75:J75"/>
    <mergeCell ref="I76:J76"/>
    <mergeCell ref="I77:J77"/>
    <mergeCell ref="I78:J78"/>
    <mergeCell ref="I79:J79"/>
    <mergeCell ref="I27:J27"/>
    <mergeCell ref="I45:J45"/>
    <mergeCell ref="I46:J46"/>
    <mergeCell ref="I47:J47"/>
    <mergeCell ref="I48:J48"/>
    <mergeCell ref="I62:J62"/>
    <mergeCell ref="I63:J63"/>
  </mergeCells>
  <conditionalFormatting sqref="E87">
    <cfRule type="expression" dxfId="23" priority="57">
      <formula>$E87="راسب"</formula>
    </cfRule>
  </conditionalFormatting>
  <conditionalFormatting sqref="E87:J87">
    <cfRule type="expression" dxfId="22" priority="58">
      <formula>$E87="مقبول"</formula>
    </cfRule>
    <cfRule type="expression" dxfId="21" priority="59">
      <formula>$E87="جيد"</formula>
    </cfRule>
    <cfRule type="expression" dxfId="20" priority="60">
      <formula>$E87="جيد جداً"</formula>
    </cfRule>
    <cfRule type="expression" dxfId="19" priority="61">
      <formula>$E87="ممتاز"</formula>
    </cfRule>
  </conditionalFormatting>
  <conditionalFormatting sqref="H8 H10:H84">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84">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88:J88">
    <cfRule type="containsText" dxfId="8" priority="15" operator="containsText" text="أدخل اسم المحكم">
      <formula>NOT(ISERROR(SEARCH("أدخل اسم المحكم",G88)))</formula>
    </cfRule>
  </conditionalFormatting>
  <conditionalFormatting sqref="F8 F10:F84">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F82:F84 F74:F80 F66:F72 F63:F64 F58:F61 F53:F56 F47:F51 F40:F45 F34:F38 F30:F32 F23:F27 F8:F10 F12:F20</xm:sqref>
        </x14:dataValidation>
        <x14:dataValidation type="list" allowBlank="1" showInputMessage="1" showErrorMessage="1" xr:uid="{BD8CB5A2-5F32-4EAD-A63C-382D3B90B847}">
          <x14:formula1>
            <xm:f>'بيانات التقييم'!$A$198:$A$286</xm:f>
          </x14:formula1>
          <xm:sqref>G88:J88 F3:J3</xm:sqref>
        </x14:dataValidation>
        <x14:dataValidation type="list" allowBlank="1" showInputMessage="1" showErrorMessage="1" xr:uid="{132078BB-599D-4F0E-87F8-5A950BE5625D}">
          <x14:formula1>
            <xm:f>'بيانات التقييم'!$C$1:$C$31</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6" workbookViewId="0">
      <selection activeCell="C33" sqref="C33"/>
    </sheetView>
  </sheetViews>
  <sheetFormatPr defaultRowHeight="20.100000000000001" customHeight="1" x14ac:dyDescent="0.25"/>
  <cols>
    <col min="1" max="1" width="42.42578125" style="1" customWidth="1"/>
    <col min="2" max="2" width="24.85546875" style="1" customWidth="1"/>
    <col min="3" max="3" width="59.85546875" style="1" customWidth="1"/>
    <col min="4" max="9" width="9" style="1"/>
  </cols>
  <sheetData>
    <row r="1" spans="1:3" ht="20.100000000000001" customHeight="1" thickBot="1" x14ac:dyDescent="0.3">
      <c r="A1" s="2" t="s">
        <v>57</v>
      </c>
      <c r="C1" s="2" t="s">
        <v>60</v>
      </c>
    </row>
    <row r="2" spans="1:3" ht="20.100000000000001" customHeight="1" thickBot="1" x14ac:dyDescent="0.3">
      <c r="A2" s="2" t="s">
        <v>35</v>
      </c>
      <c r="C2" s="18" t="s">
        <v>62</v>
      </c>
    </row>
    <row r="3" spans="1:3" ht="20.100000000000001" customHeight="1" thickBot="1" x14ac:dyDescent="0.3">
      <c r="A3" s="2" t="s">
        <v>26</v>
      </c>
      <c r="C3" s="18" t="s">
        <v>63</v>
      </c>
    </row>
    <row r="4" spans="1:3" ht="20.100000000000001" customHeight="1" thickBot="1" x14ac:dyDescent="0.3">
      <c r="A4" s="2" t="s">
        <v>36</v>
      </c>
      <c r="C4" s="18" t="s">
        <v>64</v>
      </c>
    </row>
    <row r="5" spans="1:3" ht="20.100000000000001" customHeight="1" thickBot="1" x14ac:dyDescent="0.3">
      <c r="A5" s="2" t="s">
        <v>37</v>
      </c>
      <c r="C5" s="18" t="s">
        <v>65</v>
      </c>
    </row>
    <row r="6" spans="1:3" ht="20.100000000000001" customHeight="1" thickBot="1" x14ac:dyDescent="0.3">
      <c r="A6" s="2" t="s">
        <v>38</v>
      </c>
      <c r="C6" s="18" t="s">
        <v>66</v>
      </c>
    </row>
    <row r="7" spans="1:3" ht="20.100000000000001" customHeight="1" thickBot="1" x14ac:dyDescent="0.3">
      <c r="A7" s="2" t="s">
        <v>39</v>
      </c>
      <c r="C7" s="18" t="s">
        <v>67</v>
      </c>
    </row>
    <row r="8" spans="1:3" ht="20.100000000000001" customHeight="1" thickBot="1" x14ac:dyDescent="0.3">
      <c r="A8" s="2" t="s">
        <v>40</v>
      </c>
      <c r="C8" s="18" t="s">
        <v>68</v>
      </c>
    </row>
    <row r="9" spans="1:3" ht="20.100000000000001" customHeight="1" thickBot="1" x14ac:dyDescent="0.3">
      <c r="A9" s="2" t="s">
        <v>41</v>
      </c>
      <c r="C9" s="18" t="s">
        <v>69</v>
      </c>
    </row>
    <row r="10" spans="1:3" ht="20.100000000000001" customHeight="1" thickBot="1" x14ac:dyDescent="0.3">
      <c r="A10" s="2" t="s">
        <v>42</v>
      </c>
      <c r="C10" s="18" t="s">
        <v>70</v>
      </c>
    </row>
    <row r="11" spans="1:3" ht="20.100000000000001" customHeight="1" thickBot="1" x14ac:dyDescent="0.3">
      <c r="A11" s="2" t="s">
        <v>43</v>
      </c>
      <c r="C11" s="18" t="s">
        <v>71</v>
      </c>
    </row>
    <row r="12" spans="1:3" ht="20.100000000000001" customHeight="1" thickBot="1" x14ac:dyDescent="0.3">
      <c r="A12" s="2" t="s">
        <v>44</v>
      </c>
      <c r="C12" s="18" t="s">
        <v>72</v>
      </c>
    </row>
    <row r="13" spans="1:3" ht="20.100000000000001" customHeight="1" thickBot="1" x14ac:dyDescent="0.3">
      <c r="A13" s="2" t="s">
        <v>45</v>
      </c>
      <c r="C13" s="18" t="s">
        <v>73</v>
      </c>
    </row>
    <row r="14" spans="1:3" ht="20.100000000000001" customHeight="1" thickBot="1" x14ac:dyDescent="0.3">
      <c r="A14" s="2" t="s">
        <v>46</v>
      </c>
      <c r="C14" s="18" t="s">
        <v>74</v>
      </c>
    </row>
    <row r="15" spans="1:3" ht="20.100000000000001" customHeight="1" thickBot="1" x14ac:dyDescent="0.3">
      <c r="A15" s="2" t="s">
        <v>47</v>
      </c>
      <c r="C15" s="18" t="s">
        <v>75</v>
      </c>
    </row>
    <row r="16" spans="1:3" ht="20.100000000000001" customHeight="1" thickBot="1" x14ac:dyDescent="0.3">
      <c r="A16" s="2" t="s">
        <v>10</v>
      </c>
      <c r="C16" s="18" t="s">
        <v>76</v>
      </c>
    </row>
    <row r="17" spans="1:3" ht="20.100000000000001" customHeight="1" thickBot="1" x14ac:dyDescent="0.3">
      <c r="A17" s="2" t="s">
        <v>27</v>
      </c>
      <c r="C17" s="18" t="s">
        <v>77</v>
      </c>
    </row>
    <row r="18" spans="1:3" ht="20.100000000000001" customHeight="1" thickBot="1" x14ac:dyDescent="0.3">
      <c r="A18" s="2" t="s">
        <v>48</v>
      </c>
      <c r="C18" s="18" t="s">
        <v>78</v>
      </c>
    </row>
    <row r="19" spans="1:3" ht="20.100000000000001" customHeight="1" thickBot="1" x14ac:dyDescent="0.3">
      <c r="A19" s="2" t="s">
        <v>49</v>
      </c>
      <c r="C19" s="18" t="s">
        <v>79</v>
      </c>
    </row>
    <row r="20" spans="1:3" ht="20.100000000000001" customHeight="1" thickBot="1" x14ac:dyDescent="0.3">
      <c r="A20" s="2" t="s">
        <v>50</v>
      </c>
      <c r="C20" s="18" t="s">
        <v>80</v>
      </c>
    </row>
    <row r="21" spans="1:3" ht="20.100000000000001" customHeight="1" thickBot="1" x14ac:dyDescent="0.3">
      <c r="A21" s="2" t="s">
        <v>51</v>
      </c>
      <c r="C21" s="18" t="s">
        <v>81</v>
      </c>
    </row>
    <row r="22" spans="1:3" ht="20.100000000000001" customHeight="1" thickBot="1" x14ac:dyDescent="0.3">
      <c r="A22" s="2" t="s">
        <v>11</v>
      </c>
      <c r="C22" s="18" t="s">
        <v>82</v>
      </c>
    </row>
    <row r="23" spans="1:3" ht="20.100000000000001" customHeight="1" thickBot="1" x14ac:dyDescent="0.3">
      <c r="A23" s="2" t="s">
        <v>12</v>
      </c>
      <c r="C23" s="18" t="s">
        <v>83</v>
      </c>
    </row>
    <row r="24" spans="1:3" ht="20.100000000000001" customHeight="1" thickBot="1" x14ac:dyDescent="0.3">
      <c r="A24" s="2" t="s">
        <v>15</v>
      </c>
      <c r="C24" s="18" t="s">
        <v>84</v>
      </c>
    </row>
    <row r="25" spans="1:3" ht="20.100000000000001" customHeight="1" thickBot="1" x14ac:dyDescent="0.3">
      <c r="A25" s="2" t="s">
        <v>28</v>
      </c>
      <c r="C25" s="18" t="s">
        <v>85</v>
      </c>
    </row>
    <row r="26" spans="1:3" ht="20.100000000000001" customHeight="1" thickBot="1" x14ac:dyDescent="0.3">
      <c r="A26" s="2" t="s">
        <v>29</v>
      </c>
      <c r="C26" s="18" t="s">
        <v>86</v>
      </c>
    </row>
    <row r="27" spans="1:3" ht="20.100000000000001" customHeight="1" thickBot="1" x14ac:dyDescent="0.3">
      <c r="A27" s="2" t="s">
        <v>13</v>
      </c>
      <c r="C27" s="18" t="s">
        <v>87</v>
      </c>
    </row>
    <row r="28" spans="1:3" ht="20.100000000000001" customHeight="1" thickBot="1" x14ac:dyDescent="0.3">
      <c r="A28" s="2" t="s">
        <v>30</v>
      </c>
      <c r="C28" s="18" t="s">
        <v>88</v>
      </c>
    </row>
    <row r="29" spans="1:3" ht="20.100000000000001" customHeight="1" thickBot="1" x14ac:dyDescent="0.3">
      <c r="A29" s="2" t="s">
        <v>31</v>
      </c>
      <c r="C29" s="18" t="s">
        <v>177</v>
      </c>
    </row>
    <row r="30" spans="1:3" ht="20.100000000000001" customHeight="1" thickBot="1" x14ac:dyDescent="0.3">
      <c r="A30" s="2" t="s">
        <v>32</v>
      </c>
      <c r="C30" s="18" t="s">
        <v>178</v>
      </c>
    </row>
    <row r="31" spans="1:3" ht="20.100000000000001" customHeight="1" thickBot="1" x14ac:dyDescent="0.3">
      <c r="A31" s="2" t="s">
        <v>33</v>
      </c>
      <c r="C31" s="18" t="s">
        <v>179</v>
      </c>
    </row>
    <row r="32" spans="1:3" ht="20.100000000000001" customHeight="1" thickBot="1" x14ac:dyDescent="0.3">
      <c r="A32" s="2" t="s">
        <v>16</v>
      </c>
      <c r="C32" s="18"/>
    </row>
    <row r="33" spans="1:9" ht="20.100000000000001" customHeight="1" thickBot="1" x14ac:dyDescent="0.3">
      <c r="A33" s="2" t="s">
        <v>14</v>
      </c>
      <c r="C33" s="18"/>
    </row>
    <row r="34" spans="1:9" ht="20.100000000000001" customHeight="1" thickBot="1" x14ac:dyDescent="0.3">
      <c r="A34" s="2" t="s">
        <v>34</v>
      </c>
      <c r="C34" s="18"/>
    </row>
    <row r="35" spans="1:9" ht="20.100000000000001" customHeight="1" x14ac:dyDescent="0.25">
      <c r="A35" s="17"/>
    </row>
    <row r="36" spans="1:9" s="16" customFormat="1" ht="20.100000000000001" customHeight="1" x14ac:dyDescent="0.25">
      <c r="A36" s="14"/>
      <c r="B36" s="15"/>
      <c r="C36" s="15"/>
      <c r="D36" s="15"/>
      <c r="E36" s="15"/>
      <c r="F36" s="15"/>
      <c r="G36" s="15"/>
      <c r="H36" s="15"/>
      <c r="I36" s="15"/>
    </row>
    <row r="37" spans="1:9" ht="20.100000000000001" customHeight="1" thickBot="1" x14ac:dyDescent="0.3"/>
    <row r="38" spans="1:9" ht="20.100000000000001" customHeight="1" thickBot="1" x14ac:dyDescent="0.3">
      <c r="A38" s="2" t="s">
        <v>56</v>
      </c>
    </row>
    <row r="39" spans="1:9" ht="20.100000000000001" customHeight="1" thickBot="1" x14ac:dyDescent="0.3">
      <c r="A39" s="12">
        <v>45901</v>
      </c>
    </row>
    <row r="40" spans="1:9" ht="20.100000000000001" customHeight="1" thickBot="1" x14ac:dyDescent="0.3">
      <c r="A40" s="12">
        <v>45902</v>
      </c>
    </row>
    <row r="41" spans="1:9" ht="20.100000000000001" customHeight="1" thickBot="1" x14ac:dyDescent="0.3">
      <c r="A41" s="12">
        <v>45903</v>
      </c>
    </row>
    <row r="42" spans="1:9" ht="20.100000000000001" customHeight="1" thickBot="1" x14ac:dyDescent="0.3">
      <c r="A42" s="12">
        <v>45904</v>
      </c>
    </row>
    <row r="43" spans="1:9" ht="20.100000000000001" customHeight="1" thickBot="1" x14ac:dyDescent="0.3">
      <c r="A43" s="12">
        <v>45905</v>
      </c>
    </row>
    <row r="44" spans="1:9" ht="20.100000000000001" customHeight="1" thickBot="1" x14ac:dyDescent="0.3">
      <c r="A44" s="12">
        <v>45906</v>
      </c>
    </row>
    <row r="45" spans="1:9" ht="20.100000000000001" customHeight="1" thickBot="1" x14ac:dyDescent="0.3">
      <c r="A45" s="12">
        <v>45907</v>
      </c>
    </row>
    <row r="46" spans="1:9" ht="20.100000000000001" customHeight="1" thickBot="1" x14ac:dyDescent="0.3">
      <c r="A46" s="12">
        <v>45908</v>
      </c>
    </row>
    <row r="47" spans="1:9" ht="20.100000000000001" customHeight="1" thickBot="1" x14ac:dyDescent="0.3">
      <c r="A47" s="12">
        <v>45909</v>
      </c>
    </row>
    <row r="48" spans="1:9" ht="20.100000000000001" customHeight="1" thickBot="1" x14ac:dyDescent="0.3">
      <c r="A48" s="12">
        <v>45910</v>
      </c>
    </row>
    <row r="49" spans="1:1" ht="20.100000000000001" customHeight="1" thickBot="1" x14ac:dyDescent="0.3">
      <c r="A49" s="12">
        <v>45911</v>
      </c>
    </row>
    <row r="50" spans="1:1" ht="20.100000000000001" customHeight="1" thickBot="1" x14ac:dyDescent="0.3">
      <c r="A50" s="12">
        <v>45912</v>
      </c>
    </row>
    <row r="51" spans="1:1" ht="20.100000000000001" customHeight="1" thickBot="1" x14ac:dyDescent="0.3">
      <c r="A51" s="12">
        <v>45913</v>
      </c>
    </row>
    <row r="52" spans="1:1" ht="20.100000000000001" customHeight="1" thickBot="1" x14ac:dyDescent="0.3">
      <c r="A52" s="12">
        <v>45914</v>
      </c>
    </row>
    <row r="53" spans="1:1" ht="20.100000000000001" customHeight="1" thickBot="1" x14ac:dyDescent="0.3">
      <c r="A53" s="12">
        <v>45915</v>
      </c>
    </row>
    <row r="54" spans="1:1" ht="20.100000000000001" customHeight="1" thickBot="1" x14ac:dyDescent="0.3">
      <c r="A54" s="12">
        <v>45916</v>
      </c>
    </row>
    <row r="55" spans="1:1" ht="20.100000000000001" customHeight="1" thickBot="1" x14ac:dyDescent="0.3">
      <c r="A55" s="12">
        <v>45917</v>
      </c>
    </row>
    <row r="56" spans="1:1" ht="20.100000000000001" customHeight="1" thickBot="1" x14ac:dyDescent="0.3">
      <c r="A56" s="12">
        <v>45918</v>
      </c>
    </row>
    <row r="57" spans="1:1" ht="20.100000000000001" customHeight="1" thickBot="1" x14ac:dyDescent="0.3">
      <c r="A57" s="12">
        <v>45919</v>
      </c>
    </row>
    <row r="58" spans="1:1" ht="20.100000000000001" customHeight="1" thickBot="1" x14ac:dyDescent="0.3">
      <c r="A58" s="12">
        <v>45920</v>
      </c>
    </row>
    <row r="59" spans="1:1" ht="20.100000000000001" customHeight="1" thickBot="1" x14ac:dyDescent="0.3">
      <c r="A59" s="12">
        <v>45921</v>
      </c>
    </row>
    <row r="60" spans="1:1" ht="20.100000000000001" customHeight="1" thickBot="1" x14ac:dyDescent="0.3">
      <c r="A60" s="12">
        <v>45922</v>
      </c>
    </row>
    <row r="61" spans="1:1" ht="20.100000000000001" customHeight="1" thickBot="1" x14ac:dyDescent="0.3">
      <c r="A61" s="12">
        <v>45923</v>
      </c>
    </row>
    <row r="62" spans="1:1" ht="20.100000000000001" customHeight="1" thickBot="1" x14ac:dyDescent="0.3">
      <c r="A62" s="12">
        <v>45924</v>
      </c>
    </row>
    <row r="63" spans="1:1" ht="20.100000000000001" customHeight="1" thickBot="1" x14ac:dyDescent="0.3">
      <c r="A63" s="12">
        <v>45925</v>
      </c>
    </row>
    <row r="64" spans="1:1" ht="20.100000000000001" customHeight="1" thickBot="1" x14ac:dyDescent="0.3">
      <c r="A64" s="12">
        <v>45926</v>
      </c>
    </row>
    <row r="65" spans="1:1" ht="20.100000000000001" customHeight="1" thickBot="1" x14ac:dyDescent="0.3">
      <c r="A65" s="12">
        <v>45927</v>
      </c>
    </row>
    <row r="66" spans="1:1" ht="20.100000000000001" customHeight="1" thickBot="1" x14ac:dyDescent="0.3">
      <c r="A66" s="12">
        <v>45928</v>
      </c>
    </row>
    <row r="67" spans="1:1" ht="20.100000000000001" customHeight="1" thickBot="1" x14ac:dyDescent="0.3">
      <c r="A67" s="12">
        <v>45929</v>
      </c>
    </row>
    <row r="68" spans="1:1" ht="20.100000000000001" customHeight="1" thickBot="1" x14ac:dyDescent="0.3">
      <c r="A68" s="12">
        <v>45930</v>
      </c>
    </row>
    <row r="69" spans="1:1" ht="20.100000000000001" customHeight="1" thickBot="1" x14ac:dyDescent="0.3">
      <c r="A69" s="12">
        <v>45931</v>
      </c>
    </row>
    <row r="70" spans="1:1" ht="20.100000000000001" customHeight="1" thickBot="1" x14ac:dyDescent="0.3">
      <c r="A70" s="12">
        <v>45932</v>
      </c>
    </row>
    <row r="71" spans="1:1" ht="20.100000000000001" customHeight="1" thickBot="1" x14ac:dyDescent="0.3">
      <c r="A71" s="12">
        <v>45933</v>
      </c>
    </row>
    <row r="72" spans="1:1" ht="20.100000000000001" customHeight="1" thickBot="1" x14ac:dyDescent="0.3">
      <c r="A72" s="12">
        <v>45934</v>
      </c>
    </row>
    <row r="73" spans="1:1" ht="20.100000000000001" customHeight="1" thickBot="1" x14ac:dyDescent="0.3">
      <c r="A73" s="12">
        <v>45935</v>
      </c>
    </row>
    <row r="74" spans="1:1" ht="20.100000000000001" customHeight="1" thickBot="1" x14ac:dyDescent="0.3">
      <c r="A74" s="12">
        <v>45936</v>
      </c>
    </row>
    <row r="75" spans="1:1" ht="20.100000000000001" customHeight="1" thickBot="1" x14ac:dyDescent="0.3">
      <c r="A75" s="12">
        <v>45937</v>
      </c>
    </row>
    <row r="76" spans="1:1" ht="20.100000000000001" customHeight="1" thickBot="1" x14ac:dyDescent="0.3">
      <c r="A76" s="12">
        <v>45938</v>
      </c>
    </row>
    <row r="77" spans="1:1" ht="20.100000000000001" customHeight="1" thickBot="1" x14ac:dyDescent="0.3">
      <c r="A77" s="12">
        <v>45939</v>
      </c>
    </row>
    <row r="78" spans="1:1" ht="20.100000000000001" customHeight="1" thickBot="1" x14ac:dyDescent="0.3">
      <c r="A78" s="12">
        <v>45940</v>
      </c>
    </row>
    <row r="79" spans="1:1" ht="20.100000000000001" customHeight="1" thickBot="1" x14ac:dyDescent="0.3">
      <c r="A79" s="12">
        <v>45941</v>
      </c>
    </row>
    <row r="80" spans="1:1" ht="20.100000000000001" customHeight="1" thickBot="1" x14ac:dyDescent="0.3">
      <c r="A80" s="12">
        <v>45942</v>
      </c>
    </row>
    <row r="81" spans="1:1" ht="20.100000000000001" customHeight="1" thickBot="1" x14ac:dyDescent="0.3">
      <c r="A81" s="12">
        <v>45943</v>
      </c>
    </row>
    <row r="82" spans="1:1" ht="20.100000000000001" customHeight="1" thickBot="1" x14ac:dyDescent="0.3">
      <c r="A82" s="12">
        <v>45944</v>
      </c>
    </row>
    <row r="83" spans="1:1" ht="20.100000000000001" customHeight="1" thickBot="1" x14ac:dyDescent="0.3">
      <c r="A83" s="12">
        <v>45945</v>
      </c>
    </row>
    <row r="84" spans="1:1" ht="20.100000000000001" customHeight="1" thickBot="1" x14ac:dyDescent="0.3">
      <c r="A84" s="12">
        <v>45946</v>
      </c>
    </row>
    <row r="85" spans="1:1" ht="20.100000000000001" customHeight="1" thickBot="1" x14ac:dyDescent="0.3">
      <c r="A85" s="12">
        <v>45947</v>
      </c>
    </row>
    <row r="86" spans="1:1" ht="20.100000000000001" customHeight="1" thickBot="1" x14ac:dyDescent="0.3">
      <c r="A86" s="12">
        <v>45948</v>
      </c>
    </row>
    <row r="87" spans="1:1" ht="20.100000000000001" customHeight="1" thickBot="1" x14ac:dyDescent="0.3">
      <c r="A87" s="12">
        <v>45949</v>
      </c>
    </row>
    <row r="88" spans="1:1" ht="20.100000000000001" customHeight="1" thickBot="1" x14ac:dyDescent="0.3">
      <c r="A88" s="12">
        <v>45950</v>
      </c>
    </row>
    <row r="89" spans="1:1" ht="20.100000000000001" customHeight="1" thickBot="1" x14ac:dyDescent="0.3">
      <c r="A89" s="12">
        <v>45951</v>
      </c>
    </row>
    <row r="90" spans="1:1" ht="20.100000000000001" customHeight="1" thickBot="1" x14ac:dyDescent="0.3">
      <c r="A90" s="12">
        <v>45952</v>
      </c>
    </row>
    <row r="91" spans="1:1" ht="20.100000000000001" customHeight="1" thickBot="1" x14ac:dyDescent="0.3">
      <c r="A91" s="12">
        <v>45953</v>
      </c>
    </row>
    <row r="92" spans="1:1" ht="20.100000000000001" customHeight="1" thickBot="1" x14ac:dyDescent="0.3">
      <c r="A92" s="12">
        <v>45954</v>
      </c>
    </row>
    <row r="93" spans="1:1" ht="20.100000000000001" customHeight="1" thickBot="1" x14ac:dyDescent="0.3">
      <c r="A93" s="12">
        <v>45955</v>
      </c>
    </row>
    <row r="94" spans="1:1" ht="20.100000000000001" customHeight="1" thickBot="1" x14ac:dyDescent="0.3">
      <c r="A94" s="12">
        <v>45956</v>
      </c>
    </row>
    <row r="95" spans="1:1" ht="20.100000000000001" customHeight="1" thickBot="1" x14ac:dyDescent="0.3">
      <c r="A95" s="12">
        <v>45957</v>
      </c>
    </row>
    <row r="96" spans="1:1" ht="20.100000000000001" customHeight="1" thickBot="1" x14ac:dyDescent="0.3">
      <c r="A96" s="12">
        <v>45958</v>
      </c>
    </row>
    <row r="97" spans="1:9" ht="20.100000000000001" customHeight="1" thickBot="1" x14ac:dyDescent="0.3">
      <c r="A97" s="12">
        <v>45959</v>
      </c>
    </row>
    <row r="98" spans="1:9" ht="20.100000000000001" customHeight="1" thickBot="1" x14ac:dyDescent="0.3">
      <c r="A98" s="12">
        <v>45960</v>
      </c>
    </row>
    <row r="99" spans="1:9" ht="20.100000000000001" customHeight="1" thickBot="1" x14ac:dyDescent="0.3">
      <c r="A99" s="12">
        <v>45961</v>
      </c>
    </row>
    <row r="100" spans="1:9" ht="20.100000000000001" customHeight="1" thickBot="1" x14ac:dyDescent="0.3">
      <c r="A100" s="12">
        <v>45962</v>
      </c>
    </row>
    <row r="101" spans="1:9" ht="20.100000000000001" customHeight="1" thickBot="1" x14ac:dyDescent="0.3">
      <c r="A101" s="12">
        <v>45963</v>
      </c>
    </row>
    <row r="102" spans="1:9" ht="20.100000000000001" customHeight="1" thickBot="1" x14ac:dyDescent="0.3">
      <c r="A102" s="12">
        <v>45964</v>
      </c>
    </row>
    <row r="103" spans="1:9" ht="20.100000000000001" customHeight="1" thickBot="1" x14ac:dyDescent="0.3">
      <c r="A103" s="12">
        <v>45965</v>
      </c>
    </row>
    <row r="104" spans="1:9" ht="20.100000000000001" customHeight="1" thickBot="1" x14ac:dyDescent="0.3">
      <c r="A104" s="12">
        <v>45966</v>
      </c>
    </row>
    <row r="105" spans="1:9" ht="20.100000000000001" customHeight="1" thickBot="1" x14ac:dyDescent="0.3">
      <c r="A105" s="12">
        <v>45967</v>
      </c>
    </row>
    <row r="106" spans="1:9" ht="20.100000000000001" customHeight="1" thickBot="1" x14ac:dyDescent="0.3">
      <c r="A106" s="12">
        <v>45968</v>
      </c>
    </row>
    <row r="107" spans="1:9" ht="20.100000000000001" customHeight="1" x14ac:dyDescent="0.25">
      <c r="A107" s="13"/>
    </row>
    <row r="108" spans="1:9" ht="20.100000000000001" customHeight="1" x14ac:dyDescent="0.25">
      <c r="A108" s="13"/>
    </row>
    <row r="109" spans="1:9" s="16" customFormat="1" ht="20.100000000000001" customHeight="1" x14ac:dyDescent="0.25">
      <c r="A109" s="14"/>
      <c r="B109" s="15"/>
      <c r="C109" s="15"/>
      <c r="D109" s="15"/>
      <c r="E109" s="15"/>
      <c r="F109" s="15"/>
      <c r="G109" s="15"/>
      <c r="H109" s="15"/>
      <c r="I109" s="15"/>
    </row>
    <row r="110" spans="1:9" ht="20.100000000000001" customHeight="1" thickBot="1" x14ac:dyDescent="0.3"/>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3">
      <c r="A113" s="2">
        <v>0</v>
      </c>
    </row>
    <row r="114" spans="1:1" ht="20.100000000000001" customHeight="1" thickBot="1" x14ac:dyDescent="0.3">
      <c r="A114" s="2">
        <v>0.25</v>
      </c>
    </row>
    <row r="115" spans="1:1" ht="20.100000000000001" customHeight="1" thickBot="1" x14ac:dyDescent="0.3">
      <c r="A115" s="2">
        <v>0.5</v>
      </c>
    </row>
    <row r="116" spans="1:1" ht="20.100000000000001" customHeight="1" thickBot="1" x14ac:dyDescent="0.3">
      <c r="A116" s="2">
        <v>0.75</v>
      </c>
    </row>
    <row r="117" spans="1:1" ht="20.100000000000001" customHeight="1" thickBot="1" x14ac:dyDescent="0.3">
      <c r="A117" s="2">
        <v>1</v>
      </c>
    </row>
    <row r="118" spans="1:1" ht="20.100000000000001" customHeight="1" thickBot="1" x14ac:dyDescent="0.3">
      <c r="A118" s="2">
        <v>1.25</v>
      </c>
    </row>
    <row r="119" spans="1:1" ht="20.100000000000001" customHeight="1" thickBot="1" x14ac:dyDescent="0.3">
      <c r="A119" s="2">
        <v>1.5</v>
      </c>
    </row>
    <row r="120" spans="1:1" ht="20.100000000000001" customHeight="1" thickBot="1" x14ac:dyDescent="0.3">
      <c r="A120" s="2">
        <v>1.75</v>
      </c>
    </row>
    <row r="121" spans="1:1" ht="20.100000000000001" customHeight="1" thickBot="1" x14ac:dyDescent="0.3">
      <c r="A121" s="2">
        <v>2</v>
      </c>
    </row>
    <row r="122" spans="1:1" ht="20.100000000000001" customHeight="1" thickBot="1" x14ac:dyDescent="0.3">
      <c r="A122" s="2">
        <v>2.25</v>
      </c>
    </row>
    <row r="123" spans="1:1" ht="20.100000000000001" customHeight="1" thickBot="1" x14ac:dyDescent="0.3">
      <c r="A123" s="2">
        <v>2.5</v>
      </c>
    </row>
    <row r="124" spans="1:1" ht="20.100000000000001" customHeight="1" thickBot="1" x14ac:dyDescent="0.3">
      <c r="A124" s="2">
        <v>2.75</v>
      </c>
    </row>
    <row r="125" spans="1:1" ht="20.100000000000001" customHeight="1" thickBot="1" x14ac:dyDescent="0.3">
      <c r="A125" s="2">
        <v>3</v>
      </c>
    </row>
    <row r="126" spans="1:1" ht="20.100000000000001" customHeight="1" thickBot="1" x14ac:dyDescent="0.3">
      <c r="A126" s="2">
        <v>3.25</v>
      </c>
    </row>
    <row r="127" spans="1:1" ht="20.100000000000001" customHeight="1" thickBot="1" x14ac:dyDescent="0.3">
      <c r="A127" s="2">
        <v>3.5</v>
      </c>
    </row>
    <row r="128" spans="1:1" ht="20.100000000000001" customHeight="1" thickBot="1" x14ac:dyDescent="0.3">
      <c r="A128" s="2">
        <v>3.75</v>
      </c>
    </row>
    <row r="129" spans="1:1" ht="20.100000000000001" customHeight="1" thickBot="1" x14ac:dyDescent="0.3">
      <c r="A129" s="2">
        <v>4</v>
      </c>
    </row>
    <row r="130" spans="1:1" ht="20.100000000000001" customHeight="1" thickBot="1" x14ac:dyDescent="0.3">
      <c r="A130" s="2">
        <v>4.25</v>
      </c>
    </row>
    <row r="131" spans="1:1" ht="20.100000000000001" customHeight="1" thickBot="1" x14ac:dyDescent="0.3">
      <c r="A131" s="2">
        <v>4.5</v>
      </c>
    </row>
    <row r="132" spans="1:1" ht="20.100000000000001" customHeight="1" thickBot="1" x14ac:dyDescent="0.3">
      <c r="A132" s="2">
        <v>4.75</v>
      </c>
    </row>
    <row r="133" spans="1:1" ht="20.100000000000001" customHeight="1" thickBot="1" x14ac:dyDescent="0.3">
      <c r="A133" s="2">
        <v>5</v>
      </c>
    </row>
    <row r="134" spans="1:1" ht="20.100000000000001" customHeight="1" thickBot="1" x14ac:dyDescent="0.3">
      <c r="A134" s="2">
        <v>5.25</v>
      </c>
    </row>
    <row r="135" spans="1:1" ht="20.100000000000001" customHeight="1" thickBot="1" x14ac:dyDescent="0.3">
      <c r="A135" s="2">
        <v>5.5</v>
      </c>
    </row>
    <row r="136" spans="1:1" ht="20.100000000000001" customHeight="1" thickBot="1" x14ac:dyDescent="0.3">
      <c r="A136" s="2">
        <v>5.75</v>
      </c>
    </row>
    <row r="137" spans="1:1" ht="20.100000000000001" customHeight="1" thickBot="1" x14ac:dyDescent="0.3">
      <c r="A137" s="2">
        <v>6</v>
      </c>
    </row>
    <row r="138" spans="1:1" ht="20.100000000000001" customHeight="1" thickBot="1" x14ac:dyDescent="0.3">
      <c r="A138" s="2">
        <v>6.25</v>
      </c>
    </row>
    <row r="139" spans="1:1" ht="20.100000000000001" customHeight="1" thickBot="1" x14ac:dyDescent="0.3">
      <c r="A139" s="2">
        <v>6.5</v>
      </c>
    </row>
    <row r="140" spans="1:1" ht="20.100000000000001" customHeight="1" thickBot="1" x14ac:dyDescent="0.3">
      <c r="A140" s="2">
        <v>6.75</v>
      </c>
    </row>
    <row r="141" spans="1:1" ht="20.100000000000001" customHeight="1" thickBot="1" x14ac:dyDescent="0.3">
      <c r="A141" s="2">
        <v>7</v>
      </c>
    </row>
    <row r="142" spans="1:1" ht="20.100000000000001" customHeight="1" thickBot="1" x14ac:dyDescent="0.3">
      <c r="A142" s="2">
        <v>7.25</v>
      </c>
    </row>
    <row r="143" spans="1:1" ht="20.100000000000001" customHeight="1" thickBot="1" x14ac:dyDescent="0.3">
      <c r="A143" s="2">
        <v>7.5</v>
      </c>
    </row>
    <row r="144" spans="1:1" ht="20.100000000000001" customHeight="1" thickBot="1" x14ac:dyDescent="0.3">
      <c r="A144" s="2">
        <v>7.75</v>
      </c>
    </row>
    <row r="145" spans="1:1" ht="20.100000000000001" customHeight="1" thickBot="1" x14ac:dyDescent="0.3">
      <c r="A145" s="2">
        <v>8</v>
      </c>
    </row>
    <row r="146" spans="1:1" ht="20.100000000000001" customHeight="1" thickBot="1" x14ac:dyDescent="0.3">
      <c r="A146" s="2">
        <v>8.25</v>
      </c>
    </row>
    <row r="147" spans="1:1" ht="20.100000000000001" customHeight="1" thickBot="1" x14ac:dyDescent="0.3">
      <c r="A147" s="2">
        <v>8.5</v>
      </c>
    </row>
    <row r="148" spans="1:1" ht="20.100000000000001" customHeight="1" thickBot="1" x14ac:dyDescent="0.3">
      <c r="A148" s="2">
        <v>8.75</v>
      </c>
    </row>
    <row r="149" spans="1:1" ht="20.100000000000001" customHeight="1" thickBot="1" x14ac:dyDescent="0.3">
      <c r="A149" s="2">
        <v>9</v>
      </c>
    </row>
    <row r="150" spans="1:1" ht="20.100000000000001" customHeight="1" thickBot="1" x14ac:dyDescent="0.3">
      <c r="A150" s="2">
        <v>9.25</v>
      </c>
    </row>
    <row r="151" spans="1:1" ht="20.100000000000001" customHeight="1" thickBot="1" x14ac:dyDescent="0.3">
      <c r="A151" s="2">
        <v>9.5</v>
      </c>
    </row>
    <row r="152" spans="1:1" ht="20.100000000000001" customHeight="1" thickBot="1" x14ac:dyDescent="0.3">
      <c r="A152" s="2">
        <v>9.75</v>
      </c>
    </row>
    <row r="153" spans="1:1" ht="20.100000000000001" customHeight="1" thickBot="1" x14ac:dyDescent="0.3">
      <c r="A153" s="2">
        <v>10</v>
      </c>
    </row>
    <row r="154" spans="1:1" ht="20.100000000000001" customHeight="1" thickBot="1" x14ac:dyDescent="0.3">
      <c r="A154" s="2">
        <v>10.25</v>
      </c>
    </row>
    <row r="155" spans="1:1" ht="20.100000000000001" customHeight="1" thickBot="1" x14ac:dyDescent="0.3">
      <c r="A155" s="2">
        <v>10.5</v>
      </c>
    </row>
    <row r="156" spans="1:1" ht="20.100000000000001" customHeight="1" thickBot="1" x14ac:dyDescent="0.3">
      <c r="A156" s="2">
        <v>10.75</v>
      </c>
    </row>
    <row r="157" spans="1:1" ht="20.100000000000001" customHeight="1" thickBot="1" x14ac:dyDescent="0.3">
      <c r="A157" s="2">
        <v>11</v>
      </c>
    </row>
    <row r="158" spans="1:1" ht="20.100000000000001" customHeight="1" thickBot="1" x14ac:dyDescent="0.3">
      <c r="A158" s="2">
        <v>11.25</v>
      </c>
    </row>
    <row r="159" spans="1:1" ht="20.100000000000001" customHeight="1" thickBot="1" x14ac:dyDescent="0.3">
      <c r="A159" s="2">
        <v>11.5</v>
      </c>
    </row>
    <row r="160" spans="1:1" ht="20.100000000000001" customHeight="1" thickBot="1" x14ac:dyDescent="0.3">
      <c r="A160" s="2">
        <v>11.75</v>
      </c>
    </row>
    <row r="161" spans="1:1" ht="20.100000000000001" customHeight="1" thickBot="1" x14ac:dyDescent="0.3">
      <c r="A161" s="2">
        <v>12</v>
      </c>
    </row>
    <row r="162" spans="1:1" ht="20.100000000000001" customHeight="1" thickBot="1" x14ac:dyDescent="0.3">
      <c r="A162" s="2">
        <v>12.25</v>
      </c>
    </row>
    <row r="163" spans="1:1" ht="20.100000000000001" customHeight="1" thickBot="1" x14ac:dyDescent="0.3">
      <c r="A163" s="2">
        <v>12.5</v>
      </c>
    </row>
    <row r="164" spans="1:1" ht="20.100000000000001" customHeight="1" thickBot="1" x14ac:dyDescent="0.3">
      <c r="A164" s="2">
        <v>12.75</v>
      </c>
    </row>
    <row r="165" spans="1:1" ht="20.100000000000001" customHeight="1" thickBot="1" x14ac:dyDescent="0.3">
      <c r="A165" s="2">
        <v>13</v>
      </c>
    </row>
    <row r="166" spans="1:1" ht="20.100000000000001" customHeight="1" thickBot="1" x14ac:dyDescent="0.3">
      <c r="A166" s="2">
        <v>13.25</v>
      </c>
    </row>
    <row r="167" spans="1:1" ht="20.100000000000001" customHeight="1" thickBot="1" x14ac:dyDescent="0.3">
      <c r="A167" s="2">
        <v>13.5</v>
      </c>
    </row>
    <row r="168" spans="1:1" ht="20.100000000000001" customHeight="1" thickBot="1" x14ac:dyDescent="0.3">
      <c r="A168" s="2">
        <v>13.75</v>
      </c>
    </row>
    <row r="169" spans="1:1" ht="20.100000000000001" customHeight="1" thickBot="1" x14ac:dyDescent="0.3">
      <c r="A169" s="2">
        <v>14</v>
      </c>
    </row>
    <row r="170" spans="1:1" ht="20.100000000000001" customHeight="1" thickBot="1" x14ac:dyDescent="0.3">
      <c r="A170" s="2">
        <v>14.25</v>
      </c>
    </row>
    <row r="171" spans="1:1" ht="20.100000000000001" customHeight="1" thickBot="1" x14ac:dyDescent="0.3">
      <c r="A171" s="2">
        <v>14.5</v>
      </c>
    </row>
    <row r="172" spans="1:1" ht="20.100000000000001" customHeight="1" thickBot="1" x14ac:dyDescent="0.3">
      <c r="A172" s="2">
        <v>14.75</v>
      </c>
    </row>
    <row r="173" spans="1:1" ht="20.100000000000001" customHeight="1" thickBot="1" x14ac:dyDescent="0.3">
      <c r="A173" s="2">
        <v>15</v>
      </c>
    </row>
    <row r="174" spans="1:1" ht="20.100000000000001" customHeight="1" thickBot="1" x14ac:dyDescent="0.3">
      <c r="A174" s="2">
        <v>15.25</v>
      </c>
    </row>
    <row r="175" spans="1:1" ht="20.100000000000001" customHeight="1" thickBot="1" x14ac:dyDescent="0.3">
      <c r="A175" s="2">
        <v>15.5</v>
      </c>
    </row>
    <row r="176" spans="1:1" ht="20.100000000000001" customHeight="1" thickBot="1" x14ac:dyDescent="0.3">
      <c r="A176" s="2">
        <v>15.75</v>
      </c>
    </row>
    <row r="177" spans="1:1" ht="20.100000000000001" customHeight="1" thickBot="1" x14ac:dyDescent="0.3">
      <c r="A177" s="2">
        <v>16</v>
      </c>
    </row>
    <row r="178" spans="1:1" ht="20.100000000000001" customHeight="1" thickBot="1" x14ac:dyDescent="0.3">
      <c r="A178" s="2">
        <v>16.25</v>
      </c>
    </row>
    <row r="179" spans="1:1" ht="20.100000000000001" customHeight="1" thickBot="1" x14ac:dyDescent="0.3">
      <c r="A179" s="2">
        <v>16.5</v>
      </c>
    </row>
    <row r="180" spans="1:1" ht="20.100000000000001" customHeight="1" thickBot="1" x14ac:dyDescent="0.3">
      <c r="A180" s="2">
        <v>16.75</v>
      </c>
    </row>
    <row r="181" spans="1:1" ht="20.100000000000001" customHeight="1" thickBot="1" x14ac:dyDescent="0.3">
      <c r="A181" s="2">
        <v>17</v>
      </c>
    </row>
    <row r="182" spans="1:1" ht="20.100000000000001" customHeight="1" thickBot="1" x14ac:dyDescent="0.3">
      <c r="A182" s="2">
        <v>17.25</v>
      </c>
    </row>
    <row r="183" spans="1:1" ht="20.100000000000001" customHeight="1" thickBot="1" x14ac:dyDescent="0.3">
      <c r="A183" s="2">
        <v>17.5</v>
      </c>
    </row>
    <row r="184" spans="1:1" ht="20.100000000000001" customHeight="1" thickBot="1" x14ac:dyDescent="0.3">
      <c r="A184" s="2">
        <v>17.75</v>
      </c>
    </row>
    <row r="185" spans="1:1" ht="20.100000000000001" customHeight="1" thickBot="1" x14ac:dyDescent="0.3">
      <c r="A185" s="2">
        <v>18</v>
      </c>
    </row>
    <row r="186" spans="1:1" ht="20.100000000000001" customHeight="1" thickBot="1" x14ac:dyDescent="0.3">
      <c r="A186" s="2">
        <v>18.25</v>
      </c>
    </row>
    <row r="187" spans="1:1" ht="20.100000000000001" customHeight="1" thickBot="1" x14ac:dyDescent="0.3">
      <c r="A187" s="2">
        <v>18.5</v>
      </c>
    </row>
    <row r="188" spans="1:1" ht="20.100000000000001" customHeight="1" thickBot="1" x14ac:dyDescent="0.3">
      <c r="A188" s="2">
        <v>18.75</v>
      </c>
    </row>
    <row r="189" spans="1:1" ht="20.100000000000001" customHeight="1" thickBot="1" x14ac:dyDescent="0.3">
      <c r="A189" s="2">
        <v>19</v>
      </c>
    </row>
    <row r="190" spans="1:1" ht="20.100000000000001" customHeight="1" thickBot="1" x14ac:dyDescent="0.3">
      <c r="A190" s="2">
        <v>19.25</v>
      </c>
    </row>
    <row r="191" spans="1:1" ht="20.100000000000001" customHeight="1" thickBot="1" x14ac:dyDescent="0.3">
      <c r="A191" s="2">
        <v>19.5</v>
      </c>
    </row>
    <row r="192" spans="1:1" ht="20.100000000000001" customHeight="1" thickBot="1" x14ac:dyDescent="0.3">
      <c r="A192" s="2">
        <v>19.75</v>
      </c>
    </row>
    <row r="193" spans="1:1" ht="20.100000000000001" customHeight="1" thickBot="1" x14ac:dyDescent="0.3">
      <c r="A193" s="2">
        <v>20</v>
      </c>
    </row>
    <row r="197" spans="1:1" ht="20.100000000000001" customHeight="1" thickBot="1" x14ac:dyDescent="0.3"/>
    <row r="198" spans="1:1" ht="20.100000000000001" customHeight="1" thickBot="1" x14ac:dyDescent="0.3">
      <c r="A198" s="2" t="s">
        <v>59</v>
      </c>
    </row>
    <row r="199" spans="1:1" ht="20.100000000000001" customHeight="1" x14ac:dyDescent="0.25">
      <c r="A199" s="19" t="s">
        <v>89</v>
      </c>
    </row>
    <row r="200" spans="1:1" ht="20.100000000000001" customHeight="1" x14ac:dyDescent="0.25">
      <c r="A200" s="19" t="s">
        <v>90</v>
      </c>
    </row>
    <row r="201" spans="1:1" ht="20.100000000000001" customHeight="1" x14ac:dyDescent="0.25">
      <c r="A201" s="19" t="s">
        <v>91</v>
      </c>
    </row>
    <row r="202" spans="1:1" ht="20.100000000000001" customHeight="1" x14ac:dyDescent="0.25">
      <c r="A202" s="19" t="s">
        <v>92</v>
      </c>
    </row>
    <row r="203" spans="1:1" ht="20.100000000000001" customHeight="1" x14ac:dyDescent="0.25">
      <c r="A203" s="19" t="s">
        <v>93</v>
      </c>
    </row>
    <row r="204" spans="1:1" ht="20.100000000000001" customHeight="1" x14ac:dyDescent="0.25">
      <c r="A204" s="19" t="s">
        <v>94</v>
      </c>
    </row>
    <row r="205" spans="1:1" ht="20.100000000000001" customHeight="1" x14ac:dyDescent="0.25">
      <c r="A205" s="19" t="s">
        <v>95</v>
      </c>
    </row>
    <row r="206" spans="1:1" ht="20.100000000000001" customHeight="1" x14ac:dyDescent="0.25">
      <c r="A206" s="19" t="s">
        <v>96</v>
      </c>
    </row>
    <row r="207" spans="1:1" ht="20.100000000000001" customHeight="1" x14ac:dyDescent="0.25">
      <c r="A207" s="19" t="s">
        <v>97</v>
      </c>
    </row>
    <row r="208" spans="1:1" ht="20.100000000000001" customHeight="1" x14ac:dyDescent="0.25">
      <c r="A208" s="20" t="s">
        <v>98</v>
      </c>
    </row>
    <row r="209" spans="1:1" ht="20.100000000000001" customHeight="1" x14ac:dyDescent="0.25">
      <c r="A209" s="20" t="s">
        <v>99</v>
      </c>
    </row>
    <row r="210" spans="1:1" ht="20.100000000000001" customHeight="1" x14ac:dyDescent="0.25">
      <c r="A210" s="19" t="s">
        <v>100</v>
      </c>
    </row>
    <row r="211" spans="1:1" ht="20.100000000000001" customHeight="1" x14ac:dyDescent="0.25">
      <c r="A211" s="19" t="s">
        <v>101</v>
      </c>
    </row>
    <row r="212" spans="1:1" ht="20.100000000000001" customHeight="1" x14ac:dyDescent="0.25">
      <c r="A212" s="19" t="s">
        <v>175</v>
      </c>
    </row>
    <row r="213" spans="1:1" ht="20.100000000000001" customHeight="1" x14ac:dyDescent="0.25">
      <c r="A213" s="19" t="s">
        <v>102</v>
      </c>
    </row>
    <row r="214" spans="1:1" ht="20.100000000000001" customHeight="1" x14ac:dyDescent="0.25">
      <c r="A214" s="19" t="s">
        <v>103</v>
      </c>
    </row>
    <row r="215" spans="1:1" ht="20.100000000000001" customHeight="1" x14ac:dyDescent="0.25">
      <c r="A215" s="19" t="s">
        <v>104</v>
      </c>
    </row>
    <row r="216" spans="1:1" ht="20.100000000000001" customHeight="1" x14ac:dyDescent="0.25">
      <c r="A216" s="19" t="s">
        <v>105</v>
      </c>
    </row>
    <row r="217" spans="1:1" ht="20.100000000000001" customHeight="1" x14ac:dyDescent="0.25">
      <c r="A217" s="19" t="s">
        <v>106</v>
      </c>
    </row>
    <row r="218" spans="1:1" ht="20.100000000000001" customHeight="1" x14ac:dyDescent="0.25">
      <c r="A218" s="19" t="s">
        <v>107</v>
      </c>
    </row>
    <row r="219" spans="1:1" ht="20.100000000000001" customHeight="1" x14ac:dyDescent="0.25">
      <c r="A219" s="19" t="s">
        <v>108</v>
      </c>
    </row>
    <row r="220" spans="1:1" ht="20.100000000000001" customHeight="1" x14ac:dyDescent="0.25">
      <c r="A220" s="19" t="s">
        <v>109</v>
      </c>
    </row>
    <row r="221" spans="1:1" ht="20.100000000000001" customHeight="1" x14ac:dyDescent="0.25">
      <c r="A221" s="19" t="s">
        <v>110</v>
      </c>
    </row>
    <row r="222" spans="1:1" ht="20.100000000000001" customHeight="1" x14ac:dyDescent="0.25">
      <c r="A222" s="19" t="s">
        <v>111</v>
      </c>
    </row>
    <row r="223" spans="1:1" ht="20.100000000000001" customHeight="1" x14ac:dyDescent="0.25">
      <c r="A223" s="19" t="s">
        <v>112</v>
      </c>
    </row>
    <row r="224" spans="1:1" ht="20.100000000000001" customHeight="1" x14ac:dyDescent="0.25">
      <c r="A224" s="19" t="s">
        <v>176</v>
      </c>
    </row>
    <row r="225" spans="1:1" ht="20.100000000000001" customHeight="1" x14ac:dyDescent="0.25">
      <c r="A225" s="19" t="s">
        <v>113</v>
      </c>
    </row>
    <row r="226" spans="1:1" ht="20.100000000000001" customHeight="1" x14ac:dyDescent="0.25">
      <c r="A226" s="19" t="s">
        <v>114</v>
      </c>
    </row>
    <row r="227" spans="1:1" ht="20.100000000000001" customHeight="1" x14ac:dyDescent="0.25">
      <c r="A227" s="19" t="s">
        <v>115</v>
      </c>
    </row>
    <row r="228" spans="1:1" ht="20.100000000000001" customHeight="1" x14ac:dyDescent="0.25">
      <c r="A228" s="19" t="s">
        <v>116</v>
      </c>
    </row>
    <row r="229" spans="1:1" ht="20.100000000000001" customHeight="1" x14ac:dyDescent="0.25">
      <c r="A229" s="19" t="s">
        <v>117</v>
      </c>
    </row>
    <row r="230" spans="1:1" ht="20.100000000000001" customHeight="1" x14ac:dyDescent="0.25">
      <c r="A230" s="19" t="s">
        <v>118</v>
      </c>
    </row>
    <row r="231" spans="1:1" ht="20.100000000000001" customHeight="1" x14ac:dyDescent="0.25">
      <c r="A231" s="19" t="s">
        <v>119</v>
      </c>
    </row>
    <row r="232" spans="1:1" ht="20.100000000000001" customHeight="1" x14ac:dyDescent="0.25">
      <c r="A232" s="19" t="s">
        <v>120</v>
      </c>
    </row>
    <row r="233" spans="1:1" ht="20.100000000000001" customHeight="1" x14ac:dyDescent="0.25">
      <c r="A233" s="19" t="s">
        <v>121</v>
      </c>
    </row>
    <row r="234" spans="1:1" ht="20.100000000000001" customHeight="1" x14ac:dyDescent="0.25">
      <c r="A234" s="19" t="s">
        <v>122</v>
      </c>
    </row>
    <row r="235" spans="1:1" ht="20.100000000000001" customHeight="1" x14ac:dyDescent="0.25">
      <c r="A235" s="19" t="s">
        <v>123</v>
      </c>
    </row>
    <row r="236" spans="1:1" ht="20.100000000000001" customHeight="1" x14ac:dyDescent="0.25">
      <c r="A236" s="21" t="s">
        <v>124</v>
      </c>
    </row>
    <row r="237" spans="1:1" ht="20.100000000000001" customHeight="1" x14ac:dyDescent="0.25">
      <c r="A237" s="19" t="s">
        <v>125</v>
      </c>
    </row>
    <row r="238" spans="1:1" ht="20.100000000000001" customHeight="1" x14ac:dyDescent="0.25">
      <c r="A238" s="19" t="s">
        <v>126</v>
      </c>
    </row>
    <row r="239" spans="1:1" ht="20.100000000000001" customHeight="1" x14ac:dyDescent="0.25">
      <c r="A239" s="19" t="s">
        <v>127</v>
      </c>
    </row>
    <row r="240" spans="1:1" ht="20.100000000000001" customHeight="1" x14ac:dyDescent="0.25">
      <c r="A240" s="19" t="s">
        <v>128</v>
      </c>
    </row>
    <row r="241" spans="1:1" ht="20.100000000000001" customHeight="1" x14ac:dyDescent="0.25">
      <c r="A241" s="19" t="s">
        <v>129</v>
      </c>
    </row>
    <row r="242" spans="1:1" ht="20.100000000000001" customHeight="1" x14ac:dyDescent="0.25">
      <c r="A242" s="19" t="s">
        <v>130</v>
      </c>
    </row>
    <row r="243" spans="1:1" ht="20.100000000000001" customHeight="1" x14ac:dyDescent="0.25">
      <c r="A243" s="19" t="s">
        <v>131</v>
      </c>
    </row>
    <row r="244" spans="1:1" ht="20.100000000000001" customHeight="1" x14ac:dyDescent="0.25">
      <c r="A244" s="19" t="s">
        <v>132</v>
      </c>
    </row>
    <row r="245" spans="1:1" ht="20.100000000000001" customHeight="1" x14ac:dyDescent="0.25">
      <c r="A245" s="19" t="s">
        <v>133</v>
      </c>
    </row>
    <row r="246" spans="1:1" ht="20.100000000000001" customHeight="1" x14ac:dyDescent="0.25">
      <c r="A246" s="19" t="s">
        <v>134</v>
      </c>
    </row>
    <row r="247" spans="1:1" ht="20.100000000000001" customHeight="1" x14ac:dyDescent="0.25">
      <c r="A247" s="19" t="s">
        <v>135</v>
      </c>
    </row>
    <row r="248" spans="1:1" ht="20.100000000000001" customHeight="1" x14ac:dyDescent="0.25">
      <c r="A248" s="19" t="s">
        <v>126</v>
      </c>
    </row>
    <row r="249" spans="1:1" ht="20.100000000000001" customHeight="1" x14ac:dyDescent="0.25">
      <c r="A249" s="19" t="s">
        <v>136</v>
      </c>
    </row>
    <row r="250" spans="1:1" ht="20.100000000000001" customHeight="1" x14ac:dyDescent="0.25">
      <c r="A250" s="19" t="s">
        <v>137</v>
      </c>
    </row>
    <row r="251" spans="1:1" ht="20.100000000000001" customHeight="1" x14ac:dyDescent="0.25">
      <c r="A251" s="21" t="s">
        <v>138</v>
      </c>
    </row>
    <row r="252" spans="1:1" ht="20.100000000000001" customHeight="1" x14ac:dyDescent="0.25">
      <c r="A252" s="22" t="s">
        <v>139</v>
      </c>
    </row>
    <row r="253" spans="1:1" ht="20.100000000000001" customHeight="1" x14ac:dyDescent="0.25">
      <c r="A253" s="19" t="s">
        <v>140</v>
      </c>
    </row>
    <row r="254" spans="1:1" ht="20.100000000000001" customHeight="1" x14ac:dyDescent="0.25">
      <c r="A254" s="19" t="s">
        <v>141</v>
      </c>
    </row>
    <row r="255" spans="1:1" ht="20.100000000000001" customHeight="1" x14ac:dyDescent="0.25">
      <c r="A255" s="23" t="s">
        <v>142</v>
      </c>
    </row>
    <row r="256" spans="1:1" ht="20.100000000000001" customHeight="1" x14ac:dyDescent="0.25">
      <c r="A256" s="23" t="s">
        <v>143</v>
      </c>
    </row>
    <row r="257" spans="1:1" ht="20.100000000000001" customHeight="1" x14ac:dyDescent="0.25">
      <c r="A257" s="24" t="s">
        <v>144</v>
      </c>
    </row>
    <row r="258" spans="1:1" ht="20.100000000000001" customHeight="1" x14ac:dyDescent="0.25">
      <c r="A258" s="19" t="s">
        <v>145</v>
      </c>
    </row>
    <row r="259" spans="1:1" ht="20.100000000000001" customHeight="1" x14ac:dyDescent="0.25">
      <c r="A259" s="24" t="s">
        <v>146</v>
      </c>
    </row>
    <row r="260" spans="1:1" ht="20.100000000000001" customHeight="1" x14ac:dyDescent="0.25">
      <c r="A260" s="19" t="s">
        <v>147</v>
      </c>
    </row>
    <row r="261" spans="1:1" ht="20.100000000000001" customHeight="1" x14ac:dyDescent="0.25">
      <c r="A261" s="24" t="s">
        <v>148</v>
      </c>
    </row>
    <row r="262" spans="1:1" ht="20.100000000000001" customHeight="1" x14ac:dyDescent="0.25">
      <c r="A262" s="19" t="s">
        <v>149</v>
      </c>
    </row>
    <row r="263" spans="1:1" ht="20.100000000000001" customHeight="1" x14ac:dyDescent="0.25">
      <c r="A263" s="19" t="s">
        <v>150</v>
      </c>
    </row>
    <row r="264" spans="1:1" ht="20.100000000000001" customHeight="1" x14ac:dyDescent="0.25">
      <c r="A264" s="24" t="s">
        <v>151</v>
      </c>
    </row>
    <row r="265" spans="1:1" ht="20.100000000000001" customHeight="1" x14ac:dyDescent="0.25">
      <c r="A265" s="24" t="s">
        <v>152</v>
      </c>
    </row>
    <row r="266" spans="1:1" ht="20.100000000000001" customHeight="1" x14ac:dyDescent="0.25">
      <c r="A266" s="24" t="s">
        <v>153</v>
      </c>
    </row>
    <row r="267" spans="1:1" ht="20.100000000000001" customHeight="1" x14ac:dyDescent="0.25">
      <c r="A267" s="19" t="s">
        <v>154</v>
      </c>
    </row>
    <row r="268" spans="1:1" ht="20.100000000000001" customHeight="1" x14ac:dyDescent="0.25">
      <c r="A268" s="19" t="s">
        <v>155</v>
      </c>
    </row>
    <row r="269" spans="1:1" ht="20.100000000000001" customHeight="1" x14ac:dyDescent="0.25">
      <c r="A269" s="19" t="s">
        <v>156</v>
      </c>
    </row>
    <row r="270" spans="1:1" ht="20.100000000000001" customHeight="1" x14ac:dyDescent="0.25">
      <c r="A270" s="19" t="s">
        <v>157</v>
      </c>
    </row>
    <row r="271" spans="1:1" ht="20.100000000000001" customHeight="1" x14ac:dyDescent="0.25">
      <c r="A271" s="24" t="s">
        <v>158</v>
      </c>
    </row>
    <row r="272" spans="1:1" ht="20.100000000000001" customHeight="1" x14ac:dyDescent="0.25">
      <c r="A272" s="24" t="s">
        <v>159</v>
      </c>
    </row>
    <row r="273" spans="1:1" ht="20.100000000000001" customHeight="1" x14ac:dyDescent="0.25">
      <c r="A273" s="19" t="s">
        <v>160</v>
      </c>
    </row>
    <row r="274" spans="1:1" ht="20.100000000000001" customHeight="1" x14ac:dyDescent="0.25">
      <c r="A274" s="24" t="s">
        <v>161</v>
      </c>
    </row>
    <row r="275" spans="1:1" ht="20.100000000000001" customHeight="1" x14ac:dyDescent="0.25">
      <c r="A275" s="24" t="s">
        <v>162</v>
      </c>
    </row>
    <row r="276" spans="1:1" ht="20.100000000000001" customHeight="1" x14ac:dyDescent="0.25">
      <c r="A276" s="19" t="s">
        <v>163</v>
      </c>
    </row>
    <row r="277" spans="1:1" ht="20.100000000000001" customHeight="1" x14ac:dyDescent="0.25">
      <c r="A277" s="19" t="s">
        <v>164</v>
      </c>
    </row>
    <row r="278" spans="1:1" ht="20.100000000000001" customHeight="1" x14ac:dyDescent="0.25">
      <c r="A278" s="24" t="s">
        <v>165</v>
      </c>
    </row>
    <row r="279" spans="1:1" ht="20.100000000000001" customHeight="1" x14ac:dyDescent="0.25">
      <c r="A279" s="19" t="s">
        <v>166</v>
      </c>
    </row>
    <row r="280" spans="1:1" ht="20.100000000000001" customHeight="1" x14ac:dyDescent="0.25">
      <c r="A280" s="19" t="s">
        <v>167</v>
      </c>
    </row>
    <row r="281" spans="1:1" ht="20.100000000000001" customHeight="1" x14ac:dyDescent="0.25">
      <c r="A281" s="19" t="s">
        <v>168</v>
      </c>
    </row>
    <row r="282" spans="1:1" ht="20.100000000000001" customHeight="1" x14ac:dyDescent="0.25">
      <c r="A282" s="19" t="s">
        <v>169</v>
      </c>
    </row>
    <row r="283" spans="1:1" ht="20.100000000000001" customHeight="1" x14ac:dyDescent="0.25">
      <c r="A283" s="24" t="s">
        <v>170</v>
      </c>
    </row>
    <row r="284" spans="1:1" ht="20.100000000000001" customHeight="1" x14ac:dyDescent="0.25">
      <c r="A284" s="24" t="s">
        <v>171</v>
      </c>
    </row>
    <row r="285" spans="1:1" ht="20.100000000000001" customHeight="1" x14ac:dyDescent="0.25">
      <c r="A285" s="24" t="s">
        <v>172</v>
      </c>
    </row>
    <row r="286" spans="1:1" ht="20.100000000000001" customHeight="1" thickBot="1" x14ac:dyDescent="0.3">
      <c r="A286" s="19" t="s">
        <v>173</v>
      </c>
    </row>
    <row r="287" spans="1:1" ht="20.100000000000001" customHeight="1" thickBot="1" x14ac:dyDescent="0.3">
      <c r="A287" s="2" t="s">
        <v>58</v>
      </c>
    </row>
    <row r="288" spans="1:1" ht="20.100000000000001" customHeight="1" thickBot="1" x14ac:dyDescent="0.3">
      <c r="A288" s="2" t="s">
        <v>58</v>
      </c>
    </row>
    <row r="289" spans="1:1" ht="20.100000000000001" customHeight="1" thickBot="1" x14ac:dyDescent="0.3">
      <c r="A289" s="2" t="s">
        <v>58</v>
      </c>
    </row>
    <row r="290" spans="1:1" ht="20.100000000000001" customHeight="1" thickBot="1" x14ac:dyDescent="0.3">
      <c r="A290" s="2" t="s">
        <v>58</v>
      </c>
    </row>
    <row r="291" spans="1:1" ht="20.100000000000001" customHeight="1" thickBot="1" x14ac:dyDescent="0.3">
      <c r="A291" s="2" t="s">
        <v>58</v>
      </c>
    </row>
    <row r="292" spans="1:1" ht="20.100000000000001" customHeight="1" thickBot="1" x14ac:dyDescent="0.3">
      <c r="A292" s="2" t="s">
        <v>58</v>
      </c>
    </row>
    <row r="293" spans="1:1" ht="20.100000000000001" customHeight="1" thickBot="1" x14ac:dyDescent="0.3">
      <c r="A293" s="2" t="s">
        <v>58</v>
      </c>
    </row>
    <row r="294" spans="1:1" ht="20.100000000000001" customHeight="1" thickBot="1" x14ac:dyDescent="0.3">
      <c r="A294" s="2" t="s">
        <v>58</v>
      </c>
    </row>
    <row r="295" spans="1:1" ht="20.100000000000001" customHeight="1" thickBot="1" x14ac:dyDescent="0.3">
      <c r="A295" s="2" t="s">
        <v>58</v>
      </c>
    </row>
    <row r="296" spans="1:1" ht="20.100000000000001" customHeight="1" thickBot="1" x14ac:dyDescent="0.3">
      <c r="A296" s="2" t="s">
        <v>58</v>
      </c>
    </row>
    <row r="297" spans="1:1" ht="20.100000000000001" customHeight="1" thickBot="1" x14ac:dyDescent="0.3">
      <c r="A297" s="2" t="s">
        <v>58</v>
      </c>
    </row>
    <row r="298" spans="1:1" ht="20.100000000000001" customHeight="1" thickBot="1" x14ac:dyDescent="0.3">
      <c r="A298" s="2" t="s">
        <v>58</v>
      </c>
    </row>
    <row r="299" spans="1:1" ht="20.100000000000001" customHeight="1" thickBot="1" x14ac:dyDescent="0.3">
      <c r="A299" s="2" t="s">
        <v>58</v>
      </c>
    </row>
    <row r="300" spans="1:1" ht="20.100000000000001" customHeight="1" thickBot="1" x14ac:dyDescent="0.3">
      <c r="A300" s="2" t="s">
        <v>58</v>
      </c>
    </row>
    <row r="301" spans="1:1" ht="20.100000000000001" customHeight="1" thickBot="1" x14ac:dyDescent="0.3">
      <c r="A301" s="2" t="s">
        <v>58</v>
      </c>
    </row>
    <row r="302" spans="1:1" ht="20.100000000000001" customHeight="1" thickBot="1" x14ac:dyDescent="0.3">
      <c r="A302" s="2" t="s">
        <v>58</v>
      </c>
    </row>
    <row r="303" spans="1:1" ht="20.100000000000001" customHeight="1" thickBot="1" x14ac:dyDescent="0.3">
      <c r="A303" s="2" t="s">
        <v>58</v>
      </c>
    </row>
    <row r="304" spans="1:1" ht="20.100000000000001" customHeight="1" thickBot="1" x14ac:dyDescent="0.3">
      <c r="A304" s="2" t="s">
        <v>58</v>
      </c>
    </row>
    <row r="305" spans="1:1" ht="20.100000000000001" customHeight="1" thickBot="1" x14ac:dyDescent="0.3">
      <c r="A305" s="2" t="s">
        <v>58</v>
      </c>
    </row>
    <row r="306" spans="1:1" ht="20.100000000000001" customHeight="1" thickBot="1" x14ac:dyDescent="0.3">
      <c r="A306" s="2" t="s">
        <v>58</v>
      </c>
    </row>
    <row r="307" spans="1:1" ht="20.100000000000001" customHeight="1" thickBot="1" x14ac:dyDescent="0.3">
      <c r="A307" s="2" t="s">
        <v>58</v>
      </c>
    </row>
    <row r="308" spans="1:1" ht="20.100000000000001" customHeight="1" thickBot="1" x14ac:dyDescent="0.3">
      <c r="A308" s="2" t="s">
        <v>58</v>
      </c>
    </row>
    <row r="309" spans="1:1" ht="20.100000000000001" customHeight="1" thickBot="1" x14ac:dyDescent="0.3">
      <c r="A309" s="2" t="s">
        <v>58</v>
      </c>
    </row>
    <row r="310" spans="1:1" ht="20.100000000000001" customHeight="1" thickBot="1" x14ac:dyDescent="0.3">
      <c r="A310" s="2" t="s">
        <v>58</v>
      </c>
    </row>
    <row r="311" spans="1:1" ht="20.100000000000001" customHeight="1" thickBot="1" x14ac:dyDescent="0.3">
      <c r="A311" s="2" t="s">
        <v>58</v>
      </c>
    </row>
    <row r="312" spans="1:1" ht="20.100000000000001" customHeight="1" thickBot="1" x14ac:dyDescent="0.3">
      <c r="A312" s="2" t="s">
        <v>58</v>
      </c>
    </row>
    <row r="313" spans="1:1" ht="20.100000000000001" customHeight="1" thickBot="1" x14ac:dyDescent="0.3">
      <c r="A313" s="2" t="s">
        <v>58</v>
      </c>
    </row>
    <row r="314" spans="1:1" ht="20.100000000000001" customHeight="1" thickBot="1" x14ac:dyDescent="0.3">
      <c r="A314" s="2" t="s">
        <v>58</v>
      </c>
    </row>
    <row r="315" spans="1:1" ht="20.100000000000001" customHeight="1" thickBot="1" x14ac:dyDescent="0.3">
      <c r="A315" s="2" t="s">
        <v>58</v>
      </c>
    </row>
    <row r="316" spans="1:1" ht="20.100000000000001" customHeight="1" thickBot="1" x14ac:dyDescent="0.3">
      <c r="A316" s="2" t="s">
        <v>58</v>
      </c>
    </row>
    <row r="317" spans="1:1" ht="20.100000000000001" customHeight="1" thickBot="1" x14ac:dyDescent="0.3">
      <c r="A317" s="2" t="s">
        <v>58</v>
      </c>
    </row>
    <row r="318" spans="1:1" ht="20.100000000000001" customHeight="1" thickBot="1" x14ac:dyDescent="0.3">
      <c r="A318" s="2" t="s">
        <v>58</v>
      </c>
    </row>
    <row r="319" spans="1:1" ht="20.100000000000001" customHeight="1" thickBot="1" x14ac:dyDescent="0.3">
      <c r="A319" s="2" t="s">
        <v>58</v>
      </c>
    </row>
    <row r="320" spans="1:1" ht="20.100000000000001" customHeight="1" thickBot="1" x14ac:dyDescent="0.3">
      <c r="A320" s="2" t="s">
        <v>58</v>
      </c>
    </row>
    <row r="321" spans="1:1" ht="20.100000000000001" customHeight="1" thickBot="1" x14ac:dyDescent="0.3">
      <c r="A321" s="2" t="s">
        <v>58</v>
      </c>
    </row>
    <row r="322" spans="1:1" ht="20.100000000000001" customHeight="1" thickBot="1" x14ac:dyDescent="0.3">
      <c r="A322" s="2" t="s">
        <v>58</v>
      </c>
    </row>
    <row r="323" spans="1:1" ht="20.100000000000001" customHeight="1" thickBot="1" x14ac:dyDescent="0.3">
      <c r="A323" s="2" t="s">
        <v>58</v>
      </c>
    </row>
    <row r="324" spans="1:1" ht="20.100000000000001" customHeight="1" thickBot="1" x14ac:dyDescent="0.3">
      <c r="A324" s="2" t="s">
        <v>58</v>
      </c>
    </row>
    <row r="325" spans="1:1" ht="20.100000000000001" customHeight="1" thickBot="1" x14ac:dyDescent="0.3">
      <c r="A325" s="2" t="s">
        <v>58</v>
      </c>
    </row>
    <row r="326" spans="1:1" ht="20.100000000000001" customHeight="1" thickBot="1" x14ac:dyDescent="0.3">
      <c r="A326" s="2" t="s">
        <v>58</v>
      </c>
    </row>
    <row r="327" spans="1:1" ht="20.100000000000001" customHeight="1" thickBot="1" x14ac:dyDescent="0.3">
      <c r="A327" s="2" t="s">
        <v>58</v>
      </c>
    </row>
    <row r="328" spans="1:1" ht="20.100000000000001" customHeight="1" thickBot="1" x14ac:dyDescent="0.3">
      <c r="A328" s="2" t="s">
        <v>58</v>
      </c>
    </row>
    <row r="329" spans="1:1" ht="20.100000000000001" customHeight="1" thickBot="1" x14ac:dyDescent="0.3">
      <c r="A329" s="2" t="s">
        <v>58</v>
      </c>
    </row>
    <row r="330" spans="1:1" ht="20.100000000000001" customHeight="1" thickBot="1" x14ac:dyDescent="0.3">
      <c r="A330" s="2" t="s">
        <v>58</v>
      </c>
    </row>
    <row r="331" spans="1:1" ht="20.100000000000001" customHeight="1" thickBot="1" x14ac:dyDescent="0.3">
      <c r="A331" s="2" t="s">
        <v>58</v>
      </c>
    </row>
    <row r="332" spans="1:1" ht="20.100000000000001" customHeight="1" thickBot="1" x14ac:dyDescent="0.3">
      <c r="A332" s="2" t="s">
        <v>58</v>
      </c>
    </row>
    <row r="333" spans="1:1" ht="20.100000000000001" customHeight="1" thickBot="1" x14ac:dyDescent="0.3">
      <c r="A333" s="2" t="s">
        <v>58</v>
      </c>
    </row>
    <row r="334" spans="1:1" ht="20.100000000000001" customHeight="1" thickBot="1" x14ac:dyDescent="0.3">
      <c r="A334" s="2" t="s">
        <v>58</v>
      </c>
    </row>
    <row r="335" spans="1:1" ht="20.100000000000001" customHeight="1" thickBot="1" x14ac:dyDescent="0.3">
      <c r="A335" s="2" t="s">
        <v>58</v>
      </c>
    </row>
    <row r="336" spans="1:1" ht="20.100000000000001" customHeight="1" thickBot="1" x14ac:dyDescent="0.3">
      <c r="A336" s="2" t="s">
        <v>58</v>
      </c>
    </row>
    <row r="337" spans="1:1" ht="20.100000000000001" customHeight="1" thickBot="1" x14ac:dyDescent="0.3">
      <c r="A337" s="2" t="s">
        <v>58</v>
      </c>
    </row>
    <row r="338" spans="1:1" ht="20.100000000000001" customHeight="1" thickBot="1" x14ac:dyDescent="0.3">
      <c r="A338"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2026-06-03T15:02:24Z</dcterms:modified>
</cp:coreProperties>
</file>