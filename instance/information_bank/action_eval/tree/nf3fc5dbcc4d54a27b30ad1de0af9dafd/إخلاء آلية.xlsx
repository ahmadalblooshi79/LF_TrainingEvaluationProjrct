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7C0F0FB0-46AE-4494-B2C2-A7DB25E449E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8" i="2" l="1"/>
  <c r="H8" i="2" s="1"/>
  <c r="F13" i="2" l="1"/>
  <c r="E13" i="2" l="1"/>
  <c r="E14" i="2" l="1"/>
  <c r="E15" i="2" s="1"/>
</calcChain>
</file>

<file path=xl/sharedStrings.xml><?xml version="1.0" encoding="utf-8"?>
<sst xmlns="http://schemas.openxmlformats.org/spreadsheetml/2006/main" count="247" uniqueCount="185">
  <si>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</si>
  <si>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</si>
  <si>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</si>
  <si>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</si>
  <si>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</si>
  <si>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</si>
  <si>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</si>
  <si>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</si>
  <si>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</si>
  <si>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</si>
  <si>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</si>
  <si>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</si>
  <si>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</si>
  <si>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</si>
  <si>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</si>
  <si>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</si>
  <si>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</si>
  <si>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</si>
  <si>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</si>
  <si>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</si>
  <si>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</si>
  <si>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</si>
  <si>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</si>
  <si>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</si>
  <si>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</si>
  <si>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</si>
  <si>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</si>
  <si>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</si>
  <si>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</si>
  <si>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</si>
  <si>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</si>
  <si>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</si>
  <si>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</si>
  <si>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</si>
  <si>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</si>
  <si>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</si>
  <si>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</si>
  <si>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</si>
  <si>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</si>
  <si>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</si>
  <si>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</si>
  <si>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</si>
  <si>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</si>
  <si>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</si>
  <si>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</si>
  <si>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</si>
  <si>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</si>
  <si>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</si>
  <si>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</si>
  <si>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</si>
  <si>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</si>
  <si>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</si>
  <si>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</si>
  <si>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</si>
  <si>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</si>
  <si>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</si>
  <si>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</si>
  <si>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</si>
  <si>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</si>
  <si>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</si>
  <si>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</si>
  <si>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</si>
  <si>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</si>
  <si>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</si>
  <si>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</si>
  <si>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</si>
  <si>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</si>
  <si>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</si>
  <si>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</si>
  <si>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</si>
  <si>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</si>
  <si>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</si>
  <si>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</si>
  <si>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</si>
  <si>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</si>
  <si>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</si>
  <si>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</si>
  <si>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</si>
  <si>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</si>
  <si>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</si>
  <si>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</si>
  <si>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</si>
  <si>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</si>
  <si>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</si>
  <si>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</si>
  <si>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</si>
  <si>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</si>
  <si>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</si>
  <si>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</si>
  <si>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</si>
  <si>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</si>
  <si>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</si>
  <si>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</si>
  <si>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</si>
  <si>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</si>
  <si>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</si>
  <si>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</si>
  <si>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</si>
  <si>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</si>
  <si>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</si>
  <si>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</si>
  <si>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</si>
  <si>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</si>
  <si>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</si>
  <si>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</si>
  <si>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</si>
  <si>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</si>
  <si>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</si>
  <si>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</si>
  <si>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</si>
  <si>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</si>
  <si>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</si>
  <si>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</si>
  <si>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</si>
  <si>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</si>
  <si>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</si>
  <si>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</si>
  <si>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</si>
  <si>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</si>
  <si>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</si>
  <si>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</si>
  <si>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</si>
  <si>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</si>
  <si>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</si>
  <si>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</si>
  <si>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</si>
  <si>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</si>
  <si>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</si>
  <si>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</si>
  <si>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</si>
  <si>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</si>
  <si>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</si>
  <si>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</si>
  <si>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</si>
  <si>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</si>
  <si>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</si>
  <si>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</si>
  <si>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</si>
  <si>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</si>
  <si>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</si>
  <si>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</si>
  <si>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</si>
  <si>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</si>
  <si>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</si>
  <si>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</si>
  <si>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</si>
  <si>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</si>
  <si>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</si>
  <si>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</si>
  <si>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</si>
  <si>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</si>
  <si>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</si>
  <si>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</si>
  <si>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</si>
  <si>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</si>
  <si>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</si>
  <si>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</si>
  <si>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</si>
  <si>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</si>
  <si>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</si>
  <si>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</si>
  <si>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</si>
  <si>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</si>
  <si>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</si>
  <si>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</si>
  <si>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</si>
  <si>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</si>
  <si>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</si>
  <si>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</si>
  <si>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</si>
  <si>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</si>
  <si>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</si>
  <si>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</si>
  <si>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</si>
  <si>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</si>
  <si>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</si>
  <si>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</si>
  <si>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</si>
  <si>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</si>
  <si>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</si>
  <si>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</si>
  <si>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</si>
  <si>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</si>
  <si>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</si>
  <si>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t>تقييم إخلاء آلية - اليوم/1 - تقييم معضلة/3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</si>
</sst>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6" t="s">
        <v>184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1" t="s">
        <v>8</v>
      </c>
      <c r="C2" s="62" t="s">
        <v>57</v>
      </c>
      <c r="D2" s="62"/>
      <c r="E2" s="11" t="s">
        <v>7</v>
      </c>
      <c r="F2" s="57" t="s">
        <v>56</v>
      </c>
      <c r="G2" s="57"/>
      <c r="H2" s="57"/>
      <c r="I2" s="57"/>
      <c r="J2" s="57"/>
    </row>
    <row r="3" spans="1:10" ht="30" customHeight="1" x14ac:dyDescent="0.2">
      <c r="B3" s="11" t="s">
        <v>9</v>
      </c>
      <c r="C3" s="62" t="s">
        <v>60</v>
      </c>
      <c r="D3" s="62"/>
      <c r="E3" s="11" t="s">
        <v>6</v>
      </c>
      <c r="F3" s="62" t="s">
        <v>59</v>
      </c>
      <c r="G3" s="62"/>
      <c r="H3" s="62"/>
      <c r="I3" s="62"/>
      <c r="J3" s="6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8" t="s">
        <v>0</v>
      </c>
      <c r="C5" s="59"/>
      <c r="D5" s="59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25">
      <c r="A6" s="9"/>
      <c r="B6" s="60"/>
      <c r="C6" s="61"/>
      <c r="D6" s="61"/>
      <c r="E6" s="10" t="s">
        <v>3</v>
      </c>
      <c r="F6" s="10" t="s">
        <v>4</v>
      </c>
      <c r="G6" s="10" t="s">
        <v>23</v>
      </c>
      <c r="H6" s="10" t="s">
        <v>24</v>
      </c>
      <c r="I6" s="65"/>
      <c r="J6" s="66"/>
    </row>
    <row r="7" spans="1:10" ht="24.95" customHeight="1" thickBot="1" x14ac:dyDescent="0.25">
      <c r="A7" s="9"/>
      <c r="B7" s="71" t="s">
        <v>21</v>
      </c>
      <c r="C7" s="72"/>
      <c r="D7" s="72"/>
      <c r="E7" s="29" t="s">
        <v>18</v>
      </c>
      <c r="F7" s="29" t="s">
        <v>19</v>
      </c>
      <c r="G7" s="29" t="s">
        <v>22</v>
      </c>
      <c r="H7" s="29" t="s">
        <v>20</v>
      </c>
      <c r="I7" s="41" t="s">
        <v>25</v>
      </c>
      <c r="J7" s="42"/>
    </row>
    <row r="8" spans="1:10" ht="39.950000000000003" customHeight="1" x14ac:dyDescent="0.2">
      <c r="A8" s="9"/>
      <c r="B8" s="85" t="s">
        <v>181</v>
      </c>
      <c r="C8" s="86"/>
      <c r="D8" s="86"/>
      <c r="E8" s="34">
        <v>3</v>
      </c>
      <c r="F8" s="35" t="s">
        <v>61</v>
      </c>
      <c r="G8" s="36" t="str">
        <f>IFERROR(F8/E8,"")</f>
        <v/>
      </c>
      <c r="H8" s="37" t="str">
        <f>_xlfn.IFS(F8="أدخل العلامة","",F8="لا ينطبق","تم الإلغاء",G8&gt;=90%,"ممتاز",G8&gt;=80%,"جيد جداً",G8&gt;=70%,"جيد",G8&gt;=60%,"مقبول",G8&lt;60%,"راسب")</f>
        <v/>
      </c>
      <c r="I8" s="67"/>
      <c r="J8" s="68"/>
    </row>
    <row r="9" spans="1:10" ht="39.950000000000003" customHeight="1" x14ac:dyDescent="0.2">
      <c r="A9" s="9"/>
      <c r="B9" s="87" t="s">
        <v>179</v>
      </c>
      <c r="C9" s="88"/>
      <c r="D9" s="88"/>
      <c r="E9" s="31">
        <v>3</v>
      </c>
      <c r="F9" s="27" t="s">
        <v>61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9.950000000000003" customHeight="1" x14ac:dyDescent="0.2">
      <c r="A10" s="9"/>
      <c r="B10" s="87" t="s">
        <v>182</v>
      </c>
      <c r="C10" s="88"/>
      <c r="D10" s="88"/>
      <c r="E10" s="31">
        <v>3</v>
      </c>
      <c r="F10" s="27" t="s">
        <v>61</v>
      </c>
      <c r="G10" s="32" t="str">
        <f t="shared" ref="G10:G12" si="0">IFERROR(F10/E10,"")</f>
        <v/>
      </c>
      <c r="H10" s="33" t="str">
        <f t="shared" ref="H10:H12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57" customHeight="1" x14ac:dyDescent="0.2">
      <c r="A11" s="9"/>
      <c r="B11" s="87" t="s">
        <v>183</v>
      </c>
      <c r="C11" s="88"/>
      <c r="D11" s="88"/>
      <c r="E11" s="31">
        <v>3</v>
      </c>
      <c r="F11" s="27" t="s">
        <v>61</v>
      </c>
      <c r="G11" s="32" t="str">
        <f t="shared" si="0"/>
        <v/>
      </c>
      <c r="H11" s="33" t="str">
        <f t="shared" si="1"/>
        <v/>
      </c>
      <c r="I11" s="43"/>
      <c r="J11" s="44"/>
    </row>
    <row r="12" spans="1:10" ht="39.950000000000003" customHeight="1" thickBot="1" x14ac:dyDescent="0.25">
      <c r="A12" s="9"/>
      <c r="B12" s="89" t="s">
        <v>180</v>
      </c>
      <c r="C12" s="90"/>
      <c r="D12" s="90"/>
      <c r="E12" s="38">
        <v>3</v>
      </c>
      <c r="F12" s="28" t="s">
        <v>61</v>
      </c>
      <c r="G12" s="39" t="str">
        <f t="shared" si="0"/>
        <v/>
      </c>
      <c r="H12" s="40" t="str">
        <f t="shared" si="1"/>
        <v/>
      </c>
      <c r="I12" s="69"/>
      <c r="J12" s="70"/>
    </row>
    <row r="13" spans="1:10" ht="30" customHeight="1" thickBot="1" x14ac:dyDescent="0.25">
      <c r="A13" s="4"/>
      <c r="B13" s="79" t="s">
        <v>5</v>
      </c>
      <c r="C13" s="80"/>
      <c r="D13" s="80"/>
      <c r="E13" s="30">
        <f>SUM(E8:E12)</f>
        <v>15</v>
      </c>
      <c r="F13" s="30">
        <f>SUM(F8:F12)</f>
        <v>0</v>
      </c>
      <c r="G13" s="47"/>
      <c r="H13" s="48"/>
      <c r="I13" s="48"/>
      <c r="J13" s="49"/>
    </row>
    <row r="14" spans="1:10" ht="30" customHeight="1" thickBot="1" x14ac:dyDescent="0.25">
      <c r="A14" s="4"/>
      <c r="B14" s="81" t="s">
        <v>54</v>
      </c>
      <c r="C14" s="82"/>
      <c r="D14" s="82"/>
      <c r="E14" s="50">
        <f>F13/E13/100*100</f>
        <v>0</v>
      </c>
      <c r="F14" s="50"/>
      <c r="G14" s="50"/>
      <c r="H14" s="50"/>
      <c r="I14" s="50"/>
      <c r="J14" s="51"/>
    </row>
    <row r="15" spans="1:10" ht="30" customHeight="1" thickBot="1" x14ac:dyDescent="0.25">
      <c r="A15" s="4"/>
      <c r="B15" s="81" t="s">
        <v>55</v>
      </c>
      <c r="C15" s="82"/>
      <c r="D15" s="82"/>
      <c r="E15" s="54" t="str">
        <f>_xlfn.IFS(E14&gt;=90%,"ممتاز",E14&gt;=80%,"جيد جداً",E14&gt;=70%,"جيد",E14&gt;=60%,"مقبول",E14&lt;60%,"راسب")</f>
        <v>راسب</v>
      </c>
      <c r="F15" s="54"/>
      <c r="G15" s="54"/>
      <c r="H15" s="54"/>
      <c r="I15" s="54"/>
      <c r="J15" s="55"/>
    </row>
    <row r="16" spans="1:10" ht="42" customHeight="1" x14ac:dyDescent="0.2">
      <c r="B16" s="83" t="s">
        <v>178</v>
      </c>
      <c r="C16" s="83"/>
      <c r="D16" s="83"/>
      <c r="E16" s="45" t="s">
        <v>52</v>
      </c>
      <c r="F16" s="45"/>
      <c r="G16" s="52" t="s">
        <v>59</v>
      </c>
      <c r="H16" s="52"/>
      <c r="I16" s="52"/>
      <c r="J16" s="52"/>
    </row>
    <row r="17" spans="1:10" ht="51" customHeight="1" x14ac:dyDescent="0.2">
      <c r="A17" s="5"/>
      <c r="B17" s="84"/>
      <c r="C17" s="84"/>
      <c r="D17" s="84"/>
      <c r="E17" s="46" t="s">
        <v>53</v>
      </c>
      <c r="F17" s="46"/>
      <c r="G17" s="53"/>
      <c r="H17" s="53"/>
      <c r="I17" s="53"/>
      <c r="J17" s="53"/>
    </row>
    <row r="18" spans="1:10" ht="15.75" x14ac:dyDescent="0.2">
      <c r="A18" s="24">
        <v>3</v>
      </c>
      <c r="B18" s="73" t="s">
        <v>175</v>
      </c>
      <c r="C18" s="74"/>
    </row>
    <row r="19" spans="1:10" ht="15.75" x14ac:dyDescent="0.2">
      <c r="A19" s="25">
        <v>2</v>
      </c>
      <c r="B19" s="75" t="s">
        <v>176</v>
      </c>
      <c r="C19" s="76"/>
    </row>
    <row r="20" spans="1:10" ht="15.75" x14ac:dyDescent="0.2">
      <c r="A20" s="26">
        <v>1</v>
      </c>
      <c r="B20" s="77" t="s">
        <v>177</v>
      </c>
      <c r="C20" s="7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4">
    <mergeCell ref="B7:D7"/>
    <mergeCell ref="I9:J9"/>
    <mergeCell ref="B18:C18"/>
    <mergeCell ref="B19:C19"/>
    <mergeCell ref="B20:C20"/>
    <mergeCell ref="B13:D13"/>
    <mergeCell ref="B14:D14"/>
    <mergeCell ref="B15:D15"/>
    <mergeCell ref="B16:D17"/>
    <mergeCell ref="B8:D8"/>
    <mergeCell ref="B9:D9"/>
    <mergeCell ref="B10:D10"/>
    <mergeCell ref="B11:D11"/>
    <mergeCell ref="B12:D12"/>
    <mergeCell ref="B1:J1"/>
    <mergeCell ref="F2:J2"/>
    <mergeCell ref="B5:D6"/>
    <mergeCell ref="C2:D2"/>
    <mergeCell ref="C3:D3"/>
    <mergeCell ref="F3:J3"/>
    <mergeCell ref="E5:H5"/>
    <mergeCell ref="I5:J6"/>
    <mergeCell ref="I7:J7"/>
    <mergeCell ref="I10:J10"/>
    <mergeCell ref="E16:F16"/>
    <mergeCell ref="E17:F17"/>
    <mergeCell ref="G13:J13"/>
    <mergeCell ref="E14:J14"/>
    <mergeCell ref="G16:J16"/>
    <mergeCell ref="G17:J17"/>
    <mergeCell ref="E15:J15"/>
    <mergeCell ref="I8:J8"/>
    <mergeCell ref="I11:J11"/>
    <mergeCell ref="I12:J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F8:F12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2025-10-20T08:00:50Z</dcterms:modified>
</cp:coreProperties>
</file>