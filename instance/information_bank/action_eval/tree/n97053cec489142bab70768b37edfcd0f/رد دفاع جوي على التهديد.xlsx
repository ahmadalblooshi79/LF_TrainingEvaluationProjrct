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C90C9467-99AD-48A9-BFD2-07FB7C112791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9" i="2" l="1"/>
  <c r="H9" i="2" s="1"/>
  <c r="F17" i="2" l="1"/>
  <c r="E17" i="2" l="1"/>
  <c r="E18" i="2" l="1"/>
  <c r="E19" i="2" s="1"/>
</calcChain>
</file>

<file path=xl/sharedStrings.xml><?xml version="1.0" encoding="utf-8"?>
<sst xmlns="http://schemas.openxmlformats.org/spreadsheetml/2006/main" count="254" uniqueCount="189">
  <si>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</si>
  <si>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</si>
  <si>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</si>
  <si>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</si>
  <si>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</si>
  <si>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</si>
  <si>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</si>
  <si>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</si>
  <si>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</si>
  <si>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</si>
  <si>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</si>
  <si>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</si>
  <si>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</si>
  <si>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</si>
  <si>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</si>
  <si>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</si>
  <si>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</si>
  <si>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</si>
  <si>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</si>
  <si>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</si>
  <si>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</si>
  <si>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</si>
  <si>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</si>
  <si>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</si>
  <si>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</si>
  <si>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</si>
  <si>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</si>
  <si>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</si>
  <si>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</si>
  <si>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</si>
  <si>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</si>
  <si>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</si>
  <si>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</si>
  <si>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</si>
  <si>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</si>
  <si>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</si>
  <si>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</si>
  <si>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</si>
  <si>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</si>
  <si>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</si>
  <si>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</si>
  <si>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</si>
  <si>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</si>
  <si>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</si>
  <si>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</si>
  <si>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</si>
  <si>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</si>
  <si>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</si>
  <si>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</si>
  <si>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</si>
  <si>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</si>
  <si>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</si>
  <si>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</si>
  <si>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</si>
  <si>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</si>
  <si>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</si>
  <si>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</si>
  <si>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</si>
  <si>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</si>
  <si>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</si>
  <si>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</si>
  <si>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</si>
  <si>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</si>
  <si>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</si>
  <si>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</si>
  <si>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</si>
  <si>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</si>
  <si>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</si>
  <si>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</si>
  <si>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</si>
  <si>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</si>
  <si>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</si>
  <si>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</si>
  <si>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</si>
  <si>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</si>
  <si>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</si>
  <si>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</si>
  <si>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</si>
  <si>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</si>
  <si>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</si>
  <si>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</si>
  <si>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</si>
  <si>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</si>
  <si>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</si>
  <si>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</si>
  <si>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</si>
  <si>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</si>
  <si>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</si>
  <si>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</si>
  <si>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</si>
  <si>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</si>
  <si>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</si>
  <si>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</si>
  <si>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</si>
  <si>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</si>
  <si>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</si>
  <si>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</si>
  <si>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</si>
  <si>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</si>
  <si>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</si>
  <si>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</si>
  <si>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</si>
  <si>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</si>
  <si>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</si>
  <si>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</si>
  <si>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</si>
  <si>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</si>
  <si>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</si>
  <si>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</si>
  <si>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</si>
  <si>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</si>
  <si>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</si>
  <si>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</si>
  <si>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</si>
  <si>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</si>
  <si>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</si>
  <si>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</si>
  <si>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</si>
  <si>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</si>
  <si>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</si>
  <si>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</si>
  <si>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</si>
  <si>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</si>
  <si>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</si>
  <si>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</si>
  <si>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</si>
  <si>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</si>
  <si>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</si>
  <si>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</si>
  <si>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</si>
  <si>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</si>
  <si>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</si>
  <si>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</si>
  <si>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</si>
  <si>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</si>
  <si>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</si>
  <si>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</si>
  <si>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</si>
  <si>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</si>
  <si>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</si>
  <si>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</si>
  <si>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</si>
  <si>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</si>
  <si>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</si>
  <si>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</si>
  <si>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</si>
  <si>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</si>
  <si>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</si>
  <si>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</si>
  <si>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</si>
  <si>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</si>
  <si>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</si>
  <si>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</si>
  <si>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</si>
  <si>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</si>
  <si>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</si>
  <si>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</si>
  <si>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</si>
  <si>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</si>
  <si>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</si>
  <si>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</si>
  <si>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</si>
  <si>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</si>
  <si>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</si>
  <si>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</si>
  <si>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</si>
  <si>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</si>
  <si>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</si>
  <si>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</si>
  <si>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</si>
  <si>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</si>
  <si>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</si>
  <si>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</si>
  <si>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</si>
  <si>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</si>
  <si>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</si>
  <si>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</si>
  <si>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</si>
  <si>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</si>
  <si>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العربة باكتشاف الهدف 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</si>
  <si>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العربة بتتبع الهدف رادارياً وبصريا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</si>
  <si>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تسجيل معلومات الهدف ف نموذج الاشتباك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</si>
  <si>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إبلاغ قائد السرية بالموقف.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</si>
  <si>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السرية بتمرير المعلومة لباقي العربات </t>
    </r>
  </si>
  <si>
    <r>
      <t>6.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السرية بتمرير معلومات الهدف لمركز العمليات الجوي /خلية تنسيق النيران</t>
    </r>
  </si>
  <si>
    <r>
      <t>7.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تمييز الهدف معادي/ غير معادي </t>
    </r>
  </si>
  <si>
    <r>
      <t>8.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التعامل مع الهدف المعادي وإسقاطه </t>
    </r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</si>
  <si>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عناصر الدفاع الجوي إجراءات رد فعل حسب القائمة التالية:</t>
    </r>
  </si>
  <si>
    <t>تقييم رد فعل عناصر الدفاع الجوي على التهديد الجوي - اليوم/1 - تقييم معضلة/10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</si>
</sst>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49" fontId="5" fillId="0" borderId="26" xfId="0" applyNumberFormat="1" applyFont="1" applyBorder="1" applyAlignment="1" applyProtection="1">
      <alignment horizontal="right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5" t="s">
        <v>188</v>
      </c>
      <c r="C1" s="55"/>
      <c r="D1" s="55"/>
      <c r="E1" s="55"/>
      <c r="F1" s="55"/>
      <c r="G1" s="55"/>
      <c r="H1" s="55"/>
      <c r="I1" s="55"/>
      <c r="J1" s="55"/>
    </row>
    <row r="2" spans="1:10" ht="45" customHeight="1" x14ac:dyDescent="0.2">
      <c r="B2" s="66" t="s">
        <v>187</v>
      </c>
      <c r="C2" s="66"/>
      <c r="D2" s="66"/>
      <c r="E2" s="66"/>
      <c r="F2" s="66"/>
      <c r="G2" s="66"/>
      <c r="H2" s="66"/>
      <c r="I2" s="66"/>
      <c r="J2" s="66"/>
    </row>
    <row r="3" spans="1:10" ht="30" customHeight="1" x14ac:dyDescent="0.2">
      <c r="B3" s="11" t="s">
        <v>8</v>
      </c>
      <c r="C3" s="61" t="s">
        <v>57</v>
      </c>
      <c r="D3" s="61"/>
      <c r="E3" s="11" t="s">
        <v>7</v>
      </c>
      <c r="F3" s="56" t="s">
        <v>56</v>
      </c>
      <c r="G3" s="56"/>
      <c r="H3" s="56"/>
      <c r="I3" s="56"/>
      <c r="J3" s="56"/>
    </row>
    <row r="4" spans="1:10" ht="30" customHeight="1" x14ac:dyDescent="0.2">
      <c r="B4" s="11" t="s">
        <v>9</v>
      </c>
      <c r="C4" s="61" t="s">
        <v>60</v>
      </c>
      <c r="D4" s="61"/>
      <c r="E4" s="11" t="s">
        <v>6</v>
      </c>
      <c r="F4" s="61" t="s">
        <v>59</v>
      </c>
      <c r="G4" s="61"/>
      <c r="H4" s="61"/>
      <c r="I4" s="61"/>
      <c r="J4" s="61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57" t="s">
        <v>0</v>
      </c>
      <c r="C6" s="58"/>
      <c r="D6" s="58"/>
      <c r="E6" s="62" t="s">
        <v>1</v>
      </c>
      <c r="F6" s="62"/>
      <c r="G6" s="62"/>
      <c r="H6" s="62"/>
      <c r="I6" s="62" t="s">
        <v>2</v>
      </c>
      <c r="J6" s="63"/>
    </row>
    <row r="7" spans="1:10" ht="24.95" customHeight="1" thickBot="1" x14ac:dyDescent="0.25">
      <c r="A7" s="9"/>
      <c r="B7" s="59"/>
      <c r="C7" s="60"/>
      <c r="D7" s="60"/>
      <c r="E7" s="10" t="s">
        <v>3</v>
      </c>
      <c r="F7" s="10" t="s">
        <v>4</v>
      </c>
      <c r="G7" s="10" t="s">
        <v>23</v>
      </c>
      <c r="H7" s="10" t="s">
        <v>24</v>
      </c>
      <c r="I7" s="64"/>
      <c r="J7" s="65"/>
    </row>
    <row r="8" spans="1:10" ht="24.95" customHeight="1" thickBot="1" x14ac:dyDescent="0.25">
      <c r="A8" s="9"/>
      <c r="B8" s="51" t="s">
        <v>21</v>
      </c>
      <c r="C8" s="52"/>
      <c r="D8" s="52"/>
      <c r="E8" s="29" t="s">
        <v>18</v>
      </c>
      <c r="F8" s="29" t="s">
        <v>19</v>
      </c>
      <c r="G8" s="29" t="s">
        <v>22</v>
      </c>
      <c r="H8" s="29" t="s">
        <v>20</v>
      </c>
      <c r="I8" s="53" t="s">
        <v>25</v>
      </c>
      <c r="J8" s="54"/>
    </row>
    <row r="9" spans="1:10" ht="30" customHeight="1" x14ac:dyDescent="0.2">
      <c r="A9" s="9"/>
      <c r="B9" s="90" t="s">
        <v>179</v>
      </c>
      <c r="C9" s="91"/>
      <c r="D9" s="91"/>
      <c r="E9" s="34">
        <v>3</v>
      </c>
      <c r="F9" s="35" t="s">
        <v>61</v>
      </c>
      <c r="G9" s="36" t="str">
        <f>IFERROR(F9/E9,"")</f>
        <v/>
      </c>
      <c r="H9" s="37" t="str">
        <f>_xlfn.IFS(F9="أدخل العلامة","",F9="لا ينطبق","تم الإلغاء",G9&gt;=90%,"ممتاز",G9&gt;=80%,"جيد جداً",G9&gt;=70%,"جيد",G9&gt;=60%,"مقبول",G9&lt;60%,"راسب")</f>
        <v/>
      </c>
      <c r="I9" s="45"/>
      <c r="J9" s="46"/>
    </row>
    <row r="10" spans="1:10" ht="30" customHeight="1" x14ac:dyDescent="0.2">
      <c r="A10" s="9"/>
      <c r="B10" s="75" t="s">
        <v>180</v>
      </c>
      <c r="C10" s="76"/>
      <c r="D10" s="76"/>
      <c r="E10" s="31">
        <v>3</v>
      </c>
      <c r="F10" s="27" t="s">
        <v>61</v>
      </c>
      <c r="G10" s="32" t="str">
        <f>IFERROR(F10/E10,"")</f>
        <v/>
      </c>
      <c r="H10" s="33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47"/>
      <c r="J10" s="48"/>
    </row>
    <row r="11" spans="1:10" ht="30" customHeight="1" x14ac:dyDescent="0.2">
      <c r="A11" s="9"/>
      <c r="B11" s="75" t="s">
        <v>181</v>
      </c>
      <c r="C11" s="76"/>
      <c r="D11" s="76"/>
      <c r="E11" s="31">
        <v>3</v>
      </c>
      <c r="F11" s="27" t="s">
        <v>61</v>
      </c>
      <c r="G11" s="32" t="str">
        <f t="shared" ref="G11:G16" si="0">IFERROR(F11/E11,"")</f>
        <v/>
      </c>
      <c r="H11" s="33" t="str">
        <f t="shared" ref="H11:H16" si="1">_xlfn.IFS(F11="أدخل العلامة","",F11="لا ينطبق","تم الإلغاء",G11&gt;=90%,"ممتاز",G11&gt;=80%,"جيد جداً",G11&gt;=70%,"جيد",G11&gt;=60%,"مقبول",G11&lt;60%,"راسب")</f>
        <v/>
      </c>
      <c r="I11" s="47"/>
      <c r="J11" s="48"/>
    </row>
    <row r="12" spans="1:10" ht="30" customHeight="1" x14ac:dyDescent="0.2">
      <c r="A12" s="9"/>
      <c r="B12" s="75" t="s">
        <v>182</v>
      </c>
      <c r="C12" s="76"/>
      <c r="D12" s="76"/>
      <c r="E12" s="31">
        <v>3</v>
      </c>
      <c r="F12" s="27" t="s">
        <v>61</v>
      </c>
      <c r="G12" s="32" t="str">
        <f t="shared" si="0"/>
        <v/>
      </c>
      <c r="H12" s="33" t="str">
        <f t="shared" si="1"/>
        <v/>
      </c>
      <c r="I12" s="47"/>
      <c r="J12" s="48"/>
    </row>
    <row r="13" spans="1:10" ht="30" customHeight="1" x14ac:dyDescent="0.2">
      <c r="A13" s="9"/>
      <c r="B13" s="75" t="s">
        <v>183</v>
      </c>
      <c r="C13" s="76"/>
      <c r="D13" s="76"/>
      <c r="E13" s="31">
        <v>3</v>
      </c>
      <c r="F13" s="27" t="s">
        <v>61</v>
      </c>
      <c r="G13" s="32" t="str">
        <f t="shared" si="0"/>
        <v/>
      </c>
      <c r="H13" s="33" t="str">
        <f t="shared" si="1"/>
        <v/>
      </c>
      <c r="I13" s="47"/>
      <c r="J13" s="48"/>
    </row>
    <row r="14" spans="1:10" ht="39.950000000000003" customHeight="1" x14ac:dyDescent="0.2">
      <c r="A14" s="9"/>
      <c r="B14" s="75" t="s">
        <v>184</v>
      </c>
      <c r="C14" s="76"/>
      <c r="D14" s="76"/>
      <c r="E14" s="31">
        <v>3</v>
      </c>
      <c r="F14" s="27" t="s">
        <v>61</v>
      </c>
      <c r="G14" s="32" t="str">
        <f t="shared" si="0"/>
        <v/>
      </c>
      <c r="H14" s="33" t="str">
        <f t="shared" si="1"/>
        <v/>
      </c>
      <c r="I14" s="47"/>
      <c r="J14" s="48"/>
    </row>
    <row r="15" spans="1:10" ht="30" customHeight="1" x14ac:dyDescent="0.2">
      <c r="A15" s="9"/>
      <c r="B15" s="75" t="s">
        <v>185</v>
      </c>
      <c r="C15" s="76"/>
      <c r="D15" s="76"/>
      <c r="E15" s="31">
        <v>3</v>
      </c>
      <c r="F15" s="27" t="s">
        <v>61</v>
      </c>
      <c r="G15" s="32" t="str">
        <f t="shared" si="0"/>
        <v/>
      </c>
      <c r="H15" s="33" t="str">
        <f t="shared" si="1"/>
        <v/>
      </c>
      <c r="I15" s="47"/>
      <c r="J15" s="48"/>
    </row>
    <row r="16" spans="1:10" ht="30" customHeight="1" thickBot="1" x14ac:dyDescent="0.25">
      <c r="A16" s="9"/>
      <c r="B16" s="77" t="s">
        <v>186</v>
      </c>
      <c r="C16" s="78"/>
      <c r="D16" s="78"/>
      <c r="E16" s="38">
        <v>3</v>
      </c>
      <c r="F16" s="28" t="s">
        <v>61</v>
      </c>
      <c r="G16" s="39" t="str">
        <f t="shared" si="0"/>
        <v/>
      </c>
      <c r="H16" s="40" t="str">
        <f t="shared" si="1"/>
        <v/>
      </c>
      <c r="I16" s="49"/>
      <c r="J16" s="50"/>
    </row>
    <row r="17" spans="1:10" ht="30" customHeight="1" thickBot="1" x14ac:dyDescent="0.25">
      <c r="A17" s="4"/>
      <c r="B17" s="69" t="s">
        <v>5</v>
      </c>
      <c r="C17" s="70"/>
      <c r="D17" s="70"/>
      <c r="E17" s="30">
        <f>SUM(E9:E16)</f>
        <v>24</v>
      </c>
      <c r="F17" s="30">
        <f>SUM(F9:F16)</f>
        <v>0</v>
      </c>
      <c r="G17" s="85"/>
      <c r="H17" s="86"/>
      <c r="I17" s="86"/>
      <c r="J17" s="87"/>
    </row>
    <row r="18" spans="1:10" ht="30" customHeight="1" thickBot="1" x14ac:dyDescent="0.25">
      <c r="A18" s="4"/>
      <c r="B18" s="71" t="s">
        <v>54</v>
      </c>
      <c r="C18" s="72"/>
      <c r="D18" s="72"/>
      <c r="E18" s="88">
        <f>F17/E17/100*100</f>
        <v>0</v>
      </c>
      <c r="F18" s="88"/>
      <c r="G18" s="88"/>
      <c r="H18" s="88"/>
      <c r="I18" s="88"/>
      <c r="J18" s="89"/>
    </row>
    <row r="19" spans="1:10" ht="30" customHeight="1" thickBot="1" x14ac:dyDescent="0.25">
      <c r="A19" s="4"/>
      <c r="B19" s="71" t="s">
        <v>55</v>
      </c>
      <c r="C19" s="72"/>
      <c r="D19" s="72"/>
      <c r="E19" s="43" t="str">
        <f>_xlfn.IFS(E18&gt;=90%,"ممتاز",E18&gt;=80%,"جيد جداً",E18&gt;=70%,"جيد",E18&gt;=60%,"مقبول",E18&lt;60%,"راسب")</f>
        <v>راسب</v>
      </c>
      <c r="F19" s="43"/>
      <c r="G19" s="43"/>
      <c r="H19" s="43"/>
      <c r="I19" s="43"/>
      <c r="J19" s="44"/>
    </row>
    <row r="20" spans="1:10" ht="42" customHeight="1" x14ac:dyDescent="0.2">
      <c r="B20" s="73" t="s">
        <v>178</v>
      </c>
      <c r="C20" s="73"/>
      <c r="D20" s="73"/>
      <c r="E20" s="83" t="s">
        <v>52</v>
      </c>
      <c r="F20" s="83"/>
      <c r="G20" s="41" t="s">
        <v>59</v>
      </c>
      <c r="H20" s="41"/>
      <c r="I20" s="41"/>
      <c r="J20" s="41"/>
    </row>
    <row r="21" spans="1:10" ht="51" customHeight="1" x14ac:dyDescent="0.2">
      <c r="A21" s="5"/>
      <c r="B21" s="74"/>
      <c r="C21" s="74"/>
      <c r="D21" s="74"/>
      <c r="E21" s="84" t="s">
        <v>53</v>
      </c>
      <c r="F21" s="84"/>
      <c r="G21" s="42"/>
      <c r="H21" s="42"/>
      <c r="I21" s="42"/>
      <c r="J21" s="42"/>
    </row>
    <row r="22" spans="1:10" ht="15.75" x14ac:dyDescent="0.2">
      <c r="A22" s="24">
        <v>3</v>
      </c>
      <c r="B22" s="79" t="s">
        <v>175</v>
      </c>
      <c r="C22" s="80"/>
    </row>
    <row r="23" spans="1:10" ht="15.75" x14ac:dyDescent="0.2">
      <c r="A23" s="25">
        <v>2</v>
      </c>
      <c r="B23" s="81" t="s">
        <v>176</v>
      </c>
      <c r="C23" s="82"/>
    </row>
    <row r="24" spans="1:10" ht="15.75" x14ac:dyDescent="0.2">
      <c r="A24" s="26">
        <v>1</v>
      </c>
      <c r="B24" s="67" t="s">
        <v>177</v>
      </c>
      <c r="C24" s="6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B12:D12"/>
    <mergeCell ref="B13:D13"/>
    <mergeCell ref="B14:D14"/>
    <mergeCell ref="B15:D15"/>
    <mergeCell ref="B16:D16"/>
    <mergeCell ref="B22:C22"/>
    <mergeCell ref="B23:C23"/>
    <mergeCell ref="B24:C24"/>
    <mergeCell ref="B17:D17"/>
    <mergeCell ref="B18:D18"/>
    <mergeCell ref="B19:D19"/>
    <mergeCell ref="B20:D21"/>
    <mergeCell ref="B8:D8"/>
    <mergeCell ref="I10:J10"/>
    <mergeCell ref="I8:J8"/>
    <mergeCell ref="I11:J11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B9:D9"/>
    <mergeCell ref="B10:D10"/>
    <mergeCell ref="B11:D11"/>
    <mergeCell ref="G20:J20"/>
    <mergeCell ref="G21:J21"/>
    <mergeCell ref="E19:J19"/>
    <mergeCell ref="I9:J9"/>
    <mergeCell ref="I12:J12"/>
    <mergeCell ref="I13:J13"/>
    <mergeCell ref="I16:J16"/>
    <mergeCell ref="I14:J14"/>
    <mergeCell ref="I15:J15"/>
    <mergeCell ref="E20:F20"/>
    <mergeCell ref="E21:F21"/>
    <mergeCell ref="G17:J17"/>
    <mergeCell ref="E18:J18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9:F16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9:H16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2025-10-20T08:56:35Z</dcterms:modified>
</cp:coreProperties>
</file>