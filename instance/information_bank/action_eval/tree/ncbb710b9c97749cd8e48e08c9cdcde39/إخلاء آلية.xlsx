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04448E05-E93C-4DC6-BF89-28D8AEFC182E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التقييم'!$A$1:$J$20</definedName>
    <definedName name="_xlnm.Print_Titles" localSheetId="0">'قائمة التقييم'!$7:$7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1" i="2"/>
  <c r="H11" i="2" s="1"/>
  <c r="G12" i="2"/>
  <c r="H12" i="2" s="1"/>
  <c r="G8" i="2" l="1"/>
  <c r="H8" i="2" s="1"/>
  <c r="F13" i="2" l="1"/>
  <c r="E13" i="2" l="1"/>
  <c r="E14" i="2" l="1"/>
  <c r="E15" i="2" s="1"/>
</calcChain>
</file>

<file path=xl/sharedStrings.xml><?xml version="1.0" encoding="utf-8"?>
<sst xmlns="http://schemas.openxmlformats.org/spreadsheetml/2006/main" count="247" uniqueCount="185">
  <si>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</si>
  <si>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</si>
  <si>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</si>
  <si>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</si>
  <si>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</si>
  <si>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</si>
  <si>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</si>
  <si>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</si>
  <si>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</si>
  <si>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</si>
  <si>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</si>
  <si>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</si>
  <si>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</si>
  <si>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</si>
  <si>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</si>
  <si>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</si>
  <si>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</si>
  <si>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</si>
  <si>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</si>
  <si>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</si>
  <si>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</si>
  <si>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</si>
  <si>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</si>
  <si>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</si>
  <si>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</si>
  <si>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</si>
  <si>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</si>
  <si>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</si>
  <si>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</si>
  <si>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</si>
  <si>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</si>
  <si>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</si>
  <si>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</si>
  <si>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</si>
  <si>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</si>
  <si>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</si>
  <si>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</si>
  <si>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</si>
  <si>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</si>
  <si>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</si>
  <si>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</si>
  <si>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</si>
  <si>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</si>
  <si>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</si>
  <si>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</si>
  <si>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</si>
  <si>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</si>
  <si>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</si>
  <si>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</si>
  <si>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</si>
  <si>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</si>
  <si>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</si>
  <si>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</si>
  <si>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</si>
  <si>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</si>
  <si>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</si>
  <si>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</si>
  <si>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</si>
  <si>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</si>
  <si>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</si>
  <si>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</si>
  <si>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</si>
  <si>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</si>
  <si>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</si>
  <si>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</si>
  <si>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</si>
  <si>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</si>
  <si>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</si>
  <si>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</si>
  <si>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</si>
  <si>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</si>
  <si>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</si>
  <si>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</si>
  <si>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</si>
  <si>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</si>
  <si>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</si>
  <si>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</si>
  <si>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</si>
  <si>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</si>
  <si>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</si>
  <si>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</si>
  <si>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</si>
  <si>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</si>
  <si>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</si>
  <si>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</si>
  <si>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</si>
  <si>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</si>
  <si>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</si>
  <si>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</si>
  <si>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</si>
  <si>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</si>
  <si>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</si>
  <si>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</si>
  <si>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</si>
  <si>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</si>
  <si>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</si>
  <si>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</si>
  <si>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</si>
  <si>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</si>
  <si>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</si>
  <si>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</si>
  <si>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</si>
  <si>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</si>
  <si>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</si>
  <si>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</si>
  <si>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</si>
  <si>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</si>
  <si>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</si>
  <si>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</si>
  <si>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</si>
  <si>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</si>
  <si>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</si>
  <si>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</si>
  <si>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</si>
  <si>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</si>
  <si>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</si>
  <si>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</si>
  <si>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</si>
  <si>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</si>
  <si>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</si>
  <si>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</si>
  <si>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</si>
  <si>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</si>
  <si>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</si>
  <si>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</si>
  <si>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</si>
  <si>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</si>
  <si>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</si>
  <si>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</si>
  <si>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</si>
  <si>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</si>
  <si>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</si>
  <si>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</si>
  <si>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</si>
  <si>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</si>
  <si>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</si>
  <si>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</si>
  <si>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</si>
  <si>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</si>
  <si>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</si>
  <si>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</si>
  <si>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</si>
  <si>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</si>
  <si>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</si>
  <si>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</si>
  <si>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</si>
  <si>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</si>
  <si>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</si>
  <si>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</si>
  <si>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</si>
  <si>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</si>
  <si>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</si>
  <si>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</si>
  <si>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</si>
  <si>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</si>
  <si>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</si>
  <si>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</si>
  <si>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</si>
  <si>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</si>
  <si>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</si>
  <si>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</si>
  <si>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</si>
  <si>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</si>
  <si>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</si>
  <si>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</si>
  <si>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</si>
  <si>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</si>
  <si>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</si>
  <si>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</si>
  <si>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</si>
  <si>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</si>
  <si>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</si>
  <si>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</si>
  <si>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</si>
  <si>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</si>
  <si>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</si>
  <si>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</si>
  <si>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</si>
  <si>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</si>
  <si>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2.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الإخلاء حتى مستوى نقطة جمع وتصنيف الآليات المعطلة.</t>
    </r>
  </si>
  <si>
    <r>
      <t>5.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الإخلاء حسب مستويات الإخلاء.</t>
    </r>
  </si>
  <si>
    <r>
      <t>1.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وفرت دبابات/آليات الإنقاذ الموجودة في فصيلة الصيانة الإسناد اللازم لأطقم الصيانة المساندة لوحدات المناورة في اتجاه أكبر خسائر.</t>
    </r>
  </si>
  <si>
    <r>
      <t>3.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إخلاء الآليات المعطلة حسب الأهمية التعبوية للآلية وبأسبقية الإخلاء للأعطال التي تستغرق وقت أقل للإصلاح.</t>
    </r>
  </si>
  <si>
    <r>
      <t>4.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قامت آليات الإنقاذ "ب" بتجميع أعطال قيادة الكتيبة والتي تحتاج لوقت إصلاح يزيد عن (2) ساعة إلى نقطة جمع الآليات المعطلة لمجموعة القتال لإصلاحها.</t>
    </r>
  </si>
  <si>
    <t>تقييم إخلاء آلية - اليوم/1 - تقييم معضلة/10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</si>
</sst>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3" fillId="0" borderId="25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0"/>
  <sheetViews>
    <sheetView rightToLeft="1" tabSelected="1" view="pageBreakPreview" zoomScale="136" zoomScaleNormal="100" zoomScaleSheetLayoutView="136" workbookViewId="0">
      <selection activeCell="E6" sqref="E6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3" t="s">
        <v>184</v>
      </c>
      <c r="C1" s="63"/>
      <c r="D1" s="63"/>
      <c r="E1" s="63"/>
      <c r="F1" s="63"/>
      <c r="G1" s="63"/>
      <c r="H1" s="63"/>
      <c r="I1" s="63"/>
      <c r="J1" s="63"/>
    </row>
    <row r="2" spans="1:10" ht="30" customHeight="1" x14ac:dyDescent="0.2">
      <c r="B2" s="11" t="s">
        <v>8</v>
      </c>
      <c r="C2" s="69" t="s">
        <v>57</v>
      </c>
      <c r="D2" s="69"/>
      <c r="E2" s="11" t="s">
        <v>7</v>
      </c>
      <c r="F2" s="64" t="s">
        <v>56</v>
      </c>
      <c r="G2" s="64"/>
      <c r="H2" s="64"/>
      <c r="I2" s="64"/>
      <c r="J2" s="64"/>
    </row>
    <row r="3" spans="1:10" ht="30" customHeight="1" x14ac:dyDescent="0.2">
      <c r="B3" s="11" t="s">
        <v>9</v>
      </c>
      <c r="C3" s="69" t="s">
        <v>60</v>
      </c>
      <c r="D3" s="69"/>
      <c r="E3" s="11" t="s">
        <v>6</v>
      </c>
      <c r="F3" s="69" t="s">
        <v>59</v>
      </c>
      <c r="G3" s="69"/>
      <c r="H3" s="69"/>
      <c r="I3" s="69"/>
      <c r="J3" s="69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9"/>
      <c r="B5" s="65" t="s">
        <v>0</v>
      </c>
      <c r="C5" s="66"/>
      <c r="D5" s="66"/>
      <c r="E5" s="70" t="s">
        <v>1</v>
      </c>
      <c r="F5" s="70"/>
      <c r="G5" s="70"/>
      <c r="H5" s="70"/>
      <c r="I5" s="70" t="s">
        <v>2</v>
      </c>
      <c r="J5" s="71"/>
    </row>
    <row r="6" spans="1:10" ht="24.95" customHeight="1" thickBot="1" x14ac:dyDescent="0.25">
      <c r="A6" s="9"/>
      <c r="B6" s="67"/>
      <c r="C6" s="68"/>
      <c r="D6" s="68"/>
      <c r="E6" s="10" t="s">
        <v>3</v>
      </c>
      <c r="F6" s="10" t="s">
        <v>4</v>
      </c>
      <c r="G6" s="10" t="s">
        <v>23</v>
      </c>
      <c r="H6" s="10" t="s">
        <v>24</v>
      </c>
      <c r="I6" s="72"/>
      <c r="J6" s="73"/>
    </row>
    <row r="7" spans="1:10" ht="24.95" customHeight="1" thickBot="1" x14ac:dyDescent="0.25">
      <c r="A7" s="9"/>
      <c r="B7" s="41" t="s">
        <v>21</v>
      </c>
      <c r="C7" s="42"/>
      <c r="D7" s="42"/>
      <c r="E7" s="29" t="s">
        <v>18</v>
      </c>
      <c r="F7" s="29" t="s">
        <v>19</v>
      </c>
      <c r="G7" s="29" t="s">
        <v>22</v>
      </c>
      <c r="H7" s="29" t="s">
        <v>20</v>
      </c>
      <c r="I7" s="74" t="s">
        <v>25</v>
      </c>
      <c r="J7" s="75"/>
    </row>
    <row r="8" spans="1:10" ht="39.950000000000003" customHeight="1" x14ac:dyDescent="0.2">
      <c r="A8" s="9"/>
      <c r="B8" s="57" t="s">
        <v>181</v>
      </c>
      <c r="C8" s="58"/>
      <c r="D8" s="58"/>
      <c r="E8" s="34">
        <v>3</v>
      </c>
      <c r="F8" s="35" t="s">
        <v>61</v>
      </c>
      <c r="G8" s="36" t="str">
        <f>IFERROR(F8/E8,"")</f>
        <v/>
      </c>
      <c r="H8" s="37" t="str">
        <f>_xlfn.IFS(F8="أدخل العلامة","",F8="لا ينطبق","تم الإلغاء",G8&gt;=90%,"ممتاز",G8&gt;=80%,"جيد جداً",G8&gt;=70%,"جيد",G8&gt;=60%,"مقبول",G8&lt;60%,"راسب")</f>
        <v/>
      </c>
      <c r="I8" s="87"/>
      <c r="J8" s="88"/>
    </row>
    <row r="9" spans="1:10" ht="39.950000000000003" customHeight="1" x14ac:dyDescent="0.2">
      <c r="A9" s="9"/>
      <c r="B9" s="59" t="s">
        <v>179</v>
      </c>
      <c r="C9" s="60"/>
      <c r="D9" s="60"/>
      <c r="E9" s="31">
        <v>3</v>
      </c>
      <c r="F9" s="27" t="s">
        <v>61</v>
      </c>
      <c r="G9" s="32" t="str">
        <f>IFERROR(F9/E9,"")</f>
        <v/>
      </c>
      <c r="H9" s="33" t="str">
        <f>_xlfn.IFS(F9="أدخل العلامة","",F9="لا ينطبق","تم الإلغاء",G9&gt;=90%,"ممتاز",G9&gt;=80%,"جيد جداً",G9&gt;=70%,"جيد",G9&gt;=60%,"مقبول",G9&lt;60%,"راسب")</f>
        <v/>
      </c>
      <c r="I9" s="43"/>
      <c r="J9" s="44"/>
    </row>
    <row r="10" spans="1:10" ht="39.950000000000003" customHeight="1" x14ac:dyDescent="0.2">
      <c r="A10" s="9"/>
      <c r="B10" s="59" t="s">
        <v>182</v>
      </c>
      <c r="C10" s="60"/>
      <c r="D10" s="60"/>
      <c r="E10" s="31">
        <v>3</v>
      </c>
      <c r="F10" s="27" t="s">
        <v>61</v>
      </c>
      <c r="G10" s="32" t="str">
        <f t="shared" ref="G10:G12" si="0">IFERROR(F10/E10,"")</f>
        <v/>
      </c>
      <c r="H10" s="33" t="str">
        <f t="shared" ref="H10:H12" si="1">_xlfn.IFS(F10="أدخل العلامة","",F10="لا ينطبق","تم الإلغاء",G10&gt;=90%,"ممتاز",G10&gt;=80%,"جيد جداً",G10&gt;=70%,"جيد",G10&gt;=60%,"مقبول",G10&lt;60%,"راسب")</f>
        <v/>
      </c>
      <c r="I10" s="43"/>
      <c r="J10" s="44"/>
    </row>
    <row r="11" spans="1:10" ht="57" customHeight="1" x14ac:dyDescent="0.2">
      <c r="A11" s="9"/>
      <c r="B11" s="59" t="s">
        <v>183</v>
      </c>
      <c r="C11" s="60"/>
      <c r="D11" s="60"/>
      <c r="E11" s="31">
        <v>3</v>
      </c>
      <c r="F11" s="27" t="s">
        <v>61</v>
      </c>
      <c r="G11" s="32" t="str">
        <f t="shared" si="0"/>
        <v/>
      </c>
      <c r="H11" s="33" t="str">
        <f t="shared" si="1"/>
        <v/>
      </c>
      <c r="I11" s="43"/>
      <c r="J11" s="44"/>
    </row>
    <row r="12" spans="1:10" ht="39.950000000000003" customHeight="1" thickBot="1" x14ac:dyDescent="0.25">
      <c r="A12" s="9"/>
      <c r="B12" s="61" t="s">
        <v>180</v>
      </c>
      <c r="C12" s="62"/>
      <c r="D12" s="62"/>
      <c r="E12" s="38">
        <v>3</v>
      </c>
      <c r="F12" s="28" t="s">
        <v>61</v>
      </c>
      <c r="G12" s="39" t="str">
        <f t="shared" si="0"/>
        <v/>
      </c>
      <c r="H12" s="40" t="str">
        <f t="shared" si="1"/>
        <v/>
      </c>
      <c r="I12" s="89"/>
      <c r="J12" s="90"/>
    </row>
    <row r="13" spans="1:10" ht="30" customHeight="1" thickBot="1" x14ac:dyDescent="0.25">
      <c r="A13" s="4"/>
      <c r="B13" s="51" t="s">
        <v>5</v>
      </c>
      <c r="C13" s="52"/>
      <c r="D13" s="52"/>
      <c r="E13" s="30">
        <f>SUM(E8:E12)</f>
        <v>15</v>
      </c>
      <c r="F13" s="30">
        <f>SUM(F8:F12)</f>
        <v>0</v>
      </c>
      <c r="G13" s="78"/>
      <c r="H13" s="79"/>
      <c r="I13" s="79"/>
      <c r="J13" s="80"/>
    </row>
    <row r="14" spans="1:10" ht="30" customHeight="1" thickBot="1" x14ac:dyDescent="0.25">
      <c r="A14" s="4"/>
      <c r="B14" s="53" t="s">
        <v>54</v>
      </c>
      <c r="C14" s="54"/>
      <c r="D14" s="54"/>
      <c r="E14" s="81">
        <f>F13/E13/100*100</f>
        <v>0</v>
      </c>
      <c r="F14" s="81"/>
      <c r="G14" s="81"/>
      <c r="H14" s="81"/>
      <c r="I14" s="81"/>
      <c r="J14" s="82"/>
    </row>
    <row r="15" spans="1:10" ht="30" customHeight="1" thickBot="1" x14ac:dyDescent="0.25">
      <c r="A15" s="4"/>
      <c r="B15" s="53" t="s">
        <v>55</v>
      </c>
      <c r="C15" s="54"/>
      <c r="D15" s="54"/>
      <c r="E15" s="85" t="str">
        <f>_xlfn.IFS(E14&gt;=90%,"ممتاز",E14&gt;=80%,"جيد جداً",E14&gt;=70%,"جيد",E14&gt;=60%,"مقبول",E14&lt;60%,"راسب")</f>
        <v>راسب</v>
      </c>
      <c r="F15" s="85"/>
      <c r="G15" s="85"/>
      <c r="H15" s="85"/>
      <c r="I15" s="85"/>
      <c r="J15" s="86"/>
    </row>
    <row r="16" spans="1:10" ht="42" customHeight="1" x14ac:dyDescent="0.2">
      <c r="B16" s="55" t="s">
        <v>178</v>
      </c>
      <c r="C16" s="55"/>
      <c r="D16" s="55"/>
      <c r="E16" s="76" t="s">
        <v>52</v>
      </c>
      <c r="F16" s="76"/>
      <c r="G16" s="83" t="s">
        <v>59</v>
      </c>
      <c r="H16" s="83"/>
      <c r="I16" s="83"/>
      <c r="J16" s="83"/>
    </row>
    <row r="17" spans="1:10" ht="51" customHeight="1" x14ac:dyDescent="0.2">
      <c r="A17" s="5"/>
      <c r="B17" s="56"/>
      <c r="C17" s="56"/>
      <c r="D17" s="56"/>
      <c r="E17" s="77" t="s">
        <v>53</v>
      </c>
      <c r="F17" s="77"/>
      <c r="G17" s="84"/>
      <c r="H17" s="84"/>
      <c r="I17" s="84"/>
      <c r="J17" s="84"/>
    </row>
    <row r="18" spans="1:10" ht="15.75" x14ac:dyDescent="0.2">
      <c r="A18" s="24">
        <v>3</v>
      </c>
      <c r="B18" s="45" t="s">
        <v>175</v>
      </c>
      <c r="C18" s="46"/>
    </row>
    <row r="19" spans="1:10" ht="15.75" x14ac:dyDescent="0.2">
      <c r="A19" s="25">
        <v>2</v>
      </c>
      <c r="B19" s="47" t="s">
        <v>176</v>
      </c>
      <c r="C19" s="48"/>
    </row>
    <row r="20" spans="1:10" ht="15.75" x14ac:dyDescent="0.2">
      <c r="A20" s="26">
        <v>1</v>
      </c>
      <c r="B20" s="49" t="s">
        <v>177</v>
      </c>
      <c r="C20" s="5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4">
    <mergeCell ref="I8:J8"/>
    <mergeCell ref="I11:J11"/>
    <mergeCell ref="I12:J12"/>
    <mergeCell ref="E16:F16"/>
    <mergeCell ref="E17:F17"/>
    <mergeCell ref="G13:J13"/>
    <mergeCell ref="E14:J14"/>
    <mergeCell ref="G16:J16"/>
    <mergeCell ref="G17:J17"/>
    <mergeCell ref="E15:J15"/>
    <mergeCell ref="B1:J1"/>
    <mergeCell ref="F2:J2"/>
    <mergeCell ref="B5:D6"/>
    <mergeCell ref="C2:D2"/>
    <mergeCell ref="C3:D3"/>
    <mergeCell ref="F3:J3"/>
    <mergeCell ref="E5:H5"/>
    <mergeCell ref="I5:J6"/>
    <mergeCell ref="B7:D7"/>
    <mergeCell ref="I9:J9"/>
    <mergeCell ref="B18:C18"/>
    <mergeCell ref="B19:C19"/>
    <mergeCell ref="B20:C20"/>
    <mergeCell ref="B13:D13"/>
    <mergeCell ref="B14:D14"/>
    <mergeCell ref="B15:D15"/>
    <mergeCell ref="B16:D17"/>
    <mergeCell ref="B8:D8"/>
    <mergeCell ref="B9:D9"/>
    <mergeCell ref="B10:D10"/>
    <mergeCell ref="B11:D11"/>
    <mergeCell ref="B12:D12"/>
    <mergeCell ref="I7:J7"/>
    <mergeCell ref="I10:J10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5">
    <cfRule type="expression" dxfId="14" priority="57">
      <formula>$E15="راسب"</formula>
    </cfRule>
  </conditionalFormatting>
  <conditionalFormatting sqref="E15:J15">
    <cfRule type="expression" dxfId="13" priority="58">
      <formula>$E15="مقبول"</formula>
    </cfRule>
    <cfRule type="expression" dxfId="12" priority="59">
      <formula>$E15="جيد"</formula>
    </cfRule>
    <cfRule type="expression" dxfId="11" priority="60">
      <formula>$E15="جيد جداً"</formula>
    </cfRule>
    <cfRule type="expression" dxfId="10" priority="61">
      <formula>$E15="ممتاز"</formula>
    </cfRule>
  </conditionalFormatting>
  <conditionalFormatting sqref="F8:F12">
    <cfRule type="containsText" dxfId="9" priority="1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6:J16">
    <cfRule type="containsText" dxfId="6" priority="15" operator="containsText" text="أدخل اسم المحكم">
      <formula>NOT(ISERROR(SEARCH("أدخل اسم المحكم",G16)))</formula>
    </cfRule>
  </conditionalFormatting>
  <conditionalFormatting sqref="H8:H12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G16:J16 F3:J3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F8:F12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F2:J2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" workbookViewId="0">
      <selection activeCell="D30" sqref="D30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</row>
    <row r="42" spans="1:9" ht="20.100000000000001" customHeight="1" thickBot="1" x14ac:dyDescent="0.25">
      <c r="A42" s="12">
        <v>45934</v>
      </c>
    </row>
    <row r="43" spans="1:9" ht="20.100000000000001" customHeight="1" thickBot="1" x14ac:dyDescent="0.25">
      <c r="A43" s="12">
        <v>45935</v>
      </c>
    </row>
    <row r="44" spans="1:9" ht="20.100000000000001" customHeight="1" thickBot="1" x14ac:dyDescent="0.25">
      <c r="A44" s="12">
        <v>45936</v>
      </c>
    </row>
    <row r="45" spans="1:9" ht="20.100000000000001" customHeight="1" thickBot="1" x14ac:dyDescent="0.25">
      <c r="A45" s="12">
        <v>45937</v>
      </c>
    </row>
    <row r="46" spans="1:9" ht="20.100000000000001" customHeight="1" thickBot="1" x14ac:dyDescent="0.25">
      <c r="A46" s="12">
        <v>45938</v>
      </c>
    </row>
    <row r="47" spans="1:9" ht="20.100000000000001" customHeight="1" thickBot="1" x14ac:dyDescent="0.25">
      <c r="A47" s="12">
        <v>45939</v>
      </c>
    </row>
    <row r="48" spans="1:9" ht="20.100000000000001" customHeight="1" thickBot="1" x14ac:dyDescent="0.25">
      <c r="A48" s="12">
        <v>45940</v>
      </c>
    </row>
    <row r="49" spans="1:1" ht="20.100000000000001" customHeight="1" thickBot="1" x14ac:dyDescent="0.25">
      <c r="A49" s="12">
        <v>45941</v>
      </c>
    </row>
    <row r="50" spans="1:1" ht="20.100000000000001" customHeight="1" thickBot="1" x14ac:dyDescent="0.25">
      <c r="A50" s="12">
        <v>45942</v>
      </c>
    </row>
    <row r="51" spans="1:1" ht="20.100000000000001" customHeight="1" thickBot="1" x14ac:dyDescent="0.25">
      <c r="A51" s="12">
        <v>45943</v>
      </c>
    </row>
    <row r="52" spans="1:1" ht="20.100000000000001" customHeight="1" thickBot="1" x14ac:dyDescent="0.25">
      <c r="A52" s="12">
        <v>45944</v>
      </c>
    </row>
    <row r="53" spans="1:1" ht="20.100000000000001" customHeight="1" thickBot="1" x14ac:dyDescent="0.25">
      <c r="A53" s="12">
        <v>45945</v>
      </c>
    </row>
    <row r="54" spans="1:1" ht="20.100000000000001" customHeight="1" thickBot="1" x14ac:dyDescent="0.25">
      <c r="A54" s="12">
        <v>45946</v>
      </c>
    </row>
    <row r="55" spans="1:1" ht="20.100000000000001" customHeight="1" thickBot="1" x14ac:dyDescent="0.25">
      <c r="A55" s="12">
        <v>45947</v>
      </c>
    </row>
    <row r="56" spans="1:1" ht="20.100000000000001" customHeight="1" thickBot="1" x14ac:dyDescent="0.25">
      <c r="A56" s="12">
        <v>45948</v>
      </c>
    </row>
    <row r="57" spans="1:1" ht="20.100000000000001" customHeight="1" thickBot="1" x14ac:dyDescent="0.25">
      <c r="A57" s="12">
        <v>45949</v>
      </c>
    </row>
    <row r="58" spans="1:1" ht="20.100000000000001" customHeight="1" thickBot="1" x14ac:dyDescent="0.25">
      <c r="A58" s="12">
        <v>45950</v>
      </c>
    </row>
    <row r="59" spans="1:1" ht="20.100000000000001" customHeight="1" thickBot="1" x14ac:dyDescent="0.25">
      <c r="A59" s="12">
        <v>45951</v>
      </c>
    </row>
    <row r="60" spans="1:1" ht="20.100000000000001" customHeight="1" thickBot="1" x14ac:dyDescent="0.25">
      <c r="A60" s="12">
        <v>45952</v>
      </c>
    </row>
    <row r="61" spans="1:1" ht="20.100000000000001" customHeight="1" thickBot="1" x14ac:dyDescent="0.25">
      <c r="A61" s="12">
        <v>45953</v>
      </c>
    </row>
    <row r="62" spans="1:1" ht="20.100000000000001" customHeight="1" thickBot="1" x14ac:dyDescent="0.25">
      <c r="A62" s="12">
        <v>45954</v>
      </c>
    </row>
    <row r="63" spans="1:1" ht="20.100000000000001" customHeight="1" thickBot="1" x14ac:dyDescent="0.25">
      <c r="A63" s="12">
        <v>45955</v>
      </c>
    </row>
    <row r="64" spans="1:1" ht="20.100000000000001" customHeight="1" thickBot="1" x14ac:dyDescent="0.25">
      <c r="A64" s="12">
        <v>45956</v>
      </c>
    </row>
    <row r="65" spans="1:9" ht="20.100000000000001" customHeight="1" thickBot="1" x14ac:dyDescent="0.25">
      <c r="A65" s="12">
        <v>45957</v>
      </c>
    </row>
    <row r="66" spans="1:9" ht="20.100000000000001" customHeight="1" thickBot="1" x14ac:dyDescent="0.25">
      <c r="A66" s="12">
        <v>45958</v>
      </c>
    </row>
    <row r="67" spans="1:9" ht="20.100000000000001" customHeight="1" thickBot="1" x14ac:dyDescent="0.25">
      <c r="A67" s="12">
        <v>45959</v>
      </c>
    </row>
    <row r="68" spans="1:9" ht="20.100000000000001" customHeight="1" thickBot="1" x14ac:dyDescent="0.25">
      <c r="A68" s="12">
        <v>45960</v>
      </c>
    </row>
    <row r="69" spans="1:9" ht="20.100000000000001" customHeight="1" thickBot="1" x14ac:dyDescent="0.25">
      <c r="A69" s="12">
        <v>45961</v>
      </c>
    </row>
    <row r="70" spans="1:9" ht="20.100000000000001" customHeight="1" x14ac:dyDescent="0.2">
      <c r="A70" s="13"/>
    </row>
    <row r="71" spans="1:9" ht="20.100000000000001" customHeight="1" x14ac:dyDescent="0.2">
      <c r="A71" s="13"/>
    </row>
    <row r="72" spans="1:9" s="16" customFormat="1" ht="20.100000000000001" customHeight="1" x14ac:dyDescent="0.2">
      <c r="A72" s="14"/>
      <c r="B72" s="15"/>
      <c r="C72" s="15"/>
      <c r="D72" s="15"/>
      <c r="E72" s="15"/>
      <c r="F72" s="15"/>
      <c r="G72" s="15"/>
      <c r="H72" s="15"/>
      <c r="I72" s="15"/>
    </row>
    <row r="73" spans="1:9" ht="20.100000000000001" customHeight="1" thickBot="1" x14ac:dyDescent="0.25"/>
    <row r="74" spans="1:9" ht="20.100000000000001" customHeight="1" thickBot="1" x14ac:dyDescent="0.25">
      <c r="A74" s="2" t="s">
        <v>61</v>
      </c>
    </row>
    <row r="75" spans="1:9" ht="20.100000000000001" customHeight="1" thickBot="1" x14ac:dyDescent="0.25">
      <c r="A75" s="2" t="s">
        <v>17</v>
      </c>
    </row>
    <row r="76" spans="1:9" ht="20.100000000000001" customHeight="1" thickBot="1" x14ac:dyDescent="0.25">
      <c r="A76" s="2">
        <v>0</v>
      </c>
    </row>
    <row r="77" spans="1:9" ht="20.100000000000001" customHeight="1" thickBot="1" x14ac:dyDescent="0.25">
      <c r="A77" s="2">
        <v>0.25</v>
      </c>
    </row>
    <row r="78" spans="1:9" ht="20.100000000000001" customHeight="1" thickBot="1" x14ac:dyDescent="0.25">
      <c r="A78" s="2">
        <v>0.5</v>
      </c>
    </row>
    <row r="79" spans="1:9" ht="20.100000000000001" customHeight="1" thickBot="1" x14ac:dyDescent="0.25">
      <c r="A79" s="2">
        <v>0.75</v>
      </c>
    </row>
    <row r="80" spans="1:9" ht="20.100000000000001" customHeight="1" thickBot="1" x14ac:dyDescent="0.25">
      <c r="A80" s="2">
        <v>1</v>
      </c>
    </row>
    <row r="81" spans="1:1" ht="20.100000000000001" customHeight="1" thickBot="1" x14ac:dyDescent="0.25">
      <c r="A81" s="2">
        <v>1.25</v>
      </c>
    </row>
    <row r="82" spans="1:1" ht="20.100000000000001" customHeight="1" thickBot="1" x14ac:dyDescent="0.25">
      <c r="A82" s="2">
        <v>1.5</v>
      </c>
    </row>
    <row r="83" spans="1:1" ht="20.100000000000001" customHeight="1" thickBot="1" x14ac:dyDescent="0.25">
      <c r="A83" s="2">
        <v>1.75</v>
      </c>
    </row>
    <row r="84" spans="1:1" ht="20.100000000000001" customHeight="1" thickBot="1" x14ac:dyDescent="0.25">
      <c r="A84" s="2">
        <v>2</v>
      </c>
    </row>
    <row r="85" spans="1:1" ht="20.100000000000001" customHeight="1" thickBot="1" x14ac:dyDescent="0.25">
      <c r="A85" s="2">
        <v>2.25</v>
      </c>
    </row>
    <row r="86" spans="1:1" ht="20.100000000000001" customHeight="1" thickBot="1" x14ac:dyDescent="0.25">
      <c r="A86" s="2">
        <v>2.5</v>
      </c>
    </row>
    <row r="87" spans="1:1" ht="20.100000000000001" customHeight="1" thickBot="1" x14ac:dyDescent="0.25">
      <c r="A87" s="2">
        <v>2.75</v>
      </c>
    </row>
    <row r="88" spans="1:1" ht="20.100000000000001" customHeight="1" thickBot="1" x14ac:dyDescent="0.25">
      <c r="A88" s="2">
        <v>3</v>
      </c>
    </row>
    <row r="89" spans="1:1" ht="20.100000000000001" customHeight="1" thickBot="1" x14ac:dyDescent="0.25">
      <c r="A89" s="2">
        <v>3.25</v>
      </c>
    </row>
    <row r="90" spans="1:1" ht="20.100000000000001" customHeight="1" thickBot="1" x14ac:dyDescent="0.25">
      <c r="A90" s="2">
        <v>3.5</v>
      </c>
    </row>
    <row r="91" spans="1:1" ht="20.100000000000001" customHeight="1" thickBot="1" x14ac:dyDescent="0.25">
      <c r="A91" s="2">
        <v>3.75</v>
      </c>
    </row>
    <row r="92" spans="1:1" ht="20.100000000000001" customHeight="1" thickBot="1" x14ac:dyDescent="0.25">
      <c r="A92" s="2">
        <v>4</v>
      </c>
    </row>
    <row r="93" spans="1:1" ht="20.100000000000001" customHeight="1" thickBot="1" x14ac:dyDescent="0.25">
      <c r="A93" s="2">
        <v>4.25</v>
      </c>
    </row>
    <row r="94" spans="1:1" ht="20.100000000000001" customHeight="1" thickBot="1" x14ac:dyDescent="0.25">
      <c r="A94" s="2">
        <v>4.5</v>
      </c>
    </row>
    <row r="95" spans="1:1" ht="20.100000000000001" customHeight="1" thickBot="1" x14ac:dyDescent="0.25">
      <c r="A95" s="2">
        <v>4.75</v>
      </c>
    </row>
    <row r="96" spans="1:1" ht="20.100000000000001" customHeight="1" thickBot="1" x14ac:dyDescent="0.25">
      <c r="A96" s="2">
        <v>5</v>
      </c>
    </row>
    <row r="97" spans="1:1" ht="20.100000000000001" customHeight="1" thickBot="1" x14ac:dyDescent="0.25">
      <c r="A97" s="2">
        <v>5.25</v>
      </c>
    </row>
    <row r="98" spans="1:1" ht="20.100000000000001" customHeight="1" thickBot="1" x14ac:dyDescent="0.25">
      <c r="A98" s="2">
        <v>5.5</v>
      </c>
    </row>
    <row r="99" spans="1:1" ht="20.100000000000001" customHeight="1" thickBot="1" x14ac:dyDescent="0.25">
      <c r="A99" s="2">
        <v>5.75</v>
      </c>
    </row>
    <row r="100" spans="1:1" ht="20.100000000000001" customHeight="1" thickBot="1" x14ac:dyDescent="0.25">
      <c r="A100" s="2">
        <v>6</v>
      </c>
    </row>
    <row r="101" spans="1:1" ht="20.100000000000001" customHeight="1" thickBot="1" x14ac:dyDescent="0.25">
      <c r="A101" s="2">
        <v>6.25</v>
      </c>
    </row>
    <row r="102" spans="1:1" ht="20.100000000000001" customHeight="1" thickBot="1" x14ac:dyDescent="0.25">
      <c r="A102" s="2">
        <v>6.5</v>
      </c>
    </row>
    <row r="103" spans="1:1" ht="20.100000000000001" customHeight="1" thickBot="1" x14ac:dyDescent="0.25">
      <c r="A103" s="2">
        <v>6.75</v>
      </c>
    </row>
    <row r="104" spans="1:1" ht="20.100000000000001" customHeight="1" thickBot="1" x14ac:dyDescent="0.25">
      <c r="A104" s="2">
        <v>7</v>
      </c>
    </row>
    <row r="105" spans="1:1" ht="20.100000000000001" customHeight="1" thickBot="1" x14ac:dyDescent="0.25">
      <c r="A105" s="2">
        <v>7.25</v>
      </c>
    </row>
    <row r="106" spans="1:1" ht="20.100000000000001" customHeight="1" thickBot="1" x14ac:dyDescent="0.25">
      <c r="A106" s="2">
        <v>7.5</v>
      </c>
    </row>
    <row r="107" spans="1:1" ht="20.100000000000001" customHeight="1" thickBot="1" x14ac:dyDescent="0.25">
      <c r="A107" s="2">
        <v>7.75</v>
      </c>
    </row>
    <row r="108" spans="1:1" ht="20.100000000000001" customHeight="1" thickBot="1" x14ac:dyDescent="0.25">
      <c r="A108" s="2">
        <v>8</v>
      </c>
    </row>
    <row r="109" spans="1:1" ht="20.100000000000001" customHeight="1" thickBot="1" x14ac:dyDescent="0.25">
      <c r="A109" s="2">
        <v>8.25</v>
      </c>
    </row>
    <row r="110" spans="1:1" ht="20.100000000000001" customHeight="1" thickBot="1" x14ac:dyDescent="0.25">
      <c r="A110" s="2">
        <v>8.5</v>
      </c>
    </row>
    <row r="111" spans="1:1" ht="20.100000000000001" customHeight="1" thickBot="1" x14ac:dyDescent="0.25">
      <c r="A111" s="2">
        <v>8.75</v>
      </c>
    </row>
    <row r="112" spans="1:1" ht="20.100000000000001" customHeight="1" thickBot="1" x14ac:dyDescent="0.25">
      <c r="A112" s="2">
        <v>9</v>
      </c>
    </row>
    <row r="113" spans="1:1" ht="20.100000000000001" customHeight="1" thickBot="1" x14ac:dyDescent="0.25">
      <c r="A113" s="2">
        <v>9.25</v>
      </c>
    </row>
    <row r="114" spans="1:1" ht="20.100000000000001" customHeight="1" thickBot="1" x14ac:dyDescent="0.25">
      <c r="A114" s="2">
        <v>9.5</v>
      </c>
    </row>
    <row r="115" spans="1:1" ht="20.100000000000001" customHeight="1" thickBot="1" x14ac:dyDescent="0.25">
      <c r="A115" s="2">
        <v>9.75</v>
      </c>
    </row>
    <row r="116" spans="1:1" ht="20.100000000000001" customHeight="1" thickBot="1" x14ac:dyDescent="0.25">
      <c r="A116" s="2">
        <v>10</v>
      </c>
    </row>
    <row r="117" spans="1:1" ht="20.100000000000001" customHeight="1" thickBot="1" x14ac:dyDescent="0.25">
      <c r="A117" s="2">
        <v>10.25</v>
      </c>
    </row>
    <row r="118" spans="1:1" ht="20.100000000000001" customHeight="1" thickBot="1" x14ac:dyDescent="0.25">
      <c r="A118" s="2">
        <v>10.5</v>
      </c>
    </row>
    <row r="119" spans="1:1" ht="20.100000000000001" customHeight="1" thickBot="1" x14ac:dyDescent="0.25">
      <c r="A119" s="2">
        <v>10.75</v>
      </c>
    </row>
    <row r="120" spans="1:1" ht="20.100000000000001" customHeight="1" thickBot="1" x14ac:dyDescent="0.25">
      <c r="A120" s="2">
        <v>11</v>
      </c>
    </row>
    <row r="121" spans="1:1" ht="20.100000000000001" customHeight="1" thickBot="1" x14ac:dyDescent="0.25">
      <c r="A121" s="2">
        <v>11.25</v>
      </c>
    </row>
    <row r="122" spans="1:1" ht="20.100000000000001" customHeight="1" thickBot="1" x14ac:dyDescent="0.25">
      <c r="A122" s="2">
        <v>11.5</v>
      </c>
    </row>
    <row r="123" spans="1:1" ht="20.100000000000001" customHeight="1" thickBot="1" x14ac:dyDescent="0.25">
      <c r="A123" s="2">
        <v>11.75</v>
      </c>
    </row>
    <row r="124" spans="1:1" ht="20.100000000000001" customHeight="1" thickBot="1" x14ac:dyDescent="0.25">
      <c r="A124" s="2">
        <v>12</v>
      </c>
    </row>
    <row r="125" spans="1:1" ht="20.100000000000001" customHeight="1" thickBot="1" x14ac:dyDescent="0.25">
      <c r="A125" s="2">
        <v>12.25</v>
      </c>
    </row>
    <row r="126" spans="1:1" ht="20.100000000000001" customHeight="1" thickBot="1" x14ac:dyDescent="0.25">
      <c r="A126" s="2">
        <v>12.5</v>
      </c>
    </row>
    <row r="127" spans="1:1" ht="20.100000000000001" customHeight="1" thickBot="1" x14ac:dyDescent="0.25">
      <c r="A127" s="2">
        <v>12.75</v>
      </c>
    </row>
    <row r="128" spans="1:1" ht="20.100000000000001" customHeight="1" thickBot="1" x14ac:dyDescent="0.25">
      <c r="A128" s="2">
        <v>13</v>
      </c>
    </row>
    <row r="129" spans="1:1" ht="20.100000000000001" customHeight="1" thickBot="1" x14ac:dyDescent="0.25">
      <c r="A129" s="2">
        <v>13.25</v>
      </c>
    </row>
    <row r="130" spans="1:1" ht="20.100000000000001" customHeight="1" thickBot="1" x14ac:dyDescent="0.25">
      <c r="A130" s="2">
        <v>13.5</v>
      </c>
    </row>
    <row r="131" spans="1:1" ht="20.100000000000001" customHeight="1" thickBot="1" x14ac:dyDescent="0.25">
      <c r="A131" s="2">
        <v>13.75</v>
      </c>
    </row>
    <row r="132" spans="1:1" ht="20.100000000000001" customHeight="1" thickBot="1" x14ac:dyDescent="0.25">
      <c r="A132" s="2">
        <v>14</v>
      </c>
    </row>
    <row r="133" spans="1:1" ht="20.100000000000001" customHeight="1" thickBot="1" x14ac:dyDescent="0.25">
      <c r="A133" s="2">
        <v>14.25</v>
      </c>
    </row>
    <row r="134" spans="1:1" ht="20.100000000000001" customHeight="1" thickBot="1" x14ac:dyDescent="0.25">
      <c r="A134" s="2">
        <v>14.5</v>
      </c>
    </row>
    <row r="135" spans="1:1" ht="20.100000000000001" customHeight="1" thickBot="1" x14ac:dyDescent="0.25">
      <c r="A135" s="2">
        <v>14.75</v>
      </c>
    </row>
    <row r="136" spans="1:1" ht="20.100000000000001" customHeight="1" thickBot="1" x14ac:dyDescent="0.25">
      <c r="A136" s="2">
        <v>15</v>
      </c>
    </row>
    <row r="137" spans="1:1" ht="20.100000000000001" customHeight="1" thickBot="1" x14ac:dyDescent="0.25">
      <c r="A137" s="2">
        <v>15.25</v>
      </c>
    </row>
    <row r="138" spans="1:1" ht="20.100000000000001" customHeight="1" thickBot="1" x14ac:dyDescent="0.25">
      <c r="A138" s="2">
        <v>15.5</v>
      </c>
    </row>
    <row r="139" spans="1:1" ht="20.100000000000001" customHeight="1" thickBot="1" x14ac:dyDescent="0.25">
      <c r="A139" s="2">
        <v>15.75</v>
      </c>
    </row>
    <row r="140" spans="1:1" ht="20.100000000000001" customHeight="1" thickBot="1" x14ac:dyDescent="0.25">
      <c r="A140" s="2">
        <v>16</v>
      </c>
    </row>
    <row r="141" spans="1:1" ht="20.100000000000001" customHeight="1" thickBot="1" x14ac:dyDescent="0.25">
      <c r="A141" s="2">
        <v>16.25</v>
      </c>
    </row>
    <row r="142" spans="1:1" ht="20.100000000000001" customHeight="1" thickBot="1" x14ac:dyDescent="0.25">
      <c r="A142" s="2">
        <v>16.5</v>
      </c>
    </row>
    <row r="143" spans="1:1" ht="20.100000000000001" customHeight="1" thickBot="1" x14ac:dyDescent="0.25">
      <c r="A143" s="2">
        <v>16.75</v>
      </c>
    </row>
    <row r="144" spans="1:1" ht="20.100000000000001" customHeight="1" thickBot="1" x14ac:dyDescent="0.25">
      <c r="A144" s="2">
        <v>17</v>
      </c>
    </row>
    <row r="145" spans="1:1" ht="20.100000000000001" customHeight="1" thickBot="1" x14ac:dyDescent="0.25">
      <c r="A145" s="2">
        <v>17.25</v>
      </c>
    </row>
    <row r="146" spans="1:1" ht="20.100000000000001" customHeight="1" thickBot="1" x14ac:dyDescent="0.25">
      <c r="A146" s="2">
        <v>17.5</v>
      </c>
    </row>
    <row r="147" spans="1:1" ht="20.100000000000001" customHeight="1" thickBot="1" x14ac:dyDescent="0.25">
      <c r="A147" s="2">
        <v>17.75</v>
      </c>
    </row>
    <row r="148" spans="1:1" ht="20.100000000000001" customHeight="1" thickBot="1" x14ac:dyDescent="0.25">
      <c r="A148" s="2">
        <v>18</v>
      </c>
    </row>
    <row r="149" spans="1:1" ht="20.100000000000001" customHeight="1" thickBot="1" x14ac:dyDescent="0.25">
      <c r="A149" s="2">
        <v>18.25</v>
      </c>
    </row>
    <row r="150" spans="1:1" ht="20.100000000000001" customHeight="1" thickBot="1" x14ac:dyDescent="0.25">
      <c r="A150" s="2">
        <v>18.5</v>
      </c>
    </row>
    <row r="151" spans="1:1" ht="20.100000000000001" customHeight="1" thickBot="1" x14ac:dyDescent="0.25">
      <c r="A151" s="2">
        <v>18.75</v>
      </c>
    </row>
    <row r="152" spans="1:1" ht="20.100000000000001" customHeight="1" thickBot="1" x14ac:dyDescent="0.25">
      <c r="A152" s="2">
        <v>19</v>
      </c>
    </row>
    <row r="153" spans="1:1" ht="20.100000000000001" customHeight="1" thickBot="1" x14ac:dyDescent="0.25">
      <c r="A153" s="2">
        <v>19.25</v>
      </c>
    </row>
    <row r="154" spans="1:1" ht="20.100000000000001" customHeight="1" thickBot="1" x14ac:dyDescent="0.25">
      <c r="A154" s="2">
        <v>19.5</v>
      </c>
    </row>
    <row r="155" spans="1:1" ht="20.100000000000001" customHeight="1" thickBot="1" x14ac:dyDescent="0.25">
      <c r="A155" s="2">
        <v>19.75</v>
      </c>
    </row>
    <row r="156" spans="1:1" ht="20.100000000000001" customHeight="1" thickBot="1" x14ac:dyDescent="0.25">
      <c r="A156" s="2">
        <v>20</v>
      </c>
    </row>
    <row r="160" spans="1:1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2025-10-20T08:56:47Z</dcterms:modified>
</cp:coreProperties>
</file>