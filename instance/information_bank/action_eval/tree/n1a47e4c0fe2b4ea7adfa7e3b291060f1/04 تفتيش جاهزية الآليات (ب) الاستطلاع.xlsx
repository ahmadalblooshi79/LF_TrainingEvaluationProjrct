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A4EE227-6748-4A12-BC64-40EDFAC681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G52" i="2"/>
  <c r="H52" i="2"/>
  <c r="G53" i="2"/>
  <c r="H53" i="2"/>
  <c r="G54" i="2"/>
  <c r="H54" i="2"/>
  <c r="G56" i="2"/>
  <c r="H56" i="2"/>
  <c r="G57" i="2"/>
  <c r="H57" i="2"/>
  <c r="G8" i="2"/>
  <c r="H8" i="2"/>
  <c r="F58" i="2"/>
  <c r="E58" i="2"/>
  <c r="E59" i="2"/>
  <c r="E60" i="2"/>
</calcChain>
</file>

<file path=xl/sharedStrings.xml><?xml version="1.0" encoding="utf-8"?>
<sst xmlns="http://schemas.openxmlformats.org/spreadsheetml/2006/main" count="287" uniqueCount="231">
  <si>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</si>
  <si>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</si>
  <si>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</si>
  <si>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</si>
  <si>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</si>
  <si>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</si>
  <si>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</si>
  <si>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</si>
  <si>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</si>
  <si>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</si>
  <si>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</si>
  <si>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</si>
  <si>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</si>
  <si>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</si>
  <si>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</si>
  <si>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</si>
  <si>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</si>
  <si>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</si>
  <si>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</si>
  <si>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</si>
  <si>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</si>
  <si>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</si>
  <si>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</si>
  <si>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</si>
  <si>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</si>
  <si>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</si>
  <si>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</si>
  <si>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</si>
  <si>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</si>
  <si>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</si>
  <si>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</si>
  <si>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</si>
  <si>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</si>
  <si>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</si>
  <si>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</si>
  <si>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</si>
  <si>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</si>
  <si>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</si>
  <si>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</si>
  <si>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</si>
  <si>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</si>
  <si>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</si>
  <si>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</si>
  <si>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</si>
  <si>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</si>
  <si>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</si>
  <si>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</si>
  <si>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</si>
  <si>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</si>
  <si>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</si>
  <si>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</si>
  <si>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</si>
  <si>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</si>
  <si>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</si>
  <si>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</si>
  <si>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</si>
  <si>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</si>
  <si>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</si>
  <si>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</si>
  <si>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</si>
  <si>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</si>
  <si>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</si>
  <si>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</si>
  <si>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</si>
  <si>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</si>
  <si>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</si>
  <si>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</si>
  <si>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</si>
  <si>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</si>
  <si>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</si>
  <si>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</si>
  <si>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</si>
  <si>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</si>
  <si>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</si>
  <si>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</si>
  <si>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</si>
  <si>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</si>
  <si>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</si>
  <si>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</si>
  <si>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</si>
  <si>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</si>
  <si>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</si>
  <si>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</si>
  <si>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</si>
  <si>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</si>
  <si>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</si>
  <si>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</si>
  <si>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</si>
  <si>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</si>
  <si>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</si>
  <si>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</si>
  <si>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</si>
  <si>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</si>
  <si>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</si>
  <si>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</si>
  <si>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</si>
  <si>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</si>
  <si>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</si>
  <si>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</si>
  <si>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</si>
  <si>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</si>
  <si>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</si>
  <si>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</si>
  <si>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</si>
  <si>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</si>
  <si>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</si>
  <si>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</si>
  <si>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</si>
  <si>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</si>
  <si>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</si>
  <si>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</si>
  <si>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</si>
  <si>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</si>
  <si>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</si>
  <si>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</si>
  <si>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</si>
  <si>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</si>
  <si>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</si>
  <si>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</si>
  <si>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</si>
  <si>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</si>
  <si>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</si>
  <si>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</si>
  <si>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</si>
  <si>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</si>
  <si>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</si>
  <si>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</si>
  <si>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</si>
  <si>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</si>
  <si>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</si>
  <si>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</si>
  <si>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</si>
  <si>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</si>
  <si>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</si>
  <si>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</si>
  <si>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</si>
  <si>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</si>
  <si>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</si>
  <si>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</si>
  <si>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</si>
  <si>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</si>
  <si>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</si>
  <si>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</si>
  <si>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</si>
  <si>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</si>
  <si>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</si>
  <si>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</si>
  <si>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</si>
  <si>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</si>
  <si>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</si>
  <si>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</si>
  <si>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</si>
  <si>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</si>
  <si>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</si>
  <si>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</si>
  <si>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</si>
  <si>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</si>
  <si>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</si>
  <si>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</si>
  <si>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</si>
  <si>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</si>
  <si>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</si>
  <si>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</si>
  <si>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</si>
  <si>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</si>
  <si>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</si>
  <si>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</si>
  <si>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</si>
  <si>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</si>
  <si>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</si>
  <si>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</si>
  <si>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</si>
  <si>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</si>
  <si>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</si>
  <si>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</si>
  <si>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</si>
  <si>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</si>
  <si>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</si>
  <si>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</si>
  <si>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</si>
  <si>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</si>
  <si>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</si>
  <si>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</si>
  <si>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</si>
  <si>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</si>
  <si>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</si>
  <si>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</si>
  <si>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</si>
  <si>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</si>
  <si>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</si>
  <si>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</si>
  <si>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</si>
  <si>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</si>
  <si>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</si>
  <si>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</si>
  <si>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rPr>
        <sz val="12"/>
        <color rgb="FF000000"/>
        <rFont val="Arial"/>
        <family val="2"/>
      </rPr>
      <t xml:space="preserve">12.  </t>
    </r>
    <r>
      <rPr>
        <b/>
        <u/>
        <sz val="12"/>
        <color rgb="FF000000"/>
        <rFont val="Arial"/>
        <family val="2"/>
      </rP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</si>
  <si>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rPr>
        <sz val="12"/>
        <color rgb="FF000000"/>
        <rFont val="Arial"/>
        <family val="2"/>
      </rPr>
      <t xml:space="preserve">13.  </t>
    </r>
    <r>
      <rPr>
        <b/>
        <u/>
        <sz val="12"/>
        <color rgb="FF000000"/>
        <rFont val="Arial"/>
        <family val="2"/>
      </rP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</si>
  <si>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14.  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</si>
  <si>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15.  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</si>
  <si>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t>16.  فحص الآلية أثناء السير.</t>
  </si>
  <si>
    <t>17.  المهمـات الإضافية</t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</si>
  <si>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</si>
  <si>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</si>
  <si>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جـ.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</si>
  <si>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د.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</si>
  <si>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هـ.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</si>
  <si>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و.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</si>
  <si>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ز.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</si>
  <si>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</si>
  <si>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</si>
  <si>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د.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</si>
  <si>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جـ.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</si>
  <si>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</si>
  <si>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</si>
  <si>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جـ.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</si>
  <si>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د.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</si>
  <si>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هـ.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</si>
  <si>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و.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</si>
  <si>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ز.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</si>
  <si>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</si>
  <si>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</si>
  <si>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جـ.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</si>
  <si>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د.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</si>
  <si>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هـ.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</si>
  <si>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و.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</si>
  <si>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</si>
  <si>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</si>
  <si>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جـ.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</si>
  <si>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r>
      <t>أ.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</si>
  <si>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ب.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</si>
  <si>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تفتيش جاهزية الآليات (ب) لسرية الاستطلاع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</si>
</sst>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9" fontId="3" fillId="0" borderId="22" xfId="0" applyNumberFormat="1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9" fillId="0" borderId="8" xfId="0" applyFont="1" applyBorder="1" applyAlignment="1">
      <alignment horizontal="right" vertical="center" wrapText="1" readingOrder="2"/>
    </xf>
    <xf numFmtId="0" fontId="19" fillId="0" borderId="9" xfId="0" applyFont="1" applyBorder="1" applyAlignment="1">
      <alignment horizontal="right" vertical="center" wrapText="1" readingOrder="2"/>
    </xf>
    <xf numFmtId="0" fontId="19" fillId="0" borderId="22" xfId="0" applyFont="1" applyBorder="1" applyAlignment="1">
      <alignment horizontal="right" vertical="center" wrapText="1" readingOrder="2"/>
    </xf>
    <xf numFmtId="0" fontId="12" fillId="0" borderId="8" xfId="0" applyFont="1" applyBorder="1" applyAlignment="1">
      <alignment horizontal="right" vertical="center" wrapText="1" readingOrder="2"/>
    </xf>
    <xf numFmtId="0" fontId="1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132945</xdr:colOff>
      <xdr:row>60</xdr:row>
      <xdr:rowOff>451400</xdr:rowOff>
    </xdr:from>
    <xdr:to>
      <xdr:col>8</xdr:col>
      <xdr:colOff>577524</xdr:colOff>
      <xdr:row>62</xdr:row>
      <xdr:rowOff>13203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4AF322-9918-3560-ED9D-AC646131BEAB}"/>
                </a:ext>
              </a:extLst>
            </xdr14:cNvPr>
            <xdr14:cNvContentPartPr/>
          </xdr14:nvContentPartPr>
          <xdr14:nvPr macro=""/>
          <xdr14:xfrm>
            <a:off x="10398667385" y="23819400"/>
            <a:ext cx="1760760" cy="739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4AF322-9918-3560-ED9D-AC646131BE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58745" y="23810400"/>
              <a:ext cx="1778400" cy="75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32:57.1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4392 614,'0'0,"0"0,0 0,0 0,0 0,0 0,0 0,0 0,0 0,0 0,-14 0,6 7,-1 2,-21 8,15-10,-3 3,-13 6,17-10,-3 4,-15 22,12-19,-7 7,12 12,8-18,-2 4,9-2,0-2,0 5,16 13,-1-25,1 2,15 7,-11-9,7 2,36-9,-30 0,12 0,35-16,-47 2,11-4,20 2,-38 9,9-2,12-8,-33 10,5-2,12-7,-36 23,-7 2,-2 7,0-2,-5 5,-59 45,31-29,-16 11,-62 36,64-42,-19 17,-78 39,81-55,-34 15,-77 41,103-56,-32 16,-41-9,106-27,-21 7,-37 4,69-32,-12 0,-26 16,59-23,-7-2,-20-7,34 2,-6-4,-12-31,17 21,-3-8,-16-62,29 49,-5-15,-8-65,24 66,3-21,3-45,-5 82,1-19,21-47,-8 79,4-13,6-18,-13 45,9-8,4 11,-19 10,4-2,0-23,-11 32,4 0,4-16,-7 16,3 0,6 0,-16 14,0 4,-16-2,11 5,-7 7,-35 36,14-15,-11 16,-35 32,32-48,-16 15,-61 49,62-57,-18 18,-61 39,72-64,-20 15,-68 33,102-69,-15 10,-41 10,64-35,-14 6,-33 14,61-26,-15 2,-12 7,31-16,-6 0,-12 0,29 0,-11 0,-34-16,51 9,-7-2,3-24,11 19,-5-4,10-64,5 34,5-17,37-48,-26 57,5-17,37-57,-34 82,6-17,25-32,-38 55,3-13,39 7,-49 34,1-4,17-16,-19 34,3 0,-1-16,-12 10,-8 28,-12 28,-12-16,-8 13,-42 66,31-59,-17 21,-60 87,63-92,-20 22,-90 53,103-76,-21 24,-100 36,121-79,-22 13,-34 18,84-60,-15 6,-22 7,49-28,-8 4,6 6,15-16,-3 0,4 0,14 0,5 0,4 0,7 0,26-7,10-2,90-41,-63 23,30-10,95-44,-83 33,41-17,135-64,-154 58,43-20,143-87,-206 95,37-29,91-81,-149 110,32-28,54-68,-122 104,26-27,16-11,-73 72,10-16,-15-7,-15 42,2-5,-32 11,1 16,-5 0,-12 16,-2 5,-11 7,-36 36,40-29,-14 12,-55 50,67-42,-9 19,-43 55,51-52,-9 24,-11 93,42-94,-6 27,12 131,28-151,6 29,28 107,-28-137,-38-212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2"/>
  <sheetViews>
    <sheetView rightToLeft="1" tabSelected="1" view="pageBreakPreview" topLeftCell="A55" zoomScale="130" zoomScaleNormal="100" zoomScaleSheetLayoutView="130" workbookViewId="0">
      <selection activeCell="E3" sqref="E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81" t="s">
        <v>230</v>
      </c>
      <c r="C1" s="81"/>
      <c r="D1" s="81"/>
      <c r="E1" s="81"/>
      <c r="F1" s="81"/>
      <c r="G1" s="81"/>
      <c r="H1" s="81"/>
      <c r="I1" s="81"/>
      <c r="J1" s="81"/>
    </row>
    <row r="2" spans="1:10" ht="30" customHeight="1" x14ac:dyDescent="0.3">
      <c r="B2" s="13" t="s">
        <v>8</v>
      </c>
      <c r="C2" s="87" t="s">
        <v>10</v>
      </c>
      <c r="D2" s="87"/>
      <c r="E2" s="13" t="s">
        <v>7</v>
      </c>
      <c r="F2" s="82">
        <v>45929</v>
      </c>
      <c r="G2" s="82"/>
      <c r="H2" s="82"/>
      <c r="I2" s="82"/>
      <c r="J2" s="82"/>
    </row>
    <row r="3" spans="1:10" ht="30" customHeight="1" x14ac:dyDescent="0.3">
      <c r="B3" s="13" t="s">
        <v>9</v>
      </c>
      <c r="C3" s="87" t="s">
        <v>65</v>
      </c>
      <c r="D3" s="87"/>
      <c r="E3" s="13" t="s">
        <v>6</v>
      </c>
      <c r="F3" s="87" t="s">
        <v>113</v>
      </c>
      <c r="G3" s="87"/>
      <c r="H3" s="87"/>
      <c r="I3" s="87"/>
      <c r="J3" s="8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3" t="s">
        <v>0</v>
      </c>
      <c r="C5" s="84"/>
      <c r="D5" s="84"/>
      <c r="E5" s="92" t="s">
        <v>1</v>
      </c>
      <c r="F5" s="92"/>
      <c r="G5" s="92"/>
      <c r="H5" s="92"/>
      <c r="I5" s="92" t="s">
        <v>2</v>
      </c>
      <c r="J5" s="93"/>
    </row>
    <row r="6" spans="1:10" ht="24.9" customHeight="1" thickBot="1" x14ac:dyDescent="0.35">
      <c r="A6" s="11"/>
      <c r="B6" s="85"/>
      <c r="C6" s="86"/>
      <c r="D6" s="86"/>
      <c r="E6" s="12" t="s">
        <v>3</v>
      </c>
      <c r="F6" s="12" t="s">
        <v>4</v>
      </c>
      <c r="G6" s="12" t="s">
        <v>23</v>
      </c>
      <c r="H6" s="12" t="s">
        <v>24</v>
      </c>
      <c r="I6" s="94"/>
      <c r="J6" s="95"/>
    </row>
    <row r="7" spans="1:10" ht="24.9" customHeight="1" thickBot="1" x14ac:dyDescent="0.35">
      <c r="A7" s="11"/>
      <c r="B7" s="90" t="s">
        <v>21</v>
      </c>
      <c r="C7" s="91"/>
      <c r="D7" s="91"/>
      <c r="E7" s="30" t="s">
        <v>18</v>
      </c>
      <c r="F7" s="30" t="s">
        <v>19</v>
      </c>
      <c r="G7" s="30" t="s">
        <v>22</v>
      </c>
      <c r="H7" s="30" t="s">
        <v>20</v>
      </c>
      <c r="I7" s="96" t="s">
        <v>25</v>
      </c>
      <c r="J7" s="97"/>
    </row>
    <row r="8" spans="1:10" ht="30" customHeight="1" thickBot="1" x14ac:dyDescent="0.35">
      <c r="A8" s="11"/>
      <c r="B8" s="62" t="s">
        <v>180</v>
      </c>
      <c r="C8" s="63"/>
      <c r="D8" s="63"/>
      <c r="E8" s="40">
        <v>10</v>
      </c>
      <c r="F8" s="41">
        <v>7.75</v>
      </c>
      <c r="G8" s="42">
        <f>IFERROR(F8/E8,"")</f>
        <v>0.77500000000000002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0" customHeight="1" thickBot="1" x14ac:dyDescent="0.35">
      <c r="A9" s="11"/>
      <c r="B9" s="62" t="s">
        <v>181</v>
      </c>
      <c r="C9" s="63"/>
      <c r="D9" s="63"/>
      <c r="E9" s="10">
        <v>10</v>
      </c>
      <c r="F9" s="41">
        <v>7.75</v>
      </c>
      <c r="G9" s="42">
        <f>IFERROR(F9/E9,"")</f>
        <v>0.77500000000000002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/>
      <c r="J9" s="56"/>
    </row>
    <row r="10" spans="1:10" ht="39.9" customHeight="1" thickBot="1" x14ac:dyDescent="0.35">
      <c r="A10" s="11"/>
      <c r="B10" s="62" t="s">
        <v>182</v>
      </c>
      <c r="C10" s="63"/>
      <c r="D10" s="63"/>
      <c r="E10" s="10">
        <v>5</v>
      </c>
      <c r="F10" s="41">
        <v>3.75</v>
      </c>
      <c r="G10" s="42">
        <f t="shared" ref="G10:G57" si="0">IFERROR(F10/E10,"")</f>
        <v>0.75</v>
      </c>
      <c r="H10" s="28" t="str">
        <f t="shared" ref="H10:H57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0" customHeight="1" thickBot="1" x14ac:dyDescent="0.35">
      <c r="A11" s="11"/>
      <c r="B11" s="62" t="s">
        <v>183</v>
      </c>
      <c r="C11" s="63"/>
      <c r="D11" s="63"/>
      <c r="E11" s="10">
        <v>5</v>
      </c>
      <c r="F11" s="41">
        <v>3.75</v>
      </c>
      <c r="G11" s="42">
        <f t="shared" si="0"/>
        <v>0.75</v>
      </c>
      <c r="H11" s="28" t="str">
        <f t="shared" si="1"/>
        <v>جيد</v>
      </c>
      <c r="I11" s="55"/>
      <c r="J11" s="56"/>
    </row>
    <row r="12" spans="1:10" ht="30" customHeight="1" thickBot="1" x14ac:dyDescent="0.35">
      <c r="A12" s="11"/>
      <c r="B12" s="62" t="s">
        <v>184</v>
      </c>
      <c r="C12" s="63"/>
      <c r="D12" s="63"/>
      <c r="E12" s="10">
        <v>5</v>
      </c>
      <c r="F12" s="41">
        <v>3.75</v>
      </c>
      <c r="G12" s="42">
        <f t="shared" si="0"/>
        <v>0.75</v>
      </c>
      <c r="H12" s="28" t="str">
        <f t="shared" si="1"/>
        <v>جيد</v>
      </c>
      <c r="I12" s="55"/>
      <c r="J12" s="56"/>
    </row>
    <row r="13" spans="1:10" ht="30" customHeight="1" thickBot="1" x14ac:dyDescent="0.35">
      <c r="A13" s="11"/>
      <c r="B13" s="62" t="s">
        <v>185</v>
      </c>
      <c r="C13" s="63"/>
      <c r="D13" s="63"/>
      <c r="E13" s="10">
        <v>5</v>
      </c>
      <c r="F13" s="41">
        <v>3.75</v>
      </c>
      <c r="G13" s="42">
        <f t="shared" si="0"/>
        <v>0.75</v>
      </c>
      <c r="H13" s="28" t="str">
        <f t="shared" si="1"/>
        <v>جيد</v>
      </c>
      <c r="I13" s="55"/>
      <c r="J13" s="56"/>
    </row>
    <row r="14" spans="1:10" ht="30" customHeight="1" thickBot="1" x14ac:dyDescent="0.35">
      <c r="A14" s="11"/>
      <c r="B14" s="62" t="s">
        <v>186</v>
      </c>
      <c r="C14" s="63"/>
      <c r="D14" s="63"/>
      <c r="E14" s="10">
        <v>5</v>
      </c>
      <c r="F14" s="41">
        <v>3.75</v>
      </c>
      <c r="G14" s="42">
        <f t="shared" si="0"/>
        <v>0.75</v>
      </c>
      <c r="H14" s="28" t="str">
        <f t="shared" si="1"/>
        <v>جيد</v>
      </c>
      <c r="I14" s="55"/>
      <c r="J14" s="56"/>
    </row>
    <row r="15" spans="1:10" ht="30" customHeight="1" thickBot="1" x14ac:dyDescent="0.35">
      <c r="A15" s="11"/>
      <c r="B15" s="62" t="s">
        <v>187</v>
      </c>
      <c r="C15" s="63"/>
      <c r="D15" s="63"/>
      <c r="E15" s="10">
        <v>5</v>
      </c>
      <c r="F15" s="41">
        <v>3.75</v>
      </c>
      <c r="G15" s="42">
        <f t="shared" si="0"/>
        <v>0.75</v>
      </c>
      <c r="H15" s="28" t="str">
        <f t="shared" si="1"/>
        <v>جيد</v>
      </c>
      <c r="I15" s="55"/>
      <c r="J15" s="56"/>
    </row>
    <row r="16" spans="1:10" ht="39.9" customHeight="1" thickBot="1" x14ac:dyDescent="0.35">
      <c r="A16" s="11"/>
      <c r="B16" s="62" t="s">
        <v>188</v>
      </c>
      <c r="C16" s="63"/>
      <c r="D16" s="63"/>
      <c r="E16" s="10">
        <v>5</v>
      </c>
      <c r="F16" s="41">
        <v>3.75</v>
      </c>
      <c r="G16" s="42">
        <f t="shared" si="0"/>
        <v>0.75</v>
      </c>
      <c r="H16" s="28" t="str">
        <f t="shared" si="1"/>
        <v>جيد</v>
      </c>
      <c r="I16" s="55"/>
      <c r="J16" s="56"/>
    </row>
    <row r="17" spans="1:10" ht="30" customHeight="1" thickBot="1" x14ac:dyDescent="0.35">
      <c r="A17" s="11"/>
      <c r="B17" s="59" t="s">
        <v>189</v>
      </c>
      <c r="C17" s="60"/>
      <c r="D17" s="60"/>
      <c r="E17" s="10">
        <v>5</v>
      </c>
      <c r="F17" s="41">
        <v>3.75</v>
      </c>
      <c r="G17" s="42">
        <f t="shared" si="0"/>
        <v>0.75</v>
      </c>
      <c r="H17" s="28" t="str">
        <f t="shared" si="1"/>
        <v>جيد</v>
      </c>
      <c r="I17" s="55"/>
      <c r="J17" s="56"/>
    </row>
    <row r="18" spans="1:10" ht="30" customHeight="1" thickBot="1" x14ac:dyDescent="0.35">
      <c r="A18" s="11"/>
      <c r="B18" s="59" t="s">
        <v>190</v>
      </c>
      <c r="C18" s="60"/>
      <c r="D18" s="60"/>
      <c r="E18" s="10">
        <v>5</v>
      </c>
      <c r="F18" s="41">
        <v>3.75</v>
      </c>
      <c r="G18" s="42">
        <f t="shared" si="0"/>
        <v>0.75</v>
      </c>
      <c r="H18" s="28" t="str">
        <f t="shared" si="1"/>
        <v>جيد</v>
      </c>
      <c r="I18" s="55"/>
      <c r="J18" s="56"/>
    </row>
    <row r="19" spans="1:10" ht="39.9" customHeight="1" thickBot="1" x14ac:dyDescent="0.35">
      <c r="A19" s="11"/>
      <c r="B19" s="59" t="s">
        <v>191</v>
      </c>
      <c r="C19" s="60"/>
      <c r="D19" s="60"/>
      <c r="E19" s="10">
        <v>10</v>
      </c>
      <c r="F19" s="41">
        <v>7.75</v>
      </c>
      <c r="G19" s="42">
        <f t="shared" si="0"/>
        <v>0.77500000000000002</v>
      </c>
      <c r="H19" s="28" t="str">
        <f t="shared" si="1"/>
        <v>جيد</v>
      </c>
      <c r="I19" s="55"/>
      <c r="J19" s="56"/>
    </row>
    <row r="20" spans="1:10" ht="30" customHeight="1" thickBot="1" x14ac:dyDescent="0.35">
      <c r="A20" s="11"/>
      <c r="B20" s="59" t="s">
        <v>192</v>
      </c>
      <c r="C20" s="60"/>
      <c r="D20" s="60"/>
      <c r="E20" s="10">
        <v>5</v>
      </c>
      <c r="F20" s="41">
        <v>3.75</v>
      </c>
      <c r="G20" s="42">
        <f t="shared" si="0"/>
        <v>0.75</v>
      </c>
      <c r="H20" s="28" t="str">
        <f t="shared" si="1"/>
        <v>جيد</v>
      </c>
      <c r="I20" s="55"/>
      <c r="J20" s="56"/>
    </row>
    <row r="21" spans="1:10" ht="30" customHeight="1" thickBot="1" x14ac:dyDescent="0.35">
      <c r="A21" s="11"/>
      <c r="B21" s="59" t="s">
        <v>193</v>
      </c>
      <c r="C21" s="60"/>
      <c r="D21" s="60"/>
      <c r="E21" s="10">
        <v>5</v>
      </c>
      <c r="F21" s="41">
        <v>3.75</v>
      </c>
      <c r="G21" s="42">
        <f t="shared" si="0"/>
        <v>0.75</v>
      </c>
      <c r="H21" s="28" t="str">
        <f t="shared" si="1"/>
        <v>جيد</v>
      </c>
      <c r="I21" s="55"/>
      <c r="J21" s="56"/>
    </row>
    <row r="22" spans="1:10" ht="30" customHeight="1" thickBot="1" x14ac:dyDescent="0.35">
      <c r="A22" s="11"/>
      <c r="B22" s="61" t="s">
        <v>194</v>
      </c>
      <c r="C22" s="61"/>
      <c r="D22" s="61"/>
      <c r="E22" s="43">
        <v>5</v>
      </c>
      <c r="F22" s="44">
        <v>3.75</v>
      </c>
      <c r="G22" s="45">
        <f t="shared" si="0"/>
        <v>0.75</v>
      </c>
      <c r="H22" s="46" t="str">
        <f t="shared" si="1"/>
        <v>جيد</v>
      </c>
      <c r="I22" s="98"/>
      <c r="J22" s="98"/>
    </row>
    <row r="23" spans="1:10" ht="30" customHeight="1" x14ac:dyDescent="0.3">
      <c r="A23" s="11"/>
      <c r="B23" s="51" t="s">
        <v>195</v>
      </c>
      <c r="C23" s="52"/>
      <c r="D23" s="52"/>
      <c r="E23" s="33"/>
      <c r="F23" s="34"/>
      <c r="G23" s="35"/>
      <c r="H23" s="36"/>
      <c r="I23" s="71"/>
      <c r="J23" s="72"/>
    </row>
    <row r="24" spans="1:10" ht="30" customHeight="1" x14ac:dyDescent="0.3">
      <c r="A24" s="11"/>
      <c r="B24" s="47" t="s">
        <v>201</v>
      </c>
      <c r="C24" s="48"/>
      <c r="D24" s="48"/>
      <c r="E24" s="9">
        <v>5</v>
      </c>
      <c r="F24" s="27">
        <v>3.75</v>
      </c>
      <c r="G24" s="31">
        <f t="shared" si="0"/>
        <v>0.75</v>
      </c>
      <c r="H24" s="32" t="str">
        <f t="shared" si="1"/>
        <v>جيد</v>
      </c>
      <c r="I24" s="64"/>
      <c r="J24" s="65"/>
    </row>
    <row r="25" spans="1:10" ht="30" customHeight="1" x14ac:dyDescent="0.3">
      <c r="A25" s="11"/>
      <c r="B25" s="47" t="s">
        <v>202</v>
      </c>
      <c r="C25" s="48"/>
      <c r="D25" s="48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64"/>
      <c r="J25" s="65"/>
    </row>
    <row r="26" spans="1:10" ht="30" customHeight="1" x14ac:dyDescent="0.3">
      <c r="A26" s="11"/>
      <c r="B26" s="47" t="s">
        <v>203</v>
      </c>
      <c r="C26" s="48"/>
      <c r="D26" s="48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64"/>
      <c r="J26" s="65"/>
    </row>
    <row r="27" spans="1:10" ht="30" customHeight="1" x14ac:dyDescent="0.3">
      <c r="A27" s="11"/>
      <c r="B27" s="47" t="s">
        <v>204</v>
      </c>
      <c r="C27" s="48"/>
      <c r="D27" s="48"/>
      <c r="E27" s="9">
        <v>5</v>
      </c>
      <c r="F27" s="27">
        <v>3.75</v>
      </c>
      <c r="G27" s="31">
        <f t="shared" si="0"/>
        <v>0.75</v>
      </c>
      <c r="H27" s="32" t="str">
        <f t="shared" si="1"/>
        <v>جيد</v>
      </c>
      <c r="I27" s="64"/>
      <c r="J27" s="65"/>
    </row>
    <row r="28" spans="1:10" ht="30" customHeight="1" x14ac:dyDescent="0.3">
      <c r="A28" s="11"/>
      <c r="B28" s="47" t="s">
        <v>205</v>
      </c>
      <c r="C28" s="48"/>
      <c r="D28" s="48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64"/>
      <c r="J28" s="65"/>
    </row>
    <row r="29" spans="1:10" ht="30" customHeight="1" x14ac:dyDescent="0.3">
      <c r="A29" s="11"/>
      <c r="B29" s="47" t="s">
        <v>206</v>
      </c>
      <c r="C29" s="48"/>
      <c r="D29" s="48"/>
      <c r="E29" s="9">
        <v>5</v>
      </c>
      <c r="F29" s="27">
        <v>3.75</v>
      </c>
      <c r="G29" s="31">
        <f t="shared" si="0"/>
        <v>0.75</v>
      </c>
      <c r="H29" s="32" t="str">
        <f t="shared" si="1"/>
        <v>جيد</v>
      </c>
      <c r="I29" s="64"/>
      <c r="J29" s="65"/>
    </row>
    <row r="30" spans="1:10" ht="30" customHeight="1" thickBot="1" x14ac:dyDescent="0.35">
      <c r="A30" s="11"/>
      <c r="B30" s="49" t="s">
        <v>207</v>
      </c>
      <c r="C30" s="50"/>
      <c r="D30" s="50"/>
      <c r="E30" s="37">
        <v>5</v>
      </c>
      <c r="F30" s="29">
        <v>3.75</v>
      </c>
      <c r="G30" s="38">
        <f t="shared" si="0"/>
        <v>0.75</v>
      </c>
      <c r="H30" s="39" t="str">
        <f t="shared" si="1"/>
        <v>جيد</v>
      </c>
      <c r="I30" s="69"/>
      <c r="J30" s="70"/>
    </row>
    <row r="31" spans="1:10" ht="30" customHeight="1" x14ac:dyDescent="0.3">
      <c r="A31" s="11"/>
      <c r="B31" s="51" t="s">
        <v>196</v>
      </c>
      <c r="C31" s="52"/>
      <c r="D31" s="52"/>
      <c r="E31" s="33"/>
      <c r="F31" s="34"/>
      <c r="G31" s="35"/>
      <c r="H31" s="36"/>
      <c r="I31" s="71"/>
      <c r="J31" s="72"/>
    </row>
    <row r="32" spans="1:10" ht="39.9" customHeight="1" x14ac:dyDescent="0.3">
      <c r="A32" s="11"/>
      <c r="B32" s="47" t="s">
        <v>208</v>
      </c>
      <c r="C32" s="48"/>
      <c r="D32" s="48"/>
      <c r="E32" s="9">
        <v>5</v>
      </c>
      <c r="F32" s="27">
        <v>3.75</v>
      </c>
      <c r="G32" s="31">
        <f t="shared" si="0"/>
        <v>0.75</v>
      </c>
      <c r="H32" s="32" t="str">
        <f t="shared" si="1"/>
        <v>جيد</v>
      </c>
      <c r="I32" s="64"/>
      <c r="J32" s="65"/>
    </row>
    <row r="33" spans="1:10" ht="30" customHeight="1" x14ac:dyDescent="0.3">
      <c r="A33" s="11"/>
      <c r="B33" s="47" t="s">
        <v>209</v>
      </c>
      <c r="C33" s="48"/>
      <c r="D33" s="48"/>
      <c r="E33" s="9">
        <v>5</v>
      </c>
      <c r="F33" s="27">
        <v>3.75</v>
      </c>
      <c r="G33" s="31">
        <f t="shared" si="0"/>
        <v>0.75</v>
      </c>
      <c r="H33" s="32" t="str">
        <f t="shared" si="1"/>
        <v>جيد</v>
      </c>
      <c r="I33" s="64"/>
      <c r="J33" s="65"/>
    </row>
    <row r="34" spans="1:10" ht="30" customHeight="1" x14ac:dyDescent="0.3">
      <c r="A34" s="11"/>
      <c r="B34" s="47" t="s">
        <v>211</v>
      </c>
      <c r="C34" s="48"/>
      <c r="D34" s="48"/>
      <c r="E34" s="9">
        <v>5</v>
      </c>
      <c r="F34" s="27">
        <v>3.75</v>
      </c>
      <c r="G34" s="31">
        <f t="shared" si="0"/>
        <v>0.75</v>
      </c>
      <c r="H34" s="32" t="str">
        <f t="shared" si="1"/>
        <v>جيد</v>
      </c>
      <c r="I34" s="64"/>
      <c r="J34" s="65"/>
    </row>
    <row r="35" spans="1:10" ht="30" customHeight="1" thickBot="1" x14ac:dyDescent="0.35">
      <c r="A35" s="11"/>
      <c r="B35" s="49" t="s">
        <v>210</v>
      </c>
      <c r="C35" s="50"/>
      <c r="D35" s="50"/>
      <c r="E35" s="37">
        <v>5</v>
      </c>
      <c r="F35" s="29">
        <v>3.75</v>
      </c>
      <c r="G35" s="38">
        <f t="shared" si="0"/>
        <v>0.75</v>
      </c>
      <c r="H35" s="39" t="str">
        <f t="shared" si="1"/>
        <v>جيد</v>
      </c>
      <c r="I35" s="69"/>
      <c r="J35" s="70"/>
    </row>
    <row r="36" spans="1:10" ht="30" customHeight="1" x14ac:dyDescent="0.3">
      <c r="A36" s="11"/>
      <c r="B36" s="53" t="s">
        <v>197</v>
      </c>
      <c r="C36" s="54"/>
      <c r="D36" s="54"/>
      <c r="E36" s="33"/>
      <c r="F36" s="34"/>
      <c r="G36" s="35"/>
      <c r="H36" s="36"/>
      <c r="I36" s="71"/>
      <c r="J36" s="72"/>
    </row>
    <row r="37" spans="1:10" ht="30" customHeight="1" x14ac:dyDescent="0.3">
      <c r="A37" s="11"/>
      <c r="B37" s="47" t="s">
        <v>212</v>
      </c>
      <c r="C37" s="48"/>
      <c r="D37" s="48"/>
      <c r="E37" s="9">
        <v>5</v>
      </c>
      <c r="F37" s="27">
        <v>3.75</v>
      </c>
      <c r="G37" s="31">
        <f t="shared" si="0"/>
        <v>0.75</v>
      </c>
      <c r="H37" s="32" t="str">
        <f t="shared" si="1"/>
        <v>جيد</v>
      </c>
      <c r="I37" s="64"/>
      <c r="J37" s="65"/>
    </row>
    <row r="38" spans="1:10" ht="30" customHeight="1" x14ac:dyDescent="0.3">
      <c r="A38" s="11"/>
      <c r="B38" s="47" t="s">
        <v>213</v>
      </c>
      <c r="C38" s="48"/>
      <c r="D38" s="48"/>
      <c r="E38" s="9">
        <v>5</v>
      </c>
      <c r="F38" s="27">
        <v>3.75</v>
      </c>
      <c r="G38" s="31">
        <f t="shared" si="0"/>
        <v>0.75</v>
      </c>
      <c r="H38" s="32" t="str">
        <f t="shared" si="1"/>
        <v>جيد</v>
      </c>
      <c r="I38" s="64"/>
      <c r="J38" s="65"/>
    </row>
    <row r="39" spans="1:10" ht="30" customHeight="1" x14ac:dyDescent="0.3">
      <c r="A39" s="11"/>
      <c r="B39" s="47" t="s">
        <v>214</v>
      </c>
      <c r="C39" s="48"/>
      <c r="D39" s="48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64"/>
      <c r="J39" s="65"/>
    </row>
    <row r="40" spans="1:10" ht="30" customHeight="1" x14ac:dyDescent="0.3">
      <c r="A40" s="11"/>
      <c r="B40" s="47" t="s">
        <v>215</v>
      </c>
      <c r="C40" s="48"/>
      <c r="D40" s="48"/>
      <c r="E40" s="9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64"/>
      <c r="J40" s="65"/>
    </row>
    <row r="41" spans="1:10" ht="30" customHeight="1" x14ac:dyDescent="0.3">
      <c r="A41" s="11"/>
      <c r="B41" s="47" t="s">
        <v>216</v>
      </c>
      <c r="C41" s="48"/>
      <c r="D41" s="48"/>
      <c r="E41" s="9">
        <v>5</v>
      </c>
      <c r="F41" s="27">
        <v>3.75</v>
      </c>
      <c r="G41" s="31">
        <f t="shared" si="0"/>
        <v>0.75</v>
      </c>
      <c r="H41" s="32" t="str">
        <f t="shared" si="1"/>
        <v>جيد</v>
      </c>
      <c r="I41" s="64"/>
      <c r="J41" s="65"/>
    </row>
    <row r="42" spans="1:10" ht="30" customHeight="1" x14ac:dyDescent="0.3">
      <c r="A42" s="11"/>
      <c r="B42" s="47" t="s">
        <v>217</v>
      </c>
      <c r="C42" s="48"/>
      <c r="D42" s="48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64"/>
      <c r="J42" s="65"/>
    </row>
    <row r="43" spans="1:10" ht="30" customHeight="1" thickBot="1" x14ac:dyDescent="0.35">
      <c r="A43" s="11"/>
      <c r="B43" s="49" t="s">
        <v>218</v>
      </c>
      <c r="C43" s="50"/>
      <c r="D43" s="50"/>
      <c r="E43" s="37">
        <v>5</v>
      </c>
      <c r="F43" s="29">
        <v>3.75</v>
      </c>
      <c r="G43" s="38">
        <f t="shared" si="0"/>
        <v>0.75</v>
      </c>
      <c r="H43" s="39" t="str">
        <f t="shared" si="1"/>
        <v>جيد</v>
      </c>
      <c r="I43" s="69"/>
      <c r="J43" s="70"/>
    </row>
    <row r="44" spans="1:10" ht="30" customHeight="1" x14ac:dyDescent="0.3">
      <c r="A44" s="11"/>
      <c r="B44" s="51" t="s">
        <v>198</v>
      </c>
      <c r="C44" s="52"/>
      <c r="D44" s="52"/>
      <c r="E44" s="33"/>
      <c r="F44" s="34"/>
      <c r="G44" s="35"/>
      <c r="H44" s="36"/>
      <c r="I44" s="71"/>
      <c r="J44" s="72"/>
    </row>
    <row r="45" spans="1:10" ht="30" customHeight="1" x14ac:dyDescent="0.3">
      <c r="A45" s="11"/>
      <c r="B45" s="47" t="s">
        <v>219</v>
      </c>
      <c r="C45" s="48"/>
      <c r="D45" s="48"/>
      <c r="E45" s="9">
        <v>5</v>
      </c>
      <c r="F45" s="27">
        <v>3.75</v>
      </c>
      <c r="G45" s="31">
        <f t="shared" si="0"/>
        <v>0.75</v>
      </c>
      <c r="H45" s="32" t="str">
        <f t="shared" si="1"/>
        <v>جيد</v>
      </c>
      <c r="I45" s="64"/>
      <c r="J45" s="65"/>
    </row>
    <row r="46" spans="1:10" ht="30" customHeight="1" x14ac:dyDescent="0.3">
      <c r="A46" s="11"/>
      <c r="B46" s="47" t="s">
        <v>220</v>
      </c>
      <c r="C46" s="48"/>
      <c r="D46" s="48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64"/>
      <c r="J46" s="65"/>
    </row>
    <row r="47" spans="1:10" ht="30" customHeight="1" x14ac:dyDescent="0.3">
      <c r="A47" s="11"/>
      <c r="B47" s="47" t="s">
        <v>221</v>
      </c>
      <c r="C47" s="48"/>
      <c r="D47" s="48"/>
      <c r="E47" s="9">
        <v>5</v>
      </c>
      <c r="F47" s="27">
        <v>3.75</v>
      </c>
      <c r="G47" s="31">
        <f t="shared" si="0"/>
        <v>0.75</v>
      </c>
      <c r="H47" s="32" t="str">
        <f t="shared" si="1"/>
        <v>جيد</v>
      </c>
      <c r="I47" s="64"/>
      <c r="J47" s="65"/>
    </row>
    <row r="48" spans="1:10" ht="30" customHeight="1" x14ac:dyDescent="0.3">
      <c r="A48" s="11"/>
      <c r="B48" s="47" t="s">
        <v>222</v>
      </c>
      <c r="C48" s="48"/>
      <c r="D48" s="48"/>
      <c r="E48" s="9">
        <v>5</v>
      </c>
      <c r="F48" s="27">
        <v>3.75</v>
      </c>
      <c r="G48" s="31">
        <f t="shared" si="0"/>
        <v>0.75</v>
      </c>
      <c r="H48" s="32" t="str">
        <f t="shared" si="1"/>
        <v>جيد</v>
      </c>
      <c r="I48" s="64"/>
      <c r="J48" s="65"/>
    </row>
    <row r="49" spans="1:10" ht="30" customHeight="1" x14ac:dyDescent="0.3">
      <c r="A49" s="11"/>
      <c r="B49" s="47" t="s">
        <v>223</v>
      </c>
      <c r="C49" s="48"/>
      <c r="D49" s="48"/>
      <c r="E49" s="9">
        <v>5</v>
      </c>
      <c r="F49" s="27">
        <v>3.75</v>
      </c>
      <c r="G49" s="31">
        <f t="shared" si="0"/>
        <v>0.75</v>
      </c>
      <c r="H49" s="32" t="str">
        <f t="shared" si="1"/>
        <v>جيد</v>
      </c>
      <c r="I49" s="64"/>
      <c r="J49" s="65"/>
    </row>
    <row r="50" spans="1:10" ht="30" customHeight="1" thickBot="1" x14ac:dyDescent="0.35">
      <c r="A50" s="11"/>
      <c r="B50" s="49" t="s">
        <v>224</v>
      </c>
      <c r="C50" s="50"/>
      <c r="D50" s="50"/>
      <c r="E50" s="37">
        <v>5</v>
      </c>
      <c r="F50" s="29">
        <v>3.75</v>
      </c>
      <c r="G50" s="38">
        <f t="shared" si="0"/>
        <v>0.75</v>
      </c>
      <c r="H50" s="39" t="str">
        <f t="shared" si="1"/>
        <v>جيد</v>
      </c>
      <c r="I50" s="69"/>
      <c r="J50" s="70"/>
    </row>
    <row r="51" spans="1:10" ht="30" customHeight="1" x14ac:dyDescent="0.3">
      <c r="A51" s="11"/>
      <c r="B51" s="53" t="s">
        <v>199</v>
      </c>
      <c r="C51" s="54"/>
      <c r="D51" s="54"/>
      <c r="E51" s="33"/>
      <c r="F51" s="34"/>
      <c r="G51" s="35"/>
      <c r="H51" s="36"/>
      <c r="I51" s="71"/>
      <c r="J51" s="72"/>
    </row>
    <row r="52" spans="1:10" ht="30" customHeight="1" x14ac:dyDescent="0.3">
      <c r="A52" s="11"/>
      <c r="B52" s="47" t="s">
        <v>225</v>
      </c>
      <c r="C52" s="48"/>
      <c r="D52" s="48"/>
      <c r="E52" s="9">
        <v>5</v>
      </c>
      <c r="F52" s="27">
        <v>3.75</v>
      </c>
      <c r="G52" s="31">
        <f t="shared" si="0"/>
        <v>0.75</v>
      </c>
      <c r="H52" s="32" t="str">
        <f t="shared" si="1"/>
        <v>جيد</v>
      </c>
      <c r="I52" s="64"/>
      <c r="J52" s="65"/>
    </row>
    <row r="53" spans="1:10" ht="30" customHeight="1" x14ac:dyDescent="0.3">
      <c r="A53" s="11"/>
      <c r="B53" s="47" t="s">
        <v>226</v>
      </c>
      <c r="C53" s="48"/>
      <c r="D53" s="48"/>
      <c r="E53" s="9">
        <v>5</v>
      </c>
      <c r="F53" s="27">
        <v>3.75</v>
      </c>
      <c r="G53" s="31">
        <f t="shared" si="0"/>
        <v>0.75</v>
      </c>
      <c r="H53" s="32" t="str">
        <f t="shared" si="1"/>
        <v>جيد</v>
      </c>
      <c r="I53" s="64"/>
      <c r="J53" s="65"/>
    </row>
    <row r="54" spans="1:10" ht="30" customHeight="1" thickBot="1" x14ac:dyDescent="0.35">
      <c r="A54" s="11"/>
      <c r="B54" s="49" t="s">
        <v>227</v>
      </c>
      <c r="C54" s="50"/>
      <c r="D54" s="50"/>
      <c r="E54" s="37">
        <v>5</v>
      </c>
      <c r="F54" s="29">
        <v>3.75</v>
      </c>
      <c r="G54" s="38">
        <f t="shared" si="0"/>
        <v>0.75</v>
      </c>
      <c r="H54" s="39" t="str">
        <f t="shared" si="1"/>
        <v>جيد</v>
      </c>
      <c r="I54" s="69"/>
      <c r="J54" s="70"/>
    </row>
    <row r="55" spans="1:10" ht="30" customHeight="1" x14ac:dyDescent="0.3">
      <c r="A55" s="11"/>
      <c r="B55" s="53" t="s">
        <v>200</v>
      </c>
      <c r="C55" s="54"/>
      <c r="D55" s="54"/>
      <c r="E55" s="33"/>
      <c r="F55" s="34"/>
      <c r="G55" s="35"/>
      <c r="H55" s="36"/>
      <c r="I55" s="71"/>
      <c r="J55" s="72"/>
    </row>
    <row r="56" spans="1:10" ht="30" customHeight="1" x14ac:dyDescent="0.3">
      <c r="A56" s="11"/>
      <c r="B56" s="47" t="s">
        <v>228</v>
      </c>
      <c r="C56" s="48"/>
      <c r="D56" s="48"/>
      <c r="E56" s="9">
        <v>5</v>
      </c>
      <c r="F56" s="27">
        <v>3.75</v>
      </c>
      <c r="G56" s="31">
        <f t="shared" si="0"/>
        <v>0.75</v>
      </c>
      <c r="H56" s="32" t="str">
        <f t="shared" si="1"/>
        <v>جيد</v>
      </c>
      <c r="I56" s="64"/>
      <c r="J56" s="65"/>
    </row>
    <row r="57" spans="1:10" ht="30" customHeight="1" thickBot="1" x14ac:dyDescent="0.35">
      <c r="A57" s="11"/>
      <c r="B57" s="49" t="s">
        <v>229</v>
      </c>
      <c r="C57" s="50"/>
      <c r="D57" s="50"/>
      <c r="E57" s="37">
        <v>5</v>
      </c>
      <c r="F57" s="29">
        <v>3.75</v>
      </c>
      <c r="G57" s="38">
        <f t="shared" si="0"/>
        <v>0.75</v>
      </c>
      <c r="H57" s="39" t="str">
        <f t="shared" si="1"/>
        <v>جيد</v>
      </c>
      <c r="I57" s="69"/>
      <c r="J57" s="70"/>
    </row>
    <row r="58" spans="1:10" ht="30" customHeight="1" thickBot="1" x14ac:dyDescent="0.35">
      <c r="A58" s="4"/>
      <c r="B58" s="57" t="s">
        <v>5</v>
      </c>
      <c r="C58" s="58"/>
      <c r="D58" s="58"/>
      <c r="E58" s="10">
        <f>SUM(E8:E57)</f>
        <v>235</v>
      </c>
      <c r="F58" s="10">
        <f>SUM(F8:F57)</f>
        <v>177</v>
      </c>
      <c r="G58" s="66"/>
      <c r="H58" s="67"/>
      <c r="I58" s="67"/>
      <c r="J58" s="68"/>
    </row>
    <row r="59" spans="1:10" ht="30" customHeight="1" thickBot="1" x14ac:dyDescent="0.35">
      <c r="A59" s="4"/>
      <c r="B59" s="57" t="s">
        <v>54</v>
      </c>
      <c r="C59" s="58"/>
      <c r="D59" s="58"/>
      <c r="E59" s="88">
        <f>F58/E58/100*100</f>
        <v>0.7531914893617021</v>
      </c>
      <c r="F59" s="88"/>
      <c r="G59" s="88"/>
      <c r="H59" s="88"/>
      <c r="I59" s="88"/>
      <c r="J59" s="89"/>
    </row>
    <row r="60" spans="1:10" ht="30" customHeight="1" thickBot="1" x14ac:dyDescent="0.35">
      <c r="A60" s="4"/>
      <c r="B60" s="57" t="s">
        <v>55</v>
      </c>
      <c r="C60" s="58"/>
      <c r="D60" s="58"/>
      <c r="E60" s="77" t="str">
        <f>_xlfn.IFS(E59&gt;=90%,"ممتاز",E59&gt;=80%,"جيد جداً",E59&gt;=70%,"جيد",E59&gt;=60%,"مقبول",E59&lt;60%,"راسب")</f>
        <v>جيد</v>
      </c>
      <c r="F60" s="77"/>
      <c r="G60" s="77"/>
      <c r="H60" s="77"/>
      <c r="I60" s="77"/>
      <c r="J60" s="78"/>
    </row>
    <row r="61" spans="1:10" ht="42" customHeight="1" x14ac:dyDescent="0.3">
      <c r="B61" s="73" t="s">
        <v>174</v>
      </c>
      <c r="C61" s="73"/>
      <c r="D61" s="73"/>
      <c r="E61" s="79" t="s">
        <v>52</v>
      </c>
      <c r="F61" s="79"/>
      <c r="G61" s="75" t="s">
        <v>113</v>
      </c>
      <c r="H61" s="75"/>
      <c r="I61" s="75"/>
      <c r="J61" s="75"/>
    </row>
    <row r="62" spans="1:10" ht="51" customHeight="1" x14ac:dyDescent="0.3">
      <c r="A62" s="5"/>
      <c r="B62" s="74"/>
      <c r="C62" s="74"/>
      <c r="D62" s="74"/>
      <c r="E62" s="80" t="s">
        <v>53</v>
      </c>
      <c r="F62" s="80"/>
      <c r="G62" s="76"/>
      <c r="H62" s="76"/>
      <c r="I62" s="76"/>
      <c r="J62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1">
    <mergeCell ref="B1:J1"/>
    <mergeCell ref="F2:J2"/>
    <mergeCell ref="B5:D6"/>
    <mergeCell ref="C2:D2"/>
    <mergeCell ref="C3:D3"/>
    <mergeCell ref="F3:J3"/>
    <mergeCell ref="E59:J5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1:D62"/>
    <mergeCell ref="G61:J61"/>
    <mergeCell ref="G62:J62"/>
    <mergeCell ref="E60:J6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1:F61"/>
    <mergeCell ref="E62:F62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G58:J58"/>
    <mergeCell ref="B26:D26"/>
    <mergeCell ref="B27:D27"/>
    <mergeCell ref="I32:J32"/>
    <mergeCell ref="I33:J33"/>
    <mergeCell ref="I34:J34"/>
    <mergeCell ref="I35:J35"/>
    <mergeCell ref="I36:J36"/>
    <mergeCell ref="B31:D31"/>
    <mergeCell ref="B32:D32"/>
    <mergeCell ref="I8:J8"/>
    <mergeCell ref="B58:D58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8:D28"/>
    <mergeCell ref="B29:D29"/>
    <mergeCell ref="B30:D30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54:D54"/>
    <mergeCell ref="B55:D55"/>
    <mergeCell ref="B56:D56"/>
    <mergeCell ref="B57:D57"/>
    <mergeCell ref="B46:D46"/>
    <mergeCell ref="B47:D47"/>
    <mergeCell ref="B48:D48"/>
    <mergeCell ref="B49:D49"/>
    <mergeCell ref="B50:D50"/>
    <mergeCell ref="B51:D51"/>
    <mergeCell ref="B52:D52"/>
    <mergeCell ref="B53:D5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4" priority="57">
      <formula>$E60="راسب"</formula>
    </cfRule>
  </conditionalFormatting>
  <conditionalFormatting sqref="E60:J60">
    <cfRule type="expression" dxfId="13" priority="58">
      <formula>$E60="مقبول"</formula>
    </cfRule>
    <cfRule type="expression" dxfId="12" priority="59">
      <formula>$E60="جيد"</formula>
    </cfRule>
    <cfRule type="expression" dxfId="11" priority="60">
      <formula>$E60="جيد جداً"</formula>
    </cfRule>
    <cfRule type="expression" dxfId="10" priority="61">
      <formula>$E60="ممتاز"</formula>
    </cfRule>
  </conditionalFormatting>
  <conditionalFormatting sqref="F8:F5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6" priority="15" operator="containsText" text="أدخل اسم المحكم">
      <formula>NOT(ISERROR(SEARCH("أدخل اسم المحكم",G61)))</formula>
    </cfRule>
  </conditionalFormatting>
  <conditionalFormatting sqref="H8:H5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G61:J61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F10:F18 F56:F57 F52:F54 F45:F50 F37:F43 F32:F35 F20:F22 F24:F30</xm:sqref>
        </x14:dataValidation>
        <x14:dataValidation type="list" allowBlank="1" showInputMessage="1" showErrorMessage="1" xr:uid="{4097BD2F-5208-4411-AA1C-4AAB3D3ABB35}">
          <x14:formula1>
            <xm:f>'بيانات التقييم'!$A$111:$A$153</xm:f>
          </x14:formula1>
          <xm:sqref>F8:F9 F19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2025-10-07T17:02:13Z</dcterms:modified>
</cp:coreProperties>
</file>