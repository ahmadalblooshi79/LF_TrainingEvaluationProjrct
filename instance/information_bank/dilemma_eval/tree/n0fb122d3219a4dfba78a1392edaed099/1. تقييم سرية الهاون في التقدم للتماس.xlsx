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ED1C0948-678E-AF42-9D03-B3037C01D593}"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التقييم'!$A$1:$J$22</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8" i="2"/>
  <c r="H8" i="2"/>
  <c r="F18" i="2"/>
  <c r="E18" i="2"/>
  <c r="E19" i="2"/>
  <c r="E20" i="2"/>
</calcChain>
</file>

<file path=xl/sharedStrings.xml><?xml version="1.0" encoding="utf-8"?>
<sst xmlns="http://schemas.openxmlformats.org/spreadsheetml/2006/main" count="243" uniqueCount="187">
  <si>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</si>
  <si>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</si>
  <si>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</si>
  <si>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</si>
  <si>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</si>
  <si>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</si>
  <si>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</si>
  <si>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</si>
  <si>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</si>
  <si>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</si>
  <si>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</si>
  <si>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</si>
  <si>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</si>
  <si>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</si>
  <si>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</si>
  <si>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</si>
  <si>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</si>
  <si>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</si>
  <si>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</si>
  <si>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</si>
  <si>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</si>
  <si>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</si>
  <si>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</si>
  <si>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</si>
  <si>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</si>
  <si>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</si>
  <si>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</si>
  <si>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</si>
  <si>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</si>
  <si>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</si>
  <si>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</si>
  <si>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</si>
  <si>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</si>
  <si>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</si>
  <si>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</si>
  <si>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</si>
  <si>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</si>
  <si>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</si>
  <si>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</si>
  <si>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</si>
  <si>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</si>
  <si>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</si>
  <si>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</si>
  <si>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</si>
  <si>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</si>
  <si>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</si>
  <si>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</si>
  <si>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</si>
  <si>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</si>
  <si>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</si>
  <si>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</si>
  <si>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</si>
  <si>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</si>
  <si>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</si>
  <si>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</si>
  <si>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</si>
  <si>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</si>
  <si>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</si>
  <si>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</si>
  <si>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</si>
  <si>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</si>
  <si>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</si>
  <si>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</si>
  <si>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</si>
  <si>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</si>
  <si>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</si>
  <si>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</si>
  <si>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</si>
  <si>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</si>
  <si>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</si>
  <si>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</si>
  <si>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</si>
  <si>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</si>
  <si>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</si>
  <si>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</si>
  <si>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</si>
  <si>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</si>
  <si>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</si>
  <si>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</si>
  <si>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</si>
  <si>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</si>
  <si>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</si>
  <si>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</si>
  <si>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</si>
  <si>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</si>
  <si>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</si>
  <si>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</si>
  <si>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</si>
  <si>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</si>
  <si>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</si>
  <si>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</si>
  <si>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</si>
  <si>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</si>
  <si>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</si>
  <si>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</si>
  <si>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</si>
  <si>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</si>
  <si>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</si>
  <si>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</si>
  <si>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</si>
  <si>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</si>
  <si>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</si>
  <si>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</si>
  <si>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</si>
  <si>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</si>
  <si>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</si>
  <si>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</si>
  <si>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</si>
  <si>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</si>
  <si>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</si>
  <si>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</si>
  <si>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</si>
  <si>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</si>
  <si>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</si>
  <si>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</si>
  <si>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</si>
  <si>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</si>
  <si>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</si>
  <si>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</si>
  <si>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</si>
  <si>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</si>
  <si>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</si>
  <si>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</si>
  <si>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</si>
  <si>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</si>
  <si>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</si>
  <si>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</si>
  <si>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</si>
  <si>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</si>
  <si>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</si>
  <si>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</si>
  <si>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</si>
  <si>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</si>
  <si>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</si>
  <si>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</si>
  <si>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</si>
  <si>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</si>
  <si>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</si>
  <si>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</si>
  <si>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</si>
  <si>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</si>
  <si>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</si>
  <si>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</si>
  <si>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</si>
  <si>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</si>
  <si>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</si>
  <si>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</si>
  <si>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</si>
  <si>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</si>
  <si>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</si>
  <si>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</si>
  <si>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</si>
  <si>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</si>
  <si>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</si>
  <si>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</si>
  <si>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</si>
  <si>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</si>
  <si>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</si>
  <si>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</si>
  <si>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</si>
  <si>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</si>
  <si>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</si>
  <si>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</si>
  <si>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</si>
  <si>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</si>
  <si>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</si>
  <si>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</si>
  <si>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</si>
  <si>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</si>
  <si>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</si>
  <si>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</si>
  <si>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</si>
  <si>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</si>
  <si>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</si>
  <si>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</si>
  <si>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</si>
  <si>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 xml:space="preserve">1.    توفر مدافع الهاون للقائد أكثر وسائل الإسناد الناري غير المباشرة قدرة على الرد أثناء التقدم للتماس. </t>
  </si>
  <si>
    <t>2.    قيام قائد سرية الهاون بالبحث عن المعلومات وتقديم توصيات لاستخدام نيران الهاون.</t>
  </si>
  <si>
    <t>3.    إعطاء أولوية النيران لوحدة المناورة الأمامية.</t>
  </si>
  <si>
    <t>4.    تخطيط النيران على طول الطريق وعلى الأجنحة، خصوصاً على المقتربات التي توفر الحركة السريعة إلى أجنحة وحدة المناورة الأمامية.</t>
  </si>
  <si>
    <t>5.    الاستعداد للرماية على قوات العدو التي تهدد وحدة الهاون بشكل مباشر.</t>
  </si>
  <si>
    <t>6.    إدامة الإلمام بالموقف واتخاذ أساليب لزيادة الأمن، كالحركة مع عنصر المناورة.</t>
  </si>
  <si>
    <t xml:space="preserve">7.    أن تخطيط الرماية على الارض الحاكمة، ومواقع العدو المحتملة يزيد من تأثير مدافع الهاون على الرد عند حدوث التماس مع العدو. ويشمل التخطيط أهدافاً محتملة في الطريق إلى الهدف، وأهداف مصادَفة، وأهداف فيما بعد الهدف. </t>
  </si>
  <si>
    <t xml:space="preserve"> 8.    يجب على القائد أيضاً أن يخطط لحركة الهاون. تكون سرية الهاون قريبة بما يكفي للمساهمة بالنيران الفورية سريعة الاستجابة عندما تكون ملحقة بوحدة وبالقرب من مقدمة رتل المسير أو التشكيلة التعبوية.</t>
  </si>
  <si>
    <t xml:space="preserve">9.    تكون سرية الهاون في عملية البحث والهجوم عادةً في مواقع محضرة مسبقاً تستطيع أن ترمي منها ضمن منطقة العمليات. </t>
  </si>
  <si>
    <t>10.    إلمام قائد سرية الهاون بالموقف، وتوقع متطلبات الإسناد الناري.</t>
  </si>
  <si>
    <r>
      <rPr>
        <b/>
        <sz val="14"/>
        <color rgb="FF000000"/>
        <rFont val="Arial"/>
        <family val="2"/>
      </rPr>
      <t>تقييم سرية الهاون 120 ملم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</si>
</sst>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3"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2" fillId="0" borderId="23" xfId="0" applyFont="1" applyBorder="1" applyAlignment="1">
      <alignment horizontal="right" vertical="center" wrapText="1" indent="1" readingOrder="2"/>
    </xf>
    <xf numFmtId="0" fontId="12" fillId="0" borderId="3" xfId="0" applyFont="1" applyBorder="1" applyAlignment="1">
      <alignment horizontal="right" vertical="center" wrapText="1" indent="1" readingOrder="2"/>
    </xf>
    <xf numFmtId="0" fontId="12" fillId="0" borderId="11" xfId="0" applyFont="1" applyBorder="1" applyAlignment="1">
      <alignment horizontal="right" vertical="center" wrapText="1" indent="1" readingOrder="2"/>
    </xf>
    <xf numFmtId="0" fontId="12" fillId="0" borderId="12" xfId="0" applyFont="1" applyBorder="1" applyAlignment="1">
      <alignment horizontal="right" vertical="center" wrapText="1" indent="1" readingOrder="2"/>
    </xf>
    <xf numFmtId="0" fontId="12" fillId="0" borderId="5" xfId="0" applyFont="1" applyBorder="1" applyAlignment="1">
      <alignment horizontal="right" vertical="center" wrapText="1" indent="1" readingOrder="2"/>
    </xf>
    <xf numFmtId="0" fontId="12" fillId="0" borderId="4" xfId="0" applyFont="1" applyBorder="1" applyAlignment="1">
      <alignment horizontal="right" vertical="center" wrapText="1" inden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6</xdr:col>
      <xdr:colOff>464587</xdr:colOff>
      <xdr:row>20</xdr:row>
      <xdr:rowOff>272565</xdr:rowOff>
    </xdr:from>
    <xdr:to>
      <xdr:col>8</xdr:col>
      <xdr:colOff>303553</xdr:colOff>
      <xdr:row>21</xdr:row>
      <xdr:rowOff>600689</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ABEDA4DA-9A89-F440-B9F1-AD0FBA31FA2A}"/>
                </a:ext>
              </a:extLst>
            </xdr14:cNvPr>
            <xdr14:cNvContentPartPr/>
          </xdr14:nvContentPartPr>
          <xdr14:nvPr macro=""/>
          <xdr14:xfrm>
            <a:off x="10432694905" y="9816120"/>
            <a:ext cx="1150200" cy="860040"/>
          </xdr14:xfrm>
        </xdr:contentPart>
      </mc:Choice>
      <mc:Fallback>
        <xdr:pic>
          <xdr:nvPicPr>
            <xdr:cNvPr id="2" name="Ink 1">
              <a:extLst>
                <a:ext uri="{FF2B5EF4-FFF2-40B4-BE49-F238E27FC236}">
                  <a16:creationId xmlns:a16="http://schemas.microsoft.com/office/drawing/2014/main" id="{ABEDA4DA-9A89-F440-B9F1-AD0FBA31FA2A}"/>
                </a:ext>
              </a:extLst>
            </xdr:cNvPr>
            <xdr:cNvPicPr/>
          </xdr:nvPicPr>
          <xdr:blipFill>
            <a:blip xmlns:r="http://schemas.openxmlformats.org/officeDocument/2006/relationships" r:embed="rId2"/>
            <a:stretch>
              <a:fillRect/>
            </a:stretch>
          </xdr:blipFill>
          <xdr:spPr>
            <a:xfrm>
              <a:off x="10432688785" y="9810000"/>
              <a:ext cx="1162440" cy="872280"/>
            </a:xfrm>
            <a:prstGeom prst="rect">
              <a:avLst/>
            </a:prstGeom>
          </xdr:spPr>
        </xdr:pic>
      </mc:Fallback>
    </mc:AlternateContent>
    <xdr:clientData/>
  </xdr:twoCellAnchor>
  <xdr:twoCellAnchor editAs="oneCell">
    <xdr:from>
      <xdr:col>7</xdr:col>
      <xdr:colOff>130</xdr:colOff>
      <xdr:row>21</xdr:row>
      <xdr:rowOff>600329</xdr:rowOff>
    </xdr:from>
    <xdr:to>
      <xdr:col>7</xdr:col>
      <xdr:colOff>12730</xdr:colOff>
      <xdr:row>21</xdr:row>
      <xdr:rowOff>612929</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CCB38916-3609-35A9-D3C0-1BE09FF7DF0F}"/>
                </a:ext>
              </a:extLst>
            </xdr14:cNvPr>
            <xdr14:cNvContentPartPr/>
          </xdr14:nvContentPartPr>
          <xdr14:nvPr macro=""/>
          <xdr14:xfrm>
            <a:off x="10433641345" y="10675800"/>
            <a:ext cx="12600" cy="12600"/>
          </xdr14:xfrm>
        </xdr:contentPart>
      </mc:Choice>
      <mc:Fallback>
        <xdr:pic>
          <xdr:nvPicPr>
            <xdr:cNvPr id="3" name="Ink 2">
              <a:extLst>
                <a:ext uri="{FF2B5EF4-FFF2-40B4-BE49-F238E27FC236}">
                  <a16:creationId xmlns:a16="http://schemas.microsoft.com/office/drawing/2014/main" id="{CCB38916-3609-35A9-D3C0-1BE09FF7DF0F}"/>
                </a:ext>
              </a:extLst>
            </xdr:cNvPr>
            <xdr:cNvPicPr/>
          </xdr:nvPicPr>
          <xdr:blipFill>
            <a:blip xmlns:r="http://schemas.openxmlformats.org/officeDocument/2006/relationships" r:embed="rId4"/>
            <a:stretch>
              <a:fillRect/>
            </a:stretch>
          </xdr:blipFill>
          <xdr:spPr>
            <a:xfrm>
              <a:off x="10433635225" y="10669680"/>
              <a:ext cx="24840" cy="248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3T16:43:55.183"/>
    </inkml:context>
    <inkml:brush xml:id="br0">
      <inkml:brushProperty name="width" value="0.035" units="cm"/>
      <inkml:brushProperty name="height" value="0.035" units="cm"/>
    </inkml:brush>
  </inkml:definitions>
  <inkml:trace contextRef="#ctx0" brushRef="#br0">1821 2388,'0'0,"0"0,0 0,0 0,0 0,0 0,-17-17,8 8,2 1,-10-9,7 8,1 1,-25-10,7 9,3 1,-29-26,27 25,2 1,-29-9,27 7,2 2,-10 8,5-9,5 1,-27-9,23 8,4 1,-10-9,27 7,-3 2,-7-9,8 8,1 1,-9-9,8 8,-1 1,10-9,-7 7,-3 2,-2-5,8 9,-8 4,7 0,-7 0,7 0,-29-17,25 26,-1-1,-24-8,15 0,5 0,-39 0,33 0,6 0,-36 0,21 9,5-1,-44-8,39 0,5 0,-43 0,38 10,5-2,-43-8,31 0,2 0,-33 0,28 0,8 0,-20 0,23 0,3 0,-25-18,31 18,2 0,-17 0,27 0,-3 0,22-13,-7 9,12 4,12-9,-5 1,130-44,-53 16,-12 4,151-71,-83 38,-23 9,194-64,-136 37,-24 11,140-48,-142 56,-21 8,112-47,-127 47,-20 9,61-5,-106 25,-10 3,15-11,-41 35,-7 0,-46 14,14-10,-24 13,-31 19,10-4,-135 37,65-15,10-5,-176 89,117-65,20-9,-190 91,179-90,23-10,-135 65,149-55,15-9,-57 12,105-49,9-3,-30 18,69-25,0-1,29-8,-7 0,-5-17,10 8,-3 1,79-27,-21-2,-9 6,114-72,-69 47,-12 9,118-57,-122 49,-16 7,52-20,-73 40,-10 4,13 7,-42 8,-2 1,-7-9,10 17,-3 0,13-18,-30 18,0 0,-7 0,-9 10,2-2,-46 9,8 1,4-2,-96 53,63-23,11-6,-93 46,108-50,10-4,-65 54,83-58,6-4,-22 10,53-25,0-1,-17 10,8 0,2-2,23 1,13-26,-7 1,81-26,-9-3,-14 5,107-88,-57 46,-19 10,129-125,-103 80,-16 12,85-109,-112 95,-14 16,21-77,-56 108,-4 8,-7-65,-34 75,0 6,-34-11,-11 23,4 4,-80-27,20 32,15 3,-138-1,89 44,13-2,-153 43,136-3,19-9,-138 98,157-62,15-12,-104 92,118-89,7-11,-5 48,43-65,3-7,8 38,23-50,2-3,61 35,-17-22,-5-6,108 80,-52-64,-20-8,140 55,-94-48,-20-7,148 55,-121-66,-17-5,104 53,-102-47,-21-7,-101-31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3T16:43:55.574"/>
    </inkml:context>
    <inkml:brush xml:id="br0">
      <inkml:brushProperty name="width" value="0.035" units="cm"/>
      <inkml:brushProperty name="height" value="0.035" units="cm"/>
    </inkml:brush>
  </inkml:definitions>
  <inkml:trace contextRef="#ctx0" brushRef="#br0">1 35,'0'0,"0"0,0 0,0 0,0 0,0 0,0 0,0 0,0 0,16-17,1-1,-17 18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22"/>
  <sheetViews>
    <sheetView rightToLeft="1" tabSelected="1" view="pageBreakPreview" topLeftCell="B6" zoomScale="130" zoomScaleNormal="100" zoomScaleSheetLayoutView="130" workbookViewId="0">
      <selection activeCell="G22" sqref="G22:J22"/>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50" t="s">
        <v>186</v>
      </c>
      <c r="C1" s="50"/>
      <c r="D1" s="50"/>
      <c r="E1" s="50"/>
      <c r="F1" s="50"/>
      <c r="G1" s="50"/>
      <c r="H1" s="50"/>
      <c r="I1" s="50"/>
      <c r="J1" s="50"/>
    </row>
    <row r="2" spans="1:10" ht="30" customHeight="1" x14ac:dyDescent="0.2">
      <c r="B2" s="12" t="s">
        <v>8</v>
      </c>
      <c r="C2" s="56" t="s">
        <v>11</v>
      </c>
      <c r="D2" s="56"/>
      <c r="E2" s="12" t="s">
        <v>7</v>
      </c>
      <c r="F2" s="51">
        <v>45953</v>
      </c>
      <c r="G2" s="51"/>
      <c r="H2" s="51"/>
      <c r="I2" s="51"/>
      <c r="J2" s="51"/>
    </row>
    <row r="3" spans="1:10" ht="30" customHeight="1" x14ac:dyDescent="0.2">
      <c r="B3" s="12" t="s">
        <v>9</v>
      </c>
      <c r="C3" s="56" t="s">
        <v>69</v>
      </c>
      <c r="D3" s="56"/>
      <c r="E3" s="12" t="s">
        <v>6</v>
      </c>
      <c r="F3" s="56" t="s">
        <v>135</v>
      </c>
      <c r="G3" s="56"/>
      <c r="H3" s="56"/>
      <c r="I3" s="56"/>
      <c r="J3" s="56"/>
    </row>
    <row r="4" spans="1:10" ht="30" customHeight="1" thickBot="1" x14ac:dyDescent="0.25">
      <c r="B4" s="6"/>
      <c r="C4" s="7"/>
      <c r="D4" s="7"/>
      <c r="E4" s="6"/>
      <c r="F4" s="7"/>
      <c r="G4" s="7"/>
      <c r="H4" s="8"/>
      <c r="I4" s="7"/>
      <c r="J4" s="7"/>
    </row>
    <row r="5" spans="1:10" ht="24.95" customHeight="1" x14ac:dyDescent="0.2">
      <c r="A5" s="10"/>
      <c r="B5" s="52" t="s">
        <v>0</v>
      </c>
      <c r="C5" s="53"/>
      <c r="D5" s="53"/>
      <c r="E5" s="61" t="s">
        <v>1</v>
      </c>
      <c r="F5" s="61"/>
      <c r="G5" s="61"/>
      <c r="H5" s="61"/>
      <c r="I5" s="61" t="s">
        <v>2</v>
      </c>
      <c r="J5" s="62"/>
    </row>
    <row r="6" spans="1:10" ht="24.95" customHeight="1" thickBot="1" x14ac:dyDescent="0.25">
      <c r="A6" s="10"/>
      <c r="B6" s="54"/>
      <c r="C6" s="55"/>
      <c r="D6" s="55"/>
      <c r="E6" s="11" t="s">
        <v>3</v>
      </c>
      <c r="F6" s="11" t="s">
        <v>4</v>
      </c>
      <c r="G6" s="11" t="s">
        <v>23</v>
      </c>
      <c r="H6" s="11" t="s">
        <v>24</v>
      </c>
      <c r="I6" s="63"/>
      <c r="J6" s="64"/>
    </row>
    <row r="7" spans="1:10" ht="24.95" customHeight="1" thickBot="1" x14ac:dyDescent="0.25">
      <c r="A7" s="10"/>
      <c r="B7" s="59" t="s">
        <v>21</v>
      </c>
      <c r="C7" s="60"/>
      <c r="D7" s="60"/>
      <c r="E7" s="28" t="s">
        <v>18</v>
      </c>
      <c r="F7" s="28" t="s">
        <v>19</v>
      </c>
      <c r="G7" s="28" t="s">
        <v>22</v>
      </c>
      <c r="H7" s="28" t="s">
        <v>20</v>
      </c>
      <c r="I7" s="65" t="s">
        <v>25</v>
      </c>
      <c r="J7" s="66"/>
    </row>
    <row r="8" spans="1:10" ht="39.950000000000003" customHeight="1" x14ac:dyDescent="0.2">
      <c r="A8" s="10"/>
      <c r="B8" s="43" t="s">
        <v>176</v>
      </c>
      <c r="C8" s="44"/>
      <c r="D8" s="44"/>
      <c r="E8" s="32">
        <v>5</v>
      </c>
      <c r="F8" s="33">
        <v>4</v>
      </c>
      <c r="G8" s="34">
        <f>IFERROR(F8/E8,"")</f>
        <v>0.8</v>
      </c>
      <c r="H8" s="35" t="str">
        <f>_xlfn.IFS(F8="أدخل العلامة","",F8="لا ينطبق","تم الإلغاء",G8&gt;=90%,"ممتاز",G8&gt;=80%,"جيد جداً",G8&gt;=70%,"جيد",G8&gt;=60%,"مقبول",G8&lt;60%,"راسب")</f>
        <v>جيد جداً</v>
      </c>
      <c r="I8" s="75"/>
      <c r="J8" s="76"/>
    </row>
    <row r="9" spans="1:10" ht="39.950000000000003" customHeight="1" x14ac:dyDescent="0.2">
      <c r="A9" s="10"/>
      <c r="B9" s="39" t="s">
        <v>177</v>
      </c>
      <c r="C9" s="40"/>
      <c r="D9" s="40"/>
      <c r="E9" s="9">
        <v>5</v>
      </c>
      <c r="F9" s="26">
        <v>4</v>
      </c>
      <c r="G9" s="30">
        <f>IFERROR(F9/E9,"")</f>
        <v>0.8</v>
      </c>
      <c r="H9" s="31" t="str">
        <f>_xlfn.IFS(F9="أدخل العلامة","",F9="لا ينطبق","تم الإلغاء",G9&gt;=90%,"ممتاز",G9&gt;=80%,"جيد جداً",G9&gt;=70%,"جيد",G9&gt;=60%,"مقبول",G9&lt;60%,"راسب")</f>
        <v>جيد جداً</v>
      </c>
      <c r="I9" s="67"/>
      <c r="J9" s="68"/>
    </row>
    <row r="10" spans="1:10" ht="39.950000000000003" customHeight="1" x14ac:dyDescent="0.2">
      <c r="A10" s="10"/>
      <c r="B10" s="39" t="s">
        <v>178</v>
      </c>
      <c r="C10" s="40"/>
      <c r="D10" s="40"/>
      <c r="E10" s="9">
        <v>5</v>
      </c>
      <c r="F10" s="26">
        <v>3.5</v>
      </c>
      <c r="G10" s="30">
        <f t="shared" ref="G10:G17" si="0">IFERROR(F10/E10,"")</f>
        <v>0.7</v>
      </c>
      <c r="H10" s="31" t="str">
        <f t="shared" ref="H10:H17" si="1">_xlfn.IFS(F10="أدخل العلامة","",F10="لا ينطبق","تم الإلغاء",G10&gt;=90%,"ممتاز",G10&gt;=80%,"جيد جداً",G10&gt;=70%,"جيد",G10&gt;=60%,"مقبول",G10&lt;60%,"راسب")</f>
        <v>جيد</v>
      </c>
      <c r="I10" s="67"/>
      <c r="J10" s="68"/>
    </row>
    <row r="11" spans="1:10" ht="39.950000000000003" customHeight="1" x14ac:dyDescent="0.2">
      <c r="A11" s="10"/>
      <c r="B11" s="39" t="s">
        <v>179</v>
      </c>
      <c r="C11" s="40"/>
      <c r="D11" s="40"/>
      <c r="E11" s="9">
        <v>5</v>
      </c>
      <c r="F11" s="26">
        <v>3</v>
      </c>
      <c r="G11" s="30">
        <f t="shared" si="0"/>
        <v>0.6</v>
      </c>
      <c r="H11" s="31" t="str">
        <f t="shared" si="1"/>
        <v>مقبول</v>
      </c>
      <c r="I11" s="67"/>
      <c r="J11" s="68"/>
    </row>
    <row r="12" spans="1:10" ht="39.950000000000003" customHeight="1" x14ac:dyDescent="0.2">
      <c r="A12" s="10"/>
      <c r="B12" s="39" t="s">
        <v>180</v>
      </c>
      <c r="C12" s="40"/>
      <c r="D12" s="40"/>
      <c r="E12" s="9">
        <v>5</v>
      </c>
      <c r="F12" s="26">
        <v>3.25</v>
      </c>
      <c r="G12" s="30">
        <f t="shared" si="0"/>
        <v>0.65</v>
      </c>
      <c r="H12" s="31" t="str">
        <f t="shared" si="1"/>
        <v>مقبول</v>
      </c>
      <c r="I12" s="67"/>
      <c r="J12" s="68"/>
    </row>
    <row r="13" spans="1:10" ht="39.950000000000003" customHeight="1" x14ac:dyDescent="0.2">
      <c r="A13" s="10"/>
      <c r="B13" s="39" t="s">
        <v>181</v>
      </c>
      <c r="C13" s="40"/>
      <c r="D13" s="40"/>
      <c r="E13" s="9">
        <v>5</v>
      </c>
      <c r="F13" s="26">
        <v>4</v>
      </c>
      <c r="G13" s="30">
        <f t="shared" si="0"/>
        <v>0.8</v>
      </c>
      <c r="H13" s="31" t="str">
        <f t="shared" si="1"/>
        <v>جيد جداً</v>
      </c>
      <c r="I13" s="67"/>
      <c r="J13" s="68"/>
    </row>
    <row r="14" spans="1:10" ht="69.75" customHeight="1" x14ac:dyDescent="0.2">
      <c r="A14" s="10"/>
      <c r="B14" s="39" t="s">
        <v>182</v>
      </c>
      <c r="C14" s="40"/>
      <c r="D14" s="40"/>
      <c r="E14" s="9">
        <v>5</v>
      </c>
      <c r="F14" s="26">
        <v>3.75</v>
      </c>
      <c r="G14" s="30">
        <f t="shared" si="0"/>
        <v>0.75</v>
      </c>
      <c r="H14" s="31" t="str">
        <f t="shared" si="1"/>
        <v>جيد</v>
      </c>
      <c r="I14" s="67"/>
      <c r="J14" s="68"/>
    </row>
    <row r="15" spans="1:10" ht="61.5" customHeight="1" x14ac:dyDescent="0.2">
      <c r="A15" s="10"/>
      <c r="B15" s="39" t="s">
        <v>183</v>
      </c>
      <c r="C15" s="40"/>
      <c r="D15" s="40"/>
      <c r="E15" s="9">
        <v>5</v>
      </c>
      <c r="F15" s="26">
        <v>3.5</v>
      </c>
      <c r="G15" s="30">
        <f t="shared" si="0"/>
        <v>0.7</v>
      </c>
      <c r="H15" s="31" t="str">
        <f t="shared" si="1"/>
        <v>جيد</v>
      </c>
      <c r="I15" s="67"/>
      <c r="J15" s="68"/>
    </row>
    <row r="16" spans="1:10" ht="39.950000000000003" customHeight="1" x14ac:dyDescent="0.2">
      <c r="A16" s="10"/>
      <c r="B16" s="39" t="s">
        <v>184</v>
      </c>
      <c r="C16" s="40"/>
      <c r="D16" s="40"/>
      <c r="E16" s="9">
        <v>5</v>
      </c>
      <c r="F16" s="26">
        <v>3.75</v>
      </c>
      <c r="G16" s="30">
        <f t="shared" si="0"/>
        <v>0.75</v>
      </c>
      <c r="H16" s="31" t="str">
        <f t="shared" si="1"/>
        <v>جيد</v>
      </c>
      <c r="I16" s="67"/>
      <c r="J16" s="68"/>
    </row>
    <row r="17" spans="1:10" ht="39.950000000000003" customHeight="1" thickBot="1" x14ac:dyDescent="0.25">
      <c r="A17" s="10"/>
      <c r="B17" s="41" t="s">
        <v>185</v>
      </c>
      <c r="C17" s="42"/>
      <c r="D17" s="42"/>
      <c r="E17" s="36">
        <v>5</v>
      </c>
      <c r="F17" s="27">
        <v>4</v>
      </c>
      <c r="G17" s="37">
        <f t="shared" si="0"/>
        <v>0.8</v>
      </c>
      <c r="H17" s="38" t="str">
        <f t="shared" si="1"/>
        <v>جيد جداً</v>
      </c>
      <c r="I17" s="81"/>
      <c r="J17" s="82"/>
    </row>
    <row r="18" spans="1:10" ht="30" customHeight="1" thickBot="1" x14ac:dyDescent="0.25">
      <c r="A18" s="4"/>
      <c r="B18" s="77" t="s">
        <v>5</v>
      </c>
      <c r="C18" s="78"/>
      <c r="D18" s="78"/>
      <c r="E18" s="29">
        <f>SUM(E8:E17)</f>
        <v>50</v>
      </c>
      <c r="F18" s="29">
        <f>SUM(F8:F17)</f>
        <v>36.75</v>
      </c>
      <c r="G18" s="47"/>
      <c r="H18" s="48"/>
      <c r="I18" s="48"/>
      <c r="J18" s="49"/>
    </row>
    <row r="19" spans="1:10" ht="30" customHeight="1" thickBot="1" x14ac:dyDescent="0.25">
      <c r="A19" s="4"/>
      <c r="B19" s="79" t="s">
        <v>54</v>
      </c>
      <c r="C19" s="80"/>
      <c r="D19" s="80"/>
      <c r="E19" s="57">
        <f>F18/E18/100*100</f>
        <v>0.73499999999999999</v>
      </c>
      <c r="F19" s="57"/>
      <c r="G19" s="57"/>
      <c r="H19" s="57"/>
      <c r="I19" s="57"/>
      <c r="J19" s="58"/>
    </row>
    <row r="20" spans="1:10" ht="30" customHeight="1" thickBot="1" x14ac:dyDescent="0.25">
      <c r="A20" s="4"/>
      <c r="B20" s="79" t="s">
        <v>55</v>
      </c>
      <c r="C20" s="80"/>
      <c r="D20" s="80"/>
      <c r="E20" s="73" t="str">
        <f>_xlfn.IFS(E19&gt;=90%,"ممتاز",E19&gt;=80%,"جيد جداً",E19&gt;=70%,"جيد",E19&gt;=60%,"مقبول",E19&lt;60%,"راسب")</f>
        <v>جيد</v>
      </c>
      <c r="F20" s="73"/>
      <c r="G20" s="73"/>
      <c r="H20" s="73"/>
      <c r="I20" s="73"/>
      <c r="J20" s="74"/>
    </row>
    <row r="21" spans="1:10" ht="42" customHeight="1" x14ac:dyDescent="0.2">
      <c r="B21" s="69" t="s">
        <v>175</v>
      </c>
      <c r="C21" s="69"/>
      <c r="D21" s="69"/>
      <c r="E21" s="45" t="s">
        <v>52</v>
      </c>
      <c r="F21" s="45"/>
      <c r="G21" s="71" t="s">
        <v>135</v>
      </c>
      <c r="H21" s="71"/>
      <c r="I21" s="71"/>
      <c r="J21" s="71"/>
    </row>
    <row r="22" spans="1:10" ht="51" customHeight="1" x14ac:dyDescent="0.2">
      <c r="A22" s="5"/>
      <c r="B22" s="70"/>
      <c r="C22" s="70"/>
      <c r="D22" s="70"/>
      <c r="E22" s="46" t="s">
        <v>53</v>
      </c>
      <c r="F22" s="46"/>
      <c r="G22" s="72"/>
      <c r="H22" s="72"/>
      <c r="I22" s="72"/>
      <c r="J22" s="72"/>
    </row>
  </sheetData>
  <sheetProtection sheet="1" formatCells="0" formatColumns="0" formatRows="0" insertColumns="0" insertRows="0" insertHyperlinks="0" deleteColumns="0" deleteRows="0" selectLockedCells="1" sort="0" autoFilter="0" pivotTables="0"/>
  <mergeCells count="41">
    <mergeCell ref="B21:D22"/>
    <mergeCell ref="G21:J21"/>
    <mergeCell ref="G22:J22"/>
    <mergeCell ref="E20:J20"/>
    <mergeCell ref="I8:J8"/>
    <mergeCell ref="B18:D18"/>
    <mergeCell ref="B19:D19"/>
    <mergeCell ref="B20:D20"/>
    <mergeCell ref="I11:J11"/>
    <mergeCell ref="I12:J12"/>
    <mergeCell ref="I13:J13"/>
    <mergeCell ref="I14:J14"/>
    <mergeCell ref="I15:J15"/>
    <mergeCell ref="I16:J16"/>
    <mergeCell ref="I17:J17"/>
    <mergeCell ref="I9:J9"/>
    <mergeCell ref="E21:F21"/>
    <mergeCell ref="E22:F22"/>
    <mergeCell ref="G18:J18"/>
    <mergeCell ref="B1:J1"/>
    <mergeCell ref="F2:J2"/>
    <mergeCell ref="B5:D6"/>
    <mergeCell ref="C2:D2"/>
    <mergeCell ref="C3:D3"/>
    <mergeCell ref="F3:J3"/>
    <mergeCell ref="E19:J19"/>
    <mergeCell ref="B7:D7"/>
    <mergeCell ref="E5:H5"/>
    <mergeCell ref="I5:J6"/>
    <mergeCell ref="I7:J7"/>
    <mergeCell ref="I10:J10"/>
    <mergeCell ref="B13:D13"/>
    <mergeCell ref="B14:D14"/>
    <mergeCell ref="B15:D15"/>
    <mergeCell ref="B16:D16"/>
    <mergeCell ref="B17:D17"/>
    <mergeCell ref="B8:D8"/>
    <mergeCell ref="B9:D9"/>
    <mergeCell ref="B10:D10"/>
    <mergeCell ref="B11:D11"/>
    <mergeCell ref="B12:D12"/>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20">
    <cfRule type="expression" dxfId="14" priority="57">
      <formula>$E20="راسب"</formula>
    </cfRule>
  </conditionalFormatting>
  <conditionalFormatting sqref="E20:J20">
    <cfRule type="expression" dxfId="13" priority="58">
      <formula>$E20="مقبول"</formula>
    </cfRule>
    <cfRule type="expression" dxfId="12" priority="59">
      <formula>$E20="جيد"</formula>
    </cfRule>
    <cfRule type="expression" dxfId="11" priority="60">
      <formula>$E20="جيد جداً"</formula>
    </cfRule>
    <cfRule type="expression" dxfId="10" priority="61">
      <formula>$E20="ممتاز"</formula>
    </cfRule>
  </conditionalFormatting>
  <conditionalFormatting sqref="F8:F17">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21:J21">
    <cfRule type="containsText" dxfId="6" priority="15" operator="containsText" text="أدخل اسم المحكم">
      <formula>NOT(ISERROR(SEARCH("أدخل اسم المحكم",G21)))</formula>
    </cfRule>
  </conditionalFormatting>
  <conditionalFormatting sqref="H8:H17">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F8:F17</xm:sqref>
        </x14:dataValidation>
        <x14:dataValidation type="list" allowBlank="1" showInputMessage="1" showErrorMessage="1" xr:uid="{AE50457C-7424-4A4C-907B-8DC6AA09E7A3}">
          <x14:formula1>
            <xm:f>'بيانات التقييم'!$A$198:$A$285</xm:f>
          </x14:formula1>
          <xm:sqref>G21:J21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19" t="s">
        <v>62</v>
      </c>
    </row>
    <row r="3" spans="1:3" ht="20.100000000000001" customHeight="1" thickBot="1" x14ac:dyDescent="0.3">
      <c r="A3" s="2" t="s">
        <v>26</v>
      </c>
      <c r="C3" s="19" t="s">
        <v>63</v>
      </c>
    </row>
    <row r="4" spans="1:3" ht="20.100000000000001" customHeight="1" thickBot="1" x14ac:dyDescent="0.3">
      <c r="A4" s="2" t="s">
        <v>36</v>
      </c>
      <c r="C4" s="19" t="s">
        <v>64</v>
      </c>
    </row>
    <row r="5" spans="1:3" ht="20.100000000000001" customHeight="1" thickBot="1" x14ac:dyDescent="0.3">
      <c r="A5" s="2" t="s">
        <v>37</v>
      </c>
      <c r="C5" s="19" t="s">
        <v>65</v>
      </c>
    </row>
    <row r="6" spans="1:3" ht="20.100000000000001" customHeight="1" thickBot="1" x14ac:dyDescent="0.3">
      <c r="A6" s="2" t="s">
        <v>38</v>
      </c>
      <c r="C6" s="19" t="s">
        <v>66</v>
      </c>
    </row>
    <row r="7" spans="1:3" ht="20.100000000000001" customHeight="1" thickBot="1" x14ac:dyDescent="0.3">
      <c r="A7" s="2" t="s">
        <v>39</v>
      </c>
      <c r="C7" s="19" t="s">
        <v>67</v>
      </c>
    </row>
    <row r="8" spans="1:3" ht="20.100000000000001" customHeight="1" thickBot="1" x14ac:dyDescent="0.3">
      <c r="A8" s="2" t="s">
        <v>40</v>
      </c>
      <c r="C8" s="19" t="s">
        <v>68</v>
      </c>
    </row>
    <row r="9" spans="1:3" ht="20.100000000000001" customHeight="1" thickBot="1" x14ac:dyDescent="0.3">
      <c r="A9" s="2" t="s">
        <v>41</v>
      </c>
      <c r="C9" s="19" t="s">
        <v>69</v>
      </c>
    </row>
    <row r="10" spans="1:3" ht="20.100000000000001" customHeight="1" thickBot="1" x14ac:dyDescent="0.3">
      <c r="A10" s="2" t="s">
        <v>42</v>
      </c>
      <c r="C10" s="19" t="s">
        <v>70</v>
      </c>
    </row>
    <row r="11" spans="1:3" ht="20.100000000000001" customHeight="1" thickBot="1" x14ac:dyDescent="0.3">
      <c r="A11" s="2" t="s">
        <v>43</v>
      </c>
      <c r="C11" s="19" t="s">
        <v>71</v>
      </c>
    </row>
    <row r="12" spans="1:3" ht="20.100000000000001" customHeight="1" thickBot="1" x14ac:dyDescent="0.3">
      <c r="A12" s="2" t="s">
        <v>44</v>
      </c>
      <c r="C12" s="19" t="s">
        <v>72</v>
      </c>
    </row>
    <row r="13" spans="1:3" ht="20.100000000000001" customHeight="1" thickBot="1" x14ac:dyDescent="0.3">
      <c r="A13" s="2" t="s">
        <v>45</v>
      </c>
      <c r="C13" s="19" t="s">
        <v>73</v>
      </c>
    </row>
    <row r="14" spans="1:3" ht="20.100000000000001" customHeight="1" thickBot="1" x14ac:dyDescent="0.3">
      <c r="A14" s="2" t="s">
        <v>46</v>
      </c>
      <c r="C14" s="19" t="s">
        <v>74</v>
      </c>
    </row>
    <row r="15" spans="1:3" ht="20.100000000000001" customHeight="1" thickBot="1" x14ac:dyDescent="0.3">
      <c r="A15" s="2" t="s">
        <v>47</v>
      </c>
      <c r="C15" s="19" t="s">
        <v>75</v>
      </c>
    </row>
    <row r="16" spans="1:3" ht="20.100000000000001" customHeight="1" thickBot="1" x14ac:dyDescent="0.3">
      <c r="A16" s="2" t="s">
        <v>10</v>
      </c>
      <c r="C16" s="19" t="s">
        <v>76</v>
      </c>
    </row>
    <row r="17" spans="1:3" ht="20.100000000000001" customHeight="1" thickBot="1" x14ac:dyDescent="0.3">
      <c r="A17" s="2" t="s">
        <v>27</v>
      </c>
      <c r="C17" s="19" t="s">
        <v>77</v>
      </c>
    </row>
    <row r="18" spans="1:3" ht="20.100000000000001" customHeight="1" thickBot="1" x14ac:dyDescent="0.3">
      <c r="A18" s="2" t="s">
        <v>48</v>
      </c>
      <c r="C18" s="19" t="s">
        <v>78</v>
      </c>
    </row>
    <row r="19" spans="1:3" ht="20.100000000000001" customHeight="1" thickBot="1" x14ac:dyDescent="0.3">
      <c r="A19" s="2" t="s">
        <v>49</v>
      </c>
      <c r="C19" s="19" t="s">
        <v>79</v>
      </c>
    </row>
    <row r="20" spans="1:3" ht="20.100000000000001" customHeight="1" thickBot="1" x14ac:dyDescent="0.3">
      <c r="A20" s="2" t="s">
        <v>50</v>
      </c>
      <c r="C20" s="19" t="s">
        <v>80</v>
      </c>
    </row>
    <row r="21" spans="1:3" ht="20.100000000000001" customHeight="1" thickBot="1" x14ac:dyDescent="0.3">
      <c r="A21" s="2" t="s">
        <v>51</v>
      </c>
      <c r="C21" s="19" t="s">
        <v>81</v>
      </c>
    </row>
    <row r="22" spans="1:3" ht="20.100000000000001" customHeight="1" thickBot="1" x14ac:dyDescent="0.3">
      <c r="A22" s="2" t="s">
        <v>11</v>
      </c>
      <c r="C22" s="19" t="s">
        <v>82</v>
      </c>
    </row>
    <row r="23" spans="1:3" ht="20.100000000000001" customHeight="1" thickBot="1" x14ac:dyDescent="0.3">
      <c r="A23" s="2" t="s">
        <v>12</v>
      </c>
      <c r="C23" s="19" t="s">
        <v>83</v>
      </c>
    </row>
    <row r="24" spans="1:3" ht="20.100000000000001" customHeight="1" thickBot="1" x14ac:dyDescent="0.3">
      <c r="A24" s="2" t="s">
        <v>15</v>
      </c>
      <c r="C24" s="19" t="s">
        <v>84</v>
      </c>
    </row>
    <row r="25" spans="1:3" ht="20.100000000000001" customHeight="1" thickBot="1" x14ac:dyDescent="0.3">
      <c r="A25" s="2" t="s">
        <v>28</v>
      </c>
      <c r="C25" s="19" t="s">
        <v>85</v>
      </c>
    </row>
    <row r="26" spans="1:3" ht="20.100000000000001" customHeight="1" thickBot="1" x14ac:dyDescent="0.3">
      <c r="A26" s="2" t="s">
        <v>29</v>
      </c>
      <c r="C26" s="19" t="s">
        <v>86</v>
      </c>
    </row>
    <row r="27" spans="1:3" ht="20.100000000000001" customHeight="1" thickBot="1" x14ac:dyDescent="0.3">
      <c r="A27" s="2" t="s">
        <v>13</v>
      </c>
      <c r="C27" s="19" t="s">
        <v>87</v>
      </c>
    </row>
    <row r="28" spans="1:3" ht="20.100000000000001" customHeight="1" thickBot="1" x14ac:dyDescent="0.3">
      <c r="A28" s="2" t="s">
        <v>30</v>
      </c>
      <c r="C28" s="19"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8"/>
    </row>
    <row r="36" spans="1:9" s="17" customFormat="1" ht="20.100000000000001" customHeight="1" x14ac:dyDescent="0.2">
      <c r="A36" s="15"/>
      <c r="B36" s="16"/>
      <c r="C36" s="16"/>
      <c r="D36" s="16"/>
      <c r="E36" s="16"/>
      <c r="F36" s="16"/>
      <c r="G36" s="16"/>
      <c r="H36" s="16"/>
      <c r="I36" s="16"/>
    </row>
    <row r="37" spans="1:9" ht="20.100000000000001" customHeight="1" thickBot="1" x14ac:dyDescent="0.25"/>
    <row r="38" spans="1:9" ht="20.100000000000001" customHeight="1" thickBot="1" x14ac:dyDescent="0.3">
      <c r="A38" s="2" t="s">
        <v>56</v>
      </c>
    </row>
    <row r="39" spans="1:9" ht="20.100000000000001" customHeight="1" thickBot="1" x14ac:dyDescent="0.3">
      <c r="A39" s="13">
        <v>45901</v>
      </c>
    </row>
    <row r="40" spans="1:9" ht="20.100000000000001" customHeight="1" thickBot="1" x14ac:dyDescent="0.3">
      <c r="A40" s="13">
        <v>45902</v>
      </c>
    </row>
    <row r="41" spans="1:9" ht="20.100000000000001" customHeight="1" thickBot="1" x14ac:dyDescent="0.3">
      <c r="A41" s="13">
        <v>45903</v>
      </c>
    </row>
    <row r="42" spans="1:9" ht="20.100000000000001" customHeight="1" thickBot="1" x14ac:dyDescent="0.3">
      <c r="A42" s="13">
        <v>45904</v>
      </c>
    </row>
    <row r="43" spans="1:9" ht="20.100000000000001" customHeight="1" thickBot="1" x14ac:dyDescent="0.3">
      <c r="A43" s="13">
        <v>45905</v>
      </c>
    </row>
    <row r="44" spans="1:9" ht="20.100000000000001" customHeight="1" thickBot="1" x14ac:dyDescent="0.3">
      <c r="A44" s="13">
        <v>45906</v>
      </c>
    </row>
    <row r="45" spans="1:9" ht="20.100000000000001" customHeight="1" thickBot="1" x14ac:dyDescent="0.3">
      <c r="A45" s="13">
        <v>45907</v>
      </c>
    </row>
    <row r="46" spans="1:9" ht="20.100000000000001" customHeight="1" thickBot="1" x14ac:dyDescent="0.3">
      <c r="A46" s="13">
        <v>45908</v>
      </c>
    </row>
    <row r="47" spans="1:9" ht="20.100000000000001" customHeight="1" thickBot="1" x14ac:dyDescent="0.3">
      <c r="A47" s="13">
        <v>45909</v>
      </c>
    </row>
    <row r="48" spans="1:9" ht="20.100000000000001" customHeight="1" thickBot="1" x14ac:dyDescent="0.3">
      <c r="A48" s="13">
        <v>45910</v>
      </c>
    </row>
    <row r="49" spans="1:1" ht="20.100000000000001" customHeight="1" thickBot="1" x14ac:dyDescent="0.3">
      <c r="A49" s="13">
        <v>45911</v>
      </c>
    </row>
    <row r="50" spans="1:1" ht="20.100000000000001" customHeight="1" thickBot="1" x14ac:dyDescent="0.3">
      <c r="A50" s="13">
        <v>45912</v>
      </c>
    </row>
    <row r="51" spans="1:1" ht="20.100000000000001" customHeight="1" thickBot="1" x14ac:dyDescent="0.3">
      <c r="A51" s="13">
        <v>45913</v>
      </c>
    </row>
    <row r="52" spans="1:1" ht="20.100000000000001" customHeight="1" thickBot="1" x14ac:dyDescent="0.3">
      <c r="A52" s="13">
        <v>45914</v>
      </c>
    </row>
    <row r="53" spans="1:1" ht="20.100000000000001" customHeight="1" thickBot="1" x14ac:dyDescent="0.3">
      <c r="A53" s="13">
        <v>45915</v>
      </c>
    </row>
    <row r="54" spans="1:1" ht="20.100000000000001" customHeight="1" thickBot="1" x14ac:dyDescent="0.3">
      <c r="A54" s="13">
        <v>45916</v>
      </c>
    </row>
    <row r="55" spans="1:1" ht="20.100000000000001" customHeight="1" thickBot="1" x14ac:dyDescent="0.3">
      <c r="A55" s="13">
        <v>45917</v>
      </c>
    </row>
    <row r="56" spans="1:1" ht="20.100000000000001" customHeight="1" thickBot="1" x14ac:dyDescent="0.3">
      <c r="A56" s="13">
        <v>45918</v>
      </c>
    </row>
    <row r="57" spans="1:1" ht="20.100000000000001" customHeight="1" thickBot="1" x14ac:dyDescent="0.3">
      <c r="A57" s="13">
        <v>45919</v>
      </c>
    </row>
    <row r="58" spans="1:1" ht="20.100000000000001" customHeight="1" thickBot="1" x14ac:dyDescent="0.3">
      <c r="A58" s="13">
        <v>45920</v>
      </c>
    </row>
    <row r="59" spans="1:1" ht="20.100000000000001" customHeight="1" thickBot="1" x14ac:dyDescent="0.3">
      <c r="A59" s="13">
        <v>45921</v>
      </c>
    </row>
    <row r="60" spans="1:1" ht="20.100000000000001" customHeight="1" thickBot="1" x14ac:dyDescent="0.3">
      <c r="A60" s="13">
        <v>45922</v>
      </c>
    </row>
    <row r="61" spans="1:1" ht="20.100000000000001" customHeight="1" thickBot="1" x14ac:dyDescent="0.3">
      <c r="A61" s="13">
        <v>45923</v>
      </c>
    </row>
    <row r="62" spans="1:1" ht="20.100000000000001" customHeight="1" thickBot="1" x14ac:dyDescent="0.3">
      <c r="A62" s="13">
        <v>45924</v>
      </c>
    </row>
    <row r="63" spans="1:1" ht="20.100000000000001" customHeight="1" thickBot="1" x14ac:dyDescent="0.3">
      <c r="A63" s="13">
        <v>45925</v>
      </c>
    </row>
    <row r="64" spans="1:1" ht="20.100000000000001" customHeight="1" thickBot="1" x14ac:dyDescent="0.3">
      <c r="A64" s="13">
        <v>45926</v>
      </c>
    </row>
    <row r="65" spans="1:1" ht="20.100000000000001" customHeight="1" thickBot="1" x14ac:dyDescent="0.3">
      <c r="A65" s="13">
        <v>45927</v>
      </c>
    </row>
    <row r="66" spans="1:1" ht="20.100000000000001" customHeight="1" thickBot="1" x14ac:dyDescent="0.3">
      <c r="A66" s="13">
        <v>45928</v>
      </c>
    </row>
    <row r="67" spans="1:1" ht="20.100000000000001" customHeight="1" thickBot="1" x14ac:dyDescent="0.3">
      <c r="A67" s="13">
        <v>45929</v>
      </c>
    </row>
    <row r="68" spans="1:1" ht="20.100000000000001" customHeight="1" thickBot="1" x14ac:dyDescent="0.3">
      <c r="A68" s="13">
        <v>45930</v>
      </c>
    </row>
    <row r="69" spans="1:1" ht="20.100000000000001" customHeight="1" thickBot="1" x14ac:dyDescent="0.3">
      <c r="A69" s="13">
        <v>45931</v>
      </c>
    </row>
    <row r="70" spans="1:1" ht="20.100000000000001" customHeight="1" thickBot="1" x14ac:dyDescent="0.3">
      <c r="A70" s="13">
        <v>45932</v>
      </c>
    </row>
    <row r="71" spans="1:1" ht="20.100000000000001" customHeight="1" thickBot="1" x14ac:dyDescent="0.3">
      <c r="A71" s="13">
        <v>45933</v>
      </c>
    </row>
    <row r="72" spans="1:1" ht="20.100000000000001" customHeight="1" thickBot="1" x14ac:dyDescent="0.3">
      <c r="A72" s="13">
        <v>45934</v>
      </c>
    </row>
    <row r="73" spans="1:1" ht="20.100000000000001" customHeight="1" thickBot="1" x14ac:dyDescent="0.3">
      <c r="A73" s="13">
        <v>45935</v>
      </c>
    </row>
    <row r="74" spans="1:1" ht="20.100000000000001" customHeight="1" thickBot="1" x14ac:dyDescent="0.3">
      <c r="A74" s="13">
        <v>45936</v>
      </c>
    </row>
    <row r="75" spans="1:1" ht="20.100000000000001" customHeight="1" thickBot="1" x14ac:dyDescent="0.3">
      <c r="A75" s="13">
        <v>45937</v>
      </c>
    </row>
    <row r="76" spans="1:1" ht="20.100000000000001" customHeight="1" thickBot="1" x14ac:dyDescent="0.3">
      <c r="A76" s="13">
        <v>45938</v>
      </c>
    </row>
    <row r="77" spans="1:1" ht="20.100000000000001" customHeight="1" thickBot="1" x14ac:dyDescent="0.3">
      <c r="A77" s="13">
        <v>45939</v>
      </c>
    </row>
    <row r="78" spans="1:1" ht="20.100000000000001" customHeight="1" thickBot="1" x14ac:dyDescent="0.3">
      <c r="A78" s="13">
        <v>45940</v>
      </c>
    </row>
    <row r="79" spans="1:1" ht="20.100000000000001" customHeight="1" thickBot="1" x14ac:dyDescent="0.3">
      <c r="A79" s="13">
        <v>45941</v>
      </c>
    </row>
    <row r="80" spans="1:1" ht="20.100000000000001" customHeight="1" thickBot="1" x14ac:dyDescent="0.3">
      <c r="A80" s="13">
        <v>45942</v>
      </c>
    </row>
    <row r="81" spans="1:1" ht="20.100000000000001" customHeight="1" thickBot="1" x14ac:dyDescent="0.3">
      <c r="A81" s="13">
        <v>45943</v>
      </c>
    </row>
    <row r="82" spans="1:1" ht="20.100000000000001" customHeight="1" thickBot="1" x14ac:dyDescent="0.3">
      <c r="A82" s="13">
        <v>45944</v>
      </c>
    </row>
    <row r="83" spans="1:1" ht="20.100000000000001" customHeight="1" thickBot="1" x14ac:dyDescent="0.3">
      <c r="A83" s="13">
        <v>45945</v>
      </c>
    </row>
    <row r="84" spans="1:1" ht="20.100000000000001" customHeight="1" thickBot="1" x14ac:dyDescent="0.3">
      <c r="A84" s="13">
        <v>45946</v>
      </c>
    </row>
    <row r="85" spans="1:1" ht="20.100000000000001" customHeight="1" thickBot="1" x14ac:dyDescent="0.3">
      <c r="A85" s="13">
        <v>45947</v>
      </c>
    </row>
    <row r="86" spans="1:1" ht="20.100000000000001" customHeight="1" thickBot="1" x14ac:dyDescent="0.3">
      <c r="A86" s="13">
        <v>45948</v>
      </c>
    </row>
    <row r="87" spans="1:1" ht="20.100000000000001" customHeight="1" thickBot="1" x14ac:dyDescent="0.3">
      <c r="A87" s="13">
        <v>45949</v>
      </c>
    </row>
    <row r="88" spans="1:1" ht="20.100000000000001" customHeight="1" thickBot="1" x14ac:dyDescent="0.3">
      <c r="A88" s="13">
        <v>45950</v>
      </c>
    </row>
    <row r="89" spans="1:1" ht="20.100000000000001" customHeight="1" thickBot="1" x14ac:dyDescent="0.3">
      <c r="A89" s="13">
        <v>45951</v>
      </c>
    </row>
    <row r="90" spans="1:1" ht="20.100000000000001" customHeight="1" thickBot="1" x14ac:dyDescent="0.3">
      <c r="A90" s="13">
        <v>45952</v>
      </c>
    </row>
    <row r="91" spans="1:1" ht="20.100000000000001" customHeight="1" thickBot="1" x14ac:dyDescent="0.3">
      <c r="A91" s="13">
        <v>45953</v>
      </c>
    </row>
    <row r="92" spans="1:1" ht="20.100000000000001" customHeight="1" thickBot="1" x14ac:dyDescent="0.3">
      <c r="A92" s="13">
        <v>45954</v>
      </c>
    </row>
    <row r="93" spans="1:1" ht="20.100000000000001" customHeight="1" thickBot="1" x14ac:dyDescent="0.3">
      <c r="A93" s="13">
        <v>45955</v>
      </c>
    </row>
    <row r="94" spans="1:1" ht="20.100000000000001" customHeight="1" thickBot="1" x14ac:dyDescent="0.3">
      <c r="A94" s="13">
        <v>45956</v>
      </c>
    </row>
    <row r="95" spans="1:1" ht="20.100000000000001" customHeight="1" thickBot="1" x14ac:dyDescent="0.3">
      <c r="A95" s="13">
        <v>45957</v>
      </c>
    </row>
    <row r="96" spans="1:1" ht="20.100000000000001" customHeight="1" thickBot="1" x14ac:dyDescent="0.3">
      <c r="A96" s="13">
        <v>45958</v>
      </c>
    </row>
    <row r="97" spans="1:9" ht="20.100000000000001" customHeight="1" thickBot="1" x14ac:dyDescent="0.3">
      <c r="A97" s="13">
        <v>45959</v>
      </c>
    </row>
    <row r="98" spans="1:9" ht="20.100000000000001" customHeight="1" thickBot="1" x14ac:dyDescent="0.3">
      <c r="A98" s="13">
        <v>45960</v>
      </c>
    </row>
    <row r="99" spans="1:9" ht="20.100000000000001" customHeight="1" thickBot="1" x14ac:dyDescent="0.3">
      <c r="A99" s="13">
        <v>45961</v>
      </c>
    </row>
    <row r="100" spans="1:9" ht="20.100000000000001" customHeight="1" thickBot="1" x14ac:dyDescent="0.3">
      <c r="A100" s="13">
        <v>45962</v>
      </c>
    </row>
    <row r="101" spans="1:9" ht="20.100000000000001" customHeight="1" thickBot="1" x14ac:dyDescent="0.3">
      <c r="A101" s="13">
        <v>45963</v>
      </c>
    </row>
    <row r="102" spans="1:9" ht="20.100000000000001" customHeight="1" thickBot="1" x14ac:dyDescent="0.3">
      <c r="A102" s="13">
        <v>45964</v>
      </c>
    </row>
    <row r="103" spans="1:9" ht="20.100000000000001" customHeight="1" thickBot="1" x14ac:dyDescent="0.3">
      <c r="A103" s="13">
        <v>45965</v>
      </c>
    </row>
    <row r="104" spans="1:9" ht="20.100000000000001" customHeight="1" thickBot="1" x14ac:dyDescent="0.3">
      <c r="A104" s="13">
        <v>45966</v>
      </c>
    </row>
    <row r="105" spans="1:9" ht="20.100000000000001" customHeight="1" thickBot="1" x14ac:dyDescent="0.3">
      <c r="A105" s="13">
        <v>45967</v>
      </c>
    </row>
    <row r="106" spans="1:9" ht="20.100000000000001" customHeight="1" thickBot="1" x14ac:dyDescent="0.3">
      <c r="A106" s="13">
        <v>45968</v>
      </c>
    </row>
    <row r="107" spans="1:9" ht="20.100000000000001" customHeight="1" x14ac:dyDescent="0.2">
      <c r="A107" s="14"/>
    </row>
    <row r="108" spans="1:9" ht="20.100000000000001" customHeight="1" x14ac:dyDescent="0.2">
      <c r="A108" s="14"/>
    </row>
    <row r="109" spans="1:9" s="17" customFormat="1" ht="20.100000000000001" customHeight="1" x14ac:dyDescent="0.2">
      <c r="A109" s="15"/>
      <c r="B109" s="16"/>
      <c r="C109" s="16"/>
      <c r="D109" s="16"/>
      <c r="E109" s="16"/>
      <c r="F109" s="16"/>
      <c r="G109" s="16"/>
      <c r="H109" s="16"/>
      <c r="I109" s="16"/>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0" t="s">
        <v>89</v>
      </c>
    </row>
    <row r="200" spans="1:1" ht="20.100000000000001" customHeight="1" x14ac:dyDescent="0.2">
      <c r="A200" s="20" t="s">
        <v>90</v>
      </c>
    </row>
    <row r="201" spans="1:1" ht="20.100000000000001" customHeight="1" x14ac:dyDescent="0.2">
      <c r="A201" s="20" t="s">
        <v>91</v>
      </c>
    </row>
    <row r="202" spans="1:1" ht="20.100000000000001" customHeight="1" x14ac:dyDescent="0.2">
      <c r="A202" s="20" t="s">
        <v>92</v>
      </c>
    </row>
    <row r="203" spans="1:1" ht="20.100000000000001" customHeight="1" x14ac:dyDescent="0.2">
      <c r="A203" s="20" t="s">
        <v>93</v>
      </c>
    </row>
    <row r="204" spans="1:1" ht="20.100000000000001" customHeight="1" x14ac:dyDescent="0.2">
      <c r="A204" s="20" t="s">
        <v>94</v>
      </c>
    </row>
    <row r="205" spans="1:1" ht="20.100000000000001" customHeight="1" x14ac:dyDescent="0.2">
      <c r="A205" s="20" t="s">
        <v>95</v>
      </c>
    </row>
    <row r="206" spans="1:1" ht="20.100000000000001" customHeight="1" x14ac:dyDescent="0.2">
      <c r="A206" s="20" t="s">
        <v>96</v>
      </c>
    </row>
    <row r="207" spans="1:1" ht="20.100000000000001" customHeight="1" x14ac:dyDescent="0.2">
      <c r="A207" s="20" t="s">
        <v>97</v>
      </c>
    </row>
    <row r="208" spans="1:1" ht="20.100000000000001" customHeight="1" x14ac:dyDescent="0.2">
      <c r="A208" s="21" t="s">
        <v>98</v>
      </c>
    </row>
    <row r="209" spans="1:1" ht="20.100000000000001" customHeight="1" x14ac:dyDescent="0.2">
      <c r="A209" s="21" t="s">
        <v>99</v>
      </c>
    </row>
    <row r="210" spans="1:1" ht="20.100000000000001" customHeight="1" x14ac:dyDescent="0.2">
      <c r="A210" s="20" t="s">
        <v>100</v>
      </c>
    </row>
    <row r="211" spans="1:1" ht="20.100000000000001" customHeight="1" x14ac:dyDescent="0.2">
      <c r="A211" s="20" t="s">
        <v>101</v>
      </c>
    </row>
    <row r="212" spans="1:1" ht="20.100000000000001" customHeight="1" x14ac:dyDescent="0.2">
      <c r="A212" s="20" t="s">
        <v>102</v>
      </c>
    </row>
    <row r="213" spans="1:1" ht="20.100000000000001" customHeight="1" x14ac:dyDescent="0.2">
      <c r="A213" s="20" t="s">
        <v>103</v>
      </c>
    </row>
    <row r="214" spans="1:1" ht="20.100000000000001" customHeight="1" x14ac:dyDescent="0.2">
      <c r="A214" s="20" t="s">
        <v>104</v>
      </c>
    </row>
    <row r="215" spans="1:1" ht="20.100000000000001" customHeight="1" x14ac:dyDescent="0.2">
      <c r="A215" s="20" t="s">
        <v>105</v>
      </c>
    </row>
    <row r="216" spans="1:1" ht="20.100000000000001" customHeight="1" x14ac:dyDescent="0.2">
      <c r="A216" s="20" t="s">
        <v>106</v>
      </c>
    </row>
    <row r="217" spans="1:1" ht="20.100000000000001" customHeight="1" x14ac:dyDescent="0.2">
      <c r="A217" s="20" t="s">
        <v>107</v>
      </c>
    </row>
    <row r="218" spans="1:1" ht="20.100000000000001" customHeight="1" x14ac:dyDescent="0.2">
      <c r="A218" s="20" t="s">
        <v>108</v>
      </c>
    </row>
    <row r="219" spans="1:1" ht="20.100000000000001" customHeight="1" x14ac:dyDescent="0.2">
      <c r="A219" s="20" t="s">
        <v>109</v>
      </c>
    </row>
    <row r="220" spans="1:1" ht="20.100000000000001" customHeight="1" x14ac:dyDescent="0.2">
      <c r="A220" s="20" t="s">
        <v>110</v>
      </c>
    </row>
    <row r="221" spans="1:1" ht="20.100000000000001" customHeight="1" x14ac:dyDescent="0.2">
      <c r="A221" s="20" t="s">
        <v>111</v>
      </c>
    </row>
    <row r="222" spans="1:1" ht="20.100000000000001" customHeight="1" x14ac:dyDescent="0.2">
      <c r="A222" s="20" t="s">
        <v>112</v>
      </c>
    </row>
    <row r="223" spans="1:1" ht="20.100000000000001" customHeight="1" x14ac:dyDescent="0.2">
      <c r="A223" s="20" t="s">
        <v>113</v>
      </c>
    </row>
    <row r="224" spans="1:1" ht="20.100000000000001" customHeight="1" x14ac:dyDescent="0.2">
      <c r="A224" s="20" t="s">
        <v>114</v>
      </c>
    </row>
    <row r="225" spans="1:1" ht="20.100000000000001" customHeight="1" x14ac:dyDescent="0.2">
      <c r="A225" s="20" t="s">
        <v>115</v>
      </c>
    </row>
    <row r="226" spans="1:1" ht="20.100000000000001" customHeight="1" x14ac:dyDescent="0.2">
      <c r="A226" s="20" t="s">
        <v>116</v>
      </c>
    </row>
    <row r="227" spans="1:1" ht="20.100000000000001" customHeight="1" x14ac:dyDescent="0.2">
      <c r="A227" s="20" t="s">
        <v>117</v>
      </c>
    </row>
    <row r="228" spans="1:1" ht="20.100000000000001" customHeight="1" x14ac:dyDescent="0.2">
      <c r="A228" s="20" t="s">
        <v>118</v>
      </c>
    </row>
    <row r="229" spans="1:1" ht="20.100000000000001" customHeight="1" x14ac:dyDescent="0.2">
      <c r="A229" s="20" t="s">
        <v>119</v>
      </c>
    </row>
    <row r="230" spans="1:1" ht="20.100000000000001" customHeight="1" x14ac:dyDescent="0.2">
      <c r="A230" s="20" t="s">
        <v>120</v>
      </c>
    </row>
    <row r="231" spans="1:1" ht="20.100000000000001" customHeight="1" x14ac:dyDescent="0.2">
      <c r="A231" s="20" t="s">
        <v>121</v>
      </c>
    </row>
    <row r="232" spans="1:1" ht="20.100000000000001" customHeight="1" x14ac:dyDescent="0.2">
      <c r="A232" s="20" t="s">
        <v>122</v>
      </c>
    </row>
    <row r="233" spans="1:1" ht="20.100000000000001" customHeight="1" x14ac:dyDescent="0.2">
      <c r="A233" s="20" t="s">
        <v>123</v>
      </c>
    </row>
    <row r="234" spans="1:1" ht="20.100000000000001" customHeight="1" x14ac:dyDescent="0.2">
      <c r="A234" s="20" t="s">
        <v>124</v>
      </c>
    </row>
    <row r="235" spans="1:1" ht="20.100000000000001" customHeight="1" x14ac:dyDescent="0.2">
      <c r="A235" s="22" t="s">
        <v>125</v>
      </c>
    </row>
    <row r="236" spans="1:1" ht="20.100000000000001" customHeight="1" x14ac:dyDescent="0.2">
      <c r="A236" s="20" t="s">
        <v>126</v>
      </c>
    </row>
    <row r="237" spans="1:1" ht="20.100000000000001" customHeight="1" x14ac:dyDescent="0.2">
      <c r="A237" s="20" t="s">
        <v>127</v>
      </c>
    </row>
    <row r="238" spans="1:1" ht="20.100000000000001" customHeight="1" x14ac:dyDescent="0.2">
      <c r="A238" s="20" t="s">
        <v>128</v>
      </c>
    </row>
    <row r="239" spans="1:1" ht="20.100000000000001" customHeight="1" x14ac:dyDescent="0.2">
      <c r="A239" s="20" t="s">
        <v>129</v>
      </c>
    </row>
    <row r="240" spans="1:1" ht="20.100000000000001" customHeight="1" x14ac:dyDescent="0.2">
      <c r="A240" s="20" t="s">
        <v>130</v>
      </c>
    </row>
    <row r="241" spans="1:1" ht="20.100000000000001" customHeight="1" x14ac:dyDescent="0.2">
      <c r="A241" s="20" t="s">
        <v>131</v>
      </c>
    </row>
    <row r="242" spans="1:1" ht="20.100000000000001" customHeight="1" x14ac:dyDescent="0.2">
      <c r="A242" s="20" t="s">
        <v>132</v>
      </c>
    </row>
    <row r="243" spans="1:1" ht="20.100000000000001" customHeight="1" x14ac:dyDescent="0.2">
      <c r="A243" s="20" t="s">
        <v>133</v>
      </c>
    </row>
    <row r="244" spans="1:1" ht="20.100000000000001" customHeight="1" x14ac:dyDescent="0.2">
      <c r="A244" s="20" t="s">
        <v>134</v>
      </c>
    </row>
    <row r="245" spans="1:1" ht="20.100000000000001" customHeight="1" x14ac:dyDescent="0.2">
      <c r="A245" s="20" t="s">
        <v>135</v>
      </c>
    </row>
    <row r="246" spans="1:1" ht="20.100000000000001" customHeight="1" x14ac:dyDescent="0.2">
      <c r="A246" s="20" t="s">
        <v>136</v>
      </c>
    </row>
    <row r="247" spans="1:1" ht="20.100000000000001" customHeight="1" x14ac:dyDescent="0.2">
      <c r="A247" s="20" t="s">
        <v>127</v>
      </c>
    </row>
    <row r="248" spans="1:1" ht="20.100000000000001" customHeight="1" x14ac:dyDescent="0.2">
      <c r="A248" s="20" t="s">
        <v>137</v>
      </c>
    </row>
    <row r="249" spans="1:1" ht="20.100000000000001" customHeight="1" x14ac:dyDescent="0.2">
      <c r="A249" s="20" t="s">
        <v>138</v>
      </c>
    </row>
    <row r="250" spans="1:1" ht="20.100000000000001" customHeight="1" x14ac:dyDescent="0.2">
      <c r="A250" s="22" t="s">
        <v>139</v>
      </c>
    </row>
    <row r="251" spans="1:1" ht="20.100000000000001" customHeight="1" x14ac:dyDescent="0.2">
      <c r="A251" s="23" t="s">
        <v>140</v>
      </c>
    </row>
    <row r="252" spans="1:1" ht="20.100000000000001" customHeight="1" x14ac:dyDescent="0.2">
      <c r="A252" s="20" t="s">
        <v>141</v>
      </c>
    </row>
    <row r="253" spans="1:1" ht="20.100000000000001" customHeight="1" x14ac:dyDescent="0.2">
      <c r="A253" s="20" t="s">
        <v>142</v>
      </c>
    </row>
    <row r="254" spans="1:1" ht="20.100000000000001" customHeight="1" x14ac:dyDescent="0.2">
      <c r="A254" s="24" t="s">
        <v>143</v>
      </c>
    </row>
    <row r="255" spans="1:1" ht="20.100000000000001" customHeight="1" x14ac:dyDescent="0.2">
      <c r="A255" s="24" t="s">
        <v>144</v>
      </c>
    </row>
    <row r="256" spans="1:1" ht="20.100000000000001" customHeight="1" x14ac:dyDescent="0.2">
      <c r="A256" s="25" t="s">
        <v>145</v>
      </c>
    </row>
    <row r="257" spans="1:1" ht="20.100000000000001" customHeight="1" x14ac:dyDescent="0.2">
      <c r="A257" s="20" t="s">
        <v>146</v>
      </c>
    </row>
    <row r="258" spans="1:1" ht="20.100000000000001" customHeight="1" x14ac:dyDescent="0.2">
      <c r="A258" s="25" t="s">
        <v>147</v>
      </c>
    </row>
    <row r="259" spans="1:1" ht="20.100000000000001" customHeight="1" x14ac:dyDescent="0.2">
      <c r="A259" s="20" t="s">
        <v>148</v>
      </c>
    </row>
    <row r="260" spans="1:1" ht="20.100000000000001" customHeight="1" x14ac:dyDescent="0.2">
      <c r="A260" s="25" t="s">
        <v>149</v>
      </c>
    </row>
    <row r="261" spans="1:1" ht="20.100000000000001" customHeight="1" x14ac:dyDescent="0.2">
      <c r="A261" s="20" t="s">
        <v>150</v>
      </c>
    </row>
    <row r="262" spans="1:1" ht="20.100000000000001" customHeight="1" x14ac:dyDescent="0.2">
      <c r="A262" s="20" t="s">
        <v>151</v>
      </c>
    </row>
    <row r="263" spans="1:1" ht="20.100000000000001" customHeight="1" x14ac:dyDescent="0.2">
      <c r="A263" s="25" t="s">
        <v>152</v>
      </c>
    </row>
    <row r="264" spans="1:1" ht="20.100000000000001" customHeight="1" x14ac:dyDescent="0.2">
      <c r="A264" s="25" t="s">
        <v>153</v>
      </c>
    </row>
    <row r="265" spans="1:1" ht="20.100000000000001" customHeight="1" x14ac:dyDescent="0.2">
      <c r="A265" s="25" t="s">
        <v>154</v>
      </c>
    </row>
    <row r="266" spans="1:1" ht="20.100000000000001" customHeight="1" x14ac:dyDescent="0.2">
      <c r="A266" s="20" t="s">
        <v>155</v>
      </c>
    </row>
    <row r="267" spans="1:1" ht="20.100000000000001" customHeight="1" x14ac:dyDescent="0.2">
      <c r="A267" s="20" t="s">
        <v>156</v>
      </c>
    </row>
    <row r="268" spans="1:1" ht="20.100000000000001" customHeight="1" x14ac:dyDescent="0.2">
      <c r="A268" s="20" t="s">
        <v>157</v>
      </c>
    </row>
    <row r="269" spans="1:1" ht="20.100000000000001" customHeight="1" x14ac:dyDescent="0.2">
      <c r="A269" s="20" t="s">
        <v>158</v>
      </c>
    </row>
    <row r="270" spans="1:1" ht="20.100000000000001" customHeight="1" x14ac:dyDescent="0.2">
      <c r="A270" s="25" t="s">
        <v>159</v>
      </c>
    </row>
    <row r="271" spans="1:1" ht="20.100000000000001" customHeight="1" x14ac:dyDescent="0.2">
      <c r="A271" s="25" t="s">
        <v>160</v>
      </c>
    </row>
    <row r="272" spans="1:1" ht="20.100000000000001" customHeight="1" x14ac:dyDescent="0.2">
      <c r="A272" s="20" t="s">
        <v>161</v>
      </c>
    </row>
    <row r="273" spans="1:1" ht="20.100000000000001" customHeight="1" x14ac:dyDescent="0.2">
      <c r="A273" s="25" t="s">
        <v>162</v>
      </c>
    </row>
    <row r="274" spans="1:1" ht="20.100000000000001" customHeight="1" x14ac:dyDescent="0.2">
      <c r="A274" s="25" t="s">
        <v>163</v>
      </c>
    </row>
    <row r="275" spans="1:1" ht="20.100000000000001" customHeight="1" x14ac:dyDescent="0.2">
      <c r="A275" s="20" t="s">
        <v>164</v>
      </c>
    </row>
    <row r="276" spans="1:1" ht="20.100000000000001" customHeight="1" x14ac:dyDescent="0.2">
      <c r="A276" s="20" t="s">
        <v>165</v>
      </c>
    </row>
    <row r="277" spans="1:1" ht="20.100000000000001" customHeight="1" x14ac:dyDescent="0.2">
      <c r="A277" s="25" t="s">
        <v>166</v>
      </c>
    </row>
    <row r="278" spans="1:1" ht="20.100000000000001" customHeight="1" x14ac:dyDescent="0.2">
      <c r="A278" s="20" t="s">
        <v>167</v>
      </c>
    </row>
    <row r="279" spans="1:1" ht="20.100000000000001" customHeight="1" x14ac:dyDescent="0.2">
      <c r="A279" s="20" t="s">
        <v>168</v>
      </c>
    </row>
    <row r="280" spans="1:1" ht="20.100000000000001" customHeight="1" x14ac:dyDescent="0.2">
      <c r="A280" s="20" t="s">
        <v>169</v>
      </c>
    </row>
    <row r="281" spans="1:1" ht="20.100000000000001" customHeight="1" x14ac:dyDescent="0.2">
      <c r="A281" s="20" t="s">
        <v>170</v>
      </c>
    </row>
    <row r="282" spans="1:1" ht="20.100000000000001" customHeight="1" x14ac:dyDescent="0.2">
      <c r="A282" s="25" t="s">
        <v>171</v>
      </c>
    </row>
    <row r="283" spans="1:1" ht="20.100000000000001" customHeight="1" x14ac:dyDescent="0.2">
      <c r="A283" s="25" t="s">
        <v>172</v>
      </c>
    </row>
    <row r="284" spans="1:1" ht="20.100000000000001" customHeight="1" x14ac:dyDescent="0.2">
      <c r="A284" s="25" t="s">
        <v>173</v>
      </c>
    </row>
    <row r="285" spans="1:1" ht="20.100000000000001" customHeight="1" thickBot="1" x14ac:dyDescent="0.25">
      <c r="A285" s="20"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2025-10-22T08:29:49Z</dcterms:modified>
</cp:coreProperties>
</file>