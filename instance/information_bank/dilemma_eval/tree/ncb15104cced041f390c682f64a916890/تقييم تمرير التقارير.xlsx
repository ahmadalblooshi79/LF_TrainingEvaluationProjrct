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A103EDF-CCE8-43E1-BD73-E0494F7A158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<sst xmlns="http://schemas.openxmlformats.org/spreadsheetml/2006/main" count="258" uniqueCount="202">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</sst>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22775</xdr:colOff>
      <xdr:row>36</xdr:row>
      <xdr:rowOff>162695</xdr:rowOff>
    </xdr:from>
    <xdr:to>
      <xdr:col>8</xdr:col>
      <xdr:colOff>636204</xdr:colOff>
      <xdr:row>37</xdr:row>
      <xdr:rowOff>66948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7EB64F1-C7E3-9EA2-F623-2262B092C5B1}"/>
                </a:ext>
              </a:extLst>
            </xdr14:cNvPr>
            <xdr14:cNvContentPartPr/>
          </xdr14:nvContentPartPr>
          <xdr14:nvPr macro=""/>
          <xdr14:xfrm>
            <a:off x="10398608705" y="18462240"/>
            <a:ext cx="1271520" cy="550800"/>
          </xdr14:xfrm>
        </xdr:contentPart>
      </mc:Choice>
      <mc:Fallback xmlns="">
        <xdr:pic>
          <xdr:nvPicPr>
            <xdr:cNvPr id="2" name="Ink 1">
              <a:extLst>
                <a:ext uri="{FF2B5EF4-FFF2-40B4-BE49-F238E27FC236}">
                  <a16:creationId xmlns:a16="http://schemas.microsoft.com/office/drawing/2014/main" id="{47EB64F1-C7E3-9EA2-F623-2262B092C5B1}"/>
                </a:ext>
              </a:extLst>
            </xdr:cNvPr>
            <xdr:cNvPicPr/>
          </xdr:nvPicPr>
          <xdr:blipFill>
            <a:blip xmlns:r="http://schemas.openxmlformats.org/officeDocument/2006/relationships" r:embed="rId2"/>
            <a:stretch>
              <a:fillRect/>
            </a:stretch>
          </xdr:blipFill>
          <xdr:spPr>
            <a:xfrm>
              <a:off x="10398600065" y="18453240"/>
              <a:ext cx="1289160" cy="568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7:53:34.885"/>
    </inkml:context>
    <inkml:brush xml:id="br0">
      <inkml:brushProperty name="width" value="0.05" units="cm"/>
      <inkml:brushProperty name="height" value="0.05" units="cm"/>
    </inkml:brush>
  </inkml:definitions>
  <inkml:trace contextRef="#ctx0" brushRef="#br0">2784 970,'0'0,"-2"0,-11 0,-3-17,13 15,-27 4,-33-34,54 28,-92-24,-25-20,107 40,-121-33,-65-23,176 55,-131-47,-46-8,173 53,-155-60,-17 7,172 53,-108-27,-49-26,159 54,-64-13,-15-9,92 27,-28-22,-18 11,56 13,-14-26,22-4,0 28,0-6,47-5,-40 13,49-27,39-2,-83 27,133-23,46 12,-161 14,145-12,62 14,-200 0,178 16,86-16,-254 0,189 16,18 17,-215-28,175 6,-9 5,-174-13,96 11,-16-14,-93 0,58 16,-13-16,-56 0,18 16,-41 0,14-14,-59 29,-81 17,-32 33,-31-1,175-69,-177 75,-109 28,266-97,-279 95,-50 33,320-123,-230 102,-27-11,270-97,-176 81,-16-17,200-66,-82 37,-21 13,118-52,-34 10,42 10,12-27,36-26,95 5,-108 13,149-44,52-1,-186 41,151-34,146-8,-279 41,-106 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1"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43</v>
      </c>
      <c r="D2" s="67"/>
      <c r="E2" s="13" t="s">
        <v>7</v>
      </c>
      <c r="F2" s="62">
        <v>45953</v>
      </c>
      <c r="G2" s="62"/>
      <c r="H2" s="62"/>
      <c r="I2" s="62"/>
      <c r="J2" s="62"/>
    </row>
    <row r="3" spans="1:10" ht="30" customHeight="1" x14ac:dyDescent="0.3">
      <c r="B3" s="13" t="s">
        <v>9</v>
      </c>
      <c r="C3" s="67" t="s">
        <v>87</v>
      </c>
      <c r="D3" s="67"/>
      <c r="E3" s="13" t="s">
        <v>6</v>
      </c>
      <c r="F3" s="67" t="s">
        <v>131</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29" t="s">
        <v>18</v>
      </c>
      <c r="F7" s="29" t="s">
        <v>19</v>
      </c>
      <c r="G7" s="29" t="s">
        <v>22</v>
      </c>
      <c r="H7" s="29" t="s">
        <v>20</v>
      </c>
      <c r="I7" s="51" t="s">
        <v>25</v>
      </c>
      <c r="J7" s="52"/>
    </row>
    <row r="8" spans="1:10" ht="39.9" customHeight="1" thickBot="1" x14ac:dyDescent="0.35">
      <c r="A8" s="11"/>
      <c r="B8" s="90" t="s">
        <v>195</v>
      </c>
      <c r="C8" s="91"/>
      <c r="D8" s="91"/>
      <c r="E8" s="10">
        <v>5</v>
      </c>
      <c r="F8" s="40">
        <v>3.5</v>
      </c>
      <c r="G8" s="41">
        <f>IFERROR(F8/E8,"")</f>
        <v>0.7</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3">
        <v>3.5</v>
      </c>
      <c r="G9" s="41">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198</v>
      </c>
      <c r="C11" s="95"/>
      <c r="D11" s="95"/>
      <c r="E11" s="39"/>
      <c r="F11" s="33"/>
      <c r="G11" s="34"/>
      <c r="H11" s="35"/>
      <c r="I11" s="80"/>
      <c r="J11" s="81"/>
    </row>
    <row r="12" spans="1:10" ht="39.9" customHeight="1" x14ac:dyDescent="0.3">
      <c r="A12" s="11"/>
      <c r="B12" s="84" t="s">
        <v>176</v>
      </c>
      <c r="C12" s="85"/>
      <c r="D12" s="85"/>
      <c r="E12" s="9">
        <v>5</v>
      </c>
      <c r="F12" s="27">
        <v>3.5</v>
      </c>
      <c r="G12" s="31">
        <f t="shared" si="0"/>
        <v>0.7</v>
      </c>
      <c r="H12" s="32" t="str">
        <f t="shared" si="1"/>
        <v>جيد</v>
      </c>
      <c r="I12" s="53"/>
      <c r="J12" s="54"/>
    </row>
    <row r="13" spans="1:10" ht="54.9" customHeight="1" x14ac:dyDescent="0.3">
      <c r="A13" s="11"/>
      <c r="B13" s="84" t="s">
        <v>177</v>
      </c>
      <c r="C13" s="85"/>
      <c r="D13" s="85"/>
      <c r="E13" s="9">
        <v>5</v>
      </c>
      <c r="F13" s="42">
        <v>3.5</v>
      </c>
      <c r="G13" s="31">
        <f t="shared" si="0"/>
        <v>0.7</v>
      </c>
      <c r="H13" s="32" t="str">
        <f t="shared" si="1"/>
        <v>جيد</v>
      </c>
      <c r="I13" s="53"/>
      <c r="J13" s="54"/>
    </row>
    <row r="14" spans="1:10" ht="71.25" customHeight="1" x14ac:dyDescent="0.3">
      <c r="A14" s="11"/>
      <c r="B14" s="84" t="s">
        <v>178</v>
      </c>
      <c r="C14" s="85"/>
      <c r="D14" s="85"/>
      <c r="E14" s="9">
        <v>5</v>
      </c>
      <c r="F14" s="42">
        <v>4</v>
      </c>
      <c r="G14" s="31">
        <f t="shared" si="0"/>
        <v>0.8</v>
      </c>
      <c r="H14" s="32" t="str">
        <f t="shared" si="1"/>
        <v>جيد جداً</v>
      </c>
      <c r="I14" s="53"/>
      <c r="J14" s="54"/>
    </row>
    <row r="15" spans="1:10" ht="39.9" customHeight="1" x14ac:dyDescent="0.3">
      <c r="A15" s="11"/>
      <c r="B15" s="84" t="s">
        <v>179</v>
      </c>
      <c r="C15" s="85"/>
      <c r="D15" s="85"/>
      <c r="E15" s="9">
        <v>5</v>
      </c>
      <c r="F15" s="42">
        <v>4</v>
      </c>
      <c r="G15" s="31">
        <f t="shared" si="0"/>
        <v>0.8</v>
      </c>
      <c r="H15" s="32" t="str">
        <f t="shared" si="1"/>
        <v>جيد جداً</v>
      </c>
      <c r="I15" s="53"/>
      <c r="J15" s="54"/>
    </row>
    <row r="16" spans="1:10" ht="68.25" customHeight="1" x14ac:dyDescent="0.3">
      <c r="A16" s="11"/>
      <c r="B16" s="84" t="s">
        <v>180</v>
      </c>
      <c r="C16" s="85"/>
      <c r="D16" s="85"/>
      <c r="E16" s="9">
        <v>5</v>
      </c>
      <c r="F16" s="42">
        <v>4</v>
      </c>
      <c r="G16" s="31">
        <f t="shared" si="0"/>
        <v>0.8</v>
      </c>
      <c r="H16" s="32" t="str">
        <f t="shared" si="1"/>
        <v>جيد جداً</v>
      </c>
      <c r="I16" s="53"/>
      <c r="J16" s="54"/>
    </row>
    <row r="17" spans="1:10" ht="65.099999999999994" customHeight="1" thickBot="1" x14ac:dyDescent="0.35">
      <c r="A17" s="11"/>
      <c r="B17" s="86" t="s">
        <v>181</v>
      </c>
      <c r="C17" s="87"/>
      <c r="D17" s="87"/>
      <c r="E17" s="36">
        <v>5</v>
      </c>
      <c r="F17" s="42">
        <v>3.5</v>
      </c>
      <c r="G17" s="37">
        <f t="shared" si="0"/>
        <v>0.7</v>
      </c>
      <c r="H17" s="38" t="str">
        <f t="shared" si="1"/>
        <v>جيد</v>
      </c>
      <c r="I17" s="82"/>
      <c r="J17" s="83"/>
    </row>
    <row r="18" spans="1:10" ht="39.9" customHeight="1" x14ac:dyDescent="0.3">
      <c r="A18" s="11"/>
      <c r="B18" s="88" t="s">
        <v>199</v>
      </c>
      <c r="C18" s="89"/>
      <c r="D18" s="89"/>
      <c r="E18" s="39"/>
      <c r="F18" s="42">
        <v>3.5</v>
      </c>
      <c r="G18" s="34"/>
      <c r="H18" s="35"/>
      <c r="I18" s="80"/>
      <c r="J18" s="81"/>
    </row>
    <row r="19" spans="1:10" ht="39.9" customHeight="1" x14ac:dyDescent="0.3">
      <c r="A19" s="11"/>
      <c r="B19" s="84" t="s">
        <v>182</v>
      </c>
      <c r="C19" s="85"/>
      <c r="D19" s="85"/>
      <c r="E19" s="9">
        <v>5</v>
      </c>
      <c r="F19" s="42">
        <v>3.75</v>
      </c>
      <c r="G19" s="31">
        <f t="shared" si="0"/>
        <v>0.75</v>
      </c>
      <c r="H19" s="32" t="str">
        <f t="shared" si="1"/>
        <v>جيد</v>
      </c>
      <c r="I19" s="53"/>
      <c r="J19" s="54"/>
    </row>
    <row r="20" spans="1:10" ht="39.9" customHeight="1" x14ac:dyDescent="0.3">
      <c r="A20" s="11"/>
      <c r="B20" s="84" t="s">
        <v>183</v>
      </c>
      <c r="C20" s="85"/>
      <c r="D20" s="85"/>
      <c r="E20" s="9">
        <v>5</v>
      </c>
      <c r="F20" s="42">
        <v>3.75</v>
      </c>
      <c r="G20" s="31">
        <f t="shared" si="0"/>
        <v>0.75</v>
      </c>
      <c r="H20" s="32" t="str">
        <f t="shared" si="1"/>
        <v>جيد</v>
      </c>
      <c r="I20" s="53"/>
      <c r="J20" s="54"/>
    </row>
    <row r="21" spans="1:10" ht="39.9" customHeight="1" x14ac:dyDescent="0.3">
      <c r="A21" s="11"/>
      <c r="B21" s="84" t="s">
        <v>184</v>
      </c>
      <c r="C21" s="85"/>
      <c r="D21" s="85"/>
      <c r="E21" s="9">
        <v>5</v>
      </c>
      <c r="F21" s="42">
        <v>3.75</v>
      </c>
      <c r="G21" s="31">
        <f t="shared" si="0"/>
        <v>0.75</v>
      </c>
      <c r="H21" s="32" t="str">
        <f t="shared" si="1"/>
        <v>جيد</v>
      </c>
      <c r="I21" s="53"/>
      <c r="J21" s="54"/>
    </row>
    <row r="22" spans="1:10" ht="39.9" customHeight="1" x14ac:dyDescent="0.3">
      <c r="A22" s="11"/>
      <c r="B22" s="84" t="s">
        <v>185</v>
      </c>
      <c r="C22" s="85"/>
      <c r="D22" s="85"/>
      <c r="E22" s="9">
        <v>5</v>
      </c>
      <c r="F22" s="42">
        <v>3.75</v>
      </c>
      <c r="G22" s="31">
        <f t="shared" si="0"/>
        <v>0.75</v>
      </c>
      <c r="H22" s="32" t="str">
        <f t="shared" si="1"/>
        <v>جيد</v>
      </c>
      <c r="I22" s="53"/>
      <c r="J22" s="54"/>
    </row>
    <row r="23" spans="1:10" ht="39.9" customHeight="1" x14ac:dyDescent="0.3">
      <c r="A23" s="11"/>
      <c r="B23" s="84" t="s">
        <v>186</v>
      </c>
      <c r="C23" s="85"/>
      <c r="D23" s="85"/>
      <c r="E23" s="9">
        <v>5</v>
      </c>
      <c r="F23" s="42">
        <v>3.5</v>
      </c>
      <c r="G23" s="31">
        <f t="shared" si="0"/>
        <v>0.7</v>
      </c>
      <c r="H23" s="32" t="str">
        <f t="shared" si="1"/>
        <v>جيد</v>
      </c>
      <c r="I23" s="53"/>
      <c r="J23" s="54"/>
    </row>
    <row r="24" spans="1:10" ht="39.9" customHeight="1" x14ac:dyDescent="0.3">
      <c r="A24" s="11"/>
      <c r="B24" s="84" t="s">
        <v>187</v>
      </c>
      <c r="C24" s="85"/>
      <c r="D24" s="85"/>
      <c r="E24" s="9">
        <v>5</v>
      </c>
      <c r="F24" s="42">
        <v>3.5</v>
      </c>
      <c r="G24" s="31">
        <f t="shared" si="0"/>
        <v>0.7</v>
      </c>
      <c r="H24" s="32" t="str">
        <f t="shared" si="1"/>
        <v>جيد</v>
      </c>
      <c r="I24" s="53"/>
      <c r="J24" s="54"/>
    </row>
    <row r="25" spans="1:10" ht="39.9" customHeight="1" x14ac:dyDescent="0.3">
      <c r="A25" s="11"/>
      <c r="B25" s="84" t="s">
        <v>188</v>
      </c>
      <c r="C25" s="85"/>
      <c r="D25" s="85"/>
      <c r="E25" s="9">
        <v>5</v>
      </c>
      <c r="F25" s="42">
        <v>3.5</v>
      </c>
      <c r="G25" s="31">
        <f t="shared" si="0"/>
        <v>0.7</v>
      </c>
      <c r="H25" s="32" t="str">
        <f t="shared" si="1"/>
        <v>جيد</v>
      </c>
      <c r="I25" s="53"/>
      <c r="J25" s="54"/>
    </row>
    <row r="26" spans="1:10" ht="39.9" customHeight="1" thickBot="1" x14ac:dyDescent="0.35">
      <c r="A26" s="11"/>
      <c r="B26" s="86" t="s">
        <v>189</v>
      </c>
      <c r="C26" s="87"/>
      <c r="D26" s="87"/>
      <c r="E26" s="36">
        <v>5</v>
      </c>
      <c r="F26" s="42">
        <v>3.5</v>
      </c>
      <c r="G26" s="37">
        <f t="shared" si="0"/>
        <v>0.7</v>
      </c>
      <c r="H26" s="38" t="str">
        <f t="shared" si="1"/>
        <v>جيد</v>
      </c>
      <c r="I26" s="82"/>
      <c r="J26" s="83"/>
    </row>
    <row r="27" spans="1:10" ht="39.9" customHeight="1" x14ac:dyDescent="0.3">
      <c r="A27" s="11"/>
      <c r="B27" s="94" t="s">
        <v>200</v>
      </c>
      <c r="C27" s="95"/>
      <c r="D27" s="95"/>
      <c r="E27" s="39"/>
      <c r="F27" s="33"/>
      <c r="G27" s="34"/>
      <c r="H27" s="35"/>
      <c r="I27" s="80"/>
      <c r="J27" s="81"/>
    </row>
    <row r="28" spans="1:10" ht="39.9" customHeight="1" x14ac:dyDescent="0.3">
      <c r="A28" s="11"/>
      <c r="B28" s="84" t="s">
        <v>190</v>
      </c>
      <c r="C28" s="85"/>
      <c r="D28" s="85"/>
      <c r="E28" s="9">
        <v>5</v>
      </c>
      <c r="F28" s="27">
        <v>3.5</v>
      </c>
      <c r="G28" s="31">
        <f t="shared" si="0"/>
        <v>0.7</v>
      </c>
      <c r="H28" s="32" t="str">
        <f t="shared" si="1"/>
        <v>جيد</v>
      </c>
      <c r="I28" s="53"/>
      <c r="J28" s="54"/>
    </row>
    <row r="29" spans="1:10" ht="39.9" customHeight="1" x14ac:dyDescent="0.3">
      <c r="A29" s="11"/>
      <c r="B29" s="84" t="s">
        <v>191</v>
      </c>
      <c r="C29" s="85"/>
      <c r="D29" s="85"/>
      <c r="E29" s="9">
        <v>5</v>
      </c>
      <c r="F29" s="42">
        <v>3.5</v>
      </c>
      <c r="G29" s="31">
        <f t="shared" si="0"/>
        <v>0.7</v>
      </c>
      <c r="H29" s="32" t="str">
        <f t="shared" si="1"/>
        <v>جيد</v>
      </c>
      <c r="I29" s="53"/>
      <c r="J29" s="54"/>
    </row>
    <row r="30" spans="1:10" ht="39.9" customHeight="1" x14ac:dyDescent="0.3">
      <c r="A30" s="11"/>
      <c r="B30" s="84" t="s">
        <v>192</v>
      </c>
      <c r="C30" s="85"/>
      <c r="D30" s="85"/>
      <c r="E30" s="9">
        <v>5</v>
      </c>
      <c r="F30" s="42">
        <v>3.5</v>
      </c>
      <c r="G30" s="31">
        <f t="shared" si="0"/>
        <v>0.7</v>
      </c>
      <c r="H30" s="32" t="str">
        <f t="shared" si="1"/>
        <v>جيد</v>
      </c>
      <c r="I30" s="53"/>
      <c r="J30" s="54"/>
    </row>
    <row r="31" spans="1:10" ht="39.9" customHeight="1" x14ac:dyDescent="0.3">
      <c r="A31" s="11"/>
      <c r="B31" s="84" t="s">
        <v>193</v>
      </c>
      <c r="C31" s="85"/>
      <c r="D31" s="85"/>
      <c r="E31" s="9">
        <v>5</v>
      </c>
      <c r="F31" s="42">
        <v>3.5</v>
      </c>
      <c r="G31" s="31">
        <f t="shared" si="0"/>
        <v>0.7</v>
      </c>
      <c r="H31" s="32" t="str">
        <f t="shared" si="1"/>
        <v>جيد</v>
      </c>
      <c r="I31" s="53"/>
      <c r="J31" s="54"/>
    </row>
    <row r="32" spans="1:10" ht="39.9" customHeight="1" thickBot="1" x14ac:dyDescent="0.35">
      <c r="A32" s="11"/>
      <c r="B32" s="86" t="s">
        <v>194</v>
      </c>
      <c r="C32" s="87"/>
      <c r="D32" s="87"/>
      <c r="E32" s="36">
        <v>5</v>
      </c>
      <c r="F32" s="42">
        <v>3.5</v>
      </c>
      <c r="G32" s="37">
        <f t="shared" si="0"/>
        <v>0.7</v>
      </c>
      <c r="H32" s="38" t="str">
        <f t="shared" si="1"/>
        <v>جيد</v>
      </c>
      <c r="I32" s="82"/>
      <c r="J32" s="83"/>
    </row>
    <row r="33" spans="1:10" ht="30" customHeight="1" thickBot="1" x14ac:dyDescent="0.35">
      <c r="A33" s="4"/>
      <c r="B33" s="76" t="s">
        <v>5</v>
      </c>
      <c r="C33" s="77"/>
      <c r="D33" s="77"/>
      <c r="E33" s="30">
        <f>SUM(E8:E32)</f>
        <v>110</v>
      </c>
      <c r="F33" s="30">
        <f>SUM(F8:F32)</f>
        <v>83</v>
      </c>
      <c r="G33" s="46"/>
      <c r="H33" s="47"/>
      <c r="I33" s="47"/>
      <c r="J33" s="48"/>
    </row>
    <row r="34" spans="1:10" ht="30" customHeight="1" thickBot="1" x14ac:dyDescent="0.35">
      <c r="A34" s="4"/>
      <c r="B34" s="78" t="s">
        <v>54</v>
      </c>
      <c r="C34" s="79"/>
      <c r="D34" s="79"/>
      <c r="E34" s="68">
        <f>F33/E33/100*100</f>
        <v>0.75454545454545452</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131</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2025-10-28T04:15:17Z</dcterms:modified>
</cp:coreProperties>
</file>