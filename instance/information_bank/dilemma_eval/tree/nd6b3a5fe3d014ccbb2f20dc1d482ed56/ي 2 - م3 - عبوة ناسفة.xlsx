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6F171B8B-8135-EF40-B7F0-C0E00861AC5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<sst xmlns="http://schemas.openxmlformats.org/spreadsheetml/2006/main" count="243" uniqueCount="187">
  <si>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</si>
  <si>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</si>
  <si>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</si>
  <si>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</si>
  <si>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</si>
  <si>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</si>
  <si>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</si>
  <si>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</si>
  <si>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</si>
  <si>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</si>
  <si>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</si>
  <si>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</si>
  <si>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</si>
  <si>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</si>
  <si>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</si>
  <si>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</si>
  <si>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</si>
  <si>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</si>
  <si>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</si>
  <si>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</si>
  <si>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</si>
  <si>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</si>
  <si>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</si>
  <si>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</si>
  <si>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</si>
  <si>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</si>
  <si>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</si>
  <si>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</si>
  <si>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</si>
  <si>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</si>
  <si>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</si>
  <si>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</si>
  <si>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</si>
  <si>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</si>
  <si>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</si>
  <si>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</si>
  <si>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</si>
  <si>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</si>
  <si>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</si>
  <si>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</si>
  <si>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</si>
  <si>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</si>
  <si>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</si>
  <si>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</si>
  <si>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</si>
  <si>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</si>
  <si>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</si>
  <si>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</si>
  <si>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</si>
  <si>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</si>
  <si>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</si>
  <si>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</si>
  <si>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</si>
  <si>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</si>
  <si>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</si>
  <si>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</si>
  <si>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</si>
  <si>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</si>
  <si>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</si>
  <si>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</si>
  <si>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</si>
  <si>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</si>
  <si>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</si>
  <si>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</si>
  <si>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</si>
  <si>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</si>
  <si>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</si>
  <si>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</si>
  <si>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</si>
  <si>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</si>
  <si>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</si>
  <si>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</si>
  <si>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</si>
  <si>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</si>
  <si>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</si>
  <si>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</si>
  <si>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</si>
  <si>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</si>
  <si>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</si>
  <si>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</si>
  <si>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</si>
  <si>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</si>
  <si>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</si>
  <si>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</si>
  <si>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</si>
  <si>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</si>
  <si>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</si>
  <si>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</si>
  <si>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</si>
  <si>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</si>
  <si>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</si>
  <si>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</si>
  <si>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</si>
  <si>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</si>
  <si>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</si>
  <si>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</si>
  <si>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</si>
  <si>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</si>
  <si>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</si>
  <si>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</si>
  <si>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</si>
  <si>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</si>
  <si>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</si>
  <si>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</si>
  <si>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</si>
  <si>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</si>
  <si>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</si>
  <si>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</si>
  <si>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</si>
  <si>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</si>
  <si>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</si>
  <si>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</si>
  <si>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</si>
  <si>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</si>
  <si>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</si>
  <si>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</si>
  <si>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</si>
  <si>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</si>
  <si>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</si>
  <si>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</si>
  <si>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</si>
  <si>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</si>
  <si>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</si>
  <si>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</si>
  <si>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</si>
  <si>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</si>
  <si>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</si>
  <si>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</si>
  <si>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</si>
  <si>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</si>
  <si>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</si>
  <si>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</si>
  <si>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</si>
  <si>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</si>
  <si>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</si>
  <si>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</si>
  <si>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</si>
  <si>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</si>
  <si>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</si>
  <si>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</si>
  <si>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</si>
  <si>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</si>
  <si>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</si>
  <si>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</si>
  <si>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</si>
  <si>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</si>
  <si>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</si>
  <si>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</si>
  <si>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</si>
  <si>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</si>
  <si>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</si>
  <si>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</si>
  <si>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</si>
  <si>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</si>
  <si>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</si>
  <si>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</si>
  <si>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</si>
  <si>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</si>
  <si>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</si>
  <si>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</si>
  <si>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</si>
  <si>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</si>
  <si>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</si>
  <si>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</si>
  <si>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</si>
  <si>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</si>
  <si>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</si>
  <si>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</si>
  <si>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</si>
  <si>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</si>
  <si>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</si>
  <si>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</si>
  <si>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</si>
  <si>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</si>
  <si>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</si>
  <si>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</si>
  <si>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</si>
  <si>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</si>
  <si>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</si>
  <si>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اليوم/2 - تقييم معضلة/3 - انفجار عبوة ناسفة
تقييم السرايا الراجلة / الآلية - تمرين جاهزية مجموعة لواء الإمارات/1 (جندي الصحراء 2025/20)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</si>
  <si>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</si>
  <si>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التبليغ للمستوى الأعلى عن الحادث والتبليغ عن عدد الإصابات وحجم الخسائر.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</si>
  <si>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الدعم اللوجستي.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</si>
  <si>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رفع البلاغ من قائد السرية لقيادة الكتيبة بعد استلامه التبليغ من قائد الآلية المتضررة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</si>
  <si>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</si>
  <si>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</si>
  <si>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 وأفراد لتأمين الحماية للآلية المتضررة.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</si>
</sst>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right" vertical="center" wrapText="1" readingOrder="2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251385</xdr:colOff>
      <xdr:row>18</xdr:row>
      <xdr:rowOff>15348</xdr:rowOff>
    </xdr:from>
    <xdr:to>
      <xdr:col>8</xdr:col>
      <xdr:colOff>274404</xdr:colOff>
      <xdr:row>18</xdr:row>
      <xdr:rowOff>474348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1698FD4-0D09-EDE0-133E-A1C33EF4D62E}"/>
                </a:ext>
              </a:extLst>
            </xdr14:cNvPr>
            <xdr14:cNvContentPartPr/>
          </xdr14:nvContentPartPr>
          <xdr14:nvPr macro=""/>
          <xdr14:xfrm>
            <a:off x="10398970505" y="7912440"/>
            <a:ext cx="1339200" cy="4590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1698FD4-0D09-EDE0-133E-A1C33EF4D6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61865" y="7903800"/>
              <a:ext cx="1356840" cy="47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372705</xdr:colOff>
      <xdr:row>18</xdr:row>
      <xdr:rowOff>535548</xdr:rowOff>
    </xdr:from>
    <xdr:to>
      <xdr:col>6</xdr:col>
      <xdr:colOff>389625</xdr:colOff>
      <xdr:row>18</xdr:row>
      <xdr:rowOff>552828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6D5DD30-DA22-39D8-585D-938497E4B981}"/>
                </a:ext>
              </a:extLst>
            </xdr14:cNvPr>
            <xdr14:cNvContentPartPr/>
          </xdr14:nvContentPartPr>
          <xdr14:nvPr macro=""/>
          <xdr14:xfrm>
            <a:off x="10400171465" y="8432640"/>
            <a:ext cx="16920" cy="172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6D5DD30-DA22-39D8-585D-938497E4B98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62825" y="8423640"/>
              <a:ext cx="34560" cy="3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7:17.1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3719 376 10610,'0'0'0,"-14"-1"2232,-1 1-1832,1-2-400,14 2 0,-12 0-176,12 0-88,0 0-104,0 0 8,0 0 360,0 0-328,2 3-8,-2 0 56,5 0 40,-5-3 240,0 4-176,3 7 56,1-6 104,1 10 24,-5-15-8,3 15 48,9 3 24,-10 3 16,3 5-16,-5-26-72,12 30 88,-12 1 16,2 3 24,-2 0 40,0-34-168,0 33 208,0-2 72,0 1 40,-5-5 80,5-27-400,-12 25 448,5-2 40,-7-2-16,-1-2 9,15-19-481,-12 15 472,-2-2-48,-1 0-24,1-9-80,14-4-320,-14 14 256,-1-9-56,1 6 24,-3-8-112,17-3-112,-19 3 120,2 0-32,-2-1-88,2-2 64,17 0-64,-17 0 16,-2 0-16,2 0 0,-2 0-16,19 0 16,-20-1-24,3 0 32,-2-2-16,2 1 8,17 2 0,-16-1 24,-4-1-8,1 1 24,2 1-32,17 0-8,-24-1 40,3 1-64,-1 0 56,-2 0-32,24 0 0,-27 0-72,1 0 88,2 0-88,-7 4 64,31-4 8,-29 3 24,-3 0-8,-4-1-56,3 1 24,33-3 16,-36 5 0,-5 6 40,0-11 72,-5 4 16,46-4-128,-48 13 184,0-10 32,-7 8 8,-3-8 72,58-3-296,-67 4 328,-3 1 1,-5-1-1,-7 0 40,82-4-368,-79 3 288,-5 0-16,-3 0-16,-4-1-80,91-2-176,-94 0 176,0 3-8,-2 0-88,-3 0 48,99-3-128,-98 4 96,-8 0-64,10 1 32,-8-1-64,104-4 0,-98 4-24,4 1 88,3 9 8,-1-10 24,92-4-96,-89 14 104,0-1-16,5-2-72,5 4 32,79-15-48,-73 12 0,6 1 16,9-1 32,5-8-72,53-4 24,-45 14 64,6-11-32,8 1-24,7-1-32,24-3 24,-15 3-24,11-3-32,-8 0-112,12 0-16,0 0 184,2-2-440,3-2 24,14-2 56,5-5 136,-24 11 224,31-11-72,10-3 48,12-2 48,10-4-64,-63 20 40,72-20 24,10-1-8,9-2-40,5 3 48,-96 20-24,97-23-24,8 2-8,1-2 32,-2 1-24,-104 22 24,113-26 24,0-1-8,7-4-80,-2-5 0,-118 36 64,110-38-24,-4-2 40,-9-3 32,-11-2-120,-86 45 72,82-47 48,-8-1 24,-9-1 40,-2 1 104,-63 48-216,50-47 136,-11 4-16,-10 4 104,-8 2 72,-21 37-296,17-33 272,-14 4 152,-1 2-40,-2 2 64,0 25-448,0-23 520,-12 0-183,0 4 31,0-3-248,12 22-120,-12-17 136,-2 1 112,2 4-104,4 6-136,8 6-8,-14-13 168,9 9-152,-9 0-56,9 1 104,5 3-64,0 0-192,-3 0-112,1 0-80,2 0 8,0 0 376,0 3-505,0 9 113,5 1 96,4 9 152,-9-22 144,15 25-120,-3 9 80,12 9 56,-2 5 8,-22-48-24,24 54 56,2 0-40,-4-3-48,4-4 8,-26-47 24,19 43-40,1-6 64,1-4 16,-4-2-40,-17-31 0,17 28 16,-3-1 8,-2-1-64,3-5 56,-15-21-16,10 23 16,2 0-8,-8 0 8,8-1 32,-12-22-48,5 24-40,10 2 16,-11-2 0,11 3-16,-15-27 40,5 27 24,7-1-24,-7 1 56,7-2-48,-12-25-8,4 25-32,6-4-24,-5-1-48,4 0 80,-9-20 24,0 17-40,12 0 8,-12 0 176,3-1-248,-3-16 104,2 14-152,3 0-184,-5 0-360,2-1-56,-2-13 752,3 11-936,-1 2-105,3 1-71,-5-1-40,0-13 1152,5 14-1344,-5 1-257,5-4-447,-5 3 191,0-14 1857,0 12-5969,0-12 5969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7:17.5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46 47 24413,'0'0'0,"-16"-1"2192,1-2-2280,3 0 176,12 3-88,-2-3-536,2 2-104,0-1-192,0-1-264,0 3 1096,2-1-1209,-2-2-191,0 0-96,3 2-401,-3 1 1897,4-4-2632,-1-2-473,2-7-4801,-5 13 7906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C9" zoomScale="130" zoomScaleNormal="100" zoomScaleSheetLayoutView="130" workbookViewId="0">
      <selection activeCell="G19" sqref="G19:J19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0" t="s">
        <v>179</v>
      </c>
      <c r="C1" s="50"/>
      <c r="D1" s="50"/>
      <c r="E1" s="50"/>
      <c r="F1" s="50"/>
      <c r="G1" s="50"/>
      <c r="H1" s="50"/>
      <c r="I1" s="50"/>
      <c r="J1" s="50"/>
    </row>
    <row r="2" spans="1:10" ht="30" customHeight="1">
      <c r="B2" s="11" t="s">
        <v>8</v>
      </c>
      <c r="C2" s="56" t="s">
        <v>37</v>
      </c>
      <c r="D2" s="56"/>
      <c r="E2" s="11" t="s">
        <v>7</v>
      </c>
      <c r="F2" s="51">
        <v>45913</v>
      </c>
      <c r="G2" s="51"/>
      <c r="H2" s="51"/>
      <c r="I2" s="51"/>
      <c r="J2" s="51"/>
    </row>
    <row r="3" spans="1:10" ht="30" customHeight="1">
      <c r="B3" s="11" t="s">
        <v>9</v>
      </c>
      <c r="C3" s="56" t="s">
        <v>78</v>
      </c>
      <c r="D3" s="56"/>
      <c r="E3" s="11" t="s">
        <v>6</v>
      </c>
      <c r="F3" s="56" t="s">
        <v>134</v>
      </c>
      <c r="G3" s="56"/>
      <c r="H3" s="56"/>
      <c r="I3" s="56"/>
      <c r="J3" s="5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52" t="s">
        <v>0</v>
      </c>
      <c r="C5" s="53"/>
      <c r="D5" s="53"/>
      <c r="E5" s="57" t="s">
        <v>1</v>
      </c>
      <c r="F5" s="57"/>
      <c r="G5" s="57"/>
      <c r="H5" s="57"/>
      <c r="I5" s="57" t="s">
        <v>2</v>
      </c>
      <c r="J5" s="58"/>
    </row>
    <row r="6" spans="1:10" ht="24.95" customHeight="1" thickBot="1">
      <c r="A6" s="9"/>
      <c r="B6" s="54"/>
      <c r="C6" s="55"/>
      <c r="D6" s="55"/>
      <c r="E6" s="10" t="s">
        <v>3</v>
      </c>
      <c r="F6" s="10" t="s">
        <v>4</v>
      </c>
      <c r="G6" s="10" t="s">
        <v>23</v>
      </c>
      <c r="H6" s="10" t="s">
        <v>24</v>
      </c>
      <c r="I6" s="59"/>
      <c r="J6" s="60"/>
    </row>
    <row r="7" spans="1:10" ht="24.95" customHeight="1">
      <c r="A7" s="9"/>
      <c r="B7" s="62" t="s">
        <v>21</v>
      </c>
      <c r="C7" s="63"/>
      <c r="D7" s="63"/>
      <c r="E7" s="28" t="s">
        <v>18</v>
      </c>
      <c r="F7" s="28" t="s">
        <v>19</v>
      </c>
      <c r="G7" s="28" t="s">
        <v>22</v>
      </c>
      <c r="H7" s="28" t="s">
        <v>20</v>
      </c>
      <c r="I7" s="64" t="s">
        <v>25</v>
      </c>
      <c r="J7" s="65"/>
    </row>
    <row r="8" spans="1:10" ht="39.950000000000003" customHeight="1">
      <c r="A8" s="9"/>
      <c r="B8" s="33" t="s">
        <v>180</v>
      </c>
      <c r="C8" s="33"/>
      <c r="D8" s="33"/>
      <c r="E8" s="30">
        <v>3</v>
      </c>
      <c r="F8" s="27">
        <v>2</v>
      </c>
      <c r="G8" s="31">
        <f>IFERROR(F8/E8,"")</f>
        <v>0.66666666666666663</v>
      </c>
      <c r="H8" s="32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61"/>
      <c r="J8" s="61"/>
    </row>
    <row r="9" spans="1:10" ht="39.950000000000003" customHeight="1">
      <c r="A9" s="9"/>
      <c r="B9" s="33" t="s">
        <v>181</v>
      </c>
      <c r="C9" s="33"/>
      <c r="D9" s="33"/>
      <c r="E9" s="30">
        <v>3</v>
      </c>
      <c r="F9" s="27">
        <v>2</v>
      </c>
      <c r="G9" s="31">
        <f>IFERROR(F9/E9,"")</f>
        <v>0.66666666666666663</v>
      </c>
      <c r="H9" s="32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61"/>
      <c r="J9" s="61"/>
    </row>
    <row r="10" spans="1:10" ht="39.950000000000003" customHeight="1">
      <c r="A10" s="9"/>
      <c r="B10" s="33" t="s">
        <v>182</v>
      </c>
      <c r="C10" s="33"/>
      <c r="D10" s="33"/>
      <c r="E10" s="30">
        <v>3</v>
      </c>
      <c r="F10" s="27">
        <v>2.25</v>
      </c>
      <c r="G10" s="31">
        <f t="shared" ref="G10:G14" si="0">IFERROR(F10/E10,"")</f>
        <v>0.75</v>
      </c>
      <c r="H10" s="32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61"/>
      <c r="J10" s="61"/>
    </row>
    <row r="11" spans="1:10" ht="39.950000000000003" customHeight="1">
      <c r="A11" s="9"/>
      <c r="B11" s="33" t="s">
        <v>183</v>
      </c>
      <c r="C11" s="33"/>
      <c r="D11" s="33"/>
      <c r="E11" s="30">
        <v>3</v>
      </c>
      <c r="F11" s="27">
        <v>2.25</v>
      </c>
      <c r="G11" s="31">
        <f t="shared" si="0"/>
        <v>0.75</v>
      </c>
      <c r="H11" s="32" t="str">
        <f t="shared" si="1"/>
        <v>جيد</v>
      </c>
      <c r="I11" s="61"/>
      <c r="J11" s="61"/>
    </row>
    <row r="12" spans="1:10" ht="39.950000000000003" customHeight="1">
      <c r="A12" s="9"/>
      <c r="B12" s="33" t="s">
        <v>184</v>
      </c>
      <c r="C12" s="33"/>
      <c r="D12" s="33"/>
      <c r="E12" s="30">
        <v>3</v>
      </c>
      <c r="F12" s="27">
        <v>2.25</v>
      </c>
      <c r="G12" s="31">
        <f t="shared" si="0"/>
        <v>0.75</v>
      </c>
      <c r="H12" s="32" t="str">
        <f t="shared" si="1"/>
        <v>جيد</v>
      </c>
      <c r="I12" s="61"/>
      <c r="J12" s="61"/>
    </row>
    <row r="13" spans="1:10" ht="39.950000000000003" customHeight="1">
      <c r="A13" s="9"/>
      <c r="B13" s="33" t="s">
        <v>185</v>
      </c>
      <c r="C13" s="33"/>
      <c r="D13" s="33"/>
      <c r="E13" s="30">
        <v>3</v>
      </c>
      <c r="F13" s="27">
        <v>2.25</v>
      </c>
      <c r="G13" s="31">
        <f t="shared" si="0"/>
        <v>0.75</v>
      </c>
      <c r="H13" s="32" t="str">
        <f t="shared" si="1"/>
        <v>جيد</v>
      </c>
      <c r="I13" s="61"/>
      <c r="J13" s="61"/>
    </row>
    <row r="14" spans="1:10" ht="39.950000000000003" customHeight="1">
      <c r="A14" s="9"/>
      <c r="B14" s="33" t="s">
        <v>186</v>
      </c>
      <c r="C14" s="33"/>
      <c r="D14" s="33"/>
      <c r="E14" s="30">
        <v>3</v>
      </c>
      <c r="F14" s="27">
        <v>2</v>
      </c>
      <c r="G14" s="31">
        <f t="shared" si="0"/>
        <v>0.66666666666666663</v>
      </c>
      <c r="H14" s="32" t="str">
        <f t="shared" si="1"/>
        <v>مقبول</v>
      </c>
      <c r="I14" s="61"/>
      <c r="J14" s="61"/>
    </row>
    <row r="15" spans="1:10" ht="30" customHeight="1" thickBot="1">
      <c r="A15" s="4"/>
      <c r="B15" s="40" t="s">
        <v>5</v>
      </c>
      <c r="C15" s="41"/>
      <c r="D15" s="41"/>
      <c r="E15" s="29">
        <f>SUM(E8:E14)</f>
        <v>21</v>
      </c>
      <c r="F15" s="29">
        <f>SUM(F8:F14)</f>
        <v>15</v>
      </c>
      <c r="G15" s="68"/>
      <c r="H15" s="69"/>
      <c r="I15" s="69"/>
      <c r="J15" s="70"/>
    </row>
    <row r="16" spans="1:10" ht="30" customHeight="1" thickBot="1">
      <c r="A16" s="4"/>
      <c r="B16" s="42" t="s">
        <v>54</v>
      </c>
      <c r="C16" s="43"/>
      <c r="D16" s="43"/>
      <c r="E16" s="71">
        <f>F15/E15/100*100</f>
        <v>0.7142857142857143</v>
      </c>
      <c r="F16" s="71"/>
      <c r="G16" s="71"/>
      <c r="H16" s="71"/>
      <c r="I16" s="71"/>
      <c r="J16" s="72"/>
    </row>
    <row r="17" spans="1:10" ht="30" customHeight="1" thickBot="1">
      <c r="A17" s="4"/>
      <c r="B17" s="42" t="s">
        <v>55</v>
      </c>
      <c r="C17" s="43"/>
      <c r="D17" s="43"/>
      <c r="E17" s="48" t="str">
        <f>_xlfn.IFS(E16&gt;=90%,"ممتاز",E16&gt;=80%,"جيد جداً",E16&gt;=70%,"جيد",E16&gt;=60%,"مقبول",E16&lt;60%,"راسب")</f>
        <v>جيد</v>
      </c>
      <c r="F17" s="48"/>
      <c r="G17" s="48"/>
      <c r="H17" s="48"/>
      <c r="I17" s="48"/>
      <c r="J17" s="49"/>
    </row>
    <row r="18" spans="1:10" ht="42" customHeight="1">
      <c r="B18" s="44" t="s">
        <v>178</v>
      </c>
      <c r="C18" s="44"/>
      <c r="D18" s="44"/>
      <c r="E18" s="66" t="s">
        <v>52</v>
      </c>
      <c r="F18" s="66"/>
      <c r="G18" s="46" t="s">
        <v>134</v>
      </c>
      <c r="H18" s="46"/>
      <c r="I18" s="46"/>
      <c r="J18" s="46"/>
    </row>
    <row r="19" spans="1:10" ht="51" customHeight="1">
      <c r="A19" s="5"/>
      <c r="B19" s="45"/>
      <c r="C19" s="45"/>
      <c r="D19" s="45"/>
      <c r="E19" s="67" t="s">
        <v>53</v>
      </c>
      <c r="F19" s="67"/>
      <c r="G19" s="47"/>
      <c r="H19" s="47"/>
      <c r="I19" s="47"/>
      <c r="J19" s="47"/>
    </row>
    <row r="20" spans="1:10">
      <c r="A20" s="24">
        <v>3</v>
      </c>
      <c r="B20" s="34" t="s">
        <v>175</v>
      </c>
      <c r="C20" s="35"/>
    </row>
    <row r="21" spans="1:10">
      <c r="A21" s="25">
        <v>2</v>
      </c>
      <c r="B21" s="36" t="s">
        <v>176</v>
      </c>
      <c r="C21" s="37"/>
    </row>
    <row r="22" spans="1:10">
      <c r="A22" s="26">
        <v>1</v>
      </c>
      <c r="B22" s="38" t="s">
        <v>177</v>
      </c>
      <c r="C22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8">
    <mergeCell ref="E19:F19"/>
    <mergeCell ref="G15:J15"/>
    <mergeCell ref="E16:J16"/>
    <mergeCell ref="B7:D7"/>
    <mergeCell ref="I9:J9"/>
    <mergeCell ref="I7:J7"/>
    <mergeCell ref="I10:J10"/>
    <mergeCell ref="E18:F18"/>
    <mergeCell ref="G18:J18"/>
    <mergeCell ref="G19:J19"/>
    <mergeCell ref="E17:J17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I13:J13"/>
    <mergeCell ref="I14:J14"/>
    <mergeCell ref="B13:D13"/>
    <mergeCell ref="B14:D14"/>
    <mergeCell ref="B20:C20"/>
    <mergeCell ref="B21:C21"/>
    <mergeCell ref="B22:C22"/>
    <mergeCell ref="B15:D15"/>
    <mergeCell ref="B16:D16"/>
    <mergeCell ref="B17:D17"/>
    <mergeCell ref="B18:D19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G18:J18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2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2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2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2" t="s">
        <v>152</v>
      </c>
    </row>
    <row r="264" spans="1:1" ht="20.100000000000001" customHeight="1">
      <c r="A264" s="22" t="s">
        <v>153</v>
      </c>
    </row>
    <row r="265" spans="1:1" ht="20.100000000000001" customHeight="1">
      <c r="A265" s="22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2" t="s">
        <v>159</v>
      </c>
    </row>
    <row r="271" spans="1:1" ht="20.100000000000001" customHeight="1">
      <c r="A271" s="22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2" t="s">
        <v>162</v>
      </c>
    </row>
    <row r="274" spans="1:1" ht="20.100000000000001" customHeight="1">
      <c r="A274" s="22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2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2" t="s">
        <v>171</v>
      </c>
    </row>
    <row r="283" spans="1:1" ht="20.100000000000001" customHeight="1">
      <c r="A283" s="22" t="s">
        <v>172</v>
      </c>
    </row>
    <row r="284" spans="1:1" ht="20.100000000000001" customHeight="1">
      <c r="A284" s="22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2025-10-09T10:19:44Z</dcterms:modified>
</cp:coreProperties>
</file>