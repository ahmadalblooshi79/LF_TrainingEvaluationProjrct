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1392C47-5369-40EA-BEBA-F050F8528D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8" i="2"/>
  <c r="H8" i="2"/>
  <c r="F12" i="2"/>
  <c r="E12" i="2"/>
  <c r="E13" i="2"/>
  <c r="E14" i="2"/>
</calcChain>
</file>

<file path=xl/sharedStrings.xml><?xml version="1.0" encoding="utf-8"?>
<sst xmlns="http://schemas.openxmlformats.org/spreadsheetml/2006/main" count="241" uniqueCount="185">
  <si>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</si>
  <si>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</si>
  <si>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</si>
  <si>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</si>
  <si>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</si>
  <si>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</si>
  <si>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</si>
  <si>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</si>
  <si>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</si>
  <si>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</si>
  <si>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</si>
  <si>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</si>
  <si>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</si>
  <si>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</si>
  <si>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</si>
  <si>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</si>
  <si>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</si>
  <si>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</si>
  <si>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</si>
  <si>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</si>
  <si>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</si>
  <si>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</si>
  <si>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</si>
  <si>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</si>
  <si>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</si>
  <si>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</si>
  <si>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</si>
  <si>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</si>
  <si>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</si>
  <si>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</si>
  <si>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</si>
  <si>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</si>
  <si>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</si>
  <si>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</si>
  <si>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</si>
  <si>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</si>
  <si>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</si>
  <si>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</si>
  <si>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</si>
  <si>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</si>
  <si>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</si>
  <si>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</si>
  <si>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</si>
  <si>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</si>
  <si>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</si>
  <si>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</si>
  <si>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</si>
  <si>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</si>
  <si>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</si>
  <si>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</si>
  <si>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</si>
  <si>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</si>
  <si>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</si>
  <si>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</si>
  <si>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</si>
  <si>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</si>
  <si>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</si>
  <si>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</si>
  <si>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</si>
  <si>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</si>
  <si>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</si>
  <si>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</si>
  <si>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</si>
  <si>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</si>
  <si>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</si>
  <si>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</si>
  <si>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</si>
  <si>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</si>
  <si>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</si>
  <si>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</si>
  <si>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</si>
  <si>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</si>
  <si>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</si>
  <si>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</si>
  <si>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</si>
  <si>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</si>
  <si>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</si>
  <si>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</si>
  <si>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</si>
  <si>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</si>
  <si>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</si>
  <si>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</si>
  <si>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</si>
  <si>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</si>
  <si>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</si>
  <si>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</si>
  <si>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</si>
  <si>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</si>
  <si>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</si>
  <si>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</si>
  <si>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</si>
  <si>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</si>
  <si>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</si>
  <si>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</si>
  <si>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</si>
  <si>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</si>
  <si>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</si>
  <si>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</si>
  <si>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</si>
  <si>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</si>
  <si>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</si>
  <si>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</si>
  <si>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</si>
  <si>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</si>
  <si>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</si>
  <si>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</si>
  <si>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</si>
  <si>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</si>
  <si>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</si>
  <si>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</si>
  <si>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</si>
  <si>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</si>
  <si>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</si>
  <si>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</si>
  <si>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</si>
  <si>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</si>
  <si>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</si>
  <si>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</si>
  <si>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</si>
  <si>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</si>
  <si>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</si>
  <si>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</si>
  <si>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</si>
  <si>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</si>
  <si>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</si>
  <si>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</si>
  <si>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</si>
  <si>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</si>
  <si>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</si>
  <si>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</si>
  <si>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</si>
  <si>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</si>
  <si>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</si>
  <si>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</si>
  <si>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</si>
  <si>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</si>
  <si>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</si>
  <si>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</si>
  <si>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</si>
  <si>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</si>
  <si>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</si>
  <si>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</si>
  <si>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</si>
  <si>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</si>
  <si>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</si>
  <si>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</si>
  <si>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</si>
  <si>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</si>
  <si>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</si>
  <si>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</si>
  <si>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</si>
  <si>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</si>
  <si>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</si>
  <si>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</si>
  <si>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</si>
  <si>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</si>
  <si>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</si>
  <si>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</si>
  <si>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</si>
  <si>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</si>
  <si>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</si>
  <si>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</si>
  <si>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</si>
  <si>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</si>
  <si>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</si>
  <si>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</si>
  <si>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</si>
  <si>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</si>
  <si>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</si>
  <si>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</si>
  <si>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</si>
  <si>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</si>
  <si>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</si>
  <si>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</si>
  <si>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</si>
  <si>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</si>
  <si>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</si>
  <si>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</si>
  <si>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</si>
  <si>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</si>
  <si>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تجارب 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</si>
  <si>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جميع أنواع الاتصالات السلكية واللاسلكية.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</si>
  <si>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والاتصالات (C4I).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</si>
  <si>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معرفة قوة الإشارة بين المحطات.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</si>
  <si>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أدامة الاتصالات بشكل مستمر.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</si>
</sst>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246843</xdr:colOff>
      <xdr:row>15</xdr:row>
      <xdr:rowOff>195148</xdr:rowOff>
    </xdr:from>
    <xdr:to>
      <xdr:col>6</xdr:col>
      <xdr:colOff>377883</xdr:colOff>
      <xdr:row>15</xdr:row>
      <xdr:rowOff>492868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B942297-239B-73A0-5C5B-9647B27A029D}"/>
                </a:ext>
              </a:extLst>
            </xdr14:cNvPr>
            <xdr14:cNvContentPartPr/>
          </xdr14:nvContentPartPr>
          <xdr14:nvPr macro=""/>
          <xdr14:xfrm>
            <a:off x="10400183207" y="6060240"/>
            <a:ext cx="131040" cy="297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B942297-239B-73A0-5C5B-9647B27A02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177087" y="6054120"/>
              <a:ext cx="14328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332523</xdr:colOff>
      <xdr:row>15</xdr:row>
      <xdr:rowOff>138268</xdr:rowOff>
    </xdr:from>
    <xdr:to>
      <xdr:col>6</xdr:col>
      <xdr:colOff>443043</xdr:colOff>
      <xdr:row>15</xdr:row>
      <xdr:rowOff>268228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272EB4D-9F1B-BC1C-F629-A459BDA791A6}"/>
                </a:ext>
              </a:extLst>
            </xdr14:cNvPr>
            <xdr14:cNvContentPartPr/>
          </xdr14:nvContentPartPr>
          <xdr14:nvPr macro=""/>
          <xdr14:xfrm>
            <a:off x="10400118047" y="6003360"/>
            <a:ext cx="110520" cy="129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272EB4D-9F1B-BC1C-F629-A459BDA791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11927" y="5997240"/>
              <a:ext cx="12276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389763</xdr:colOff>
      <xdr:row>15</xdr:row>
      <xdr:rowOff>313948</xdr:rowOff>
    </xdr:from>
    <xdr:to>
      <xdr:col>7</xdr:col>
      <xdr:colOff>351953</xdr:colOff>
      <xdr:row>15</xdr:row>
      <xdr:rowOff>478108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ED90946-0B84-7AE2-397B-24056F70D1AB}"/>
                </a:ext>
              </a:extLst>
            </xdr14:cNvPr>
            <xdr14:cNvContentPartPr/>
          </xdr14:nvContentPartPr>
          <xdr14:nvPr macro=""/>
          <xdr14:xfrm>
            <a:off x="10399551047" y="6179040"/>
            <a:ext cx="620280" cy="1641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ED90946-0B84-7AE2-397B-24056F70D1A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544927" y="6172920"/>
              <a:ext cx="63252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471113</xdr:colOff>
      <xdr:row>15</xdr:row>
      <xdr:rowOff>262828</xdr:rowOff>
    </xdr:from>
    <xdr:to>
      <xdr:col>7</xdr:col>
      <xdr:colOff>619433</xdr:colOff>
      <xdr:row>15</xdr:row>
      <xdr:rowOff>496468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2358292-AE63-B0E0-FDF0-E65E31841E7E}"/>
                </a:ext>
              </a:extLst>
            </xdr14:cNvPr>
            <xdr14:cNvContentPartPr/>
          </xdr14:nvContentPartPr>
          <xdr14:nvPr macro=""/>
          <xdr14:xfrm>
            <a:off x="10399283567" y="6127920"/>
            <a:ext cx="148320" cy="233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2358292-AE63-B0E0-FDF0-E65E31841E7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277447" y="6121800"/>
              <a:ext cx="16056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169083</xdr:colOff>
      <xdr:row>15</xdr:row>
      <xdr:rowOff>83188</xdr:rowOff>
    </xdr:from>
    <xdr:to>
      <xdr:col>9</xdr:col>
      <xdr:colOff>15332</xdr:colOff>
      <xdr:row>15</xdr:row>
      <xdr:rowOff>526348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091A238-2C98-33F1-5E4B-CFF8BE5BA6B7}"/>
                </a:ext>
              </a:extLst>
            </xdr14:cNvPr>
            <xdr14:cNvContentPartPr/>
          </xdr14:nvContentPartPr>
          <xdr14:nvPr macro=""/>
          <xdr14:xfrm>
            <a:off x="10398571487" y="5948280"/>
            <a:ext cx="1820520" cy="4431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091A238-2C98-33F1-5E4B-CFF8BE5BA6B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565367" y="5942160"/>
              <a:ext cx="1832760" cy="45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237102</xdr:colOff>
      <xdr:row>15</xdr:row>
      <xdr:rowOff>534988</xdr:rowOff>
    </xdr:from>
    <xdr:to>
      <xdr:col>8</xdr:col>
      <xdr:colOff>326022</xdr:colOff>
      <xdr:row>15</xdr:row>
      <xdr:rowOff>548308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D81F40F-5485-381B-84C6-8A977DBD54EF}"/>
                </a:ext>
              </a:extLst>
            </xdr14:cNvPr>
            <xdr14:cNvContentPartPr/>
          </xdr14:nvContentPartPr>
          <xdr14:nvPr macro=""/>
          <xdr14:xfrm>
            <a:off x="10398918887" y="6400080"/>
            <a:ext cx="88920" cy="133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D81F40F-5485-381B-84C6-8A977DBD54E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912767" y="6393960"/>
              <a:ext cx="101160" cy="2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00:13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62 5249,'0'0'0,"-3"-6"872,3 6-872,-5-14 1160,1 1 152,-1 9-95,-2-7-145,7 11-1072,0-3 928,0-2-176,-3 3-208,3 0-184,0 2-360,0-1 168,0 1-112,0 0-88,0 4-16,0-4 48,3 11-8,1-6-8,8 13 16,-7-4-16,-5-14 16,15 17 0,-10 5 24,14-1-32,-7 5 24,-12-26-16,17 31 8,-1 2-8,1 2-8,0 3-24,-17-38 32,17 39-32,5 1-16,-6-1 24,4 1-16,-20-40 40,19 42-80,0-3 0,-2 0-152,2-2-64,-19-37 296,17 35-472,-5-1-400,0-1-464,-7-5-521,-5-28 1857,14 27-1776,-14-2 448,5-4 439,0-4 185,-5-17 704,2 16-2712,-2-16 2712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00:14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1 104,'0'0'0,"0"0"0,-5 4 224,-10 9 80,6-10 104,2 1 104,7-4-512,-13 3 544,13 0 16,-7 0-32,2-3-120,5 0-408,-4 2 264,-1-2-56,2 3-72,3 0-64,0-3-72,-4 3 64,1 0-16,1 0-8,2 1 8,0-4-48,-3 4 40,3 9-16,0-9 24,0 12-40,0-16-8,3 13 24,-1 1 0,1 0-24,1 3 8,-4-17-8,5 17 8,5-1-8,-5 1 0,9-3 25,-14-14-25,3 13 24,9-2-24,-8-6 8,6 10-8,-10-15 0,5 3 8,0 1 0,-3 1 0,3-3 24,-5-2-32,5 3 48,7-3 24,-12 0 8,2 0 8,-2 0-88,12-1 56,-10-1-24,3-2 0,0 0-24,-5 4-8,12-4 0,-9-1 0,1 1 0,11 0-8,-15 4 8,0-4-16,5-1 8,9 1-32,-9-2 0,-5 6 40,2-4-32,10 0-8,-7 0 32,0-1 0,-5 5 8,2-3 8,3 1 0,0-1 8,-3 1 16,-2 2-32,0-1 16,0 0-8,0 1-24,0 0 0,0 0 16,0 0-16,-2 0 32,0 0 56,-11 2 40,13-2-112,-4 3 224,-8 1 64,0 1 48,0 6 48,12-11-384,-10 3 344,-4 8-24,4-8-32,-5 9-48,15-12-240,-12 2 216,-2 10-16,2-8-32,-2 9-24,14-13-144,-12 4 88,-5 7-24,0-6-40,2 6-8,15-11-16,-14 3-8,2 8-8,0-8-24,0 1-80,12-4 120,-12 5-248,5 6-480,-5-8-280,9 0-224,3-3 1232,-2 3-3881,2-3 3881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00:15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1368 40 2096,'0'0'0,"3"-12"1696,1 7-984,-4 5-712,2-14 585,3 10 143,-5 1 176,0 2-24,0 1-880,0 0 744,0 0-216,0 0-184,0 0-216,0 0-1872,0 0 3513,0 2-1786,0 3-15,-3 6 56,3-11-24,0 4 33,0 12-25,0-12-8,0 15 8,0-19-8,5 12-16,0 1 8,5 0 24,-8 0-32,-2-13 16,13 13-8,-8-2-9,12-7-47,-4 13 24,-13-17 40,15 3-48,-2 10-8,2-10 16,-2 1 8,-13-4 32,19 4-72,-3 1 24,-1-3 16,3 1-8,-18-3 40,14 0-56,0 0 0,0 0-8,-3 0-40,-11 0 104,12 0-8,-4 0 8,3 0-8,-9-1 56,-2 1-48,5-2 64,0 1 40,-5-2 104,0 0 32,0 3-240,0-4 249,0 0-9,0 0-24,-5-1-56,5 5-160,-7-4 176,5 1 0,-10-1 0,7 2 16,5 2-192,-14-1 112,10 1-24,-13 0-16,6 0 8,11 0-80,-14 3 104,-1 1 0,2 0-40,-2 8 0,15-12-64,-18 3 64,1 1-16,2 0 0,0 8-32,15-12-16,-18 2-16,2 3 8,-6 7 8,7-9 0,15-3 0,-20 5 8,7 0-24,1-1 24,1 0 24,11-4-32,-12 3-8,7 0 16,-7 0-32,11-3 8,1 0 16,-3 0 16,1 0 32,2 0 40,-3 0 8,3 0-96,0 0 104,0-2-32,0 0-24,0-3-32,0 5-16,3-4 40,-3-2 8,0 0 8,0 0 16,0 6-72,0-4 40,0 1-16,0 0-32,-5 2-56,5 1 64,-15 0-48,4 0 32,-5 4-48,-3 9 56,19-13 8,-19 12-8,-4-8 0,0 15 56,-2-6-40,25-13-8,-31 12 48,8 3-16,-6-3-24,2 1 32,27-13-40,-26 12 32,1-8-16,-1 13 24,5-13-8,21-4-32,-21 13 0,0-10 8,2 1 8,3 0 0,16-4-16,-14 5 8,0-3-8,7-2 40,-6 0-16,13 0-24,-3 0 72,-4-1-32,5-3 0,-1-2-16,3 6-24,-2-13-32,2 9 8,0-10-24,0 8 8,0 6 40,5-14-16,-3 8-16,0-8 32,3 10 0,-5 4 0,0-13-40,0 9 24,0-1-8,0 1-24,0 4 48,-2-3-56,-3 2-24,-9 1-8,11 0 16,3 0 72,-20 3-40,6 1 16,-8 0 0,4 9 8,18-13 16,-19 3 16,1 8-16,-1-8-32,0 1 32,19-4 0,-18 12-16,1-9 0,1 1 32,2 0-16,14-4 0,-14 4 0,-2 1 0,2-3-16,0 1 0,14-3 16,-14 0-16,2 0 8,7 0 32,-8 0-24,13 0 0,-5 0 0,0 0 16,-2-1-32,-2-3 0,9 4 16,-4-5-16,1 1-48,-4-2 0,5 2-16,2 4 80,-5-4-72,0 1 0,3-1-8,-2 2-40,4 2 120,-5-2-104,0 0 8,-2 2-8,-5 0 64,12 0 40,-9 0-96,5 4 56,-13 9-16,6-9 64,11-4-8,-15 16 8,4-12-8,-1 13 40,0-5-48,12-12 8,-13 4 8,1 12 0,1-12 16,-1 9-40,12-13 16,-12 3 56,1 8-8,-4-11-16,4 4 24,11-4-56,-7 3 24,-7-3 0,11 0 24,-13 0 16,16 0-64,-4 0 40,-11 0 0,11-3-16,-5-1 24,9 4-48,-5-6 48,-7 1-16,8-7-24,-8 8 0,12 4-8,-5-6 16,-9-5-24,10 8 56,-1-1-64,5 4 16,-7-5-72,4 1 40,-4 1-128,5 2 16,2 1 144,-4 0-216,2 0-40,-3 3-16,2 1-160,3-4 432,-4 11-592,-1-6-313,2 7-271,-1-7-104,4-5 1280,0 15-1008,-3-10 207,-13 17-1695,16-22 2496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00:16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4536,'0'0'0,"-2"0"753,2 0-153,-5 0-88,5 0-512,0 5 200,0-3-192,0 1-48,0 2 64,0-5-24,0 12 56,3 0 88,-1 5 80,3 0 64,-5-17-288,12 21 376,-10 2 16,13 0-32,-1 4-8,-14-27-352,14 27 280,3 3-72,0 2-63,5 5-113,-22-37-32,26 40 40,6 3-88,4-1-24,-3 2-113,-33-44 185,34 42-528,0-3-632,-3 0-176,5-7 0,-36-32 1336,26 35-3745,-26-35 3745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00:17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1543 691 8473,'0'0'0,"0"0"0,-2-4 1841,-3-2-217,0 1-408,5 2-255,0 3-961,-2-2 808,2 2-152,0 0-56,0 0-296,0 0-304,0 0 152,0 0-48,0 0-120,0 0 64,0 0-336,0 3 632,2 10-248,10-9 40,-7 15 40,-5-19-176,14 14 184,0 3-24,2 4-64,5 4 24,-21-25-120,23 25 104,3 2-48,-3 0-32,1 0 0,-24-27-24,26 27 64,-1 0-16,-2-1 24,0 1-64,-23-27-8,22 24-72,-2 0 0,1-1 72,1-2-32,-22-21 32,16 21 24,3-3-16,-6-3-32,-1-1 48,-12-14-24,3 12-56,10-8 56,-13 12-24,5-12 8,-5-4 16,2 4 16,1 0-8,-3 1-40,0-1 64,0-4-32,0 3 112,-3 0 8,1-1-24,-10 1 32,12-3-128,-11 3 72,-6-3-8,-4 3 81,-2-3-97,23 0-48,-28 0 24,1 0 80,-6-1-40,-2-2 8,35 3-72,-35-5 88,-5 0-56,-1-1 24,-4-5-8,45 11-48,-42-5 48,-5-10 0,3 2 40,-2-3-56,46 16-32,-45-18 64,-1-3-40,-1-2-96,1-4 144,46 27-72,-48-27 64,2-3 0,2-3 56,2-1-120,42 34 0,-42-34-32,2 0 80,5 0-16,1 0 8,34 34-40,-31-33 104,0 0-104,6 2 32,4 1-8,21 30-24,-15-30 56,0 2-24,3-2-56,8-1 24,4 31 0,-5-31-48,3-1 8,2 2 16,0 1 16,0 29 8,2-27-56,17-2 48,-5 2-16,0-1-16,-14 28 40,16-26-40,5 2 16,2 1-40,5 2 8,-28 21 56,30-20-16,5 1-24,8 1 56,-2 0 32,-41 18-48,52-18 16,-1 1-16,7 3-16,5 0-16,-63 14 32,70-13 0,3-1 72,-2 1-72,11 0 40,-82 13-40,86-5 0,0-8-40,10 9 40,-3-1-48,-93 5 48,98-4 0,2 0-24,5 2 8,0 2-32,-105 0 48,102 0-112,-2 3 40,1 2-64,-6-1 24,-95-4 112,100 4-136,-7-1-24,0 1 32,-4-1 7,-89-3 121,89 4-144,-8-1 0,0 1-40,-1-1-8,-80-3 192,79 3-184,-6 1 16,-2 1 32,-1-1 32,-70-4 104,70 4-40,1 0 16,-2 1 48,-4 6 24,-65-11-48,63 3-48,-5 1 24,0 7-8,1-8 0,-59-3 32,59 12-16,-6-9-16,-2 9-16,1-7-24,-52-5 72,53 12-80,-7-7-48,1 10 16,-3-10-56,-44-5 168,40 15-176,-3-11 32,-6 9-24,-1-8 88,-30-5 80,25 12-64,-4-9 8,-2 9 8,-1-10 8,-18-2 40,12 12-56,0-9 32,-10 9-40,0-9-16,-2-3 80,8 12-136,-6-10-24,-2 10 32,0-9 8,0-3 120,-2 11-64,-6-8 48,-3 10 8,6-9 8,5-4 0,-16 14 0,5-10-24,-4 12 24,2-12 0,13-4 0,-17 13-32,-1-9 8,-2 13 8,2-12 0,18-5 16,-20 17 0,-2-4 32,-1-1-16,-3 3-16,26-15 0,-25 14-16,-8 1-32,3 0 0,-5 2 8,35-17 40,-33 17-40,-7 0 16,4 0 16,-6-2-16,42-15 24,-43 16-8,-3-2-16,-6-1-32,-1 1 72,53-14-16,-56 13-48,-2 0 16,0 0 32,-5 0-80,63-13 80,-65 11-48,2 0 8,-3 1 8,-4-8 8,70-4 24,-69 17 32,-1-6 0,-8 1-8,0 1 8,78-13-32,-79 11 0,-6 2 8,7-1-8,-8 1-8,86-13 8,-83 13-40,-3 0-72,5 0 96,-7 1 24,88-14-8,-87 14 8,-6 2-8,-4-1-16,-4 1-72,101-16 88,-100 17-72,2-1 23,-4-1-71,6 1-48,96-16 168,-93 14-128,0 2 0,4-2 24,2 2 16,87-16 88,-88 14-80,7-1 40,0 1-72,3-3 80,78-11 32,-76 13-152,-2-9-128,2 12 104,-4-12-16,80-4 192,-76 12-160,-4-10 96,-1 3 24,1-2 0,80-3 40,-79 2 80,7 1-24,5-3-8,4 0 32,63 0-80,-60 3 24,8-3 56,6 3-40,6 0-8,40-3-32,-38 0 24,8 3 8,5-3-8,4 0 8,21 0-32,-12 0 32,-2 0-8,10 0 0,-1 0 16,5 0-40,-3 0 40,1 0-56,2-2-72,0 1-104,0 1 192,0-2-328,12-2-144,-8 1-120,10-1-272,-14 4 864,16-4-1241,1-1-407,8 1 224,6-2-49,-31 6 1473,25-4-3368,-25 4 3368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00:18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 36 2160,'0'0'0,"0"0"0,0-3 728,-3-1-280,3 0-168,0 0-64,0 4-216,-4-3 152,1 0 40,3 0 96,0 0 121,0 3-409,0-3 496,-2 2 8,-1-1-40,3 1-64,0 1-400,0-1 304,0 1-88,0 0-40,0 0-64,0 0-112,0 0 80,-2 0 0,0 0-32,2 0-16,0 0-32,-5 0 80,2 0 8,-4 2 24,-5-2-16,12 0-96,-5 3 72,-9 0-32,2 0-40,-3 0 8,15-3-8,-16 3-8,-1 0 0,-5-1-56,0 1-72,22-3 136,-24 3-552,3-3-624,9-1-689,-8-1-1743,20 2 3608,0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6"/>
  <sheetViews>
    <sheetView rightToLeft="1" tabSelected="1" view="pageBreakPreview" topLeftCell="D1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180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0" t="s">
        <v>8</v>
      </c>
      <c r="C2" s="76" t="s">
        <v>15</v>
      </c>
      <c r="D2" s="76"/>
      <c r="E2" s="10" t="s">
        <v>7</v>
      </c>
      <c r="F2" s="71">
        <v>45952</v>
      </c>
      <c r="G2" s="71"/>
      <c r="H2" s="71"/>
      <c r="I2" s="71"/>
      <c r="J2" s="71"/>
    </row>
    <row r="3" spans="1:10" ht="30" customHeight="1" x14ac:dyDescent="0.3">
      <c r="B3" s="10" t="s">
        <v>9</v>
      </c>
      <c r="C3" s="76" t="s">
        <v>75</v>
      </c>
      <c r="D3" s="76"/>
      <c r="E3" s="10" t="s">
        <v>6</v>
      </c>
      <c r="F3" s="76" t="s">
        <v>122</v>
      </c>
      <c r="G3" s="76"/>
      <c r="H3" s="76"/>
      <c r="I3" s="76"/>
      <c r="J3" s="76"/>
    </row>
    <row r="4" spans="1:10" ht="30" customHeight="1" thickBot="1" x14ac:dyDescent="0.35">
      <c r="B4" s="6"/>
      <c r="C4" s="81"/>
      <c r="D4" s="81"/>
      <c r="E4" s="6"/>
      <c r="F4" s="81"/>
      <c r="G4" s="81"/>
      <c r="H4" s="81"/>
      <c r="I4" s="81"/>
      <c r="J4" s="81"/>
    </row>
    <row r="5" spans="1:10" ht="24.9" customHeight="1" x14ac:dyDescent="0.3">
      <c r="A5" s="8"/>
      <c r="B5" s="72" t="s">
        <v>0</v>
      </c>
      <c r="C5" s="73"/>
      <c r="D5" s="73"/>
      <c r="E5" s="77" t="s">
        <v>1</v>
      </c>
      <c r="F5" s="77"/>
      <c r="G5" s="77"/>
      <c r="H5" s="77"/>
      <c r="I5" s="77" t="s">
        <v>2</v>
      </c>
      <c r="J5" s="78"/>
    </row>
    <row r="6" spans="1:10" ht="24.9" customHeight="1" thickBot="1" x14ac:dyDescent="0.35">
      <c r="A6" s="8"/>
      <c r="B6" s="74"/>
      <c r="C6" s="75"/>
      <c r="D6" s="75"/>
      <c r="E6" s="9" t="s">
        <v>3</v>
      </c>
      <c r="F6" s="9" t="s">
        <v>4</v>
      </c>
      <c r="G6" s="9" t="s">
        <v>23</v>
      </c>
      <c r="H6" s="9" t="s">
        <v>24</v>
      </c>
      <c r="I6" s="79"/>
      <c r="J6" s="80"/>
    </row>
    <row r="7" spans="1:10" ht="24.9" customHeight="1" thickBot="1" x14ac:dyDescent="0.35">
      <c r="A7" s="8"/>
      <c r="B7" s="45" t="s">
        <v>21</v>
      </c>
      <c r="C7" s="46"/>
      <c r="D7" s="46"/>
      <c r="E7" s="25" t="s">
        <v>18</v>
      </c>
      <c r="F7" s="25" t="s">
        <v>19</v>
      </c>
      <c r="G7" s="25" t="s">
        <v>22</v>
      </c>
      <c r="H7" s="25" t="s">
        <v>20</v>
      </c>
      <c r="I7" s="47" t="s">
        <v>25</v>
      </c>
      <c r="J7" s="48"/>
    </row>
    <row r="8" spans="1:10" ht="30" customHeight="1" x14ac:dyDescent="0.3">
      <c r="A8" s="8"/>
      <c r="B8" s="51" t="s">
        <v>181</v>
      </c>
      <c r="C8" s="52"/>
      <c r="D8" s="52"/>
      <c r="E8" s="29">
        <v>10</v>
      </c>
      <c r="F8" s="30">
        <v>8</v>
      </c>
      <c r="G8" s="31">
        <f>IFERROR(F8/E8,"")</f>
        <v>0.8</v>
      </c>
      <c r="H8" s="32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7"/>
      <c r="J8" s="38"/>
    </row>
    <row r="9" spans="1:10" ht="30" customHeight="1" x14ac:dyDescent="0.3">
      <c r="A9" s="8"/>
      <c r="B9" s="53" t="s">
        <v>182</v>
      </c>
      <c r="C9" s="54"/>
      <c r="D9" s="54"/>
      <c r="E9" s="7">
        <v>10</v>
      </c>
      <c r="F9" s="24">
        <v>8</v>
      </c>
      <c r="G9" s="27">
        <f>IFERROR(F9/E9,"")</f>
        <v>0.8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9"/>
      <c r="J9" s="50"/>
    </row>
    <row r="10" spans="1:10" ht="30" customHeight="1" x14ac:dyDescent="0.3">
      <c r="A10" s="8"/>
      <c r="B10" s="53" t="s">
        <v>183</v>
      </c>
      <c r="C10" s="54"/>
      <c r="D10" s="54"/>
      <c r="E10" s="7">
        <v>10</v>
      </c>
      <c r="F10" s="24">
        <v>7.5</v>
      </c>
      <c r="G10" s="27">
        <f t="shared" ref="G10:G11" si="0">IFERROR(F10/E10,"")</f>
        <v>0.75</v>
      </c>
      <c r="H10" s="28" t="str">
        <f t="shared" ref="H10:H11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0" customHeight="1" thickBot="1" x14ac:dyDescent="0.35">
      <c r="A11" s="8"/>
      <c r="B11" s="55" t="s">
        <v>184</v>
      </c>
      <c r="C11" s="56"/>
      <c r="D11" s="56"/>
      <c r="E11" s="33">
        <v>10</v>
      </c>
      <c r="F11" s="34">
        <v>7</v>
      </c>
      <c r="G11" s="35">
        <f t="shared" si="0"/>
        <v>0.7</v>
      </c>
      <c r="H11" s="36" t="str">
        <f t="shared" si="1"/>
        <v>جيد</v>
      </c>
      <c r="I11" s="57"/>
      <c r="J11" s="58"/>
    </row>
    <row r="12" spans="1:10" ht="30" customHeight="1" thickBot="1" x14ac:dyDescent="0.35">
      <c r="A12" s="4"/>
      <c r="B12" s="39" t="s">
        <v>5</v>
      </c>
      <c r="C12" s="40"/>
      <c r="D12" s="40"/>
      <c r="E12" s="26">
        <f>SUM(E8:E11)</f>
        <v>40</v>
      </c>
      <c r="F12" s="26">
        <f>SUM(F8:F11)</f>
        <v>30.5</v>
      </c>
      <c r="G12" s="42"/>
      <c r="H12" s="43"/>
      <c r="I12" s="43"/>
      <c r="J12" s="44"/>
    </row>
    <row r="13" spans="1:10" ht="30" customHeight="1" thickBot="1" x14ac:dyDescent="0.35">
      <c r="A13" s="4"/>
      <c r="B13" s="62" t="s">
        <v>54</v>
      </c>
      <c r="C13" s="63"/>
      <c r="D13" s="63"/>
      <c r="E13" s="66">
        <f>F12/E12/100*100</f>
        <v>0.76249999999999996</v>
      </c>
      <c r="F13" s="66"/>
      <c r="G13" s="66"/>
      <c r="H13" s="66"/>
      <c r="I13" s="66"/>
      <c r="J13" s="67"/>
    </row>
    <row r="14" spans="1:10" ht="30" customHeight="1" thickBot="1" x14ac:dyDescent="0.35">
      <c r="A14" s="4"/>
      <c r="B14" s="62" t="s">
        <v>55</v>
      </c>
      <c r="C14" s="63"/>
      <c r="D14" s="63"/>
      <c r="E14" s="60" t="str">
        <f>_xlfn.IFS(E13&gt;=90%,"ممتاز",E13&gt;=80%,"جيد جداً",E13&gt;=70%,"جيد",E13&gt;=60%,"مقبول",E13&lt;60%,"راسب")</f>
        <v>جيد</v>
      </c>
      <c r="F14" s="60"/>
      <c r="G14" s="60"/>
      <c r="H14" s="60"/>
      <c r="I14" s="60"/>
      <c r="J14" s="61"/>
    </row>
    <row r="15" spans="1:10" ht="42" customHeight="1" x14ac:dyDescent="0.3">
      <c r="B15" s="68" t="s">
        <v>174</v>
      </c>
      <c r="C15" s="68"/>
      <c r="D15" s="68"/>
      <c r="E15" s="64" t="s">
        <v>52</v>
      </c>
      <c r="F15" s="64"/>
      <c r="G15" s="41" t="s">
        <v>122</v>
      </c>
      <c r="H15" s="41"/>
      <c r="I15" s="41"/>
      <c r="J15" s="41"/>
    </row>
    <row r="16" spans="1:10" ht="51" customHeight="1" x14ac:dyDescent="0.3">
      <c r="A16" s="5"/>
      <c r="B16" s="69"/>
      <c r="C16" s="69"/>
      <c r="D16" s="69"/>
      <c r="E16" s="65" t="s">
        <v>53</v>
      </c>
      <c r="F16" s="65"/>
      <c r="G16" s="59"/>
      <c r="H16" s="59"/>
      <c r="I16" s="59"/>
      <c r="J16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1"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C4:D4"/>
    <mergeCell ref="G16:J16"/>
    <mergeCell ref="E14:J14"/>
    <mergeCell ref="B13:D13"/>
    <mergeCell ref="B14:D14"/>
    <mergeCell ref="E15:F15"/>
    <mergeCell ref="E16:F16"/>
    <mergeCell ref="E13:J13"/>
    <mergeCell ref="B15:D16"/>
    <mergeCell ref="I8:J8"/>
    <mergeCell ref="B12:D12"/>
    <mergeCell ref="G15:J15"/>
    <mergeCell ref="G12:J12"/>
    <mergeCell ref="B7:D7"/>
    <mergeCell ref="I7:J7"/>
    <mergeCell ref="I10:J10"/>
    <mergeCell ref="B8:D8"/>
    <mergeCell ref="B9:D9"/>
    <mergeCell ref="B10:D10"/>
    <mergeCell ref="B11:D11"/>
    <mergeCell ref="I9:J9"/>
    <mergeCell ref="I11:J1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4">
    <cfRule type="expression" dxfId="14" priority="57">
      <formula>$E14="راسب"</formula>
    </cfRule>
  </conditionalFormatting>
  <conditionalFormatting sqref="E14:J14">
    <cfRule type="expression" dxfId="13" priority="58">
      <formula>$E14="مقبول"</formula>
    </cfRule>
    <cfRule type="expression" dxfId="12" priority="59">
      <formula>$E14="جيد"</formula>
    </cfRule>
    <cfRule type="expression" dxfId="11" priority="60">
      <formula>$E14="جيد جداً"</formula>
    </cfRule>
    <cfRule type="expression" dxfId="10" priority="61">
      <formula>$E14="ممتاز"</formula>
    </cfRule>
  </conditionalFormatting>
  <conditionalFormatting sqref="F8:F1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5:J15">
    <cfRule type="containsText" dxfId="6" priority="15" operator="containsText" text="أدخل اسم المحكم">
      <formula>NOT(ISERROR(SEARCH("أدخل اسم المحكم",G15)))</formula>
    </cfRule>
  </conditionalFormatting>
  <conditionalFormatting sqref="H8:H1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G15:J15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2025-10-23T15:04:18Z</dcterms:modified>
</cp:coreProperties>
</file>