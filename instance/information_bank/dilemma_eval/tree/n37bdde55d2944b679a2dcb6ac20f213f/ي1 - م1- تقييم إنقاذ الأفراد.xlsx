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E6A1D1F-45A9-47D0-95DE-92CCAB4EA2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/>
  <c r="G11" i="2"/>
  <c r="H11" i="2" s="1"/>
  <c r="G12" i="2"/>
  <c r="H12" i="2" s="1"/>
  <c r="G13" i="2"/>
  <c r="H13" i="2" s="1"/>
  <c r="G14" i="2"/>
  <c r="H14" i="2" s="1"/>
  <c r="G16" i="2"/>
  <c r="H16" i="2" s="1"/>
  <c r="G17" i="2"/>
  <c r="H17" i="2"/>
  <c r="G18" i="2"/>
  <c r="H18" i="2" s="1"/>
  <c r="G19" i="2"/>
  <c r="H19" i="2" s="1"/>
  <c r="G20" i="2"/>
  <c r="H20" i="2"/>
  <c r="G21" i="2"/>
  <c r="H21" i="2" s="1"/>
  <c r="F22" i="2"/>
  <c r="E22" i="2"/>
  <c r="E23" i="2" l="1"/>
  <c r="E24" i="2" s="1"/>
</calcChain>
</file>

<file path=xl/sharedStrings.xml><?xml version="1.0" encoding="utf-8"?>
<sst xmlns="http://schemas.openxmlformats.org/spreadsheetml/2006/main" count="251" uniqueCount="194">
  <si>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</si>
  <si>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</si>
  <si>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</si>
  <si>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</si>
  <si>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</si>
  <si>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</si>
  <si>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</si>
  <si>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</si>
  <si>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</si>
  <si>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</si>
  <si>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</si>
  <si>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</si>
  <si>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</si>
  <si>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</si>
  <si>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</si>
  <si>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</si>
  <si>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</si>
  <si>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</si>
  <si>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</si>
  <si>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</si>
  <si>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</si>
  <si>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</si>
  <si>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</si>
  <si>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</si>
  <si>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</si>
  <si>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</si>
  <si>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</si>
  <si>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</si>
  <si>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</si>
  <si>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</si>
  <si>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</si>
  <si>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</si>
  <si>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</si>
  <si>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</si>
  <si>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</si>
  <si>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</si>
  <si>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</si>
  <si>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</si>
  <si>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</si>
  <si>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</si>
  <si>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</si>
  <si>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</si>
  <si>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</si>
  <si>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</si>
  <si>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</si>
  <si>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</si>
  <si>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</si>
  <si>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</si>
  <si>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</si>
  <si>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</si>
  <si>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</si>
  <si>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</si>
  <si>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</si>
  <si>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</si>
  <si>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</si>
  <si>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</si>
  <si>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</si>
  <si>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</si>
  <si>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</si>
  <si>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</si>
  <si>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</si>
  <si>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</si>
  <si>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</si>
  <si>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</si>
  <si>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</si>
  <si>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</si>
  <si>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</si>
  <si>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</si>
  <si>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</si>
  <si>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</si>
  <si>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</si>
  <si>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</si>
  <si>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</si>
  <si>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</si>
  <si>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</si>
  <si>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</si>
  <si>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</si>
  <si>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</si>
  <si>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</si>
  <si>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</si>
  <si>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</si>
  <si>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</si>
  <si>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</si>
  <si>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</si>
  <si>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</si>
  <si>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</si>
  <si>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</si>
  <si>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</si>
  <si>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</si>
  <si>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</si>
  <si>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</si>
  <si>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</si>
  <si>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</si>
  <si>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</si>
  <si>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</si>
  <si>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</si>
  <si>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</si>
  <si>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</si>
  <si>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</si>
  <si>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</si>
  <si>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</si>
  <si>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</si>
  <si>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</si>
  <si>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</si>
  <si>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</si>
  <si>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</si>
  <si>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</si>
  <si>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</si>
  <si>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</si>
  <si>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</si>
  <si>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</si>
  <si>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</si>
  <si>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</si>
  <si>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</si>
  <si>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</si>
  <si>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</si>
  <si>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</si>
  <si>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</si>
  <si>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</si>
  <si>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</si>
  <si>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</si>
  <si>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</si>
  <si>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</si>
  <si>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</si>
  <si>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</si>
  <si>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</si>
  <si>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</si>
  <si>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</si>
  <si>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</si>
  <si>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</si>
  <si>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</si>
  <si>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</si>
  <si>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</si>
  <si>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</si>
  <si>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</si>
  <si>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</si>
  <si>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</si>
  <si>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</si>
  <si>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</si>
  <si>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</si>
  <si>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</si>
  <si>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</si>
  <si>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</si>
  <si>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</si>
  <si>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</si>
  <si>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</si>
  <si>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</si>
  <si>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</si>
  <si>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</si>
  <si>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</si>
  <si>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</si>
  <si>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</si>
  <si>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</si>
  <si>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</si>
  <si>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</si>
  <si>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</si>
  <si>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</si>
  <si>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</si>
  <si>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</si>
  <si>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</si>
  <si>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</si>
  <si>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</si>
  <si>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</si>
  <si>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</si>
  <si>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</si>
  <si>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</si>
  <si>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</si>
  <si>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</si>
  <si>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</si>
  <si>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</si>
  <si>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</si>
  <si>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</si>
  <si>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</si>
  <si>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</si>
  <si>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</si>
  <si>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</si>
  <si>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</si>
  <si>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</si>
  <si>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</si>
  <si>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</si>
  <si>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</si>
  <si>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</si>
  <si>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</si>
  <si>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</si>
  <si>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</si>
  <si>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</si>
  <si>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</si>
  <si>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</si>
  <si>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</si>
  <si>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</si>
  <si>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</si>
  <si>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</si>
  <si>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</si>
  <si>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اليوم/1 - تقييم معضلة/1 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</si>
</sst>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478997</xdr:colOff>
      <xdr:row>25</xdr:row>
      <xdr:rowOff>30325</xdr:rowOff>
    </xdr:from>
    <xdr:to>
      <xdr:col>8</xdr:col>
      <xdr:colOff>145031</xdr:colOff>
      <xdr:row>25</xdr:row>
      <xdr:rowOff>372325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73FB981-98D5-29CD-47E9-A8EAE453DB6B}"/>
                </a:ext>
              </a:extLst>
            </xdr14:cNvPr>
            <xdr14:cNvContentPartPr/>
          </xdr14:nvContentPartPr>
          <xdr14:nvPr macro=""/>
          <xdr14:xfrm>
            <a:off x="10423557769" y="9698760"/>
            <a:ext cx="974880" cy="3420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73FB981-98D5-29CD-47E9-A8EAE453DB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548769" y="9690120"/>
              <a:ext cx="992520" cy="35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347294</xdr:colOff>
      <xdr:row>25</xdr:row>
      <xdr:rowOff>132565</xdr:rowOff>
    </xdr:from>
    <xdr:to>
      <xdr:col>8</xdr:col>
      <xdr:colOff>345911</xdr:colOff>
      <xdr:row>25</xdr:row>
      <xdr:rowOff>595885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98EEB3E-919F-28E6-E3DB-87762FCD5AFF}"/>
                </a:ext>
              </a:extLst>
            </xdr14:cNvPr>
            <xdr14:cNvContentPartPr/>
          </xdr14:nvContentPartPr>
          <xdr14:nvPr macro=""/>
          <xdr14:xfrm>
            <a:off x="10423356889" y="9801000"/>
            <a:ext cx="653040" cy="4633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98EEB3E-919F-28E6-E3DB-87762FCD5AF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348249" y="9792360"/>
              <a:ext cx="670680" cy="480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7:56:34.4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2105 792 4320,'0'0'0,"0"0"929,-2-3-193,-1 0-112,1-1-144,2 0-136,-2 1-128,2-1-32,0 3 24,0-3-8,0 2-72,0 0 16,1-2-48,-1 4-96,1-4 96,0 1 96,0-2-72,0 1-32,1 1 8,0-7-64,-2 10-32,4-1 48,-1-2 24,1-7 9,0 8-33,5-8-32,-6 6-8,-3 4-8,4-9-40,7 5 80,-7-5-32,8 5-32,-7-6 0,7 7-56,-12 3 80,11-10-57,1 7 73,-1-8-8,3 7-16,-1-5 16,1 5-56,-14 4 48,16-5-40,0-4 32,1 5-24,1-1 0,-1-4 8,0 6-16,-17 3 40,16-3-24,2-1-8,-3 1 0,3-1 0,-2 2 8,-1 0-16,-15 2 40,17 0-32,-2 0 8,1 0-24,-2 0 24,1 0-16,-2 0 0,-13 0 40,10 3-40,2-1 0,-2 1-8,-1-1-16,-4 2 16,6-1-24,-11-3 72,3 4-88,1-1-8,0 7-32,0-8-24,-1 1-40,-2 0-32,-1-3 224,1 10-296,-1-8-16,0 9 8,-3-7 16,-7 8 64,8-9 72,2-3 152,-15 15-128,3-6 16,0 1-8,-4-1-8,-2 2-40,0 0-24,18-11 192,-21 10-216,0-1-73,-1 1-119,-2-1-96,0-5-32,0 8 88,24-12 448,-26 2-288,1 8 136,-3-8 104,-2 1 24,1 0 8,-1 0 0,30-3 16,-29 2-16,0-2 0,0 0 0,1 0 8,-2-1-8,2-3 0,28 4 16,-29-3-8,0-7 0,1 6 16,0-8 8,2 9 8,0-9 8,26 12-32,-26-5 32,0-6 0,1 8-8,1-8 0,-2 7 16,4 0-8,22 4-32,-26-5 48,2 0-8,1 1 16,-1 1 8,-1-1 16,0 3 0,25 1-80,-28-1 96,-1 1 32,-1 0 16,1 2 16,-1 2 0,-2 5-16,32-9-144,-30 3 136,-3 6-24,1-5-48,-2 8-8,0-2-16,1-7-24,33-3-16,-37 14 0,2-10 24,1 8 8,-1-8 8,1 6 24,1-7-8,33-3-56,-31 9 16,1-9 16,1 4 8,1-2-24,-2-2 40,1 0-32,29 0-24,-29 0 8,1 0 0,4-1-8,1-2-8,1-8-24,3 7-40,19 4 72,-20-12-216,-2 1-64,3-1-48,-1-3 0,0-3 64,2 0 80,18 18 184,-18-17-160,1-3 32,0-1 64,0 0 8,2-3 48,1 1 16,14 23-8,-14-24 8,3 1-8,0 1 8,2 0-8,5 2 0,-5-1 24,9 21-24,0-18 16,-2 0 24,2-1 8,0 1-8,1 1 16,2 2-16,-3 15-40,12-17 32,-3 0-16,3 2-8,1-4 40,3 1 48,2 1 40,-18 17-136,20-16 168,1 1-24,2-2-8,1 0-32,4-2 8,1 2-40,-29 17-72,29-17 64,3 2-16,1 2-16,2-2 48,2 2-8,-1 3-40,-36 10-32,39-9 24,-4 4-32,1-5-16,2 7 40,-2-2 16,1 1-48,-37 4 16,35-3-8,4 0-32,-3 2-8,1 0 56,1 1-8,-3-1 16,-35 1-16,36 0 8,0 0-16,-1-1 56,-2 1-24,-1 0-24,1 0-8,-33 0 8,34 2-32,-2 2 0,0-1 48,-1 1-16,-3-1 0,-2 8 0,-26-11 0,25 3-32,1 6 0,-3-5 24,0 7 16,-2-8-24,-1 10 16,-20-13 0,19 4-40,-2 12-8,-2-7 16,-2 1-32,-1 1 0,-3-2-16,-9-9 80,5 12-80,6 0 24,-9 2 0,2 0-8,-3-1 24,0 1 24,-1-14 16,0 12 16,-2 4 48,-2-3 72,-10 3 72,4-1 64,-3-1 64,13-14-336,-14 16 368,-3 1-7,-1 1 7,-4 0-48,0-1-16,-2 1 8,24-18-312,-25 16 312,-2 2 24,-2 0 72,-1-1 32,-3 1 16,-3-1 48,36-17-504,-37 17 472,-2-2 57,1 2-73,0 0-8,-4 0-24,0-1-96,42-16-328,-45 17 312,-1 1-128,-1-1-56,-1 1-40,-1 0-40,-3 0 48,52-18-96,-51 19 88,-2-1-32,0-1 8,0-1-24,-1 1-24,-2-1 8,56-16-24,-52 15 8,3 1-48,-4-2 32,4 0 8,2-2-16,3-2 72,44-10-56,-44 11 8,4-1-32,3-1-32,1-5-120,6 8-344,-1-10-456,31-2 976,-28 4-1489,4-1-551,-1 0-80,4-3 599,-1 0 545,3 0 512,19 0 464,-21-4-104,3-9-8,2-1-792,3-4-120,13 18 1024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7:56:35.5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1814 1 4232,'0'0'0,"-2"0"1193,2 0-1193,-4 0 768,-7 2-296,8 0-128,-10 8-56,1-8-64,-2 10-8,14-12-216,-15 4 240,-2 10 24,-1-3 0,-2 0 8,-3 2-48,-1 2-8,24-15-216,-26 14 153,-2-1-25,0 2-24,-1-1-16,-2-1-16,2 1-16,29-14-56,-34 15 80,0-2-48,2 1-24,-2 1 16,5-2-64,0-1 40,29-12 0,-28 10 0,1-1-8,0-5-16,2 7-32,1-9-24,2 7-136,22-9 216,-22 3-393,3-1-367,1 1-256,0-3-192,2 0-80,2 0 239,14 0 1049,-13-2-808,-1-1 328,1-2 264,1 0 128,1-5 80,1 6 8,10 4 0,-11-10 16,0 6 0,1-7 16,1 7-8,-1-1 8,1-4 96,9 9-128,-4-4 216,-10-5 88,4 5 152,6-1 24,-10 0 80,5 1 1,9 4-561,-10-4 472,-1 0 24,0 2-72,-1 1 0,-1-2 0,0 2-48,13 1-376,-14-1 304,-2 1-80,1 0-32,-1 0-32,-1 2-40,0 2 24,17-4-144,-18 4 112,-1-1-40,0 1 8,1-1-56,0 7-24,2-8-8,16-2 8,-15 4 32,1 0-24,-1-1 0,2 1 48,1-2-8,1 2-32,11-4-16,-11 3 16,8 1-40,-12 0 24,12-2-8,-10 0-32,9 1 24,4-3 16,-11 0-40,9 2 16,-8-2 32,8 0-40,-2-1-16,1 1-40,3 0 88,-4 0-128,1 0-8,-1-1 8,0 1-8,1-1 32,-1-1 40,4 2 64,-9 0-104,9-1 80,-4 1-24,-7 0 8,9 0 32,-9 3-24,11-3 32,-4 0-32,-10 2 40,5 0-24,-1 1-16,-1-1 32,0 2-40,11-4 40,-13 3-24,1 1 88,1 6-40,-1-8 16,3 2-48,-3 5-24,12-9 32,-12 2-24,-1 8-16,1-8 8,0 2 24,0 0 24,1-2 8,11-2-24,-10 2 56,1 1 0,-1-1-32,7 1 16,-11-3 0,11 2-16,3-2-24,-12 0 48,8 0 48,-7 0-64,8 0 24,-7-1 16,7-3-32,3 4-40,-4-3 96,-7 0 8,9 0 8,-2-7-32,1 5 16,-7-8-56,10 13-40,0-5-24,-2-7-88,-1 3-64,1-1-88,2 1-80,0-3-56,0 12 400,0-14-432,1 2-16,3-1 48,5-1 32,-5 1 32,7-3 48,-11 16 288,9-14-248,2-2 56,-1 3 24,0 0 64,2 1 23,-2 1 17,-10 11 64,12-10-24,-1 1 16,-2 4 16,2-7 8,-6 8 16,7-5 24,-12 9-56,10-3 65,-6 0 15,8 0-8,-7 2 0,5 0-56,-8 1-16,-2 0 0,4 0-64,-2 0-40,-1 10-1,0-8 9,1 10 40,-1-1 48,-1-11 8,0 13 64,0 4 65,0 1 79,-3 2 72,0 2 80,-7 3 64,10-25-424,-3 27 456,-11 2-8,11 1-40,-13 0 8,6 2-16,0 2 32,10-34-432,-10 35 480,7 1-7,-10 1-33,9 0-16,-7 3-40,8-1-24,3-39-360,-11 43 360,8 0-24,0 2-16,-1-3-16,2-2-40,2 0-32,0-40-232,0 40 192,0-3-32,5-1-16,9-2 16,0-1 8,3-2 8,-17-31-176,20 29 137,3-3-1,1-2-8,6-2 64,1-1 8,4-3-16,-35-18-184,38 18 160,3-2-56,1-3-40,4 0-24,1-3 8,2-7-40,-49-3-8,52 12 24,3-9-24,2-1-48,1 2-8,4-1-64,3 0-104,-65-3 224,69 0-408,2 0-297,3-2-471,1-1-704,6-7-689,1 7-103,-82 3 2672,84-15-1897,2 2 713,2-5 624,-4-5-776,-84 23 1336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A11" zoomScale="130" zoomScaleNormal="100" zoomScaleSheetLayoutView="130" workbookViewId="0">
      <selection activeCell="F19" sqref="F1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9" t="s">
        <v>193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3">
      <c r="B2" s="11" t="s">
        <v>8</v>
      </c>
      <c r="C2" s="75" t="s">
        <v>41</v>
      </c>
      <c r="D2" s="75"/>
      <c r="E2" s="11" t="s">
        <v>7</v>
      </c>
      <c r="F2" s="70">
        <v>45943</v>
      </c>
      <c r="G2" s="70"/>
      <c r="H2" s="70"/>
      <c r="I2" s="70"/>
      <c r="J2" s="70"/>
    </row>
    <row r="3" spans="1:10" ht="30" customHeight="1" x14ac:dyDescent="0.3">
      <c r="B3" s="11" t="s">
        <v>9</v>
      </c>
      <c r="C3" s="75" t="s">
        <v>82</v>
      </c>
      <c r="D3" s="75"/>
      <c r="E3" s="11" t="s">
        <v>6</v>
      </c>
      <c r="F3" s="75" t="s">
        <v>92</v>
      </c>
      <c r="G3" s="75"/>
      <c r="H3" s="75"/>
      <c r="I3" s="75"/>
      <c r="J3" s="7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71" t="s">
        <v>0</v>
      </c>
      <c r="C5" s="72"/>
      <c r="D5" s="72"/>
      <c r="E5" s="76" t="s">
        <v>1</v>
      </c>
      <c r="F5" s="76"/>
      <c r="G5" s="76"/>
      <c r="H5" s="76"/>
      <c r="I5" s="76" t="s">
        <v>2</v>
      </c>
      <c r="J5" s="77"/>
    </row>
    <row r="6" spans="1:10" ht="24.9" customHeight="1" thickBot="1" x14ac:dyDescent="0.35">
      <c r="A6" s="9"/>
      <c r="B6" s="73"/>
      <c r="C6" s="74"/>
      <c r="D6" s="74"/>
      <c r="E6" s="10" t="s">
        <v>3</v>
      </c>
      <c r="F6" s="10" t="s">
        <v>4</v>
      </c>
      <c r="G6" s="10" t="s">
        <v>23</v>
      </c>
      <c r="H6" s="10" t="s">
        <v>24</v>
      </c>
      <c r="I6" s="78"/>
      <c r="J6" s="79"/>
    </row>
    <row r="7" spans="1:10" ht="24.9" customHeight="1" thickBot="1" x14ac:dyDescent="0.35">
      <c r="A7" s="9"/>
      <c r="B7" s="59" t="s">
        <v>21</v>
      </c>
      <c r="C7" s="60"/>
      <c r="D7" s="60"/>
      <c r="E7" s="30" t="s">
        <v>18</v>
      </c>
      <c r="F7" s="30" t="s">
        <v>19</v>
      </c>
      <c r="G7" s="30" t="s">
        <v>22</v>
      </c>
      <c r="H7" s="30" t="s">
        <v>20</v>
      </c>
      <c r="I7" s="61" t="s">
        <v>25</v>
      </c>
      <c r="J7" s="62"/>
    </row>
    <row r="8" spans="1:10" ht="30" customHeight="1" x14ac:dyDescent="0.3">
      <c r="A8" s="9"/>
      <c r="B8" s="65" t="s">
        <v>178</v>
      </c>
      <c r="C8" s="66"/>
      <c r="D8" s="66"/>
      <c r="E8" s="35"/>
      <c r="F8" s="36"/>
      <c r="G8" s="37"/>
      <c r="H8" s="38"/>
      <c r="I8" s="86"/>
      <c r="J8" s="87"/>
    </row>
    <row r="9" spans="1:10" ht="30" customHeight="1" x14ac:dyDescent="0.3">
      <c r="A9" s="9"/>
      <c r="B9" s="48" t="s">
        <v>182</v>
      </c>
      <c r="C9" s="49"/>
      <c r="D9" s="49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3"/>
      <c r="J9" s="64"/>
    </row>
    <row r="10" spans="1:10" ht="30" customHeight="1" x14ac:dyDescent="0.3">
      <c r="A10" s="9"/>
      <c r="B10" s="48" t="s">
        <v>183</v>
      </c>
      <c r="C10" s="49"/>
      <c r="D10" s="49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63"/>
      <c r="J10" s="64"/>
    </row>
    <row r="11" spans="1:10" ht="30" customHeight="1" x14ac:dyDescent="0.3">
      <c r="A11" s="9"/>
      <c r="B11" s="48" t="s">
        <v>184</v>
      </c>
      <c r="C11" s="49"/>
      <c r="D11" s="49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63"/>
      <c r="J11" s="64"/>
    </row>
    <row r="12" spans="1:10" ht="30" customHeight="1" x14ac:dyDescent="0.3">
      <c r="A12" s="9"/>
      <c r="B12" s="48" t="s">
        <v>185</v>
      </c>
      <c r="C12" s="49"/>
      <c r="D12" s="49"/>
      <c r="E12" s="32">
        <v>0</v>
      </c>
      <c r="F12" s="25" t="s">
        <v>17</v>
      </c>
      <c r="G12" s="33" t="str">
        <f t="shared" si="0"/>
        <v/>
      </c>
      <c r="H12" s="34" t="str">
        <f t="shared" si="1"/>
        <v>تم الإلغاء</v>
      </c>
      <c r="I12" s="63"/>
      <c r="J12" s="64"/>
    </row>
    <row r="13" spans="1:10" ht="30" customHeight="1" x14ac:dyDescent="0.3">
      <c r="A13" s="9"/>
      <c r="B13" s="48" t="s">
        <v>186</v>
      </c>
      <c r="C13" s="49"/>
      <c r="D13" s="49"/>
      <c r="E13" s="32">
        <v>3</v>
      </c>
      <c r="F13" s="25">
        <v>2.25</v>
      </c>
      <c r="G13" s="33">
        <f t="shared" si="0"/>
        <v>0.75</v>
      </c>
      <c r="H13" s="34" t="str">
        <f t="shared" si="1"/>
        <v>جيد</v>
      </c>
      <c r="I13" s="63"/>
      <c r="J13" s="64"/>
    </row>
    <row r="14" spans="1:10" ht="30" customHeight="1" thickBot="1" x14ac:dyDescent="0.35">
      <c r="A14" s="9"/>
      <c r="B14" s="67" t="s">
        <v>187</v>
      </c>
      <c r="C14" s="68"/>
      <c r="D14" s="68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7"/>
      <c r="J14" s="58"/>
    </row>
    <row r="15" spans="1:10" ht="30" customHeight="1" x14ac:dyDescent="0.3">
      <c r="A15" s="9"/>
      <c r="B15" s="65" t="s">
        <v>179</v>
      </c>
      <c r="C15" s="66"/>
      <c r="D15" s="66"/>
      <c r="E15" s="35"/>
      <c r="F15" s="36"/>
      <c r="G15" s="37"/>
      <c r="H15" s="38"/>
      <c r="I15" s="86"/>
      <c r="J15" s="87"/>
    </row>
    <row r="16" spans="1:10" ht="30" customHeight="1" x14ac:dyDescent="0.3">
      <c r="A16" s="9"/>
      <c r="B16" s="48" t="s">
        <v>188</v>
      </c>
      <c r="C16" s="49"/>
      <c r="D16" s="49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63"/>
      <c r="J16" s="64"/>
    </row>
    <row r="17" spans="1:10" ht="30" customHeight="1" x14ac:dyDescent="0.3">
      <c r="A17" s="9"/>
      <c r="B17" s="48" t="s">
        <v>180</v>
      </c>
      <c r="C17" s="49"/>
      <c r="D17" s="49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63"/>
      <c r="J17" s="64"/>
    </row>
    <row r="18" spans="1:10" ht="30" customHeight="1" x14ac:dyDescent="0.3">
      <c r="A18" s="9"/>
      <c r="B18" s="48" t="s">
        <v>181</v>
      </c>
      <c r="C18" s="49"/>
      <c r="D18" s="49"/>
      <c r="E18" s="32">
        <v>3</v>
      </c>
      <c r="F18" s="25">
        <v>2</v>
      </c>
      <c r="G18" s="33">
        <f t="shared" si="0"/>
        <v>0.66666666666666663</v>
      </c>
      <c r="H18" s="34" t="str">
        <f t="shared" si="1"/>
        <v>مقبول</v>
      </c>
      <c r="I18" s="63"/>
      <c r="J18" s="64"/>
    </row>
    <row r="19" spans="1:10" ht="30" customHeight="1" x14ac:dyDescent="0.3">
      <c r="A19" s="9"/>
      <c r="B19" s="48" t="s">
        <v>189</v>
      </c>
      <c r="C19" s="49"/>
      <c r="D19" s="49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63"/>
      <c r="J19" s="64"/>
    </row>
    <row r="20" spans="1:10" ht="30" customHeight="1" x14ac:dyDescent="0.3">
      <c r="A20" s="9"/>
      <c r="B20" s="48" t="s">
        <v>190</v>
      </c>
      <c r="C20" s="49"/>
      <c r="D20" s="49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63"/>
      <c r="J20" s="64"/>
    </row>
    <row r="21" spans="1:10" ht="30" customHeight="1" thickBot="1" x14ac:dyDescent="0.35">
      <c r="A21" s="9"/>
      <c r="B21" s="67" t="s">
        <v>191</v>
      </c>
      <c r="C21" s="68"/>
      <c r="D21" s="68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7"/>
      <c r="J21" s="58"/>
    </row>
    <row r="22" spans="1:10" ht="30" customHeight="1" thickBot="1" x14ac:dyDescent="0.35">
      <c r="A22" s="4"/>
      <c r="B22" s="88" t="s">
        <v>5</v>
      </c>
      <c r="C22" s="89"/>
      <c r="D22" s="89"/>
      <c r="E22" s="31">
        <f>SUM(E8:E21)</f>
        <v>33</v>
      </c>
      <c r="F22" s="31">
        <f>SUM(F8:F21)</f>
        <v>24.25</v>
      </c>
      <c r="G22" s="52"/>
      <c r="H22" s="53"/>
      <c r="I22" s="53"/>
      <c r="J22" s="54"/>
    </row>
    <row r="23" spans="1:10" ht="30" customHeight="1" thickBot="1" x14ac:dyDescent="0.35">
      <c r="A23" s="4"/>
      <c r="B23" s="90" t="s">
        <v>54</v>
      </c>
      <c r="C23" s="91"/>
      <c r="D23" s="91"/>
      <c r="E23" s="55">
        <f>F22/E22/100*100</f>
        <v>0.73484848484848486</v>
      </c>
      <c r="F23" s="55"/>
      <c r="G23" s="55"/>
      <c r="H23" s="55"/>
      <c r="I23" s="55"/>
      <c r="J23" s="56"/>
    </row>
    <row r="24" spans="1:10" ht="30" customHeight="1" thickBot="1" x14ac:dyDescent="0.35">
      <c r="A24" s="4"/>
      <c r="B24" s="90" t="s">
        <v>55</v>
      </c>
      <c r="C24" s="91"/>
      <c r="D24" s="91"/>
      <c r="E24" s="46" t="str">
        <f>_xlfn.IFS(E23&gt;=90%,"ممتاز",E23&gt;=80%,"جيد جداً",E23&gt;=70%,"جيد",E23&gt;=60%,"مقبول",E23&lt;60%,"راسب")</f>
        <v>جيد</v>
      </c>
      <c r="F24" s="46"/>
      <c r="G24" s="46"/>
      <c r="H24" s="46"/>
      <c r="I24" s="46"/>
      <c r="J24" s="47"/>
    </row>
    <row r="25" spans="1:10" ht="42" customHeight="1" x14ac:dyDescent="0.3">
      <c r="B25" s="42" t="s">
        <v>192</v>
      </c>
      <c r="C25" s="42"/>
      <c r="D25" s="42"/>
      <c r="E25" s="50" t="s">
        <v>52</v>
      </c>
      <c r="F25" s="50"/>
      <c r="G25" s="44" t="s">
        <v>92</v>
      </c>
      <c r="H25" s="44"/>
      <c r="I25" s="44"/>
      <c r="J25" s="44"/>
    </row>
    <row r="26" spans="1:10" ht="51" customHeight="1" x14ac:dyDescent="0.3">
      <c r="A26" s="5"/>
      <c r="B26" s="43"/>
      <c r="C26" s="43"/>
      <c r="D26" s="43"/>
      <c r="E26" s="51" t="s">
        <v>53</v>
      </c>
      <c r="F26" s="51"/>
      <c r="G26" s="45"/>
      <c r="H26" s="45"/>
      <c r="I26" s="45"/>
      <c r="J26" s="45"/>
    </row>
    <row r="27" spans="1:10" ht="15.6" x14ac:dyDescent="0.3">
      <c r="A27" s="27">
        <v>3</v>
      </c>
      <c r="B27" s="80" t="s">
        <v>175</v>
      </c>
      <c r="C27" s="81"/>
    </row>
    <row r="28" spans="1:10" ht="15.6" x14ac:dyDescent="0.3">
      <c r="A28" s="28">
        <v>2</v>
      </c>
      <c r="B28" s="82" t="s">
        <v>176</v>
      </c>
      <c r="C28" s="83"/>
    </row>
    <row r="29" spans="1:10" ht="15.6" x14ac:dyDescent="0.3">
      <c r="A29" s="29">
        <v>1</v>
      </c>
      <c r="B29" s="84" t="s">
        <v>177</v>
      </c>
      <c r="C29" s="85"/>
    </row>
  </sheetData>
  <sheetProtection formatCells="0" formatColumns="0" formatRows="0" insertColumns="0" insertRows="0" insertHyperlinks="0" deleteColumns="0" deleteRows="0" selectLockedCells="1" sort="0" autoFilter="0" pivotTables="0"/>
  <mergeCells count="52"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2025-10-15T17:08:21Z</dcterms:modified>
</cp:coreProperties>
</file>