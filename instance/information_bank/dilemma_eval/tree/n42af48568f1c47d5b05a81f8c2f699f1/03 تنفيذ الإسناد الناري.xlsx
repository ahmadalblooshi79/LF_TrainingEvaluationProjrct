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0B15563-FE98-D444-BF9C-A6B262A7FD8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<sst xmlns="http://schemas.openxmlformats.org/spreadsheetml/2006/main" count="259" uniqueCount="203">
  <si>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</si>
  <si>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</si>
  <si>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</si>
  <si>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</si>
  <si>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</si>
  <si>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</si>
  <si>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</si>
  <si>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</si>
  <si>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</si>
  <si>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</si>
  <si>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</si>
  <si>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</si>
  <si>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</si>
  <si>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</si>
  <si>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</si>
  <si>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</si>
  <si>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</si>
  <si>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</si>
  <si>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</si>
  <si>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</si>
  <si>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</si>
  <si>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</si>
  <si>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</si>
  <si>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</si>
  <si>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</si>
  <si>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</si>
  <si>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</si>
  <si>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</si>
  <si>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</si>
  <si>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</si>
  <si>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</si>
  <si>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</si>
  <si>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</si>
  <si>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</si>
  <si>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</si>
  <si>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</si>
  <si>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</si>
  <si>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</si>
  <si>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</si>
  <si>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</si>
  <si>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</si>
  <si>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</si>
  <si>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</si>
  <si>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</si>
  <si>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</si>
  <si>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</si>
  <si>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</si>
  <si>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</si>
  <si>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</si>
  <si>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</si>
  <si>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</si>
  <si>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</si>
  <si>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</si>
  <si>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</si>
  <si>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</si>
  <si>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</si>
  <si>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</si>
  <si>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</si>
  <si>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</si>
  <si>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</si>
  <si>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</si>
  <si>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</si>
  <si>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</si>
  <si>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</si>
  <si>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</si>
  <si>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</si>
  <si>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</si>
  <si>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</si>
  <si>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</si>
  <si>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</si>
  <si>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</si>
  <si>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</si>
  <si>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</si>
  <si>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</si>
  <si>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</si>
  <si>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</si>
  <si>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</si>
  <si>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</si>
  <si>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</si>
  <si>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</si>
  <si>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</si>
  <si>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</si>
  <si>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</si>
  <si>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</si>
  <si>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</si>
  <si>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</si>
  <si>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</si>
  <si>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</si>
  <si>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</si>
  <si>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</si>
  <si>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</si>
  <si>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</si>
  <si>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</si>
  <si>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</si>
  <si>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</si>
  <si>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</si>
  <si>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</si>
  <si>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</si>
  <si>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</si>
  <si>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</si>
  <si>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</si>
  <si>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</si>
  <si>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</si>
  <si>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</si>
  <si>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</si>
  <si>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</si>
  <si>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</si>
  <si>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</si>
  <si>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</si>
  <si>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</si>
  <si>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</si>
  <si>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</si>
  <si>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</si>
  <si>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</si>
  <si>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</si>
  <si>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</si>
  <si>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</si>
  <si>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</si>
  <si>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</si>
  <si>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</si>
  <si>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</si>
  <si>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</si>
  <si>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</si>
  <si>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</si>
  <si>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</si>
  <si>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</si>
  <si>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</si>
  <si>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</si>
  <si>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</si>
  <si>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</si>
  <si>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</si>
  <si>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</si>
  <si>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</si>
  <si>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</si>
  <si>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</si>
  <si>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</si>
  <si>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</si>
  <si>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</si>
  <si>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</si>
  <si>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</si>
  <si>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</si>
  <si>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</si>
  <si>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</si>
  <si>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</si>
  <si>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</si>
  <si>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</si>
  <si>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</si>
  <si>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</si>
  <si>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</si>
  <si>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</si>
  <si>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</si>
  <si>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</si>
  <si>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</si>
  <si>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</si>
  <si>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</si>
  <si>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</si>
  <si>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</si>
  <si>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</si>
  <si>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</si>
  <si>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</si>
  <si>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</si>
  <si>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</si>
  <si>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</si>
  <si>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</si>
  <si>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</si>
  <si>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</si>
  <si>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</si>
  <si>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</si>
  <si>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</si>
  <si>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</si>
  <si>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</si>
  <si>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</si>
  <si>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</si>
  <si>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</si>
  <si>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</si>
  <si>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</si>
  <si>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</si>
  <si>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</si>
  <si>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</si>
  <si>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</si>
  <si>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تنفيذ الاسناد الناري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</si>
  <si>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 والتخطيط</t>
    </r>
    <r>
      <rPr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</si>
  <si>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قام ضابط الإسناد الناري وعناصر الإسناد الناري الاخرين بمعالجة طلبات النيران المخطط لها:</t>
    </r>
  </si>
  <si>
    <t>أ. التأكد من خلو منطقة الهدف من القوات الصديقة (التصريح بالرماية).</t>
  </si>
  <si>
    <t>ب. التأكد من أن المهمة تلبي جميع المتطلبات وحسب مخطط تنفيذ الهجوم/جدول الواجبات على الاهداف.</t>
  </si>
  <si>
    <t>جـ. التأكد من أن المهمة تحقق توجيهات القائد المتعلقة بالنيران (الواجبات الأساسية للإسناد الناري والقصد من المهمة ).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</si>
  <si>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تقييم القتال من قبل ضابط الإسناد الناري وكما يلي:</t>
    </r>
  </si>
  <si>
    <t>أ. يطلب ضابط صف الإسناد الناري لتقارير تقييم القتال (تقارير الرميات وتقييم أضرار المعركة) من عناصر الإسناد الناري في الوحدات (ضباط الرصد).</t>
  </si>
  <si>
    <t>ب. يطلب ضابط الإسناد الناري من خلال ركن الاستخبارات أن يقوم مصدر المعلومات الاستخبارية المناسب بتقرير مدى التأثير على الأهداف المنتخبة والتي تم تحديدها خلال مرحلة (قرر) في الاستهداف.</t>
  </si>
  <si>
    <t>جـ. يقرر ضابط الإسناد الناري فيما إذا تم تحقيق النتيجة النهائية وتقديم التوصيات إمَّا الاستمرار في تنفيذ الواجب الأساسي الحالي أو الانتقال الى الواجب الاساسي اللاحق.</t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</si>
  <si>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</si>
  <si>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إدامة الموقف الحالي لجميع مصادر الإسناد الناري بحيث يُغطي تقرير الموقف ما يلي:</t>
    </r>
  </si>
  <si>
    <t>أ. المواقع.</t>
  </si>
  <si>
    <t>ب. المهام.</t>
  </si>
  <si>
    <t>جـ. القدرات.</t>
  </si>
  <si>
    <t>د. موقف الذخيرة.</t>
  </si>
  <si>
    <t>هـ. موقف المعدات/المهمات.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</si>
  <si>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جمع وادامة موقف القوات الصديقة وموقف العدو المعروف ليشمل:</t>
    </r>
  </si>
  <si>
    <t>أ. اجراءات السيطرة وادامتها على الشفافات.</t>
  </si>
  <si>
    <t>ب. مواقع المناورة وعناصر الاسناد الناري غير المباشرة ( هاونات الكتيبة، وحدات الرمي للمدفعية، وعناصر التزويد الميدانية.</t>
  </si>
  <si>
    <t>جـ. معايير تنسيق نيران الإسناد.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</si>
  <si>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وإدامة خارطة الموقف وشفاف قائمة الاهداف.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</si>
  <si>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تمرير المعلومات الاستخبارية إلى ركن الاستخبارات واستلامها منه.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</si>
</sst>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3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22775</xdr:colOff>
      <xdr:row>33</xdr:row>
      <xdr:rowOff>162473</xdr:rowOff>
    </xdr:from>
    <xdr:to>
      <xdr:col>7</xdr:col>
      <xdr:colOff>184775</xdr:colOff>
      <xdr:row>33</xdr:row>
      <xdr:rowOff>618953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D535DF5-A9D9-2EAF-F62F-71E4CB96A026}"/>
                </a:ext>
              </a:extLst>
            </xdr14:cNvPr>
            <xdr14:cNvContentPartPr/>
          </xdr14:nvContentPartPr>
          <xdr14:nvPr macro=""/>
          <xdr14:xfrm>
            <a:off x="10399718225" y="14317200"/>
            <a:ext cx="162000" cy="456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D535DF5-A9D9-2EAF-F62F-71E4CB96A0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709225" y="14308560"/>
              <a:ext cx="179640" cy="47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357585</xdr:colOff>
      <xdr:row>32</xdr:row>
      <xdr:rowOff>514643</xdr:rowOff>
    </xdr:from>
    <xdr:to>
      <xdr:col>8</xdr:col>
      <xdr:colOff>456204</xdr:colOff>
      <xdr:row>33</xdr:row>
      <xdr:rowOff>581513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2FC32C1-8062-8E52-96B8-4F60FC8CFD46}"/>
                </a:ext>
              </a:extLst>
            </xdr14:cNvPr>
            <xdr14:cNvContentPartPr/>
          </xdr14:nvContentPartPr>
          <xdr14:nvPr macro=""/>
          <xdr14:xfrm>
            <a:off x="10398788705" y="14138280"/>
            <a:ext cx="1414800" cy="597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2FC32C1-8062-8E52-96B8-4F60FC8CFD4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780065" y="14129640"/>
              <a:ext cx="1432440" cy="615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10:22.2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449 354,'0'0,"0"0,0 0,0 0,0 0,0 0,0-16,0 12,-16-8,16-4,0 12,-16-8,16-21,0 27,-16-4,0-22,14 29,-12-26,-2 13,14 15,-12-30,-18 15,28 14,-8-28,-4 14,14 14,-28-12,14-2,14 14,-12-12,-2 14,14 0,4-16,-2 32,0-14,16-4,0 18,-15-14,14 12,1 18,-14-29,12 26,18 19,-29-42,10 52,3 7,-14-58,12 50,2 7,-14-57,-4 50,2 23,0-71,0 62,-32 26,28-86,-40 90,-4-5,42-85,-68 90,10-5,55-84,-79 89,88-101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10:23.9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2213 803,'0'0,"0"0,0 0,0 0,0 0,16 16,1-16,-9 8,-1 0,9 24,1-16,-1 0,16 32,-7-23,-2-2,25 41,-48-64</inkml:trace>
  <inkml:trace contextRef="#ctx0" brushRef="#br0" timeOffset="1">2967 1556,'0'0,"0"0,0 0,16-16,-11 11,6-6,21-21,-23 23,30-14,25-25,-44 33,41-18,19-31,-57 45,50-26,7-20,-56 46,48-10,9-35,-56 44,14 8,25-20,-44 22,-8-12,36-10,-33 22,2 4,-1-10,-11 11,6-6,-27 11,11 0,-6-16,-5 0,11 11,-102 10,-38-5,102 0,-74 16,-75 0,133-11,-107 22,-90 21,178-34,-149 20,-78 30,214-45,-90 26,-108 35,203-55,-101 31,-69 24,180-56,-89 16,-91 24,180-45,-41 26,-11-13,89-22,-34-4,9 10,44-11,-24 6,12-3,80-32,-16 24,16-16,-34 12,84-24,46-4,-102 23,109-30,57-25,-144 44,113-24,143-52,-223 67,159-39,81-28,-236 67,103-54,68 3,-191 56,95-48,32 7,-145 46,67-26,14-3,-102 34,-4-20,42 18,-55 11,-18-6,26 11,-24 0,-2 0,-23 0,11 0,-7 0,10 0,-44 0,-98 16,100-11,-88 6,-109 21,169-22,-96 12,-105 10,189-22,-105 28,-179 27,254-46,-125 26,-66 19,213-45,-104 10,-29 19,156-33,-22 18,-21-17,78-11,-45 6,-1 5,56-11,0-10,8 5,11 0,-6-16,27 0,-11 11,6-22,21-21,-22 33,28-18,74-63,-78 67,77-87,81-28,-135 101,62-74,26 4,-103 81,-4-16,58-16,-67 45,6-10,78-35,-79 44,-20 8,2 28,-11-11,38-10,-11 37,-22-22,44 28,58 58,-78-67,76 70,51 62,-112-112,78 78,98 66,-155-134,68 58,-138-117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5" zoomScale="130" zoomScaleNormal="100" zoomScaleSheetLayoutView="130" workbookViewId="0">
      <selection activeCell="F19" sqref="F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2" t="s">
        <v>8</v>
      </c>
      <c r="C2" s="63" t="s">
        <v>48</v>
      </c>
      <c r="D2" s="63"/>
      <c r="E2" s="12" t="s">
        <v>7</v>
      </c>
      <c r="F2" s="58">
        <v>45954</v>
      </c>
      <c r="G2" s="58"/>
      <c r="H2" s="58"/>
      <c r="I2" s="58"/>
      <c r="J2" s="58"/>
    </row>
    <row r="3" spans="1:10" ht="30" customHeight="1" x14ac:dyDescent="0.2">
      <c r="B3" s="12" t="s">
        <v>9</v>
      </c>
      <c r="C3" s="63" t="s">
        <v>68</v>
      </c>
      <c r="D3" s="63"/>
      <c r="E3" s="12" t="s">
        <v>6</v>
      </c>
      <c r="F3" s="63" t="s">
        <v>176</v>
      </c>
      <c r="G3" s="63"/>
      <c r="H3" s="63"/>
      <c r="I3" s="63"/>
      <c r="J3" s="6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9" t="s">
        <v>0</v>
      </c>
      <c r="C5" s="60"/>
      <c r="D5" s="60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61"/>
      <c r="C6" s="62"/>
      <c r="D6" s="62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7" t="s">
        <v>18</v>
      </c>
      <c r="F7" s="27" t="s">
        <v>19</v>
      </c>
      <c r="G7" s="27" t="s">
        <v>22</v>
      </c>
      <c r="H7" s="27" t="s">
        <v>20</v>
      </c>
      <c r="I7" s="70" t="s">
        <v>25</v>
      </c>
      <c r="J7" s="71"/>
    </row>
    <row r="8" spans="1:10" ht="30" customHeight="1" x14ac:dyDescent="0.2">
      <c r="A8" s="10"/>
      <c r="B8" s="41" t="s">
        <v>181</v>
      </c>
      <c r="C8" s="42"/>
      <c r="D8" s="42"/>
      <c r="E8" s="42"/>
      <c r="F8" s="42"/>
      <c r="G8" s="42"/>
      <c r="H8" s="42"/>
      <c r="I8" s="42"/>
      <c r="J8" s="43"/>
    </row>
    <row r="9" spans="1:10" ht="30" customHeight="1" x14ac:dyDescent="0.2">
      <c r="A9" s="10"/>
      <c r="B9" s="37" t="s">
        <v>182</v>
      </c>
      <c r="C9" s="38"/>
      <c r="D9" s="38"/>
      <c r="E9" s="9"/>
      <c r="F9" s="26"/>
      <c r="G9" s="29"/>
      <c r="H9" s="30"/>
      <c r="I9" s="46"/>
      <c r="J9" s="47"/>
    </row>
    <row r="10" spans="1:10" ht="30" customHeight="1" x14ac:dyDescent="0.2">
      <c r="A10" s="10"/>
      <c r="B10" s="35" t="s">
        <v>183</v>
      </c>
      <c r="C10" s="36"/>
      <c r="D10" s="36"/>
      <c r="E10" s="9">
        <v>5</v>
      </c>
      <c r="F10" s="26">
        <v>4</v>
      </c>
      <c r="G10" s="29">
        <f t="shared" ref="G10:G29" si="0">IFERROR(F10/E10,"")</f>
        <v>0.8</v>
      </c>
      <c r="H10" s="30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9.950000000000003" customHeight="1" x14ac:dyDescent="0.2">
      <c r="A11" s="10"/>
      <c r="B11" s="35" t="s">
        <v>184</v>
      </c>
      <c r="C11" s="36"/>
      <c r="D11" s="36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9.950000000000003" customHeight="1" x14ac:dyDescent="0.2">
      <c r="A12" s="10"/>
      <c r="B12" s="35" t="s">
        <v>185</v>
      </c>
      <c r="C12" s="36"/>
      <c r="D12" s="36"/>
      <c r="E12" s="9">
        <v>5</v>
      </c>
      <c r="F12" s="34">
        <v>3.5</v>
      </c>
      <c r="G12" s="29">
        <f t="shared" si="0"/>
        <v>0.7</v>
      </c>
      <c r="H12" s="30" t="str">
        <f t="shared" si="1"/>
        <v>جيد</v>
      </c>
      <c r="I12" s="46"/>
      <c r="J12" s="47"/>
    </row>
    <row r="13" spans="1:10" ht="30" customHeight="1" x14ac:dyDescent="0.2">
      <c r="A13" s="10"/>
      <c r="B13" s="37" t="s">
        <v>186</v>
      </c>
      <c r="C13" s="38"/>
      <c r="D13" s="38"/>
      <c r="E13" s="9"/>
      <c r="F13" s="26"/>
      <c r="G13" s="29"/>
      <c r="H13" s="30"/>
      <c r="I13" s="46"/>
      <c r="J13" s="47"/>
    </row>
    <row r="14" spans="1:10" ht="54" customHeight="1" x14ac:dyDescent="0.2">
      <c r="A14" s="10"/>
      <c r="B14" s="35" t="s">
        <v>187</v>
      </c>
      <c r="C14" s="36"/>
      <c r="D14" s="36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46"/>
      <c r="J14" s="47"/>
    </row>
    <row r="15" spans="1:10" ht="59.25" customHeight="1" x14ac:dyDescent="0.2">
      <c r="A15" s="10"/>
      <c r="B15" s="35" t="s">
        <v>188</v>
      </c>
      <c r="C15" s="36"/>
      <c r="D15" s="36"/>
      <c r="E15" s="9">
        <v>5</v>
      </c>
      <c r="F15" s="34">
        <v>3.5</v>
      </c>
      <c r="G15" s="29">
        <f t="shared" si="0"/>
        <v>0.7</v>
      </c>
      <c r="H15" s="30" t="str">
        <f t="shared" si="1"/>
        <v>جيد</v>
      </c>
      <c r="I15" s="46"/>
      <c r="J15" s="47"/>
    </row>
    <row r="16" spans="1:10" ht="49.5" customHeight="1" thickBot="1" x14ac:dyDescent="0.25">
      <c r="A16" s="10"/>
      <c r="B16" s="44" t="s">
        <v>189</v>
      </c>
      <c r="C16" s="45"/>
      <c r="D16" s="45"/>
      <c r="E16" s="31">
        <v>5</v>
      </c>
      <c r="F16" s="34">
        <v>3.5</v>
      </c>
      <c r="G16" s="32">
        <f t="shared" si="0"/>
        <v>0.7</v>
      </c>
      <c r="H16" s="33" t="str">
        <f t="shared" si="1"/>
        <v>جيد</v>
      </c>
      <c r="I16" s="80"/>
      <c r="J16" s="81"/>
    </row>
    <row r="17" spans="1:10" ht="30" customHeight="1" x14ac:dyDescent="0.2">
      <c r="A17" s="10"/>
      <c r="B17" s="41" t="s">
        <v>190</v>
      </c>
      <c r="C17" s="42"/>
      <c r="D17" s="42"/>
      <c r="E17" s="42"/>
      <c r="F17" s="42"/>
      <c r="G17" s="42"/>
      <c r="H17" s="42"/>
      <c r="I17" s="42"/>
      <c r="J17" s="43"/>
    </row>
    <row r="18" spans="1:10" ht="39.950000000000003" customHeight="1" x14ac:dyDescent="0.2">
      <c r="A18" s="10"/>
      <c r="B18" s="37" t="s">
        <v>191</v>
      </c>
      <c r="C18" s="38"/>
      <c r="D18" s="38"/>
      <c r="E18" s="9"/>
      <c r="F18" s="26"/>
      <c r="G18" s="29"/>
      <c r="H18" s="30"/>
      <c r="I18" s="46"/>
      <c r="J18" s="47"/>
    </row>
    <row r="19" spans="1:10" ht="30" customHeight="1" x14ac:dyDescent="0.2">
      <c r="A19" s="10"/>
      <c r="B19" s="35" t="s">
        <v>192</v>
      </c>
      <c r="C19" s="36"/>
      <c r="D19" s="36"/>
      <c r="E19" s="9">
        <v>5</v>
      </c>
      <c r="F19" s="26">
        <v>4</v>
      </c>
      <c r="G19" s="29">
        <f t="shared" si="0"/>
        <v>0.8</v>
      </c>
      <c r="H19" s="30" t="str">
        <f t="shared" si="1"/>
        <v>جيد جداً</v>
      </c>
      <c r="I19" s="46"/>
      <c r="J19" s="47"/>
    </row>
    <row r="20" spans="1:10" ht="30" customHeight="1" x14ac:dyDescent="0.2">
      <c r="A20" s="10"/>
      <c r="B20" s="35" t="s">
        <v>193</v>
      </c>
      <c r="C20" s="36"/>
      <c r="D20" s="36"/>
      <c r="E20" s="9">
        <v>5</v>
      </c>
      <c r="F20" s="34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0" customHeight="1" x14ac:dyDescent="0.2">
      <c r="A21" s="10"/>
      <c r="B21" s="35" t="s">
        <v>194</v>
      </c>
      <c r="C21" s="36"/>
      <c r="D21" s="36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30" customHeight="1" x14ac:dyDescent="0.2">
      <c r="A22" s="10"/>
      <c r="B22" s="35" t="s">
        <v>195</v>
      </c>
      <c r="C22" s="36"/>
      <c r="D22" s="36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46"/>
      <c r="J22" s="47"/>
    </row>
    <row r="23" spans="1:10" ht="30" customHeight="1" x14ac:dyDescent="0.2">
      <c r="A23" s="10"/>
      <c r="B23" s="35" t="s">
        <v>196</v>
      </c>
      <c r="C23" s="36"/>
      <c r="D23" s="36"/>
      <c r="E23" s="9">
        <v>5</v>
      </c>
      <c r="F23" s="34">
        <v>3.5</v>
      </c>
      <c r="G23" s="29">
        <f t="shared" si="0"/>
        <v>0.7</v>
      </c>
      <c r="H23" s="30" t="str">
        <f t="shared" si="1"/>
        <v>جيد</v>
      </c>
      <c r="I23" s="46"/>
      <c r="J23" s="47"/>
    </row>
    <row r="24" spans="1:10" ht="30" customHeight="1" x14ac:dyDescent="0.2">
      <c r="A24" s="10"/>
      <c r="B24" s="37" t="s">
        <v>197</v>
      </c>
      <c r="C24" s="38"/>
      <c r="D24" s="38"/>
      <c r="E24" s="9"/>
      <c r="F24" s="26"/>
      <c r="G24" s="29"/>
      <c r="H24" s="30"/>
      <c r="I24" s="46"/>
      <c r="J24" s="47"/>
    </row>
    <row r="25" spans="1:10" ht="30" customHeight="1" x14ac:dyDescent="0.2">
      <c r="A25" s="10"/>
      <c r="B25" s="35" t="s">
        <v>198</v>
      </c>
      <c r="C25" s="36"/>
      <c r="D25" s="36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46"/>
      <c r="J25" s="47"/>
    </row>
    <row r="26" spans="1:10" ht="39.950000000000003" customHeight="1" x14ac:dyDescent="0.2">
      <c r="A26" s="10"/>
      <c r="B26" s="35" t="s">
        <v>199</v>
      </c>
      <c r="C26" s="36"/>
      <c r="D26" s="36"/>
      <c r="E26" s="9">
        <v>5</v>
      </c>
      <c r="F26" s="34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2">
      <c r="A27" s="10"/>
      <c r="B27" s="35" t="s">
        <v>200</v>
      </c>
      <c r="C27" s="36"/>
      <c r="D27" s="36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2">
      <c r="A28" s="10"/>
      <c r="B28" s="37" t="s">
        <v>201</v>
      </c>
      <c r="C28" s="38"/>
      <c r="D28" s="38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thickBot="1" x14ac:dyDescent="0.25">
      <c r="A29" s="10"/>
      <c r="B29" s="39" t="s">
        <v>202</v>
      </c>
      <c r="C29" s="40"/>
      <c r="D29" s="40"/>
      <c r="E29" s="31">
        <v>5</v>
      </c>
      <c r="F29" s="34">
        <v>3.5</v>
      </c>
      <c r="G29" s="32">
        <f t="shared" si="0"/>
        <v>0.7</v>
      </c>
      <c r="H29" s="33" t="str">
        <f t="shared" si="1"/>
        <v>جيد</v>
      </c>
      <c r="I29" s="80"/>
      <c r="J29" s="81"/>
    </row>
    <row r="30" spans="1:10" ht="30" customHeight="1" thickBot="1" x14ac:dyDescent="0.25">
      <c r="A30" s="4"/>
      <c r="B30" s="76" t="s">
        <v>5</v>
      </c>
      <c r="C30" s="77"/>
      <c r="D30" s="77"/>
      <c r="E30" s="28">
        <f>SUM(E8:E29)</f>
        <v>80</v>
      </c>
      <c r="F30" s="28">
        <f>SUM(F8:F29)</f>
        <v>57</v>
      </c>
      <c r="G30" s="50"/>
      <c r="H30" s="51"/>
      <c r="I30" s="51"/>
      <c r="J30" s="52"/>
    </row>
    <row r="31" spans="1:10" ht="30" customHeight="1" thickBot="1" x14ac:dyDescent="0.25">
      <c r="A31" s="4"/>
      <c r="B31" s="78" t="s">
        <v>54</v>
      </c>
      <c r="C31" s="79"/>
      <c r="D31" s="79"/>
      <c r="E31" s="53">
        <f>F30/E30/100*100</f>
        <v>0.71250000000000002</v>
      </c>
      <c r="F31" s="53"/>
      <c r="G31" s="53"/>
      <c r="H31" s="53"/>
      <c r="I31" s="53"/>
      <c r="J31" s="54"/>
    </row>
    <row r="32" spans="1:10" ht="30" customHeight="1" thickBot="1" x14ac:dyDescent="0.25">
      <c r="A32" s="4"/>
      <c r="B32" s="78" t="s">
        <v>55</v>
      </c>
      <c r="C32" s="79"/>
      <c r="D32" s="79"/>
      <c r="E32" s="74" t="str">
        <f>_xlfn.IFS(E31&gt;=90%,"ممتاز",E31&gt;=80%,"جيد جداً",E31&gt;=70%,"جيد",E31&gt;=60%,"مقبول",E31&lt;60%,"راسب")</f>
        <v>جيد</v>
      </c>
      <c r="F32" s="74"/>
      <c r="G32" s="74"/>
      <c r="H32" s="74"/>
      <c r="I32" s="74"/>
      <c r="J32" s="75"/>
    </row>
    <row r="33" spans="1:10" ht="42" customHeight="1" x14ac:dyDescent="0.2">
      <c r="B33" s="55" t="s">
        <v>174</v>
      </c>
      <c r="C33" s="55"/>
      <c r="D33" s="55"/>
      <c r="E33" s="48" t="s">
        <v>52</v>
      </c>
      <c r="F33" s="48"/>
      <c r="G33" s="72" t="s">
        <v>176</v>
      </c>
      <c r="H33" s="72"/>
      <c r="I33" s="72"/>
      <c r="J33" s="72"/>
    </row>
    <row r="34" spans="1:10" ht="51" customHeight="1" x14ac:dyDescent="0.2">
      <c r="A34" s="5"/>
      <c r="B34" s="56"/>
      <c r="C34" s="56"/>
      <c r="D34" s="56"/>
      <c r="E34" s="49" t="s">
        <v>53</v>
      </c>
      <c r="F34" s="49"/>
      <c r="G34" s="73"/>
      <c r="H34" s="73"/>
      <c r="I34" s="73"/>
      <c r="J3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I16:J16"/>
    <mergeCell ref="I18:J18"/>
    <mergeCell ref="I28:J28"/>
    <mergeCell ref="I29:J29"/>
    <mergeCell ref="I11:J11"/>
    <mergeCell ref="I12:J12"/>
    <mergeCell ref="I13:J13"/>
    <mergeCell ref="I14:J14"/>
    <mergeCell ref="I15:J15"/>
    <mergeCell ref="G33:J33"/>
    <mergeCell ref="G34:J34"/>
    <mergeCell ref="E32:J32"/>
    <mergeCell ref="B30:D30"/>
    <mergeCell ref="B31:D31"/>
    <mergeCell ref="B32:D32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B16:D16"/>
    <mergeCell ref="I9:J9"/>
    <mergeCell ref="E33:F33"/>
    <mergeCell ref="E34:F34"/>
    <mergeCell ref="G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1:J31"/>
    <mergeCell ref="B33:D34"/>
    <mergeCell ref="B11:D11"/>
    <mergeCell ref="B12:D12"/>
    <mergeCell ref="B13:D13"/>
    <mergeCell ref="B14:D14"/>
    <mergeCell ref="B15:D15"/>
    <mergeCell ref="B26:D26"/>
    <mergeCell ref="B27:D27"/>
    <mergeCell ref="B28:D28"/>
    <mergeCell ref="B29:D29"/>
    <mergeCell ref="B8:J8"/>
    <mergeCell ref="B17:J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9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9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F25:F29 F19:F23 F14:F16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G33:J33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2025-10-22T08:11:39Z</dcterms:modified>
</cp:coreProperties>
</file>