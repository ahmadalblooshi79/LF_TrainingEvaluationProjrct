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089807D-E05F-49E4-9C32-C2711D3A13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7" i="2"/>
  <c r="H17" i="2" s="1"/>
  <c r="G18" i="2"/>
  <c r="H18" i="2" s="1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 s="1"/>
  <c r="G27" i="2"/>
  <c r="H27" i="2"/>
  <c r="G28" i="2"/>
  <c r="H28" i="2"/>
  <c r="G29" i="2"/>
  <c r="H29" i="2"/>
  <c r="G30" i="2"/>
  <c r="H30" i="2"/>
  <c r="G32" i="2"/>
  <c r="H32" i="2"/>
  <c r="G33" i="2"/>
  <c r="H33" i="2" s="1"/>
  <c r="G34" i="2"/>
  <c r="H34" i="2"/>
  <c r="G35" i="2"/>
  <c r="H35" i="2"/>
  <c r="G36" i="2"/>
  <c r="H36" i="2"/>
  <c r="G37" i="2"/>
  <c r="H37" i="2"/>
  <c r="G38" i="2"/>
  <c r="H38" i="2"/>
  <c r="G40" i="2"/>
  <c r="H40" i="2"/>
  <c r="G41" i="2"/>
  <c r="H41" i="2"/>
  <c r="G42" i="2"/>
  <c r="H42" i="2"/>
  <c r="G43" i="2"/>
  <c r="H43" i="2"/>
  <c r="F44" i="2"/>
  <c r="E44" i="2"/>
  <c r="E45" i="2" s="1"/>
  <c r="E46" i="2" s="1"/>
</calcChain>
</file>

<file path=xl/sharedStrings.xml><?xml version="1.0" encoding="utf-8"?>
<sst xmlns="http://schemas.openxmlformats.org/spreadsheetml/2006/main" count="277" uniqueCount="217">
  <si>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</si>
  <si>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</si>
  <si>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</si>
  <si>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</si>
  <si>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</si>
  <si>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</si>
  <si>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</si>
  <si>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</si>
  <si>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</si>
  <si>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</si>
  <si>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</si>
  <si>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</si>
  <si>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</si>
  <si>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</si>
  <si>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</si>
  <si>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</si>
  <si>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</si>
  <si>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</si>
  <si>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</si>
  <si>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</si>
  <si>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</si>
  <si>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</si>
  <si>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</si>
  <si>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</si>
  <si>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</si>
  <si>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</si>
  <si>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</si>
  <si>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</si>
  <si>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</si>
  <si>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</si>
  <si>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</si>
  <si>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</si>
  <si>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</si>
  <si>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</si>
  <si>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</si>
  <si>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</si>
  <si>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</si>
  <si>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</si>
  <si>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</si>
  <si>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</si>
  <si>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</si>
  <si>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</si>
  <si>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</si>
  <si>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</si>
  <si>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</si>
  <si>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</si>
  <si>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</si>
  <si>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</si>
  <si>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</si>
  <si>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</si>
  <si>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</si>
  <si>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</si>
  <si>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</si>
  <si>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</si>
  <si>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</si>
  <si>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</si>
  <si>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</si>
  <si>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</si>
  <si>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</si>
  <si>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</si>
  <si>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</si>
  <si>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</si>
  <si>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</si>
  <si>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</si>
  <si>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</si>
  <si>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</si>
  <si>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</si>
  <si>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</si>
  <si>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</si>
  <si>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</si>
  <si>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</si>
  <si>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</si>
  <si>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</si>
  <si>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</si>
  <si>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</si>
  <si>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</si>
  <si>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</si>
  <si>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</si>
  <si>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</si>
  <si>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</si>
  <si>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</si>
  <si>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</si>
  <si>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</si>
  <si>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</si>
  <si>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</si>
  <si>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</si>
  <si>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</si>
  <si>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</si>
  <si>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</si>
  <si>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</si>
  <si>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</si>
  <si>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</si>
  <si>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</si>
  <si>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</si>
  <si>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</si>
  <si>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</si>
  <si>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</si>
  <si>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</si>
  <si>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</si>
  <si>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</si>
  <si>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</si>
  <si>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</si>
  <si>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</si>
  <si>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</si>
  <si>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</si>
  <si>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</si>
  <si>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</si>
  <si>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</si>
  <si>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</si>
  <si>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</si>
  <si>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</si>
  <si>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</si>
  <si>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</si>
  <si>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</si>
  <si>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</si>
  <si>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</si>
  <si>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</si>
  <si>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</si>
  <si>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</si>
  <si>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</si>
  <si>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</si>
  <si>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</si>
  <si>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</si>
  <si>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</si>
  <si>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</si>
  <si>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</si>
  <si>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</si>
  <si>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</si>
  <si>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</si>
  <si>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</si>
  <si>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</si>
  <si>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</si>
  <si>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</si>
  <si>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</si>
  <si>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</si>
  <si>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</si>
  <si>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</si>
  <si>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</si>
  <si>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</si>
  <si>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</si>
  <si>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</si>
  <si>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</si>
  <si>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</si>
  <si>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</si>
  <si>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</si>
  <si>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</si>
  <si>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</si>
  <si>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</si>
  <si>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</si>
  <si>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</si>
  <si>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</si>
  <si>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</si>
  <si>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</si>
  <si>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</si>
  <si>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</si>
  <si>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</si>
  <si>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</si>
  <si>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</si>
  <si>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</si>
  <si>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</si>
  <si>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</si>
  <si>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</si>
  <si>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</si>
  <si>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</si>
  <si>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</si>
  <si>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</si>
  <si>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</si>
  <si>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</si>
  <si>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</si>
  <si>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</si>
  <si>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</si>
  <si>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</si>
  <si>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</si>
  <si>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</si>
  <si>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</si>
  <si>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</si>
  <si>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</si>
  <si>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</si>
  <si>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</si>
  <si>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</si>
  <si>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التحضيرات وخطط التحميل القتالي لسرية الدفاع الكيميائي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</si>
  <si>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التجهيزات.</t>
    </r>
  </si>
  <si>
    <t>أ. تجهيز الآليات.</t>
  </si>
  <si>
    <t>ب. تجهيز أجهزة الاتصال.</t>
  </si>
  <si>
    <t>جـ. تجهيز الأسلحة.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</si>
  <si>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معدات متفرقة.</t>
    </r>
  </si>
  <si>
    <t>أ. تفقد المناظير وأجهزة الرؤية الليلية.</t>
  </si>
  <si>
    <t>ب. تفقد شبكة التمويه والتخفية وأنظمة الإسناد.</t>
  </si>
  <si>
    <t>جـ. توفر خرائط الطرق (مع الشفافات).</t>
  </si>
  <si>
    <t>د. البطاريات موجودة وصالحة.</t>
  </si>
  <si>
    <t>هـ. توفر معدات التخييم.</t>
  </si>
  <si>
    <t>و. توفر أنظمة تحديد المواقع العالمية والأنظمة الرقمية الأخرى.</t>
  </si>
  <si>
    <t>ز. توفر قوائم التحميل.</t>
  </si>
  <si>
    <t>ح. توفر جميع المعدات في الآلية.</t>
  </si>
  <si>
    <t>ط. توفر السجلات وتحديثها.</t>
  </si>
  <si>
    <t>ي. توفر رخص القيادة العسكرية لدى جميع السائقين.</t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</si>
  <si>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معدات الاتصالات.</t>
    </r>
  </si>
  <si>
    <t>أ. استكمال جميع المتطلبات من الأجهزة اللاسلكية وصلاحيتها للعمل.</t>
  </si>
  <si>
    <t>ب. ربط الهوائيات بالشكل الصحيح.</t>
  </si>
  <si>
    <t>جـ. صلاحية الهواتف الميدانية.</t>
  </si>
  <si>
    <t>د. توفر بطاريات الأجهزة وصلاحيتها للعمل.</t>
  </si>
  <si>
    <t>هـ. توفر ملحقات الأجهزة وصلاحيتها (لوحات المفاتيح، الأسلاك ...إلخ).</t>
  </si>
  <si>
    <t>و. توفير تعليمات التشغيل الإشارية وحمايتها.</t>
  </si>
  <si>
    <t>ز. معرفة الجميع بالنداءات والترددات وكلمات التحدي السرية.</t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</si>
  <si>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الآليـــــات.</t>
    </r>
  </si>
  <si>
    <t>أ. تحميل الآليات حسب خطة التحميل وتثبيت نسخة من الخطة في الآلية.</t>
  </si>
  <si>
    <t>ب. تخزين المواد الخطرة حسب تعليمات السلامة ووضعها في مؤخرة الآلية لسهولة الوصول والتفتيش.</t>
  </si>
  <si>
    <t>جـ. الذخيرة مصروفة ومخزنة بشكل صحيح.</t>
  </si>
  <si>
    <t>د. تعبئة خزانات الوقود.</t>
  </si>
  <si>
    <t>هـ. مطرات المياه معبأة.</t>
  </si>
  <si>
    <t>و. صرف الوجبات.</t>
  </si>
  <si>
    <t>ز. توفر صناديق الإسعافات الأولية وصلاحيتها.</t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</si>
  <si>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الأسلحة الفردية.</t>
    </r>
  </si>
  <si>
    <t>أ. نظافة وصلاحية الأسلحة وتوفر أدوات وعدة التنظيف.</t>
  </si>
  <si>
    <t>جـ. توفر بطاقات المدى.</t>
  </si>
  <si>
    <t>هـ. صرف المخازن والذخائر وحمايتها.</t>
  </si>
  <si>
    <t>و. تركيب حاصرة الغاز.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</si>
</sst>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indent="2"/>
    </xf>
    <xf numFmtId="0" fontId="12" fillId="0" borderId="3" xfId="0" applyFont="1" applyBorder="1" applyAlignment="1">
      <alignment horizontal="right" vertical="center" wrapText="1" indent="2"/>
    </xf>
    <xf numFmtId="0" fontId="12" fillId="0" borderId="11" xfId="0" applyFont="1" applyBorder="1" applyAlignment="1">
      <alignment horizontal="right" vertical="center" wrapText="1" indent="2"/>
    </xf>
    <xf numFmtId="0" fontId="12" fillId="0" borderId="12" xfId="0" applyFont="1" applyBorder="1" applyAlignment="1">
      <alignment horizontal="right" vertical="center" wrapText="1" indent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575557</xdr:colOff>
      <xdr:row>46</xdr:row>
      <xdr:rowOff>513600</xdr:rowOff>
    </xdr:from>
    <xdr:to>
      <xdr:col>8</xdr:col>
      <xdr:colOff>183856</xdr:colOff>
      <xdr:row>47</xdr:row>
      <xdr:rowOff>415948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73C34A4-85A3-2018-EFE2-D046662E95A2}"/>
                </a:ext>
              </a:extLst>
            </xdr14:cNvPr>
            <xdr14:cNvContentPartPr/>
          </xdr14:nvContentPartPr>
          <xdr14:nvPr macro=""/>
          <xdr14:xfrm>
            <a:off x="10399061053" y="18039600"/>
            <a:ext cx="924480" cy="433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73C34A4-85A3-2018-EFE2-D046662E95A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52413" y="18030600"/>
              <a:ext cx="942120" cy="451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55:10.5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328 1210 1512,'0'0'0,"31"-19"600,-2 1-200,8-2-104,-37 20-296,33-18 216,-10 13-64,0 1-24,0-1-16,-23 5-112,21-3 64,0 1 8,-3 1-32,2 0 8,-20 1-48,24-3 32,1 0-16,3-1 40,0-2-48,-28 6-8,31-6 40,4-5 8,0 7-32,0-8 0,-35 12-16,38-4 16,2-7 24,-1 6-24,0 1 0,-39 4-16,38-4 16,-7 0-16,-3 1 0,-5 1 16,-23 2-16,14-1-16,-7 1 24,-5 0 8,1-2 56,-3 2-72,0 0 72,-5 0-64,-16-1 8,-2 1-48,23 0 32,-25 0 0,-7 0 32,-3 3-8,-4 0-8,39-3-16,-42 4 16,0 0 32,1-1-24,2 0 16,39-3-40,-40 3 8,6 0 16,-3-3-16,5 0 40,32 0-48,-25 0 16,4 0-32,4-2 40,13 1-16,4 1-8,-4-2 16,-1 1-32,2-3 8,3 1 0,0 3 8,5-4-32,11-2 32,-4 0-16,4-5 0,-16 11 16,18-3 0,3-3 16,2-5-32,2 7 0,-25 4 16,28-6 0,2-5 0,1 6 8,5-6 0,-36 11-8,41-7 16,1-5 0,6 7-8,3-8 24,-51 13-32,51-4 16,2-7-16,-4 7 0,-3-1-16,-46 5 16,39-4-16,-6 0 8,-8 1 8,-7 0-16,-18 3 16,11-1-8,-8-1 8,-1 2 24,-2 0 8,0 0-32,-2-1 32,-12-2-8,0 0-24,-4 0 0,18 3 0,-23-1 0,-8-1-16,4 0 24,-3 0 8,30 2-16,-30-1 16,-2 1 8,-3 0 8,3 0-40,32 0 8,-35 0 0,5 0 8,0 0-16,1 0 32,29 0-24,-26 3 24,3-3-48,5 0 0,3 0 16,15 0 8,-13 0-24,11 0 40,-6 0 0,6-3-24,2 3 8,-2-5 0,2 1-16,0 0 16,0-2-8,0 6 8,12-13-16,-10 9 24,19-10-40,-1 8 56,6-8-32,-26 14 8,25-6 0,5-10 16,0 12-16,2-9 8,-32 13-8,37-5-24,3 0 8,-4-7-8,-36 12 24,39-4 0,1-7-8,-3 7-8,2-2 24,-4-6-16,-35 12 8,30-4 8,-1-2-8,-7-6 0,-22 12 0,20-6 16,1-7 0,-10 9 0,1-10 8,-7 8 16,-5 6-40,2-14 16,-2 1 16,-2 2-24,-15-2 0,17 13-8,-18-11 8,-8-3-32,-2-1 32,-8 3 8,36 12-16,-41-16 0,-5 2 16,-3 0-7,-2-1-18,51 15 9,-53-12 17,0 6 15,0-11-16,2 12 8,51 5-24,-46-13 24,5 7-16,8-8-16,3 1 8,30 13 0,-21-14-24,5 0 24,4-2-8,12 0-8,0 16 16,0-18-16,3-1-41,17-4 41,0-1 8,-20 24 8,27-25-8,5 0 48,10 1-40,4 1-40,-46 23 40,53-21-16,3 1 8,1 0 24,3 3-8,-60 17-8,70-14 40,-1 1-15,2 2-17,7 6 72,-78 5-80,79-11-8,0 10 16,-2-1-8,5 2-24,-82 0 24,76 3 0,4 8-40,-3 1 32,-4 4-24,-73-16 32,70 18-25,-8 3 25,-9 4-40,-5 1 32,-48-26 8,42 27-24,-6 3 0,-8 1 32,-9 0-40,-19-31 32,11 33-16,-11-3-8,-4 1 0,-15-1 24,19-30 0,-23 31 0,-13 3 0,-9-2 0,-1 2 0,46-34 0,-57 36 16,-10-2-16,2 0 16,-4-3-24,69-31 8,-76 29 8,2-5 24,-7 0-16,-2-1 8,83-23-24,-86 20 16,-6 0-16,-4-1 8,-6 1 16,102-20-24,-101 21 8,-5-1 16,-6 1-40,4-2 65,108-19-49,-112 17 16,-4-1-16,7-2 32,6 0-64,103-14 32,-92 11-57,11-7 49,9 0-24,17 1-24,55-5 56,-46 4 8,6-1-40,11-3 56,7 0-72,22 0 48,-15 0-176,10 0-240,-6 0-440,11-3-248,0 3 1104,-5-17-1248,5 17 1248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8"/>
  <sheetViews>
    <sheetView rightToLeft="1" tabSelected="1" view="pageBreakPreview" topLeftCell="A33" zoomScale="130" zoomScaleNormal="100" zoomScaleSheetLayoutView="130" workbookViewId="0">
      <selection activeCell="F33" sqref="F3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8" t="s">
        <v>180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3">
      <c r="B2" s="11" t="s">
        <v>8</v>
      </c>
      <c r="C2" s="74" t="s">
        <v>13</v>
      </c>
      <c r="D2" s="74"/>
      <c r="E2" s="11" t="s">
        <v>7</v>
      </c>
      <c r="F2" s="69">
        <v>45931</v>
      </c>
      <c r="G2" s="69"/>
      <c r="H2" s="69"/>
      <c r="I2" s="69"/>
      <c r="J2" s="69"/>
    </row>
    <row r="3" spans="1:10" ht="30" customHeight="1" x14ac:dyDescent="0.3">
      <c r="B3" s="11" t="s">
        <v>9</v>
      </c>
      <c r="C3" s="74" t="s">
        <v>71</v>
      </c>
      <c r="D3" s="74"/>
      <c r="E3" s="11" t="s">
        <v>6</v>
      </c>
      <c r="F3" s="74" t="s">
        <v>135</v>
      </c>
      <c r="G3" s="74"/>
      <c r="H3" s="74"/>
      <c r="I3" s="74"/>
      <c r="J3" s="7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70" t="s">
        <v>0</v>
      </c>
      <c r="C5" s="71"/>
      <c r="D5" s="71"/>
      <c r="E5" s="75" t="s">
        <v>1</v>
      </c>
      <c r="F5" s="75"/>
      <c r="G5" s="75"/>
      <c r="H5" s="75"/>
      <c r="I5" s="75" t="s">
        <v>2</v>
      </c>
      <c r="J5" s="76"/>
    </row>
    <row r="6" spans="1:10" ht="24.9" customHeight="1" thickBot="1" x14ac:dyDescent="0.35">
      <c r="A6" s="9"/>
      <c r="B6" s="72"/>
      <c r="C6" s="73"/>
      <c r="D6" s="73"/>
      <c r="E6" s="10" t="s">
        <v>3</v>
      </c>
      <c r="F6" s="10" t="s">
        <v>4</v>
      </c>
      <c r="G6" s="10" t="s">
        <v>23</v>
      </c>
      <c r="H6" s="10" t="s">
        <v>24</v>
      </c>
      <c r="I6" s="77"/>
      <c r="J6" s="78"/>
    </row>
    <row r="7" spans="1:10" ht="24.9" customHeight="1" thickBot="1" x14ac:dyDescent="0.35">
      <c r="A7" s="9"/>
      <c r="B7" s="79" t="s">
        <v>21</v>
      </c>
      <c r="C7" s="80"/>
      <c r="D7" s="80"/>
      <c r="E7" s="27" t="s">
        <v>18</v>
      </c>
      <c r="F7" s="27" t="s">
        <v>19</v>
      </c>
      <c r="G7" s="27" t="s">
        <v>22</v>
      </c>
      <c r="H7" s="27" t="s">
        <v>20</v>
      </c>
      <c r="I7" s="81" t="s">
        <v>25</v>
      </c>
      <c r="J7" s="82"/>
    </row>
    <row r="8" spans="1:10" ht="30" customHeight="1" x14ac:dyDescent="0.3">
      <c r="A8" s="9"/>
      <c r="B8" s="43" t="s">
        <v>181</v>
      </c>
      <c r="C8" s="44"/>
      <c r="D8" s="44"/>
      <c r="E8" s="32"/>
      <c r="F8" s="33"/>
      <c r="G8" s="34"/>
      <c r="H8" s="35"/>
      <c r="I8" s="47"/>
      <c r="J8" s="48"/>
    </row>
    <row r="9" spans="1:10" ht="30" customHeight="1" x14ac:dyDescent="0.3">
      <c r="A9" s="9"/>
      <c r="B9" s="39" t="s">
        <v>182</v>
      </c>
      <c r="C9" s="40"/>
      <c r="D9" s="40"/>
      <c r="E9" s="29">
        <v>5</v>
      </c>
      <c r="F9" s="25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0" customHeight="1" x14ac:dyDescent="0.3">
      <c r="A10" s="9"/>
      <c r="B10" s="39" t="s">
        <v>183</v>
      </c>
      <c r="C10" s="40"/>
      <c r="D10" s="40"/>
      <c r="E10" s="29">
        <v>5</v>
      </c>
      <c r="F10" s="25">
        <v>3.75</v>
      </c>
      <c r="G10" s="30">
        <f t="shared" ref="G10:G43" si="0">IFERROR(F10/E10,"")</f>
        <v>0.75</v>
      </c>
      <c r="H10" s="31" t="str">
        <f t="shared" ref="H10:H43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0" customHeight="1" thickBot="1" x14ac:dyDescent="0.35">
      <c r="A11" s="9"/>
      <c r="B11" s="41" t="s">
        <v>184</v>
      </c>
      <c r="C11" s="42"/>
      <c r="D11" s="42"/>
      <c r="E11" s="36">
        <v>5</v>
      </c>
      <c r="F11" s="26">
        <v>4</v>
      </c>
      <c r="G11" s="37">
        <f t="shared" si="0"/>
        <v>0.8</v>
      </c>
      <c r="H11" s="38" t="str">
        <f t="shared" si="1"/>
        <v>جيد جداً</v>
      </c>
      <c r="I11" s="53"/>
      <c r="J11" s="54"/>
    </row>
    <row r="12" spans="1:10" ht="30" customHeight="1" x14ac:dyDescent="0.3">
      <c r="A12" s="9"/>
      <c r="B12" s="43" t="s">
        <v>185</v>
      </c>
      <c r="C12" s="44"/>
      <c r="D12" s="44"/>
      <c r="E12" s="32"/>
      <c r="F12" s="33"/>
      <c r="G12" s="34"/>
      <c r="H12" s="35"/>
      <c r="I12" s="47"/>
      <c r="J12" s="48"/>
    </row>
    <row r="13" spans="1:10" ht="30" customHeight="1" x14ac:dyDescent="0.3">
      <c r="A13" s="9"/>
      <c r="B13" s="39" t="s">
        <v>186</v>
      </c>
      <c r="C13" s="40"/>
      <c r="D13" s="40"/>
      <c r="E13" s="29">
        <v>5</v>
      </c>
      <c r="F13" s="25">
        <v>3.75</v>
      </c>
      <c r="G13" s="30">
        <f t="shared" si="0"/>
        <v>0.75</v>
      </c>
      <c r="H13" s="31" t="str">
        <f t="shared" si="1"/>
        <v>جيد</v>
      </c>
      <c r="I13" s="45"/>
      <c r="J13" s="46"/>
    </row>
    <row r="14" spans="1:10" ht="30" customHeight="1" x14ac:dyDescent="0.3">
      <c r="A14" s="9"/>
      <c r="B14" s="39" t="s">
        <v>187</v>
      </c>
      <c r="C14" s="40"/>
      <c r="D14" s="40"/>
      <c r="E14" s="29">
        <v>5</v>
      </c>
      <c r="F14" s="25">
        <v>3.75</v>
      </c>
      <c r="G14" s="30">
        <f t="shared" si="0"/>
        <v>0.75</v>
      </c>
      <c r="H14" s="31" t="str">
        <f t="shared" si="1"/>
        <v>جيد</v>
      </c>
      <c r="I14" s="45"/>
      <c r="J14" s="46"/>
    </row>
    <row r="15" spans="1:10" ht="30" customHeight="1" x14ac:dyDescent="0.3">
      <c r="A15" s="9"/>
      <c r="B15" s="39" t="s">
        <v>188</v>
      </c>
      <c r="C15" s="40"/>
      <c r="D15" s="40"/>
      <c r="E15" s="29">
        <v>5</v>
      </c>
      <c r="F15" s="25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0" customHeight="1" x14ac:dyDescent="0.3">
      <c r="A16" s="9"/>
      <c r="B16" s="39" t="s">
        <v>189</v>
      </c>
      <c r="C16" s="40"/>
      <c r="D16" s="40"/>
      <c r="E16" s="29">
        <v>5</v>
      </c>
      <c r="F16" s="25">
        <v>3.75</v>
      </c>
      <c r="G16" s="30">
        <f t="shared" si="0"/>
        <v>0.75</v>
      </c>
      <c r="H16" s="31" t="str">
        <f t="shared" si="1"/>
        <v>جيد</v>
      </c>
      <c r="I16" s="45"/>
      <c r="J16" s="46"/>
    </row>
    <row r="17" spans="1:10" ht="30" customHeight="1" x14ac:dyDescent="0.3">
      <c r="A17" s="9"/>
      <c r="B17" s="39" t="s">
        <v>190</v>
      </c>
      <c r="C17" s="40"/>
      <c r="D17" s="40"/>
      <c r="E17" s="29">
        <v>0</v>
      </c>
      <c r="F17" s="25" t="s">
        <v>17</v>
      </c>
      <c r="G17" s="30" t="str">
        <f t="shared" si="0"/>
        <v/>
      </c>
      <c r="H17" s="31" t="str">
        <f t="shared" si="1"/>
        <v>تم الإلغاء</v>
      </c>
      <c r="I17" s="45"/>
      <c r="J17" s="46"/>
    </row>
    <row r="18" spans="1:10" ht="30" customHeight="1" x14ac:dyDescent="0.3">
      <c r="A18" s="9"/>
      <c r="B18" s="39" t="s">
        <v>191</v>
      </c>
      <c r="C18" s="40"/>
      <c r="D18" s="40"/>
      <c r="E18" s="29">
        <v>0</v>
      </c>
      <c r="F18" s="25" t="s">
        <v>17</v>
      </c>
      <c r="G18" s="30" t="str">
        <f t="shared" si="0"/>
        <v/>
      </c>
      <c r="H18" s="31" t="str">
        <f t="shared" si="1"/>
        <v>تم الإلغاء</v>
      </c>
      <c r="I18" s="45"/>
      <c r="J18" s="46"/>
    </row>
    <row r="19" spans="1:10" ht="30" customHeight="1" x14ac:dyDescent="0.3">
      <c r="A19" s="9"/>
      <c r="B19" s="39" t="s">
        <v>192</v>
      </c>
      <c r="C19" s="40"/>
      <c r="D19" s="40"/>
      <c r="E19" s="29">
        <v>5</v>
      </c>
      <c r="F19" s="25">
        <v>3.75</v>
      </c>
      <c r="G19" s="30">
        <f t="shared" si="0"/>
        <v>0.75</v>
      </c>
      <c r="H19" s="31" t="str">
        <f t="shared" si="1"/>
        <v>جيد</v>
      </c>
      <c r="I19" s="45"/>
      <c r="J19" s="46"/>
    </row>
    <row r="20" spans="1:10" ht="30" customHeight="1" x14ac:dyDescent="0.3">
      <c r="A20" s="9"/>
      <c r="B20" s="39" t="s">
        <v>193</v>
      </c>
      <c r="C20" s="40"/>
      <c r="D20" s="40"/>
      <c r="E20" s="29">
        <v>5</v>
      </c>
      <c r="F20" s="25">
        <v>3.75</v>
      </c>
      <c r="G20" s="30">
        <f t="shared" si="0"/>
        <v>0.75</v>
      </c>
      <c r="H20" s="31" t="str">
        <f t="shared" si="1"/>
        <v>جيد</v>
      </c>
      <c r="I20" s="45"/>
      <c r="J20" s="46"/>
    </row>
    <row r="21" spans="1:10" ht="30" customHeight="1" x14ac:dyDescent="0.3">
      <c r="A21" s="9"/>
      <c r="B21" s="39" t="s">
        <v>194</v>
      </c>
      <c r="C21" s="40"/>
      <c r="D21" s="40"/>
      <c r="E21" s="29">
        <v>5</v>
      </c>
      <c r="F21" s="25">
        <v>3.75</v>
      </c>
      <c r="G21" s="30">
        <f t="shared" si="0"/>
        <v>0.75</v>
      </c>
      <c r="H21" s="31" t="str">
        <f t="shared" si="1"/>
        <v>جيد</v>
      </c>
      <c r="I21" s="45"/>
      <c r="J21" s="46"/>
    </row>
    <row r="22" spans="1:10" ht="30" customHeight="1" thickBot="1" x14ac:dyDescent="0.35">
      <c r="A22" s="9"/>
      <c r="B22" s="41" t="s">
        <v>195</v>
      </c>
      <c r="C22" s="42"/>
      <c r="D22" s="42"/>
      <c r="E22" s="36">
        <v>5</v>
      </c>
      <c r="F22" s="26">
        <v>4</v>
      </c>
      <c r="G22" s="37">
        <f t="shared" si="0"/>
        <v>0.8</v>
      </c>
      <c r="H22" s="38" t="str">
        <f t="shared" si="1"/>
        <v>جيد جداً</v>
      </c>
      <c r="I22" s="53"/>
      <c r="J22" s="54"/>
    </row>
    <row r="23" spans="1:10" ht="30" customHeight="1" x14ac:dyDescent="0.3">
      <c r="A23" s="9"/>
      <c r="B23" s="43" t="s">
        <v>196</v>
      </c>
      <c r="C23" s="44"/>
      <c r="D23" s="44"/>
      <c r="E23" s="32"/>
      <c r="F23" s="33"/>
      <c r="G23" s="34"/>
      <c r="H23" s="35"/>
      <c r="I23" s="47"/>
      <c r="J23" s="48"/>
    </row>
    <row r="24" spans="1:10" ht="30" customHeight="1" x14ac:dyDescent="0.3">
      <c r="A24" s="9"/>
      <c r="B24" s="39" t="s">
        <v>197</v>
      </c>
      <c r="C24" s="40"/>
      <c r="D24" s="40"/>
      <c r="E24" s="29">
        <v>5</v>
      </c>
      <c r="F24" s="25">
        <v>4</v>
      </c>
      <c r="G24" s="30">
        <f t="shared" si="0"/>
        <v>0.8</v>
      </c>
      <c r="H24" s="31" t="str">
        <f t="shared" si="1"/>
        <v>جيد جداً</v>
      </c>
      <c r="I24" s="45"/>
      <c r="J24" s="46"/>
    </row>
    <row r="25" spans="1:10" ht="30" customHeight="1" x14ac:dyDescent="0.3">
      <c r="A25" s="9"/>
      <c r="B25" s="39" t="s">
        <v>198</v>
      </c>
      <c r="C25" s="40"/>
      <c r="D25" s="40"/>
      <c r="E25" s="29">
        <v>5</v>
      </c>
      <c r="F25" s="25">
        <v>4</v>
      </c>
      <c r="G25" s="30">
        <f t="shared" si="0"/>
        <v>0.8</v>
      </c>
      <c r="H25" s="31" t="str">
        <f t="shared" si="1"/>
        <v>جيد جداً</v>
      </c>
      <c r="I25" s="45"/>
      <c r="J25" s="46"/>
    </row>
    <row r="26" spans="1:10" ht="30" customHeight="1" x14ac:dyDescent="0.3">
      <c r="A26" s="9"/>
      <c r="B26" s="39" t="s">
        <v>199</v>
      </c>
      <c r="C26" s="40"/>
      <c r="D26" s="40"/>
      <c r="E26" s="29">
        <v>0</v>
      </c>
      <c r="F26" s="25" t="s">
        <v>17</v>
      </c>
      <c r="G26" s="30" t="str">
        <f t="shared" si="0"/>
        <v/>
      </c>
      <c r="H26" s="31" t="str">
        <f t="shared" si="1"/>
        <v>تم الإلغاء</v>
      </c>
      <c r="I26" s="45"/>
      <c r="J26" s="46"/>
    </row>
    <row r="27" spans="1:10" ht="30" customHeight="1" x14ac:dyDescent="0.3">
      <c r="A27" s="9"/>
      <c r="B27" s="39" t="s">
        <v>200</v>
      </c>
      <c r="C27" s="40"/>
      <c r="D27" s="40"/>
      <c r="E27" s="29">
        <v>5</v>
      </c>
      <c r="F27" s="25">
        <v>4</v>
      </c>
      <c r="G27" s="30">
        <f t="shared" si="0"/>
        <v>0.8</v>
      </c>
      <c r="H27" s="31" t="str">
        <f t="shared" si="1"/>
        <v>جيد جداً</v>
      </c>
      <c r="I27" s="45"/>
      <c r="J27" s="46"/>
    </row>
    <row r="28" spans="1:10" ht="30" customHeight="1" x14ac:dyDescent="0.3">
      <c r="A28" s="9"/>
      <c r="B28" s="39" t="s">
        <v>201</v>
      </c>
      <c r="C28" s="40"/>
      <c r="D28" s="40"/>
      <c r="E28" s="29">
        <v>5</v>
      </c>
      <c r="F28" s="25">
        <v>4</v>
      </c>
      <c r="G28" s="30">
        <f t="shared" si="0"/>
        <v>0.8</v>
      </c>
      <c r="H28" s="31" t="str">
        <f t="shared" si="1"/>
        <v>جيد جداً</v>
      </c>
      <c r="I28" s="45"/>
      <c r="J28" s="46"/>
    </row>
    <row r="29" spans="1:10" ht="30" customHeight="1" x14ac:dyDescent="0.3">
      <c r="A29" s="9"/>
      <c r="B29" s="39" t="s">
        <v>202</v>
      </c>
      <c r="C29" s="40"/>
      <c r="D29" s="40"/>
      <c r="E29" s="29">
        <v>5</v>
      </c>
      <c r="F29" s="25">
        <v>4</v>
      </c>
      <c r="G29" s="30">
        <f t="shared" si="0"/>
        <v>0.8</v>
      </c>
      <c r="H29" s="31" t="str">
        <f t="shared" si="1"/>
        <v>جيد جداً</v>
      </c>
      <c r="I29" s="45"/>
      <c r="J29" s="46"/>
    </row>
    <row r="30" spans="1:10" ht="30" customHeight="1" thickBot="1" x14ac:dyDescent="0.35">
      <c r="A30" s="9"/>
      <c r="B30" s="41" t="s">
        <v>203</v>
      </c>
      <c r="C30" s="42"/>
      <c r="D30" s="42"/>
      <c r="E30" s="36">
        <v>5</v>
      </c>
      <c r="F30" s="26">
        <v>3.5</v>
      </c>
      <c r="G30" s="37">
        <f t="shared" si="0"/>
        <v>0.7</v>
      </c>
      <c r="H30" s="38" t="str">
        <f t="shared" si="1"/>
        <v>جيد</v>
      </c>
      <c r="I30" s="53"/>
      <c r="J30" s="54"/>
    </row>
    <row r="31" spans="1:10" ht="30" customHeight="1" x14ac:dyDescent="0.3">
      <c r="A31" s="9"/>
      <c r="B31" s="43" t="s">
        <v>204</v>
      </c>
      <c r="C31" s="44"/>
      <c r="D31" s="44"/>
      <c r="E31" s="32"/>
      <c r="F31" s="33"/>
      <c r="G31" s="34"/>
      <c r="H31" s="35"/>
      <c r="I31" s="47"/>
      <c r="J31" s="48"/>
    </row>
    <row r="32" spans="1:10" ht="30" customHeight="1" x14ac:dyDescent="0.3">
      <c r="A32" s="9"/>
      <c r="B32" s="39" t="s">
        <v>205</v>
      </c>
      <c r="C32" s="40"/>
      <c r="D32" s="40"/>
      <c r="E32" s="29">
        <v>5</v>
      </c>
      <c r="F32" s="25">
        <v>4.25</v>
      </c>
      <c r="G32" s="30">
        <f t="shared" si="0"/>
        <v>0.85</v>
      </c>
      <c r="H32" s="31" t="str">
        <f t="shared" si="1"/>
        <v>جيد جداً</v>
      </c>
      <c r="I32" s="45"/>
      <c r="J32" s="46"/>
    </row>
    <row r="33" spans="1:10" ht="30" customHeight="1" x14ac:dyDescent="0.3">
      <c r="A33" s="9"/>
      <c r="B33" s="39" t="s">
        <v>206</v>
      </c>
      <c r="C33" s="40"/>
      <c r="D33" s="40"/>
      <c r="E33" s="29">
        <v>0</v>
      </c>
      <c r="F33" s="25" t="s">
        <v>17</v>
      </c>
      <c r="G33" s="30" t="str">
        <f t="shared" si="0"/>
        <v/>
      </c>
      <c r="H33" s="31" t="str">
        <f t="shared" si="1"/>
        <v>تم الإلغاء</v>
      </c>
      <c r="I33" s="45"/>
      <c r="J33" s="46"/>
    </row>
    <row r="34" spans="1:10" ht="30" customHeight="1" x14ac:dyDescent="0.3">
      <c r="A34" s="9"/>
      <c r="B34" s="39" t="s">
        <v>207</v>
      </c>
      <c r="C34" s="40"/>
      <c r="D34" s="40"/>
      <c r="E34" s="29">
        <v>5</v>
      </c>
      <c r="F34" s="25">
        <v>4.25</v>
      </c>
      <c r="G34" s="30">
        <f t="shared" si="0"/>
        <v>0.85</v>
      </c>
      <c r="H34" s="31" t="str">
        <f t="shared" si="1"/>
        <v>جيد جداً</v>
      </c>
      <c r="I34" s="45"/>
      <c r="J34" s="46"/>
    </row>
    <row r="35" spans="1:10" ht="30" customHeight="1" x14ac:dyDescent="0.3">
      <c r="A35" s="9"/>
      <c r="B35" s="39" t="s">
        <v>208</v>
      </c>
      <c r="C35" s="40"/>
      <c r="D35" s="40"/>
      <c r="E35" s="29">
        <v>5</v>
      </c>
      <c r="F35" s="25">
        <v>4</v>
      </c>
      <c r="G35" s="30">
        <f t="shared" si="0"/>
        <v>0.8</v>
      </c>
      <c r="H35" s="31" t="str">
        <f t="shared" si="1"/>
        <v>جيد جداً</v>
      </c>
      <c r="I35" s="45"/>
      <c r="J35" s="46"/>
    </row>
    <row r="36" spans="1:10" ht="30" customHeight="1" x14ac:dyDescent="0.3">
      <c r="A36" s="9"/>
      <c r="B36" s="39" t="s">
        <v>209</v>
      </c>
      <c r="C36" s="40"/>
      <c r="D36" s="40"/>
      <c r="E36" s="29">
        <v>5</v>
      </c>
      <c r="F36" s="25">
        <v>4</v>
      </c>
      <c r="G36" s="30">
        <f t="shared" si="0"/>
        <v>0.8</v>
      </c>
      <c r="H36" s="31" t="str">
        <f t="shared" si="1"/>
        <v>جيد جداً</v>
      </c>
      <c r="I36" s="45"/>
      <c r="J36" s="46"/>
    </row>
    <row r="37" spans="1:10" ht="30" customHeight="1" x14ac:dyDescent="0.3">
      <c r="A37" s="9"/>
      <c r="B37" s="39" t="s">
        <v>210</v>
      </c>
      <c r="C37" s="40"/>
      <c r="D37" s="40"/>
      <c r="E37" s="29">
        <v>5</v>
      </c>
      <c r="F37" s="25">
        <v>3.75</v>
      </c>
      <c r="G37" s="30">
        <f t="shared" si="0"/>
        <v>0.75</v>
      </c>
      <c r="H37" s="31" t="str">
        <f t="shared" si="1"/>
        <v>جيد</v>
      </c>
      <c r="I37" s="45"/>
      <c r="J37" s="46"/>
    </row>
    <row r="38" spans="1:10" ht="30" customHeight="1" thickBot="1" x14ac:dyDescent="0.35">
      <c r="A38" s="9"/>
      <c r="B38" s="41" t="s">
        <v>211</v>
      </c>
      <c r="C38" s="42"/>
      <c r="D38" s="42"/>
      <c r="E38" s="36">
        <v>5</v>
      </c>
      <c r="F38" s="26">
        <v>3.75</v>
      </c>
      <c r="G38" s="37">
        <f t="shared" si="0"/>
        <v>0.75</v>
      </c>
      <c r="H38" s="38" t="str">
        <f t="shared" si="1"/>
        <v>جيد</v>
      </c>
      <c r="I38" s="53"/>
      <c r="J38" s="54"/>
    </row>
    <row r="39" spans="1:10" ht="30" customHeight="1" x14ac:dyDescent="0.3">
      <c r="A39" s="9"/>
      <c r="B39" s="43" t="s">
        <v>212</v>
      </c>
      <c r="C39" s="44"/>
      <c r="D39" s="44"/>
      <c r="E39" s="32"/>
      <c r="F39" s="33"/>
      <c r="G39" s="34"/>
      <c r="H39" s="35"/>
      <c r="I39" s="47"/>
      <c r="J39" s="48"/>
    </row>
    <row r="40" spans="1:10" ht="30" customHeight="1" x14ac:dyDescent="0.3">
      <c r="A40" s="9"/>
      <c r="B40" s="39" t="s">
        <v>213</v>
      </c>
      <c r="C40" s="40"/>
      <c r="D40" s="40"/>
      <c r="E40" s="29">
        <v>5</v>
      </c>
      <c r="F40" s="25">
        <v>4.25</v>
      </c>
      <c r="G40" s="30">
        <f t="shared" si="0"/>
        <v>0.85</v>
      </c>
      <c r="H40" s="31" t="str">
        <f t="shared" si="1"/>
        <v>جيد جداً</v>
      </c>
      <c r="I40" s="45"/>
      <c r="J40" s="46"/>
    </row>
    <row r="41" spans="1:10" ht="30" customHeight="1" x14ac:dyDescent="0.3">
      <c r="A41" s="9"/>
      <c r="B41" s="39" t="s">
        <v>214</v>
      </c>
      <c r="C41" s="40"/>
      <c r="D41" s="40"/>
      <c r="E41" s="29">
        <v>5</v>
      </c>
      <c r="F41" s="25">
        <v>4.25</v>
      </c>
      <c r="G41" s="30">
        <f t="shared" si="0"/>
        <v>0.85</v>
      </c>
      <c r="H41" s="31" t="str">
        <f t="shared" si="1"/>
        <v>جيد جداً</v>
      </c>
      <c r="I41" s="45"/>
      <c r="J41" s="46"/>
    </row>
    <row r="42" spans="1:10" ht="30" customHeight="1" x14ac:dyDescent="0.3">
      <c r="A42" s="9"/>
      <c r="B42" s="39" t="s">
        <v>215</v>
      </c>
      <c r="C42" s="40"/>
      <c r="D42" s="40"/>
      <c r="E42" s="29">
        <v>5</v>
      </c>
      <c r="F42" s="25">
        <v>4.25</v>
      </c>
      <c r="G42" s="30">
        <f t="shared" si="0"/>
        <v>0.85</v>
      </c>
      <c r="H42" s="31" t="str">
        <f t="shared" si="1"/>
        <v>جيد جداً</v>
      </c>
      <c r="I42" s="45"/>
      <c r="J42" s="46"/>
    </row>
    <row r="43" spans="1:10" ht="30" customHeight="1" thickBot="1" x14ac:dyDescent="0.35">
      <c r="A43" s="9"/>
      <c r="B43" s="41" t="s">
        <v>216</v>
      </c>
      <c r="C43" s="42"/>
      <c r="D43" s="42"/>
      <c r="E43" s="36">
        <v>5</v>
      </c>
      <c r="F43" s="26">
        <v>4.25</v>
      </c>
      <c r="G43" s="37">
        <f t="shared" si="0"/>
        <v>0.85</v>
      </c>
      <c r="H43" s="38" t="str">
        <f t="shared" si="1"/>
        <v>جيد جداً</v>
      </c>
      <c r="I43" s="53"/>
      <c r="J43" s="54"/>
    </row>
    <row r="44" spans="1:10" ht="30" customHeight="1" thickBot="1" x14ac:dyDescent="0.35">
      <c r="A44" s="4"/>
      <c r="B44" s="49" t="s">
        <v>5</v>
      </c>
      <c r="C44" s="50"/>
      <c r="D44" s="50"/>
      <c r="E44" s="28">
        <f>SUM(E8:E43)</f>
        <v>135</v>
      </c>
      <c r="F44" s="28">
        <f>SUM(F8:F43)</f>
        <v>106.25</v>
      </c>
      <c r="G44" s="65"/>
      <c r="H44" s="66"/>
      <c r="I44" s="66"/>
      <c r="J44" s="67"/>
    </row>
    <row r="45" spans="1:10" ht="30" customHeight="1" thickBot="1" x14ac:dyDescent="0.35">
      <c r="A45" s="4"/>
      <c r="B45" s="51" t="s">
        <v>54</v>
      </c>
      <c r="C45" s="52"/>
      <c r="D45" s="52"/>
      <c r="E45" s="61">
        <f>F44/E44/100*100</f>
        <v>0.78703703703703709</v>
      </c>
      <c r="F45" s="61"/>
      <c r="G45" s="61"/>
      <c r="H45" s="61"/>
      <c r="I45" s="61"/>
      <c r="J45" s="62"/>
    </row>
    <row r="46" spans="1:10" ht="30" customHeight="1" thickBot="1" x14ac:dyDescent="0.35">
      <c r="A46" s="4"/>
      <c r="B46" s="51" t="s">
        <v>55</v>
      </c>
      <c r="C46" s="52"/>
      <c r="D46" s="52"/>
      <c r="E46" s="59" t="str">
        <f>_xlfn.IFS(E45&gt;=90%,"ممتاز",E45&gt;=80%,"جيد جداً",E45&gt;=70%,"جيد",E45&gt;=60%,"مقبول",E45&lt;60%,"راسب")</f>
        <v>جيد</v>
      </c>
      <c r="F46" s="59"/>
      <c r="G46" s="59"/>
      <c r="H46" s="59"/>
      <c r="I46" s="59"/>
      <c r="J46" s="60"/>
    </row>
    <row r="47" spans="1:10" ht="42" customHeight="1" x14ac:dyDescent="0.3">
      <c r="B47" s="55" t="s">
        <v>174</v>
      </c>
      <c r="C47" s="55"/>
      <c r="D47" s="55"/>
      <c r="E47" s="63" t="s">
        <v>52</v>
      </c>
      <c r="F47" s="63"/>
      <c r="G47" s="57" t="s">
        <v>135</v>
      </c>
      <c r="H47" s="57"/>
      <c r="I47" s="57"/>
      <c r="J47" s="57"/>
    </row>
    <row r="48" spans="1:10" ht="51" customHeight="1" x14ac:dyDescent="0.3">
      <c r="A48" s="5"/>
      <c r="B48" s="56"/>
      <c r="C48" s="56"/>
      <c r="D48" s="56"/>
      <c r="E48" s="64" t="s">
        <v>53</v>
      </c>
      <c r="F48" s="64"/>
      <c r="G48" s="58"/>
      <c r="H48" s="58"/>
      <c r="I48" s="58"/>
      <c r="J48" s="5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3">
    <mergeCell ref="B7:D7"/>
    <mergeCell ref="I38:J38"/>
    <mergeCell ref="I39:J39"/>
    <mergeCell ref="I30:J30"/>
    <mergeCell ref="I31:J31"/>
    <mergeCell ref="I37:J37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6:J26"/>
    <mergeCell ref="B1:J1"/>
    <mergeCell ref="F2:J2"/>
    <mergeCell ref="B5:D6"/>
    <mergeCell ref="C2:D2"/>
    <mergeCell ref="C3:D3"/>
    <mergeCell ref="F3:J3"/>
    <mergeCell ref="E5:H5"/>
    <mergeCell ref="I5:J6"/>
    <mergeCell ref="B47:D48"/>
    <mergeCell ref="G47:J47"/>
    <mergeCell ref="G48:J48"/>
    <mergeCell ref="E46:J46"/>
    <mergeCell ref="I40:J40"/>
    <mergeCell ref="I41:J41"/>
    <mergeCell ref="I42:J42"/>
    <mergeCell ref="I43:J43"/>
    <mergeCell ref="E45:J45"/>
    <mergeCell ref="E47:F47"/>
    <mergeCell ref="E48:F48"/>
    <mergeCell ref="G44:J44"/>
    <mergeCell ref="B43:D43"/>
    <mergeCell ref="B46:D46"/>
    <mergeCell ref="B40:D40"/>
    <mergeCell ref="B41:D4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I35:J35"/>
    <mergeCell ref="I36:J36"/>
    <mergeCell ref="I8:J8"/>
    <mergeCell ref="B44:D44"/>
    <mergeCell ref="B45:D45"/>
    <mergeCell ref="I9:J9"/>
    <mergeCell ref="B18:D18"/>
    <mergeCell ref="B19:D19"/>
    <mergeCell ref="I32:J32"/>
    <mergeCell ref="I33:J33"/>
    <mergeCell ref="I34:J34"/>
    <mergeCell ref="B13:D13"/>
    <mergeCell ref="B14:D14"/>
    <mergeCell ref="B15:D15"/>
    <mergeCell ref="B16:D16"/>
    <mergeCell ref="B17:D17"/>
    <mergeCell ref="B8:D8"/>
    <mergeCell ref="B9:D9"/>
    <mergeCell ref="B10:D10"/>
    <mergeCell ref="B11:D11"/>
    <mergeCell ref="B12:D12"/>
    <mergeCell ref="B42:D42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5:D25"/>
    <mergeCell ref="B20:D20"/>
    <mergeCell ref="B21:D21"/>
    <mergeCell ref="B22:D22"/>
    <mergeCell ref="B23:D23"/>
    <mergeCell ref="B24:D2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6">
    <cfRule type="expression" dxfId="14" priority="57">
      <formula>$E46="راسب"</formula>
    </cfRule>
  </conditionalFormatting>
  <conditionalFormatting sqref="E46:J46">
    <cfRule type="expression" dxfId="13" priority="58">
      <formula>$E46="مقبول"</formula>
    </cfRule>
    <cfRule type="expression" dxfId="12" priority="59">
      <formula>$E46="جيد"</formula>
    </cfRule>
    <cfRule type="expression" dxfId="11" priority="60">
      <formula>$E46="جيد جداً"</formula>
    </cfRule>
    <cfRule type="expression" dxfId="10" priority="61">
      <formula>$E46="ممتاز"</formula>
    </cfRule>
  </conditionalFormatting>
  <conditionalFormatting sqref="F8:F4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7:J47">
    <cfRule type="containsText" dxfId="6" priority="15" operator="containsText" text="أدخل اسم المحكم">
      <formula>NOT(ISERROR(SEARCH("أدخل اسم المحكم",G47)))</formula>
    </cfRule>
  </conditionalFormatting>
  <conditionalFormatting sqref="H8:H4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F9:F11 F13:F22 F24:F30 F32:F38 F40:F43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G47:J47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2025-10-07T18:13:42Z</dcterms:modified>
</cp:coreProperties>
</file>