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4881087-7C30-4448-84DB-9AEE8F5ABC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 s="1"/>
  <c r="G15" i="2"/>
  <c r="H15" i="2" s="1"/>
  <c r="G16" i="2"/>
  <c r="H16" i="2" s="1"/>
  <c r="G17" i="2"/>
  <c r="H17" i="2"/>
  <c r="G18" i="2"/>
  <c r="H18" i="2"/>
  <c r="G19" i="2"/>
  <c r="H19" i="2"/>
  <c r="G20" i="2"/>
  <c r="H20" i="2"/>
  <c r="G21" i="2"/>
  <c r="H21" i="2" s="1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 s="1"/>
  <c r="G42" i="2"/>
  <c r="H42" i="2" s="1"/>
  <c r="G43" i="2"/>
  <c r="H43" i="2" s="1"/>
  <c r="G44" i="2"/>
  <c r="H44" i="2"/>
  <c r="G45" i="2"/>
  <c r="H45" i="2"/>
  <c r="G46" i="2"/>
  <c r="H46" i="2"/>
  <c r="G48" i="2"/>
  <c r="H48" i="2" s="1"/>
  <c r="G49" i="2"/>
  <c r="H49" i="2"/>
  <c r="G50" i="2"/>
  <c r="H50" i="2" s="1"/>
  <c r="G51" i="2"/>
  <c r="H51" i="2" s="1"/>
  <c r="F52" i="2"/>
  <c r="E52" i="2"/>
  <c r="E53" i="2" s="1"/>
  <c r="E54" i="2" s="1"/>
</calcChain>
</file>

<file path=xl/sharedStrings.xml><?xml version="1.0" encoding="utf-8"?>
<sst xmlns="http://schemas.openxmlformats.org/spreadsheetml/2006/main" count="293" uniqueCount="225">
  <si>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</si>
  <si>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</si>
  <si>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</si>
  <si>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</si>
  <si>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</si>
  <si>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</si>
  <si>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</si>
  <si>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</si>
  <si>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</si>
  <si>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</si>
  <si>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</si>
  <si>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</si>
  <si>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</si>
  <si>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</si>
  <si>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</si>
  <si>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</si>
  <si>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</si>
  <si>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</si>
  <si>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</si>
  <si>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</si>
  <si>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</si>
  <si>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</si>
  <si>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</si>
  <si>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</si>
  <si>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</si>
  <si>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</si>
  <si>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</si>
  <si>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</si>
  <si>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</si>
  <si>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</si>
  <si>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</si>
  <si>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</si>
  <si>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</si>
  <si>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</si>
  <si>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</si>
  <si>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</si>
  <si>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</si>
  <si>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</si>
  <si>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</si>
  <si>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</si>
  <si>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</si>
  <si>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</si>
  <si>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</si>
  <si>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</si>
  <si>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</si>
  <si>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</si>
  <si>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</si>
  <si>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</si>
  <si>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</si>
  <si>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</si>
  <si>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</si>
  <si>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</si>
  <si>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</si>
  <si>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</si>
  <si>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</si>
  <si>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</si>
  <si>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</si>
  <si>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</si>
  <si>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</si>
  <si>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</si>
  <si>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</si>
  <si>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</si>
  <si>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</si>
  <si>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</si>
  <si>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</si>
  <si>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</si>
  <si>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</si>
  <si>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</si>
  <si>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</si>
  <si>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</si>
  <si>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</si>
  <si>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</si>
  <si>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</si>
  <si>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</si>
  <si>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</si>
  <si>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</si>
  <si>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</si>
  <si>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</si>
  <si>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</si>
  <si>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</si>
  <si>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</si>
  <si>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</si>
  <si>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</si>
  <si>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</si>
  <si>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</si>
  <si>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</si>
  <si>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</si>
  <si>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</si>
  <si>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</si>
  <si>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</si>
  <si>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</si>
  <si>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</si>
  <si>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</si>
  <si>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</si>
  <si>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</si>
  <si>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</si>
  <si>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</si>
  <si>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</si>
  <si>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</si>
  <si>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</si>
  <si>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</si>
  <si>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</si>
  <si>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</si>
  <si>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</si>
  <si>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</si>
  <si>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</si>
  <si>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</si>
  <si>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</si>
  <si>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</si>
  <si>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</si>
  <si>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</si>
  <si>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</si>
  <si>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</si>
  <si>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</si>
  <si>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</si>
  <si>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</si>
  <si>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</si>
  <si>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</si>
  <si>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</si>
  <si>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</si>
  <si>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</si>
  <si>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</si>
  <si>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</si>
  <si>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</si>
  <si>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</si>
  <si>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</si>
  <si>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</si>
  <si>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</si>
  <si>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</si>
  <si>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</si>
  <si>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</si>
  <si>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</si>
  <si>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</si>
  <si>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</si>
  <si>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</si>
  <si>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</si>
  <si>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</si>
  <si>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</si>
  <si>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</si>
  <si>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</si>
  <si>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</si>
  <si>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</si>
  <si>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</si>
  <si>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</si>
  <si>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</si>
  <si>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</si>
  <si>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</si>
  <si>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</si>
  <si>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</si>
  <si>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</si>
  <si>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</si>
  <si>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</si>
  <si>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</si>
  <si>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</si>
  <si>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</si>
  <si>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</si>
  <si>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</si>
  <si>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</si>
  <si>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</si>
  <si>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</si>
  <si>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</si>
  <si>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</si>
  <si>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</si>
  <si>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</si>
  <si>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</si>
  <si>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</si>
  <si>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</si>
  <si>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</si>
  <si>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</si>
  <si>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</si>
  <si>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</si>
  <si>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</si>
  <si>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</si>
  <si>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</si>
  <si>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</si>
  <si>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</si>
  <si>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</si>
  <si>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</si>
  <si>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</si>
  <si>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</si>
  <si>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التحضيرات وخطط التحميل القتالية لسرية الإشارة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</si>
  <si>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التجهيزات.</t>
    </r>
  </si>
  <si>
    <t>أ. تجهيز الآليات.</t>
  </si>
  <si>
    <t>ب. تجهيز أنظمة الآليات.</t>
  </si>
  <si>
    <t>جـ. تجهيز أجهزة الاتصال.</t>
  </si>
  <si>
    <t>د. تجهيز الأسلحة.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</si>
  <si>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متفرقة.</t>
    </r>
  </si>
  <si>
    <t>أ. تفقد المناظير.</t>
  </si>
  <si>
    <t>ب. تفقد شبكة التمويه والتخفية وأنظمة الإسناد.</t>
  </si>
  <si>
    <t>جـ. تفقد أجهزة الرؤية الليلية.</t>
  </si>
  <si>
    <t>د. التأكد من وجود البطاريات وصلاحيتها.</t>
  </si>
  <si>
    <t>هـ. توفر معدات التخييم.</t>
  </si>
  <si>
    <t>و. توفر أنظمة تحديد المواقع العالمية والأنظمة الرقمية الأخرى.</t>
  </si>
  <si>
    <t>ز. توفر قوائم التحميل.</t>
  </si>
  <si>
    <t>ح. توفر خرائط الطرق (مع الشفافات).</t>
  </si>
  <si>
    <t>ط. توفر جميع المعدات في الآلية.</t>
  </si>
  <si>
    <t>ي. توفر السجلات وتحديثها.</t>
  </si>
  <si>
    <t>ك. جميع السائقين مرخص لهم بالقيادة.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</si>
  <si>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الاتصالات.</t>
    </r>
  </si>
  <si>
    <t>أ. استكمال جميع المتطلبات من الأجهزة اللاسلكية وصلاحيتها للعمل.</t>
  </si>
  <si>
    <t>ب. معدات الاتصالات الطبية متوفرة وصالحة.</t>
  </si>
  <si>
    <t>جـ. صلاحية معدات الاتصالات وعلى الترددات الصحيحة.</t>
  </si>
  <si>
    <t>د. تثبيت الهوائيات بطريقة صحيحة.</t>
  </si>
  <si>
    <t>هـ. نظافة وصلاحية الموصلات.</t>
  </si>
  <si>
    <t>و. توفر الهواتف الميدانية وصلاحيتها.</t>
  </si>
  <si>
    <t>ز. توفر البطاريات وصلاحيتها.</t>
  </si>
  <si>
    <t>ح. توفر مجموعات الأجهزة اللاسلكية كاملة.</t>
  </si>
  <si>
    <t>ط. توفر لوحات المفاتيح وصلاحيتها.</t>
  </si>
  <si>
    <t>ي. توفر أسلاك الاتصالات وصلاحيتها.</t>
  </si>
  <si>
    <t>ك. تجهيز تعليمات تشغيل الإشارة وحمايتها.</t>
  </si>
  <si>
    <t>ل. إطلاع السرية على النداءات والترددات وكلمات التحدي.</t>
  </si>
  <si>
    <t>م. اختبار الاتصالات.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</si>
  <si>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الآليـــــات.</t>
    </r>
  </si>
  <si>
    <t>أ. تحميل الآليات حسب خطة التحميل وتثبيت نسخة من الخطة في الآلية.</t>
  </si>
  <si>
    <t>ب. تخزين المواد الخطرة حسب تعليمات السلامة ووضعها في مؤخرة الآلية لسهولة الوصول والتفتيش.</t>
  </si>
  <si>
    <t>جـ. الذخيرة مصروفة ومخزنة بشكل صحيح.</t>
  </si>
  <si>
    <t>د. تعبئة خزانات الوقود.</t>
  </si>
  <si>
    <t>هـ. مطرات المياه معبأة.</t>
  </si>
  <si>
    <t>و. صرف الوجبات.</t>
  </si>
  <si>
    <t>ز. توفر صناديق الإسعافات الأولية وصلاحيتها.</t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</si>
  <si>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الأسلحة الفردية.</t>
    </r>
  </si>
  <si>
    <t>أ. نظافة وصلاحية الأسلحة وتوفر أدوات وعدة التنظيف.</t>
  </si>
  <si>
    <t>جـ. توفر بطاقات المدى.</t>
  </si>
  <si>
    <t>هـ. صرف المخازن والذخائر وحمايتها.</t>
  </si>
  <si>
    <t>و. تركيب حاصرة الغاز.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</si>
</sst>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 wrapText="1" readingOrder="2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9" fontId="3" fillId="0" borderId="17" xfId="0" applyNumberFormat="1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1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>
      <alignment horizontal="center" vertical="center" wrapText="1" readingOrder="2"/>
    </xf>
    <xf numFmtId="0" fontId="12" fillId="0" borderId="12" xfId="0" applyFont="1" applyBorder="1" applyAlignment="1">
      <alignment horizontal="right" vertical="center" wrapText="1" indent="2"/>
    </xf>
    <xf numFmtId="0" fontId="12" fillId="0" borderId="13" xfId="0" applyFont="1" applyBorder="1" applyAlignment="1">
      <alignment horizontal="right" vertical="center" wrapText="1" indent="2"/>
    </xf>
    <xf numFmtId="0" fontId="12" fillId="0" borderId="26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2" fillId="0" borderId="15" xfId="0" applyFont="1" applyBorder="1" applyAlignment="1">
      <alignment horizontal="right" vertical="center" wrapText="1" readingOrder="2"/>
    </xf>
    <xf numFmtId="0" fontId="2" fillId="0" borderId="11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12" fillId="0" borderId="27" xfId="0" applyFont="1" applyBorder="1" applyAlignment="1">
      <alignment horizontal="right" vertical="center" wrapText="1" indent="2"/>
    </xf>
    <xf numFmtId="0" fontId="12" fillId="0" borderId="17" xfId="0" applyFont="1" applyBorder="1" applyAlignment="1">
      <alignment horizontal="right" vertical="center" wrapText="1" indent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175590</xdr:colOff>
      <xdr:row>55</xdr:row>
      <xdr:rowOff>117988</xdr:rowOff>
    </xdr:from>
    <xdr:to>
      <xdr:col>6</xdr:col>
      <xdr:colOff>202950</xdr:colOff>
      <xdr:row>55</xdr:row>
      <xdr:rowOff>188908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F617D0C-0DB2-29D4-C64B-4937A43D21E7}"/>
                </a:ext>
              </a:extLst>
            </xdr14:cNvPr>
            <xdr14:cNvContentPartPr/>
          </xdr14:nvContentPartPr>
          <xdr14:nvPr macro=""/>
          <xdr14:xfrm>
            <a:off x="10400358140" y="21223080"/>
            <a:ext cx="27360" cy="70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F617D0C-0DB2-29D4-C64B-4937A43D21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352020" y="21216960"/>
              <a:ext cx="3960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144630</xdr:colOff>
      <xdr:row>55</xdr:row>
      <xdr:rowOff>449908</xdr:rowOff>
    </xdr:from>
    <xdr:to>
      <xdr:col>6</xdr:col>
      <xdr:colOff>149310</xdr:colOff>
      <xdr:row>55</xdr:row>
      <xdr:rowOff>451348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063D646-9EB8-2641-EAD1-0B3104AF4CEF}"/>
                </a:ext>
              </a:extLst>
            </xdr14:cNvPr>
            <xdr14:cNvContentPartPr/>
          </xdr14:nvContentPartPr>
          <xdr14:nvPr macro=""/>
          <xdr14:xfrm>
            <a:off x="10400411780" y="21555000"/>
            <a:ext cx="4680" cy="1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063D646-9EB8-2641-EAD1-0B3104AF4CE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405660" y="21548880"/>
              <a:ext cx="169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171630</xdr:colOff>
      <xdr:row>55</xdr:row>
      <xdr:rowOff>129508</xdr:rowOff>
    </xdr:from>
    <xdr:to>
      <xdr:col>6</xdr:col>
      <xdr:colOff>197910</xdr:colOff>
      <xdr:row>55</xdr:row>
      <xdr:rowOff>171988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B682C25-8C1C-F968-BFF2-CCFDC1E67A0A}"/>
                </a:ext>
              </a:extLst>
            </xdr14:cNvPr>
            <xdr14:cNvContentPartPr/>
          </xdr14:nvContentPartPr>
          <xdr14:nvPr macro=""/>
          <xdr14:xfrm>
            <a:off x="10400363180" y="21234600"/>
            <a:ext cx="26280" cy="42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B682C25-8C1C-F968-BFF2-CCFDC1E67A0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0357060" y="21228480"/>
              <a:ext cx="385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150750</xdr:colOff>
      <xdr:row>55</xdr:row>
      <xdr:rowOff>370348</xdr:rowOff>
    </xdr:from>
    <xdr:to>
      <xdr:col>6</xdr:col>
      <xdr:colOff>216990</xdr:colOff>
      <xdr:row>55</xdr:row>
      <xdr:rowOff>386548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083EF6E-34E7-FCC1-2D2D-0BC691C670AF}"/>
                </a:ext>
              </a:extLst>
            </xdr14:cNvPr>
            <xdr14:cNvContentPartPr/>
          </xdr14:nvContentPartPr>
          <xdr14:nvPr macro=""/>
          <xdr14:xfrm>
            <a:off x="10400344100" y="21475440"/>
            <a:ext cx="66240" cy="162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083EF6E-34E7-FCC1-2D2D-0BC691C670A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337980" y="21469320"/>
              <a:ext cx="7848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129870</xdr:colOff>
      <xdr:row>55</xdr:row>
      <xdr:rowOff>122668</xdr:rowOff>
    </xdr:from>
    <xdr:to>
      <xdr:col>6</xdr:col>
      <xdr:colOff>202230</xdr:colOff>
      <xdr:row>55</xdr:row>
      <xdr:rowOff>425428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8518B7E-5B42-FD98-01A1-DE924A3A507E}"/>
                </a:ext>
              </a:extLst>
            </xdr14:cNvPr>
            <xdr14:cNvContentPartPr/>
          </xdr14:nvContentPartPr>
          <xdr14:nvPr macro=""/>
          <xdr14:xfrm>
            <a:off x="10400358860" y="21227760"/>
            <a:ext cx="72360" cy="3027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8518B7E-5B42-FD98-01A1-DE924A3A507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352740" y="21221640"/>
              <a:ext cx="8460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170550</xdr:colOff>
      <xdr:row>55</xdr:row>
      <xdr:rowOff>65068</xdr:rowOff>
    </xdr:from>
    <xdr:to>
      <xdr:col>6</xdr:col>
      <xdr:colOff>215190</xdr:colOff>
      <xdr:row>55</xdr:row>
      <xdr:rowOff>153988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0771D3E-C2F3-9CC5-6966-AB53C2013BCE}"/>
                </a:ext>
              </a:extLst>
            </xdr14:cNvPr>
            <xdr14:cNvContentPartPr/>
          </xdr14:nvContentPartPr>
          <xdr14:nvPr macro=""/>
          <xdr14:xfrm>
            <a:off x="10400345900" y="21170160"/>
            <a:ext cx="44640" cy="889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0771D3E-C2F3-9CC5-6966-AB53C2013BC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00339780" y="21164040"/>
              <a:ext cx="5688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246870</xdr:colOff>
      <xdr:row>55</xdr:row>
      <xdr:rowOff>215548</xdr:rowOff>
    </xdr:from>
    <xdr:to>
      <xdr:col>7</xdr:col>
      <xdr:colOff>48140</xdr:colOff>
      <xdr:row>55</xdr:row>
      <xdr:rowOff>456028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6E7FFDB-AD7E-22D4-7F61-0A2A09DB6B19}"/>
                </a:ext>
              </a:extLst>
            </xdr14:cNvPr>
            <xdr14:cNvContentPartPr/>
          </xdr14:nvContentPartPr>
          <xdr14:nvPr macro=""/>
          <xdr14:xfrm>
            <a:off x="10399854860" y="21320640"/>
            <a:ext cx="459360" cy="2404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6E7FFDB-AD7E-22D4-7F61-0A2A09DB6B19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399848740" y="21314520"/>
              <a:ext cx="47160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200780</xdr:colOff>
      <xdr:row>55</xdr:row>
      <xdr:rowOff>301228</xdr:rowOff>
    </xdr:from>
    <xdr:to>
      <xdr:col>7</xdr:col>
      <xdr:colOff>292220</xdr:colOff>
      <xdr:row>55</xdr:row>
      <xdr:rowOff>508228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9AD3319-175A-F8D2-A4E6-E1DDA854A32A}"/>
                </a:ext>
              </a:extLst>
            </xdr14:cNvPr>
            <xdr14:cNvContentPartPr/>
          </xdr14:nvContentPartPr>
          <xdr14:nvPr macro=""/>
          <xdr14:xfrm>
            <a:off x="10399610780" y="21406320"/>
            <a:ext cx="91440" cy="2070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9AD3319-175A-F8D2-A4E6-E1DDA854A32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399604660" y="21400200"/>
              <a:ext cx="10368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216630</xdr:colOff>
      <xdr:row>55</xdr:row>
      <xdr:rowOff>57868</xdr:rowOff>
    </xdr:from>
    <xdr:to>
      <xdr:col>8</xdr:col>
      <xdr:colOff>24729</xdr:colOff>
      <xdr:row>55</xdr:row>
      <xdr:rowOff>484108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F4956B4-C2A3-B96C-3B5C-F2BE2FED7114}"/>
                </a:ext>
              </a:extLst>
            </xdr14:cNvPr>
            <xdr14:cNvContentPartPr/>
          </xdr14:nvContentPartPr>
          <xdr14:nvPr macro=""/>
          <xdr14:xfrm>
            <a:off x="10399220180" y="21162960"/>
            <a:ext cx="1124280" cy="426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F4956B4-C2A3-B96C-3B5C-F2BE2FED711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399214060" y="21156840"/>
              <a:ext cx="1136520" cy="43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0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75 197 1136,'0'0'0,"0"-4"1488,0-2-72,0 6-1416,0-14 721,0 8-337,0-8-120,-5 10 128,5 4-392,-2-14 600,-3 9 312,0-6 224,3 7 113,2 4-1249,-5-13 1320,0 9-48,2-9-96,-4 7-71,7 6-1105,-12-14 960,10 8-152,-1-7-80,-1 9-176,4 4-552,-5-13 304,2 9-256,-1-2-400,1 1-728,3 5 1080,0-5-1504,0 1-1713,0 1 320,0 2 353,0 1 2544,0 0-2081,5 0 1025,-3 0 120,1 11 184,-3-11 752,5 12-896,-5-12 896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0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0 7793,'0'0'0,"0"0"0,-12 3-5057,12-3 5057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1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73 117 4873,'0'0'0,"0"0"0,0-5 880,0-6-232,-3 7 336,3-10 336,-2 8 161,2 6-1481,0-14 1560,-2 8-136,-3-7-87,0 9-97,5 4-1240,-5-13 968,0 9-240,1-2-416,4 6-312,-10-5-128,5 0-472,-2 2-584,7 1-1313,0 2 2497,-7-2-4921,-5 2-1280,12 0 6201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1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45 2048,'0'0'0,"0"0"0,3-2 2689,-3 1 1543,0 0-1847,-3-1-513,-9 2-695,12 0-1177,-2-1 616,-6-1-136,-4 1-120,8 1-136,4 0-224,-15 0 208,10 0-104,1 0 24,-8 0 16,12 0-144,-3 0 160,-9 0 48,5 0-8,-5 0 120,12 0-320,-12 0 16,9 0-88,-9-2-160,3 1-368,9 1 600,-7-4-632,-5 1 736,0 1 608,12 1-976,0 1 264,-5-6-3233,5-9-5481,0 15 8714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6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92 129 2096,'0'0'0,"0"-5"1672,0 1-1040,0-2-271,0 6-361,0-4 552,0 0 288,0 0 328,0-1 120,0 5-1288,0-2 1289,0-1-89,0 0-48,0-1-16,0 4-1136,0-3 1065,-2 0-49,-1 0-56,3-1-72,0 4-888,-5-4 848,3-1-63,0-6-65,-3 7-16,5 4-704,-5-6 696,0 0-64,0-5-16,3 7-72,2 4-544,-7-5 512,2 0-31,0 0-57,0 3-64,5 2-360,-5-2 320,-2 1-24,5 1-128,-1 0 24,3 0-192,-2 0 104,0 0-24,-3 3 40,5-1-24,0-2-96,-3 3 128,3 2 32,-2 6 24,0-11-40,2 0-144,0 13 248,0-9-64,4 10 8,6-2 40,-10-12-232,5 14 208,4 0 32,-6 6-23,11 1 23,-14-21-240,5 23 168,12 5 8,-5 2 8,0 3-24,-12-33-160,17 35 216,-3 1-24,1 2-24,-3 1-72,-12-39-96,2 41 16,15-1-16,-15 0-16,3-2 56,-5-38-40,12 35 80,-12 1-96,5-3 64,-3-3-96,-2-30 48,0 29-64,0-3 80,5-3-48,-5-2 24,0-21 8,0 16-48,-5-2 48,3-10-96,-3 9 112,5-13-16,-5 0 16,1 3-32,1-3-56,1 0 24,2 0 48,-3 0-120,-1 0-48,1 0-56,1 0-216,2 0 440,0-2-368,-3 1-225,-1-2-47,1 0-272,3 3 912,-2-1-1360,-3-2-633,0 0-1815,0-8-1978,5 11 5786,0-26-5233,0 11-1144,0 15 6377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6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78 3128,'0'0'0,"0"-4"1184,0 4-1184,2-4 296,3-1-143,-5 3 143,0-3 208,0 5-504,0-2 792,2-3 336,-2 1 144,3-2-7,-3 6-1265,0-4 1232,0 0-192,0 0-136,0-1-152,0 5-752,0-3 633,0 1-57,-3 0-104,1 1-40,2 1-432,-2-3 392,-1 0-72,3 2-8,0-1-16,0 2-296,0-1 288,0-1-56,0 1 16,0-1-32,0 2-216,-2 0 160,2-1-56,0 1-15,0 0-17,0 0-72,-3 0 8,-4 0 56,5 3-88,-3 0-72,5-3 96,0 4 32,-5 10-64,3-9 136,2 10 8,0-15-112,0 13 16,0-2 40,0-6-80,5 12 0,-5-17 24,2 4 48,3 9-24,-3-9 0,10 0 24,-12-4-48,0 13-8,15-13 8,-13 3 32,10 0-16,-12-3-16,3 0 0,-1 0 0,10 0 64,-12 0 16,0 0-80,2 0 56,3 0-32,-5 0-80,0 0-16,0 0 72,0 0 40,-5 0-56,3 3-96,2-3 112,-5 0-80,-7 4 56,7 0 48,-7 7 120,12-11-144,-2 3 24,-10 2-32,7 9-16,-7-10-16,12-4 40,-7 13-40,-5-9 16,5 10 24,-3-9-80,10-5 80,-5 11-112,3-8-465,-1 1-815,-1 0-1801,4-4 3193,0 3-3768,0 0-3362,0-3 7130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7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1140 36 8521,'0'0'0,"0"-6"2985,4-6-264,-4 12-2721,2-4 1840,-2-1-480,0 0-280,0 4-327,0 1-753,-2-2 656,2 1-200,-2 1-192,2 0-128,0 0-136,0 0 80,-2 4-16,-3 8 80,-9-8 48,14-4-192,0 16 152,-4-2-24,-3 0-24,4 3-24,3-17-80,-2 19 24,-1-1 56,1 3-80,2-1-24,0-20 24,0 17-40,2 0-24,3-2 0,0-3 8,-5-12 56,9 12-24,-5-8-40,9 0 8,-9 1-48,-4-5 104,16 2-128,-2-2-40,-5 0-32,5-1-16,-14 1 216,9-4-192,-2-2 56,2-5 72,-9 6 48,0 5 16,3-5 16,-3 0 8,0 1-24,0 3 8,0 1-8,0-2 16,-3 2 0,-10 0 56,3 12 32,10-12-104,-16 4 136,2 13 40,0-4-48,-4 1 0,18-14-128,-18 16 120,1-1-32,1 2-24,3-2-48,13-15-16,-15 12-104,7-7 80,0 9 32,-4-11 8,12-3-16,-1 4 72,-11 7-40,7-11-8,0 0 24,5 0-48,-3 0 56,-2 0 8,0-3-80,0-1 32,5 4-16,-11-11 16,9 7-48,-3-12 8,-6 5 24,11 11 0,-5-13-104,0 0 56,-7 2 32,11 5-32,1 6 48,-5-13-40,-7 12 0,7-2-8,-6 1-16,6 2 88,5 0-24,-15 5-24,0 10 8,2 0 0,2 0 16,11-15 0,-12 17-48,-4-1 32,1-1-176,2 3 208,13-18-16,-12 15-24,8-1 0,-10-1 152,9-9-168,5-4 40,-4 15 64,-6-12-40,3 1 24,3 0-32,4-4-16,-2 3 40,-3-3 0,3 0 24,-1 0 24,3 0-88,-4-3 72,1-1 0,-1-9-8,0 9-64,4 4 0,-3-14 0,-2 2 8,3 6-32,-3-9 40,5 15-16,-13-12-56,10 8-24,-8-9 8,6 9-48,5 4 120,-7-4-48,5 2-40,-9 2 0,6 0 32,5 0 56,-14 5-72,12 10 16,-15-3 48,6 1-24,11-13 32,-12 15 0,-1 1 32,3 1-96,4 0 24,6-17 40,-12 17-88,7-3 48,-6-1 16,4 0-40,7-13 64,-11 4-16,8 9-96,-4-10 80,5-1 120,2-2-88,-5 0-16,-1 0-8,-4 0 24,8 0-16,2 0 16,-5 0-32,-1-4-48,1-7-168,0 5-128,5 6 376,-2-13-464,-6 9 39,-3-10 65,7 8-64,4 6 424,-11-14-168,6 10 40,-7-8 48,1 11 16,11 1 64,-5-3-80,-8 2-8,0 1 24,4 4 64,9-4 0,-14 14 48,3 2 0,-3 1 0,-2 3 128,16-20-176,-14 20 104,0-2-24,3-1 0,-1-1 32,12-16-112,-11 14 80,-1 0 40,1-2-16,4-1-80,7-11-24,-14 4 72,10 8 72,-11-12-32,4 4 16,11-4-128,-9 4 137,-2-1-137,-1 0 48,-2 0-144,14-3 96,-14 0-145,-2 0-327,5 0-856,-6 0-1609,17 0 2937,-13 0-3944,-2-2 679,2-1-1976,13 3 5241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8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45 11082,'0'0'0,"-17"-2"2704,17 2-2704,-19-1 1849,0-3-353,2 1-264,12-3-199,5 6-1033,-15-5 1024,11-7-256,-11 11-8,15-3-88,0 4-672,-5-3 536,5 1-127,0 1-249,0 1 144,0 0-304,0 0-80,0 4 104,3 12 72,-1-2-152,-2-14 56,5 21 192,7 3-96,-7 6-64,14 3 88,-19-33-120,19 33-24,1 4-8,1 4 88,-2-1-136,-19-40 80,17 38-32,0-1 32,0-4-200,2-2-240,-19-31 440,15 28-889,-3-1-439,0-2-600,-7-3-1361,-5-22 3289,14 17-4753,-14 6-1552,0-23 6305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7:39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674 683 8497,'0'0'0,"-4"0"2529,-5 0-617,4 0-399,5 0-1513,-5 0 1192,-8 0-280,10 0-272,-4 2-56,7-2-584,-5 0 432,5 0-120,0 3 57,0 0 15,0-3-384,0 3 408,0 0 40,12 1-72,-9 7-48,-3-11-328,8 5 360,-3 10-128,14-1-72,-5 4-72,-14-18-88,20 19-120,16 21 72,1-3-8,-4-6 48,-33-31 8,25 25 0,-2-3 64,-5 1-16,-3-3-80,-15-20 32,16 18 112,-2-2-152,-9-3 16,4-9 48,-9-4-24,0 13 96,0-10-48,0 0 8,0 1 136,0-4-192,-5 4-120,-9-1 240,2-3 184,-6 0-240,18 0-64,-21 0 176,-9-1-112,0-4-64,13 1 144,17 4-144,-21-11 160,3 8 16,-4-10-144,-1 7-160,23 6 128,-23-18-8,3 4-104,-6-3 88,1-3 200,25 20-176,-22-22 0,-1 0 16,2-1-64,-4-1-80,25 24 128,-23-24-96,-1 1 96,1 0 40,-3 3-24,26 20-16,-23-18 8,3 2 72,3 3-40,3 2-64,14 11 24,-4-6 0,-8-5-24,9 7 32,1-1 48,2 5-56,-2-5 56,2-1-88,0-5-56,4 6 72,-4 5 16,15-11 24,-6 0 8,5-1-48,0-2-88,-14 14 104,21-14-16,-1-3 40,6-2 32,-1-1-16,-25 20-40,33-21-24,2-3-48,3 0 48,0-2 64,-38 26-40,48-33-64,35-21 88,-7 6-40,-8 5-24,-68 43 40,51-29 16,5 2-16,4 1 40,3 3 40,-63 23-80,65-21-16,-2 1-24,-3 2 72,6-1-32,-66 19 0,60-18 8,2 1-48,-1 4 176,-1 1-280,-60 12 144,56-4-40,0-2 104,2 2-320,0 0 256,-58 4 0,65-4-48,1 2-32,0 2 80,4 0 56,-70 0-56,67 3-72,1 8-32,0-6 48,-6 9-8,-62-14 64,67 13 0,-8-1-40,-1 3-48,-7-3-32,-51-12 120,48 13-80,-3 0 32,-4-2-8,-3 1 40,-38-12 16,32 11-72,-4 2 16,0 0 32,-7-2-16,-21-11 40,16 12-80,3-1 8,-7 0-48,-8-6-88,-4-5 208,9 15-48,-6-11 0,-1 9-56,3-10 80,-5-3 24,5 11-96,-3-8 96,0 2-32,2 6 80,-4-11-48,10 0-40,-10 4-136,5 8 24,6-12 0,-11 0 152,0 4-160,2 7 48,0-8 56,1 1-168,-3-4 224,5 15-88,-5-11 32,0 10 16,0-3-32,0-11 72,0 5-64,0 10 16,0-10 88,-3 9-32,3-14-8,0 4-8,-5 9 16,1-9-96,0 9 112,4-13-24,-7 4 40,-5 9-24,7-10-32,-11 10 32,16-13-16,-14 4 24,0 9-24,-9-9-16,2 10 40,21-14-24,-28 4 16,-4 12 16,4-12 72,-5 12-120,33-16 16,-37 4 40,-3 15-40,-6-7 0,-3 1 0,49-13 0,-51 13-104,-4 0 136,-6 0-72,-2-1 136,63-12-96,-70 15 192,-2-1-80,-6 0 24,-3-1-80,81-13-56,-86 14 80,-5 2 56,-7 1-56,-2 3 32,100-20-112,-103 20 88,-1-1 16,0 1-160,-1 0 120,105-20-64,-97 22 24,-4 2-120,8 0 128,1 1 24,92-25-56,-45 13 72,-8 4 32,2-1 48,-10 2-48,61-18-104,-58 19-24,-9 1 0,7-2 24,-10 4-56,70-22 56,-68 18-24,8-2 16,6-1-72,6-2-64,48-13 144,-42 4-72,5 12-72,7-13-40,7 1-112,23-4 296,-21 3-504,6 0-344,2-3-529,8 0-871,5 0 2248,-5 0-3649,1-4 256,4-2 745,0-7-1713,0 13 4361,0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6"/>
  <sheetViews>
    <sheetView rightToLeft="1" tabSelected="1" view="pageBreakPreview" topLeftCell="A46" zoomScale="130" zoomScaleNormal="100" zoomScaleSheetLayoutView="130" workbookViewId="0">
      <selection activeCell="E48" sqref="E4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81" t="s">
        <v>180</v>
      </c>
      <c r="C1" s="81"/>
      <c r="D1" s="81"/>
      <c r="E1" s="81"/>
      <c r="F1" s="81"/>
      <c r="G1" s="81"/>
      <c r="H1" s="81"/>
      <c r="I1" s="81"/>
      <c r="J1" s="81"/>
    </row>
    <row r="2" spans="1:10" ht="30" customHeight="1" x14ac:dyDescent="0.3">
      <c r="B2" s="13" t="s">
        <v>8</v>
      </c>
      <c r="C2" s="87" t="s">
        <v>44</v>
      </c>
      <c r="D2" s="87"/>
      <c r="E2" s="13" t="s">
        <v>7</v>
      </c>
      <c r="F2" s="82">
        <v>45929</v>
      </c>
      <c r="G2" s="82"/>
      <c r="H2" s="82"/>
      <c r="I2" s="82"/>
      <c r="J2" s="82"/>
    </row>
    <row r="3" spans="1:10" ht="30" customHeight="1" x14ac:dyDescent="0.3">
      <c r="B3" s="13" t="s">
        <v>9</v>
      </c>
      <c r="C3" s="87" t="s">
        <v>85</v>
      </c>
      <c r="D3" s="87"/>
      <c r="E3" s="13" t="s">
        <v>6</v>
      </c>
      <c r="F3" s="87" t="s">
        <v>122</v>
      </c>
      <c r="G3" s="87"/>
      <c r="H3" s="87"/>
      <c r="I3" s="87"/>
      <c r="J3" s="8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3" t="s">
        <v>0</v>
      </c>
      <c r="C5" s="84"/>
      <c r="D5" s="84"/>
      <c r="E5" s="94" t="s">
        <v>1</v>
      </c>
      <c r="F5" s="94"/>
      <c r="G5" s="94"/>
      <c r="H5" s="94"/>
      <c r="I5" s="94" t="s">
        <v>2</v>
      </c>
      <c r="J5" s="95"/>
    </row>
    <row r="6" spans="1:10" ht="24.9" customHeight="1" thickBot="1" x14ac:dyDescent="0.35">
      <c r="A6" s="11"/>
      <c r="B6" s="85"/>
      <c r="C6" s="86"/>
      <c r="D6" s="86"/>
      <c r="E6" s="12" t="s">
        <v>3</v>
      </c>
      <c r="F6" s="12" t="s">
        <v>4</v>
      </c>
      <c r="G6" s="12" t="s">
        <v>23</v>
      </c>
      <c r="H6" s="12" t="s">
        <v>24</v>
      </c>
      <c r="I6" s="96"/>
      <c r="J6" s="97"/>
    </row>
    <row r="7" spans="1:10" ht="24.9" customHeight="1" thickBot="1" x14ac:dyDescent="0.35">
      <c r="A7" s="11"/>
      <c r="B7" s="90" t="s">
        <v>21</v>
      </c>
      <c r="C7" s="91"/>
      <c r="D7" s="91"/>
      <c r="E7" s="30" t="s">
        <v>18</v>
      </c>
      <c r="F7" s="30" t="s">
        <v>19</v>
      </c>
      <c r="G7" s="30" t="s">
        <v>22</v>
      </c>
      <c r="H7" s="30" t="s">
        <v>20</v>
      </c>
      <c r="I7" s="98" t="s">
        <v>25</v>
      </c>
      <c r="J7" s="99"/>
    </row>
    <row r="8" spans="1:10" ht="30" customHeight="1" x14ac:dyDescent="0.3">
      <c r="A8" s="11"/>
      <c r="B8" s="54" t="s">
        <v>181</v>
      </c>
      <c r="C8" s="55"/>
      <c r="D8" s="55"/>
      <c r="E8" s="35"/>
      <c r="F8" s="36"/>
      <c r="G8" s="37"/>
      <c r="H8" s="38"/>
      <c r="I8" s="58"/>
      <c r="J8" s="59"/>
    </row>
    <row r="9" spans="1:10" ht="30" customHeight="1" x14ac:dyDescent="0.3">
      <c r="A9" s="11"/>
      <c r="B9" s="50" t="s">
        <v>182</v>
      </c>
      <c r="C9" s="51"/>
      <c r="D9" s="51"/>
      <c r="E9" s="32">
        <v>5</v>
      </c>
      <c r="F9" s="27">
        <v>4</v>
      </c>
      <c r="G9" s="33">
        <f>IFERROR(F9/E9,"")</f>
        <v>0.8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6"/>
      <c r="J9" s="57"/>
    </row>
    <row r="10" spans="1:10" ht="30" customHeight="1" x14ac:dyDescent="0.3">
      <c r="A10" s="11"/>
      <c r="B10" s="50" t="s">
        <v>183</v>
      </c>
      <c r="C10" s="51"/>
      <c r="D10" s="51"/>
      <c r="E10" s="32">
        <v>5</v>
      </c>
      <c r="F10" s="27">
        <v>4</v>
      </c>
      <c r="G10" s="33">
        <f t="shared" ref="G10:G51" si="0">IFERROR(F10/E10,"")</f>
        <v>0.8</v>
      </c>
      <c r="H10" s="34" t="str">
        <f t="shared" ref="H10:H5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6"/>
      <c r="J10" s="57"/>
    </row>
    <row r="11" spans="1:10" ht="30" customHeight="1" x14ac:dyDescent="0.3">
      <c r="A11" s="11"/>
      <c r="B11" s="50" t="s">
        <v>184</v>
      </c>
      <c r="C11" s="51"/>
      <c r="D11" s="51"/>
      <c r="E11" s="32">
        <v>5</v>
      </c>
      <c r="F11" s="27">
        <v>4</v>
      </c>
      <c r="G11" s="33">
        <f t="shared" si="0"/>
        <v>0.8</v>
      </c>
      <c r="H11" s="34" t="str">
        <f t="shared" si="1"/>
        <v>جيد جداً</v>
      </c>
      <c r="I11" s="56"/>
      <c r="J11" s="57"/>
    </row>
    <row r="12" spans="1:10" ht="30" customHeight="1" thickBot="1" x14ac:dyDescent="0.35">
      <c r="A12" s="11"/>
      <c r="B12" s="48" t="s">
        <v>185</v>
      </c>
      <c r="C12" s="49"/>
      <c r="D12" s="49"/>
      <c r="E12" s="39">
        <v>5</v>
      </c>
      <c r="F12" s="29">
        <v>3.75</v>
      </c>
      <c r="G12" s="40">
        <f t="shared" si="0"/>
        <v>0.75</v>
      </c>
      <c r="H12" s="41" t="str">
        <f t="shared" si="1"/>
        <v>جيد</v>
      </c>
      <c r="I12" s="64"/>
      <c r="J12" s="65"/>
    </row>
    <row r="13" spans="1:10" ht="30" customHeight="1" x14ac:dyDescent="0.3">
      <c r="A13" s="11"/>
      <c r="B13" s="54" t="s">
        <v>186</v>
      </c>
      <c r="C13" s="55"/>
      <c r="D13" s="55"/>
      <c r="E13" s="35"/>
      <c r="F13" s="36"/>
      <c r="G13" s="37"/>
      <c r="H13" s="38"/>
      <c r="I13" s="58"/>
      <c r="J13" s="59"/>
    </row>
    <row r="14" spans="1:10" ht="30" customHeight="1" x14ac:dyDescent="0.3">
      <c r="A14" s="11"/>
      <c r="B14" s="50" t="s">
        <v>187</v>
      </c>
      <c r="C14" s="51"/>
      <c r="D14" s="51"/>
      <c r="E14" s="32">
        <v>0</v>
      </c>
      <c r="F14" s="27" t="s">
        <v>17</v>
      </c>
      <c r="G14" s="33" t="str">
        <f t="shared" si="0"/>
        <v/>
      </c>
      <c r="H14" s="34" t="str">
        <f t="shared" si="1"/>
        <v>تم الإلغاء</v>
      </c>
      <c r="I14" s="56"/>
      <c r="J14" s="57"/>
    </row>
    <row r="15" spans="1:10" ht="30" customHeight="1" x14ac:dyDescent="0.3">
      <c r="A15" s="11"/>
      <c r="B15" s="50" t="s">
        <v>188</v>
      </c>
      <c r="C15" s="51"/>
      <c r="D15" s="51"/>
      <c r="E15" s="32">
        <v>0</v>
      </c>
      <c r="F15" s="27" t="s">
        <v>17</v>
      </c>
      <c r="G15" s="33" t="str">
        <f t="shared" si="0"/>
        <v/>
      </c>
      <c r="H15" s="34" t="str">
        <f t="shared" si="1"/>
        <v>تم الإلغاء</v>
      </c>
      <c r="I15" s="56"/>
      <c r="J15" s="57"/>
    </row>
    <row r="16" spans="1:10" ht="30" customHeight="1" x14ac:dyDescent="0.3">
      <c r="A16" s="11"/>
      <c r="B16" s="50" t="s">
        <v>189</v>
      </c>
      <c r="C16" s="51"/>
      <c r="D16" s="51"/>
      <c r="E16" s="32">
        <v>0</v>
      </c>
      <c r="F16" s="27" t="s">
        <v>17</v>
      </c>
      <c r="G16" s="33" t="str">
        <f t="shared" si="0"/>
        <v/>
      </c>
      <c r="H16" s="34" t="str">
        <f t="shared" si="1"/>
        <v>تم الإلغاء</v>
      </c>
      <c r="I16" s="56"/>
      <c r="J16" s="57"/>
    </row>
    <row r="17" spans="1:10" ht="30" customHeight="1" x14ac:dyDescent="0.3">
      <c r="A17" s="11"/>
      <c r="B17" s="50" t="s">
        <v>190</v>
      </c>
      <c r="C17" s="51"/>
      <c r="D17" s="51"/>
      <c r="E17" s="32">
        <v>5</v>
      </c>
      <c r="F17" s="27">
        <v>3.75</v>
      </c>
      <c r="G17" s="33">
        <f t="shared" si="0"/>
        <v>0.75</v>
      </c>
      <c r="H17" s="34" t="str">
        <f t="shared" si="1"/>
        <v>جيد</v>
      </c>
      <c r="I17" s="56"/>
      <c r="J17" s="57"/>
    </row>
    <row r="18" spans="1:10" ht="30" customHeight="1" x14ac:dyDescent="0.3">
      <c r="A18" s="11"/>
      <c r="B18" s="50" t="s">
        <v>191</v>
      </c>
      <c r="C18" s="51"/>
      <c r="D18" s="51"/>
      <c r="E18" s="32">
        <v>0</v>
      </c>
      <c r="F18" s="27" t="s">
        <v>17</v>
      </c>
      <c r="G18" s="33" t="str">
        <f t="shared" si="0"/>
        <v/>
      </c>
      <c r="H18" s="34" t="str">
        <f t="shared" si="1"/>
        <v>تم الإلغاء</v>
      </c>
      <c r="I18" s="56"/>
      <c r="J18" s="57"/>
    </row>
    <row r="19" spans="1:10" ht="30" customHeight="1" x14ac:dyDescent="0.3">
      <c r="A19" s="11"/>
      <c r="B19" s="50" t="s">
        <v>192</v>
      </c>
      <c r="C19" s="51"/>
      <c r="D19" s="51"/>
      <c r="E19" s="32">
        <v>5</v>
      </c>
      <c r="F19" s="27">
        <v>3.5</v>
      </c>
      <c r="G19" s="33">
        <f t="shared" si="0"/>
        <v>0.7</v>
      </c>
      <c r="H19" s="34" t="str">
        <f t="shared" si="1"/>
        <v>جيد</v>
      </c>
      <c r="I19" s="56"/>
      <c r="J19" s="57"/>
    </row>
    <row r="20" spans="1:10" ht="30" customHeight="1" x14ac:dyDescent="0.3">
      <c r="A20" s="11"/>
      <c r="B20" s="50" t="s">
        <v>193</v>
      </c>
      <c r="C20" s="51"/>
      <c r="D20" s="51"/>
      <c r="E20" s="32">
        <v>5</v>
      </c>
      <c r="F20" s="27">
        <v>3.75</v>
      </c>
      <c r="G20" s="33">
        <f t="shared" si="0"/>
        <v>0.75</v>
      </c>
      <c r="H20" s="34" t="str">
        <f t="shared" si="1"/>
        <v>جيد</v>
      </c>
      <c r="I20" s="56"/>
      <c r="J20" s="57"/>
    </row>
    <row r="21" spans="1:10" ht="30" customHeight="1" x14ac:dyDescent="0.3">
      <c r="A21" s="11"/>
      <c r="B21" s="50" t="s">
        <v>194</v>
      </c>
      <c r="C21" s="51"/>
      <c r="D21" s="51"/>
      <c r="E21" s="32">
        <v>0</v>
      </c>
      <c r="F21" s="27" t="s">
        <v>17</v>
      </c>
      <c r="G21" s="33" t="str">
        <f t="shared" si="0"/>
        <v/>
      </c>
      <c r="H21" s="34" t="str">
        <f t="shared" si="1"/>
        <v>تم الإلغاء</v>
      </c>
      <c r="I21" s="56"/>
      <c r="J21" s="57"/>
    </row>
    <row r="22" spans="1:10" ht="30" customHeight="1" x14ac:dyDescent="0.3">
      <c r="A22" s="11"/>
      <c r="B22" s="50" t="s">
        <v>195</v>
      </c>
      <c r="C22" s="51"/>
      <c r="D22" s="51"/>
      <c r="E22" s="32">
        <v>5</v>
      </c>
      <c r="F22" s="27">
        <v>3.75</v>
      </c>
      <c r="G22" s="33">
        <f t="shared" si="0"/>
        <v>0.75</v>
      </c>
      <c r="H22" s="34" t="str">
        <f t="shared" si="1"/>
        <v>جيد</v>
      </c>
      <c r="I22" s="56"/>
      <c r="J22" s="57"/>
    </row>
    <row r="23" spans="1:10" ht="30" customHeight="1" x14ac:dyDescent="0.3">
      <c r="A23" s="11"/>
      <c r="B23" s="50" t="s">
        <v>196</v>
      </c>
      <c r="C23" s="51"/>
      <c r="D23" s="51"/>
      <c r="E23" s="32">
        <v>5</v>
      </c>
      <c r="F23" s="27">
        <v>4</v>
      </c>
      <c r="G23" s="33">
        <f t="shared" si="0"/>
        <v>0.8</v>
      </c>
      <c r="H23" s="34" t="str">
        <f t="shared" si="1"/>
        <v>جيد جداً</v>
      </c>
      <c r="I23" s="56"/>
      <c r="J23" s="57"/>
    </row>
    <row r="24" spans="1:10" ht="30" customHeight="1" thickBot="1" x14ac:dyDescent="0.35">
      <c r="A24" s="11"/>
      <c r="B24" s="48" t="s">
        <v>197</v>
      </c>
      <c r="C24" s="49"/>
      <c r="D24" s="49"/>
      <c r="E24" s="39">
        <v>5</v>
      </c>
      <c r="F24" s="29">
        <v>3.75</v>
      </c>
      <c r="G24" s="40">
        <f t="shared" si="0"/>
        <v>0.75</v>
      </c>
      <c r="H24" s="41" t="str">
        <f t="shared" si="1"/>
        <v>جيد</v>
      </c>
      <c r="I24" s="64"/>
      <c r="J24" s="65"/>
    </row>
    <row r="25" spans="1:10" ht="30" customHeight="1" x14ac:dyDescent="0.3">
      <c r="A25" s="11"/>
      <c r="B25" s="54" t="s">
        <v>198</v>
      </c>
      <c r="C25" s="55"/>
      <c r="D25" s="55"/>
      <c r="E25" s="35"/>
      <c r="F25" s="36"/>
      <c r="G25" s="37"/>
      <c r="H25" s="38"/>
      <c r="I25" s="58"/>
      <c r="J25" s="59"/>
    </row>
    <row r="26" spans="1:10" ht="30" customHeight="1" x14ac:dyDescent="0.3">
      <c r="A26" s="11"/>
      <c r="B26" s="50" t="s">
        <v>199</v>
      </c>
      <c r="C26" s="51"/>
      <c r="D26" s="51"/>
      <c r="E26" s="32">
        <v>5</v>
      </c>
      <c r="F26" s="27">
        <v>4</v>
      </c>
      <c r="G26" s="33">
        <f t="shared" si="0"/>
        <v>0.8</v>
      </c>
      <c r="H26" s="34" t="str">
        <f t="shared" si="1"/>
        <v>جيد جداً</v>
      </c>
      <c r="I26" s="56"/>
      <c r="J26" s="57"/>
    </row>
    <row r="27" spans="1:10" ht="30" customHeight="1" x14ac:dyDescent="0.3">
      <c r="A27" s="11"/>
      <c r="B27" s="50" t="s">
        <v>200</v>
      </c>
      <c r="C27" s="51"/>
      <c r="D27" s="51"/>
      <c r="E27" s="32">
        <v>5</v>
      </c>
      <c r="F27" s="27">
        <v>3.75</v>
      </c>
      <c r="G27" s="33">
        <f t="shared" si="0"/>
        <v>0.75</v>
      </c>
      <c r="H27" s="34" t="str">
        <f t="shared" si="1"/>
        <v>جيد</v>
      </c>
      <c r="I27" s="56"/>
      <c r="J27" s="57"/>
    </row>
    <row r="28" spans="1:10" ht="30" customHeight="1" x14ac:dyDescent="0.3">
      <c r="A28" s="11"/>
      <c r="B28" s="50" t="s">
        <v>201</v>
      </c>
      <c r="C28" s="51"/>
      <c r="D28" s="51"/>
      <c r="E28" s="32">
        <v>5</v>
      </c>
      <c r="F28" s="27">
        <v>4</v>
      </c>
      <c r="G28" s="33">
        <f t="shared" si="0"/>
        <v>0.8</v>
      </c>
      <c r="H28" s="34" t="str">
        <f t="shared" si="1"/>
        <v>جيد جداً</v>
      </c>
      <c r="I28" s="56"/>
      <c r="J28" s="57"/>
    </row>
    <row r="29" spans="1:10" ht="30" customHeight="1" x14ac:dyDescent="0.3">
      <c r="A29" s="11"/>
      <c r="B29" s="50" t="s">
        <v>202</v>
      </c>
      <c r="C29" s="51"/>
      <c r="D29" s="51"/>
      <c r="E29" s="32">
        <v>5</v>
      </c>
      <c r="F29" s="27">
        <v>3.75</v>
      </c>
      <c r="G29" s="33">
        <f t="shared" si="0"/>
        <v>0.75</v>
      </c>
      <c r="H29" s="34" t="str">
        <f t="shared" si="1"/>
        <v>جيد</v>
      </c>
      <c r="I29" s="56"/>
      <c r="J29" s="57"/>
    </row>
    <row r="30" spans="1:10" ht="30" customHeight="1" x14ac:dyDescent="0.3">
      <c r="A30" s="11"/>
      <c r="B30" s="50" t="s">
        <v>203</v>
      </c>
      <c r="C30" s="51"/>
      <c r="D30" s="51"/>
      <c r="E30" s="32">
        <v>5</v>
      </c>
      <c r="F30" s="27">
        <v>3.75</v>
      </c>
      <c r="G30" s="33">
        <f t="shared" si="0"/>
        <v>0.75</v>
      </c>
      <c r="H30" s="34" t="str">
        <f t="shared" si="1"/>
        <v>جيد</v>
      </c>
      <c r="I30" s="56"/>
      <c r="J30" s="57"/>
    </row>
    <row r="31" spans="1:10" ht="30" customHeight="1" x14ac:dyDescent="0.3">
      <c r="A31" s="11"/>
      <c r="B31" s="50" t="s">
        <v>204</v>
      </c>
      <c r="C31" s="51"/>
      <c r="D31" s="51"/>
      <c r="E31" s="32">
        <v>5</v>
      </c>
      <c r="F31" s="27">
        <v>3.75</v>
      </c>
      <c r="G31" s="33">
        <f t="shared" si="0"/>
        <v>0.75</v>
      </c>
      <c r="H31" s="34" t="str">
        <f t="shared" si="1"/>
        <v>جيد</v>
      </c>
      <c r="I31" s="56"/>
      <c r="J31" s="57"/>
    </row>
    <row r="32" spans="1:10" ht="30" customHeight="1" x14ac:dyDescent="0.3">
      <c r="A32" s="11"/>
      <c r="B32" s="50" t="s">
        <v>205</v>
      </c>
      <c r="C32" s="51"/>
      <c r="D32" s="51"/>
      <c r="E32" s="32">
        <v>5</v>
      </c>
      <c r="F32" s="27">
        <v>3.75</v>
      </c>
      <c r="G32" s="33">
        <f t="shared" si="0"/>
        <v>0.75</v>
      </c>
      <c r="H32" s="34" t="str">
        <f t="shared" si="1"/>
        <v>جيد</v>
      </c>
      <c r="I32" s="56"/>
      <c r="J32" s="57"/>
    </row>
    <row r="33" spans="1:10" ht="30" customHeight="1" x14ac:dyDescent="0.3">
      <c r="A33" s="11"/>
      <c r="B33" s="50" t="s">
        <v>206</v>
      </c>
      <c r="C33" s="51"/>
      <c r="D33" s="51"/>
      <c r="E33" s="32">
        <v>5</v>
      </c>
      <c r="F33" s="27">
        <v>4</v>
      </c>
      <c r="G33" s="33">
        <f t="shared" si="0"/>
        <v>0.8</v>
      </c>
      <c r="H33" s="34" t="str">
        <f t="shared" si="1"/>
        <v>جيد جداً</v>
      </c>
      <c r="I33" s="56"/>
      <c r="J33" s="57"/>
    </row>
    <row r="34" spans="1:10" ht="30" customHeight="1" x14ac:dyDescent="0.3">
      <c r="A34" s="11"/>
      <c r="B34" s="50" t="s">
        <v>207</v>
      </c>
      <c r="C34" s="51"/>
      <c r="D34" s="51"/>
      <c r="E34" s="32">
        <v>5</v>
      </c>
      <c r="F34" s="27">
        <v>3.75</v>
      </c>
      <c r="G34" s="33">
        <f t="shared" si="0"/>
        <v>0.75</v>
      </c>
      <c r="H34" s="34" t="str">
        <f t="shared" si="1"/>
        <v>جيد</v>
      </c>
      <c r="I34" s="56"/>
      <c r="J34" s="57"/>
    </row>
    <row r="35" spans="1:10" ht="30" customHeight="1" x14ac:dyDescent="0.3">
      <c r="A35" s="11"/>
      <c r="B35" s="50" t="s">
        <v>208</v>
      </c>
      <c r="C35" s="51"/>
      <c r="D35" s="51"/>
      <c r="E35" s="32">
        <v>5</v>
      </c>
      <c r="F35" s="27">
        <v>4</v>
      </c>
      <c r="G35" s="33">
        <f t="shared" si="0"/>
        <v>0.8</v>
      </c>
      <c r="H35" s="34" t="str">
        <f t="shared" si="1"/>
        <v>جيد جداً</v>
      </c>
      <c r="I35" s="56"/>
      <c r="J35" s="57"/>
    </row>
    <row r="36" spans="1:10" ht="30" customHeight="1" x14ac:dyDescent="0.3">
      <c r="A36" s="11"/>
      <c r="B36" s="50" t="s">
        <v>209</v>
      </c>
      <c r="C36" s="51"/>
      <c r="D36" s="51"/>
      <c r="E36" s="32">
        <v>5</v>
      </c>
      <c r="F36" s="27">
        <v>3.75</v>
      </c>
      <c r="G36" s="33">
        <f t="shared" si="0"/>
        <v>0.75</v>
      </c>
      <c r="H36" s="34" t="str">
        <f t="shared" si="1"/>
        <v>جيد</v>
      </c>
      <c r="I36" s="56"/>
      <c r="J36" s="57"/>
    </row>
    <row r="37" spans="1:10" ht="30" customHeight="1" x14ac:dyDescent="0.3">
      <c r="A37" s="11"/>
      <c r="B37" s="50" t="s">
        <v>210</v>
      </c>
      <c r="C37" s="51"/>
      <c r="D37" s="51"/>
      <c r="E37" s="32">
        <v>5</v>
      </c>
      <c r="F37" s="27">
        <v>3.75</v>
      </c>
      <c r="G37" s="33">
        <f t="shared" si="0"/>
        <v>0.75</v>
      </c>
      <c r="H37" s="34" t="str">
        <f t="shared" si="1"/>
        <v>جيد</v>
      </c>
      <c r="I37" s="56"/>
      <c r="J37" s="57"/>
    </row>
    <row r="38" spans="1:10" ht="30" customHeight="1" thickBot="1" x14ac:dyDescent="0.35">
      <c r="A38" s="11"/>
      <c r="B38" s="48" t="s">
        <v>211</v>
      </c>
      <c r="C38" s="49"/>
      <c r="D38" s="49"/>
      <c r="E38" s="39">
        <v>5</v>
      </c>
      <c r="F38" s="29">
        <v>4</v>
      </c>
      <c r="G38" s="40">
        <f t="shared" si="0"/>
        <v>0.8</v>
      </c>
      <c r="H38" s="41" t="str">
        <f t="shared" si="1"/>
        <v>جيد جداً</v>
      </c>
      <c r="I38" s="64"/>
      <c r="J38" s="65"/>
    </row>
    <row r="39" spans="1:10" ht="30" customHeight="1" x14ac:dyDescent="0.3">
      <c r="A39" s="11"/>
      <c r="B39" s="52" t="s">
        <v>212</v>
      </c>
      <c r="C39" s="53"/>
      <c r="D39" s="53"/>
      <c r="E39" s="47"/>
      <c r="F39" s="28"/>
      <c r="G39" s="10"/>
      <c r="H39" s="9"/>
      <c r="I39" s="92"/>
      <c r="J39" s="93"/>
    </row>
    <row r="40" spans="1:10" ht="30" customHeight="1" x14ac:dyDescent="0.3">
      <c r="A40" s="11"/>
      <c r="B40" s="50" t="s">
        <v>213</v>
      </c>
      <c r="C40" s="51"/>
      <c r="D40" s="51"/>
      <c r="E40" s="32">
        <v>0</v>
      </c>
      <c r="F40" s="27" t="s">
        <v>17</v>
      </c>
      <c r="G40" s="33" t="str">
        <f t="shared" si="0"/>
        <v/>
      </c>
      <c r="H40" s="34" t="str">
        <f t="shared" si="1"/>
        <v>تم الإلغاء</v>
      </c>
      <c r="I40" s="56"/>
      <c r="J40" s="57"/>
    </row>
    <row r="41" spans="1:10" ht="30" customHeight="1" x14ac:dyDescent="0.3">
      <c r="A41" s="11"/>
      <c r="B41" s="50" t="s">
        <v>214</v>
      </c>
      <c r="C41" s="51"/>
      <c r="D41" s="51"/>
      <c r="E41" s="32">
        <v>0</v>
      </c>
      <c r="F41" s="27" t="s">
        <v>17</v>
      </c>
      <c r="G41" s="33" t="str">
        <f t="shared" si="0"/>
        <v/>
      </c>
      <c r="H41" s="34" t="str">
        <f t="shared" si="1"/>
        <v>تم الإلغاء</v>
      </c>
      <c r="I41" s="56"/>
      <c r="J41" s="57"/>
    </row>
    <row r="42" spans="1:10" ht="30" customHeight="1" x14ac:dyDescent="0.3">
      <c r="A42" s="11"/>
      <c r="B42" s="50" t="s">
        <v>215</v>
      </c>
      <c r="C42" s="51"/>
      <c r="D42" s="51"/>
      <c r="E42" s="32">
        <v>0</v>
      </c>
      <c r="F42" s="27" t="s">
        <v>17</v>
      </c>
      <c r="G42" s="33" t="str">
        <f t="shared" si="0"/>
        <v/>
      </c>
      <c r="H42" s="34" t="str">
        <f t="shared" si="1"/>
        <v>تم الإلغاء</v>
      </c>
      <c r="I42" s="56"/>
      <c r="J42" s="57"/>
    </row>
    <row r="43" spans="1:10" ht="30" customHeight="1" x14ac:dyDescent="0.3">
      <c r="A43" s="11"/>
      <c r="B43" s="50" t="s">
        <v>216</v>
      </c>
      <c r="C43" s="51"/>
      <c r="D43" s="51"/>
      <c r="E43" s="32">
        <v>0</v>
      </c>
      <c r="F43" s="46" t="s">
        <v>17</v>
      </c>
      <c r="G43" s="33" t="str">
        <f t="shared" si="0"/>
        <v/>
      </c>
      <c r="H43" s="34" t="str">
        <f t="shared" si="1"/>
        <v>تم الإلغاء</v>
      </c>
      <c r="I43" s="56"/>
      <c r="J43" s="57"/>
    </row>
    <row r="44" spans="1:10" ht="30" customHeight="1" x14ac:dyDescent="0.3">
      <c r="A44" s="11"/>
      <c r="B44" s="50" t="s">
        <v>217</v>
      </c>
      <c r="C44" s="51"/>
      <c r="D44" s="51"/>
      <c r="E44" s="32">
        <v>0</v>
      </c>
      <c r="F44" s="46" t="s">
        <v>17</v>
      </c>
      <c r="G44" s="33" t="str">
        <f t="shared" si="0"/>
        <v/>
      </c>
      <c r="H44" s="34" t="str">
        <f t="shared" si="1"/>
        <v>تم الإلغاء</v>
      </c>
      <c r="I44" s="56"/>
      <c r="J44" s="57"/>
    </row>
    <row r="45" spans="1:10" ht="30" customHeight="1" x14ac:dyDescent="0.3">
      <c r="A45" s="11"/>
      <c r="B45" s="50" t="s">
        <v>218</v>
      </c>
      <c r="C45" s="51"/>
      <c r="D45" s="51"/>
      <c r="E45" s="32">
        <v>0</v>
      </c>
      <c r="F45" s="46" t="s">
        <v>17</v>
      </c>
      <c r="G45" s="33" t="str">
        <f t="shared" si="0"/>
        <v/>
      </c>
      <c r="H45" s="34" t="str">
        <f t="shared" si="1"/>
        <v>تم الإلغاء</v>
      </c>
      <c r="I45" s="56"/>
      <c r="J45" s="57"/>
    </row>
    <row r="46" spans="1:10" ht="30" customHeight="1" thickBot="1" x14ac:dyDescent="0.35">
      <c r="A46" s="11"/>
      <c r="B46" s="79" t="s">
        <v>219</v>
      </c>
      <c r="C46" s="80"/>
      <c r="D46" s="80"/>
      <c r="E46" s="42">
        <v>0</v>
      </c>
      <c r="F46" s="43" t="s">
        <v>17</v>
      </c>
      <c r="G46" s="44" t="str">
        <f t="shared" si="0"/>
        <v/>
      </c>
      <c r="H46" s="45" t="str">
        <f t="shared" si="1"/>
        <v>تم الإلغاء</v>
      </c>
      <c r="I46" s="72"/>
      <c r="J46" s="73"/>
    </row>
    <row r="47" spans="1:10" ht="30" customHeight="1" x14ac:dyDescent="0.3">
      <c r="A47" s="11"/>
      <c r="B47" s="54" t="s">
        <v>220</v>
      </c>
      <c r="C47" s="55"/>
      <c r="D47" s="55"/>
      <c r="E47" s="35"/>
      <c r="F47" s="36"/>
      <c r="G47" s="37"/>
      <c r="H47" s="38"/>
      <c r="I47" s="58"/>
      <c r="J47" s="59"/>
    </row>
    <row r="48" spans="1:10" ht="30" customHeight="1" x14ac:dyDescent="0.3">
      <c r="A48" s="11"/>
      <c r="B48" s="50" t="s">
        <v>221</v>
      </c>
      <c r="C48" s="51"/>
      <c r="D48" s="51"/>
      <c r="E48" s="32">
        <v>5</v>
      </c>
      <c r="F48" s="27">
        <v>3.75</v>
      </c>
      <c r="G48" s="33">
        <f t="shared" si="0"/>
        <v>0.75</v>
      </c>
      <c r="H48" s="34" t="str">
        <f t="shared" si="1"/>
        <v>جيد</v>
      </c>
      <c r="I48" s="56"/>
      <c r="J48" s="57"/>
    </row>
    <row r="49" spans="1:10" ht="30" customHeight="1" x14ac:dyDescent="0.3">
      <c r="A49" s="11"/>
      <c r="B49" s="50" t="s">
        <v>222</v>
      </c>
      <c r="C49" s="51"/>
      <c r="D49" s="51"/>
      <c r="E49" s="32">
        <v>5</v>
      </c>
      <c r="F49" s="27">
        <v>3.75</v>
      </c>
      <c r="G49" s="33">
        <f t="shared" si="0"/>
        <v>0.75</v>
      </c>
      <c r="H49" s="34" t="str">
        <f t="shared" si="1"/>
        <v>جيد</v>
      </c>
      <c r="I49" s="56"/>
      <c r="J49" s="57"/>
    </row>
    <row r="50" spans="1:10" ht="30" customHeight="1" x14ac:dyDescent="0.3">
      <c r="A50" s="11"/>
      <c r="B50" s="50" t="s">
        <v>223</v>
      </c>
      <c r="C50" s="51"/>
      <c r="D50" s="51"/>
      <c r="E50" s="32">
        <v>5</v>
      </c>
      <c r="F50" s="27">
        <v>3.75</v>
      </c>
      <c r="G50" s="33">
        <f t="shared" si="0"/>
        <v>0.75</v>
      </c>
      <c r="H50" s="34" t="str">
        <f t="shared" si="1"/>
        <v>جيد</v>
      </c>
      <c r="I50" s="56"/>
      <c r="J50" s="57"/>
    </row>
    <row r="51" spans="1:10" ht="30" customHeight="1" thickBot="1" x14ac:dyDescent="0.35">
      <c r="A51" s="11"/>
      <c r="B51" s="48" t="s">
        <v>224</v>
      </c>
      <c r="C51" s="49"/>
      <c r="D51" s="49"/>
      <c r="E51" s="39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64"/>
      <c r="J51" s="65"/>
    </row>
    <row r="52" spans="1:10" ht="30" customHeight="1" thickBot="1" x14ac:dyDescent="0.35">
      <c r="A52" s="4"/>
      <c r="B52" s="60" t="s">
        <v>5</v>
      </c>
      <c r="C52" s="61"/>
      <c r="D52" s="61"/>
      <c r="E52" s="31">
        <f>SUM(E8:E51)</f>
        <v>135</v>
      </c>
      <c r="F52" s="31">
        <f>SUM(F8:F51)</f>
        <v>103.25</v>
      </c>
      <c r="G52" s="76"/>
      <c r="H52" s="77"/>
      <c r="I52" s="77"/>
      <c r="J52" s="78"/>
    </row>
    <row r="53" spans="1:10" ht="30" customHeight="1" thickBot="1" x14ac:dyDescent="0.35">
      <c r="A53" s="4"/>
      <c r="B53" s="62" t="s">
        <v>54</v>
      </c>
      <c r="C53" s="63"/>
      <c r="D53" s="63"/>
      <c r="E53" s="88">
        <f>F52/E52/100*100</f>
        <v>0.76481481481481484</v>
      </c>
      <c r="F53" s="88"/>
      <c r="G53" s="88"/>
      <c r="H53" s="88"/>
      <c r="I53" s="88"/>
      <c r="J53" s="89"/>
    </row>
    <row r="54" spans="1:10" ht="30" customHeight="1" thickBot="1" x14ac:dyDescent="0.35">
      <c r="A54" s="4"/>
      <c r="B54" s="62" t="s">
        <v>55</v>
      </c>
      <c r="C54" s="63"/>
      <c r="D54" s="63"/>
      <c r="E54" s="70" t="str">
        <f>_xlfn.IFS(E53&gt;=90%,"ممتاز",E53&gt;=80%,"جيد جداً",E53&gt;=70%,"جيد",E53&gt;=60%,"مقبول",E53&lt;60%,"راسب")</f>
        <v>جيد</v>
      </c>
      <c r="F54" s="70"/>
      <c r="G54" s="70"/>
      <c r="H54" s="70"/>
      <c r="I54" s="70"/>
      <c r="J54" s="71"/>
    </row>
    <row r="55" spans="1:10" ht="42" customHeight="1" x14ac:dyDescent="0.3">
      <c r="B55" s="66" t="s">
        <v>174</v>
      </c>
      <c r="C55" s="66"/>
      <c r="D55" s="66"/>
      <c r="E55" s="74" t="s">
        <v>52</v>
      </c>
      <c r="F55" s="74"/>
      <c r="G55" s="68" t="s">
        <v>122</v>
      </c>
      <c r="H55" s="68"/>
      <c r="I55" s="68"/>
      <c r="J55" s="68"/>
    </row>
    <row r="56" spans="1:10" ht="51" customHeight="1" x14ac:dyDescent="0.3">
      <c r="A56" s="5"/>
      <c r="B56" s="67"/>
      <c r="C56" s="67"/>
      <c r="D56" s="67"/>
      <c r="E56" s="75" t="s">
        <v>53</v>
      </c>
      <c r="F56" s="75"/>
      <c r="G56" s="69"/>
      <c r="H56" s="69"/>
      <c r="I56" s="69"/>
      <c r="J56" s="69"/>
    </row>
  </sheetData>
  <sheetProtection formatCells="0" formatColumns="0" formatRows="0" insertColumns="0" insertRows="0" insertHyperlinks="0" deleteColumns="0" deleteRows="0" selectLockedCells="1" sort="0" autoFilter="0" pivotTables="0"/>
  <mergeCells count="109"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I45:J45"/>
    <mergeCell ref="I46:J46"/>
    <mergeCell ref="I47:J47"/>
    <mergeCell ref="I48:J48"/>
    <mergeCell ref="E55:F55"/>
    <mergeCell ref="E56:F56"/>
    <mergeCell ref="G52:J52"/>
    <mergeCell ref="B46:D46"/>
    <mergeCell ref="B47:D47"/>
    <mergeCell ref="B48:D48"/>
    <mergeCell ref="B49:D49"/>
    <mergeCell ref="B50:D50"/>
    <mergeCell ref="I32:J32"/>
    <mergeCell ref="I33:J33"/>
    <mergeCell ref="I34:J34"/>
    <mergeCell ref="I35:J35"/>
    <mergeCell ref="I36:J36"/>
    <mergeCell ref="I8:J8"/>
    <mergeCell ref="B52:D52"/>
    <mergeCell ref="B53:D53"/>
    <mergeCell ref="B54:D5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51:D51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4">
    <cfRule type="expression" dxfId="14" priority="57">
      <formula>$E54="راسب"</formula>
    </cfRule>
  </conditionalFormatting>
  <conditionalFormatting sqref="E54:J54">
    <cfRule type="expression" dxfId="13" priority="58">
      <formula>$E54="مقبول"</formula>
    </cfRule>
    <cfRule type="expression" dxfId="12" priority="59">
      <formula>$E54="جيد"</formula>
    </cfRule>
    <cfRule type="expression" dxfId="11" priority="60">
      <formula>$E54="جيد جداً"</formula>
    </cfRule>
    <cfRule type="expression" dxfId="10" priority="61">
      <formula>$E54="ممتاز"</formula>
    </cfRule>
  </conditionalFormatting>
  <conditionalFormatting sqref="F8:F5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6" priority="15" operator="containsText" text="أدخل اسم المحكم">
      <formula>NOT(ISERROR(SEARCH("أدخل اسم المحكم",G55)))</formula>
    </cfRule>
  </conditionalFormatting>
  <conditionalFormatting sqref="H8:H5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F48:F51 F40:F46 F26:F38 F14:F24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G55:J55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2025-10-08T17:33:57Z</dcterms:modified>
</cp:coreProperties>
</file>