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73C8863-4F2F-4C67-812F-5A280B182C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3" i="2"/>
  <c r="H13" i="2"/>
  <c r="G14" i="2"/>
  <c r="H14" i="2"/>
  <c r="G15" i="2"/>
  <c r="H15" i="2"/>
  <c r="G16" i="2"/>
  <c r="H16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F47" i="2"/>
  <c r="E47" i="2"/>
  <c r="E48" i="2"/>
  <c r="E49" i="2"/>
</calcChain>
</file>

<file path=xl/sharedStrings.xml><?xml version="1.0" encoding="utf-8"?>
<sst xmlns="http://schemas.openxmlformats.org/spreadsheetml/2006/main" count="229" uniqueCount="225">
  <si>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</si>
  <si>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</si>
  <si>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</si>
  <si>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</si>
  <si>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</si>
  <si>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</si>
  <si>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</si>
  <si>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</si>
  <si>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</si>
  <si>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</si>
  <si>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</si>
  <si>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</si>
  <si>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</si>
  <si>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</si>
  <si>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</si>
  <si>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</si>
  <si>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</si>
  <si>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</si>
  <si>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</si>
  <si>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</si>
  <si>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</si>
  <si>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</si>
  <si>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</si>
  <si>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</si>
  <si>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</si>
  <si>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</si>
  <si>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</si>
  <si>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</si>
  <si>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</si>
  <si>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</si>
  <si>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</si>
  <si>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</si>
  <si>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</si>
  <si>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</si>
  <si>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</si>
  <si>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</si>
  <si>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</si>
  <si>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</si>
  <si>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</si>
  <si>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</si>
  <si>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</si>
  <si>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</si>
  <si>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</si>
  <si>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</si>
  <si>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</si>
  <si>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</si>
  <si>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</si>
  <si>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</si>
  <si>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</si>
  <si>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</si>
  <si>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</si>
  <si>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</si>
  <si>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</si>
  <si>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</si>
  <si>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</si>
  <si>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</si>
  <si>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</si>
  <si>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</si>
  <si>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</si>
  <si>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</si>
  <si>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</si>
  <si>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</si>
  <si>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</si>
  <si>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</si>
  <si>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</si>
  <si>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</si>
  <si>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</si>
  <si>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</si>
  <si>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</si>
  <si>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</si>
  <si>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</si>
  <si>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</si>
  <si>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</si>
  <si>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</si>
  <si>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</si>
  <si>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</si>
  <si>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</si>
  <si>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</si>
  <si>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</si>
  <si>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</si>
  <si>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</si>
  <si>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</si>
  <si>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</si>
  <si>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</si>
  <si>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</si>
  <si>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</si>
  <si>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</si>
  <si>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</si>
  <si>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</si>
  <si>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</si>
  <si>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</si>
  <si>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</si>
  <si>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</si>
  <si>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</si>
  <si>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</si>
  <si>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</si>
  <si>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</si>
  <si>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</si>
  <si>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</si>
  <si>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</si>
  <si>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</si>
  <si>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</si>
  <si>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</si>
  <si>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</si>
  <si>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</si>
  <si>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</si>
  <si>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</si>
  <si>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</si>
  <si>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</si>
  <si>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</si>
  <si>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ركن / عبدالرحمن محمد الطنيجي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</si>
  <si>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</si>
  <si>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</si>
  <si>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</si>
  <si>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</si>
  <si>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</si>
  <si>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</si>
  <si>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</si>
  <si>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</si>
  <si>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</si>
  <si>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</si>
  <si>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</si>
  <si>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 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</si>
  <si>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</si>
  <si>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</si>
  <si>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</si>
  <si>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</si>
  <si>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</si>
  <si>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</si>
  <si>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</si>
  <si>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</si>
  <si>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</si>
  <si>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</si>
  <si>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</si>
  <si>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</si>
  <si>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</si>
  <si>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</si>
  <si>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</si>
  <si>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</si>
  <si>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</si>
  <si>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</si>
  <si>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</si>
  <si>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</si>
  <si>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</si>
  <si>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</si>
  <si>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</si>
  <si>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</si>
  <si>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</si>
  <si>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</si>
  <si>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</si>
  <si>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</si>
  <si>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</si>
  <si>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</si>
  <si>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</si>
  <si>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</si>
  <si>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</si>
  <si>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</si>
  <si>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</si>
  <si>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</si>
  <si>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</si>
  <si>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</si>
  <si>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</si>
  <si>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</si>
  <si>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</si>
  <si>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</si>
  <si>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</si>
  <si>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</si>
  <si>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</si>
  <si>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</si>
  <si>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</si>
  <si>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</si>
  <si>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</si>
  <si>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</si>
  <si>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</si>
  <si>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</si>
  <si>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</si>
  <si>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</si>
  <si>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</si>
  <si>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</si>
  <si>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</si>
  <si>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</si>
  <si>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</si>
  <si>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</si>
  <si>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</si>
  <si>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مرحلة التخطيط</t>
  </si>
  <si>
    <t>ب. تنفيذ الاستطلاع من الخارطة وتحديد ما يلي بشكل أولي:</t>
  </si>
  <si>
    <t>(2) تحديد طرق الحركة لمنطقة التجمع.</t>
  </si>
  <si>
    <t>(3) تحديد مناطق العمليات للوحدات المرؤوسة.</t>
  </si>
  <si>
    <t>مرحلة التحضير</t>
  </si>
  <si>
    <t>أ. تنقيح الخطة بناءً على الاستخبارات المحدثة باستمرار.</t>
  </si>
  <si>
    <t>ب. تنفيذ الاستطلاع الواسع من أجل:</t>
  </si>
  <si>
    <t>(1) تحديد حجم وتأليف وتوزيعات قوة العدوفي منطقة الأهداف.</t>
  </si>
  <si>
    <t>(2) تحديد موقع ونوع وعمق وتأليف الموانع والممرات حول الموانع.</t>
  </si>
  <si>
    <t>(4) تحديد نوع التحصينات المعادية وجهد القدرة على البقاء.</t>
  </si>
  <si>
    <t>(5) تحديد مناطق اشتباك العدو.</t>
  </si>
  <si>
    <t>(6) تحديد نقاط ضعف العدو.</t>
  </si>
  <si>
    <t>(7) تحديد الفجوات في دفاع العدو.</t>
  </si>
  <si>
    <t>(8) تحديد الأجنحة المكشوفة أوالضعيفة للعدو.</t>
  </si>
  <si>
    <t>(9) تحديد المقتربات غير المراقبة أوالمدافع عنها والتي تؤدي إلى أجنحة أومؤخرة العدو.</t>
  </si>
  <si>
    <t>(10) تحديد الطرق التي تتوفر فيها التخفية والتستر التي تسمح للقوات الصديقة بالاقتراب من دفاعات العدو.</t>
  </si>
  <si>
    <t>(11) تحديد الموانع أوالتحصينات الضعيفة في دفاع العدوخاصة على طول الأجنحة.</t>
  </si>
  <si>
    <t>مرحلة التنفيذ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</si>
  <si>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إصدار أمر العمليات للوحدات المرؤوسة، وتقديم ايجازات تأكيدية من قبل القادة المرؤوسين للتأكد من أنهم يفهمون قصد القائد ومفهوم عملياته.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</si>
  <si>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تنفيذ تفتيشات وتفقدات ما قبل القتال.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</si>
  <si>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الحركة من منطقة التجمع إلى منطقة التشكيل وخط البدء، بأسلوب الحركة والتشكيلة المناسبين.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</si>
  <si>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توضيعهم بالقرب من قاعدة الإسناد الناري، حيث تسمح لهم المناظير ودقة التسديد التي يتمتعوا بها بالتعامل مع أهداف العدومن مسافة.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</si>
  <si>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بعد اجتياز خط البدء من قبل قوات الإقتحام يمكن تكليف القناصة بواجبات لتشتيت محاولاته لشن الهجوم المعاكس أو قطع خطوط انسحابه أو إزعاج تعزيزات العدو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</si>
  <si>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اكتشاف نقاط المقاومة للعدووالتي مازالت تعرقل تقدم قواتنا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</si>
  <si>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استخدام القناصة مع قوة الاحتياط، شريطة توفير وسائل نقل مناسبة لهم للحركة واسناد قوة الاحتياط.   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</si>
  <si>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أماكن ترجل عناصر المشاة وحسب متغيرات المهمة.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</si>
  <si>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توفير الحماية بعيدة المدى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</si>
  <si>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للدبابات ضد أسلحة م/د المعادية المخفية من خلال استهداف أطقمها وأطقم الدبابات.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</si>
  <si>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اكتشاف نقاط المقاومة للعدووالتي مازالت تعرقل تقدم قواتنا.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</si>
  <si>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رماية الأهداف.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</si>
  <si>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استدعاء مصادر الإدامة للأمام عند الحاجة.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</si>
  <si>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اكتشاف ظهور أسلحة جديدة للعدوأواتباعه أساليب قتال جديدة.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</si>
  <si>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 xml:space="preserve">تنفيذ التحول حسب الخطة.   </t>
    </r>
  </si>
  <si>
    <t>أ. البدء بإجراءات التخطيط من خلال إجراءات المعركة الثمانية.</t>
  </si>
  <si>
    <r>
      <rPr>
        <b/>
        <sz val="14"/>
        <color rgb="FF000000"/>
        <rFont val="Arial"/>
        <family val="2"/>
      </rPr>
      <t>تقييم فصيل القناصة في الهجوم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</si>
  <si>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يعمل القادة في فصيل القناصة على فهم الموقف حسب مصادر المعلومات المتوفرة 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</si>
  <si>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يتسلم قائد فصيل القناصة أمر العمليات من المستوى الأعلى ويتم القيام بما يلي: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</si>
  <si>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يقوم فصيل القناصة بالتحضير والاستعداد للمهمة من خلال:</t>
    </r>
  </si>
  <si>
    <t>(1) تحديد مناطق التجمع لعناصر القناصة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</si>
  <si>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تنفيذ التجارب أثناء النهار وفي فترات الرؤية المحدودة إذا أمكن.</t>
    </r>
  </si>
  <si>
    <t>نقيب/ سعيد محمد المحرزي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</si>
</sst>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2" fillId="5" borderId="21" xfId="0" applyFont="1" applyFill="1" applyBorder="1" applyAlignment="1">
      <alignment horizontal="right" vertical="center" wrapText="1" indent="4" readingOrder="2"/>
    </xf>
    <xf numFmtId="0" fontId="12" fillId="5" borderId="3" xfId="0" applyFont="1" applyFill="1" applyBorder="1" applyAlignment="1">
      <alignment horizontal="right" vertical="center" wrapText="1" indent="4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5" borderId="21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2" fillId="5" borderId="11" xfId="0" applyFont="1" applyFill="1" applyBorder="1" applyAlignment="1">
      <alignment horizontal="right" vertical="center" wrapText="1" readingOrder="2"/>
    </xf>
    <xf numFmtId="0" fontId="12" fillId="5" borderId="12" xfId="0" applyFont="1" applyFill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6" borderId="22" xfId="0" applyFont="1" applyFill="1" applyBorder="1" applyAlignment="1">
      <alignment horizontal="right" vertical="center" wrapText="1" readingOrder="2"/>
    </xf>
    <xf numFmtId="0" fontId="7" fillId="6" borderId="23" xfId="0" applyFont="1" applyFill="1" applyBorder="1" applyAlignment="1">
      <alignment horizontal="right" vertical="center" wrapText="1" readingOrder="2"/>
    </xf>
    <xf numFmtId="0" fontId="7" fillId="6" borderId="24" xfId="0" applyFont="1" applyFill="1" applyBorder="1" applyAlignment="1">
      <alignment horizontal="right" vertical="center" wrapText="1" readingOrder="2"/>
    </xf>
    <xf numFmtId="0" fontId="7" fillId="6" borderId="25" xfId="0" applyFont="1" applyFill="1" applyBorder="1" applyAlignment="1">
      <alignment horizontal="right" vertical="center" wrapText="1" readingOrder="2"/>
    </xf>
    <xf numFmtId="0" fontId="7" fillId="6" borderId="26" xfId="0" applyFont="1" applyFill="1" applyBorder="1" applyAlignment="1">
      <alignment horizontal="right" vertical="center" wrapText="1" readingOrder="2"/>
    </xf>
    <xf numFmtId="0" fontId="7" fillId="6" borderId="27" xfId="0" applyFont="1" applyFill="1" applyBorder="1" applyAlignment="1">
      <alignment horizontal="right" vertical="center" wrapText="1" readingOrder="2"/>
    </xf>
    <xf numFmtId="0" fontId="12" fillId="5" borderId="21" xfId="0" applyFont="1" applyFill="1" applyBorder="1" applyAlignment="1">
      <alignment horizontal="right" vertical="center" wrapText="1" indent="2" readingOrder="2"/>
    </xf>
    <xf numFmtId="0" fontId="12" fillId="5" borderId="3" xfId="0" applyFont="1" applyFill="1" applyBorder="1" applyAlignment="1">
      <alignment horizontal="right" vertical="center" wrapText="1" indent="2" readingOrder="2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635941</xdr:colOff>
      <xdr:row>50</xdr:row>
      <xdr:rowOff>52919</xdr:rowOff>
    </xdr:from>
    <xdr:to>
      <xdr:col>8</xdr:col>
      <xdr:colOff>62413</xdr:colOff>
      <xdr:row>50</xdr:row>
      <xdr:rowOff>443159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50FFF0D-7CDB-F5B4-44F4-87B611CA96C9}"/>
                </a:ext>
              </a:extLst>
            </xdr14:cNvPr>
            <xdr14:cNvContentPartPr/>
          </xdr14:nvContentPartPr>
          <xdr14:nvPr macro=""/>
          <xdr14:xfrm>
            <a:off x="10471886887" y="24822360"/>
            <a:ext cx="740880" cy="390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50FFF0D-7CDB-F5B4-44F4-87B611CA96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71880767" y="24816240"/>
              <a:ext cx="753120" cy="40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125413</xdr:colOff>
      <xdr:row>50</xdr:row>
      <xdr:rowOff>163799</xdr:rowOff>
    </xdr:from>
    <xdr:to>
      <xdr:col>9</xdr:col>
      <xdr:colOff>748370</xdr:colOff>
      <xdr:row>50</xdr:row>
      <xdr:rowOff>527759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F2EBBB2-BAE4-8D29-1C17-DAC84E207D40}"/>
                </a:ext>
              </a:extLst>
            </xdr14:cNvPr>
            <xdr14:cNvContentPartPr/>
          </xdr14:nvContentPartPr>
          <xdr14:nvPr macro=""/>
          <xdr14:xfrm>
            <a:off x="10470543727" y="24933240"/>
            <a:ext cx="1280160" cy="363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F2EBBB2-BAE4-8D29-1C17-DAC84E207D4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70537607" y="24927120"/>
              <a:ext cx="1292400" cy="376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9:15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1206 1083 14475,'0'0'0,"0"0"1640,2-5-160,-2 5-1480,6-6 1401,-1-1 87,-5 3-104,0-1-224,0 5-1160,0-4 905,0 4-393,0-4 184,-2-3-464,2 7-232,-3-4 616,3-3 256,-6 1-336,1-1 201,5 7-737,-7-7 360,3 1-16,-15-12-88,19 14 96,0 4-352,-6-6 136,1-12-80,-2 11 240,3-12-240,4 19-56,-10-7 120,-8-17 192,16 7 0,-5-5-8,7 22-304,-16-26 272,16-3-152,-19-6-336,19-4 168,0 39 48,-2-42 216,-4-4-352,-1 3 88,4-1-32,3 44 80,-5-42-48,5 5 48,0 4 0,0 3 0,0 30 0,0-24-104,0 2 240,0 4-56,3 12 32,-3 6-112,2-24-16,-2 17-48,3-15 16,1 18 16,-4 4 32,3-18-32,-3 14-16,2-14 48,-2 14-40,0 4 40,4-4 8,-4-3-8,0 3 16,0-1 48,0 5-64,0-4 48,0 0 48,2-1-160,1 1 128,-3 4-64,2-7-96,3 1 64,0-12 48,13 14-64,-18 4 48,2-18 0,18 14-88,-13-3 144,16 1-72,-23 6 16,19-4-16,-14-1-8,19 1-56,-3 4-48,-21 0 128,20 0 32,6 0 32,2 0-128,-2 0 176,-26 0-112,31 0-32,-2 0-16,3 0 32,0 0-64,-32 0 80,37 0 48,-3 0-96,0-5 48,3-12-24,-37 17 24,37-4-96,-1-14 16,-1 11-40,1-14-48,-36 21 168,28-7-216,1-13 0,-1 16-56,6-3 40,-34 7 232,23-6-360,-7 2 168,2-1 8,-15 5 80,-3 0 104,2 0 16,0 0-104,5 0 104,-5 2-112,-2-2 96,7 3 32,2-1-104,-7 0 0,-2 0 24,0-2 48,3 2-145,-3-2 145,0 0-168,0 2-24,0-2 192,0 0-264,-3 3-56,1 1 104,-4 0 56,6-4 160,-5 9-104,-21 0 120,11 8 56,-11-8-56,26-9-16,-23 20 56,-6-11-72,0 12 16,1-3 16,28-18-16,-28 20 136,-1-1-96,-2 5-8,4-4 24,27-20-56,-30 22-72,1-2 144,-3 1-56,-5-1 40,37-20-56,-32 18-16,0 1 32,7 1 40,-2 0-96,27-20 40,-25 22 40,-3-3-40,5 1 16,1-3-16,22-17 0,-21 9-40,3 13 40,-1-15-16,15 10 32,4-17-16,-21 7 96,16 1-136,0 10 72,-15-12-8,20-6-24,-6 9 32,-20 11-32,8-11 0,0 10 24,18-19-24,-14 7-72,7 2 176,-16-3-160,18 3 56,5-9 0,-6 6 0,-9-1-32,15-3 104,-6 0-56,6-2-16,-5 0 224,-2 0 56,1-4-47,-10-3 23,16 7-256,-5-17 232,1 12-80,-15-12 136,14 10 24,5 7-312,-26-24 80,11 7-8,-5-3 8,-5 0-8,25 20-72,-16-17 168,-4-3-192,-1 1 64,0 1-24,21 18-16,-18-20 120,0 1 128,1-3-264,-1-2-104,18 24 120,-21-22 32,1-2 24,-3-2 88,5 2-120,18 24-24,-23-31-152,0 0 0,2 3 120,3 2 248,18 26-216,-7-20 96,-15 13-112,17 1 72,-2-1-96,7 7 40,-7-4 40,5 0 24,0 4-64,-5 0 16,7 0-16,-5 0 48,-1 2 24,1 2-24,5 3-232,0-7 184,0 6-64,0 1 80,5-1-168,3 12 200,-8-18-48,18 6-80,-2 14-56,10-11 200,-1 13-128,-25-22 64,32 8 64,-4 12 160,-4-13-224,4 1 176,-28-8-176,25 18 0,2-12-144,-4 1 128,-4 2 80,-19-9-64,18 9-80,-4-1 144,6-1-96,-1 2 0,-19-9 32,4 8-24,6 1-8,-2-2-16,-1 1 0,-7-8 48,3 9-56,-3 9-144,0-12 88,-7 12-40,7-18 152,-23 6 0,9 14 80,-11-11-192,0 13 40,25-22 72,-30 17-48,-2 3 64,-7 2 80,-2 4 24,41-26-120,-50 30 48,-7 1 24,-7 4 8,-9 4-56,73-39-24,-72 40 64,-1 1-112,3-1-600,8-3 672,62-37-24,-53 31-16,18-10-24,8-14 664,9 0-792,18-7 168,-5 4-168,-2-4-152,6 0-296,-2-18-169,3 18 785,-7-19-1056,7-5-248,3-5-384,4-4-2689,-7 33 4377,6-30-11419,-6 30 11419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9:16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2016 625 21444,'0'0'0,"0"22"1256,0-22-1256,0 22 841,5 2 31,21 0-8,-4-15-112,-22-9-752,28 21 240,10-12 248,5 11-104,13-16 64,-56-4-448,55 5 577,11-3-489,8-2-56,2 0-16,-76 0-16,83-18 256,-5 12-80,5-21 232,-4 6-200,-79 21-208,76-24 232,-5-5 288,-12-1-352,-5-5 120,-54 35-288,55-35 160,-4-3-88,-5 0 224,4-1-120,-50 39-176,44-40 168,0 1-104,-7 2-32,-1 2 16,-36 35-48,23-31-80,-3 3 192,-16 1-304,4 1 272,-8 26-80,0-22 312,0 0 8,-8 5 64,-19-1-176,27 18-208,-27-17-64,-2 10 177,-1-17-113,-13 18 0,43 6 0,-43-20 0,-16 14 0,0-1 0,-5-11 0,64 18 0,-65 0 0,-7 0 0,-16 7 0,-10 17 0,98-24 0,-106 24 0,-11 0 0,-4 7 0,-9 2 0,130-33 0,-138 37-49,-9 4 98,0 7-49,0 3 0,147-51 0,-145 57 0,-2-1 0,7 4 0,-2-5 0,142-55 0,-128 57 0,10-2-33,4-7-623,12 0-352,102-48 1008,-103 46-496,2-4-24,3-3-32,7-6 264,91-33 288,-98 30-1737,-7 1-4976,-3 2-5794,108-33 12507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1"/>
  <sheetViews>
    <sheetView rightToLeft="1" tabSelected="1" view="pageBreakPreview" topLeftCell="A48" zoomScale="130" zoomScaleNormal="100" zoomScaleSheetLayoutView="130" workbookViewId="0">
      <selection activeCell="G50" sqref="G50:J5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2" t="s">
        <v>218</v>
      </c>
      <c r="C1" s="42"/>
      <c r="D1" s="42"/>
      <c r="E1" s="42"/>
      <c r="F1" s="42"/>
      <c r="G1" s="42"/>
      <c r="H1" s="42"/>
      <c r="I1" s="42"/>
      <c r="J1" s="42"/>
    </row>
    <row r="2" spans="1:10" ht="30" customHeight="1" x14ac:dyDescent="0.3">
      <c r="B2" s="13" t="s">
        <v>8</v>
      </c>
      <c r="C2" s="48" t="s">
        <v>35</v>
      </c>
      <c r="D2" s="48"/>
      <c r="E2" s="13" t="s">
        <v>7</v>
      </c>
      <c r="F2" s="43">
        <v>45937</v>
      </c>
      <c r="G2" s="43"/>
      <c r="H2" s="43"/>
      <c r="I2" s="43"/>
      <c r="J2" s="43"/>
    </row>
    <row r="3" spans="1:10" ht="30" customHeight="1" x14ac:dyDescent="0.3">
      <c r="B3" s="13" t="s">
        <v>9</v>
      </c>
      <c r="C3" s="48" t="s">
        <v>224</v>
      </c>
      <c r="D3" s="48"/>
      <c r="E3" s="13" t="s">
        <v>6</v>
      </c>
      <c r="F3" s="48" t="s">
        <v>113</v>
      </c>
      <c r="G3" s="48"/>
      <c r="H3" s="48"/>
      <c r="I3" s="48"/>
      <c r="J3" s="48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44" t="s">
        <v>0</v>
      </c>
      <c r="C5" s="45"/>
      <c r="D5" s="45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1"/>
      <c r="B6" s="46"/>
      <c r="C6" s="47"/>
      <c r="D6" s="47"/>
      <c r="E6" s="12" t="s">
        <v>3</v>
      </c>
      <c r="F6" s="12" t="s">
        <v>4</v>
      </c>
      <c r="G6" s="12" t="s">
        <v>23</v>
      </c>
      <c r="H6" s="12" t="s">
        <v>24</v>
      </c>
      <c r="I6" s="51"/>
      <c r="J6" s="52"/>
    </row>
    <row r="7" spans="1:10" ht="24.9" customHeight="1" thickBot="1" x14ac:dyDescent="0.35">
      <c r="A7" s="11"/>
      <c r="B7" s="34" t="s">
        <v>21</v>
      </c>
      <c r="C7" s="35"/>
      <c r="D7" s="35"/>
      <c r="E7" s="28" t="s">
        <v>18</v>
      </c>
      <c r="F7" s="28" t="s">
        <v>19</v>
      </c>
      <c r="G7" s="28" t="s">
        <v>22</v>
      </c>
      <c r="H7" s="28" t="s">
        <v>20</v>
      </c>
      <c r="I7" s="38" t="s">
        <v>25</v>
      </c>
      <c r="J7" s="39"/>
    </row>
    <row r="8" spans="1:10" ht="39.9" customHeight="1" x14ac:dyDescent="0.3">
      <c r="A8" s="11"/>
      <c r="B8" s="74" t="s">
        <v>184</v>
      </c>
      <c r="C8" s="75"/>
      <c r="D8" s="75"/>
      <c r="E8" s="75"/>
      <c r="F8" s="75"/>
      <c r="G8" s="75"/>
      <c r="H8" s="75"/>
      <c r="I8" s="75"/>
      <c r="J8" s="76"/>
    </row>
    <row r="9" spans="1:10" ht="39.9" customHeight="1" x14ac:dyDescent="0.3">
      <c r="A9" s="11"/>
      <c r="B9" s="65" t="s">
        <v>219</v>
      </c>
      <c r="C9" s="66"/>
      <c r="D9" s="66"/>
      <c r="E9" s="9">
        <v>5</v>
      </c>
      <c r="F9" s="20">
        <v>4</v>
      </c>
      <c r="G9" s="29">
        <f>IFERROR(F9/E9,"")</f>
        <v>0.8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36"/>
      <c r="J9" s="37"/>
    </row>
    <row r="10" spans="1:10" ht="39.9" customHeight="1" x14ac:dyDescent="0.3">
      <c r="A10" s="11"/>
      <c r="B10" s="65" t="s">
        <v>220</v>
      </c>
      <c r="C10" s="66"/>
      <c r="D10" s="66"/>
      <c r="E10" s="9"/>
      <c r="F10" s="20"/>
      <c r="G10" s="29"/>
      <c r="H10" s="30"/>
      <c r="I10" s="36"/>
      <c r="J10" s="37"/>
    </row>
    <row r="11" spans="1:10" ht="39.9" customHeight="1" x14ac:dyDescent="0.3">
      <c r="A11" s="11"/>
      <c r="B11" s="80" t="s">
        <v>217</v>
      </c>
      <c r="C11" s="81"/>
      <c r="D11" s="81"/>
      <c r="E11" s="9">
        <v>5</v>
      </c>
      <c r="F11" s="20">
        <v>3.75</v>
      </c>
      <c r="G11" s="29">
        <f t="shared" ref="G11:G46" si="0">IFERROR(F11/E11,"")</f>
        <v>0.75</v>
      </c>
      <c r="H11" s="30" t="str">
        <f t="shared" ref="H11:H46" si="1">_xlfn.IFS(F11="أدخل العلامة","",F11="لا ينطبق","تم الإلغاء",G11&gt;=90%,"ممتاز",G11&gt;=80%,"جيد جداً",G11&gt;=70%,"جيد",G11&gt;=60%,"مقبول",G11&lt;60%,"راسب")</f>
        <v>جيد</v>
      </c>
      <c r="I11" s="36"/>
      <c r="J11" s="37"/>
    </row>
    <row r="12" spans="1:10" ht="39.9" customHeight="1" x14ac:dyDescent="0.3">
      <c r="A12" s="11"/>
      <c r="B12" s="80" t="s">
        <v>185</v>
      </c>
      <c r="C12" s="81"/>
      <c r="D12" s="81"/>
      <c r="E12" s="9"/>
      <c r="F12" s="20"/>
      <c r="G12" s="29"/>
      <c r="H12" s="30"/>
      <c r="I12" s="36"/>
      <c r="J12" s="37"/>
    </row>
    <row r="13" spans="1:10" ht="39.9" customHeight="1" x14ac:dyDescent="0.3">
      <c r="A13" s="11"/>
      <c r="B13" s="40" t="s">
        <v>222</v>
      </c>
      <c r="C13" s="41"/>
      <c r="D13" s="41"/>
      <c r="E13" s="9">
        <v>5</v>
      </c>
      <c r="F13" s="20">
        <v>3.75</v>
      </c>
      <c r="G13" s="29">
        <f t="shared" si="0"/>
        <v>0.75</v>
      </c>
      <c r="H13" s="30" t="str">
        <f t="shared" si="1"/>
        <v>جيد</v>
      </c>
      <c r="I13" s="36"/>
      <c r="J13" s="37"/>
    </row>
    <row r="14" spans="1:10" ht="39.9" customHeight="1" x14ac:dyDescent="0.3">
      <c r="A14" s="11"/>
      <c r="B14" s="40" t="s">
        <v>186</v>
      </c>
      <c r="C14" s="41"/>
      <c r="D14" s="41"/>
      <c r="E14" s="9">
        <v>5</v>
      </c>
      <c r="F14" s="20">
        <v>4</v>
      </c>
      <c r="G14" s="29">
        <f t="shared" si="0"/>
        <v>0.8</v>
      </c>
      <c r="H14" s="30" t="str">
        <f t="shared" si="1"/>
        <v>جيد جداً</v>
      </c>
      <c r="I14" s="36"/>
      <c r="J14" s="37"/>
    </row>
    <row r="15" spans="1:10" ht="39.9" customHeight="1" x14ac:dyDescent="0.3">
      <c r="A15" s="11"/>
      <c r="B15" s="40" t="s">
        <v>187</v>
      </c>
      <c r="C15" s="41"/>
      <c r="D15" s="41"/>
      <c r="E15" s="9">
        <v>5</v>
      </c>
      <c r="F15" s="20">
        <v>3.5</v>
      </c>
      <c r="G15" s="29">
        <f t="shared" si="0"/>
        <v>0.7</v>
      </c>
      <c r="H15" s="30" t="str">
        <f t="shared" si="1"/>
        <v>جيد</v>
      </c>
      <c r="I15" s="36"/>
      <c r="J15" s="37"/>
    </row>
    <row r="16" spans="1:10" ht="60" customHeight="1" x14ac:dyDescent="0.3">
      <c r="A16" s="11"/>
      <c r="B16" s="65" t="s">
        <v>202</v>
      </c>
      <c r="C16" s="66"/>
      <c r="D16" s="66"/>
      <c r="E16" s="9">
        <v>5</v>
      </c>
      <c r="F16" s="20">
        <v>3.75</v>
      </c>
      <c r="G16" s="29">
        <f t="shared" si="0"/>
        <v>0.75</v>
      </c>
      <c r="H16" s="30" t="str">
        <f t="shared" si="1"/>
        <v>جيد</v>
      </c>
      <c r="I16" s="36"/>
      <c r="J16" s="37"/>
    </row>
    <row r="17" spans="1:10" ht="39.9" customHeight="1" x14ac:dyDescent="0.3">
      <c r="A17" s="11"/>
      <c r="B17" s="77" t="s">
        <v>188</v>
      </c>
      <c r="C17" s="78"/>
      <c r="D17" s="78"/>
      <c r="E17" s="78"/>
      <c r="F17" s="78"/>
      <c r="G17" s="78"/>
      <c r="H17" s="78"/>
      <c r="I17" s="78"/>
      <c r="J17" s="79"/>
    </row>
    <row r="18" spans="1:10" ht="39.9" customHeight="1" x14ac:dyDescent="0.3">
      <c r="A18" s="11"/>
      <c r="B18" s="65" t="s">
        <v>221</v>
      </c>
      <c r="C18" s="66"/>
      <c r="D18" s="66"/>
      <c r="E18" s="9"/>
      <c r="F18" s="20"/>
      <c r="G18" s="29"/>
      <c r="H18" s="30"/>
      <c r="I18" s="36"/>
      <c r="J18" s="37"/>
    </row>
    <row r="19" spans="1:10" ht="39.9" customHeight="1" x14ac:dyDescent="0.3">
      <c r="A19" s="11"/>
      <c r="B19" s="80" t="s">
        <v>189</v>
      </c>
      <c r="C19" s="81"/>
      <c r="D19" s="81"/>
      <c r="E19" s="9">
        <v>5</v>
      </c>
      <c r="F19" s="20">
        <v>3.5</v>
      </c>
      <c r="G19" s="29">
        <f t="shared" si="0"/>
        <v>0.7</v>
      </c>
      <c r="H19" s="30" t="str">
        <f t="shared" si="1"/>
        <v>جيد</v>
      </c>
      <c r="I19" s="36"/>
      <c r="J19" s="37"/>
    </row>
    <row r="20" spans="1:10" ht="39.9" customHeight="1" x14ac:dyDescent="0.3">
      <c r="A20" s="11"/>
      <c r="B20" s="80" t="s">
        <v>190</v>
      </c>
      <c r="C20" s="81"/>
      <c r="D20" s="81"/>
      <c r="E20" s="9"/>
      <c r="F20" s="20"/>
      <c r="G20" s="29"/>
      <c r="H20" s="30"/>
      <c r="I20" s="36"/>
      <c r="J20" s="37"/>
    </row>
    <row r="21" spans="1:10" ht="39.9" customHeight="1" x14ac:dyDescent="0.3">
      <c r="A21" s="11"/>
      <c r="B21" s="40" t="s">
        <v>191</v>
      </c>
      <c r="C21" s="41"/>
      <c r="D21" s="41"/>
      <c r="E21" s="9">
        <v>5</v>
      </c>
      <c r="F21" s="20">
        <v>3.5</v>
      </c>
      <c r="G21" s="29">
        <f t="shared" si="0"/>
        <v>0.7</v>
      </c>
      <c r="H21" s="30" t="str">
        <f t="shared" si="1"/>
        <v>جيد</v>
      </c>
      <c r="I21" s="36"/>
      <c r="J21" s="37"/>
    </row>
    <row r="22" spans="1:10" ht="39.9" customHeight="1" x14ac:dyDescent="0.3">
      <c r="A22" s="11"/>
      <c r="B22" s="40" t="s">
        <v>192</v>
      </c>
      <c r="C22" s="41"/>
      <c r="D22" s="41"/>
      <c r="E22" s="9">
        <v>5</v>
      </c>
      <c r="F22" s="20">
        <v>3.5</v>
      </c>
      <c r="G22" s="29">
        <f t="shared" si="0"/>
        <v>0.7</v>
      </c>
      <c r="H22" s="30" t="str">
        <f t="shared" si="1"/>
        <v>جيد</v>
      </c>
      <c r="I22" s="36"/>
      <c r="J22" s="37"/>
    </row>
    <row r="23" spans="1:10" ht="39.9" customHeight="1" x14ac:dyDescent="0.3">
      <c r="A23" s="11"/>
      <c r="B23" s="40" t="s">
        <v>193</v>
      </c>
      <c r="C23" s="41"/>
      <c r="D23" s="41"/>
      <c r="E23" s="9">
        <v>5</v>
      </c>
      <c r="F23" s="20">
        <v>3.75</v>
      </c>
      <c r="G23" s="29">
        <f t="shared" si="0"/>
        <v>0.75</v>
      </c>
      <c r="H23" s="30" t="str">
        <f t="shared" si="1"/>
        <v>جيد</v>
      </c>
      <c r="I23" s="36"/>
      <c r="J23" s="37"/>
    </row>
    <row r="24" spans="1:10" ht="39.9" customHeight="1" x14ac:dyDescent="0.3">
      <c r="A24" s="11"/>
      <c r="B24" s="40" t="s">
        <v>194</v>
      </c>
      <c r="C24" s="41"/>
      <c r="D24" s="41"/>
      <c r="E24" s="9">
        <v>5</v>
      </c>
      <c r="F24" s="20">
        <v>4.25</v>
      </c>
      <c r="G24" s="29">
        <f t="shared" si="0"/>
        <v>0.85</v>
      </c>
      <c r="H24" s="30" t="str">
        <f t="shared" si="1"/>
        <v>جيد جداً</v>
      </c>
      <c r="I24" s="36"/>
      <c r="J24" s="37"/>
    </row>
    <row r="25" spans="1:10" ht="39.9" customHeight="1" x14ac:dyDescent="0.3">
      <c r="A25" s="11"/>
      <c r="B25" s="40" t="s">
        <v>195</v>
      </c>
      <c r="C25" s="41"/>
      <c r="D25" s="41"/>
      <c r="E25" s="9">
        <v>5</v>
      </c>
      <c r="F25" s="20">
        <v>3.75</v>
      </c>
      <c r="G25" s="29">
        <f t="shared" si="0"/>
        <v>0.75</v>
      </c>
      <c r="H25" s="30" t="str">
        <f t="shared" si="1"/>
        <v>جيد</v>
      </c>
      <c r="I25" s="36"/>
      <c r="J25" s="37"/>
    </row>
    <row r="26" spans="1:10" ht="39.9" customHeight="1" x14ac:dyDescent="0.3">
      <c r="A26" s="11"/>
      <c r="B26" s="40" t="s">
        <v>196</v>
      </c>
      <c r="C26" s="41"/>
      <c r="D26" s="41"/>
      <c r="E26" s="9">
        <v>5</v>
      </c>
      <c r="F26" s="20">
        <v>3.75</v>
      </c>
      <c r="G26" s="29">
        <f t="shared" si="0"/>
        <v>0.75</v>
      </c>
      <c r="H26" s="30" t="str">
        <f t="shared" si="1"/>
        <v>جيد</v>
      </c>
      <c r="I26" s="36"/>
      <c r="J26" s="37"/>
    </row>
    <row r="27" spans="1:10" ht="39.9" customHeight="1" x14ac:dyDescent="0.3">
      <c r="A27" s="11"/>
      <c r="B27" s="40" t="s">
        <v>197</v>
      </c>
      <c r="C27" s="41"/>
      <c r="D27" s="41"/>
      <c r="E27" s="9">
        <v>5</v>
      </c>
      <c r="F27" s="20">
        <v>4</v>
      </c>
      <c r="G27" s="29">
        <f t="shared" si="0"/>
        <v>0.8</v>
      </c>
      <c r="H27" s="30" t="str">
        <f t="shared" si="1"/>
        <v>جيد جداً</v>
      </c>
      <c r="I27" s="36"/>
      <c r="J27" s="37"/>
    </row>
    <row r="28" spans="1:10" ht="39.9" customHeight="1" x14ac:dyDescent="0.3">
      <c r="A28" s="11"/>
      <c r="B28" s="40" t="s">
        <v>198</v>
      </c>
      <c r="C28" s="41"/>
      <c r="D28" s="41"/>
      <c r="E28" s="9">
        <v>5</v>
      </c>
      <c r="F28" s="20">
        <v>3.75</v>
      </c>
      <c r="G28" s="29">
        <f t="shared" si="0"/>
        <v>0.75</v>
      </c>
      <c r="H28" s="30" t="str">
        <f t="shared" si="1"/>
        <v>جيد</v>
      </c>
      <c r="I28" s="36"/>
      <c r="J28" s="37"/>
    </row>
    <row r="29" spans="1:10" ht="39.9" customHeight="1" x14ac:dyDescent="0.3">
      <c r="A29" s="11"/>
      <c r="B29" s="40" t="s">
        <v>199</v>
      </c>
      <c r="C29" s="41"/>
      <c r="D29" s="41"/>
      <c r="E29" s="9">
        <v>5</v>
      </c>
      <c r="F29" s="20">
        <v>3.75</v>
      </c>
      <c r="G29" s="29">
        <f t="shared" si="0"/>
        <v>0.75</v>
      </c>
      <c r="H29" s="30" t="str">
        <f t="shared" si="1"/>
        <v>جيد</v>
      </c>
      <c r="I29" s="36"/>
      <c r="J29" s="37"/>
    </row>
    <row r="30" spans="1:10" ht="39.9" customHeight="1" x14ac:dyDescent="0.3">
      <c r="A30" s="11"/>
      <c r="B30" s="40" t="s">
        <v>200</v>
      </c>
      <c r="C30" s="41"/>
      <c r="D30" s="41"/>
      <c r="E30" s="9">
        <v>5</v>
      </c>
      <c r="F30" s="20">
        <v>3.75</v>
      </c>
      <c r="G30" s="29">
        <f t="shared" si="0"/>
        <v>0.75</v>
      </c>
      <c r="H30" s="30" t="str">
        <f t="shared" si="1"/>
        <v>جيد</v>
      </c>
      <c r="I30" s="36"/>
      <c r="J30" s="37"/>
    </row>
    <row r="31" spans="1:10" ht="39.9" customHeight="1" x14ac:dyDescent="0.3">
      <c r="A31" s="11"/>
      <c r="B31" s="65" t="s">
        <v>203</v>
      </c>
      <c r="C31" s="66"/>
      <c r="D31" s="66"/>
      <c r="E31" s="9">
        <v>5</v>
      </c>
      <c r="F31" s="20">
        <v>3.75</v>
      </c>
      <c r="G31" s="29">
        <f t="shared" si="0"/>
        <v>0.75</v>
      </c>
      <c r="H31" s="30" t="str">
        <f t="shared" si="1"/>
        <v>جيد</v>
      </c>
      <c r="I31" s="36"/>
      <c r="J31" s="37"/>
    </row>
    <row r="32" spans="1:10" ht="39.9" customHeight="1" x14ac:dyDescent="0.3">
      <c r="A32" s="11"/>
      <c r="B32" s="65" t="s">
        <v>223</v>
      </c>
      <c r="C32" s="66"/>
      <c r="D32" s="66"/>
      <c r="E32" s="9">
        <v>5</v>
      </c>
      <c r="F32" s="20">
        <v>3.5</v>
      </c>
      <c r="G32" s="29">
        <f t="shared" si="0"/>
        <v>0.7</v>
      </c>
      <c r="H32" s="30" t="str">
        <f t="shared" si="1"/>
        <v>جيد</v>
      </c>
      <c r="I32" s="36"/>
      <c r="J32" s="37"/>
    </row>
    <row r="33" spans="1:10" ht="39.9" customHeight="1" x14ac:dyDescent="0.3">
      <c r="A33" s="11"/>
      <c r="B33" s="77" t="s">
        <v>201</v>
      </c>
      <c r="C33" s="78"/>
      <c r="D33" s="78"/>
      <c r="E33" s="78"/>
      <c r="F33" s="78"/>
      <c r="G33" s="78"/>
      <c r="H33" s="78"/>
      <c r="I33" s="78"/>
      <c r="J33" s="79"/>
    </row>
    <row r="34" spans="1:10" ht="39.9" customHeight="1" x14ac:dyDescent="0.3">
      <c r="A34" s="11"/>
      <c r="B34" s="65" t="s">
        <v>204</v>
      </c>
      <c r="C34" s="66"/>
      <c r="D34" s="66"/>
      <c r="E34" s="9">
        <v>5</v>
      </c>
      <c r="F34" s="20">
        <v>3.5</v>
      </c>
      <c r="G34" s="29">
        <f t="shared" si="0"/>
        <v>0.7</v>
      </c>
      <c r="H34" s="30" t="str">
        <f t="shared" si="1"/>
        <v>جيد</v>
      </c>
      <c r="I34" s="36"/>
      <c r="J34" s="37"/>
    </row>
    <row r="35" spans="1:10" ht="57" customHeight="1" x14ac:dyDescent="0.3">
      <c r="A35" s="11"/>
      <c r="B35" s="65" t="s">
        <v>205</v>
      </c>
      <c r="C35" s="66"/>
      <c r="D35" s="66"/>
      <c r="E35" s="9">
        <v>5</v>
      </c>
      <c r="F35" s="20">
        <v>3.5</v>
      </c>
      <c r="G35" s="29">
        <f t="shared" si="0"/>
        <v>0.7</v>
      </c>
      <c r="H35" s="30" t="str">
        <f t="shared" si="1"/>
        <v>جيد</v>
      </c>
      <c r="I35" s="36"/>
      <c r="J35" s="37"/>
    </row>
    <row r="36" spans="1:10" ht="57" customHeight="1" x14ac:dyDescent="0.3">
      <c r="A36" s="11"/>
      <c r="B36" s="65" t="s">
        <v>206</v>
      </c>
      <c r="C36" s="66"/>
      <c r="D36" s="66"/>
      <c r="E36" s="9">
        <v>5</v>
      </c>
      <c r="F36" s="20">
        <v>3.5</v>
      </c>
      <c r="G36" s="29">
        <f t="shared" si="0"/>
        <v>0.7</v>
      </c>
      <c r="H36" s="30" t="str">
        <f t="shared" si="1"/>
        <v>جيد</v>
      </c>
      <c r="I36" s="36"/>
      <c r="J36" s="37"/>
    </row>
    <row r="37" spans="1:10" ht="39.9" customHeight="1" x14ac:dyDescent="0.3">
      <c r="A37" s="11"/>
      <c r="B37" s="65" t="s">
        <v>207</v>
      </c>
      <c r="C37" s="66"/>
      <c r="D37" s="66"/>
      <c r="E37" s="9">
        <v>5</v>
      </c>
      <c r="F37" s="20">
        <v>4</v>
      </c>
      <c r="G37" s="29">
        <f t="shared" si="0"/>
        <v>0.8</v>
      </c>
      <c r="H37" s="30" t="str">
        <f t="shared" si="1"/>
        <v>جيد جداً</v>
      </c>
      <c r="I37" s="36"/>
      <c r="J37" s="37"/>
    </row>
    <row r="38" spans="1:10" ht="39.9" customHeight="1" x14ac:dyDescent="0.3">
      <c r="A38" s="11"/>
      <c r="B38" s="65" t="s">
        <v>208</v>
      </c>
      <c r="C38" s="66"/>
      <c r="D38" s="66"/>
      <c r="E38" s="9">
        <v>5</v>
      </c>
      <c r="F38" s="20">
        <v>4</v>
      </c>
      <c r="G38" s="29">
        <f t="shared" si="0"/>
        <v>0.8</v>
      </c>
      <c r="H38" s="30" t="str">
        <f t="shared" si="1"/>
        <v>جيد جداً</v>
      </c>
      <c r="I38" s="36"/>
      <c r="J38" s="37"/>
    </row>
    <row r="39" spans="1:10" ht="39.9" customHeight="1" x14ac:dyDescent="0.3">
      <c r="A39" s="11"/>
      <c r="B39" s="65" t="s">
        <v>209</v>
      </c>
      <c r="C39" s="66"/>
      <c r="D39" s="66"/>
      <c r="E39" s="9">
        <v>5</v>
      </c>
      <c r="F39" s="20">
        <v>3.75</v>
      </c>
      <c r="G39" s="29">
        <f t="shared" si="0"/>
        <v>0.75</v>
      </c>
      <c r="H39" s="30" t="str">
        <f t="shared" si="1"/>
        <v>جيد</v>
      </c>
      <c r="I39" s="36"/>
      <c r="J39" s="37"/>
    </row>
    <row r="40" spans="1:10" ht="39.9" customHeight="1" x14ac:dyDescent="0.3">
      <c r="A40" s="11"/>
      <c r="B40" s="65" t="s">
        <v>210</v>
      </c>
      <c r="C40" s="66"/>
      <c r="D40" s="66"/>
      <c r="E40" s="9">
        <v>5</v>
      </c>
      <c r="F40" s="20">
        <v>4</v>
      </c>
      <c r="G40" s="29">
        <f t="shared" si="0"/>
        <v>0.8</v>
      </c>
      <c r="H40" s="30" t="str">
        <f t="shared" si="1"/>
        <v>جيد جداً</v>
      </c>
      <c r="I40" s="36"/>
      <c r="J40" s="37"/>
    </row>
    <row r="41" spans="1:10" ht="39.9" customHeight="1" x14ac:dyDescent="0.3">
      <c r="A41" s="11"/>
      <c r="B41" s="65" t="s">
        <v>211</v>
      </c>
      <c r="C41" s="66"/>
      <c r="D41" s="66"/>
      <c r="E41" s="9">
        <v>5</v>
      </c>
      <c r="F41" s="20">
        <v>3.75</v>
      </c>
      <c r="G41" s="29">
        <f t="shared" si="0"/>
        <v>0.75</v>
      </c>
      <c r="H41" s="30" t="str">
        <f t="shared" si="1"/>
        <v>جيد</v>
      </c>
      <c r="I41" s="36"/>
      <c r="J41" s="37"/>
    </row>
    <row r="42" spans="1:10" ht="39.9" customHeight="1" x14ac:dyDescent="0.3">
      <c r="A42" s="11"/>
      <c r="B42" s="65" t="s">
        <v>212</v>
      </c>
      <c r="C42" s="66"/>
      <c r="D42" s="66"/>
      <c r="E42" s="9">
        <v>5</v>
      </c>
      <c r="F42" s="20">
        <v>3.75</v>
      </c>
      <c r="G42" s="29">
        <f t="shared" si="0"/>
        <v>0.75</v>
      </c>
      <c r="H42" s="30" t="str">
        <f t="shared" si="1"/>
        <v>جيد</v>
      </c>
      <c r="I42" s="36"/>
      <c r="J42" s="37"/>
    </row>
    <row r="43" spans="1:10" ht="39.9" customHeight="1" x14ac:dyDescent="0.3">
      <c r="A43" s="11"/>
      <c r="B43" s="65" t="s">
        <v>213</v>
      </c>
      <c r="C43" s="66"/>
      <c r="D43" s="66"/>
      <c r="E43" s="9">
        <v>5</v>
      </c>
      <c r="F43" s="20">
        <v>3.5</v>
      </c>
      <c r="G43" s="29">
        <f t="shared" si="0"/>
        <v>0.7</v>
      </c>
      <c r="H43" s="30" t="str">
        <f t="shared" si="1"/>
        <v>جيد</v>
      </c>
      <c r="I43" s="36"/>
      <c r="J43" s="37"/>
    </row>
    <row r="44" spans="1:10" ht="39.9" customHeight="1" x14ac:dyDescent="0.3">
      <c r="A44" s="11"/>
      <c r="B44" s="65" t="s">
        <v>214</v>
      </c>
      <c r="C44" s="66"/>
      <c r="D44" s="66"/>
      <c r="E44" s="9">
        <v>5</v>
      </c>
      <c r="F44" s="20">
        <v>3.5</v>
      </c>
      <c r="G44" s="29">
        <f t="shared" si="0"/>
        <v>0.7</v>
      </c>
      <c r="H44" s="30" t="str">
        <f t="shared" si="1"/>
        <v>جيد</v>
      </c>
      <c r="I44" s="36"/>
      <c r="J44" s="37"/>
    </row>
    <row r="45" spans="1:10" ht="39.9" customHeight="1" x14ac:dyDescent="0.3">
      <c r="A45" s="11"/>
      <c r="B45" s="65" t="s">
        <v>215</v>
      </c>
      <c r="C45" s="66"/>
      <c r="D45" s="66"/>
      <c r="E45" s="9">
        <v>5</v>
      </c>
      <c r="F45" s="20">
        <v>3.5</v>
      </c>
      <c r="G45" s="29">
        <f t="shared" si="0"/>
        <v>0.7</v>
      </c>
      <c r="H45" s="30" t="str">
        <f t="shared" si="1"/>
        <v>جيد</v>
      </c>
      <c r="I45" s="36"/>
      <c r="J45" s="37"/>
    </row>
    <row r="46" spans="1:10" ht="39.9" customHeight="1" thickBot="1" x14ac:dyDescent="0.35">
      <c r="A46" s="11"/>
      <c r="B46" s="67" t="s">
        <v>216</v>
      </c>
      <c r="C46" s="68"/>
      <c r="D46" s="68"/>
      <c r="E46" s="31">
        <v>5</v>
      </c>
      <c r="F46" s="21">
        <v>3.5</v>
      </c>
      <c r="G46" s="32">
        <f t="shared" si="0"/>
        <v>0.7</v>
      </c>
      <c r="H46" s="33" t="str">
        <f t="shared" si="1"/>
        <v>جيد</v>
      </c>
      <c r="I46" s="59"/>
      <c r="J46" s="60"/>
    </row>
    <row r="47" spans="1:10" ht="30" customHeight="1" thickBot="1" x14ac:dyDescent="0.35">
      <c r="A47" s="4"/>
      <c r="B47" s="63" t="s">
        <v>5</v>
      </c>
      <c r="C47" s="64"/>
      <c r="D47" s="64"/>
      <c r="E47" s="10">
        <f>SUM(E8:E46)</f>
        <v>160</v>
      </c>
      <c r="F47" s="10">
        <f>SUM(F8:F46)</f>
        <v>119</v>
      </c>
      <c r="G47" s="69"/>
      <c r="H47" s="70"/>
      <c r="I47" s="70"/>
      <c r="J47" s="71"/>
    </row>
    <row r="48" spans="1:10" ht="30" customHeight="1" thickBot="1" x14ac:dyDescent="0.35">
      <c r="A48" s="4"/>
      <c r="B48" s="63" t="s">
        <v>54</v>
      </c>
      <c r="C48" s="64"/>
      <c r="D48" s="64"/>
      <c r="E48" s="72">
        <f>F47/E47/100*100</f>
        <v>0.74375000000000002</v>
      </c>
      <c r="F48" s="72"/>
      <c r="G48" s="72"/>
      <c r="H48" s="72"/>
      <c r="I48" s="72"/>
      <c r="J48" s="73"/>
    </row>
    <row r="49" spans="1:10" ht="30" customHeight="1" thickBot="1" x14ac:dyDescent="0.35">
      <c r="A49" s="4"/>
      <c r="B49" s="63" t="s">
        <v>55</v>
      </c>
      <c r="C49" s="64"/>
      <c r="D49" s="64"/>
      <c r="E49" s="57" t="str">
        <f>_xlfn.IFS(E48&gt;=90%,"ممتاز",E48&gt;=80%,"جيد جداً",E48&gt;=70%,"جيد",E48&gt;=60%,"مقبول",E48&lt;60%,"راسب")</f>
        <v>جيد</v>
      </c>
      <c r="F49" s="57"/>
      <c r="G49" s="57"/>
      <c r="H49" s="57"/>
      <c r="I49" s="57"/>
      <c r="J49" s="58"/>
    </row>
    <row r="50" spans="1:10" ht="42" customHeight="1" x14ac:dyDescent="0.3">
      <c r="B50" s="53" t="s">
        <v>60</v>
      </c>
      <c r="C50" s="53"/>
      <c r="D50" s="53"/>
      <c r="E50" s="61" t="s">
        <v>52</v>
      </c>
      <c r="F50" s="61"/>
      <c r="G50" s="55" t="s">
        <v>58</v>
      </c>
      <c r="H50" s="55"/>
      <c r="I50" s="55"/>
      <c r="J50" s="55"/>
    </row>
    <row r="51" spans="1:10" ht="51" customHeight="1" x14ac:dyDescent="0.3">
      <c r="A51" s="5"/>
      <c r="B51" s="54"/>
      <c r="C51" s="54"/>
      <c r="D51" s="54"/>
      <c r="E51" s="62" t="s">
        <v>53</v>
      </c>
      <c r="F51" s="62"/>
      <c r="G51" s="56"/>
      <c r="H51" s="56"/>
      <c r="I51" s="56"/>
      <c r="J51" s="56"/>
    </row>
  </sheetData>
  <sheetProtection formatCells="0" formatColumns="0" formatRows="0" insertColumns="0" insertRows="0" insertHyperlinks="0" deleteColumns="0" deleteRows="0" selectLockedCells="1" sort="0" autoFilter="0" pivotTables="0"/>
  <mergeCells count="96">
    <mergeCell ref="B15:D15"/>
    <mergeCell ref="B16:D16"/>
    <mergeCell ref="I9:J9"/>
    <mergeCell ref="B18:D18"/>
    <mergeCell ref="B30:D30"/>
    <mergeCell ref="B8:J8"/>
    <mergeCell ref="B33:J33"/>
    <mergeCell ref="B19:D19"/>
    <mergeCell ref="B20:D20"/>
    <mergeCell ref="B21:D21"/>
    <mergeCell ref="B22:D22"/>
    <mergeCell ref="B23:D23"/>
    <mergeCell ref="B25:D25"/>
    <mergeCell ref="I32:J32"/>
    <mergeCell ref="B17:J17"/>
    <mergeCell ref="B9:D9"/>
    <mergeCell ref="B10:D10"/>
    <mergeCell ref="B11:D11"/>
    <mergeCell ref="B12:D12"/>
    <mergeCell ref="B13:D13"/>
    <mergeCell ref="B14:D14"/>
    <mergeCell ref="B47:D47"/>
    <mergeCell ref="B48:D48"/>
    <mergeCell ref="B45:D45"/>
    <mergeCell ref="B46:D46"/>
    <mergeCell ref="G47:J47"/>
    <mergeCell ref="E48:J48"/>
    <mergeCell ref="B37:D37"/>
    <mergeCell ref="B38:D38"/>
    <mergeCell ref="B39:D39"/>
    <mergeCell ref="B40:D40"/>
    <mergeCell ref="B26:D26"/>
    <mergeCell ref="B27:D27"/>
    <mergeCell ref="B28:D28"/>
    <mergeCell ref="B29:D29"/>
    <mergeCell ref="B32:D32"/>
    <mergeCell ref="B34:D34"/>
    <mergeCell ref="B35:D35"/>
    <mergeCell ref="B36:D36"/>
    <mergeCell ref="B31:D31"/>
    <mergeCell ref="B49:D49"/>
    <mergeCell ref="I11:J11"/>
    <mergeCell ref="I12:J12"/>
    <mergeCell ref="I13:J13"/>
    <mergeCell ref="I14:J14"/>
    <mergeCell ref="I15:J15"/>
    <mergeCell ref="I16:J16"/>
    <mergeCell ref="I18:J18"/>
    <mergeCell ref="I28:J28"/>
    <mergeCell ref="I29:J29"/>
    <mergeCell ref="I26:J26"/>
    <mergeCell ref="I27:J27"/>
    <mergeCell ref="B41:D41"/>
    <mergeCell ref="B42:D42"/>
    <mergeCell ref="B43:D43"/>
    <mergeCell ref="B44:D44"/>
    <mergeCell ref="B50:D51"/>
    <mergeCell ref="G50:J50"/>
    <mergeCell ref="G51:J51"/>
    <mergeCell ref="E49:J49"/>
    <mergeCell ref="I37:J37"/>
    <mergeCell ref="I38:J38"/>
    <mergeCell ref="I39:J39"/>
    <mergeCell ref="I40:J40"/>
    <mergeCell ref="I41:J41"/>
    <mergeCell ref="I46:J46"/>
    <mergeCell ref="I42:J42"/>
    <mergeCell ref="I43:J43"/>
    <mergeCell ref="I44:J44"/>
    <mergeCell ref="I45:J45"/>
    <mergeCell ref="E50:F50"/>
    <mergeCell ref="E51:F5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35:J35"/>
    <mergeCell ref="I36:J36"/>
    <mergeCell ref="I30:J30"/>
    <mergeCell ref="I31:J31"/>
    <mergeCell ref="I34:J34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24:D24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9">
    <cfRule type="expression" dxfId="20" priority="57">
      <formula>$E49="راسب"</formula>
    </cfRule>
  </conditionalFormatting>
  <conditionalFormatting sqref="E49:J49">
    <cfRule type="expression" dxfId="19" priority="58">
      <formula>$E49="مقبول"</formula>
    </cfRule>
    <cfRule type="expression" dxfId="18" priority="59">
      <formula>$E49="جيد"</formula>
    </cfRule>
    <cfRule type="expression" dxfId="17" priority="60">
      <formula>$E49="جيد جداً"</formula>
    </cfRule>
    <cfRule type="expression" dxfId="16" priority="61">
      <formula>$E49="ممتاز"</formula>
    </cfRule>
  </conditionalFormatting>
  <conditionalFormatting sqref="F9:F16">
    <cfRule type="containsText" dxfId="15" priority="4" operator="containsText" text="أدخل العلامة">
      <formula>NOT(ISERROR(SEARCH("أدخل العلامة",F9)))</formula>
    </cfRule>
  </conditionalFormatting>
  <conditionalFormatting sqref="F18:F32 H18:H32 F34:F46 H34:H46">
    <cfRule type="containsText" dxfId="14" priority="38" operator="containsText" text="أدخل العلامة">
      <formula>NOT(ISERROR(SEARCH("أدخل العلامة",F18)))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50:J50">
    <cfRule type="containsText" dxfId="11" priority="15" operator="containsText" text="أدخل اسم المحكم">
      <formula>NOT(ISERROR(SEARCH("أدخل اسم المحكم",G50)))</formula>
    </cfRule>
  </conditionalFormatting>
  <conditionalFormatting sqref="H9:H16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18:H32 H34:H46">
    <cfRule type="containsText" dxfId="4" priority="39" operator="containsText" text="ممتاز">
      <formula>NOT(ISERROR(SEARCH("ممتاز",H18)))</formula>
    </cfRule>
    <cfRule type="containsText" dxfId="3" priority="40" operator="containsText" text="جيد جداً">
      <formula>NOT(ISERROR(SEARCH("جيد جداً",H18)))</formula>
    </cfRule>
    <cfRule type="containsText" dxfId="2" priority="41" operator="containsText" text="جيد">
      <formula>NOT(ISERROR(SEARCH("جيد",H18)))</formula>
    </cfRule>
    <cfRule type="containsText" dxfId="1" priority="42" operator="containsText" text="مقبول">
      <formula>NOT(ISERROR(SEARCH("مقبول",H18)))</formula>
    </cfRule>
    <cfRule type="containsText" dxfId="0" priority="43" operator="containsText" text="راسب">
      <formula>NOT(ISERROR(SEARCH("راسب",H18)))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G50:J50</xm:sqref>
        </x14:dataValidation>
        <x14:dataValidation type="list" allowBlank="1" showInputMessage="1" showErrorMessage="1" xr:uid="{E6976CCA-5A61-4427-9CF4-DF5EFDCB8EF0}">
          <x14:formula1>
            <xm:f>'بيانات التقييم'!$A$197:$A$285</xm:f>
          </x14:formula1>
          <xm:sqref>F3:J3</xm:sqref>
        </x14:dataValidation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F9 F34:F46 F11 F13:F16 F19 F21:F32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285"/>
  <sheetViews>
    <sheetView rightToLeft="1" topLeftCell="A261" workbookViewId="0">
      <selection activeCell="A197" sqref="A197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61</v>
      </c>
    </row>
    <row r="7" spans="1:1" ht="20.100000000000001" customHeight="1" thickBot="1" x14ac:dyDescent="0.35">
      <c r="A7" s="2" t="s">
        <v>62</v>
      </c>
    </row>
    <row r="8" spans="1:1" ht="20.100000000000001" customHeight="1" thickBot="1" x14ac:dyDescent="0.35">
      <c r="A8" s="2" t="s">
        <v>63</v>
      </c>
    </row>
    <row r="9" spans="1:1" ht="20.100000000000001" customHeight="1" thickBot="1" x14ac:dyDescent="0.35">
      <c r="A9" s="2" t="s">
        <v>82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64</v>
      </c>
    </row>
    <row r="12" spans="1:1" ht="20.100000000000001" customHeight="1" thickBot="1" x14ac:dyDescent="0.35">
      <c r="A12" s="2" t="s">
        <v>65</v>
      </c>
    </row>
    <row r="13" spans="1:1" ht="20.100000000000001" customHeight="1" thickBot="1" x14ac:dyDescent="0.35">
      <c r="A13" s="2" t="s">
        <v>66</v>
      </c>
    </row>
    <row r="14" spans="1:1" ht="20.100000000000001" customHeight="1" thickBot="1" x14ac:dyDescent="0.35">
      <c r="A14" s="2" t="s">
        <v>83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67</v>
      </c>
    </row>
    <row r="17" spans="1:1" ht="20.100000000000001" customHeight="1" thickBot="1" x14ac:dyDescent="0.35">
      <c r="A17" s="2" t="s">
        <v>68</v>
      </c>
    </row>
    <row r="18" spans="1:1" ht="20.100000000000001" customHeight="1" thickBot="1" x14ac:dyDescent="0.35">
      <c r="A18" s="2" t="s">
        <v>69</v>
      </c>
    </row>
    <row r="19" spans="1:1" ht="20.100000000000001" customHeight="1" thickBot="1" x14ac:dyDescent="0.35">
      <c r="A19" s="2" t="s">
        <v>84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70</v>
      </c>
    </row>
    <row r="23" spans="1:1" ht="20.100000000000001" customHeight="1" thickBot="1" x14ac:dyDescent="0.35">
      <c r="A23" s="2" t="s">
        <v>71</v>
      </c>
    </row>
    <row r="24" spans="1:1" ht="20.100000000000001" customHeight="1" thickBot="1" x14ac:dyDescent="0.35">
      <c r="A24" s="2" t="s">
        <v>72</v>
      </c>
    </row>
    <row r="25" spans="1:1" ht="20.100000000000001" customHeight="1" thickBot="1" x14ac:dyDescent="0.35">
      <c r="A25" s="2" t="s">
        <v>85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73</v>
      </c>
    </row>
    <row r="28" spans="1:1" ht="20.100000000000001" customHeight="1" thickBot="1" x14ac:dyDescent="0.35">
      <c r="A28" s="2" t="s">
        <v>74</v>
      </c>
    </row>
    <row r="29" spans="1:1" ht="20.100000000000001" customHeight="1" thickBot="1" x14ac:dyDescent="0.35">
      <c r="A29" s="2" t="s">
        <v>75</v>
      </c>
    </row>
    <row r="30" spans="1:1" ht="20.100000000000001" customHeight="1" thickBot="1" x14ac:dyDescent="0.35">
      <c r="A30" s="2" t="s">
        <v>86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76</v>
      </c>
    </row>
    <row r="33" spans="1:1" ht="20.100000000000001" customHeight="1" thickBot="1" x14ac:dyDescent="0.35">
      <c r="A33" s="2" t="s">
        <v>77</v>
      </c>
    </row>
    <row r="34" spans="1:1" ht="20.100000000000001" customHeight="1" thickBot="1" x14ac:dyDescent="0.35">
      <c r="A34" s="2" t="s">
        <v>78</v>
      </c>
    </row>
    <row r="35" spans="1:1" ht="20.100000000000001" customHeight="1" thickBot="1" x14ac:dyDescent="0.35">
      <c r="A35" s="2" t="s">
        <v>87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79</v>
      </c>
    </row>
    <row r="39" spans="1:1" ht="20.100000000000001" customHeight="1" thickBot="1" x14ac:dyDescent="0.35">
      <c r="A39" s="2" t="s">
        <v>80</v>
      </c>
    </row>
    <row r="40" spans="1:1" ht="20.100000000000001" customHeight="1" thickBot="1" x14ac:dyDescent="0.35">
      <c r="A40" s="2" t="s">
        <v>81</v>
      </c>
    </row>
    <row r="41" spans="1:1" ht="20.100000000000001" customHeight="1" thickBot="1" x14ac:dyDescent="0.35">
      <c r="A41" s="2" t="s">
        <v>88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89</v>
      </c>
    </row>
    <row r="44" spans="1:1" ht="20.100000000000001" customHeight="1" thickBot="1" x14ac:dyDescent="0.35">
      <c r="A44" s="2" t="s">
        <v>90</v>
      </c>
    </row>
    <row r="45" spans="1:1" ht="20.100000000000001" customHeight="1" thickBot="1" x14ac:dyDescent="0.35">
      <c r="A45" s="2" t="s">
        <v>91</v>
      </c>
    </row>
    <row r="46" spans="1:1" ht="20.100000000000001" customHeight="1" thickBot="1" x14ac:dyDescent="0.35">
      <c r="A46" s="2" t="s">
        <v>92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93</v>
      </c>
    </row>
    <row r="49" spans="1:1" ht="20.100000000000001" customHeight="1" thickBot="1" x14ac:dyDescent="0.35">
      <c r="A49" s="2" t="s">
        <v>94</v>
      </c>
    </row>
    <row r="50" spans="1:1" ht="20.100000000000001" customHeight="1" thickBot="1" x14ac:dyDescent="0.35">
      <c r="A50" s="2" t="s">
        <v>95</v>
      </c>
    </row>
    <row r="51" spans="1:1" ht="20.100000000000001" customHeight="1" thickBot="1" x14ac:dyDescent="0.35">
      <c r="A51" s="2" t="s">
        <v>96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9"/>
    </row>
    <row r="72" spans="1:8" s="18" customFormat="1" ht="20.100000000000001" customHeight="1" x14ac:dyDescent="0.3">
      <c r="A72" s="16"/>
      <c r="B72" s="17"/>
      <c r="C72" s="17"/>
      <c r="D72" s="17"/>
      <c r="E72" s="17"/>
      <c r="F72" s="17"/>
      <c r="G72" s="17"/>
      <c r="H72" s="17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4">
        <v>45931</v>
      </c>
    </row>
    <row r="76" spans="1:8" ht="20.100000000000001" customHeight="1" thickBot="1" x14ac:dyDescent="0.35">
      <c r="A76" s="14">
        <v>45932</v>
      </c>
    </row>
    <row r="77" spans="1:8" ht="20.100000000000001" customHeight="1" thickBot="1" x14ac:dyDescent="0.35">
      <c r="A77" s="14">
        <v>45933</v>
      </c>
    </row>
    <row r="78" spans="1:8" ht="20.100000000000001" customHeight="1" thickBot="1" x14ac:dyDescent="0.35">
      <c r="A78" s="14">
        <v>45934</v>
      </c>
    </row>
    <row r="79" spans="1:8" ht="20.100000000000001" customHeight="1" thickBot="1" x14ac:dyDescent="0.35">
      <c r="A79" s="14">
        <v>45935</v>
      </c>
    </row>
    <row r="80" spans="1:8" ht="20.100000000000001" customHeight="1" thickBot="1" x14ac:dyDescent="0.35">
      <c r="A80" s="14">
        <v>45936</v>
      </c>
    </row>
    <row r="81" spans="1:1" ht="20.100000000000001" customHeight="1" thickBot="1" x14ac:dyDescent="0.35">
      <c r="A81" s="14">
        <v>45937</v>
      </c>
    </row>
    <row r="82" spans="1:1" ht="20.100000000000001" customHeight="1" thickBot="1" x14ac:dyDescent="0.35">
      <c r="A82" s="14">
        <v>45938</v>
      </c>
    </row>
    <row r="83" spans="1:1" ht="20.100000000000001" customHeight="1" thickBot="1" x14ac:dyDescent="0.35">
      <c r="A83" s="14">
        <v>45939</v>
      </c>
    </row>
    <row r="84" spans="1:1" ht="20.100000000000001" customHeight="1" thickBot="1" x14ac:dyDescent="0.35">
      <c r="A84" s="14">
        <v>45940</v>
      </c>
    </row>
    <row r="85" spans="1:1" ht="20.100000000000001" customHeight="1" thickBot="1" x14ac:dyDescent="0.35">
      <c r="A85" s="14">
        <v>45941</v>
      </c>
    </row>
    <row r="86" spans="1:1" ht="20.100000000000001" customHeight="1" thickBot="1" x14ac:dyDescent="0.35">
      <c r="A86" s="14">
        <v>45942</v>
      </c>
    </row>
    <row r="87" spans="1:1" ht="20.100000000000001" customHeight="1" thickBot="1" x14ac:dyDescent="0.35">
      <c r="A87" s="14">
        <v>45943</v>
      </c>
    </row>
    <row r="88" spans="1:1" ht="20.100000000000001" customHeight="1" thickBot="1" x14ac:dyDescent="0.35">
      <c r="A88" s="14">
        <v>45944</v>
      </c>
    </row>
    <row r="89" spans="1:1" ht="20.100000000000001" customHeight="1" thickBot="1" x14ac:dyDescent="0.35">
      <c r="A89" s="14">
        <v>45945</v>
      </c>
    </row>
    <row r="90" spans="1:1" ht="20.100000000000001" customHeight="1" thickBot="1" x14ac:dyDescent="0.35">
      <c r="A90" s="14">
        <v>45946</v>
      </c>
    </row>
    <row r="91" spans="1:1" ht="20.100000000000001" customHeight="1" thickBot="1" x14ac:dyDescent="0.35">
      <c r="A91" s="14">
        <v>45947</v>
      </c>
    </row>
    <row r="92" spans="1:1" ht="20.100000000000001" customHeight="1" thickBot="1" x14ac:dyDescent="0.35">
      <c r="A92" s="14">
        <v>45948</v>
      </c>
    </row>
    <row r="93" spans="1:1" ht="20.100000000000001" customHeight="1" thickBot="1" x14ac:dyDescent="0.35">
      <c r="A93" s="14">
        <v>45949</v>
      </c>
    </row>
    <row r="94" spans="1:1" ht="20.100000000000001" customHeight="1" thickBot="1" x14ac:dyDescent="0.35">
      <c r="A94" s="14">
        <v>45950</v>
      </c>
    </row>
    <row r="95" spans="1:1" ht="20.100000000000001" customHeight="1" thickBot="1" x14ac:dyDescent="0.35">
      <c r="A95" s="14">
        <v>45951</v>
      </c>
    </row>
    <row r="96" spans="1:1" ht="20.100000000000001" customHeight="1" thickBot="1" x14ac:dyDescent="0.35">
      <c r="A96" s="14">
        <v>45952</v>
      </c>
    </row>
    <row r="97" spans="1:8" ht="20.100000000000001" customHeight="1" thickBot="1" x14ac:dyDescent="0.35">
      <c r="A97" s="14">
        <v>45953</v>
      </c>
    </row>
    <row r="98" spans="1:8" ht="20.100000000000001" customHeight="1" thickBot="1" x14ac:dyDescent="0.35">
      <c r="A98" s="14">
        <v>45954</v>
      </c>
    </row>
    <row r="99" spans="1:8" ht="20.100000000000001" customHeight="1" thickBot="1" x14ac:dyDescent="0.35">
      <c r="A99" s="14">
        <v>45955</v>
      </c>
    </row>
    <row r="100" spans="1:8" ht="20.100000000000001" customHeight="1" thickBot="1" x14ac:dyDescent="0.35">
      <c r="A100" s="14">
        <v>45956</v>
      </c>
    </row>
    <row r="101" spans="1:8" ht="20.100000000000001" customHeight="1" thickBot="1" x14ac:dyDescent="0.35">
      <c r="A101" s="14">
        <v>45957</v>
      </c>
    </row>
    <row r="102" spans="1:8" ht="20.100000000000001" customHeight="1" thickBot="1" x14ac:dyDescent="0.35">
      <c r="A102" s="14">
        <v>45958</v>
      </c>
    </row>
    <row r="103" spans="1:8" ht="20.100000000000001" customHeight="1" thickBot="1" x14ac:dyDescent="0.35">
      <c r="A103" s="14">
        <v>45959</v>
      </c>
    </row>
    <row r="104" spans="1:8" ht="20.100000000000001" customHeight="1" thickBot="1" x14ac:dyDescent="0.35">
      <c r="A104" s="14">
        <v>45960</v>
      </c>
    </row>
    <row r="105" spans="1:8" ht="20.100000000000001" customHeight="1" thickBot="1" x14ac:dyDescent="0.35">
      <c r="A105" s="14">
        <v>45961</v>
      </c>
    </row>
    <row r="106" spans="1:8" ht="20.100000000000001" customHeight="1" x14ac:dyDescent="0.3">
      <c r="A106" s="15"/>
    </row>
    <row r="107" spans="1:8" ht="20.100000000000001" customHeight="1" x14ac:dyDescent="0.3">
      <c r="A107" s="15"/>
    </row>
    <row r="108" spans="1:8" s="18" customFormat="1" ht="20.100000000000001" customHeight="1" x14ac:dyDescent="0.3">
      <c r="A108" s="16"/>
      <c r="B108" s="17"/>
      <c r="C108" s="17"/>
      <c r="D108" s="17"/>
      <c r="E108" s="17"/>
      <c r="F108" s="17"/>
      <c r="G108" s="17"/>
      <c r="H108" s="17"/>
    </row>
    <row r="109" spans="1:8" ht="20.100000000000001" customHeight="1" thickBot="1" x14ac:dyDescent="0.35"/>
    <row r="110" spans="1:8" ht="20.100000000000001" customHeight="1" thickBot="1" x14ac:dyDescent="0.35">
      <c r="A110" s="2" t="s">
        <v>59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  <row r="198" spans="1:1" ht="20.100000000000001" customHeight="1" x14ac:dyDescent="0.3">
      <c r="A198" s="22" t="s">
        <v>97</v>
      </c>
    </row>
    <row r="199" spans="1:1" ht="20.100000000000001" customHeight="1" x14ac:dyDescent="0.3">
      <c r="A199" s="22" t="s">
        <v>98</v>
      </c>
    </row>
    <row r="200" spans="1:1" ht="20.100000000000001" customHeight="1" x14ac:dyDescent="0.3">
      <c r="A200" s="22" t="s">
        <v>99</v>
      </c>
    </row>
    <row r="201" spans="1:1" ht="20.100000000000001" customHeight="1" x14ac:dyDescent="0.3">
      <c r="A201" s="22" t="s">
        <v>100</v>
      </c>
    </row>
    <row r="202" spans="1:1" ht="20.100000000000001" customHeight="1" x14ac:dyDescent="0.3">
      <c r="A202" s="22" t="s">
        <v>101</v>
      </c>
    </row>
    <row r="203" spans="1:1" ht="20.100000000000001" customHeight="1" x14ac:dyDescent="0.3">
      <c r="A203" s="22" t="s">
        <v>102</v>
      </c>
    </row>
    <row r="204" spans="1:1" ht="20.100000000000001" customHeight="1" x14ac:dyDescent="0.3">
      <c r="A204" s="22" t="s">
        <v>103</v>
      </c>
    </row>
    <row r="205" spans="1:1" ht="20.100000000000001" customHeight="1" x14ac:dyDescent="0.3">
      <c r="A205" s="22" t="s">
        <v>104</v>
      </c>
    </row>
    <row r="206" spans="1:1" ht="20.100000000000001" customHeight="1" x14ac:dyDescent="0.3">
      <c r="A206" s="22" t="s">
        <v>105</v>
      </c>
    </row>
    <row r="207" spans="1:1" ht="20.100000000000001" customHeight="1" x14ac:dyDescent="0.3">
      <c r="A207" s="23" t="s">
        <v>106</v>
      </c>
    </row>
    <row r="208" spans="1:1" ht="20.100000000000001" customHeight="1" x14ac:dyDescent="0.3">
      <c r="A208" s="23" t="s">
        <v>107</v>
      </c>
    </row>
    <row r="209" spans="1:1" ht="20.100000000000001" customHeight="1" x14ac:dyDescent="0.3">
      <c r="A209" s="22" t="s">
        <v>108</v>
      </c>
    </row>
    <row r="210" spans="1:1" ht="20.100000000000001" customHeight="1" x14ac:dyDescent="0.3">
      <c r="A210" s="22" t="s">
        <v>109</v>
      </c>
    </row>
    <row r="211" spans="1:1" ht="20.100000000000001" customHeight="1" x14ac:dyDescent="0.3">
      <c r="A211" s="22" t="s">
        <v>110</v>
      </c>
    </row>
    <row r="212" spans="1:1" ht="20.100000000000001" customHeight="1" x14ac:dyDescent="0.3">
      <c r="A212" s="22" t="s">
        <v>111</v>
      </c>
    </row>
    <row r="213" spans="1:1" ht="20.100000000000001" customHeight="1" x14ac:dyDescent="0.3">
      <c r="A213" s="22" t="s">
        <v>112</v>
      </c>
    </row>
    <row r="214" spans="1:1" ht="20.100000000000001" customHeight="1" x14ac:dyDescent="0.3">
      <c r="A214" s="22" t="s">
        <v>113</v>
      </c>
    </row>
    <row r="215" spans="1:1" ht="20.100000000000001" customHeight="1" x14ac:dyDescent="0.3">
      <c r="A215" s="22" t="s">
        <v>114</v>
      </c>
    </row>
    <row r="216" spans="1:1" ht="20.100000000000001" customHeight="1" x14ac:dyDescent="0.3">
      <c r="A216" s="22" t="s">
        <v>115</v>
      </c>
    </row>
    <row r="217" spans="1:1" ht="20.100000000000001" customHeight="1" x14ac:dyDescent="0.3">
      <c r="A217" s="22" t="s">
        <v>116</v>
      </c>
    </row>
    <row r="218" spans="1:1" ht="20.100000000000001" customHeight="1" x14ac:dyDescent="0.3">
      <c r="A218" s="22" t="s">
        <v>117</v>
      </c>
    </row>
    <row r="219" spans="1:1" ht="20.100000000000001" customHeight="1" x14ac:dyDescent="0.3">
      <c r="A219" s="22" t="s">
        <v>118</v>
      </c>
    </row>
    <row r="220" spans="1:1" ht="20.100000000000001" customHeight="1" x14ac:dyDescent="0.3">
      <c r="A220" s="22" t="s">
        <v>119</v>
      </c>
    </row>
    <row r="221" spans="1:1" ht="20.100000000000001" customHeight="1" x14ac:dyDescent="0.3">
      <c r="A221" s="22" t="s">
        <v>120</v>
      </c>
    </row>
    <row r="222" spans="1:1" ht="20.100000000000001" customHeight="1" x14ac:dyDescent="0.3">
      <c r="A222" s="22" t="s">
        <v>121</v>
      </c>
    </row>
    <row r="223" spans="1:1" ht="20.100000000000001" customHeight="1" x14ac:dyDescent="0.3">
      <c r="A223" s="22" t="s">
        <v>122</v>
      </c>
    </row>
    <row r="224" spans="1:1" ht="20.100000000000001" customHeight="1" x14ac:dyDescent="0.3">
      <c r="A224" s="22" t="s">
        <v>123</v>
      </c>
    </row>
    <row r="225" spans="1:1" ht="20.100000000000001" customHeight="1" x14ac:dyDescent="0.3">
      <c r="A225" s="22" t="s">
        <v>124</v>
      </c>
    </row>
    <row r="226" spans="1:1" ht="20.100000000000001" customHeight="1" x14ac:dyDescent="0.3">
      <c r="A226" s="22" t="s">
        <v>125</v>
      </c>
    </row>
    <row r="227" spans="1:1" ht="20.100000000000001" customHeight="1" x14ac:dyDescent="0.3">
      <c r="A227" s="22" t="s">
        <v>126</v>
      </c>
    </row>
    <row r="228" spans="1:1" ht="20.100000000000001" customHeight="1" x14ac:dyDescent="0.3">
      <c r="A228" s="22" t="s">
        <v>127</v>
      </c>
    </row>
    <row r="229" spans="1:1" ht="20.100000000000001" customHeight="1" x14ac:dyDescent="0.3">
      <c r="A229" s="22" t="s">
        <v>128</v>
      </c>
    </row>
    <row r="230" spans="1:1" ht="20.100000000000001" customHeight="1" x14ac:dyDescent="0.3">
      <c r="A230" s="22" t="s">
        <v>129</v>
      </c>
    </row>
    <row r="231" spans="1:1" ht="20.100000000000001" customHeight="1" x14ac:dyDescent="0.3">
      <c r="A231" s="22" t="s">
        <v>130</v>
      </c>
    </row>
    <row r="232" spans="1:1" ht="20.100000000000001" customHeight="1" x14ac:dyDescent="0.3">
      <c r="A232" s="22" t="s">
        <v>131</v>
      </c>
    </row>
    <row r="233" spans="1:1" ht="20.100000000000001" customHeight="1" x14ac:dyDescent="0.3">
      <c r="A233" s="22" t="s">
        <v>132</v>
      </c>
    </row>
    <row r="234" spans="1:1" ht="20.100000000000001" customHeight="1" x14ac:dyDescent="0.3">
      <c r="A234" s="22" t="s">
        <v>133</v>
      </c>
    </row>
    <row r="235" spans="1:1" ht="20.100000000000001" customHeight="1" x14ac:dyDescent="0.3">
      <c r="A235" s="24" t="s">
        <v>134</v>
      </c>
    </row>
    <row r="236" spans="1:1" ht="20.100000000000001" customHeight="1" x14ac:dyDescent="0.3">
      <c r="A236" s="22" t="s">
        <v>135</v>
      </c>
    </row>
    <row r="237" spans="1:1" ht="20.100000000000001" customHeight="1" x14ac:dyDescent="0.3">
      <c r="A237" s="22" t="s">
        <v>136</v>
      </c>
    </row>
    <row r="238" spans="1:1" ht="20.100000000000001" customHeight="1" x14ac:dyDescent="0.3">
      <c r="A238" s="22" t="s">
        <v>137</v>
      </c>
    </row>
    <row r="239" spans="1:1" ht="20.100000000000001" customHeight="1" x14ac:dyDescent="0.3">
      <c r="A239" s="22" t="s">
        <v>138</v>
      </c>
    </row>
    <row r="240" spans="1:1" ht="20.100000000000001" customHeight="1" x14ac:dyDescent="0.3">
      <c r="A240" s="22" t="s">
        <v>139</v>
      </c>
    </row>
    <row r="241" spans="1:1" ht="20.100000000000001" customHeight="1" x14ac:dyDescent="0.3">
      <c r="A241" s="22" t="s">
        <v>140</v>
      </c>
    </row>
    <row r="242" spans="1:1" ht="20.100000000000001" customHeight="1" x14ac:dyDescent="0.3">
      <c r="A242" s="22" t="s">
        <v>141</v>
      </c>
    </row>
    <row r="243" spans="1:1" ht="20.100000000000001" customHeight="1" x14ac:dyDescent="0.3">
      <c r="A243" s="22" t="s">
        <v>142</v>
      </c>
    </row>
    <row r="244" spans="1:1" ht="20.100000000000001" customHeight="1" x14ac:dyDescent="0.3">
      <c r="A244" s="22" t="s">
        <v>143</v>
      </c>
    </row>
    <row r="245" spans="1:1" ht="20.100000000000001" customHeight="1" x14ac:dyDescent="0.3">
      <c r="A245" s="22" t="s">
        <v>144</v>
      </c>
    </row>
    <row r="246" spans="1:1" ht="20.100000000000001" customHeight="1" x14ac:dyDescent="0.3">
      <c r="A246" s="22" t="s">
        <v>145</v>
      </c>
    </row>
    <row r="247" spans="1:1" ht="20.100000000000001" customHeight="1" x14ac:dyDescent="0.3">
      <c r="A247" s="22" t="s">
        <v>136</v>
      </c>
    </row>
    <row r="248" spans="1:1" ht="20.100000000000001" customHeight="1" x14ac:dyDescent="0.3">
      <c r="A248" s="22" t="s">
        <v>146</v>
      </c>
    </row>
    <row r="249" spans="1:1" ht="20.100000000000001" customHeight="1" x14ac:dyDescent="0.3">
      <c r="A249" s="22" t="s">
        <v>147</v>
      </c>
    </row>
    <row r="250" spans="1:1" ht="20.100000000000001" customHeight="1" x14ac:dyDescent="0.3">
      <c r="A250" s="24" t="s">
        <v>148</v>
      </c>
    </row>
    <row r="251" spans="1:1" ht="20.100000000000001" customHeight="1" x14ac:dyDescent="0.3">
      <c r="A251" s="25" t="s">
        <v>149</v>
      </c>
    </row>
    <row r="252" spans="1:1" ht="20.100000000000001" customHeight="1" x14ac:dyDescent="0.3">
      <c r="A252" s="22" t="s">
        <v>150</v>
      </c>
    </row>
    <row r="253" spans="1:1" ht="20.100000000000001" customHeight="1" x14ac:dyDescent="0.3">
      <c r="A253" s="22" t="s">
        <v>151</v>
      </c>
    </row>
    <row r="254" spans="1:1" ht="20.100000000000001" customHeight="1" x14ac:dyDescent="0.3">
      <c r="A254" s="26" t="s">
        <v>152</v>
      </c>
    </row>
    <row r="255" spans="1:1" ht="20.100000000000001" customHeight="1" x14ac:dyDescent="0.3">
      <c r="A255" s="26" t="s">
        <v>153</v>
      </c>
    </row>
    <row r="256" spans="1:1" ht="20.100000000000001" customHeight="1" x14ac:dyDescent="0.3">
      <c r="A256" s="27" t="s">
        <v>154</v>
      </c>
    </row>
    <row r="257" spans="1:1" ht="20.100000000000001" customHeight="1" x14ac:dyDescent="0.3">
      <c r="A257" s="22" t="s">
        <v>155</v>
      </c>
    </row>
    <row r="258" spans="1:1" ht="20.100000000000001" customHeight="1" x14ac:dyDescent="0.3">
      <c r="A258" s="27" t="s">
        <v>156</v>
      </c>
    </row>
    <row r="259" spans="1:1" ht="20.100000000000001" customHeight="1" x14ac:dyDescent="0.3">
      <c r="A259" s="22" t="s">
        <v>157</v>
      </c>
    </row>
    <row r="260" spans="1:1" ht="20.100000000000001" customHeight="1" x14ac:dyDescent="0.3">
      <c r="A260" s="27" t="s">
        <v>158</v>
      </c>
    </row>
    <row r="261" spans="1:1" ht="20.100000000000001" customHeight="1" x14ac:dyDescent="0.3">
      <c r="A261" s="22" t="s">
        <v>159</v>
      </c>
    </row>
    <row r="262" spans="1:1" ht="20.100000000000001" customHeight="1" x14ac:dyDescent="0.3">
      <c r="A262" s="22" t="s">
        <v>160</v>
      </c>
    </row>
    <row r="263" spans="1:1" ht="20.100000000000001" customHeight="1" x14ac:dyDescent="0.3">
      <c r="A263" s="27" t="s">
        <v>161</v>
      </c>
    </row>
    <row r="264" spans="1:1" ht="20.100000000000001" customHeight="1" x14ac:dyDescent="0.3">
      <c r="A264" s="27" t="s">
        <v>162</v>
      </c>
    </row>
    <row r="265" spans="1:1" ht="20.100000000000001" customHeight="1" x14ac:dyDescent="0.3">
      <c r="A265" s="27" t="s">
        <v>163</v>
      </c>
    </row>
    <row r="266" spans="1:1" ht="20.100000000000001" customHeight="1" x14ac:dyDescent="0.3">
      <c r="A266" s="22" t="s">
        <v>164</v>
      </c>
    </row>
    <row r="267" spans="1:1" ht="20.100000000000001" customHeight="1" x14ac:dyDescent="0.3">
      <c r="A267" s="22" t="s">
        <v>165</v>
      </c>
    </row>
    <row r="268" spans="1:1" ht="20.100000000000001" customHeight="1" x14ac:dyDescent="0.3">
      <c r="A268" s="22" t="s">
        <v>166</v>
      </c>
    </row>
    <row r="269" spans="1:1" ht="20.100000000000001" customHeight="1" x14ac:dyDescent="0.3">
      <c r="A269" s="22" t="s">
        <v>167</v>
      </c>
    </row>
    <row r="270" spans="1:1" ht="20.100000000000001" customHeight="1" x14ac:dyDescent="0.3">
      <c r="A270" s="27" t="s">
        <v>168</v>
      </c>
    </row>
    <row r="271" spans="1:1" ht="20.100000000000001" customHeight="1" x14ac:dyDescent="0.3">
      <c r="A271" s="27" t="s">
        <v>169</v>
      </c>
    </row>
    <row r="272" spans="1:1" ht="20.100000000000001" customHeight="1" x14ac:dyDescent="0.3">
      <c r="A272" s="22" t="s">
        <v>170</v>
      </c>
    </row>
    <row r="273" spans="1:1" ht="20.100000000000001" customHeight="1" x14ac:dyDescent="0.3">
      <c r="A273" s="27" t="s">
        <v>171</v>
      </c>
    </row>
    <row r="274" spans="1:1" ht="20.100000000000001" customHeight="1" x14ac:dyDescent="0.3">
      <c r="A274" s="27" t="s">
        <v>172</v>
      </c>
    </row>
    <row r="275" spans="1:1" ht="20.100000000000001" customHeight="1" x14ac:dyDescent="0.3">
      <c r="A275" s="22" t="s">
        <v>173</v>
      </c>
    </row>
    <row r="276" spans="1:1" ht="20.100000000000001" customHeight="1" x14ac:dyDescent="0.3">
      <c r="A276" s="22" t="s">
        <v>174</v>
      </c>
    </row>
    <row r="277" spans="1:1" ht="20.100000000000001" customHeight="1" x14ac:dyDescent="0.3">
      <c r="A277" s="27" t="s">
        <v>175</v>
      </c>
    </row>
    <row r="278" spans="1:1" ht="20.100000000000001" customHeight="1" x14ac:dyDescent="0.3">
      <c r="A278" s="22" t="s">
        <v>176</v>
      </c>
    </row>
    <row r="279" spans="1:1" ht="20.100000000000001" customHeight="1" x14ac:dyDescent="0.3">
      <c r="A279" s="22" t="s">
        <v>177</v>
      </c>
    </row>
    <row r="280" spans="1:1" ht="20.100000000000001" customHeight="1" x14ac:dyDescent="0.3">
      <c r="A280" s="22" t="s">
        <v>178</v>
      </c>
    </row>
    <row r="281" spans="1:1" ht="20.100000000000001" customHeight="1" x14ac:dyDescent="0.3">
      <c r="A281" s="22" t="s">
        <v>179</v>
      </c>
    </row>
    <row r="282" spans="1:1" ht="20.100000000000001" customHeight="1" x14ac:dyDescent="0.3">
      <c r="A282" s="27" t="s">
        <v>180</v>
      </c>
    </row>
    <row r="283" spans="1:1" ht="20.100000000000001" customHeight="1" x14ac:dyDescent="0.3">
      <c r="A283" s="27" t="s">
        <v>181</v>
      </c>
    </row>
    <row r="284" spans="1:1" ht="20.100000000000001" customHeight="1" x14ac:dyDescent="0.3">
      <c r="A284" s="27" t="s">
        <v>182</v>
      </c>
    </row>
    <row r="285" spans="1:1" ht="20.100000000000001" customHeight="1" x14ac:dyDescent="0.3">
      <c r="A285" s="2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2025-10-07T20:39:15Z</dcterms:modified>
</cp:coreProperties>
</file>