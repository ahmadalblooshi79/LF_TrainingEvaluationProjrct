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262477D-21FB-4C1C-BCD5-1C241E15544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s="1"/>
  <c r="G14" i="2"/>
  <c r="H14" i="2"/>
  <c r="G15" i="2"/>
  <c r="H15" i="2"/>
  <c r="G16" i="2"/>
  <c r="H16" i="2"/>
  <c r="G17" i="2"/>
  <c r="H17" i="2"/>
  <c r="G18" i="2"/>
  <c r="H18" i="2"/>
  <c r="G20" i="2"/>
  <c r="H20" i="2"/>
  <c r="G21" i="2"/>
  <c r="H21" i="2"/>
  <c r="G22" i="2"/>
  <c r="H22" i="2"/>
  <c r="G23" i="2"/>
  <c r="H23" i="2"/>
  <c r="G24" i="2"/>
  <c r="H24" i="2"/>
  <c r="G25" i="2"/>
  <c r="H25" i="2"/>
  <c r="G26" i="2"/>
  <c r="H26" i="2"/>
  <c r="F27" i="2"/>
  <c r="E27" i="2"/>
  <c r="E28" i="2" s="1"/>
  <c r="E29" i="2" s="1"/>
</calcChain>
</file>

<file path=xl/sharedStrings.xml><?xml version="1.0" encoding="utf-8"?>
<sst xmlns="http://schemas.openxmlformats.org/spreadsheetml/2006/main" count="253" uniqueCount="196">
  <si>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</si>
  <si>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</si>
  <si>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</si>
  <si>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</si>
  <si>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</si>
  <si>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</si>
  <si>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</si>
  <si>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</si>
  <si>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</si>
  <si>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</si>
  <si>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</si>
  <si>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</si>
  <si>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</si>
  <si>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</si>
  <si>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</si>
  <si>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</si>
  <si>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</si>
  <si>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</si>
  <si>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</si>
  <si>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</si>
  <si>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</si>
  <si>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</si>
  <si>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</si>
  <si>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</si>
  <si>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</si>
  <si>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</si>
  <si>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</si>
  <si>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</si>
  <si>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</si>
  <si>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</si>
  <si>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</si>
  <si>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</si>
  <si>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</si>
  <si>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</si>
  <si>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</si>
  <si>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</si>
  <si>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</si>
  <si>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</si>
  <si>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</si>
  <si>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</si>
  <si>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</si>
  <si>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</si>
  <si>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</si>
  <si>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</si>
  <si>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</si>
  <si>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</si>
  <si>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</si>
  <si>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</si>
  <si>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</si>
  <si>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</si>
  <si>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</si>
  <si>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</si>
  <si>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</si>
  <si>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</si>
  <si>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</si>
  <si>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</si>
  <si>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</si>
  <si>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</si>
  <si>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</si>
  <si>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</si>
  <si>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</si>
  <si>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</si>
  <si>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</si>
  <si>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</si>
  <si>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</si>
  <si>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</si>
  <si>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</si>
  <si>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</si>
  <si>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</si>
  <si>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</si>
  <si>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</si>
  <si>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</si>
  <si>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</si>
  <si>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</si>
  <si>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</si>
  <si>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</si>
  <si>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</si>
  <si>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</si>
  <si>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</si>
  <si>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</si>
  <si>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</si>
  <si>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</si>
  <si>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</si>
  <si>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</si>
  <si>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</si>
  <si>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</si>
  <si>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</si>
  <si>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</si>
  <si>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</si>
  <si>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</si>
  <si>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</si>
  <si>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</si>
  <si>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</si>
  <si>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</si>
  <si>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</si>
  <si>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</si>
  <si>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</si>
  <si>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</si>
  <si>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</si>
  <si>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</si>
  <si>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</si>
  <si>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</si>
  <si>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</si>
  <si>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</si>
  <si>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</si>
  <si>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</si>
  <si>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</si>
  <si>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</si>
  <si>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</si>
  <si>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</si>
  <si>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</si>
  <si>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</si>
  <si>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</si>
  <si>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</si>
  <si>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</si>
  <si>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</si>
  <si>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</si>
  <si>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</si>
  <si>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</si>
  <si>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</si>
  <si>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</si>
  <si>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</si>
  <si>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</si>
  <si>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</si>
  <si>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</si>
  <si>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</si>
  <si>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</si>
  <si>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</si>
  <si>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</si>
  <si>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</si>
  <si>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</si>
  <si>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</si>
  <si>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</si>
  <si>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</si>
  <si>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</si>
  <si>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</si>
  <si>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</si>
  <si>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</si>
  <si>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</si>
  <si>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</si>
  <si>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</si>
  <si>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</si>
  <si>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</si>
  <si>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</si>
  <si>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</si>
  <si>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</si>
  <si>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</si>
  <si>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</si>
  <si>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</si>
  <si>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</si>
  <si>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</si>
  <si>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</si>
  <si>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</si>
  <si>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</si>
  <si>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</si>
  <si>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</si>
  <si>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</si>
  <si>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</si>
  <si>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</si>
  <si>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</si>
  <si>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</si>
  <si>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</si>
  <si>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</si>
  <si>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</si>
  <si>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</si>
  <si>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</si>
  <si>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</si>
  <si>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</si>
  <si>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</si>
  <si>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</si>
  <si>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</si>
  <si>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</si>
  <si>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</si>
  <si>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</si>
  <si>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</si>
  <si>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</si>
  <si>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</si>
  <si>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يعمل قائد سرية الاستطلاع على فهم الموقف باستخدام معدات الاتصال المتوفرة، والخرائط .</t>
    </r>
  </si>
  <si>
    <r>
      <t>2.</t>
    </r>
    <r>
      <rPr>
        <sz val="7"/>
        <color rgb="FF000000"/>
        <rFont val="Times New Roman"/>
        <family val="1"/>
      </rPr>
      <t xml:space="preserve">        </t>
    </r>
    <r>
      <rPr>
        <sz val="12"/>
        <color rgb="FF000000"/>
        <rFont val="Arial"/>
        <family val="2"/>
      </rPr>
      <t>يقوم قائد السرية بدراسة الارض على ضوء خطة سرية الاستطلاع وخطة جمع المعلومات الصادرة من ركن استخبارات اللواء بوضع خطته ويقوم بتوزيع مجموعات سرية الاستطلاع وبحيث تغطي محور التقدم على أن تكون أقواس المراقبة متقاطعة بين المجموعات مع الاحتفاظ بعناصر أو مجموعات استطلاع كاحتياط لتبديل أو تعويض مجموعات سرية الاستطلاع أو دفعها في اتجاه آخر.</t>
    </r>
  </si>
  <si>
    <t>إجراءات التحضير.</t>
  </si>
  <si>
    <r>
      <t>1.</t>
    </r>
    <r>
      <rPr>
        <sz val="7"/>
        <color rgb="FF000000"/>
        <rFont val="Times New Roman"/>
        <family val="1"/>
      </rPr>
      <t xml:space="preserve">        </t>
    </r>
    <r>
      <rPr>
        <sz val="12"/>
        <color rgb="FF000000"/>
        <rFont val="Arial"/>
        <family val="2"/>
      </rPr>
      <t>يقوم قائد سرية الاستطلاع بالإشراف على الفصائل أثناء تحضيرها للتقدم للتماس.</t>
    </r>
  </si>
  <si>
    <r>
      <t>2.</t>
    </r>
    <r>
      <rPr>
        <sz val="7"/>
        <color rgb="FF000000"/>
        <rFont val="Times New Roman"/>
        <family val="1"/>
      </rPr>
      <t xml:space="preserve">        </t>
    </r>
    <r>
      <rPr>
        <sz val="12"/>
        <color rgb="FF000000"/>
        <rFont val="Arial"/>
        <family val="2"/>
      </rPr>
      <t>تنفذ قيادة سرية الاستطلاع الإجراءات التالية:</t>
    </r>
  </si>
  <si>
    <t>أ. تنقيح الخطة بناءً على التحديث المستمر للمعلومات الاستخبارية.</t>
  </si>
  <si>
    <t>ب. تنفيذ الاستطلاع الواسع.</t>
  </si>
  <si>
    <t>جـ. تنفيذ تفقدات وتفتيشات ما قبل القتال.</t>
  </si>
  <si>
    <t>د. التنسيق مع قيادة اللواء.</t>
  </si>
  <si>
    <t>هـ. الإشراف على عملية التخطيط والتحضير للوحدات المرؤوسة لضمان أن التخطيط والتحضير يتماشى مع قصد قائد مجموعة اللواء.</t>
  </si>
  <si>
    <r>
      <t xml:space="preserve">2.       </t>
    </r>
    <r>
      <rPr>
        <u/>
        <sz val="12"/>
        <color rgb="FF000000"/>
        <rFont val="Arial"/>
        <family val="2"/>
      </rPr>
      <t>مجموعات الاستطلاع</t>
    </r>
    <r>
      <rPr>
        <sz val="12"/>
        <color rgb="FF000000"/>
        <rFont val="Arial"/>
        <family val="2"/>
      </rPr>
      <t>. تندفع مجاميع الاستطلاع أمام التشكيل المتقدم، أو على الأجنحة المكشوفة لمجموعة اللواء المتقدم.</t>
    </r>
  </si>
  <si>
    <r>
      <t xml:space="preserve">3.       </t>
    </r>
    <r>
      <rPr>
        <b/>
        <u/>
        <sz val="12"/>
        <color rgb="FF000000"/>
        <rFont val="Arial"/>
        <family val="2"/>
      </rPr>
      <t>الطائرات المسيرة.</t>
    </r>
    <r>
      <rPr>
        <sz val="12"/>
        <color rgb="FF000000"/>
        <rFont val="Arial"/>
        <family val="2"/>
      </rPr>
      <t xml:space="preserve"> تقوم بتأكيد معلومات المتحصل عليها من قبل عناصر الاستطلاع الاخرى.</t>
    </r>
  </si>
  <si>
    <t xml:space="preserve">4.       يقوم قائد سرية الاستطلاع بعمل استطلاع المنطقة للحصول على معلومات تفصيلية تخص طبيعة الأرض أو نشاط العدو. </t>
  </si>
  <si>
    <t>5.       يقوم قائد سرية الاستطلاع بتنفيذ استطلاع الممر لتطهير الممرات من الموانع وقوات العدو والحصول على معلومات مفصلة عن ممر معين.</t>
  </si>
  <si>
    <t>6.       إبلاغ المستوى الأعلى بحصول التماس.</t>
  </si>
  <si>
    <t>7.       التقيد بقواعد الاشتباك.</t>
  </si>
  <si>
    <r>
      <t xml:space="preserve">1.       </t>
    </r>
    <r>
      <rPr>
        <u/>
        <sz val="12"/>
        <color rgb="FF000000"/>
        <rFont val="Arial"/>
        <family val="2"/>
      </rPr>
      <t>نقاط المراقبة الرادارية</t>
    </r>
    <r>
      <rPr>
        <sz val="12"/>
        <color rgb="FF000000"/>
        <rFont val="Arial"/>
        <family val="2"/>
      </rPr>
      <t>. يندفع الرادار بالقفزات وطبقاً للتوقيتات المحددة في خطة الاستطلاع خلف سرية مقدمة الحرس.</t>
    </r>
  </si>
  <si>
    <r>
      <t>إجراءات التنفيذ</t>
    </r>
    <r>
      <rPr>
        <sz val="12"/>
        <color rgb="FF000000"/>
        <rFont val="Arial"/>
        <family val="2"/>
      </rPr>
      <t>. نفذ  مهام الاستطلاع التالية:</t>
    </r>
  </si>
  <si>
    <r>
      <rPr>
        <b/>
        <sz val="14"/>
        <color rgb="FF000000"/>
        <rFont val="Arial"/>
        <family val="2"/>
      </rPr>
      <t>تقييم سرية الاستطلاع في تنفيذ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</si>
</sst>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sz val="7"/>
      <color rgb="FF000000"/>
      <name val="Times New Roman"/>
      <family val="1"/>
    </font>
    <font>
      <u/>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3" fillId="0" borderId="4" xfId="0" applyFont="1" applyBorder="1" applyAlignment="1">
      <alignment vertical="center"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21"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2" fillId="0" borderId="21"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 fillId="0" borderId="5"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64761</xdr:colOff>
      <xdr:row>30</xdr:row>
      <xdr:rowOff>34420</xdr:rowOff>
    </xdr:from>
    <xdr:to>
      <xdr:col>8</xdr:col>
      <xdr:colOff>33360</xdr:colOff>
      <xdr:row>31</xdr:row>
      <xdr:rowOff>82767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7936F08-7765-F1C0-2348-9C416E472369}"/>
                </a:ext>
              </a:extLst>
            </xdr14:cNvPr>
            <xdr14:cNvContentPartPr/>
          </xdr14:nvContentPartPr>
          <xdr14:nvPr macro=""/>
          <xdr14:xfrm>
            <a:off x="10399213197" y="13394160"/>
            <a:ext cx="1288080" cy="699840"/>
          </xdr14:xfrm>
        </xdr:contentPart>
      </mc:Choice>
      <mc:Fallback xmlns="">
        <xdr:pic>
          <xdr:nvPicPr>
            <xdr:cNvPr id="2" name="Ink 1">
              <a:extLst>
                <a:ext uri="{FF2B5EF4-FFF2-40B4-BE49-F238E27FC236}">
                  <a16:creationId xmlns:a16="http://schemas.microsoft.com/office/drawing/2014/main" id="{77936F08-7765-F1C0-2348-9C416E472369}"/>
                </a:ext>
              </a:extLst>
            </xdr:cNvPr>
            <xdr:cNvPicPr/>
          </xdr:nvPicPr>
          <xdr:blipFill>
            <a:blip xmlns:r="http://schemas.openxmlformats.org/officeDocument/2006/relationships" r:embed="rId2"/>
            <a:stretch>
              <a:fillRect/>
            </a:stretch>
          </xdr:blipFill>
          <xdr:spPr>
            <a:xfrm>
              <a:off x="10399204197" y="13385520"/>
              <a:ext cx="1305720" cy="717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05:24:34.969"/>
    </inkml:context>
    <inkml:brush xml:id="br0">
      <inkml:brushProperty name="width" value="0.05" units="cm"/>
      <inkml:brushProperty name="height" value="0.05" units="cm"/>
    </inkml:brush>
  </inkml:definitions>
  <inkml:trace contextRef="#ctx0" brushRef="#br0">3085 298,'0'0,"0"0,0 0,0 0,-24 0,22 0,-16 0,-5 23,20-20,-39 17,21 3,17-20,-38 17,-2 26,39-40,-35 34,-4 5,39-39,-11 34,16 6,0-40,0 34,21-17,-16-20,34 17,6 3,-38-20,30-6,30 3,-55 0,44 0,32 0,-73 0,35-23,18 23,-57 0,43-23,-10 23,-36 0,31 0,-18 0,-19 0,19-23,-21 46,0-20,-23-6,-22 26,41-20,-80 17,-48 25,110-37,-134 30,-23 8,156-40,-196 57,-25 5,207-58,-170 71,-38-12,210-59,-107 49,9-14,117-38,-79 9,29 30,57-39,-49 9,14-16,39 0,-12 0,-6-23,21 20,-16 6,-6-26,22 20,4-17,-2-3,0 20,24-39,-4 19,-17 19,17-38,2 19,-20 19,-4-15,25-4,-21 19,-27-15,25-4,0 20,-45 6,1-3,37 0,-30 0,-31 0,59 0,-46 0,-13 23,58-19,-69-8,35 27,37-19,-52-8,16 4,33 0,-25 0,12 0,21 0,4-23,-2 0,0 20,23-17,22-25,-38 37,51-52,30-32,-74 77,61-61,-7 7,-57 57,42-22,15-35,-56 58,20-23,12-12,-34 38,-20-7,10-8,0 19,-20 8,-25-27,39 19,-32 8,-53 19,77-20,-105 17,-13 26,113-39,-118 31,4 8,112-38,-67 30,-24 8,95-39,-78 9,30 30,53-39,0 9,-8-16,17 0,26 0,22-23,-36 19,117-38,50-4,-145 38,116-53,53-7,-170 57,205-70,31-11,-224 78,183-63,41 8,-224 58,69-24,2 12,-98 20,81-17,-8-3,-73 20,15-16,14 19,-39 0,10-23,-35 23,17 0,-17 0,17 0,-15 23,-27-1,38-18,-97 38,-50 50,129-78,-129 109,-67 61,188-157,-155 129,-33 73,183-192,-148 131,-57 61,205-191,-191 222,-13-8,203-211,78-82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1"/>
  <sheetViews>
    <sheetView rightToLeft="1" tabSelected="1" view="pageBreakPreview" zoomScale="130" zoomScaleNormal="100" zoomScaleSheetLayoutView="130" workbookViewId="0">
      <selection activeCell="B5" sqref="B5:D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2" t="s">
        <v>195</v>
      </c>
      <c r="C1" s="62"/>
      <c r="D1" s="62"/>
      <c r="E1" s="62"/>
      <c r="F1" s="62"/>
      <c r="G1" s="62"/>
      <c r="H1" s="62"/>
      <c r="I1" s="62"/>
      <c r="J1" s="62"/>
    </row>
    <row r="2" spans="1:10" ht="30" customHeight="1" x14ac:dyDescent="0.3">
      <c r="B2" s="13" t="s">
        <v>8</v>
      </c>
      <c r="C2" s="68" t="s">
        <v>10</v>
      </c>
      <c r="D2" s="68"/>
      <c r="E2" s="13" t="s">
        <v>7</v>
      </c>
      <c r="F2" s="63">
        <v>45923</v>
      </c>
      <c r="G2" s="63"/>
      <c r="H2" s="63"/>
      <c r="I2" s="63"/>
      <c r="J2" s="63"/>
    </row>
    <row r="3" spans="1:10" ht="30" customHeight="1" x14ac:dyDescent="0.3">
      <c r="B3" s="13" t="s">
        <v>9</v>
      </c>
      <c r="C3" s="68" t="s">
        <v>65</v>
      </c>
      <c r="D3" s="68"/>
      <c r="E3" s="13" t="s">
        <v>6</v>
      </c>
      <c r="F3" s="68" t="s">
        <v>114</v>
      </c>
      <c r="G3" s="68"/>
      <c r="H3" s="68"/>
      <c r="I3" s="68"/>
      <c r="J3" s="68"/>
    </row>
    <row r="4" spans="1:10" ht="30" customHeight="1" thickBot="1" x14ac:dyDescent="0.35">
      <c r="B4" s="6"/>
      <c r="C4" s="7"/>
      <c r="D4" s="7"/>
      <c r="E4" s="6"/>
      <c r="F4" s="7"/>
      <c r="G4" s="7"/>
      <c r="H4" s="8"/>
      <c r="I4" s="7"/>
      <c r="J4" s="7"/>
    </row>
    <row r="5" spans="1:10" ht="24.9" customHeight="1" x14ac:dyDescent="0.3">
      <c r="A5" s="11"/>
      <c r="B5" s="64" t="s">
        <v>0</v>
      </c>
      <c r="C5" s="65"/>
      <c r="D5" s="65"/>
      <c r="E5" s="71" t="s">
        <v>1</v>
      </c>
      <c r="F5" s="71"/>
      <c r="G5" s="71"/>
      <c r="H5" s="71"/>
      <c r="I5" s="71" t="s">
        <v>2</v>
      </c>
      <c r="J5" s="72"/>
    </row>
    <row r="6" spans="1:10" ht="24.9" customHeight="1" thickBot="1" x14ac:dyDescent="0.35">
      <c r="A6" s="11"/>
      <c r="B6" s="66"/>
      <c r="C6" s="67"/>
      <c r="D6" s="67"/>
      <c r="E6" s="12" t="s">
        <v>3</v>
      </c>
      <c r="F6" s="12" t="s">
        <v>4</v>
      </c>
      <c r="G6" s="12" t="s">
        <v>23</v>
      </c>
      <c r="H6" s="12" t="s">
        <v>24</v>
      </c>
      <c r="I6" s="73"/>
      <c r="J6" s="74"/>
    </row>
    <row r="7" spans="1:10" ht="24.9" customHeight="1" thickBot="1" x14ac:dyDescent="0.35">
      <c r="A7" s="11"/>
      <c r="B7" s="69" t="s">
        <v>21</v>
      </c>
      <c r="C7" s="70"/>
      <c r="D7" s="70"/>
      <c r="E7" s="29" t="s">
        <v>18</v>
      </c>
      <c r="F7" s="29" t="s">
        <v>19</v>
      </c>
      <c r="G7" s="29" t="s">
        <v>22</v>
      </c>
      <c r="H7" s="29" t="s">
        <v>20</v>
      </c>
      <c r="I7" s="75" t="s">
        <v>25</v>
      </c>
      <c r="J7" s="76"/>
    </row>
    <row r="8" spans="1:10" ht="30" customHeight="1" x14ac:dyDescent="0.3">
      <c r="A8" s="11"/>
      <c r="B8" s="47" t="s">
        <v>176</v>
      </c>
      <c r="C8" s="48"/>
      <c r="D8" s="48"/>
      <c r="E8" s="32"/>
      <c r="F8" s="33"/>
      <c r="G8" s="34"/>
      <c r="H8" s="35"/>
      <c r="I8" s="56"/>
      <c r="J8" s="57"/>
    </row>
    <row r="9" spans="1:10" ht="39.9" customHeight="1" x14ac:dyDescent="0.3">
      <c r="A9" s="11"/>
      <c r="B9" s="39" t="s">
        <v>177</v>
      </c>
      <c r="C9" s="40"/>
      <c r="D9" s="40"/>
      <c r="E9" s="9">
        <v>5</v>
      </c>
      <c r="F9" s="27">
        <v>3.75</v>
      </c>
      <c r="G9" s="30">
        <f>IFERROR(F9/E9,"")</f>
        <v>0.75</v>
      </c>
      <c r="H9" s="31" t="str">
        <f>_xlfn.IFS(F9="أدخل العلامة","",F9="لا ينطبق","تم الإلغاء",G9&gt;=90%,"ممتاز",G9&gt;=80%,"جيد جداً",G9&gt;=70%,"جيد",G9&gt;=60%,"مقبول",G9&lt;60%,"راسب")</f>
        <v>جيد</v>
      </c>
      <c r="I9" s="49"/>
      <c r="J9" s="50"/>
    </row>
    <row r="10" spans="1:10" ht="96" customHeight="1" thickBot="1" x14ac:dyDescent="0.35">
      <c r="A10" s="11"/>
      <c r="B10" s="41" t="s">
        <v>178</v>
      </c>
      <c r="C10" s="42"/>
      <c r="D10" s="42"/>
      <c r="E10" s="36">
        <v>5</v>
      </c>
      <c r="F10" s="28">
        <v>3.75</v>
      </c>
      <c r="G10" s="37">
        <f t="shared" ref="G10:G26" si="0">IFERROR(F10/E10,"")</f>
        <v>0.75</v>
      </c>
      <c r="H10" s="38" t="str">
        <f t="shared" ref="H10:H26" si="1">_xlfn.IFS(F10="أدخل العلامة","",F10="لا ينطبق","تم الإلغاء",G10&gt;=90%,"ممتاز",G10&gt;=80%,"جيد جداً",G10&gt;=70%,"جيد",G10&gt;=60%,"مقبول",G10&lt;60%,"راسب")</f>
        <v>جيد</v>
      </c>
      <c r="I10" s="58"/>
      <c r="J10" s="59"/>
    </row>
    <row r="11" spans="1:10" ht="30" customHeight="1" x14ac:dyDescent="0.3">
      <c r="A11" s="11"/>
      <c r="B11" s="47" t="s">
        <v>179</v>
      </c>
      <c r="C11" s="48"/>
      <c r="D11" s="48"/>
      <c r="E11" s="32"/>
      <c r="F11" s="33"/>
      <c r="G11" s="34"/>
      <c r="H11" s="35"/>
      <c r="I11" s="56"/>
      <c r="J11" s="57"/>
    </row>
    <row r="12" spans="1:10" ht="39.9" customHeight="1" x14ac:dyDescent="0.3">
      <c r="A12" s="11"/>
      <c r="B12" s="39" t="s">
        <v>180</v>
      </c>
      <c r="C12" s="40"/>
      <c r="D12" s="40"/>
      <c r="E12" s="9">
        <v>5</v>
      </c>
      <c r="F12" s="27">
        <v>3.75</v>
      </c>
      <c r="G12" s="30">
        <f t="shared" si="0"/>
        <v>0.75</v>
      </c>
      <c r="H12" s="31" t="str">
        <f t="shared" si="1"/>
        <v>جيد</v>
      </c>
      <c r="I12" s="49"/>
      <c r="J12" s="50"/>
    </row>
    <row r="13" spans="1:10" ht="30" customHeight="1" x14ac:dyDescent="0.3">
      <c r="A13" s="11"/>
      <c r="B13" s="39" t="s">
        <v>181</v>
      </c>
      <c r="C13" s="40"/>
      <c r="D13" s="40"/>
      <c r="E13" s="9">
        <v>0</v>
      </c>
      <c r="F13" s="27" t="s">
        <v>17</v>
      </c>
      <c r="G13" s="30" t="str">
        <f t="shared" si="0"/>
        <v/>
      </c>
      <c r="H13" s="31" t="str">
        <f t="shared" si="1"/>
        <v>تم الإلغاء</v>
      </c>
      <c r="I13" s="49"/>
      <c r="J13" s="50"/>
    </row>
    <row r="14" spans="1:10" ht="30" customHeight="1" x14ac:dyDescent="0.3">
      <c r="A14" s="11"/>
      <c r="B14" s="43" t="s">
        <v>182</v>
      </c>
      <c r="C14" s="44"/>
      <c r="D14" s="44"/>
      <c r="E14" s="9">
        <v>5</v>
      </c>
      <c r="F14" s="27">
        <v>3.75</v>
      </c>
      <c r="G14" s="30">
        <f t="shared" si="0"/>
        <v>0.75</v>
      </c>
      <c r="H14" s="31" t="str">
        <f t="shared" si="1"/>
        <v>جيد</v>
      </c>
      <c r="I14" s="49"/>
      <c r="J14" s="50"/>
    </row>
    <row r="15" spans="1:10" ht="30" customHeight="1" x14ac:dyDescent="0.3">
      <c r="A15" s="11"/>
      <c r="B15" s="43" t="s">
        <v>183</v>
      </c>
      <c r="C15" s="44"/>
      <c r="D15" s="44"/>
      <c r="E15" s="9">
        <v>5</v>
      </c>
      <c r="F15" s="27">
        <v>3.75</v>
      </c>
      <c r="G15" s="30">
        <f t="shared" si="0"/>
        <v>0.75</v>
      </c>
      <c r="H15" s="31" t="str">
        <f t="shared" si="1"/>
        <v>جيد</v>
      </c>
      <c r="I15" s="49"/>
      <c r="J15" s="50"/>
    </row>
    <row r="16" spans="1:10" ht="30" customHeight="1" x14ac:dyDescent="0.3">
      <c r="A16" s="11"/>
      <c r="B16" s="43" t="s">
        <v>184</v>
      </c>
      <c r="C16" s="44"/>
      <c r="D16" s="44"/>
      <c r="E16" s="9">
        <v>5</v>
      </c>
      <c r="F16" s="27">
        <v>3.75</v>
      </c>
      <c r="G16" s="30">
        <f t="shared" si="0"/>
        <v>0.75</v>
      </c>
      <c r="H16" s="31" t="str">
        <f t="shared" si="1"/>
        <v>جيد</v>
      </c>
      <c r="I16" s="49"/>
      <c r="J16" s="50"/>
    </row>
    <row r="17" spans="1:10" ht="30" customHeight="1" x14ac:dyDescent="0.3">
      <c r="A17" s="11"/>
      <c r="B17" s="43" t="s">
        <v>185</v>
      </c>
      <c r="C17" s="44"/>
      <c r="D17" s="44"/>
      <c r="E17" s="9">
        <v>5</v>
      </c>
      <c r="F17" s="27">
        <v>4.25</v>
      </c>
      <c r="G17" s="30">
        <f t="shared" si="0"/>
        <v>0.85</v>
      </c>
      <c r="H17" s="31" t="str">
        <f t="shared" si="1"/>
        <v>جيد جداً</v>
      </c>
      <c r="I17" s="49"/>
      <c r="J17" s="50"/>
    </row>
    <row r="18" spans="1:10" ht="39.9" customHeight="1" thickBot="1" x14ac:dyDescent="0.35">
      <c r="A18" s="11"/>
      <c r="B18" s="45" t="s">
        <v>186</v>
      </c>
      <c r="C18" s="46"/>
      <c r="D18" s="46"/>
      <c r="E18" s="36">
        <v>5</v>
      </c>
      <c r="F18" s="28">
        <v>3.75</v>
      </c>
      <c r="G18" s="37">
        <f t="shared" si="0"/>
        <v>0.75</v>
      </c>
      <c r="H18" s="38" t="str">
        <f t="shared" si="1"/>
        <v>جيد</v>
      </c>
      <c r="I18" s="58"/>
      <c r="J18" s="59"/>
    </row>
    <row r="19" spans="1:10" ht="30" customHeight="1" x14ac:dyDescent="0.3">
      <c r="A19" s="11"/>
      <c r="B19" s="47" t="s">
        <v>194</v>
      </c>
      <c r="C19" s="48"/>
      <c r="D19" s="48"/>
      <c r="E19" s="32"/>
      <c r="F19" s="33"/>
      <c r="G19" s="34"/>
      <c r="H19" s="35"/>
      <c r="I19" s="56"/>
      <c r="J19" s="57"/>
    </row>
    <row r="20" spans="1:10" ht="39.9" customHeight="1" x14ac:dyDescent="0.3">
      <c r="A20" s="11"/>
      <c r="B20" s="39" t="s">
        <v>193</v>
      </c>
      <c r="C20" s="40"/>
      <c r="D20" s="40"/>
      <c r="E20" s="9">
        <v>5</v>
      </c>
      <c r="F20" s="27">
        <v>3.75</v>
      </c>
      <c r="G20" s="30">
        <f t="shared" si="0"/>
        <v>0.75</v>
      </c>
      <c r="H20" s="31" t="str">
        <f t="shared" si="1"/>
        <v>جيد</v>
      </c>
      <c r="I20" s="49"/>
      <c r="J20" s="50"/>
    </row>
    <row r="21" spans="1:10" ht="39.9" customHeight="1" x14ac:dyDescent="0.3">
      <c r="A21" s="11"/>
      <c r="B21" s="39" t="s">
        <v>187</v>
      </c>
      <c r="C21" s="40"/>
      <c r="D21" s="40"/>
      <c r="E21" s="9">
        <v>5</v>
      </c>
      <c r="F21" s="27">
        <v>3.75</v>
      </c>
      <c r="G21" s="30">
        <f t="shared" si="0"/>
        <v>0.75</v>
      </c>
      <c r="H21" s="31" t="str">
        <f t="shared" si="1"/>
        <v>جيد</v>
      </c>
      <c r="I21" s="49"/>
      <c r="J21" s="50"/>
    </row>
    <row r="22" spans="1:10" ht="39.9" customHeight="1" x14ac:dyDescent="0.3">
      <c r="A22" s="11"/>
      <c r="B22" s="39" t="s">
        <v>188</v>
      </c>
      <c r="C22" s="40"/>
      <c r="D22" s="40"/>
      <c r="E22" s="9">
        <v>5</v>
      </c>
      <c r="F22" s="27">
        <v>3.75</v>
      </c>
      <c r="G22" s="30">
        <f t="shared" si="0"/>
        <v>0.75</v>
      </c>
      <c r="H22" s="31" t="str">
        <f t="shared" si="1"/>
        <v>جيد</v>
      </c>
      <c r="I22" s="49"/>
      <c r="J22" s="50"/>
    </row>
    <row r="23" spans="1:10" ht="39.9" customHeight="1" x14ac:dyDescent="0.3">
      <c r="A23" s="11"/>
      <c r="B23" s="39" t="s">
        <v>189</v>
      </c>
      <c r="C23" s="40"/>
      <c r="D23" s="40"/>
      <c r="E23" s="9">
        <v>5</v>
      </c>
      <c r="F23" s="27">
        <v>3.75</v>
      </c>
      <c r="G23" s="30">
        <f t="shared" si="0"/>
        <v>0.75</v>
      </c>
      <c r="H23" s="31" t="str">
        <f t="shared" si="1"/>
        <v>جيد</v>
      </c>
      <c r="I23" s="49"/>
      <c r="J23" s="50"/>
    </row>
    <row r="24" spans="1:10" ht="39.9" customHeight="1" x14ac:dyDescent="0.3">
      <c r="A24" s="11"/>
      <c r="B24" s="39" t="s">
        <v>190</v>
      </c>
      <c r="C24" s="40"/>
      <c r="D24" s="40"/>
      <c r="E24" s="9">
        <v>5</v>
      </c>
      <c r="F24" s="27">
        <v>3.75</v>
      </c>
      <c r="G24" s="30">
        <f t="shared" si="0"/>
        <v>0.75</v>
      </c>
      <c r="H24" s="31" t="str">
        <f t="shared" si="1"/>
        <v>جيد</v>
      </c>
      <c r="I24" s="49"/>
      <c r="J24" s="50"/>
    </row>
    <row r="25" spans="1:10" ht="30" customHeight="1" x14ac:dyDescent="0.3">
      <c r="A25" s="11"/>
      <c r="B25" s="39" t="s">
        <v>191</v>
      </c>
      <c r="C25" s="40"/>
      <c r="D25" s="40"/>
      <c r="E25" s="9">
        <v>5</v>
      </c>
      <c r="F25" s="27">
        <v>4.25</v>
      </c>
      <c r="G25" s="30">
        <f t="shared" si="0"/>
        <v>0.85</v>
      </c>
      <c r="H25" s="31" t="str">
        <f t="shared" si="1"/>
        <v>جيد جداً</v>
      </c>
      <c r="I25" s="49"/>
      <c r="J25" s="50"/>
    </row>
    <row r="26" spans="1:10" ht="30" customHeight="1" thickBot="1" x14ac:dyDescent="0.35">
      <c r="A26" s="11"/>
      <c r="B26" s="41" t="s">
        <v>192</v>
      </c>
      <c r="C26" s="42"/>
      <c r="D26" s="42"/>
      <c r="E26" s="36">
        <v>5</v>
      </c>
      <c r="F26" s="28">
        <v>3.75</v>
      </c>
      <c r="G26" s="37">
        <f t="shared" si="0"/>
        <v>0.75</v>
      </c>
      <c r="H26" s="38" t="str">
        <f t="shared" si="1"/>
        <v>جيد</v>
      </c>
      <c r="I26" s="58"/>
      <c r="J26" s="59"/>
    </row>
    <row r="27" spans="1:10" ht="30" customHeight="1" thickBot="1" x14ac:dyDescent="0.35">
      <c r="A27" s="4"/>
      <c r="B27" s="83" t="s">
        <v>5</v>
      </c>
      <c r="C27" s="84"/>
      <c r="D27" s="84"/>
      <c r="E27" s="10">
        <f>SUM(E8:E26)</f>
        <v>75</v>
      </c>
      <c r="F27" s="10">
        <f>SUM(F8:F26)</f>
        <v>57.25</v>
      </c>
      <c r="G27" s="53"/>
      <c r="H27" s="54"/>
      <c r="I27" s="54"/>
      <c r="J27" s="55"/>
    </row>
    <row r="28" spans="1:10" ht="30" customHeight="1" thickBot="1" x14ac:dyDescent="0.35">
      <c r="A28" s="4"/>
      <c r="B28" s="83" t="s">
        <v>54</v>
      </c>
      <c r="C28" s="84"/>
      <c r="D28" s="84"/>
      <c r="E28" s="60">
        <f>F27/E27/100*100</f>
        <v>0.76333333333333331</v>
      </c>
      <c r="F28" s="60"/>
      <c r="G28" s="60"/>
      <c r="H28" s="60"/>
      <c r="I28" s="60"/>
      <c r="J28" s="61"/>
    </row>
    <row r="29" spans="1:10" ht="30" customHeight="1" thickBot="1" x14ac:dyDescent="0.35">
      <c r="A29" s="4"/>
      <c r="B29" s="83" t="s">
        <v>55</v>
      </c>
      <c r="C29" s="84"/>
      <c r="D29" s="84"/>
      <c r="E29" s="81" t="str">
        <f>_xlfn.IFS(E28&gt;=90%,"ممتاز",E28&gt;=80%,"جيد جداً",E28&gt;=70%,"جيد",E28&gt;=60%,"مقبول",E28&lt;60%,"راسب")</f>
        <v>جيد</v>
      </c>
      <c r="F29" s="81"/>
      <c r="G29" s="81"/>
      <c r="H29" s="81"/>
      <c r="I29" s="81"/>
      <c r="J29" s="82"/>
    </row>
    <row r="30" spans="1:10" ht="42" customHeight="1" x14ac:dyDescent="0.3">
      <c r="B30" s="77" t="s">
        <v>175</v>
      </c>
      <c r="C30" s="77"/>
      <c r="D30" s="77"/>
      <c r="E30" s="51" t="s">
        <v>52</v>
      </c>
      <c r="F30" s="51"/>
      <c r="G30" s="79" t="s">
        <v>114</v>
      </c>
      <c r="H30" s="79"/>
      <c r="I30" s="79"/>
      <c r="J30" s="79"/>
    </row>
    <row r="31" spans="1:10" ht="51" customHeight="1" x14ac:dyDescent="0.3">
      <c r="A31" s="5"/>
      <c r="B31" s="78"/>
      <c r="C31" s="78"/>
      <c r="D31" s="78"/>
      <c r="E31" s="52" t="s">
        <v>53</v>
      </c>
      <c r="F31" s="52"/>
      <c r="G31" s="80"/>
      <c r="H31" s="80"/>
      <c r="I31" s="80"/>
      <c r="J31" s="80"/>
    </row>
  </sheetData>
  <sheetProtection sheet="1" formatCells="0" formatColumns="0" formatRows="0" insertColumns="0" insertRows="0" insertHyperlinks="0" deleteColumns="0" deleteRows="0" selectLockedCells="1" sort="0" autoFilter="0" pivotTables="0"/>
  <mergeCells count="59">
    <mergeCell ref="B30:D31"/>
    <mergeCell ref="G30:J30"/>
    <mergeCell ref="G31:J31"/>
    <mergeCell ref="E29:J29"/>
    <mergeCell ref="I8:J8"/>
    <mergeCell ref="B27:D27"/>
    <mergeCell ref="B28:D28"/>
    <mergeCell ref="B29:D29"/>
    <mergeCell ref="I11:J11"/>
    <mergeCell ref="I12:J12"/>
    <mergeCell ref="I13:J13"/>
    <mergeCell ref="I14:J14"/>
    <mergeCell ref="I15:J15"/>
    <mergeCell ref="I16:J16"/>
    <mergeCell ref="I17:J17"/>
    <mergeCell ref="I18:J18"/>
    <mergeCell ref="B7:D7"/>
    <mergeCell ref="E5:H5"/>
    <mergeCell ref="I5:J6"/>
    <mergeCell ref="I7:J7"/>
    <mergeCell ref="I10:J10"/>
    <mergeCell ref="B8:D8"/>
    <mergeCell ref="B1:J1"/>
    <mergeCell ref="F2:J2"/>
    <mergeCell ref="B5:D6"/>
    <mergeCell ref="C2:D2"/>
    <mergeCell ref="C3:D3"/>
    <mergeCell ref="F3:J3"/>
    <mergeCell ref="E30:F30"/>
    <mergeCell ref="E31:F31"/>
    <mergeCell ref="G27:J27"/>
    <mergeCell ref="I19:J19"/>
    <mergeCell ref="I20:J20"/>
    <mergeCell ref="I21:J21"/>
    <mergeCell ref="I22:J22"/>
    <mergeCell ref="I23:J23"/>
    <mergeCell ref="I24:J24"/>
    <mergeCell ref="I25:J25"/>
    <mergeCell ref="I26:J26"/>
    <mergeCell ref="E28:J28"/>
    <mergeCell ref="B13:D13"/>
    <mergeCell ref="B14:D14"/>
    <mergeCell ref="B15:D15"/>
    <mergeCell ref="B16:D16"/>
    <mergeCell ref="I9:J9"/>
    <mergeCell ref="B9:D9"/>
    <mergeCell ref="B10:D10"/>
    <mergeCell ref="B11:D11"/>
    <mergeCell ref="B12:D12"/>
    <mergeCell ref="B25:D25"/>
    <mergeCell ref="B26:D26"/>
    <mergeCell ref="B17:D17"/>
    <mergeCell ref="B18:D18"/>
    <mergeCell ref="B19:D19"/>
    <mergeCell ref="B20:D20"/>
    <mergeCell ref="B21:D21"/>
    <mergeCell ref="B22:D22"/>
    <mergeCell ref="B23:D23"/>
    <mergeCell ref="B24:D2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9">
    <cfRule type="expression" dxfId="14" priority="57">
      <formula>$E29="راسب"</formula>
    </cfRule>
  </conditionalFormatting>
  <conditionalFormatting sqref="E29:J29">
    <cfRule type="expression" dxfId="13" priority="58">
      <formula>$E29="مقبول"</formula>
    </cfRule>
    <cfRule type="expression" dxfId="12" priority="59">
      <formula>$E29="جيد"</formula>
    </cfRule>
    <cfRule type="expression" dxfId="11" priority="60">
      <formula>$E29="جيد جداً"</formula>
    </cfRule>
    <cfRule type="expression" dxfId="10" priority="61">
      <formula>$E29="ممتاز"</formula>
    </cfRule>
  </conditionalFormatting>
  <conditionalFormatting sqref="F8:F2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0:J30">
    <cfRule type="containsText" dxfId="6" priority="15" operator="containsText" text="أدخل اسم المحكم">
      <formula>NOT(ISERROR(SEARCH("أدخل اسم المحكم",G30)))</formula>
    </cfRule>
  </conditionalFormatting>
  <conditionalFormatting sqref="H8:H2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F20:F26 F12:F18 F9:F10</xm:sqref>
        </x14:dataValidation>
        <x14:dataValidation type="list" allowBlank="1" showInputMessage="1" showErrorMessage="1" xr:uid="{AE50457C-7424-4A4C-907B-8DC6AA09E7A3}">
          <x14:formula1>
            <xm:f>'بيانات التقييم'!$A$198:$A$285</xm:f>
          </x14:formula1>
          <xm:sqref>G30:J30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2025-10-24T16:40:11Z</dcterms:modified>
</cp:coreProperties>
</file>