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BEC78A8D-04EA-4F69-AF6A-2D986291C2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/>
  <c r="G13" i="2"/>
  <c r="H13" i="2" s="1"/>
  <c r="G14" i="2"/>
  <c r="G15" i="2"/>
  <c r="H15" i="2"/>
  <c r="G16" i="2"/>
  <c r="H16" i="2"/>
  <c r="G17" i="2"/>
  <c r="H17" i="2"/>
  <c r="G18" i="2"/>
  <c r="H18" i="2"/>
  <c r="G19" i="2"/>
  <c r="H19" i="2"/>
  <c r="G8" i="2"/>
  <c r="H8" i="2" s="1"/>
  <c r="F20" i="2"/>
  <c r="E21" i="2" s="1"/>
  <c r="E22" i="2" s="1"/>
  <c r="E20" i="2"/>
</calcChain>
</file>

<file path=xl/sharedStrings.xml><?xml version="1.0" encoding="utf-8"?>
<sst xmlns="http://schemas.openxmlformats.org/spreadsheetml/2006/main" count="272" uniqueCount="201">
  <si>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</si>
  <si>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</si>
  <si>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</si>
  <si>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</si>
  <si>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</si>
  <si>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</si>
  <si>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</si>
  <si>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</si>
  <si>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</si>
  <si>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</si>
  <si>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</si>
  <si>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</si>
  <si>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</si>
  <si>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</si>
  <si>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</si>
  <si>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</si>
  <si>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</si>
  <si>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</si>
  <si>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</si>
  <si>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</si>
  <si>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</si>
  <si>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</si>
  <si>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</si>
  <si>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</si>
  <si>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</si>
  <si>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</si>
  <si>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</si>
  <si>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</si>
  <si>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</si>
  <si>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</si>
  <si>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</si>
  <si>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</si>
  <si>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</si>
  <si>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</si>
  <si>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</si>
  <si>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</si>
  <si>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</si>
  <si>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</si>
  <si>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</si>
  <si>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</si>
  <si>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</si>
  <si>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</si>
  <si>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</si>
  <si>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</si>
  <si>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</si>
  <si>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</si>
  <si>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</si>
  <si>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</si>
  <si>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</si>
  <si>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</si>
  <si>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</si>
  <si>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</si>
  <si>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</si>
  <si>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</si>
  <si>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</si>
  <si>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</si>
  <si>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</si>
  <si>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</si>
  <si>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</si>
  <si>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</si>
  <si>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</si>
  <si>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</si>
  <si>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</si>
  <si>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</si>
  <si>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</si>
  <si>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</si>
  <si>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</si>
  <si>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</si>
  <si>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</si>
  <si>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</si>
  <si>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</si>
  <si>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</si>
  <si>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</si>
  <si>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</si>
  <si>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</si>
  <si>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</si>
  <si>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</si>
  <si>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</si>
  <si>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</si>
  <si>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</si>
  <si>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</si>
  <si>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</si>
  <si>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</si>
  <si>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</si>
  <si>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</si>
  <si>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</si>
  <si>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</si>
  <si>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</si>
  <si>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</si>
  <si>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</si>
  <si>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</si>
  <si>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</si>
  <si>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</si>
  <si>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</si>
  <si>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</si>
  <si>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</si>
  <si>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</si>
  <si>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</si>
  <si>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</si>
  <si>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</si>
  <si>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</si>
  <si>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</si>
  <si>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</si>
  <si>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</si>
  <si>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</si>
  <si>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</si>
  <si>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</si>
  <si>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</si>
  <si>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</si>
  <si>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</si>
  <si>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</si>
  <si>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</si>
  <si>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</si>
  <si>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</si>
  <si>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</si>
  <si>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</si>
  <si>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</si>
  <si>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</si>
  <si>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</si>
  <si>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</si>
  <si>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</si>
  <si>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</si>
  <si>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</si>
  <si>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</si>
  <si>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</si>
  <si>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</si>
  <si>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</si>
  <si>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</si>
  <si>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</si>
  <si>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</si>
  <si>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</si>
  <si>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</si>
  <si>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</si>
  <si>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</si>
  <si>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</si>
  <si>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</si>
  <si>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</si>
  <si>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</si>
  <si>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</si>
  <si>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</si>
  <si>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</si>
  <si>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</si>
  <si>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</si>
  <si>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</si>
  <si>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</si>
  <si>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</si>
  <si>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</si>
  <si>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</si>
  <si>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</si>
  <si>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</si>
  <si>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</si>
  <si>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</si>
  <si>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</si>
  <si>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</si>
  <si>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</si>
  <si>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</si>
  <si>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</si>
  <si>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</si>
  <si>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</si>
  <si>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</si>
  <si>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</si>
  <si>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</si>
  <si>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</si>
  <si>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</si>
  <si>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</si>
  <si>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</si>
  <si>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</si>
  <si>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</si>
  <si>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</si>
  <si>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</si>
  <si>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</si>
  <si>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</si>
  <si>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</si>
  <si>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</si>
  <si>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</si>
  <si>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</si>
  <si>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</si>
  <si>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</si>
  <si>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</si>
  <si>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</si>
  <si>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</si>
  <si>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</si>
  <si>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ينفذ ضباط قيادة الكتيبة/ مجموعة القتال عمليات مركز القيادة التالية:</t>
    </r>
  </si>
  <si>
    <t>أ. تأمين الحماية للمعلومات.</t>
  </si>
  <si>
    <t>ب. عرض خارطة الموقف وتحديثها.</t>
  </si>
  <si>
    <t>جـ. اكمال كافة التفقدات الخاصة بالاتصالات.</t>
  </si>
  <si>
    <t>د. إعداد الصورة العامة للعمليات.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</si>
  <si>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</si>
  <si>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إجمالـي العلامـــــــات</t>
  </si>
  <si>
    <t xml:space="preserve">النسبـــــة المئويـــــة </t>
  </si>
  <si>
    <t>%</t>
  </si>
  <si>
    <t>التقديـــــر العـــــــام</t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</si>
  <si>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</si>
  <si>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</si>
  <si>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</si>
  <si>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</si>
  <si>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</si>
  <si>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</si>
  <si>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ينفذ ضباط قيادة الكتيبة/ مجموعة القتال عمليات مركز القيادة التالية: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</si>
  <si>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</si>
  <si>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تقييم تحضير مركز قيادة الكتيبة/مجموعة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</si>
</sst>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7CAAC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6" borderId="19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justify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justify" vertical="center" wrapText="1" readingOrder="2"/>
    </xf>
    <xf numFmtId="0" fontId="13" fillId="5" borderId="16" xfId="0" applyFont="1" applyFill="1" applyBorder="1" applyAlignment="1">
      <alignment horizontal="right" vertical="center" wrapText="1" readingOrder="2"/>
    </xf>
    <xf numFmtId="0" fontId="13" fillId="5" borderId="20" xfId="0" applyFont="1" applyFill="1" applyBorder="1" applyAlignment="1">
      <alignment horizontal="right" vertical="center" wrapText="1" readingOrder="2"/>
    </xf>
    <xf numFmtId="0" fontId="2" fillId="7" borderId="22" xfId="0" applyFont="1" applyFill="1" applyBorder="1" applyAlignment="1">
      <alignment horizontal="right" vertical="center" wrapText="1" readingOrder="2"/>
    </xf>
    <xf numFmtId="0" fontId="2" fillId="7" borderId="23" xfId="0" applyFont="1" applyFill="1" applyBorder="1" applyAlignment="1">
      <alignment horizontal="right" vertical="center" wrapText="1" readingOrder="2"/>
    </xf>
    <xf numFmtId="0" fontId="2" fillId="7" borderId="25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2" fillId="0" borderId="35" xfId="0" applyFont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6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37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35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31" xfId="0" applyFont="1" applyFill="1" applyBorder="1" applyAlignment="1" applyProtection="1">
      <alignment horizontal="center" vertical="center" wrapText="1" readingOrder="2"/>
      <protection locked="0"/>
    </xf>
    <xf numFmtId="0" fontId="7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33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5" fillId="5" borderId="38" xfId="0" applyFont="1" applyFill="1" applyBorder="1" applyAlignment="1">
      <alignment horizontal="right" vertical="center" wrapText="1" indent="2" readingOrder="2"/>
    </xf>
    <xf numFmtId="0" fontId="15" fillId="5" borderId="3" xfId="0" applyFont="1" applyFill="1" applyBorder="1" applyAlignment="1">
      <alignment horizontal="right" vertical="center" wrapText="1" indent="2" readingOrder="2"/>
    </xf>
    <xf numFmtId="0" fontId="15" fillId="5" borderId="38" xfId="0" applyFont="1" applyFill="1" applyBorder="1" applyAlignment="1">
      <alignment horizontal="right" vertical="center" wrapText="1" readingOrder="2"/>
    </xf>
    <xf numFmtId="0" fontId="15" fillId="5" borderId="3" xfId="0" applyFont="1" applyFill="1" applyBorder="1" applyAlignment="1">
      <alignment horizontal="right" vertical="center" wrapText="1" readingOrder="2"/>
    </xf>
    <xf numFmtId="0" fontId="15" fillId="5" borderId="11" xfId="0" applyFont="1" applyFill="1" applyBorder="1" applyAlignment="1">
      <alignment horizontal="right" vertical="center" wrapText="1" readingOrder="2"/>
    </xf>
    <xf numFmtId="0" fontId="15" fillId="5" borderId="12" xfId="0" applyFont="1" applyFill="1" applyBorder="1" applyAlignment="1">
      <alignment horizontal="right" vertical="center" wrapText="1" readingOrder="2"/>
    </xf>
    <xf numFmtId="0" fontId="2" fillId="6" borderId="15" xfId="0" applyFont="1" applyFill="1" applyBorder="1" applyAlignment="1">
      <alignment horizontal="right" vertical="center" wrapText="1" readingOrder="2"/>
    </xf>
    <xf numFmtId="0" fontId="2" fillId="6" borderId="16" xfId="0" applyFont="1" applyFill="1" applyBorder="1" applyAlignment="1">
      <alignment horizontal="right" vertical="center" wrapText="1" readingOrder="2"/>
    </xf>
    <xf numFmtId="0" fontId="2" fillId="6" borderId="17" xfId="0" applyFont="1" applyFill="1" applyBorder="1" applyAlignment="1">
      <alignment horizontal="center" vertical="center" wrapText="1" readingOrder="2"/>
    </xf>
    <xf numFmtId="0" fontId="2" fillId="6" borderId="26" xfId="0" applyFont="1" applyFill="1" applyBorder="1" applyAlignment="1">
      <alignment horizontal="center" vertical="center" wrapText="1" readingOrder="2"/>
    </xf>
    <xf numFmtId="0" fontId="2" fillId="6" borderId="18" xfId="0" applyFont="1" applyFill="1" applyBorder="1" applyAlignment="1">
      <alignment horizontal="center" vertical="center" wrapText="1" readingOrder="2"/>
    </xf>
    <xf numFmtId="0" fontId="2" fillId="6" borderId="19" xfId="0" applyFont="1" applyFill="1" applyBorder="1" applyAlignment="1">
      <alignment horizontal="center" vertical="center" wrapText="1" readingOrder="2"/>
    </xf>
    <xf numFmtId="0" fontId="16" fillId="5" borderId="27" xfId="0" applyFont="1" applyFill="1" applyBorder="1" applyAlignment="1">
      <alignment horizontal="center" vertical="center" wrapText="1" readingOrder="2"/>
    </xf>
    <xf numFmtId="0" fontId="16" fillId="5" borderId="28" xfId="0" applyFont="1" applyFill="1" applyBorder="1" applyAlignment="1">
      <alignment horizontal="center" vertical="center" wrapText="1" readingOrder="2"/>
    </xf>
    <xf numFmtId="0" fontId="15" fillId="5" borderId="29" xfId="0" applyFont="1" applyFill="1" applyBorder="1" applyAlignment="1">
      <alignment horizontal="justify" vertical="center" wrapText="1" readingOrder="2"/>
    </xf>
    <xf numFmtId="0" fontId="15" fillId="5" borderId="30" xfId="0" applyFont="1" applyFill="1" applyBorder="1" applyAlignment="1">
      <alignment horizontal="justify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290173</xdr:colOff>
      <xdr:row>23</xdr:row>
      <xdr:rowOff>145087</xdr:rowOff>
    </xdr:from>
    <xdr:to>
      <xdr:col>9</xdr:col>
      <xdr:colOff>91983</xdr:colOff>
      <xdr:row>24</xdr:row>
      <xdr:rowOff>14987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5A71DF-E3CA-00D8-83C5-C176158BA30B}"/>
                </a:ext>
              </a:extLst>
            </xdr14:cNvPr>
            <xdr14:cNvContentPartPr/>
          </xdr14:nvContentPartPr>
          <xdr14:nvPr macro=""/>
          <xdr14:xfrm>
            <a:off x="10422956393" y="9428040"/>
            <a:ext cx="1765080" cy="51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5A71DF-E3CA-00D8-83C5-C176158BA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950273" y="9421920"/>
              <a:ext cx="1777320" cy="5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547213</xdr:colOff>
      <xdr:row>23</xdr:row>
      <xdr:rowOff>564487</xdr:rowOff>
    </xdr:from>
    <xdr:to>
      <xdr:col>6</xdr:col>
      <xdr:colOff>608773</xdr:colOff>
      <xdr:row>23</xdr:row>
      <xdr:rowOff>614527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EFF593-05D3-2228-949F-4CA21CD30512}"/>
                </a:ext>
              </a:extLst>
            </xdr14:cNvPr>
            <xdr14:cNvContentPartPr/>
          </xdr14:nvContentPartPr>
          <xdr14:nvPr macro=""/>
          <xdr14:xfrm>
            <a:off x="10424402873" y="9847440"/>
            <a:ext cx="61560" cy="50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EFF593-05D3-2228-949F-4CA21CD3051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4396753" y="9841320"/>
              <a:ext cx="73800" cy="62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46:05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3301 960 15115,'0'0'0,"-30"-23"9978,-11-1-8986,41 24-992,-53-26 304,6 8-296,5 8-48,2 8 24,5 0 48,1 0-48,34 2 16,-34-1-16,2 0 32,0 0-16,1 1-16,3 0 32,4-2 16,24 2-32,-21-1-32,0 1 32,3 0 72,2 0-128,3 0 56,3 0 16,10 0-16,-2 0-104,-2-1 120,3 0-104,-1 1-136,2-1-104,0-1-16,0 2 344,4-1-400,5 0 32,-6-3 152,12 1-104,-2-2 144,3-6 104,-16 11 72,17-5-88,2-9 112,3 2 0,2-2-24,3 0 32,4-2 32,-31 16-64,33-18 16,2 0 56,1-3-8,0 2-64,1-3 96,2 0-40,-39 22-56,43-22 56,-2-1 64,2 1 32,0 0-112,-1 1-8,1 2-16,-43 19-16,42-19-56,-1-2 136,-3 2-24,1 0 56,-3 2 16,-1 0-32,-35 17-96,35-17 168,-3 2-56,-2 3 0,-2 1-32,-6 2-24,-3 5-24,-19 4-32,16-10 40,-2 8 16,-5-2-40,-5 1 40,7 0-24,-11 2-16,0 1-16,2-1 128,0 0 24,-2 1 64,0 0 144,0 0-32,0 0 112,0 0-440,-1 0 384,0 0-15,0 0-17,0 0-8,-3 0-40,0 2-64,4-2-240,-3 0 104,-6 0-40,7 0-32,-9 0-16,1 0 40,-2 0-72,12 0 16,-15 3 16,-2-1-56,1 0 8,-4 2-32,0 6 32,-5-7 8,25-3 24,-25 11-16,-4-1-32,2-1 64,-1 4-16,-2 2-72,1-1 112,29-14-40,-31 14 0,1 0-40,1 1 48,3 1-64,0-2 104,2 1-24,24-15-24,-21 12 32,0-1-16,5-2-80,3 2 80,1-7-32,9 5 16,3-9 0,-4 3-8,1-1-128,1-2 8,2 0-16,0 0-72,4 0 88,-4 0 128,3 0-184,8 0 64,-2 2 16,2-2 48,2 0 23,2 0-23,-15 0 56,17 0-104,2 0 16,3-1 0,1-2 24,3-9 152,4 7-72,-30 5-16,29-13 0,3 3 32,1-2-104,0 0 88,2-1-16,4-2-32,-39 15 32,36-16 0,3-1 32,1 1-32,-2-1 24,0-2-64,0 3 56,-38 16-16,36-17 88,-1 1-72,1 2 8,-5-1-8,-1 3-72,-3 0 80,-27 12-24,24-9 0,-3-1 0,-3 6 16,-2-4-16,-4 5 32,-9 0-48,-3 3 16,9-3 16,-9 2-16,0 0 72,0 1 33,0 0 31,0 0 8,0 0-144,-1 0 168,-3 0 24,-4 0-88,3 0 16,-9 0-104,2 0-16,12 0 0,-15 0 32,-2 0-16,-4 0 16,-2 0-80,-5 4 0,-4-1 8,32-3 40,-34 11-32,-4-7 16,-5 11 16,-3-3-48,-3 3 8,-6 2 56,55-17-16,-57 18-32,-3 0 80,-6 2-40,1 4-8,-4 1 64,-5 2-48,74-27-16,-77 27 72,-2 2-8,-1 1-80,-4 2 88,-3 2-72,-2 0-16,89-34 16,-88 33-40,0-1-8,0-1 112,2 1 40,0-3-32,2 2-24,84-31-48,-85 33 16,3-3-48,3-1 104,1-2 56,4-4-72,4 1 64,70-24-120,-67 22 80,2-3-48,7 0 40,0-3-8,5 1 24,2-4-24,51-13-64,-45 15 80,0-4-40,7 1 40,4-3 24,5-6-56,6 9 16,23-12-64,-19 2-16,6 2-32,3-2 96,7 1-48,0-1 32,2-2-32,1 0 0,0 0-32,0 0-64,2 0 8,0 0-40,8-1 8,-1 1 48,-9 0 72,12 0-80,2 0 16,4 2 64,2 1 80,3-3-112,1 0 32,-24 0 0,28 0-56,5-1-72,4-3 88,5-1 8,2-6 32,4 7 72,-48 4-72,51-15 0,4 1 0,6-3-40,1-3-24,4-1 64,4 1-48,-70 20 48,72-24 0,6-1-40,1-3 24,0 2 40,4-6-32,-2 1-24,-81 31 32,86-31-16,-1-4 0,2 4 16,-1 0 48,3-2-96,-2 3-40,-87 30 88,88-32 72,0-1-88,0 3-24,-4-1 8,1 2-168,-5 4 96,-80 25 104,77-24-32,1 1 48,-3 0-32,-3 4 16,-1 0-16,-4 0 8,-67 19 8,64-17-32,-1 3 48,-1 0-32,-4 1 48,-4 1 40,-3 3-72,-51 9 0,49-5 48,-3-7-40,-3 8-48,-2-5 56,-4 7-48,-4-1 0,-33 3 32,30-1-16,-3-1 0,-4 2-72,-4 0 72,-3 0 16,-2 0-56,-14 0 56,9 3 40,-5-1-40,6 1-8,-10-1-40,0 0-40,0-2 88,0 0-32,-1 3 0,-1-1 80,-3 1-8,-5-1 8,-1 0 16,11-2-64,-13 3 40,-3 0 40,-5 7-96,-4-8 16,-3 10 0,-6-1-168,34-11 168,-37 11 16,-7 0-16,-3 2 0,-2 0 104,-4 1-88,-2 2 0,-1 1-16,56-17 0,-63 16 32,-1 2-32,-4 0 72,0 0-72,-3 1-16,-2-1-16,73-18 32,-76 19-24,-2 0 64,-2 3-24,0-3 104,-4 3-40,-2 1 8,86-23-88,-88 21 104,-1 2-88,-3 0 48,2 1 40,-3-4-48,2 2 56,91-22-112,-92 19 72,-2 2-40,0 0 80,2-1-88,-1-3 88,0 0-40,93-17-72,-94 16 64,-1-3 56,1 0-88,-1-2-32,2-1 80,-2-7-48,95-3-32,-95 12 40,3-9 40,-2 0-64,6 1 80,-1-1 56,3-3-8,86 0-144,-82 0 184,0-1-120,4-4 16,3-5 8,3-1 40,3 1-32,69 10-96,-63-13 80,5-1-8,1-1-8,5-2 16,3-1 32,3 1 48,46 17-160,-40-20 128,5 0 48,4-1-32,4 0-31,1 0-113,6 0 0,20 21 0,-17-23 0,2 1 0,2-1 0,4-1 0,5 2 0,-6 0 0,10 22 0,0-23 0,0-1 0,0 1 0,10 2 0,-7-2 0,10 1 0,-13 22 0,12-23-65,2 2 65,2-2-80,3 0 16,2 1 32,3 1-32,-24 21 64,29-23-32,3 2 16,3-2 0,4 2 0,3 0 0,5-1 0,-47 22 16,49-19-32,1-1 48,2 0 0,1 1-48,-1 1 48,7 1-64,-59 17 48,57-14-64,3 3 96,1 0-48,0 2 16,1 5 16,0-6-16,-62 10 0,65-1-128,-1 0 32,3 0 16,0 1 16,1 2 112,-1 8-16,-67-10-32,66 3-32,-1 13 16,-1-3-16,-1 2 16,0 4 48,-1 1-64,-62-20 32,59 23-16,-1-1 16,-1 2-32,-3 1 16,-1 1 80,0 0-48,-53-26-16,50 27-16,-1 2 32,-2-1-32,-4 3 16,1-1 32,-3-1-32,-41-29 0,42 32 0,-2-1 48,-1 0-48,-3 2 48,1-1-32,-2 0 16,-35-32-32,34 33-16,0-3 0,-2 1 96,0 1-128,-2-3 64,2 1 16,-32-30-32,31 31-48,1-2 80,-2 1 0,0 1-64,1-2 64,-1 1-48,-30-30 16,31 30-32,-2-1 32,1 1 0,0 2 32,0-2-16,3 2-96,-33-32 80,32 31-224,0 0-496,-2-1-360,2-1-400,0 2-617,-1-1-847,-31-30 2944,34 32-4465,-4-2-2065,2-2-2824,-32-28 9354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46:05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170 138 27477,'0'0'0,"0"0"0,-33-33 5290,-2 3-5290,-5-1 0,10 10 0,10 17 0,9-1 0,11 5 0,-1-4 0,1 1 0,0 1 0,11 0-1009,1 1-511,5 0-1041,-17 1 2561,21 0-4529,8 0-3384,1 0-3226,-30 0 11139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7" zoomScale="130" zoomScaleNormal="100" zoomScaleSheetLayoutView="130" workbookViewId="0">
      <selection activeCell="F14" sqref="F14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7" t="s">
        <v>200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5">
      <c r="B2" s="11" t="s">
        <v>8</v>
      </c>
      <c r="C2" s="73" t="s">
        <v>36</v>
      </c>
      <c r="D2" s="73"/>
      <c r="E2" s="11" t="s">
        <v>7</v>
      </c>
      <c r="F2" s="68">
        <v>45951</v>
      </c>
      <c r="G2" s="68"/>
      <c r="H2" s="68"/>
      <c r="I2" s="68"/>
      <c r="J2" s="68"/>
    </row>
    <row r="3" spans="1:10" ht="30" customHeight="1" x14ac:dyDescent="0.25">
      <c r="B3" s="11" t="s">
        <v>9</v>
      </c>
      <c r="C3" s="73" t="s">
        <v>78</v>
      </c>
      <c r="D3" s="73"/>
      <c r="E3" s="11" t="s">
        <v>6</v>
      </c>
      <c r="F3" s="73" t="s">
        <v>94</v>
      </c>
      <c r="G3" s="73"/>
      <c r="H3" s="73"/>
      <c r="I3" s="73"/>
      <c r="J3" s="73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9"/>
      <c r="B5" s="69" t="s">
        <v>0</v>
      </c>
      <c r="C5" s="70"/>
      <c r="D5" s="70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 x14ac:dyDescent="0.3">
      <c r="A6" s="9"/>
      <c r="B6" s="71"/>
      <c r="C6" s="72"/>
      <c r="D6" s="72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5" customHeight="1" x14ac:dyDescent="0.25">
      <c r="A7" s="9"/>
      <c r="B7" s="74" t="s">
        <v>21</v>
      </c>
      <c r="C7" s="75"/>
      <c r="D7" s="75"/>
      <c r="E7" s="40" t="s">
        <v>18</v>
      </c>
      <c r="F7" s="40" t="s">
        <v>19</v>
      </c>
      <c r="G7" s="40" t="s">
        <v>22</v>
      </c>
      <c r="H7" s="40" t="s">
        <v>20</v>
      </c>
      <c r="I7" s="80" t="s">
        <v>25</v>
      </c>
      <c r="J7" s="81"/>
    </row>
    <row r="8" spans="1:10" ht="30" customHeight="1" x14ac:dyDescent="0.25">
      <c r="A8" s="9"/>
      <c r="B8" s="86" t="s">
        <v>192</v>
      </c>
      <c r="C8" s="87"/>
      <c r="D8" s="87"/>
      <c r="E8" s="42">
        <v>5</v>
      </c>
      <c r="F8" s="25" t="s">
        <v>61</v>
      </c>
      <c r="G8" s="43" t="str">
        <f>IFERROR(F8/E8,"")</f>
        <v/>
      </c>
      <c r="H8" s="44" t="str">
        <f>_xlfn.IFS(F8="أدخل العلامة","",F8="لا ينطبق","تم الإلغاء",G8&gt;=90%,"ممتاز",G8&gt;=80%,"جيد جداً",G8&gt;=70%,"جيد",G8&gt;=60%,"مقبول",G8&lt;60%,"راسب")</f>
        <v/>
      </c>
      <c r="I8" s="53"/>
      <c r="J8" s="54"/>
    </row>
    <row r="9" spans="1:10" ht="39.950000000000003" customHeight="1" x14ac:dyDescent="0.25">
      <c r="A9" s="9"/>
      <c r="B9" s="86" t="s">
        <v>193</v>
      </c>
      <c r="C9" s="87"/>
      <c r="D9" s="87"/>
      <c r="E9" s="42">
        <v>10</v>
      </c>
      <c r="F9" s="25" t="s">
        <v>61</v>
      </c>
      <c r="G9" s="43" t="str">
        <f>IFERROR(F9/E9,"")</f>
        <v/>
      </c>
      <c r="H9" s="44" t="str">
        <f>_xlfn.IFS(F9="أدخل العلامة","",F9="لا ينطبق","تم الإلغاء",G9&gt;=90%,"ممتاز",G9&gt;=80%,"جيد جداً",G9&gt;=70%,"جيد",G9&gt;=60%,"مقبول",G9&lt;60%,"راسب")</f>
        <v/>
      </c>
      <c r="I9" s="53"/>
      <c r="J9" s="54"/>
    </row>
    <row r="10" spans="1:10" ht="30" customHeight="1" x14ac:dyDescent="0.25">
      <c r="A10" s="9"/>
      <c r="B10" s="86" t="s">
        <v>194</v>
      </c>
      <c r="C10" s="87"/>
      <c r="D10" s="87"/>
      <c r="E10" s="42">
        <v>5</v>
      </c>
      <c r="F10" s="25" t="s">
        <v>61</v>
      </c>
      <c r="G10" s="43" t="str">
        <f t="shared" ref="G10:G19" si="0">IFERROR(F10/E10,"")</f>
        <v/>
      </c>
      <c r="H10" s="44" t="str">
        <f t="shared" ref="H10:H19" si="1">_xlfn.IFS(F10="أدخل العلامة","",F10="لا ينطبق","تم الإلغاء",G10&gt;=90%,"ممتاز",G10&gt;=80%,"جيد جداً",G10&gt;=70%,"جيد",G10&gt;=60%,"مقبول",G10&lt;60%,"راسب")</f>
        <v/>
      </c>
      <c r="I10" s="53"/>
      <c r="J10" s="54"/>
    </row>
    <row r="11" spans="1:10" ht="30" customHeight="1" x14ac:dyDescent="0.25">
      <c r="A11" s="9"/>
      <c r="B11" s="86" t="s">
        <v>195</v>
      </c>
      <c r="C11" s="87"/>
      <c r="D11" s="87"/>
      <c r="E11" s="42">
        <v>5</v>
      </c>
      <c r="F11" s="25" t="s">
        <v>61</v>
      </c>
      <c r="G11" s="43" t="str">
        <f t="shared" si="0"/>
        <v/>
      </c>
      <c r="H11" s="44" t="str">
        <f t="shared" si="1"/>
        <v/>
      </c>
      <c r="I11" s="53"/>
      <c r="J11" s="54"/>
    </row>
    <row r="12" spans="1:10" ht="39.950000000000003" customHeight="1" x14ac:dyDescent="0.25">
      <c r="A12" s="9"/>
      <c r="B12" s="86" t="s">
        <v>196</v>
      </c>
      <c r="C12" s="87"/>
      <c r="D12" s="87"/>
      <c r="E12" s="42">
        <v>5</v>
      </c>
      <c r="F12" s="25" t="s">
        <v>61</v>
      </c>
      <c r="G12" s="43" t="str">
        <f t="shared" si="0"/>
        <v/>
      </c>
      <c r="H12" s="44" t="str">
        <f t="shared" si="1"/>
        <v/>
      </c>
      <c r="I12" s="53"/>
      <c r="J12" s="54"/>
    </row>
    <row r="13" spans="1:10" ht="30" customHeight="1" x14ac:dyDescent="0.25">
      <c r="A13" s="9"/>
      <c r="B13" s="86" t="s">
        <v>197</v>
      </c>
      <c r="C13" s="87"/>
      <c r="D13" s="87"/>
      <c r="E13" s="42">
        <v>5</v>
      </c>
      <c r="F13" s="25" t="s">
        <v>61</v>
      </c>
      <c r="G13" s="43" t="str">
        <f t="shared" si="0"/>
        <v/>
      </c>
      <c r="H13" s="44" t="str">
        <f t="shared" si="1"/>
        <v/>
      </c>
      <c r="I13" s="53"/>
      <c r="J13" s="54"/>
    </row>
    <row r="14" spans="1:10" ht="30" customHeight="1" x14ac:dyDescent="0.25">
      <c r="A14" s="9"/>
      <c r="B14" s="86" t="s">
        <v>198</v>
      </c>
      <c r="C14" s="87"/>
      <c r="D14" s="87"/>
      <c r="E14" s="42"/>
      <c r="F14" s="25"/>
      <c r="G14" s="43" t="str">
        <f t="shared" si="0"/>
        <v/>
      </c>
      <c r="H14" s="44"/>
      <c r="I14" s="53"/>
      <c r="J14" s="54"/>
    </row>
    <row r="15" spans="1:10" ht="30" customHeight="1" x14ac:dyDescent="0.25">
      <c r="A15" s="9"/>
      <c r="B15" s="84" t="s">
        <v>183</v>
      </c>
      <c r="C15" s="85"/>
      <c r="D15" s="85"/>
      <c r="E15" s="42">
        <v>5</v>
      </c>
      <c r="F15" s="25">
        <v>3.5</v>
      </c>
      <c r="G15" s="43">
        <f t="shared" si="0"/>
        <v>0.7</v>
      </c>
      <c r="H15" s="44" t="str">
        <f t="shared" si="1"/>
        <v>جيد</v>
      </c>
      <c r="I15" s="53"/>
      <c r="J15" s="54"/>
    </row>
    <row r="16" spans="1:10" ht="30" customHeight="1" x14ac:dyDescent="0.25">
      <c r="A16" s="9"/>
      <c r="B16" s="84" t="s">
        <v>184</v>
      </c>
      <c r="C16" s="85"/>
      <c r="D16" s="85"/>
      <c r="E16" s="42">
        <v>5</v>
      </c>
      <c r="F16" s="25">
        <v>3.5</v>
      </c>
      <c r="G16" s="43">
        <f t="shared" si="0"/>
        <v>0.7</v>
      </c>
      <c r="H16" s="44" t="str">
        <f t="shared" si="1"/>
        <v>جيد</v>
      </c>
      <c r="I16" s="53"/>
      <c r="J16" s="54"/>
    </row>
    <row r="17" spans="1:10" ht="30" customHeight="1" x14ac:dyDescent="0.25">
      <c r="A17" s="9"/>
      <c r="B17" s="84" t="s">
        <v>185</v>
      </c>
      <c r="C17" s="85"/>
      <c r="D17" s="85"/>
      <c r="E17" s="42">
        <v>5</v>
      </c>
      <c r="F17" s="25">
        <v>3.5</v>
      </c>
      <c r="G17" s="43">
        <f t="shared" si="0"/>
        <v>0.7</v>
      </c>
      <c r="H17" s="44" t="str">
        <f t="shared" si="1"/>
        <v>جيد</v>
      </c>
      <c r="I17" s="53"/>
      <c r="J17" s="54"/>
    </row>
    <row r="18" spans="1:10" ht="30" customHeight="1" x14ac:dyDescent="0.25">
      <c r="A18" s="9"/>
      <c r="B18" s="86" t="s">
        <v>186</v>
      </c>
      <c r="C18" s="87"/>
      <c r="D18" s="87"/>
      <c r="E18" s="42">
        <v>5</v>
      </c>
      <c r="F18" s="25">
        <v>3.5</v>
      </c>
      <c r="G18" s="43">
        <f t="shared" si="0"/>
        <v>0.7</v>
      </c>
      <c r="H18" s="44" t="str">
        <f t="shared" si="1"/>
        <v>جيد</v>
      </c>
      <c r="I18" s="53"/>
      <c r="J18" s="54"/>
    </row>
    <row r="19" spans="1:10" ht="39.950000000000003" customHeight="1" thickBot="1" x14ac:dyDescent="0.3">
      <c r="A19" s="9"/>
      <c r="B19" s="88" t="s">
        <v>199</v>
      </c>
      <c r="C19" s="89"/>
      <c r="D19" s="89"/>
      <c r="E19" s="45">
        <v>5</v>
      </c>
      <c r="F19" s="26">
        <v>3.5</v>
      </c>
      <c r="G19" s="46">
        <f t="shared" si="0"/>
        <v>0.7</v>
      </c>
      <c r="H19" s="47" t="str">
        <f t="shared" si="1"/>
        <v>جيد</v>
      </c>
      <c r="I19" s="82"/>
      <c r="J19" s="83"/>
    </row>
    <row r="20" spans="1:10" ht="30" customHeight="1" thickBot="1" x14ac:dyDescent="0.3">
      <c r="A20" s="4"/>
      <c r="B20" s="63" t="s">
        <v>5</v>
      </c>
      <c r="C20" s="64"/>
      <c r="D20" s="64"/>
      <c r="E20" s="41">
        <f>SUM(E8:E19)</f>
        <v>60</v>
      </c>
      <c r="F20" s="41">
        <f>SUM(F8:F19)</f>
        <v>17.5</v>
      </c>
      <c r="G20" s="50"/>
      <c r="H20" s="51"/>
      <c r="I20" s="51"/>
      <c r="J20" s="52"/>
    </row>
    <row r="21" spans="1:10" ht="30" customHeight="1" thickBot="1" x14ac:dyDescent="0.3">
      <c r="A21" s="4"/>
      <c r="B21" s="65" t="s">
        <v>54</v>
      </c>
      <c r="C21" s="66"/>
      <c r="D21" s="66"/>
      <c r="E21" s="61">
        <f>F20/E20/100*100</f>
        <v>0.29166666666666669</v>
      </c>
      <c r="F21" s="61"/>
      <c r="G21" s="61"/>
      <c r="H21" s="61"/>
      <c r="I21" s="61"/>
      <c r="J21" s="62"/>
    </row>
    <row r="22" spans="1:10" ht="30" customHeight="1" thickBot="1" x14ac:dyDescent="0.3">
      <c r="A22" s="4"/>
      <c r="B22" s="65" t="s">
        <v>55</v>
      </c>
      <c r="C22" s="66"/>
      <c r="D22" s="66"/>
      <c r="E22" s="59" t="str">
        <f>_xlfn.IFS(E21&gt;=90%,"ممتاز",E21&gt;=80%,"جيد جداً",E21&gt;=70%,"جيد",E21&gt;=60%,"مقبول",E21&lt;60%,"راسب")</f>
        <v>راسب</v>
      </c>
      <c r="F22" s="59"/>
      <c r="G22" s="59"/>
      <c r="H22" s="59"/>
      <c r="I22" s="59"/>
      <c r="J22" s="60"/>
    </row>
    <row r="23" spans="1:10" ht="42" customHeight="1" x14ac:dyDescent="0.25">
      <c r="B23" s="55" t="s">
        <v>62</v>
      </c>
      <c r="C23" s="55"/>
      <c r="D23" s="55"/>
      <c r="E23" s="48" t="s">
        <v>52</v>
      </c>
      <c r="F23" s="48"/>
      <c r="G23" s="57" t="s">
        <v>94</v>
      </c>
      <c r="H23" s="57"/>
      <c r="I23" s="57"/>
      <c r="J23" s="57"/>
    </row>
    <row r="24" spans="1:10" ht="51" customHeight="1" x14ac:dyDescent="0.25">
      <c r="A24" s="5"/>
      <c r="B24" s="56"/>
      <c r="C24" s="56"/>
      <c r="D24" s="56"/>
      <c r="E24" s="49" t="s">
        <v>53</v>
      </c>
      <c r="F24" s="49"/>
      <c r="G24" s="58"/>
      <c r="H24" s="58"/>
      <c r="I24" s="58"/>
      <c r="J24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2">
    <cfRule type="expression" dxfId="14" priority="57">
      <formula>$E22="راسب"</formula>
    </cfRule>
  </conditionalFormatting>
  <conditionalFormatting sqref="E22:J22">
    <cfRule type="expression" dxfId="13" priority="58">
      <formula>$E22="مقبول"</formula>
    </cfRule>
    <cfRule type="expression" dxfId="12" priority="59">
      <formula>$E22="جيد"</formula>
    </cfRule>
    <cfRule type="expression" dxfId="11" priority="60">
      <formula>$E22="جيد جداً"</formula>
    </cfRule>
    <cfRule type="expression" dxfId="10" priority="61">
      <formula>$E22="ممتاز"</formula>
    </cfRule>
  </conditionalFormatting>
  <conditionalFormatting sqref="F8:F1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6" priority="15" operator="containsText" text="أدخل اسم المحكم">
      <formula>NOT(ISERROR(SEARCH("أدخل اسم المحكم",G23)))</formula>
    </cfRule>
  </conditionalFormatting>
  <conditionalFormatting sqref="H8:H1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 F10:F19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G23:J23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C3ACFA08-C2CF-46D8-8C01-4BDD9FB51932}">
          <x14:formula1>
            <xm:f>'بيانات التقييم'!$A$111:$A$153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52" workbookViewId="0">
      <selection activeCell="A199" sqref="A199:A285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63</v>
      </c>
    </row>
    <row r="3" spans="1:3" ht="20.100000000000001" customHeight="1" thickBot="1" x14ac:dyDescent="0.3">
      <c r="A3" s="2" t="s">
        <v>26</v>
      </c>
      <c r="C3" s="18" t="s">
        <v>64</v>
      </c>
    </row>
    <row r="4" spans="1:3" ht="20.100000000000001" customHeight="1" thickBot="1" x14ac:dyDescent="0.3">
      <c r="A4" s="2" t="s">
        <v>36</v>
      </c>
      <c r="C4" s="18" t="s">
        <v>65</v>
      </c>
    </row>
    <row r="5" spans="1:3" ht="20.100000000000001" customHeight="1" thickBot="1" x14ac:dyDescent="0.3">
      <c r="A5" s="2" t="s">
        <v>37</v>
      </c>
      <c r="C5" s="18" t="s">
        <v>66</v>
      </c>
    </row>
    <row r="6" spans="1:3" ht="20.100000000000001" customHeight="1" thickBot="1" x14ac:dyDescent="0.3">
      <c r="A6" s="2" t="s">
        <v>38</v>
      </c>
      <c r="C6" s="18" t="s">
        <v>67</v>
      </c>
    </row>
    <row r="7" spans="1:3" ht="20.100000000000001" customHeight="1" thickBot="1" x14ac:dyDescent="0.3">
      <c r="A7" s="2" t="s">
        <v>39</v>
      </c>
      <c r="C7" s="18" t="s">
        <v>68</v>
      </c>
    </row>
    <row r="8" spans="1:3" ht="20.100000000000001" customHeight="1" thickBot="1" x14ac:dyDescent="0.3">
      <c r="A8" s="2" t="s">
        <v>40</v>
      </c>
      <c r="C8" s="18" t="s">
        <v>69</v>
      </c>
    </row>
    <row r="9" spans="1:3" ht="20.100000000000001" customHeight="1" thickBot="1" x14ac:dyDescent="0.3">
      <c r="A9" s="2" t="s">
        <v>41</v>
      </c>
      <c r="C9" s="18" t="s">
        <v>70</v>
      </c>
    </row>
    <row r="10" spans="1:3" ht="20.100000000000001" customHeight="1" thickBot="1" x14ac:dyDescent="0.3">
      <c r="A10" s="2" t="s">
        <v>42</v>
      </c>
      <c r="C10" s="18" t="s">
        <v>71</v>
      </c>
    </row>
    <row r="11" spans="1:3" ht="20.100000000000001" customHeight="1" thickBot="1" x14ac:dyDescent="0.3">
      <c r="A11" s="2" t="s">
        <v>43</v>
      </c>
      <c r="C11" s="18" t="s">
        <v>72</v>
      </c>
    </row>
    <row r="12" spans="1:3" ht="20.100000000000001" customHeight="1" thickBot="1" x14ac:dyDescent="0.3">
      <c r="A12" s="2" t="s">
        <v>44</v>
      </c>
      <c r="C12" s="18" t="s">
        <v>73</v>
      </c>
    </row>
    <row r="13" spans="1:3" ht="20.100000000000001" customHeight="1" thickBot="1" x14ac:dyDescent="0.3">
      <c r="A13" s="2" t="s">
        <v>45</v>
      </c>
      <c r="C13" s="18" t="s">
        <v>74</v>
      </c>
    </row>
    <row r="14" spans="1:3" ht="20.100000000000001" customHeight="1" thickBot="1" x14ac:dyDescent="0.3">
      <c r="A14" s="2" t="s">
        <v>46</v>
      </c>
      <c r="C14" s="18" t="s">
        <v>75</v>
      </c>
    </row>
    <row r="15" spans="1:3" ht="20.100000000000001" customHeight="1" thickBot="1" x14ac:dyDescent="0.3">
      <c r="A15" s="2" t="s">
        <v>47</v>
      </c>
      <c r="C15" s="18" t="s">
        <v>76</v>
      </c>
    </row>
    <row r="16" spans="1:3" ht="20.100000000000001" customHeight="1" thickBot="1" x14ac:dyDescent="0.3">
      <c r="A16" s="2" t="s">
        <v>10</v>
      </c>
      <c r="C16" s="18" t="s">
        <v>77</v>
      </c>
    </row>
    <row r="17" spans="1:3" ht="20.100000000000001" customHeight="1" thickBot="1" x14ac:dyDescent="0.3">
      <c r="A17" s="2" t="s">
        <v>27</v>
      </c>
      <c r="C17" s="18" t="s">
        <v>78</v>
      </c>
    </row>
    <row r="18" spans="1:3" ht="20.100000000000001" customHeight="1" thickBot="1" x14ac:dyDescent="0.3">
      <c r="A18" s="2" t="s">
        <v>48</v>
      </c>
      <c r="C18" s="18" t="s">
        <v>79</v>
      </c>
    </row>
    <row r="19" spans="1:3" ht="20.100000000000001" customHeight="1" thickBot="1" x14ac:dyDescent="0.3">
      <c r="A19" s="2" t="s">
        <v>49</v>
      </c>
      <c r="C19" s="18" t="s">
        <v>80</v>
      </c>
    </row>
    <row r="20" spans="1:3" ht="20.100000000000001" customHeight="1" thickBot="1" x14ac:dyDescent="0.3">
      <c r="A20" s="2" t="s">
        <v>50</v>
      </c>
      <c r="C20" s="18" t="s">
        <v>81</v>
      </c>
    </row>
    <row r="21" spans="1:3" ht="20.100000000000001" customHeight="1" thickBot="1" x14ac:dyDescent="0.3">
      <c r="A21" s="2" t="s">
        <v>51</v>
      </c>
      <c r="C21" s="18" t="s">
        <v>82</v>
      </c>
    </row>
    <row r="22" spans="1:3" ht="20.100000000000001" customHeight="1" thickBot="1" x14ac:dyDescent="0.3">
      <c r="A22" s="2" t="s">
        <v>11</v>
      </c>
      <c r="C22" s="18" t="s">
        <v>83</v>
      </c>
    </row>
    <row r="23" spans="1:3" ht="20.100000000000001" customHeight="1" thickBot="1" x14ac:dyDescent="0.3">
      <c r="A23" s="2" t="s">
        <v>12</v>
      </c>
      <c r="C23" s="18" t="s">
        <v>84</v>
      </c>
    </row>
    <row r="24" spans="1:3" ht="20.100000000000001" customHeight="1" thickBot="1" x14ac:dyDescent="0.3">
      <c r="A24" s="2" t="s">
        <v>15</v>
      </c>
      <c r="C24" s="18" t="s">
        <v>85</v>
      </c>
    </row>
    <row r="25" spans="1:3" ht="20.100000000000001" customHeight="1" thickBot="1" x14ac:dyDescent="0.3">
      <c r="A25" s="2" t="s">
        <v>28</v>
      </c>
      <c r="C25" s="18" t="s">
        <v>86</v>
      </c>
    </row>
    <row r="26" spans="1:3" ht="20.100000000000001" customHeight="1" thickBot="1" x14ac:dyDescent="0.3">
      <c r="A26" s="2" t="s">
        <v>29</v>
      </c>
      <c r="C26" s="18" t="s">
        <v>87</v>
      </c>
    </row>
    <row r="27" spans="1:3" ht="20.100000000000001" customHeight="1" thickBot="1" x14ac:dyDescent="0.3">
      <c r="A27" s="2" t="s">
        <v>13</v>
      </c>
      <c r="C27" s="18" t="s">
        <v>88</v>
      </c>
    </row>
    <row r="28" spans="1:3" ht="20.100000000000001" customHeight="1" thickBot="1" x14ac:dyDescent="0.3">
      <c r="A28" s="2" t="s">
        <v>30</v>
      </c>
      <c r="C28" s="18" t="s">
        <v>89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5">
      <c r="A35" s="17"/>
    </row>
    <row r="36" spans="1:9" s="16" customFormat="1" ht="20.100000000000001" customHeight="1" x14ac:dyDescent="0.25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5">
      <c r="A107" s="13"/>
    </row>
    <row r="108" spans="1:9" ht="20.100000000000001" customHeight="1" x14ac:dyDescent="0.25">
      <c r="A108" s="13"/>
    </row>
    <row r="109" spans="1:9" s="16" customFormat="1" ht="20.100000000000001" customHeight="1" x14ac:dyDescent="0.25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19" t="s">
        <v>90</v>
      </c>
    </row>
    <row r="200" spans="1:1" ht="20.100000000000001" customHeight="1" x14ac:dyDescent="0.25">
      <c r="A200" s="19" t="s">
        <v>91</v>
      </c>
    </row>
    <row r="201" spans="1:1" ht="20.100000000000001" customHeight="1" x14ac:dyDescent="0.25">
      <c r="A201" s="19" t="s">
        <v>92</v>
      </c>
    </row>
    <row r="202" spans="1:1" ht="20.100000000000001" customHeight="1" x14ac:dyDescent="0.25">
      <c r="A202" s="19" t="s">
        <v>93</v>
      </c>
    </row>
    <row r="203" spans="1:1" ht="20.100000000000001" customHeight="1" x14ac:dyDescent="0.25">
      <c r="A203" s="19" t="s">
        <v>94</v>
      </c>
    </row>
    <row r="204" spans="1:1" ht="20.100000000000001" customHeight="1" x14ac:dyDescent="0.25">
      <c r="A204" s="19" t="s">
        <v>95</v>
      </c>
    </row>
    <row r="205" spans="1:1" ht="20.100000000000001" customHeight="1" x14ac:dyDescent="0.25">
      <c r="A205" s="19" t="s">
        <v>96</v>
      </c>
    </row>
    <row r="206" spans="1:1" ht="20.100000000000001" customHeight="1" x14ac:dyDescent="0.25">
      <c r="A206" s="19" t="s">
        <v>97</v>
      </c>
    </row>
    <row r="207" spans="1:1" ht="20.100000000000001" customHeight="1" x14ac:dyDescent="0.25">
      <c r="A207" s="19" t="s">
        <v>98</v>
      </c>
    </row>
    <row r="208" spans="1:1" ht="20.100000000000001" customHeight="1" x14ac:dyDescent="0.25">
      <c r="A208" s="20" t="s">
        <v>99</v>
      </c>
    </row>
    <row r="209" spans="1:1" ht="20.100000000000001" customHeight="1" x14ac:dyDescent="0.25">
      <c r="A209" s="20" t="s">
        <v>100</v>
      </c>
    </row>
    <row r="210" spans="1:1" ht="20.100000000000001" customHeight="1" x14ac:dyDescent="0.25">
      <c r="A210" s="19" t="s">
        <v>101</v>
      </c>
    </row>
    <row r="211" spans="1:1" ht="20.100000000000001" customHeight="1" x14ac:dyDescent="0.25">
      <c r="A211" s="19" t="s">
        <v>102</v>
      </c>
    </row>
    <row r="212" spans="1:1" ht="20.100000000000001" customHeight="1" x14ac:dyDescent="0.25">
      <c r="A212" s="19" t="s">
        <v>103</v>
      </c>
    </row>
    <row r="213" spans="1:1" ht="20.100000000000001" customHeight="1" x14ac:dyDescent="0.25">
      <c r="A213" s="19" t="s">
        <v>104</v>
      </c>
    </row>
    <row r="214" spans="1:1" ht="20.100000000000001" customHeight="1" x14ac:dyDescent="0.25">
      <c r="A214" s="19" t="s">
        <v>105</v>
      </c>
    </row>
    <row r="215" spans="1:1" ht="20.100000000000001" customHeight="1" x14ac:dyDescent="0.25">
      <c r="A215" s="19" t="s">
        <v>106</v>
      </c>
    </row>
    <row r="216" spans="1:1" ht="20.100000000000001" customHeight="1" x14ac:dyDescent="0.25">
      <c r="A216" s="19" t="s">
        <v>107</v>
      </c>
    </row>
    <row r="217" spans="1:1" ht="20.100000000000001" customHeight="1" x14ac:dyDescent="0.25">
      <c r="A217" s="19" t="s">
        <v>108</v>
      </c>
    </row>
    <row r="218" spans="1:1" ht="20.100000000000001" customHeight="1" x14ac:dyDescent="0.25">
      <c r="A218" s="19" t="s">
        <v>109</v>
      </c>
    </row>
    <row r="219" spans="1:1" ht="20.100000000000001" customHeight="1" x14ac:dyDescent="0.25">
      <c r="A219" s="19" t="s">
        <v>110</v>
      </c>
    </row>
    <row r="220" spans="1:1" ht="20.100000000000001" customHeight="1" x14ac:dyDescent="0.25">
      <c r="A220" s="19" t="s">
        <v>111</v>
      </c>
    </row>
    <row r="221" spans="1:1" ht="20.100000000000001" customHeight="1" x14ac:dyDescent="0.25">
      <c r="A221" s="19" t="s">
        <v>112</v>
      </c>
    </row>
    <row r="222" spans="1:1" ht="20.100000000000001" customHeight="1" x14ac:dyDescent="0.25">
      <c r="A222" s="19" t="s">
        <v>113</v>
      </c>
    </row>
    <row r="223" spans="1:1" ht="20.100000000000001" customHeight="1" x14ac:dyDescent="0.25">
      <c r="A223" s="19" t="s">
        <v>114</v>
      </c>
    </row>
    <row r="224" spans="1:1" ht="20.100000000000001" customHeight="1" x14ac:dyDescent="0.25">
      <c r="A224" s="19" t="s">
        <v>115</v>
      </c>
    </row>
    <row r="225" spans="1:1" ht="20.100000000000001" customHeight="1" x14ac:dyDescent="0.25">
      <c r="A225" s="19" t="s">
        <v>116</v>
      </c>
    </row>
    <row r="226" spans="1:1" ht="20.100000000000001" customHeight="1" x14ac:dyDescent="0.25">
      <c r="A226" s="19" t="s">
        <v>117</v>
      </c>
    </row>
    <row r="227" spans="1:1" ht="20.100000000000001" customHeight="1" x14ac:dyDescent="0.25">
      <c r="A227" s="19" t="s">
        <v>118</v>
      </c>
    </row>
    <row r="228" spans="1:1" ht="20.100000000000001" customHeight="1" x14ac:dyDescent="0.25">
      <c r="A228" s="19" t="s">
        <v>119</v>
      </c>
    </row>
    <row r="229" spans="1:1" ht="20.100000000000001" customHeight="1" x14ac:dyDescent="0.25">
      <c r="A229" s="19" t="s">
        <v>120</v>
      </c>
    </row>
    <row r="230" spans="1:1" ht="20.100000000000001" customHeight="1" x14ac:dyDescent="0.25">
      <c r="A230" s="19" t="s">
        <v>121</v>
      </c>
    </row>
    <row r="231" spans="1:1" ht="20.100000000000001" customHeight="1" x14ac:dyDescent="0.25">
      <c r="A231" s="19" t="s">
        <v>122</v>
      </c>
    </row>
    <row r="232" spans="1:1" ht="20.100000000000001" customHeight="1" x14ac:dyDescent="0.25">
      <c r="A232" s="19" t="s">
        <v>123</v>
      </c>
    </row>
    <row r="233" spans="1:1" ht="20.100000000000001" customHeight="1" x14ac:dyDescent="0.25">
      <c r="A233" s="19" t="s">
        <v>124</v>
      </c>
    </row>
    <row r="234" spans="1:1" ht="20.100000000000001" customHeight="1" x14ac:dyDescent="0.25">
      <c r="A234" s="19" t="s">
        <v>125</v>
      </c>
    </row>
    <row r="235" spans="1:1" ht="20.100000000000001" customHeight="1" x14ac:dyDescent="0.25">
      <c r="A235" s="21" t="s">
        <v>126</v>
      </c>
    </row>
    <row r="236" spans="1:1" ht="20.100000000000001" customHeight="1" x14ac:dyDescent="0.25">
      <c r="A236" s="19" t="s">
        <v>127</v>
      </c>
    </row>
    <row r="237" spans="1:1" ht="20.100000000000001" customHeight="1" x14ac:dyDescent="0.25">
      <c r="A237" s="19" t="s">
        <v>128</v>
      </c>
    </row>
    <row r="238" spans="1:1" ht="20.100000000000001" customHeight="1" x14ac:dyDescent="0.25">
      <c r="A238" s="19" t="s">
        <v>129</v>
      </c>
    </row>
    <row r="239" spans="1:1" ht="20.100000000000001" customHeight="1" x14ac:dyDescent="0.25">
      <c r="A239" s="19" t="s">
        <v>130</v>
      </c>
    </row>
    <row r="240" spans="1:1" ht="20.100000000000001" customHeight="1" x14ac:dyDescent="0.25">
      <c r="A240" s="19" t="s">
        <v>131</v>
      </c>
    </row>
    <row r="241" spans="1:1" ht="20.100000000000001" customHeight="1" x14ac:dyDescent="0.25">
      <c r="A241" s="19" t="s">
        <v>132</v>
      </c>
    </row>
    <row r="242" spans="1:1" ht="20.100000000000001" customHeight="1" x14ac:dyDescent="0.25">
      <c r="A242" s="19" t="s">
        <v>133</v>
      </c>
    </row>
    <row r="243" spans="1:1" ht="20.100000000000001" customHeight="1" x14ac:dyDescent="0.25">
      <c r="A243" s="19" t="s">
        <v>134</v>
      </c>
    </row>
    <row r="244" spans="1:1" ht="20.100000000000001" customHeight="1" x14ac:dyDescent="0.25">
      <c r="A244" s="19" t="s">
        <v>135</v>
      </c>
    </row>
    <row r="245" spans="1:1" ht="20.100000000000001" customHeight="1" x14ac:dyDescent="0.25">
      <c r="A245" s="19" t="s">
        <v>136</v>
      </c>
    </row>
    <row r="246" spans="1:1" ht="20.100000000000001" customHeight="1" x14ac:dyDescent="0.25">
      <c r="A246" s="19" t="s">
        <v>137</v>
      </c>
    </row>
    <row r="247" spans="1:1" ht="20.100000000000001" customHeight="1" x14ac:dyDescent="0.25">
      <c r="A247" s="19" t="s">
        <v>128</v>
      </c>
    </row>
    <row r="248" spans="1:1" ht="20.100000000000001" customHeight="1" x14ac:dyDescent="0.25">
      <c r="A248" s="19" t="s">
        <v>138</v>
      </c>
    </row>
    <row r="249" spans="1:1" ht="20.100000000000001" customHeight="1" x14ac:dyDescent="0.25">
      <c r="A249" s="19" t="s">
        <v>139</v>
      </c>
    </row>
    <row r="250" spans="1:1" ht="20.100000000000001" customHeight="1" x14ac:dyDescent="0.25">
      <c r="A250" s="21" t="s">
        <v>140</v>
      </c>
    </row>
    <row r="251" spans="1:1" ht="20.100000000000001" customHeight="1" x14ac:dyDescent="0.25">
      <c r="A251" s="22" t="s">
        <v>141</v>
      </c>
    </row>
    <row r="252" spans="1:1" ht="20.100000000000001" customHeight="1" x14ac:dyDescent="0.25">
      <c r="A252" s="19" t="s">
        <v>142</v>
      </c>
    </row>
    <row r="253" spans="1:1" ht="20.100000000000001" customHeight="1" x14ac:dyDescent="0.25">
      <c r="A253" s="19" t="s">
        <v>143</v>
      </c>
    </row>
    <row r="254" spans="1:1" ht="20.100000000000001" customHeight="1" x14ac:dyDescent="0.25">
      <c r="A254" s="23" t="s">
        <v>144</v>
      </c>
    </row>
    <row r="255" spans="1:1" ht="20.100000000000001" customHeight="1" x14ac:dyDescent="0.25">
      <c r="A255" s="23" t="s">
        <v>145</v>
      </c>
    </row>
    <row r="256" spans="1:1" ht="20.100000000000001" customHeight="1" x14ac:dyDescent="0.25">
      <c r="A256" s="24" t="s">
        <v>146</v>
      </c>
    </row>
    <row r="257" spans="1:1" ht="20.100000000000001" customHeight="1" x14ac:dyDescent="0.25">
      <c r="A257" s="19" t="s">
        <v>147</v>
      </c>
    </row>
    <row r="258" spans="1:1" ht="20.100000000000001" customHeight="1" x14ac:dyDescent="0.25">
      <c r="A258" s="24" t="s">
        <v>148</v>
      </c>
    </row>
    <row r="259" spans="1:1" ht="20.100000000000001" customHeight="1" x14ac:dyDescent="0.25">
      <c r="A259" s="19" t="s">
        <v>149</v>
      </c>
    </row>
    <row r="260" spans="1:1" ht="20.100000000000001" customHeight="1" x14ac:dyDescent="0.25">
      <c r="A260" s="24" t="s">
        <v>150</v>
      </c>
    </row>
    <row r="261" spans="1:1" ht="20.100000000000001" customHeight="1" x14ac:dyDescent="0.25">
      <c r="A261" s="19" t="s">
        <v>151</v>
      </c>
    </row>
    <row r="262" spans="1:1" ht="20.100000000000001" customHeight="1" x14ac:dyDescent="0.25">
      <c r="A262" s="19" t="s">
        <v>152</v>
      </c>
    </row>
    <row r="263" spans="1:1" ht="20.100000000000001" customHeight="1" x14ac:dyDescent="0.25">
      <c r="A263" s="24" t="s">
        <v>153</v>
      </c>
    </row>
    <row r="264" spans="1:1" ht="20.100000000000001" customHeight="1" x14ac:dyDescent="0.25">
      <c r="A264" s="24" t="s">
        <v>154</v>
      </c>
    </row>
    <row r="265" spans="1:1" ht="20.100000000000001" customHeight="1" x14ac:dyDescent="0.25">
      <c r="A265" s="24" t="s">
        <v>155</v>
      </c>
    </row>
    <row r="266" spans="1:1" ht="20.100000000000001" customHeight="1" x14ac:dyDescent="0.25">
      <c r="A266" s="19" t="s">
        <v>156</v>
      </c>
    </row>
    <row r="267" spans="1:1" ht="20.100000000000001" customHeight="1" x14ac:dyDescent="0.25">
      <c r="A267" s="19" t="s">
        <v>157</v>
      </c>
    </row>
    <row r="268" spans="1:1" ht="20.100000000000001" customHeight="1" x14ac:dyDescent="0.25">
      <c r="A268" s="19" t="s">
        <v>158</v>
      </c>
    </row>
    <row r="269" spans="1:1" ht="20.100000000000001" customHeight="1" x14ac:dyDescent="0.25">
      <c r="A269" s="19" t="s">
        <v>159</v>
      </c>
    </row>
    <row r="270" spans="1:1" ht="20.100000000000001" customHeight="1" x14ac:dyDescent="0.25">
      <c r="A270" s="24" t="s">
        <v>160</v>
      </c>
    </row>
    <row r="271" spans="1:1" ht="20.100000000000001" customHeight="1" x14ac:dyDescent="0.25">
      <c r="A271" s="24" t="s">
        <v>161</v>
      </c>
    </row>
    <row r="272" spans="1:1" ht="20.100000000000001" customHeight="1" x14ac:dyDescent="0.25">
      <c r="A272" s="19" t="s">
        <v>162</v>
      </c>
    </row>
    <row r="273" spans="1:1" ht="20.100000000000001" customHeight="1" x14ac:dyDescent="0.25">
      <c r="A273" s="24" t="s">
        <v>163</v>
      </c>
    </row>
    <row r="274" spans="1:1" ht="20.100000000000001" customHeight="1" x14ac:dyDescent="0.25">
      <c r="A274" s="24" t="s">
        <v>164</v>
      </c>
    </row>
    <row r="275" spans="1:1" ht="20.100000000000001" customHeight="1" x14ac:dyDescent="0.25">
      <c r="A275" s="19" t="s">
        <v>165</v>
      </c>
    </row>
    <row r="276" spans="1:1" ht="20.100000000000001" customHeight="1" x14ac:dyDescent="0.25">
      <c r="A276" s="19" t="s">
        <v>166</v>
      </c>
    </row>
    <row r="277" spans="1:1" ht="20.100000000000001" customHeight="1" x14ac:dyDescent="0.25">
      <c r="A277" s="24" t="s">
        <v>167</v>
      </c>
    </row>
    <row r="278" spans="1:1" ht="20.100000000000001" customHeight="1" x14ac:dyDescent="0.25">
      <c r="A278" s="19" t="s">
        <v>168</v>
      </c>
    </row>
    <row r="279" spans="1:1" ht="20.100000000000001" customHeight="1" x14ac:dyDescent="0.25">
      <c r="A279" s="19" t="s">
        <v>169</v>
      </c>
    </row>
    <row r="280" spans="1:1" ht="20.100000000000001" customHeight="1" x14ac:dyDescent="0.25">
      <c r="A280" s="19" t="s">
        <v>170</v>
      </c>
    </row>
    <row r="281" spans="1:1" ht="20.100000000000001" customHeight="1" x14ac:dyDescent="0.25">
      <c r="A281" s="19" t="s">
        <v>171</v>
      </c>
    </row>
    <row r="282" spans="1:1" ht="20.100000000000001" customHeight="1" x14ac:dyDescent="0.25">
      <c r="A282" s="24" t="s">
        <v>172</v>
      </c>
    </row>
    <row r="283" spans="1:1" ht="20.100000000000001" customHeight="1" x14ac:dyDescent="0.25">
      <c r="A283" s="24" t="s">
        <v>173</v>
      </c>
    </row>
    <row r="284" spans="1:1" ht="20.100000000000001" customHeight="1" x14ac:dyDescent="0.25">
      <c r="A284" s="24" t="s">
        <v>174</v>
      </c>
    </row>
    <row r="285" spans="1:1" ht="20.100000000000001" customHeight="1" thickBot="1" x14ac:dyDescent="0.3">
      <c r="A285" s="19" t="s">
        <v>175</v>
      </c>
    </row>
    <row r="286" spans="1:1" ht="20.100000000000001" customHeight="1" thickBot="1" x14ac:dyDescent="0.3">
      <c r="A286" s="2" t="s">
        <v>58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18"/>
  <sheetViews>
    <sheetView rightToLeft="1" workbookViewId="0">
      <selection activeCell="B3" sqref="A3:B14"/>
    </sheetView>
  </sheetViews>
  <sheetFormatPr defaultRowHeight="15" x14ac:dyDescent="0.25"/>
  <cols>
    <col min="1" max="1" width="30.85546875" style="39" customWidth="1"/>
  </cols>
  <sheetData>
    <row r="1" spans="1:4" ht="17.25" thickTop="1" thickBot="1" x14ac:dyDescent="0.3">
      <c r="A1" s="90" t="s">
        <v>0</v>
      </c>
      <c r="B1" s="92" t="s">
        <v>1</v>
      </c>
      <c r="C1" s="93"/>
      <c r="D1" s="94" t="s">
        <v>2</v>
      </c>
    </row>
    <row r="2" spans="1:4" ht="17.25" thickTop="1" thickBot="1" x14ac:dyDescent="0.3">
      <c r="A2" s="91"/>
      <c r="B2" s="27" t="s">
        <v>3</v>
      </c>
      <c r="C2" s="27" t="s">
        <v>4</v>
      </c>
      <c r="D2" s="95"/>
    </row>
    <row r="3" spans="1:4" ht="17.25" thickTop="1" thickBot="1" x14ac:dyDescent="0.3">
      <c r="A3" s="34" t="s">
        <v>176</v>
      </c>
      <c r="B3" s="28">
        <v>5</v>
      </c>
      <c r="C3" s="29"/>
      <c r="D3" s="30"/>
    </row>
    <row r="4" spans="1:4" ht="39.75" thickTop="1" thickBot="1" x14ac:dyDescent="0.3">
      <c r="A4" s="34" t="s">
        <v>177</v>
      </c>
      <c r="B4" s="28">
        <v>10</v>
      </c>
      <c r="C4" s="29"/>
      <c r="D4" s="30"/>
    </row>
    <row r="5" spans="1:4" ht="27" thickTop="1" thickBot="1" x14ac:dyDescent="0.3">
      <c r="A5" s="34" t="s">
        <v>178</v>
      </c>
      <c r="B5" s="28">
        <v>5</v>
      </c>
      <c r="C5" s="29"/>
      <c r="D5" s="30"/>
    </row>
    <row r="6" spans="1:4" ht="27" thickTop="1" thickBot="1" x14ac:dyDescent="0.3">
      <c r="A6" s="34" t="s">
        <v>179</v>
      </c>
      <c r="B6" s="28">
        <v>5</v>
      </c>
      <c r="C6" s="29"/>
      <c r="D6" s="30"/>
    </row>
    <row r="7" spans="1:4" ht="27" thickTop="1" thickBot="1" x14ac:dyDescent="0.3">
      <c r="A7" s="34" t="s">
        <v>180</v>
      </c>
      <c r="B7" s="28">
        <v>5</v>
      </c>
      <c r="C7" s="29"/>
      <c r="D7" s="30"/>
    </row>
    <row r="8" spans="1:4" ht="27" thickTop="1" thickBot="1" x14ac:dyDescent="0.3">
      <c r="A8" s="34" t="s">
        <v>181</v>
      </c>
      <c r="B8" s="28">
        <v>5</v>
      </c>
      <c r="C8" s="29"/>
      <c r="D8" s="30"/>
    </row>
    <row r="9" spans="1:4" ht="26.25" thickTop="1" x14ac:dyDescent="0.25">
      <c r="A9" s="35" t="s">
        <v>182</v>
      </c>
      <c r="B9" s="31"/>
      <c r="C9" s="32"/>
      <c r="D9" s="33"/>
    </row>
    <row r="10" spans="1:4" ht="15.75" x14ac:dyDescent="0.25">
      <c r="A10" s="35" t="s">
        <v>183</v>
      </c>
      <c r="B10" s="31">
        <v>5</v>
      </c>
      <c r="C10" s="32"/>
      <c r="D10" s="33"/>
    </row>
    <row r="11" spans="1:4" ht="15.75" x14ac:dyDescent="0.25">
      <c r="A11" s="35" t="s">
        <v>184</v>
      </c>
      <c r="B11" s="31">
        <v>5</v>
      </c>
      <c r="C11" s="32"/>
      <c r="D11" s="33"/>
    </row>
    <row r="12" spans="1:4" ht="15.75" x14ac:dyDescent="0.25">
      <c r="A12" s="35" t="s">
        <v>185</v>
      </c>
      <c r="B12" s="31">
        <v>5</v>
      </c>
      <c r="C12" s="32"/>
      <c r="D12" s="33"/>
    </row>
    <row r="13" spans="1:4" ht="16.5" thickBot="1" x14ac:dyDescent="0.3">
      <c r="A13" s="34" t="s">
        <v>186</v>
      </c>
      <c r="B13" s="28">
        <v>5</v>
      </c>
      <c r="C13" s="29"/>
      <c r="D13" s="30"/>
    </row>
    <row r="14" spans="1:4" ht="39.75" thickTop="1" thickBot="1" x14ac:dyDescent="0.3">
      <c r="A14" s="34" t="s">
        <v>187</v>
      </c>
      <c r="B14" s="28">
        <v>5</v>
      </c>
      <c r="C14" s="29"/>
      <c r="D14" s="30"/>
    </row>
    <row r="15" spans="1:4" ht="17.25" thickTop="1" thickBot="1" x14ac:dyDescent="0.3">
      <c r="A15" s="36" t="s">
        <v>188</v>
      </c>
      <c r="B15" s="28">
        <v>60</v>
      </c>
      <c r="C15" s="29"/>
      <c r="D15" s="29"/>
    </row>
    <row r="16" spans="1:4" ht="17.25" thickTop="1" thickBot="1" x14ac:dyDescent="0.3">
      <c r="A16" s="37" t="s">
        <v>189</v>
      </c>
      <c r="B16" s="96" t="s">
        <v>190</v>
      </c>
      <c r="C16" s="97"/>
      <c r="D16" s="97"/>
    </row>
    <row r="17" spans="1:4" ht="16.5" thickBot="1" x14ac:dyDescent="0.3">
      <c r="A17" s="38" t="s">
        <v>191</v>
      </c>
      <c r="B17" s="98"/>
      <c r="C17" s="99"/>
      <c r="D17" s="99"/>
    </row>
    <row r="18" spans="1:4" ht="15.75" thickTop="1" x14ac:dyDescent="0.25"/>
  </sheetData>
  <mergeCells count="5">
    <mergeCell ref="A1:A2"/>
    <mergeCell ref="B1:C1"/>
    <mergeCell ref="D1:D2"/>
    <mergeCell ref="B16:D16"/>
    <mergeCell ref="B17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2026-07-01T14:55:45Z</dcterms:modified>
</cp:coreProperties>
</file>