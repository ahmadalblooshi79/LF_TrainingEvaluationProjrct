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CF43A65-7F07-E249-B8A2-082DCB38A99B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3" i="2"/>
  <c r="H23" i="2"/>
  <c r="G24" i="2"/>
  <c r="H24" i="2"/>
  <c r="G25" i="2"/>
  <c r="H25" i="2"/>
  <c r="G27" i="2"/>
  <c r="H27" i="2"/>
  <c r="G28" i="2"/>
  <c r="H28" i="2"/>
  <c r="G30" i="2"/>
  <c r="H30" i="2"/>
  <c r="G31" i="2"/>
  <c r="H31" i="2"/>
  <c r="G32" i="2"/>
  <c r="H32" i="2"/>
  <c r="G33" i="2"/>
  <c r="H33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<sst xmlns="http://schemas.openxmlformats.org/spreadsheetml/2006/main" count="263" uniqueCount="207">
  <si>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</si>
  <si>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</si>
  <si>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</si>
  <si>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</si>
  <si>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</si>
  <si>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</si>
  <si>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</si>
  <si>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</si>
  <si>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</si>
  <si>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</si>
  <si>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</si>
  <si>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</si>
  <si>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</si>
  <si>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</si>
  <si>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</si>
  <si>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</si>
  <si>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</si>
  <si>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</si>
  <si>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</si>
  <si>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</si>
  <si>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</si>
  <si>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</si>
  <si>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</si>
  <si>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</si>
  <si>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</si>
  <si>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</si>
  <si>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</si>
  <si>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</si>
  <si>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</si>
  <si>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</si>
  <si>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</si>
  <si>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</si>
  <si>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</si>
  <si>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</si>
  <si>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</si>
  <si>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</si>
  <si>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</si>
  <si>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</si>
  <si>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</si>
  <si>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</si>
  <si>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</si>
  <si>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</si>
  <si>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</si>
  <si>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</si>
  <si>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</si>
  <si>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</si>
  <si>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</si>
  <si>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</si>
  <si>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</si>
  <si>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</si>
  <si>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</si>
  <si>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</si>
  <si>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</si>
  <si>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</si>
  <si>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</si>
  <si>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</si>
  <si>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</si>
  <si>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</si>
  <si>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</si>
  <si>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</si>
  <si>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</si>
  <si>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</si>
  <si>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</si>
  <si>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</si>
  <si>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</si>
  <si>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</si>
  <si>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</si>
  <si>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</si>
  <si>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</si>
  <si>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</si>
  <si>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</si>
  <si>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</si>
  <si>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</si>
  <si>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</si>
  <si>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</si>
  <si>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</si>
  <si>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</si>
  <si>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</si>
  <si>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</si>
  <si>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</si>
  <si>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</si>
  <si>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</si>
  <si>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</si>
  <si>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</si>
  <si>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</si>
  <si>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</si>
  <si>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</si>
  <si>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</si>
  <si>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</si>
  <si>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</si>
  <si>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</si>
  <si>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</si>
  <si>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</si>
  <si>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</si>
  <si>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</si>
  <si>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</si>
  <si>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</si>
  <si>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</si>
  <si>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</si>
  <si>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</si>
  <si>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</si>
  <si>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</si>
  <si>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</si>
  <si>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</si>
  <si>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</si>
  <si>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</si>
  <si>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</si>
  <si>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</si>
  <si>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</si>
  <si>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</si>
  <si>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</si>
  <si>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</si>
  <si>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</si>
  <si>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</si>
  <si>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</si>
  <si>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</si>
  <si>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</si>
  <si>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</si>
  <si>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</si>
  <si>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</si>
  <si>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</si>
  <si>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</si>
  <si>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</si>
  <si>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</si>
  <si>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</si>
  <si>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</si>
  <si>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</si>
  <si>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</si>
  <si>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</si>
  <si>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</si>
  <si>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</si>
  <si>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</si>
  <si>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</si>
  <si>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</si>
  <si>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</si>
  <si>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</si>
  <si>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</si>
  <si>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</si>
  <si>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</si>
  <si>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</si>
  <si>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</si>
  <si>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</si>
  <si>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</si>
  <si>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</si>
  <si>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</si>
  <si>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</si>
  <si>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</si>
  <si>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</si>
  <si>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</si>
  <si>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</si>
  <si>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</si>
  <si>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</si>
  <si>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</si>
  <si>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</si>
  <si>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</si>
  <si>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</si>
  <si>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</si>
  <si>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</si>
  <si>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</si>
  <si>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</si>
  <si>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</si>
  <si>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</si>
  <si>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</si>
  <si>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</si>
  <si>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</si>
  <si>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</si>
  <si>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</si>
  <si>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</si>
  <si>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</si>
  <si>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</si>
  <si>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</si>
  <si>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</si>
  <si>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</si>
  <si>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</si>
  <si>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</si>
  <si>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</si>
  <si>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</si>
  <si>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</si>
  <si>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</si>
  <si>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</si>
  <si>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لوحدات المناورة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</si>
  <si>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</t>
    </r>
    <r>
      <rPr>
        <b/>
        <sz val="12"/>
        <color rgb="FF000000"/>
        <rFont val="Arial"/>
        <family val="2"/>
      </rPr>
      <t>، وتشمل:</t>
    </r>
  </si>
  <si>
    <t>أ.   أمر / برقية الحركة من المستوى الأعلـى.</t>
  </si>
  <si>
    <t>ب. وجود أمـر التنقل ودقة البيانات الواردة به.</t>
  </si>
  <si>
    <t>جـ. وجود جدول التنقل ودقة البيانات الواردة به.</t>
  </si>
  <si>
    <t>د.  وجود يومية التنقل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</si>
  <si>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</si>
  <si>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</si>
  <si>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جاهزيـة الضباط والأفــراد من حيث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</si>
  <si>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تعيين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</si>
  <si>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</si>
  <si>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، من حيـث:</t>
    </r>
  </si>
  <si>
    <t>أ.  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</si>
  <si>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/ جدول التحميل والركوب لكل آلية.</t>
  </si>
  <si>
    <t>جـ. مدى صلاحية وجاهزية الآليات من حيث (الوقود، المياه، الإطار الاحتياطي، شباك التمويه مع أعمدة التثبيت).</t>
  </si>
  <si>
    <r>
      <t>8.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حمولة آليات القافلة</t>
    </r>
    <r>
      <rPr>
        <b/>
        <sz val="12"/>
        <color theme="1"/>
        <rFont val="Arial"/>
        <family val="2"/>
      </rPr>
      <t>، من حيـث:</t>
    </r>
  </si>
  <si>
    <t>أ.   التأكد من عدم تحميل الآليات أكثر من حمولتها أو وضع حمولة غير مرتبة بحيث توحي بأنها محملة أكثر من حمولتها.</t>
  </si>
  <si>
    <t>ب. التأكد من تحميل ثلث ذخيرة الخط الأول لجميع الأصناف في صناديق (أثناء التنقل لتنفيذ التمارين الخارجية) مع وجود سند صرف لاستلام الذخائر.</t>
  </si>
  <si>
    <t>جـ.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</si>
  <si>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  </t>
    </r>
    <r>
      <rPr>
        <b/>
        <u/>
        <sz val="12"/>
        <color theme="1"/>
        <rFont val="Arial"/>
        <family val="2"/>
      </rPr>
      <t>عند تحميل أي ذخيرة في القافلة</t>
    </r>
    <r>
      <rPr>
        <b/>
        <sz val="12"/>
        <color theme="1"/>
        <rFont val="Arial"/>
        <family val="2"/>
      </rPr>
      <t>، يتم توفير الآتي:</t>
    </r>
  </si>
  <si>
    <t>أ. سيارة إطفاء والتأكد من جاهزيتها وصلاحيتها وكفاءة طاقمها.</t>
  </si>
  <si>
    <t>ب.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</si>
  <si>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sz val="12"/>
        <color rgb="FF000000"/>
        <rFont val="Arial"/>
        <family val="2"/>
      </rPr>
      <t>الشؤون الإدارية.</t>
    </r>
  </si>
  <si>
    <t>أ.   توفر الإعاشة أثناء التنقـل.</t>
  </si>
  <si>
    <t>ب. سيارة إسعاف مع طبيب / ممرضة أو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</si>
  <si>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</si>
  <si>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 وجود آلية إنقاذ مركبات احتياط لآليات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</si>
</sst>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6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296841</xdr:colOff>
      <xdr:row>37</xdr:row>
      <xdr:rowOff>230947</xdr:rowOff>
    </xdr:from>
    <xdr:to>
      <xdr:col>7</xdr:col>
      <xdr:colOff>181991</xdr:colOff>
      <xdr:row>37</xdr:row>
      <xdr:rowOff>426787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2F17357-A63A-D8D6-5819-F05547656430}"/>
                </a:ext>
              </a:extLst>
            </xdr14:cNvPr>
            <xdr14:cNvContentPartPr/>
          </xdr14:nvContentPartPr>
          <xdr14:nvPr macro=""/>
          <xdr14:xfrm>
            <a:off x="10399721009" y="18270720"/>
            <a:ext cx="543240" cy="19584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2F17357-A63A-D8D6-5819-F055476564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712369" y="18261720"/>
              <a:ext cx="56088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486201</xdr:colOff>
      <xdr:row>37</xdr:row>
      <xdr:rowOff>134467</xdr:rowOff>
    </xdr:from>
    <xdr:to>
      <xdr:col>7</xdr:col>
      <xdr:colOff>640991</xdr:colOff>
      <xdr:row>37</xdr:row>
      <xdr:rowOff>440467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E11F582-A116-FEED-BDB6-59EC3906B266}"/>
                </a:ext>
              </a:extLst>
            </xdr14:cNvPr>
            <xdr14:cNvContentPartPr/>
          </xdr14:nvContentPartPr>
          <xdr14:nvPr macro=""/>
          <xdr14:xfrm>
            <a:off x="10399262009" y="18174240"/>
            <a:ext cx="812880" cy="3060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E11F582-A116-FEED-BDB6-59EC3906B26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253369" y="18165600"/>
              <a:ext cx="830520" cy="3236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1:41.7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23 543 15571,'0'0'0,"-4"-13"1488,0 1-1272,4 12-216,-4-16 48,-1-2-80,1-4 88,3-2-40,1 24-16,0-24 8,0 0-56,11 0-56,-7-2 32,-4 26 72,19-23-80,-4-1-8,5-2 8,3 4 8,-23 22 72,27-24-24,4 1-16,6 1 72,13-2-32,-50 24 0,88-39-72,-3 7 32,-5 9-56,-20 11 48,-60 12 48,62-12-32,5 7 80,1-8-120,5 9-48,-73 4 120,74-5 0,-3 1-40,-3 1 24,-3 3-56,-65 0 72,64 0-64,-4 3-48,-4 1 120,-5 8-8,-51-12 0,45 4-56,-8 13-8,-6-6 16,-5 2 96,-26-13-48,20 13 88,-7 0 56,-9 0 48,-1-2 128,-3-11-320,0 4 416,-4 13 104,-15-4-56,-4 1-96,23-14-368,-30 16 281,-4 0-105,-6-1-24,-1 1-56,41-16-96,-41 14 24,-3-1-144,-1 1-681,-4-1-1799,49-13 2600,-47 13-6217,-2 1-809,49-14 7026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01:42.8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2124 835 16555,'0'0'0,"-27"-15"2217,-6 2-2193,33 13-24,-42-14-32,-2 9-129,0 1 105,-6 3 64,50 1-8,-58-2-96,-11 2 0,32 0 24,-11 0-56,48 0 128,-52 0-160,-15 0 112,-3 3-88,-15 0 64,85-3 72,-90 0-144,-13 0 16,-8 0-24,53 0 192,58 0-40,-64 0 64,-1-1 32,-4-1 104,0-2-144,69 4-56,-73-6 0,5-5 0,-5 5 72,6-9-56,67 15-16,-69-13 80,6-1 168,-2-2 4921,6-3-4776,59 19-393,-57-19 256,10-3-5169,2-1 4681,10-2 80,35 25 152,-27-26-145,9-4 81,16 1 16,2-4 112,0 33-64,20-34 193,7 1-41,10-1 80,61-33-264,-98 67 32,123-61-40,17 6-8,11 5-16,7 7 168,-158 43-104,158-32 24,-7 9 8,103-3-112,-48 13 64,-206 13 16,164-1-32,-39 1-72,-30 0 80,-2 11-32,-93-11 56,79 5-89,-13 10-7,-14-2-24,-18 3-48,-34-16 168,22 17-168,-18 0 112,-4 1 56,-16 5 24,16-23-24,-32 28 120,-20 5-24,-19 6 0,-15 3 8,86-42-104,-101 47 112,44-23 41,-14 9-41,-8 0-24,79-33-88,-95 39 72,-6 1-160,-15 6 88,-2-2 72,118-44-72,-134 48 72,69-27 312,-6 4 0,4-6-48,67-19-336,-71 22 304,6-2-280,-2-2 0,9-2-32,58-16 8,-60 17 88,10-6-64,2 2-48,7-9-24,41-4 48,-40 15-192,11-13 128,5 10-40,8-12 120,16 0-16,-5 3 192,3-3-56,18 0-96,28-5-96,-44 5 56,62-14-152,14 1 64,6 2 128,-1-2-104,-81 13 64,77-6-264,-12-5-696,-20 11-1289,-6-1-2208,-39 1 4457,32 0-7810,-32 0 7810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12" zoomScale="130" zoomScaleNormal="100" zoomScaleSheetLayoutView="130" workbookViewId="0">
      <selection activeCell="F20" sqref="F20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64" t="s">
        <v>180</v>
      </c>
      <c r="C1" s="64"/>
      <c r="D1" s="64"/>
      <c r="E1" s="64"/>
      <c r="F1" s="64"/>
      <c r="G1" s="64"/>
      <c r="H1" s="64"/>
      <c r="I1" s="64"/>
      <c r="J1" s="64"/>
    </row>
    <row r="2" spans="1:10" ht="30" customHeight="1">
      <c r="B2" s="13" t="s">
        <v>8</v>
      </c>
      <c r="C2" s="70" t="s">
        <v>42</v>
      </c>
      <c r="D2" s="70"/>
      <c r="E2" s="13" t="s">
        <v>7</v>
      </c>
      <c r="F2" s="65">
        <v>45934</v>
      </c>
      <c r="G2" s="65"/>
      <c r="H2" s="65"/>
      <c r="I2" s="65"/>
      <c r="J2" s="65"/>
    </row>
    <row r="3" spans="1:10" ht="30" customHeight="1">
      <c r="B3" s="13" t="s">
        <v>9</v>
      </c>
      <c r="C3" s="70" t="s">
        <v>83</v>
      </c>
      <c r="D3" s="70"/>
      <c r="E3" s="13" t="s">
        <v>6</v>
      </c>
      <c r="F3" s="70" t="s">
        <v>130</v>
      </c>
      <c r="G3" s="70"/>
      <c r="H3" s="70"/>
      <c r="I3" s="70"/>
      <c r="J3" s="70"/>
    </row>
    <row r="4" spans="1:10" ht="30" customHeight="1" thickBot="1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>
      <c r="A5" s="11"/>
      <c r="B5" s="66" t="s">
        <v>0</v>
      </c>
      <c r="C5" s="67"/>
      <c r="D5" s="67"/>
      <c r="E5" s="75" t="s">
        <v>1</v>
      </c>
      <c r="F5" s="75"/>
      <c r="G5" s="75"/>
      <c r="H5" s="75"/>
      <c r="I5" s="75" t="s">
        <v>2</v>
      </c>
      <c r="J5" s="76"/>
    </row>
    <row r="6" spans="1:10" ht="24.95" customHeight="1" thickBot="1">
      <c r="A6" s="11"/>
      <c r="B6" s="68"/>
      <c r="C6" s="69"/>
      <c r="D6" s="69"/>
      <c r="E6" s="12" t="s">
        <v>3</v>
      </c>
      <c r="F6" s="12" t="s">
        <v>4</v>
      </c>
      <c r="G6" s="12" t="s">
        <v>23</v>
      </c>
      <c r="H6" s="12" t="s">
        <v>24</v>
      </c>
      <c r="I6" s="77"/>
      <c r="J6" s="78"/>
    </row>
    <row r="7" spans="1:10" ht="24.95" customHeight="1" thickBot="1">
      <c r="A7" s="11"/>
      <c r="B7" s="73" t="s">
        <v>21</v>
      </c>
      <c r="C7" s="74"/>
      <c r="D7" s="74"/>
      <c r="E7" s="36" t="s">
        <v>18</v>
      </c>
      <c r="F7" s="36" t="s">
        <v>19</v>
      </c>
      <c r="G7" s="36" t="s">
        <v>22</v>
      </c>
      <c r="H7" s="36" t="s">
        <v>20</v>
      </c>
      <c r="I7" s="54" t="s">
        <v>25</v>
      </c>
      <c r="J7" s="55"/>
    </row>
    <row r="8" spans="1:10" ht="39.950000000000003" customHeight="1">
      <c r="A8" s="11"/>
      <c r="B8" s="89" t="s">
        <v>181</v>
      </c>
      <c r="C8" s="90"/>
      <c r="D8" s="90"/>
      <c r="E8" s="30"/>
      <c r="F8" s="40"/>
      <c r="G8" s="41"/>
      <c r="H8" s="42"/>
      <c r="I8" s="79"/>
      <c r="J8" s="80"/>
    </row>
    <row r="9" spans="1:10" ht="39.950000000000003" customHeight="1">
      <c r="A9" s="11"/>
      <c r="B9" s="91" t="s">
        <v>182</v>
      </c>
      <c r="C9" s="92"/>
      <c r="D9" s="92"/>
      <c r="E9" s="31">
        <v>5</v>
      </c>
      <c r="F9" s="27">
        <v>3.75</v>
      </c>
      <c r="G9" s="38">
        <f>IFERROR(F9/E9,"")</f>
        <v>0.75</v>
      </c>
      <c r="H9" s="3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2"/>
      <c r="J9" s="53"/>
    </row>
    <row r="10" spans="1:10" ht="39.950000000000003" customHeight="1">
      <c r="A10" s="11"/>
      <c r="B10" s="91" t="s">
        <v>183</v>
      </c>
      <c r="C10" s="92"/>
      <c r="D10" s="92"/>
      <c r="E10" s="31">
        <v>8</v>
      </c>
      <c r="F10" s="27">
        <v>5.75</v>
      </c>
      <c r="G10" s="38">
        <f t="shared" ref="G10:G33" si="0">IFERROR(F10/E10,"")</f>
        <v>0.71875</v>
      </c>
      <c r="H10" s="3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</v>
      </c>
      <c r="I10" s="52"/>
      <c r="J10" s="53"/>
    </row>
    <row r="11" spans="1:10" ht="39.950000000000003" customHeight="1">
      <c r="A11" s="11"/>
      <c r="B11" s="91" t="s">
        <v>184</v>
      </c>
      <c r="C11" s="92"/>
      <c r="D11" s="92"/>
      <c r="E11" s="31">
        <v>5</v>
      </c>
      <c r="F11" s="27">
        <v>3.75</v>
      </c>
      <c r="G11" s="38">
        <f t="shared" si="0"/>
        <v>0.75</v>
      </c>
      <c r="H11" s="39" t="str">
        <f t="shared" si="1"/>
        <v>جيد</v>
      </c>
      <c r="I11" s="52"/>
      <c r="J11" s="53"/>
    </row>
    <row r="12" spans="1:10" ht="39.950000000000003" customHeight="1" thickBot="1">
      <c r="A12" s="11"/>
      <c r="B12" s="93" t="s">
        <v>185</v>
      </c>
      <c r="C12" s="94"/>
      <c r="D12" s="94"/>
      <c r="E12" s="32">
        <v>5</v>
      </c>
      <c r="F12" s="29">
        <v>3.75</v>
      </c>
      <c r="G12" s="43">
        <f t="shared" si="0"/>
        <v>0.75</v>
      </c>
      <c r="H12" s="44" t="str">
        <f t="shared" si="1"/>
        <v>جيد</v>
      </c>
      <c r="I12" s="56"/>
      <c r="J12" s="57"/>
    </row>
    <row r="13" spans="1:10" ht="39.950000000000003" customHeight="1" thickBot="1">
      <c r="A13" s="11"/>
      <c r="B13" s="87" t="s">
        <v>186</v>
      </c>
      <c r="C13" s="88"/>
      <c r="D13" s="88"/>
      <c r="E13" s="33">
        <v>10</v>
      </c>
      <c r="F13" s="45">
        <v>7.5</v>
      </c>
      <c r="G13" s="46">
        <f t="shared" si="0"/>
        <v>0.75</v>
      </c>
      <c r="H13" s="28" t="str">
        <f t="shared" si="1"/>
        <v>جيد</v>
      </c>
      <c r="I13" s="85"/>
      <c r="J13" s="86"/>
    </row>
    <row r="14" spans="1:10" ht="39.950000000000003" customHeight="1" thickBot="1">
      <c r="A14" s="11"/>
      <c r="B14" s="87" t="s">
        <v>187</v>
      </c>
      <c r="C14" s="88"/>
      <c r="D14" s="88"/>
      <c r="E14" s="10">
        <v>10</v>
      </c>
      <c r="F14" s="45">
        <v>7.75</v>
      </c>
      <c r="G14" s="46">
        <f t="shared" si="0"/>
        <v>0.77500000000000002</v>
      </c>
      <c r="H14" s="28" t="str">
        <f t="shared" si="1"/>
        <v>جيد</v>
      </c>
      <c r="I14" s="85"/>
      <c r="J14" s="86"/>
    </row>
    <row r="15" spans="1:10" ht="57" customHeight="1" thickBot="1">
      <c r="A15" s="11"/>
      <c r="B15" s="87" t="s">
        <v>188</v>
      </c>
      <c r="C15" s="88"/>
      <c r="D15" s="88"/>
      <c r="E15" s="10">
        <v>10</v>
      </c>
      <c r="F15" s="45">
        <v>7</v>
      </c>
      <c r="G15" s="46">
        <f t="shared" si="0"/>
        <v>0.7</v>
      </c>
      <c r="H15" s="28" t="str">
        <f t="shared" si="1"/>
        <v>جيد</v>
      </c>
      <c r="I15" s="85"/>
      <c r="J15" s="86"/>
    </row>
    <row r="16" spans="1:10" ht="39.950000000000003" customHeight="1" thickBot="1">
      <c r="A16" s="11"/>
      <c r="B16" s="87" t="s">
        <v>189</v>
      </c>
      <c r="C16" s="88"/>
      <c r="D16" s="88"/>
      <c r="E16" s="10">
        <v>10</v>
      </c>
      <c r="F16" s="45">
        <v>7</v>
      </c>
      <c r="G16" s="46">
        <f t="shared" si="0"/>
        <v>0.7</v>
      </c>
      <c r="H16" s="28" t="str">
        <f t="shared" si="1"/>
        <v>جيد</v>
      </c>
      <c r="I16" s="85"/>
      <c r="J16" s="86"/>
    </row>
    <row r="17" spans="1:10" ht="39.950000000000003" customHeight="1" thickBot="1">
      <c r="A17" s="11"/>
      <c r="B17" s="87" t="s">
        <v>190</v>
      </c>
      <c r="C17" s="88"/>
      <c r="D17" s="88"/>
      <c r="E17" s="10">
        <v>5</v>
      </c>
      <c r="F17" s="45">
        <v>3.5</v>
      </c>
      <c r="G17" s="46">
        <f t="shared" si="0"/>
        <v>0.7</v>
      </c>
      <c r="H17" s="28" t="str">
        <f t="shared" si="1"/>
        <v>جيد</v>
      </c>
      <c r="I17" s="85"/>
      <c r="J17" s="86"/>
    </row>
    <row r="18" spans="1:10" ht="39.950000000000003" customHeight="1">
      <c r="A18" s="11"/>
      <c r="B18" s="99" t="s">
        <v>191</v>
      </c>
      <c r="C18" s="100"/>
      <c r="D18" s="100"/>
      <c r="E18" s="30"/>
      <c r="F18" s="40"/>
      <c r="G18" s="41"/>
      <c r="H18" s="42"/>
      <c r="I18" s="79"/>
      <c r="J18" s="80"/>
    </row>
    <row r="19" spans="1:10" ht="51" customHeight="1">
      <c r="A19" s="11"/>
      <c r="B19" s="91" t="s">
        <v>192</v>
      </c>
      <c r="C19" s="92"/>
      <c r="D19" s="92"/>
      <c r="E19" s="9">
        <v>6</v>
      </c>
      <c r="F19" s="27">
        <v>4.75</v>
      </c>
      <c r="G19" s="38">
        <f t="shared" si="0"/>
        <v>0.79166666666666663</v>
      </c>
      <c r="H19" s="39" t="str">
        <f t="shared" si="1"/>
        <v>جيد</v>
      </c>
      <c r="I19" s="52"/>
      <c r="J19" s="53"/>
    </row>
    <row r="20" spans="1:10" ht="39.950000000000003" customHeight="1">
      <c r="A20" s="11"/>
      <c r="B20" s="91" t="s">
        <v>193</v>
      </c>
      <c r="C20" s="92"/>
      <c r="D20" s="92"/>
      <c r="E20" s="9">
        <v>6</v>
      </c>
      <c r="F20" s="27">
        <v>4.5</v>
      </c>
      <c r="G20" s="38">
        <f t="shared" si="0"/>
        <v>0.75</v>
      </c>
      <c r="H20" s="39" t="str">
        <f t="shared" si="1"/>
        <v>جيد</v>
      </c>
      <c r="I20" s="52"/>
      <c r="J20" s="53"/>
    </row>
    <row r="21" spans="1:10" ht="39.950000000000003" customHeight="1" thickBot="1">
      <c r="A21" s="11"/>
      <c r="B21" s="93" t="s">
        <v>194</v>
      </c>
      <c r="C21" s="94"/>
      <c r="D21" s="94"/>
      <c r="E21" s="34">
        <v>6</v>
      </c>
      <c r="F21" s="29">
        <v>4.75</v>
      </c>
      <c r="G21" s="43">
        <f t="shared" si="0"/>
        <v>0.79166666666666663</v>
      </c>
      <c r="H21" s="44" t="str">
        <f t="shared" si="1"/>
        <v>جيد</v>
      </c>
      <c r="I21" s="56"/>
      <c r="J21" s="57"/>
    </row>
    <row r="22" spans="1:10" ht="39.950000000000003" customHeight="1">
      <c r="A22" s="11"/>
      <c r="B22" s="89" t="s">
        <v>195</v>
      </c>
      <c r="C22" s="90"/>
      <c r="D22" s="90"/>
      <c r="E22" s="35"/>
      <c r="F22" s="40"/>
      <c r="G22" s="41"/>
      <c r="H22" s="42"/>
      <c r="I22" s="79"/>
      <c r="J22" s="80"/>
    </row>
    <row r="23" spans="1:10" ht="39.950000000000003" customHeight="1">
      <c r="A23" s="11"/>
      <c r="B23" s="91" t="s">
        <v>196</v>
      </c>
      <c r="C23" s="92"/>
      <c r="D23" s="92"/>
      <c r="E23" s="31">
        <v>6</v>
      </c>
      <c r="F23" s="27">
        <v>4.25</v>
      </c>
      <c r="G23" s="38">
        <f t="shared" si="0"/>
        <v>0.70833333333333337</v>
      </c>
      <c r="H23" s="39" t="str">
        <f t="shared" si="1"/>
        <v>جيد</v>
      </c>
      <c r="I23" s="52"/>
      <c r="J23" s="53"/>
    </row>
    <row r="24" spans="1:10" ht="51" customHeight="1">
      <c r="A24" s="11"/>
      <c r="B24" s="91" t="s">
        <v>197</v>
      </c>
      <c r="C24" s="92"/>
      <c r="D24" s="92"/>
      <c r="E24" s="31">
        <v>10</v>
      </c>
      <c r="F24" s="27">
        <v>7</v>
      </c>
      <c r="G24" s="38">
        <f t="shared" si="0"/>
        <v>0.7</v>
      </c>
      <c r="H24" s="39" t="str">
        <f t="shared" si="1"/>
        <v>جيد</v>
      </c>
      <c r="I24" s="52"/>
      <c r="J24" s="53"/>
    </row>
    <row r="25" spans="1:10" ht="39.950000000000003" customHeight="1" thickBot="1">
      <c r="A25" s="11"/>
      <c r="B25" s="93" t="s">
        <v>198</v>
      </c>
      <c r="C25" s="94"/>
      <c r="D25" s="94"/>
      <c r="E25" s="32">
        <v>5</v>
      </c>
      <c r="F25" s="29">
        <v>3.5</v>
      </c>
      <c r="G25" s="43">
        <f t="shared" si="0"/>
        <v>0.7</v>
      </c>
      <c r="H25" s="44" t="str">
        <f t="shared" si="1"/>
        <v>جيد</v>
      </c>
      <c r="I25" s="56"/>
      <c r="J25" s="57"/>
    </row>
    <row r="26" spans="1:10" ht="39.950000000000003" customHeight="1">
      <c r="A26" s="11"/>
      <c r="B26" s="99" t="s">
        <v>199</v>
      </c>
      <c r="C26" s="100"/>
      <c r="D26" s="100"/>
      <c r="E26" s="30"/>
      <c r="F26" s="40"/>
      <c r="G26" s="41"/>
      <c r="H26" s="42"/>
      <c r="I26" s="79"/>
      <c r="J26" s="80"/>
    </row>
    <row r="27" spans="1:10" ht="39.950000000000003" customHeight="1">
      <c r="A27" s="11"/>
      <c r="B27" s="91" t="s">
        <v>200</v>
      </c>
      <c r="C27" s="92"/>
      <c r="D27" s="92"/>
      <c r="E27" s="9">
        <v>10</v>
      </c>
      <c r="F27" s="27">
        <v>7</v>
      </c>
      <c r="G27" s="38">
        <f t="shared" si="0"/>
        <v>0.7</v>
      </c>
      <c r="H27" s="39" t="str">
        <f t="shared" si="1"/>
        <v>جيد</v>
      </c>
      <c r="I27" s="52"/>
      <c r="J27" s="53"/>
    </row>
    <row r="28" spans="1:10" ht="39.950000000000003" customHeight="1" thickBot="1">
      <c r="A28" s="11"/>
      <c r="B28" s="93" t="s">
        <v>201</v>
      </c>
      <c r="C28" s="94"/>
      <c r="D28" s="94"/>
      <c r="E28" s="34">
        <v>10</v>
      </c>
      <c r="F28" s="29">
        <v>7</v>
      </c>
      <c r="G28" s="43">
        <f t="shared" si="0"/>
        <v>0.7</v>
      </c>
      <c r="H28" s="44" t="str">
        <f t="shared" si="1"/>
        <v>جيد</v>
      </c>
      <c r="I28" s="56"/>
      <c r="J28" s="57"/>
    </row>
    <row r="29" spans="1:10" ht="39.950000000000003" customHeight="1">
      <c r="A29" s="11"/>
      <c r="B29" s="89" t="s">
        <v>202</v>
      </c>
      <c r="C29" s="90"/>
      <c r="D29" s="90"/>
      <c r="E29" s="30"/>
      <c r="F29" s="40"/>
      <c r="G29" s="41"/>
      <c r="H29" s="42"/>
      <c r="I29" s="79"/>
      <c r="J29" s="80"/>
    </row>
    <row r="30" spans="1:10" ht="39.950000000000003" customHeight="1">
      <c r="A30" s="11"/>
      <c r="B30" s="95" t="s">
        <v>203</v>
      </c>
      <c r="C30" s="96"/>
      <c r="D30" s="96"/>
      <c r="E30" s="9">
        <v>5</v>
      </c>
      <c r="F30" s="27">
        <v>3.75</v>
      </c>
      <c r="G30" s="38">
        <f t="shared" si="0"/>
        <v>0.75</v>
      </c>
      <c r="H30" s="39" t="str">
        <f t="shared" si="1"/>
        <v>جيد</v>
      </c>
      <c r="I30" s="52"/>
      <c r="J30" s="53"/>
    </row>
    <row r="31" spans="1:10" ht="39.950000000000003" customHeight="1">
      <c r="A31" s="11"/>
      <c r="B31" s="95" t="s">
        <v>204</v>
      </c>
      <c r="C31" s="96"/>
      <c r="D31" s="96"/>
      <c r="E31" s="9">
        <v>6</v>
      </c>
      <c r="F31" s="27">
        <v>4.25</v>
      </c>
      <c r="G31" s="38">
        <f t="shared" si="0"/>
        <v>0.70833333333333337</v>
      </c>
      <c r="H31" s="39" t="str">
        <f t="shared" si="1"/>
        <v>جيد</v>
      </c>
      <c r="I31" s="52"/>
      <c r="J31" s="53"/>
    </row>
    <row r="32" spans="1:10" ht="39.950000000000003" customHeight="1">
      <c r="A32" s="11"/>
      <c r="B32" s="95" t="s">
        <v>205</v>
      </c>
      <c r="C32" s="96"/>
      <c r="D32" s="96"/>
      <c r="E32" s="9">
        <v>6</v>
      </c>
      <c r="F32" s="27">
        <v>4.5</v>
      </c>
      <c r="G32" s="38">
        <f t="shared" si="0"/>
        <v>0.75</v>
      </c>
      <c r="H32" s="39" t="str">
        <f t="shared" si="1"/>
        <v>جيد</v>
      </c>
      <c r="I32" s="52"/>
      <c r="J32" s="53"/>
    </row>
    <row r="33" spans="1:10" ht="39.950000000000003" customHeight="1" thickBot="1">
      <c r="A33" s="11"/>
      <c r="B33" s="97" t="s">
        <v>206</v>
      </c>
      <c r="C33" s="98"/>
      <c r="D33" s="98"/>
      <c r="E33" s="32">
        <v>6</v>
      </c>
      <c r="F33" s="29">
        <v>4.5</v>
      </c>
      <c r="G33" s="43">
        <f t="shared" si="0"/>
        <v>0.75</v>
      </c>
      <c r="H33" s="44" t="str">
        <f t="shared" si="1"/>
        <v>جيد</v>
      </c>
      <c r="I33" s="56"/>
      <c r="J33" s="57"/>
    </row>
    <row r="34" spans="1:10" ht="30" customHeight="1" thickBot="1">
      <c r="A34" s="4"/>
      <c r="B34" s="81" t="s">
        <v>5</v>
      </c>
      <c r="C34" s="82"/>
      <c r="D34" s="82"/>
      <c r="E34" s="37">
        <f>SUM(E8:E33)</f>
        <v>150</v>
      </c>
      <c r="F34" s="37">
        <f>SUM(F8:F33)</f>
        <v>109.5</v>
      </c>
      <c r="G34" s="49"/>
      <c r="H34" s="50"/>
      <c r="I34" s="50"/>
      <c r="J34" s="51"/>
    </row>
    <row r="35" spans="1:10" ht="30" customHeight="1" thickBot="1">
      <c r="A35" s="4"/>
      <c r="B35" s="83" t="s">
        <v>54</v>
      </c>
      <c r="C35" s="84"/>
      <c r="D35" s="84"/>
      <c r="E35" s="71">
        <f>F34/E34/100*100</f>
        <v>0.73</v>
      </c>
      <c r="F35" s="71"/>
      <c r="G35" s="71"/>
      <c r="H35" s="71"/>
      <c r="I35" s="71"/>
      <c r="J35" s="72"/>
    </row>
    <row r="36" spans="1:10" ht="30" customHeight="1" thickBot="1">
      <c r="A36" s="4"/>
      <c r="B36" s="83" t="s">
        <v>55</v>
      </c>
      <c r="C36" s="84"/>
      <c r="D36" s="84"/>
      <c r="E36" s="62" t="str">
        <f>_xlfn.IFS(E35&gt;=90%,"ممتاز",E35&gt;=80%,"جيد جداً",E35&gt;=70%,"جيد",E35&gt;=60%,"مقبول",E35&lt;60%,"راسب")</f>
        <v>جيد</v>
      </c>
      <c r="F36" s="62"/>
      <c r="G36" s="62"/>
      <c r="H36" s="62"/>
      <c r="I36" s="62"/>
      <c r="J36" s="63"/>
    </row>
    <row r="37" spans="1:10" ht="42" customHeight="1">
      <c r="B37" s="58" t="s">
        <v>174</v>
      </c>
      <c r="C37" s="58"/>
      <c r="D37" s="58"/>
      <c r="E37" s="47" t="s">
        <v>52</v>
      </c>
      <c r="F37" s="47"/>
      <c r="G37" s="60" t="s">
        <v>130</v>
      </c>
      <c r="H37" s="60"/>
      <c r="I37" s="60"/>
      <c r="J37" s="60"/>
    </row>
    <row r="38" spans="1:10" ht="51" customHeight="1">
      <c r="A38" s="5"/>
      <c r="B38" s="59"/>
      <c r="C38" s="59"/>
      <c r="D38" s="59"/>
      <c r="E38" s="48" t="s">
        <v>53</v>
      </c>
      <c r="F38" s="48"/>
      <c r="G38" s="61"/>
      <c r="H38" s="61"/>
      <c r="I38" s="61"/>
      <c r="J38" s="6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8:D8"/>
    <mergeCell ref="B9:D9"/>
    <mergeCell ref="B10:D10"/>
    <mergeCell ref="B11:D11"/>
    <mergeCell ref="B12:D12"/>
    <mergeCell ref="B15:D15"/>
    <mergeCell ref="B16:D16"/>
    <mergeCell ref="I32:J32"/>
    <mergeCell ref="I23:J23"/>
    <mergeCell ref="I24:J24"/>
    <mergeCell ref="I25:J25"/>
    <mergeCell ref="I26:J26"/>
    <mergeCell ref="I27:J27"/>
    <mergeCell ref="B31:D31"/>
    <mergeCell ref="B32:D32"/>
    <mergeCell ref="B34:D34"/>
    <mergeCell ref="B35:D35"/>
    <mergeCell ref="B36:D3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2:J22"/>
    <mergeCell ref="B13:D13"/>
    <mergeCell ref="B14:D14"/>
    <mergeCell ref="B37:D38"/>
    <mergeCell ref="G37:J37"/>
    <mergeCell ref="G38:J38"/>
    <mergeCell ref="E36:J36"/>
    <mergeCell ref="B1:J1"/>
    <mergeCell ref="F2:J2"/>
    <mergeCell ref="B5:D6"/>
    <mergeCell ref="C2:D2"/>
    <mergeCell ref="C3:D3"/>
    <mergeCell ref="F3:J3"/>
    <mergeCell ref="E35:J35"/>
    <mergeCell ref="B7:D7"/>
    <mergeCell ref="I30:J30"/>
    <mergeCell ref="I31:J31"/>
    <mergeCell ref="E5:H5"/>
    <mergeCell ref="I5:J6"/>
    <mergeCell ref="E37:F37"/>
    <mergeCell ref="E38:F38"/>
    <mergeCell ref="G34:J34"/>
    <mergeCell ref="I9:J9"/>
    <mergeCell ref="I7:J7"/>
    <mergeCell ref="I10:J10"/>
    <mergeCell ref="I19:J19"/>
    <mergeCell ref="I20:J20"/>
    <mergeCell ref="I21:J21"/>
    <mergeCell ref="I33:J33"/>
    <mergeCell ref="I8:J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F17 F25 F9 F11:F12 F30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F10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F13:F16 F24 F27 F28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F19 F20 F21 F23 F31 F32 F33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6" zoomScaleNormal="100" workbookViewId="0">
      <selection activeCell="C33" sqref="C33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20" t="s">
        <v>62</v>
      </c>
    </row>
    <row r="3" spans="1:3" ht="20.100000000000001" customHeight="1" thickBot="1">
      <c r="A3" s="2" t="s">
        <v>26</v>
      </c>
      <c r="C3" s="20" t="s">
        <v>63</v>
      </c>
    </row>
    <row r="4" spans="1:3" ht="20.100000000000001" customHeight="1" thickBot="1">
      <c r="A4" s="2" t="s">
        <v>36</v>
      </c>
      <c r="C4" s="20" t="s">
        <v>64</v>
      </c>
    </row>
    <row r="5" spans="1:3" ht="20.100000000000001" customHeight="1" thickBot="1">
      <c r="A5" s="2" t="s">
        <v>37</v>
      </c>
      <c r="C5" s="20" t="s">
        <v>65</v>
      </c>
    </row>
    <row r="6" spans="1:3" ht="20.100000000000001" customHeight="1" thickBot="1">
      <c r="A6" s="2" t="s">
        <v>38</v>
      </c>
      <c r="C6" s="20" t="s">
        <v>66</v>
      </c>
    </row>
    <row r="7" spans="1:3" ht="20.100000000000001" customHeight="1" thickBot="1">
      <c r="A7" s="2" t="s">
        <v>39</v>
      </c>
      <c r="C7" s="20" t="s">
        <v>67</v>
      </c>
    </row>
    <row r="8" spans="1:3" ht="20.100000000000001" customHeight="1" thickBot="1">
      <c r="A8" s="2" t="s">
        <v>40</v>
      </c>
      <c r="C8" s="20" t="s">
        <v>68</v>
      </c>
    </row>
    <row r="9" spans="1:3" ht="20.100000000000001" customHeight="1" thickBot="1">
      <c r="A9" s="2" t="s">
        <v>41</v>
      </c>
      <c r="C9" s="20" t="s">
        <v>69</v>
      </c>
    </row>
    <row r="10" spans="1:3" ht="20.100000000000001" customHeight="1" thickBot="1">
      <c r="A10" s="2" t="s">
        <v>42</v>
      </c>
      <c r="C10" s="20" t="s">
        <v>70</v>
      </c>
    </row>
    <row r="11" spans="1:3" ht="20.100000000000001" customHeight="1" thickBot="1">
      <c r="A11" s="2" t="s">
        <v>43</v>
      </c>
      <c r="C11" s="20" t="s">
        <v>71</v>
      </c>
    </row>
    <row r="12" spans="1:3" ht="20.100000000000001" customHeight="1" thickBot="1">
      <c r="A12" s="2" t="s">
        <v>44</v>
      </c>
      <c r="C12" s="20" t="s">
        <v>72</v>
      </c>
    </row>
    <row r="13" spans="1:3" ht="20.100000000000001" customHeight="1" thickBot="1">
      <c r="A13" s="2" t="s">
        <v>45</v>
      </c>
      <c r="C13" s="20" t="s">
        <v>73</v>
      </c>
    </row>
    <row r="14" spans="1:3" ht="20.100000000000001" customHeight="1" thickBot="1">
      <c r="A14" s="2" t="s">
        <v>46</v>
      </c>
      <c r="C14" s="20" t="s">
        <v>74</v>
      </c>
    </row>
    <row r="15" spans="1:3" ht="20.100000000000001" customHeight="1" thickBot="1">
      <c r="A15" s="2" t="s">
        <v>47</v>
      </c>
      <c r="C15" s="20" t="s">
        <v>75</v>
      </c>
    </row>
    <row r="16" spans="1:3" ht="20.100000000000001" customHeight="1" thickBot="1">
      <c r="A16" s="2" t="s">
        <v>10</v>
      </c>
      <c r="C16" s="20" t="s">
        <v>76</v>
      </c>
    </row>
    <row r="17" spans="1:3" ht="20.100000000000001" customHeight="1" thickBot="1">
      <c r="A17" s="2" t="s">
        <v>27</v>
      </c>
      <c r="C17" s="20" t="s">
        <v>77</v>
      </c>
    </row>
    <row r="18" spans="1:3" ht="20.100000000000001" customHeight="1" thickBot="1">
      <c r="A18" s="2" t="s">
        <v>48</v>
      </c>
      <c r="C18" s="20" t="s">
        <v>78</v>
      </c>
    </row>
    <row r="19" spans="1:3" ht="20.100000000000001" customHeight="1" thickBot="1">
      <c r="A19" s="2" t="s">
        <v>49</v>
      </c>
      <c r="C19" s="20" t="s">
        <v>79</v>
      </c>
    </row>
    <row r="20" spans="1:3" ht="20.100000000000001" customHeight="1" thickBot="1">
      <c r="A20" s="2" t="s">
        <v>50</v>
      </c>
      <c r="C20" s="20" t="s">
        <v>80</v>
      </c>
    </row>
    <row r="21" spans="1:3" ht="20.100000000000001" customHeight="1" thickBot="1">
      <c r="A21" s="2" t="s">
        <v>51</v>
      </c>
      <c r="C21" s="20" t="s">
        <v>81</v>
      </c>
    </row>
    <row r="22" spans="1:3" ht="20.100000000000001" customHeight="1" thickBot="1">
      <c r="A22" s="2" t="s">
        <v>11</v>
      </c>
      <c r="C22" s="20" t="s">
        <v>82</v>
      </c>
    </row>
    <row r="23" spans="1:3" ht="20.100000000000001" customHeight="1" thickBot="1">
      <c r="A23" s="2" t="s">
        <v>12</v>
      </c>
      <c r="C23" s="20" t="s">
        <v>83</v>
      </c>
    </row>
    <row r="24" spans="1:3" ht="20.100000000000001" customHeight="1" thickBot="1">
      <c r="A24" s="2" t="s">
        <v>15</v>
      </c>
      <c r="C24" s="20" t="s">
        <v>84</v>
      </c>
    </row>
    <row r="25" spans="1:3" ht="20.100000000000001" customHeight="1" thickBot="1">
      <c r="A25" s="2" t="s">
        <v>28</v>
      </c>
      <c r="C25" s="20" t="s">
        <v>85</v>
      </c>
    </row>
    <row r="26" spans="1:3" ht="20.100000000000001" customHeight="1" thickBot="1">
      <c r="A26" s="2" t="s">
        <v>29</v>
      </c>
      <c r="C26" s="20" t="s">
        <v>86</v>
      </c>
    </row>
    <row r="27" spans="1:3" ht="20.100000000000001" customHeight="1" thickBot="1">
      <c r="A27" s="2" t="s">
        <v>13</v>
      </c>
      <c r="C27" s="20" t="s">
        <v>87</v>
      </c>
    </row>
    <row r="28" spans="1:3" ht="20.100000000000001" customHeight="1" thickBot="1">
      <c r="A28" s="2" t="s">
        <v>30</v>
      </c>
      <c r="C28" s="20" t="s">
        <v>88</v>
      </c>
    </row>
    <row r="29" spans="1:3" ht="20.100000000000001" customHeight="1" thickBot="1">
      <c r="A29" s="2" t="s">
        <v>31</v>
      </c>
      <c r="C29" s="20" t="s">
        <v>177</v>
      </c>
    </row>
    <row r="30" spans="1:3" ht="20.100000000000001" customHeight="1" thickBot="1">
      <c r="A30" s="2" t="s">
        <v>32</v>
      </c>
      <c r="C30" s="20" t="s">
        <v>178</v>
      </c>
    </row>
    <row r="31" spans="1:3" ht="20.100000000000001" customHeight="1" thickBot="1">
      <c r="A31" s="2" t="s">
        <v>33</v>
      </c>
      <c r="C31" s="20" t="s">
        <v>179</v>
      </c>
    </row>
    <row r="32" spans="1:3" ht="20.100000000000001" customHeight="1" thickBot="1">
      <c r="A32" s="2" t="s">
        <v>16</v>
      </c>
      <c r="C32" s="20"/>
    </row>
    <row r="33" spans="1:9" ht="20.100000000000001" customHeight="1" thickBot="1">
      <c r="A33" s="2" t="s">
        <v>14</v>
      </c>
      <c r="C33" s="20"/>
    </row>
    <row r="34" spans="1:9" ht="20.100000000000001" customHeight="1" thickBot="1">
      <c r="A34" s="2" t="s">
        <v>34</v>
      </c>
      <c r="C34" s="20"/>
    </row>
    <row r="35" spans="1:9" ht="20.100000000000001" customHeight="1">
      <c r="A35" s="19"/>
    </row>
    <row r="36" spans="1:9" s="18" customFormat="1" ht="20.100000000000001" customHeight="1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4">
        <v>45901</v>
      </c>
    </row>
    <row r="40" spans="1:9" ht="20.100000000000001" customHeight="1" thickBot="1">
      <c r="A40" s="14">
        <v>45902</v>
      </c>
    </row>
    <row r="41" spans="1:9" ht="20.100000000000001" customHeight="1" thickBot="1">
      <c r="A41" s="14">
        <v>45903</v>
      </c>
    </row>
    <row r="42" spans="1:9" ht="20.100000000000001" customHeight="1" thickBot="1">
      <c r="A42" s="14">
        <v>45904</v>
      </c>
    </row>
    <row r="43" spans="1:9" ht="20.100000000000001" customHeight="1" thickBot="1">
      <c r="A43" s="14">
        <v>45905</v>
      </c>
    </row>
    <row r="44" spans="1:9" ht="20.100000000000001" customHeight="1" thickBot="1">
      <c r="A44" s="14">
        <v>45906</v>
      </c>
    </row>
    <row r="45" spans="1:9" ht="20.100000000000001" customHeight="1" thickBot="1">
      <c r="A45" s="14">
        <v>45907</v>
      </c>
    </row>
    <row r="46" spans="1:9" ht="20.100000000000001" customHeight="1" thickBot="1">
      <c r="A46" s="14">
        <v>45908</v>
      </c>
    </row>
    <row r="47" spans="1:9" ht="20.100000000000001" customHeight="1" thickBot="1">
      <c r="A47" s="14">
        <v>45909</v>
      </c>
    </row>
    <row r="48" spans="1:9" ht="20.100000000000001" customHeight="1" thickBot="1">
      <c r="A48" s="14">
        <v>45910</v>
      </c>
    </row>
    <row r="49" spans="1:1" ht="20.100000000000001" customHeight="1" thickBot="1">
      <c r="A49" s="14">
        <v>45911</v>
      </c>
    </row>
    <row r="50" spans="1:1" ht="20.100000000000001" customHeight="1" thickBot="1">
      <c r="A50" s="14">
        <v>45912</v>
      </c>
    </row>
    <row r="51" spans="1:1" ht="20.100000000000001" customHeight="1" thickBot="1">
      <c r="A51" s="14">
        <v>45913</v>
      </c>
    </row>
    <row r="52" spans="1:1" ht="20.100000000000001" customHeight="1" thickBot="1">
      <c r="A52" s="14">
        <v>45914</v>
      </c>
    </row>
    <row r="53" spans="1:1" ht="20.100000000000001" customHeight="1" thickBot="1">
      <c r="A53" s="14">
        <v>45915</v>
      </c>
    </row>
    <row r="54" spans="1:1" ht="20.100000000000001" customHeight="1" thickBot="1">
      <c r="A54" s="14">
        <v>45916</v>
      </c>
    </row>
    <row r="55" spans="1:1" ht="20.100000000000001" customHeight="1" thickBot="1">
      <c r="A55" s="14">
        <v>45917</v>
      </c>
    </row>
    <row r="56" spans="1:1" ht="20.100000000000001" customHeight="1" thickBot="1">
      <c r="A56" s="14">
        <v>45918</v>
      </c>
    </row>
    <row r="57" spans="1:1" ht="20.100000000000001" customHeight="1" thickBot="1">
      <c r="A57" s="14">
        <v>45919</v>
      </c>
    </row>
    <row r="58" spans="1:1" ht="20.100000000000001" customHeight="1" thickBot="1">
      <c r="A58" s="14">
        <v>45920</v>
      </c>
    </row>
    <row r="59" spans="1:1" ht="20.100000000000001" customHeight="1" thickBot="1">
      <c r="A59" s="14">
        <v>45921</v>
      </c>
    </row>
    <row r="60" spans="1:1" ht="20.100000000000001" customHeight="1" thickBot="1">
      <c r="A60" s="14">
        <v>45922</v>
      </c>
    </row>
    <row r="61" spans="1:1" ht="20.100000000000001" customHeight="1" thickBot="1">
      <c r="A61" s="14">
        <v>45923</v>
      </c>
    </row>
    <row r="62" spans="1:1" ht="20.100000000000001" customHeight="1" thickBot="1">
      <c r="A62" s="14">
        <v>45924</v>
      </c>
    </row>
    <row r="63" spans="1:1" ht="20.100000000000001" customHeight="1" thickBot="1">
      <c r="A63" s="14">
        <v>45925</v>
      </c>
    </row>
    <row r="64" spans="1:1" ht="20.100000000000001" customHeight="1" thickBot="1">
      <c r="A64" s="14">
        <v>45926</v>
      </c>
    </row>
    <row r="65" spans="1:1" ht="20.100000000000001" customHeight="1" thickBot="1">
      <c r="A65" s="14">
        <v>45927</v>
      </c>
    </row>
    <row r="66" spans="1:1" ht="20.100000000000001" customHeight="1" thickBot="1">
      <c r="A66" s="14">
        <v>45928</v>
      </c>
    </row>
    <row r="67" spans="1:1" ht="20.100000000000001" customHeight="1" thickBot="1">
      <c r="A67" s="14">
        <v>45929</v>
      </c>
    </row>
    <row r="68" spans="1:1" ht="20.100000000000001" customHeight="1" thickBot="1">
      <c r="A68" s="14">
        <v>45930</v>
      </c>
    </row>
    <row r="69" spans="1:1" ht="20.100000000000001" customHeight="1" thickBot="1">
      <c r="A69" s="14">
        <v>45931</v>
      </c>
    </row>
    <row r="70" spans="1:1" ht="20.100000000000001" customHeight="1" thickBot="1">
      <c r="A70" s="14">
        <v>45932</v>
      </c>
    </row>
    <row r="71" spans="1:1" ht="20.100000000000001" customHeight="1" thickBot="1">
      <c r="A71" s="14">
        <v>45933</v>
      </c>
    </row>
    <row r="72" spans="1:1" ht="20.100000000000001" customHeight="1" thickBot="1">
      <c r="A72" s="14">
        <v>45934</v>
      </c>
    </row>
    <row r="73" spans="1:1" ht="20.100000000000001" customHeight="1" thickBot="1">
      <c r="A73" s="14">
        <v>45935</v>
      </c>
    </row>
    <row r="74" spans="1:1" ht="20.100000000000001" customHeight="1" thickBot="1">
      <c r="A74" s="14">
        <v>45936</v>
      </c>
    </row>
    <row r="75" spans="1:1" ht="20.100000000000001" customHeight="1" thickBot="1">
      <c r="A75" s="14">
        <v>45937</v>
      </c>
    </row>
    <row r="76" spans="1:1" ht="20.100000000000001" customHeight="1" thickBot="1">
      <c r="A76" s="14">
        <v>45938</v>
      </c>
    </row>
    <row r="77" spans="1:1" ht="20.100000000000001" customHeight="1" thickBot="1">
      <c r="A77" s="14">
        <v>45939</v>
      </c>
    </row>
    <row r="78" spans="1:1" ht="20.100000000000001" customHeight="1" thickBot="1">
      <c r="A78" s="14">
        <v>45940</v>
      </c>
    </row>
    <row r="79" spans="1:1" ht="20.100000000000001" customHeight="1" thickBot="1">
      <c r="A79" s="14">
        <v>45941</v>
      </c>
    </row>
    <row r="80" spans="1:1" ht="20.100000000000001" customHeight="1" thickBot="1">
      <c r="A80" s="14">
        <v>45942</v>
      </c>
    </row>
    <row r="81" spans="1:1" ht="20.100000000000001" customHeight="1" thickBot="1">
      <c r="A81" s="14">
        <v>45943</v>
      </c>
    </row>
    <row r="82" spans="1:1" ht="20.100000000000001" customHeight="1" thickBot="1">
      <c r="A82" s="14">
        <v>45944</v>
      </c>
    </row>
    <row r="83" spans="1:1" ht="20.100000000000001" customHeight="1" thickBot="1">
      <c r="A83" s="14">
        <v>45945</v>
      </c>
    </row>
    <row r="84" spans="1:1" ht="20.100000000000001" customHeight="1" thickBot="1">
      <c r="A84" s="14">
        <v>45946</v>
      </c>
    </row>
    <row r="85" spans="1:1" ht="20.100000000000001" customHeight="1" thickBot="1">
      <c r="A85" s="14">
        <v>45947</v>
      </c>
    </row>
    <row r="86" spans="1:1" ht="20.100000000000001" customHeight="1" thickBot="1">
      <c r="A86" s="14">
        <v>45948</v>
      </c>
    </row>
    <row r="87" spans="1:1" ht="20.100000000000001" customHeight="1" thickBot="1">
      <c r="A87" s="14">
        <v>45949</v>
      </c>
    </row>
    <row r="88" spans="1:1" ht="20.100000000000001" customHeight="1" thickBot="1">
      <c r="A88" s="14">
        <v>45950</v>
      </c>
    </row>
    <row r="89" spans="1:1" ht="20.100000000000001" customHeight="1" thickBot="1">
      <c r="A89" s="14">
        <v>45951</v>
      </c>
    </row>
    <row r="90" spans="1:1" ht="20.100000000000001" customHeight="1" thickBot="1">
      <c r="A90" s="14">
        <v>45952</v>
      </c>
    </row>
    <row r="91" spans="1:1" ht="20.100000000000001" customHeight="1" thickBot="1">
      <c r="A91" s="14">
        <v>45953</v>
      </c>
    </row>
    <row r="92" spans="1:1" ht="20.100000000000001" customHeight="1" thickBot="1">
      <c r="A92" s="14">
        <v>45954</v>
      </c>
    </row>
    <row r="93" spans="1:1" ht="20.100000000000001" customHeight="1" thickBot="1">
      <c r="A93" s="14">
        <v>45955</v>
      </c>
    </row>
    <row r="94" spans="1:1" ht="20.100000000000001" customHeight="1" thickBot="1">
      <c r="A94" s="14">
        <v>45956</v>
      </c>
    </row>
    <row r="95" spans="1:1" ht="20.100000000000001" customHeight="1" thickBot="1">
      <c r="A95" s="14">
        <v>45957</v>
      </c>
    </row>
    <row r="96" spans="1:1" ht="20.100000000000001" customHeight="1" thickBot="1">
      <c r="A96" s="14">
        <v>45958</v>
      </c>
    </row>
    <row r="97" spans="1:9" ht="20.100000000000001" customHeight="1" thickBot="1">
      <c r="A97" s="14">
        <v>45959</v>
      </c>
    </row>
    <row r="98" spans="1:9" ht="20.100000000000001" customHeight="1" thickBot="1">
      <c r="A98" s="14">
        <v>45960</v>
      </c>
    </row>
    <row r="99" spans="1:9" ht="20.100000000000001" customHeight="1" thickBot="1">
      <c r="A99" s="14">
        <v>45961</v>
      </c>
    </row>
    <row r="100" spans="1:9" ht="20.100000000000001" customHeight="1" thickBot="1">
      <c r="A100" s="14">
        <v>45962</v>
      </c>
    </row>
    <row r="101" spans="1:9" ht="20.100000000000001" customHeight="1" thickBot="1">
      <c r="A101" s="14">
        <v>45963</v>
      </c>
    </row>
    <row r="102" spans="1:9" ht="20.100000000000001" customHeight="1" thickBot="1">
      <c r="A102" s="14">
        <v>45964</v>
      </c>
    </row>
    <row r="103" spans="1:9" ht="20.100000000000001" customHeight="1" thickBot="1">
      <c r="A103" s="14">
        <v>45965</v>
      </c>
    </row>
    <row r="104" spans="1:9" ht="20.100000000000001" customHeight="1" thickBot="1">
      <c r="A104" s="14">
        <v>45966</v>
      </c>
    </row>
    <row r="105" spans="1:9" ht="20.100000000000001" customHeight="1" thickBot="1">
      <c r="A105" s="14">
        <v>45967</v>
      </c>
    </row>
    <row r="106" spans="1:9" ht="20.100000000000001" customHeight="1" thickBot="1">
      <c r="A106" s="14">
        <v>45968</v>
      </c>
    </row>
    <row r="107" spans="1:9" ht="20.100000000000001" customHeight="1">
      <c r="A107" s="15"/>
    </row>
    <row r="108" spans="1:9" ht="20.100000000000001" customHeight="1">
      <c r="A108" s="15"/>
    </row>
    <row r="109" spans="1:9" s="18" customFormat="1" ht="20.100000000000001" customHeight="1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1" t="s">
        <v>89</v>
      </c>
    </row>
    <row r="200" spans="1:1" ht="20.100000000000001" customHeight="1">
      <c r="A200" s="21" t="s">
        <v>90</v>
      </c>
    </row>
    <row r="201" spans="1:1" ht="20.100000000000001" customHeight="1">
      <c r="A201" s="21" t="s">
        <v>91</v>
      </c>
    </row>
    <row r="202" spans="1:1" ht="20.100000000000001" customHeight="1">
      <c r="A202" s="21" t="s">
        <v>92</v>
      </c>
    </row>
    <row r="203" spans="1:1" ht="20.100000000000001" customHeight="1">
      <c r="A203" s="21" t="s">
        <v>93</v>
      </c>
    </row>
    <row r="204" spans="1:1" ht="20.100000000000001" customHeight="1">
      <c r="A204" s="21" t="s">
        <v>94</v>
      </c>
    </row>
    <row r="205" spans="1:1" ht="20.100000000000001" customHeight="1">
      <c r="A205" s="21" t="s">
        <v>95</v>
      </c>
    </row>
    <row r="206" spans="1:1" ht="20.100000000000001" customHeight="1">
      <c r="A206" s="21" t="s">
        <v>96</v>
      </c>
    </row>
    <row r="207" spans="1:1" ht="20.100000000000001" customHeight="1">
      <c r="A207" s="21" t="s">
        <v>97</v>
      </c>
    </row>
    <row r="208" spans="1:1" ht="20.100000000000001" customHeight="1">
      <c r="A208" s="22" t="s">
        <v>98</v>
      </c>
    </row>
    <row r="209" spans="1:1" ht="20.100000000000001" customHeight="1">
      <c r="A209" s="22" t="s">
        <v>99</v>
      </c>
    </row>
    <row r="210" spans="1:1" ht="20.100000000000001" customHeight="1">
      <c r="A210" s="21" t="s">
        <v>100</v>
      </c>
    </row>
    <row r="211" spans="1:1" ht="20.100000000000001" customHeight="1">
      <c r="A211" s="21" t="s">
        <v>101</v>
      </c>
    </row>
    <row r="212" spans="1:1" ht="20.100000000000001" customHeight="1">
      <c r="A212" s="21" t="s">
        <v>175</v>
      </c>
    </row>
    <row r="213" spans="1:1" ht="20.100000000000001" customHeight="1">
      <c r="A213" s="21" t="s">
        <v>102</v>
      </c>
    </row>
    <row r="214" spans="1:1" ht="20.100000000000001" customHeight="1">
      <c r="A214" s="21" t="s">
        <v>103</v>
      </c>
    </row>
    <row r="215" spans="1:1" ht="20.100000000000001" customHeight="1">
      <c r="A215" s="21" t="s">
        <v>104</v>
      </c>
    </row>
    <row r="216" spans="1:1" ht="20.100000000000001" customHeight="1">
      <c r="A216" s="21" t="s">
        <v>105</v>
      </c>
    </row>
    <row r="217" spans="1:1" ht="20.100000000000001" customHeight="1">
      <c r="A217" s="21" t="s">
        <v>106</v>
      </c>
    </row>
    <row r="218" spans="1:1" ht="20.100000000000001" customHeight="1">
      <c r="A218" s="21" t="s">
        <v>107</v>
      </c>
    </row>
    <row r="219" spans="1:1" ht="20.100000000000001" customHeight="1">
      <c r="A219" s="21" t="s">
        <v>108</v>
      </c>
    </row>
    <row r="220" spans="1:1" ht="20.100000000000001" customHeight="1">
      <c r="A220" s="21" t="s">
        <v>109</v>
      </c>
    </row>
    <row r="221" spans="1:1" ht="20.100000000000001" customHeight="1">
      <c r="A221" s="21" t="s">
        <v>110</v>
      </c>
    </row>
    <row r="222" spans="1:1" ht="20.100000000000001" customHeight="1">
      <c r="A222" s="21" t="s">
        <v>111</v>
      </c>
    </row>
    <row r="223" spans="1:1" ht="20.100000000000001" customHeight="1">
      <c r="A223" s="21" t="s">
        <v>112</v>
      </c>
    </row>
    <row r="224" spans="1:1" ht="20.100000000000001" customHeight="1">
      <c r="A224" s="21" t="s">
        <v>176</v>
      </c>
    </row>
    <row r="225" spans="1:1" ht="20.100000000000001" customHeight="1">
      <c r="A225" s="21" t="s">
        <v>113</v>
      </c>
    </row>
    <row r="226" spans="1:1" ht="20.100000000000001" customHeight="1">
      <c r="A226" s="21" t="s">
        <v>114</v>
      </c>
    </row>
    <row r="227" spans="1:1" ht="20.100000000000001" customHeight="1">
      <c r="A227" s="21" t="s">
        <v>115</v>
      </c>
    </row>
    <row r="228" spans="1:1" ht="20.100000000000001" customHeight="1">
      <c r="A228" s="21" t="s">
        <v>116</v>
      </c>
    </row>
    <row r="229" spans="1:1" ht="20.100000000000001" customHeight="1">
      <c r="A229" s="21" t="s">
        <v>117</v>
      </c>
    </row>
    <row r="230" spans="1:1" ht="20.100000000000001" customHeight="1">
      <c r="A230" s="21" t="s">
        <v>118</v>
      </c>
    </row>
    <row r="231" spans="1:1" ht="20.100000000000001" customHeight="1">
      <c r="A231" s="21" t="s">
        <v>119</v>
      </c>
    </row>
    <row r="232" spans="1:1" ht="20.100000000000001" customHeight="1">
      <c r="A232" s="21" t="s">
        <v>120</v>
      </c>
    </row>
    <row r="233" spans="1:1" ht="20.100000000000001" customHeight="1">
      <c r="A233" s="21" t="s">
        <v>121</v>
      </c>
    </row>
    <row r="234" spans="1:1" ht="20.100000000000001" customHeight="1">
      <c r="A234" s="21" t="s">
        <v>122</v>
      </c>
    </row>
    <row r="235" spans="1:1" ht="20.100000000000001" customHeight="1">
      <c r="A235" s="21" t="s">
        <v>123</v>
      </c>
    </row>
    <row r="236" spans="1:1" ht="20.100000000000001" customHeight="1">
      <c r="A236" s="23" t="s">
        <v>124</v>
      </c>
    </row>
    <row r="237" spans="1:1" ht="20.100000000000001" customHeight="1">
      <c r="A237" s="21" t="s">
        <v>125</v>
      </c>
    </row>
    <row r="238" spans="1:1" ht="20.100000000000001" customHeight="1">
      <c r="A238" s="21" t="s">
        <v>126</v>
      </c>
    </row>
    <row r="239" spans="1:1" ht="20.100000000000001" customHeight="1">
      <c r="A239" s="21" t="s">
        <v>127</v>
      </c>
    </row>
    <row r="240" spans="1:1" ht="20.100000000000001" customHeight="1">
      <c r="A240" s="21" t="s">
        <v>128</v>
      </c>
    </row>
    <row r="241" spans="1:1" ht="20.100000000000001" customHeight="1">
      <c r="A241" s="21" t="s">
        <v>129</v>
      </c>
    </row>
    <row r="242" spans="1:1" ht="20.100000000000001" customHeight="1">
      <c r="A242" s="21" t="s">
        <v>130</v>
      </c>
    </row>
    <row r="243" spans="1:1" ht="20.100000000000001" customHeight="1">
      <c r="A243" s="21" t="s">
        <v>131</v>
      </c>
    </row>
    <row r="244" spans="1:1" ht="20.100000000000001" customHeight="1">
      <c r="A244" s="21" t="s">
        <v>132</v>
      </c>
    </row>
    <row r="245" spans="1:1" ht="20.100000000000001" customHeight="1">
      <c r="A245" s="21" t="s">
        <v>133</v>
      </c>
    </row>
    <row r="246" spans="1:1" ht="20.100000000000001" customHeight="1">
      <c r="A246" s="21" t="s">
        <v>134</v>
      </c>
    </row>
    <row r="247" spans="1:1" ht="20.100000000000001" customHeight="1">
      <c r="A247" s="21" t="s">
        <v>135</v>
      </c>
    </row>
    <row r="248" spans="1:1" ht="20.100000000000001" customHeight="1">
      <c r="A248" s="21" t="s">
        <v>126</v>
      </c>
    </row>
    <row r="249" spans="1:1" ht="20.100000000000001" customHeight="1">
      <c r="A249" s="21" t="s">
        <v>136</v>
      </c>
    </row>
    <row r="250" spans="1:1" ht="20.100000000000001" customHeight="1">
      <c r="A250" s="21" t="s">
        <v>137</v>
      </c>
    </row>
    <row r="251" spans="1:1" ht="20.100000000000001" customHeight="1">
      <c r="A251" s="23" t="s">
        <v>138</v>
      </c>
    </row>
    <row r="252" spans="1:1" ht="20.100000000000001" customHeight="1">
      <c r="A252" s="24" t="s">
        <v>139</v>
      </c>
    </row>
    <row r="253" spans="1:1" ht="20.100000000000001" customHeight="1">
      <c r="A253" s="21" t="s">
        <v>140</v>
      </c>
    </row>
    <row r="254" spans="1:1" ht="20.100000000000001" customHeight="1">
      <c r="A254" s="21" t="s">
        <v>141</v>
      </c>
    </row>
    <row r="255" spans="1:1" ht="20.100000000000001" customHeight="1">
      <c r="A255" s="25" t="s">
        <v>142</v>
      </c>
    </row>
    <row r="256" spans="1:1" ht="20.100000000000001" customHeight="1">
      <c r="A256" s="25" t="s">
        <v>143</v>
      </c>
    </row>
    <row r="257" spans="1:1" ht="20.100000000000001" customHeight="1">
      <c r="A257" s="26" t="s">
        <v>144</v>
      </c>
    </row>
    <row r="258" spans="1:1" ht="20.100000000000001" customHeight="1">
      <c r="A258" s="21" t="s">
        <v>145</v>
      </c>
    </row>
    <row r="259" spans="1:1" ht="20.100000000000001" customHeight="1">
      <c r="A259" s="26" t="s">
        <v>146</v>
      </c>
    </row>
    <row r="260" spans="1:1" ht="20.100000000000001" customHeight="1">
      <c r="A260" s="21" t="s">
        <v>147</v>
      </c>
    </row>
    <row r="261" spans="1:1" ht="20.100000000000001" customHeight="1">
      <c r="A261" s="26" t="s">
        <v>148</v>
      </c>
    </row>
    <row r="262" spans="1:1" ht="20.100000000000001" customHeight="1">
      <c r="A262" s="21" t="s">
        <v>149</v>
      </c>
    </row>
    <row r="263" spans="1:1" ht="20.100000000000001" customHeight="1">
      <c r="A263" s="21" t="s">
        <v>150</v>
      </c>
    </row>
    <row r="264" spans="1:1" ht="20.100000000000001" customHeight="1">
      <c r="A264" s="26" t="s">
        <v>151</v>
      </c>
    </row>
    <row r="265" spans="1:1" ht="20.100000000000001" customHeight="1">
      <c r="A265" s="26" t="s">
        <v>152</v>
      </c>
    </row>
    <row r="266" spans="1:1" ht="20.100000000000001" customHeight="1">
      <c r="A266" s="26" t="s">
        <v>153</v>
      </c>
    </row>
    <row r="267" spans="1:1" ht="20.100000000000001" customHeight="1">
      <c r="A267" s="21" t="s">
        <v>154</v>
      </c>
    </row>
    <row r="268" spans="1:1" ht="20.100000000000001" customHeight="1">
      <c r="A268" s="21" t="s">
        <v>155</v>
      </c>
    </row>
    <row r="269" spans="1:1" ht="20.100000000000001" customHeight="1">
      <c r="A269" s="21" t="s">
        <v>156</v>
      </c>
    </row>
    <row r="270" spans="1:1" ht="20.100000000000001" customHeight="1">
      <c r="A270" s="21" t="s">
        <v>157</v>
      </c>
    </row>
    <row r="271" spans="1:1" ht="20.100000000000001" customHeight="1">
      <c r="A271" s="26" t="s">
        <v>158</v>
      </c>
    </row>
    <row r="272" spans="1:1" ht="20.100000000000001" customHeight="1">
      <c r="A272" s="26" t="s">
        <v>159</v>
      </c>
    </row>
    <row r="273" spans="1:1" ht="20.100000000000001" customHeight="1">
      <c r="A273" s="21" t="s">
        <v>160</v>
      </c>
    </row>
    <row r="274" spans="1:1" ht="20.100000000000001" customHeight="1">
      <c r="A274" s="26" t="s">
        <v>161</v>
      </c>
    </row>
    <row r="275" spans="1:1" ht="20.100000000000001" customHeight="1">
      <c r="A275" s="26" t="s">
        <v>162</v>
      </c>
    </row>
    <row r="276" spans="1:1" ht="20.100000000000001" customHeight="1">
      <c r="A276" s="21" t="s">
        <v>163</v>
      </c>
    </row>
    <row r="277" spans="1:1" ht="20.100000000000001" customHeight="1">
      <c r="A277" s="21" t="s">
        <v>164</v>
      </c>
    </row>
    <row r="278" spans="1:1" ht="20.100000000000001" customHeight="1">
      <c r="A278" s="26" t="s">
        <v>165</v>
      </c>
    </row>
    <row r="279" spans="1:1" ht="20.100000000000001" customHeight="1">
      <c r="A279" s="21" t="s">
        <v>166</v>
      </c>
    </row>
    <row r="280" spans="1:1" ht="20.100000000000001" customHeight="1">
      <c r="A280" s="21" t="s">
        <v>167</v>
      </c>
    </row>
    <row r="281" spans="1:1" ht="20.100000000000001" customHeight="1">
      <c r="A281" s="21" t="s">
        <v>168</v>
      </c>
    </row>
    <row r="282" spans="1:1" ht="20.100000000000001" customHeight="1">
      <c r="A282" s="21" t="s">
        <v>169</v>
      </c>
    </row>
    <row r="283" spans="1:1" ht="20.100000000000001" customHeight="1">
      <c r="A283" s="26" t="s">
        <v>170</v>
      </c>
    </row>
    <row r="284" spans="1:1" ht="20.100000000000001" customHeight="1">
      <c r="A284" s="26" t="s">
        <v>171</v>
      </c>
    </row>
    <row r="285" spans="1:1" ht="20.100000000000001" customHeight="1">
      <c r="A285" s="26" t="s">
        <v>172</v>
      </c>
    </row>
    <row r="286" spans="1:1" ht="20.100000000000001" customHeight="1" thickBot="1">
      <c r="A286" s="21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2025-09-22T05:44:47Z</dcterms:modified>
</cp:coreProperties>
</file>