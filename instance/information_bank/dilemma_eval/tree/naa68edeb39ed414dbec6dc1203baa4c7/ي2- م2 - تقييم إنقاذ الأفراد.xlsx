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/>
  <xr:revisionPtr revIDLastSave="0" documentId="13_ncr:1000001_{F7E6264C-A807-9348-B3C8-E269C04B4625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6" i="2"/>
  <c r="H16" i="2"/>
  <c r="G17" i="2"/>
  <c r="H17" i="2"/>
  <c r="G18" i="2"/>
  <c r="H18" i="2"/>
  <c r="G19" i="2"/>
  <c r="H19" i="2"/>
  <c r="G20" i="2"/>
  <c r="H20" i="2"/>
  <c r="G21" i="2"/>
  <c r="H21" i="2"/>
  <c r="F22" i="2"/>
  <c r="E22" i="2"/>
  <c r="E23" i="2"/>
  <c r="E24" i="2"/>
</calcChain>
</file>

<file path=xl/sharedStrings.xml><?xml version="1.0" encoding="utf-8"?>
<sst xmlns="http://schemas.openxmlformats.org/spreadsheetml/2006/main" count="251" uniqueCount="194">
  <si>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</si>
  <si>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</si>
  <si>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</si>
  <si>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</si>
  <si>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</si>
  <si>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</si>
  <si>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</si>
  <si>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</si>
  <si>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</si>
  <si>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</si>
  <si>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</si>
  <si>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</si>
  <si>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</si>
  <si>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</si>
  <si>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</si>
  <si>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</si>
  <si>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</si>
  <si>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</si>
  <si>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</si>
  <si>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</si>
  <si>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</si>
  <si>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</si>
  <si>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</si>
  <si>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</si>
  <si>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</si>
  <si>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</si>
  <si>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</si>
  <si>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</si>
  <si>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</si>
  <si>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</si>
  <si>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</si>
  <si>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</si>
  <si>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</si>
  <si>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</si>
  <si>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</si>
  <si>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</si>
  <si>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</si>
  <si>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</si>
  <si>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</si>
  <si>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</si>
  <si>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</si>
  <si>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</si>
  <si>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</si>
  <si>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</si>
  <si>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</si>
  <si>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</si>
  <si>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</si>
  <si>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</si>
  <si>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</si>
  <si>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</si>
  <si>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</si>
  <si>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</si>
  <si>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</si>
  <si>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</si>
  <si>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</si>
  <si>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</si>
  <si>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</si>
  <si>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</si>
  <si>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</si>
  <si>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</si>
  <si>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</si>
  <si>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</si>
  <si>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</si>
  <si>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</si>
  <si>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</si>
  <si>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</si>
  <si>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</si>
  <si>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</si>
  <si>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</si>
  <si>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</si>
  <si>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</si>
  <si>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</si>
  <si>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</si>
  <si>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</si>
  <si>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</si>
  <si>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</si>
  <si>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</si>
  <si>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</si>
  <si>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</si>
  <si>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</si>
  <si>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</si>
  <si>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</si>
  <si>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</si>
  <si>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</si>
  <si>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</si>
  <si>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</si>
  <si>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</si>
  <si>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</si>
  <si>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</si>
  <si>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</si>
  <si>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</si>
  <si>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</si>
  <si>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</si>
  <si>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</si>
  <si>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</si>
  <si>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</si>
  <si>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</si>
  <si>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</si>
  <si>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</si>
  <si>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</si>
  <si>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</si>
  <si>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</si>
  <si>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</si>
  <si>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</si>
  <si>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</si>
  <si>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</si>
  <si>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</si>
  <si>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</si>
  <si>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</si>
  <si>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</si>
  <si>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</si>
  <si>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</si>
  <si>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</si>
  <si>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</si>
  <si>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</si>
  <si>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</si>
  <si>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</si>
  <si>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</si>
  <si>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</si>
  <si>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</si>
  <si>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</si>
  <si>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</si>
  <si>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</si>
  <si>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</si>
  <si>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</si>
  <si>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</si>
  <si>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</si>
  <si>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</si>
  <si>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</si>
  <si>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</si>
  <si>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</si>
  <si>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</si>
  <si>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</si>
  <si>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</si>
  <si>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</si>
  <si>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</si>
  <si>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</si>
  <si>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</si>
  <si>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</si>
  <si>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</si>
  <si>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</si>
  <si>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</si>
  <si>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</si>
  <si>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</si>
  <si>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</si>
  <si>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</si>
  <si>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</si>
  <si>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</si>
  <si>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</si>
  <si>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</si>
  <si>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</si>
  <si>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</si>
  <si>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</si>
  <si>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</si>
  <si>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</si>
  <si>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</si>
  <si>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</si>
  <si>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</si>
  <si>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</si>
  <si>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</si>
  <si>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</si>
  <si>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</si>
  <si>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</si>
  <si>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</si>
  <si>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</si>
  <si>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</si>
  <si>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</si>
  <si>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</si>
  <si>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</si>
  <si>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</si>
  <si>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</si>
  <si>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</si>
  <si>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</si>
  <si>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</si>
  <si>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</si>
  <si>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</si>
  <si>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</si>
  <si>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</si>
  <si>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t>اجراءات رد فعل وحدة المناورة</t>
  </si>
  <si>
    <t>اجراءات رد فعل الوحدة الطبية</t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</si>
  <si>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التوزيع السليم للأدوار</t>
    </r>
  </si>
  <si>
    <r>
      <t>3.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تصنيف الإصابات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</si>
  <si>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إبلاغ المستوى الأعلى</t>
    </r>
  </si>
  <si>
    <r>
      <t>2.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توفير الحماية للقوات</t>
    </r>
  </si>
  <si>
    <r>
      <t>3.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إجراءات إسعاف الذاتي والتبادلي</t>
    </r>
  </si>
  <si>
    <r>
      <t>4.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اخراج ونقل المصابين من الآلية</t>
    </r>
  </si>
  <si>
    <r>
      <t>5.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التعامل مع الشهداء</t>
    </r>
  </si>
  <si>
    <r>
      <t>6.</t>
    </r>
    <r>
      <rPr>
        <sz val="14"/>
        <color rgb="FF000000"/>
        <rFont val="Times New Roman"/>
        <family val="1"/>
      </rPr>
      <t xml:space="preserve">      تنفيذ </t>
    </r>
    <r>
      <rPr>
        <sz val="14"/>
        <color rgb="FF000000"/>
        <rFont val="Arial"/>
        <family val="2"/>
      </rPr>
      <t>إجراءات نقل المصابين إلى نقطة جمع المصابين</t>
    </r>
  </si>
  <si>
    <r>
      <t>1.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سرعة عناصر الإسناد الطبي إلى موقع الحدث</t>
    </r>
  </si>
  <si>
    <r>
      <t>4.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إبلاغ المستوى الأعلى</t>
    </r>
  </si>
  <si>
    <r>
      <t>5.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 xml:space="preserve"> طلب إخلاء جوي حسب النسق الصحيح</t>
    </r>
  </si>
  <si>
    <r>
      <t>6.</t>
    </r>
    <r>
      <rPr>
        <sz val="14"/>
        <color rgb="FF000000"/>
        <rFont val="Times New Roman"/>
        <family val="1"/>
      </rPr>
      <t xml:space="preserve">      </t>
    </r>
    <r>
      <rPr>
        <sz val="14"/>
        <color rgb="FF000000"/>
        <rFont val="Arial"/>
        <family val="2"/>
      </rPr>
      <t>تنفيذ الإخلاء الطبي</t>
    </r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</si>
  <si>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</si>
  <si>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اليوم/2 - تقييم معضلة/2 - إنقاذ المصابين</t>
    </r>
    <r>
      <rPr>
        <b/>
        <u/>
        <sz val="14"/>
        <color rgb="FF000000"/>
        <rFont val="Arial"/>
        <family val="2"/>
      </rPr>
      <t xml:space="preserve">
تقييم سرايا الدروع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</si>
</sst>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6" borderId="16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3" borderId="16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3" fillId="5" borderId="16" xfId="0" applyFont="1" applyFill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2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8" fillId="0" borderId="11" xfId="0" applyFont="1" applyBorder="1" applyAlignment="1">
      <alignment horizontal="right" vertical="center" wrapText="1" readingOrder="2"/>
    </xf>
    <xf numFmtId="0" fontId="8" fillId="0" borderId="12" xfId="0" applyFont="1" applyBorder="1" applyAlignment="1">
      <alignment horizontal="right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7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5" fillId="0" borderId="5" xfId="0" applyFont="1" applyBorder="1" applyAlignment="1">
      <alignment horizontal="right" vertical="center" wrapText="1" readingOrder="2"/>
    </xf>
    <xf numFmtId="0" fontId="5" fillId="0" borderId="4" xfId="0" applyFont="1" applyBorder="1" applyAlignment="1">
      <alignment horizontal="right" vertical="center" wrapText="1" readingOrder="2"/>
    </xf>
    <xf numFmtId="0" fontId="8" fillId="0" borderId="25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0" fontId="2" fillId="0" borderId="24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489613</xdr:colOff>
      <xdr:row>25</xdr:row>
      <xdr:rowOff>164245</xdr:rowOff>
    </xdr:from>
    <xdr:to>
      <xdr:col>8</xdr:col>
      <xdr:colOff>81127</xdr:colOff>
      <xdr:row>25</xdr:row>
      <xdr:rowOff>425245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EC4EB02D-98F8-327C-0F5D-95A4F6BBD664}"/>
                </a:ext>
              </a:extLst>
            </xdr14:cNvPr>
            <xdr14:cNvContentPartPr/>
          </xdr14:nvContentPartPr>
          <xdr14:nvPr macro=""/>
          <xdr14:xfrm>
            <a:off x="10423621673" y="9832680"/>
            <a:ext cx="900360" cy="26100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EC4EB02D-98F8-327C-0F5D-95A4F6BBD664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612673" y="9824040"/>
              <a:ext cx="918000" cy="278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230110</xdr:colOff>
      <xdr:row>25</xdr:row>
      <xdr:rowOff>203845</xdr:rowOff>
    </xdr:from>
    <xdr:to>
      <xdr:col>9</xdr:col>
      <xdr:colOff>130503</xdr:colOff>
      <xdr:row>25</xdr:row>
      <xdr:rowOff>576445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4A5B32DB-3088-11CE-9DA2-C37D2911F16E}"/>
                </a:ext>
              </a:extLst>
            </xdr14:cNvPr>
            <xdr14:cNvContentPartPr/>
          </xdr14:nvContentPartPr>
          <xdr14:nvPr macro=""/>
          <xdr14:xfrm>
            <a:off x="10422917873" y="9872280"/>
            <a:ext cx="1209240" cy="37260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4A5B32DB-3088-11CE-9DA2-C37D2911F16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2909233" y="9863640"/>
              <a:ext cx="1226880" cy="3902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15:44:19.37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2500 150 2288,'0'0'0,"-1"-3"520,0-8 0,1 11-520,-3-5 296,1-5-168,1 7-120,1 0-48,0-1 0,0 2 0,0 2 40,0-3-24,0 1 0,0-2 24,0 2 0,0-1 0,0 0 32,2 0-40,-2 3 8,0-3 8,0 0 0,3 1-24,-3 0 8,0-1 8,0 1 0,0 2 0,0-1 8,0-2 8,0 2 8,0 0-8,0 0-8,0-1 0,0 2-8,0-1 16,0 0-24,0 0 8,0 1-16,0 0-32,0 0 8,0 0 40,-2 0-72,1 0-16,1 0 8,-1 0-40,0 0-8,0 0 0,1 0 128,0 2-136,-1-2 8,-1 3 24,1 0 32,-1 1 24,-2-1 8,4-3 40,-2 10-24,-2-8-8,1 2 8,-1 7 8,0-9 0,1 2-8,3-4 24,-4 9-32,1-9 0,-1 4 0,1-2 8,1 1 0,0-3 0,2 0 24,-2 0-16,1 0 0,-1 0-8,1 0-16,0 0 0,-2 0-16,3 0 56,-1 0-64,0 0 8,0-1 16,-2-3 0,2 0 16,0 1 16,1 3 8,-2-4-16,2-1 0,0-4 0,0 6-8,0-1 32,0-7-8,0 11 0,0-4 0,0-1 16,0-4-16,0 5-8,0-5 24,0 5-8,0 4-8,3-5 0,-3-4 16,0 6-16,2 0-8,-2-2 24,0 1 0,0 4-16,0-3 0,0 0 32,0 1-8,0 1-8,0-1 16,0 2 0,0 0-32,0 0 16,0 0-8,0 0 8,0 0-24,0 0 0,0 0 0,0 0-8,0 0 8,0 0-8,0 3 0,0 0-8,-1 1 24,1 7-8,0-11 8,-1 2-8,0 9 16,-2-7-8,2 8 0,0-9 0,0 10-8,1-13 8,-3 4-16,2 7 16,-1-8-8,1 9 16,-2-8-8,1 8 0,2-12 0,-3 4-16,1 9 8,0-10 8,-2 10 0,2-9 8,-2 8-8,4-12 0,-4 4 8,2 8 0,-2-9 0,2 10 0,0-9-16,0 7 8,2-11 0,-2 3-16,0 7 8,0-6 8,1 6 8,0-6-8,0 8 0,1-12 0,-1 4 8,0 6-8,-1-6 0,1 6 0,0-8 8,1 9-8,0-11 0,0 2 0,0 8 0,-1-8-8,-1 2 0,1-1 16,0 1-8,1-4 0,-1 3 16,0 1 0,-1 0-16,1-2 8,0 2-8,-1-2 8,2-2-8,-3 4 16,2-2-8,-1 2 24,-2-2-24,0 0 0,1 2 16,3-4-24,-4 2-8,1 1 24,-2-1 0,-5 2 16,7-2-8,-7 1 0,10-3-24,-3 2 24,-7 0-8,6 1 0,-8-1 0,9 1 8,-9-1-24,12-2 0,-5 2 16,-7-2-8,2 3-8,0-1 8,-1 1 8,-1-3 0,12 0-16,-11 2 8,-2-2-8,1 2-8,0-2-16,-1 3 16,-2-3 0,15 0 8,-15 0-16,-1 0 8,-1 0 8,2 0-8,-1 0 8,2 0-16,14 0 16,-16 0 0,2-1 0,-2-2 0,2 0 8,-2-1-8,3 0 8,13 4-8,-13-4 8,2-6 8,-1 6 8,3-5-16,-2 5 0,1-8-16,10 12 8,-9-5-16,-1-8 0,0 4 0,6-2 0,-7-2 0,6 0 0,5 13 16,-9-12-8,5-3 0,0 2 16,1 1 24,-1 0 8,1-1 16,3 13-56,-3-12 72,2 0 8,0 0 16,0 1 32,1 0-32,0 1 8,0 10-104,0-10 64,0 5-16,2-7 0,0 7-24,1-5-8,-1 6-8,-2 4-8,4-10-8,5 7-16,-6-7 24,0 7 0,8-2-16,-8 0 24,-3 5-8,3-10-16,7 8 0,-8-3 8,8 0 8,-8 1-16,2-1 8,-4 5 8,9-5 0,-6 1 0,0 1 8,7-1 8,-10 2-16,4-1 8,-4 3-8,3-1-8,-1 0-8,1 0 16,-1 0 0,1 1 0,-3 0 0,0 0-8,2 0-8,1 0 0,-3 2 8,2 0 8,-2 1-8,0-3 8,2 3 0,-2 1-16,0 0 8,0 6-8,0-7 0,0 6 16,0-9 0,0 3 0,0 9-8,0-9 8,0 9-8,-1-8 0,-1 7-8,2-11 16,-3 3-16,0 9 8,-1-8 0,0 8 24,0-8-24,-1 9 16,5-13-8,-10 3 8,7 10-8,-8-9 16,7 8-24,-6-8 8,6 8 8,4-12-8,-11 3 8,6 8 24,-8-9-16,4 8-8,4-8 16,-8 2-16,13-4-8,-5 4 24,-7-1 0,1 7 16,0-8 0,1 2-8,-4-1 16,14-3-48,-13 4 24,0 6 16,-1-8-16,-3 2 0,0 5-16,-1-6 0,18-3-8,-20 3 8,-1 9-8,-1-9 24,-3 6-16,3-7 0,-2 9 0,24-11-8,-25 3-8,-2 7 8,-2-7 0,-3 6-24,-1-6 24,-2 8-24,35-11 24,-36 3-16,-1 10 8,-3-3 0,-1 0 0,-2-1 24,-1 1-16,44-10 0,-43 11 0,-3-1 24,1 2 0,-3-1 24,-1 1 24,0-1 16,49-11-88,-49 12 128,2 0 64,1 0 48,1 1 16,1-1 80,1 0 1,43-12-337,-40 13 304,-1-1-32,2 1-104,3-1-80,0 0-40,3 0-8,33-12-40,-31 11 8,0 1 8,2-1-24,4-2-24,0 2 16,1-1 0,24-10 16,-23 3-40,2 8 8,2-8-32,2 0-40,4 7-32,2-10-88,11 0 224,-9 3-304,5 0-97,-1-1-87,2 1-72,1-3 0,0 0 72,2 0 488,0 0-344,0 0 128,3 0-1424,-3 0 1640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9T15:44:20.512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3101 31 1784,'0'0'0,"0"-1"408,0 0-64,0-2 16,-1 1-72,0 1-32,1 1-256,-2-2 200,1 1 0,-2 0-8,-1-1 0,0 0-16,1 0-24,3 2-152,-5-1 145,-5-2-41,6 2 0,-8-1-32,2 1-16,-1-1-8,11 2-48,-13-1 16,-1 0 32,-1 1-24,-1 0-16,-1 0-16,-2 0 0,19 0 8,-22 2-24,-1 2 8,-1 6 0,-2-8-32,-3 8 40,-1-8 0,-2 10-8,32-12 16,-31 3-8,-2 12 0,1-6 8,-3 2-8,-1 0-16,-1-1 24,37-10 0,-37 10 56,1 1 0,-2 1 16,-2 1-16,1 1-48,-5 0 16,44-14-24,-44 15 8,-2 1 16,-1 1-24,-1 0 0,-4-1 24,-1 2-24,53-18 0,-52 17 16,0 0 8,2-3 0,-1 1 0,0-3 8,1 0-8,50-12-24,-50 12 0,1 0 0,4-2 0,-1 1 48,3-7 8,5 9 16,38-13-72,-37 2 64,4 9-32,2-8-16,0 0-32,3 7-24,3-8-48,25-2 88,-21 4-136,4-1-64,2 1-104,5-2-97,5 1-119,-6-1-48,11-2 568,-1 0-576,0 0 80,0 0 136,1 0 128,2-1 120,2-3-64,-4 4 176,13-4-1416,-13 4 1416</inkml:trace>
  <inkml:trace contextRef="#ctx0" brushRef="#br0" timeOffset="1">1869 38 1704,'0'0'0,"0"-1"56,0-3 24,0 4-80,0-2 136,0 0 64,0 0 72,-1 1 0,-4 1-32,-6 0-96,11 0-144,-4-1 40,-11 1-48,2 0-40,-1 0-16,-3 0 16,-2 4-8,19-4 56,-21 10-64,-3-6 24,0 7-16,-1-2 24,0-5 16,-4 11-8,29-15 24,-29 10-32,-1 1 8,-1-2 16,0 2 8,-1-1 16,-1 1-16,33-11 0,-34 10 0,-2 2 16,0 0 0,-4 1 8,1 2 0,-3-2-8,42-13-16,-41 13 24,-1-1 8,0 1 24,0-1 0,-1 2 8,-1-2 16,44-12-80,-44 12 80,0-2 16,1 0 24,0 1 0,-1-8 56,3 9 32,41-12-208,-41 4 232,1 7 48,2-8-64,-1 7-47,-3-7-41,2 1-72,40-4-56,-40 11 24,2-9 0,0 8-32,-1-8-24,3 2 24,0 5 32,36-9-24,-31 0 64,2 0 104,2 0 40,2 0 32,2 0 24,4 0 0,19 0-264,-18 0 240,4-3 16,2-1-56,2-1-56,6-4-56,-5 5-96,9 4 8,-3-9-112,1 5-88,1-7-128,0 6-56,1-7-8,2 8 8,-2 4 384,10-15-304,-7 2 64,12-1 63,-3-2 81,1-1 32,2 2 8,-15 15 56,17-16-24,1 1 0,1 0 0,2 1 32,0-1-32,2 2 24,-23 13 0,24-12-24,1 0 0,3 0 24,-1 3-24,2 4 8,1-6 8,-30 11 8,30-3-8,2-2 0,3 0 16,1 1 0,1 1-8,1 0 8,-38 3-8,38-1 24,0 1-32,2 0 24,-1 3 16,3 0 0,0 7 0,-42-10-32,43 2 16,0 9-16,2-1 16,-2 0-8,0 4 16,-1 1-8,-42-15-16,43 17 0,0 1-16,-1 2 0,2 1 8,1 1-8,-2 2 24,-43-24-8,43 24-16,-1 1 16,1 2-16,0 0 8,2 2-24,0 1-16,-45-30 48,45 31-48,0 0-16,2-1 40,-2-1 8,3-1-8,-1-2 24,-47-26 0,47 28-8,2-2 8,0 2 24,0-3-16,0-1-24,-2 0 16,-47-24 0,48 22 0,0 1-8,1-1 8,0-2 0,2-1-24,0-1 24,-51-18 0,52 17-8,-1 0-8,1-2 24,0 1 0,2-3 8,3-1 0,-57-12-16,56 11-64,-1-7-152,-1 9-88,-3-11-72,2 2 0,1-2 64,-54-2 312,53 0-288,2 0 56,0-2 72,0-8 56,2 1-1392,-57 9 1496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topLeftCell="C10" zoomScale="130" zoomScaleNormal="100" zoomScaleSheetLayoutView="130" workbookViewId="0">
      <selection activeCell="G26" sqref="G26:J26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60" t="s">
        <v>193</v>
      </c>
      <c r="C1" s="60"/>
      <c r="D1" s="60"/>
      <c r="E1" s="60"/>
      <c r="F1" s="60"/>
      <c r="G1" s="60"/>
      <c r="H1" s="60"/>
      <c r="I1" s="60"/>
      <c r="J1" s="60"/>
    </row>
    <row r="2" spans="1:10" ht="30" customHeight="1" x14ac:dyDescent="0.2">
      <c r="B2" s="11" t="s">
        <v>8</v>
      </c>
      <c r="C2" s="66" t="s">
        <v>45</v>
      </c>
      <c r="D2" s="66"/>
      <c r="E2" s="11" t="s">
        <v>7</v>
      </c>
      <c r="F2" s="61" t="s">
        <v>56</v>
      </c>
      <c r="G2" s="61"/>
      <c r="H2" s="61"/>
      <c r="I2" s="61"/>
      <c r="J2" s="61"/>
    </row>
    <row r="3" spans="1:10" ht="30" customHeight="1" x14ac:dyDescent="0.2">
      <c r="B3" s="11" t="s">
        <v>9</v>
      </c>
      <c r="C3" s="66" t="s">
        <v>60</v>
      </c>
      <c r="D3" s="66"/>
      <c r="E3" s="11" t="s">
        <v>6</v>
      </c>
      <c r="F3" s="66" t="s">
        <v>100</v>
      </c>
      <c r="G3" s="66"/>
      <c r="H3" s="66"/>
      <c r="I3" s="66"/>
      <c r="J3" s="66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9"/>
      <c r="B5" s="62" t="s">
        <v>0</v>
      </c>
      <c r="C5" s="63"/>
      <c r="D5" s="63"/>
      <c r="E5" s="67" t="s">
        <v>1</v>
      </c>
      <c r="F5" s="67"/>
      <c r="G5" s="67"/>
      <c r="H5" s="67"/>
      <c r="I5" s="67" t="s">
        <v>2</v>
      </c>
      <c r="J5" s="68"/>
    </row>
    <row r="6" spans="1:10" ht="24.95" customHeight="1" thickBot="1" x14ac:dyDescent="0.25">
      <c r="A6" s="9"/>
      <c r="B6" s="64"/>
      <c r="C6" s="65"/>
      <c r="D6" s="65"/>
      <c r="E6" s="10" t="s">
        <v>3</v>
      </c>
      <c r="F6" s="10" t="s">
        <v>4</v>
      </c>
      <c r="G6" s="10" t="s">
        <v>23</v>
      </c>
      <c r="H6" s="10" t="s">
        <v>24</v>
      </c>
      <c r="I6" s="69"/>
      <c r="J6" s="70"/>
    </row>
    <row r="7" spans="1:10" ht="24.95" customHeight="1" thickBot="1" x14ac:dyDescent="0.25">
      <c r="A7" s="9"/>
      <c r="B7" s="71" t="s">
        <v>21</v>
      </c>
      <c r="C7" s="72"/>
      <c r="D7" s="72"/>
      <c r="E7" s="30" t="s">
        <v>18</v>
      </c>
      <c r="F7" s="30" t="s">
        <v>19</v>
      </c>
      <c r="G7" s="30" t="s">
        <v>22</v>
      </c>
      <c r="H7" s="30" t="s">
        <v>20</v>
      </c>
      <c r="I7" s="73" t="s">
        <v>25</v>
      </c>
      <c r="J7" s="74"/>
    </row>
    <row r="8" spans="1:10" ht="30" customHeight="1" x14ac:dyDescent="0.2">
      <c r="A8" s="9"/>
      <c r="B8" s="75" t="s">
        <v>178</v>
      </c>
      <c r="C8" s="76"/>
      <c r="D8" s="76"/>
      <c r="E8" s="35"/>
      <c r="F8" s="36"/>
      <c r="G8" s="37"/>
      <c r="H8" s="38"/>
      <c r="I8" s="48"/>
      <c r="J8" s="49"/>
    </row>
    <row r="9" spans="1:10" ht="30" customHeight="1" x14ac:dyDescent="0.2">
      <c r="A9" s="9"/>
      <c r="B9" s="77" t="s">
        <v>182</v>
      </c>
      <c r="C9" s="78"/>
      <c r="D9" s="78"/>
      <c r="E9" s="32">
        <v>3</v>
      </c>
      <c r="F9" s="25">
        <v>2.25</v>
      </c>
      <c r="G9" s="33">
        <f>IFERROR(F9/E9,"")</f>
        <v>0.75</v>
      </c>
      <c r="H9" s="34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54"/>
      <c r="J9" s="55"/>
    </row>
    <row r="10" spans="1:10" ht="30" customHeight="1" x14ac:dyDescent="0.2">
      <c r="A10" s="9"/>
      <c r="B10" s="77" t="s">
        <v>183</v>
      </c>
      <c r="C10" s="78"/>
      <c r="D10" s="78"/>
      <c r="E10" s="32">
        <v>3</v>
      </c>
      <c r="F10" s="25">
        <v>2.25</v>
      </c>
      <c r="G10" s="33">
        <f t="shared" ref="G10:G21" si="0">IFERROR(F10/E10,"")</f>
        <v>0.75</v>
      </c>
      <c r="H10" s="34" t="str">
        <f t="shared" ref="H10:H21" si="1">_xlfn.IFS(F10="أدخل العلامة","",F10="لا ينطبق","تم الإلغاء",G10&gt;=90%,"ممتاز",G10&gt;=80%,"جيد جداً",G10&gt;=70%,"جيد",G10&gt;=60%,"مقبول",G10&lt;60%,"راسب")</f>
        <v>جيد</v>
      </c>
      <c r="I10" s="54"/>
      <c r="J10" s="55"/>
    </row>
    <row r="11" spans="1:10" ht="30" customHeight="1" x14ac:dyDescent="0.2">
      <c r="A11" s="9"/>
      <c r="B11" s="77" t="s">
        <v>184</v>
      </c>
      <c r="C11" s="78"/>
      <c r="D11" s="78"/>
      <c r="E11" s="32">
        <v>3</v>
      </c>
      <c r="F11" s="25">
        <v>2.25</v>
      </c>
      <c r="G11" s="33">
        <f t="shared" si="0"/>
        <v>0.75</v>
      </c>
      <c r="H11" s="34" t="str">
        <f t="shared" si="1"/>
        <v>جيد</v>
      </c>
      <c r="I11" s="54"/>
      <c r="J11" s="55"/>
    </row>
    <row r="12" spans="1:10" ht="30" customHeight="1" x14ac:dyDescent="0.2">
      <c r="A12" s="9"/>
      <c r="B12" s="77" t="s">
        <v>185</v>
      </c>
      <c r="C12" s="78"/>
      <c r="D12" s="78"/>
      <c r="E12" s="32">
        <v>3</v>
      </c>
      <c r="F12" s="25">
        <v>2.5</v>
      </c>
      <c r="G12" s="33">
        <f t="shared" si="0"/>
        <v>0.83333333333333337</v>
      </c>
      <c r="H12" s="34" t="str">
        <f t="shared" si="1"/>
        <v>جيد جداً</v>
      </c>
      <c r="I12" s="54"/>
      <c r="J12" s="55"/>
    </row>
    <row r="13" spans="1:10" ht="30" customHeight="1" x14ac:dyDescent="0.2">
      <c r="A13" s="9"/>
      <c r="B13" s="77" t="s">
        <v>186</v>
      </c>
      <c r="C13" s="78"/>
      <c r="D13" s="78"/>
      <c r="E13" s="32">
        <v>3</v>
      </c>
      <c r="F13" s="25">
        <v>2.25</v>
      </c>
      <c r="G13" s="33">
        <f t="shared" si="0"/>
        <v>0.75</v>
      </c>
      <c r="H13" s="34" t="str">
        <f t="shared" si="1"/>
        <v>جيد</v>
      </c>
      <c r="I13" s="54"/>
      <c r="J13" s="55"/>
    </row>
    <row r="14" spans="1:10" ht="30" customHeight="1" thickBot="1" x14ac:dyDescent="0.25">
      <c r="A14" s="9"/>
      <c r="B14" s="58" t="s">
        <v>187</v>
      </c>
      <c r="C14" s="59"/>
      <c r="D14" s="59"/>
      <c r="E14" s="39">
        <v>3</v>
      </c>
      <c r="F14" s="26">
        <v>2.5</v>
      </c>
      <c r="G14" s="40">
        <f t="shared" si="0"/>
        <v>0.83333333333333337</v>
      </c>
      <c r="H14" s="41" t="str">
        <f t="shared" si="1"/>
        <v>جيد جداً</v>
      </c>
      <c r="I14" s="56"/>
      <c r="J14" s="57"/>
    </row>
    <row r="15" spans="1:10" ht="30" customHeight="1" x14ac:dyDescent="0.2">
      <c r="A15" s="9"/>
      <c r="B15" s="75" t="s">
        <v>179</v>
      </c>
      <c r="C15" s="76"/>
      <c r="D15" s="76"/>
      <c r="E15" s="35"/>
      <c r="F15" s="36"/>
      <c r="G15" s="37"/>
      <c r="H15" s="38"/>
      <c r="I15" s="48"/>
      <c r="J15" s="49"/>
    </row>
    <row r="16" spans="1:10" ht="30" customHeight="1" x14ac:dyDescent="0.2">
      <c r="A16" s="9"/>
      <c r="B16" s="77" t="s">
        <v>188</v>
      </c>
      <c r="C16" s="78"/>
      <c r="D16" s="78"/>
      <c r="E16" s="32">
        <v>3</v>
      </c>
      <c r="F16" s="25">
        <v>2.25</v>
      </c>
      <c r="G16" s="33">
        <f t="shared" si="0"/>
        <v>0.75</v>
      </c>
      <c r="H16" s="34" t="str">
        <f t="shared" si="1"/>
        <v>جيد</v>
      </c>
      <c r="I16" s="54"/>
      <c r="J16" s="55"/>
    </row>
    <row r="17" spans="1:10" ht="30" customHeight="1" x14ac:dyDescent="0.2">
      <c r="A17" s="9"/>
      <c r="B17" s="77" t="s">
        <v>180</v>
      </c>
      <c r="C17" s="78"/>
      <c r="D17" s="78"/>
      <c r="E17" s="32">
        <v>3</v>
      </c>
      <c r="F17" s="25">
        <v>2.5</v>
      </c>
      <c r="G17" s="33">
        <f t="shared" si="0"/>
        <v>0.83333333333333337</v>
      </c>
      <c r="H17" s="34" t="str">
        <f t="shared" si="1"/>
        <v>جيد جداً</v>
      </c>
      <c r="I17" s="54"/>
      <c r="J17" s="55"/>
    </row>
    <row r="18" spans="1:10" ht="30" customHeight="1" x14ac:dyDescent="0.2">
      <c r="A18" s="9"/>
      <c r="B18" s="77" t="s">
        <v>181</v>
      </c>
      <c r="C18" s="78"/>
      <c r="D18" s="78"/>
      <c r="E18" s="32">
        <v>3</v>
      </c>
      <c r="F18" s="25">
        <v>2.5</v>
      </c>
      <c r="G18" s="33">
        <f t="shared" si="0"/>
        <v>0.83333333333333337</v>
      </c>
      <c r="H18" s="34" t="str">
        <f t="shared" si="1"/>
        <v>جيد جداً</v>
      </c>
      <c r="I18" s="54"/>
      <c r="J18" s="55"/>
    </row>
    <row r="19" spans="1:10" ht="30" customHeight="1" x14ac:dyDescent="0.2">
      <c r="A19" s="9"/>
      <c r="B19" s="77" t="s">
        <v>189</v>
      </c>
      <c r="C19" s="78"/>
      <c r="D19" s="78"/>
      <c r="E19" s="32">
        <v>3</v>
      </c>
      <c r="F19" s="25">
        <v>2.5</v>
      </c>
      <c r="G19" s="33">
        <f t="shared" si="0"/>
        <v>0.83333333333333337</v>
      </c>
      <c r="H19" s="34" t="str">
        <f t="shared" si="1"/>
        <v>جيد جداً</v>
      </c>
      <c r="I19" s="54"/>
      <c r="J19" s="55"/>
    </row>
    <row r="20" spans="1:10" ht="30" customHeight="1" x14ac:dyDescent="0.2">
      <c r="A20" s="9"/>
      <c r="B20" s="77" t="s">
        <v>190</v>
      </c>
      <c r="C20" s="78"/>
      <c r="D20" s="78"/>
      <c r="E20" s="32">
        <v>3</v>
      </c>
      <c r="F20" s="25">
        <v>2.5</v>
      </c>
      <c r="G20" s="33">
        <f t="shared" si="0"/>
        <v>0.83333333333333337</v>
      </c>
      <c r="H20" s="34" t="str">
        <f t="shared" si="1"/>
        <v>جيد جداً</v>
      </c>
      <c r="I20" s="54"/>
      <c r="J20" s="55"/>
    </row>
    <row r="21" spans="1:10" ht="30" customHeight="1" thickBot="1" x14ac:dyDescent="0.25">
      <c r="A21" s="9"/>
      <c r="B21" s="58" t="s">
        <v>191</v>
      </c>
      <c r="C21" s="59"/>
      <c r="D21" s="59"/>
      <c r="E21" s="39">
        <v>3</v>
      </c>
      <c r="F21" s="26">
        <v>2.5</v>
      </c>
      <c r="G21" s="40">
        <f t="shared" si="0"/>
        <v>0.83333333333333337</v>
      </c>
      <c r="H21" s="41" t="str">
        <f t="shared" si="1"/>
        <v>جيد جداً</v>
      </c>
      <c r="I21" s="56"/>
      <c r="J21" s="57"/>
    </row>
    <row r="22" spans="1:10" ht="30" customHeight="1" thickBot="1" x14ac:dyDescent="0.25">
      <c r="A22" s="4"/>
      <c r="B22" s="50" t="s">
        <v>5</v>
      </c>
      <c r="C22" s="51"/>
      <c r="D22" s="51"/>
      <c r="E22" s="31">
        <f>SUM(E8:E21)</f>
        <v>36</v>
      </c>
      <c r="F22" s="31">
        <f>SUM(F8:F21)</f>
        <v>28.75</v>
      </c>
      <c r="G22" s="87"/>
      <c r="H22" s="88"/>
      <c r="I22" s="88"/>
      <c r="J22" s="89"/>
    </row>
    <row r="23" spans="1:10" ht="30" customHeight="1" thickBot="1" x14ac:dyDescent="0.25">
      <c r="A23" s="4"/>
      <c r="B23" s="52" t="s">
        <v>54</v>
      </c>
      <c r="C23" s="53"/>
      <c r="D23" s="53"/>
      <c r="E23" s="90">
        <f>F22/E22/100*100</f>
        <v>0.79861111111111127</v>
      </c>
      <c r="F23" s="90"/>
      <c r="G23" s="90"/>
      <c r="H23" s="90"/>
      <c r="I23" s="90"/>
      <c r="J23" s="91"/>
    </row>
    <row r="24" spans="1:10" ht="30" customHeight="1" thickBot="1" x14ac:dyDescent="0.25">
      <c r="A24" s="4"/>
      <c r="B24" s="52" t="s">
        <v>55</v>
      </c>
      <c r="C24" s="53"/>
      <c r="D24" s="53"/>
      <c r="E24" s="83" t="str">
        <f>_xlfn.IFS(E23&gt;=90%,"ممتاز",E23&gt;=80%,"جيد جداً",E23&gt;=70%,"جيد",E23&gt;=60%,"مقبول",E23&lt;60%,"راسب")</f>
        <v>جيد</v>
      </c>
      <c r="F24" s="83"/>
      <c r="G24" s="83"/>
      <c r="H24" s="83"/>
      <c r="I24" s="83"/>
      <c r="J24" s="84"/>
    </row>
    <row r="25" spans="1:10" ht="42" customHeight="1" x14ac:dyDescent="0.2">
      <c r="B25" s="79" t="s">
        <v>192</v>
      </c>
      <c r="C25" s="79"/>
      <c r="D25" s="79"/>
      <c r="E25" s="85" t="s">
        <v>52</v>
      </c>
      <c r="F25" s="85"/>
      <c r="G25" s="81" t="s">
        <v>100</v>
      </c>
      <c r="H25" s="81"/>
      <c r="I25" s="81"/>
      <c r="J25" s="81"/>
    </row>
    <row r="26" spans="1:10" ht="51" customHeight="1" x14ac:dyDescent="0.2">
      <c r="A26" s="5"/>
      <c r="B26" s="80"/>
      <c r="C26" s="80"/>
      <c r="D26" s="80"/>
      <c r="E26" s="86" t="s">
        <v>53</v>
      </c>
      <c r="F26" s="86"/>
      <c r="G26" s="82"/>
      <c r="H26" s="82"/>
      <c r="I26" s="82"/>
      <c r="J26" s="82"/>
    </row>
    <row r="27" spans="1:10" x14ac:dyDescent="0.2">
      <c r="A27" s="27">
        <v>3</v>
      </c>
      <c r="B27" s="42" t="s">
        <v>175</v>
      </c>
      <c r="C27" s="43"/>
    </row>
    <row r="28" spans="1:10" x14ac:dyDescent="0.2">
      <c r="A28" s="28">
        <v>2</v>
      </c>
      <c r="B28" s="44" t="s">
        <v>176</v>
      </c>
      <c r="C28" s="45"/>
    </row>
    <row r="29" spans="1:10" x14ac:dyDescent="0.2">
      <c r="A29" s="29">
        <v>1</v>
      </c>
      <c r="B29" s="46" t="s">
        <v>177</v>
      </c>
      <c r="C29" s="47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2">
    <mergeCell ref="B25:D26"/>
    <mergeCell ref="G25:J25"/>
    <mergeCell ref="G26:J26"/>
    <mergeCell ref="E24:J24"/>
    <mergeCell ref="B16:D16"/>
    <mergeCell ref="B17:D17"/>
    <mergeCell ref="B18:D18"/>
    <mergeCell ref="B19:D19"/>
    <mergeCell ref="B20:D20"/>
    <mergeCell ref="E25:F25"/>
    <mergeCell ref="E26:F26"/>
    <mergeCell ref="G22:J22"/>
    <mergeCell ref="E23:J23"/>
    <mergeCell ref="I21:J21"/>
    <mergeCell ref="B7:D7"/>
    <mergeCell ref="I7:J7"/>
    <mergeCell ref="I10:J10"/>
    <mergeCell ref="I19:J19"/>
    <mergeCell ref="I20:J20"/>
    <mergeCell ref="B8:D8"/>
    <mergeCell ref="B9:D9"/>
    <mergeCell ref="B10:D10"/>
    <mergeCell ref="B11:D11"/>
    <mergeCell ref="B12:D12"/>
    <mergeCell ref="B13:D13"/>
    <mergeCell ref="B14:D14"/>
    <mergeCell ref="B15:D15"/>
    <mergeCell ref="I9:J9"/>
    <mergeCell ref="B1:J1"/>
    <mergeCell ref="F2:J2"/>
    <mergeCell ref="B5:D6"/>
    <mergeCell ref="C2:D2"/>
    <mergeCell ref="C3:D3"/>
    <mergeCell ref="F3:J3"/>
    <mergeCell ref="E5:H5"/>
    <mergeCell ref="I5:J6"/>
    <mergeCell ref="B27:C27"/>
    <mergeCell ref="B28:C28"/>
    <mergeCell ref="B29:C29"/>
    <mergeCell ref="I8:J8"/>
    <mergeCell ref="B22:D22"/>
    <mergeCell ref="B23:D23"/>
    <mergeCell ref="B24:D24"/>
    <mergeCell ref="I11:J11"/>
    <mergeCell ref="I12:J12"/>
    <mergeCell ref="I13:J13"/>
    <mergeCell ref="I14:J14"/>
    <mergeCell ref="I15:J15"/>
    <mergeCell ref="I16:J16"/>
    <mergeCell ref="I17:J17"/>
    <mergeCell ref="I18:J18"/>
    <mergeCell ref="B21:D21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4">
    <cfRule type="expression" dxfId="14" priority="57">
      <formula>$E24="راسب"</formula>
    </cfRule>
  </conditionalFormatting>
  <conditionalFormatting sqref="E24:J24">
    <cfRule type="expression" dxfId="13" priority="58">
      <formula>$E24="مقبول"</formula>
    </cfRule>
    <cfRule type="expression" dxfId="12" priority="59">
      <formula>$E24="جيد"</formula>
    </cfRule>
    <cfRule type="expression" dxfId="11" priority="60">
      <formula>$E24="جيد جداً"</formula>
    </cfRule>
    <cfRule type="expression" dxfId="10" priority="61">
      <formula>$E24="ممتاز"</formula>
    </cfRule>
  </conditionalFormatting>
  <conditionalFormatting sqref="F8:F21">
    <cfRule type="containsText" dxfId="9" priority="38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5:J25">
    <cfRule type="containsText" dxfId="6" priority="15" operator="containsText" text="أدخل اسم المحكم">
      <formula>NOT(ISERROR(SEARCH("أدخل اسم المحكم",G25)))</formula>
    </cfRule>
  </conditionalFormatting>
  <conditionalFormatting sqref="H8:H21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G25:J25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F16:F21 F9:F14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8" t="s">
        <v>62</v>
      </c>
    </row>
    <row r="3" spans="1:3" ht="20.100000000000001" customHeight="1" thickBot="1" x14ac:dyDescent="0.3">
      <c r="A3" s="2" t="s">
        <v>26</v>
      </c>
      <c r="C3" s="18" t="s">
        <v>63</v>
      </c>
    </row>
    <row r="4" spans="1:3" ht="20.100000000000001" customHeight="1" thickBot="1" x14ac:dyDescent="0.3">
      <c r="A4" s="2" t="s">
        <v>36</v>
      </c>
      <c r="C4" s="18" t="s">
        <v>64</v>
      </c>
    </row>
    <row r="5" spans="1:3" ht="20.100000000000001" customHeight="1" thickBot="1" x14ac:dyDescent="0.3">
      <c r="A5" s="2" t="s">
        <v>37</v>
      </c>
      <c r="C5" s="18" t="s">
        <v>65</v>
      </c>
    </row>
    <row r="6" spans="1:3" ht="20.100000000000001" customHeight="1" thickBot="1" x14ac:dyDescent="0.3">
      <c r="A6" s="2" t="s">
        <v>38</v>
      </c>
      <c r="C6" s="18" t="s">
        <v>66</v>
      </c>
    </row>
    <row r="7" spans="1:3" ht="20.100000000000001" customHeight="1" thickBot="1" x14ac:dyDescent="0.3">
      <c r="A7" s="2" t="s">
        <v>39</v>
      </c>
      <c r="C7" s="18" t="s">
        <v>67</v>
      </c>
    </row>
    <row r="8" spans="1:3" ht="20.100000000000001" customHeight="1" thickBot="1" x14ac:dyDescent="0.3">
      <c r="A8" s="2" t="s">
        <v>40</v>
      </c>
      <c r="C8" s="18" t="s">
        <v>68</v>
      </c>
    </row>
    <row r="9" spans="1:3" ht="20.100000000000001" customHeight="1" thickBot="1" x14ac:dyDescent="0.3">
      <c r="A9" s="2" t="s">
        <v>41</v>
      </c>
      <c r="C9" s="18" t="s">
        <v>69</v>
      </c>
    </row>
    <row r="10" spans="1:3" ht="20.100000000000001" customHeight="1" thickBot="1" x14ac:dyDescent="0.3">
      <c r="A10" s="2" t="s">
        <v>42</v>
      </c>
      <c r="C10" s="18" t="s">
        <v>70</v>
      </c>
    </row>
    <row r="11" spans="1:3" ht="20.100000000000001" customHeight="1" thickBot="1" x14ac:dyDescent="0.3">
      <c r="A11" s="2" t="s">
        <v>43</v>
      </c>
      <c r="C11" s="18" t="s">
        <v>71</v>
      </c>
    </row>
    <row r="12" spans="1:3" ht="20.100000000000001" customHeight="1" thickBot="1" x14ac:dyDescent="0.3">
      <c r="A12" s="2" t="s">
        <v>44</v>
      </c>
      <c r="C12" s="18" t="s">
        <v>72</v>
      </c>
    </row>
    <row r="13" spans="1:3" ht="20.100000000000001" customHeight="1" thickBot="1" x14ac:dyDescent="0.3">
      <c r="A13" s="2" t="s">
        <v>45</v>
      </c>
      <c r="C13" s="18" t="s">
        <v>73</v>
      </c>
    </row>
    <row r="14" spans="1:3" ht="20.100000000000001" customHeight="1" thickBot="1" x14ac:dyDescent="0.3">
      <c r="A14" s="2" t="s">
        <v>46</v>
      </c>
      <c r="C14" s="18" t="s">
        <v>74</v>
      </c>
    </row>
    <row r="15" spans="1:3" ht="20.100000000000001" customHeight="1" thickBot="1" x14ac:dyDescent="0.3">
      <c r="A15" s="2" t="s">
        <v>47</v>
      </c>
      <c r="C15" s="18" t="s">
        <v>75</v>
      </c>
    </row>
    <row r="16" spans="1:3" ht="20.100000000000001" customHeight="1" thickBot="1" x14ac:dyDescent="0.3">
      <c r="A16" s="2" t="s">
        <v>10</v>
      </c>
      <c r="C16" s="18" t="s">
        <v>76</v>
      </c>
    </row>
    <row r="17" spans="1:3" ht="20.100000000000001" customHeight="1" thickBot="1" x14ac:dyDescent="0.3">
      <c r="A17" s="2" t="s">
        <v>27</v>
      </c>
      <c r="C17" s="18" t="s">
        <v>77</v>
      </c>
    </row>
    <row r="18" spans="1:3" ht="20.100000000000001" customHeight="1" thickBot="1" x14ac:dyDescent="0.3">
      <c r="A18" s="2" t="s">
        <v>48</v>
      </c>
      <c r="C18" s="18" t="s">
        <v>78</v>
      </c>
    </row>
    <row r="19" spans="1:3" ht="20.100000000000001" customHeight="1" thickBot="1" x14ac:dyDescent="0.3">
      <c r="A19" s="2" t="s">
        <v>49</v>
      </c>
      <c r="C19" s="18" t="s">
        <v>79</v>
      </c>
    </row>
    <row r="20" spans="1:3" ht="20.100000000000001" customHeight="1" thickBot="1" x14ac:dyDescent="0.3">
      <c r="A20" s="2" t="s">
        <v>50</v>
      </c>
      <c r="C20" s="18" t="s">
        <v>80</v>
      </c>
    </row>
    <row r="21" spans="1:3" ht="20.100000000000001" customHeight="1" thickBot="1" x14ac:dyDescent="0.3">
      <c r="A21" s="2" t="s">
        <v>51</v>
      </c>
      <c r="C21" s="18" t="s">
        <v>81</v>
      </c>
    </row>
    <row r="22" spans="1:3" ht="20.100000000000001" customHeight="1" thickBot="1" x14ac:dyDescent="0.3">
      <c r="A22" s="2" t="s">
        <v>11</v>
      </c>
      <c r="C22" s="18" t="s">
        <v>82</v>
      </c>
    </row>
    <row r="23" spans="1:3" ht="20.100000000000001" customHeight="1" thickBot="1" x14ac:dyDescent="0.3">
      <c r="A23" s="2" t="s">
        <v>12</v>
      </c>
      <c r="C23" s="18" t="s">
        <v>83</v>
      </c>
    </row>
    <row r="24" spans="1:3" ht="20.100000000000001" customHeight="1" thickBot="1" x14ac:dyDescent="0.3">
      <c r="A24" s="2" t="s">
        <v>15</v>
      </c>
      <c r="C24" s="18" t="s">
        <v>84</v>
      </c>
    </row>
    <row r="25" spans="1:3" ht="20.100000000000001" customHeight="1" thickBot="1" x14ac:dyDescent="0.3">
      <c r="A25" s="2" t="s">
        <v>28</v>
      </c>
      <c r="C25" s="18" t="s">
        <v>85</v>
      </c>
    </row>
    <row r="26" spans="1:3" ht="20.100000000000001" customHeight="1" thickBot="1" x14ac:dyDescent="0.3">
      <c r="A26" s="2" t="s">
        <v>29</v>
      </c>
      <c r="C26" s="18" t="s">
        <v>86</v>
      </c>
    </row>
    <row r="27" spans="1:3" ht="20.100000000000001" customHeight="1" thickBot="1" x14ac:dyDescent="0.3">
      <c r="A27" s="2" t="s">
        <v>13</v>
      </c>
      <c r="C27" s="18" t="s">
        <v>87</v>
      </c>
    </row>
    <row r="28" spans="1:3" ht="20.100000000000001" customHeight="1" thickBot="1" x14ac:dyDescent="0.3">
      <c r="A28" s="2" t="s">
        <v>30</v>
      </c>
      <c r="C28" s="18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2">
        <v>45901</v>
      </c>
    </row>
    <row r="40" spans="1:9" ht="20.100000000000001" customHeight="1" thickBot="1" x14ac:dyDescent="0.3">
      <c r="A40" s="12">
        <v>45902</v>
      </c>
    </row>
    <row r="41" spans="1:9" ht="20.100000000000001" customHeight="1" thickBot="1" x14ac:dyDescent="0.3">
      <c r="A41" s="12">
        <v>45903</v>
      </c>
    </row>
    <row r="42" spans="1:9" ht="20.100000000000001" customHeight="1" thickBot="1" x14ac:dyDescent="0.3">
      <c r="A42" s="12">
        <v>45904</v>
      </c>
    </row>
    <row r="43" spans="1:9" ht="20.100000000000001" customHeight="1" thickBot="1" x14ac:dyDescent="0.3">
      <c r="A43" s="12">
        <v>45905</v>
      </c>
    </row>
    <row r="44" spans="1:9" ht="20.100000000000001" customHeight="1" thickBot="1" x14ac:dyDescent="0.3">
      <c r="A44" s="12">
        <v>45906</v>
      </c>
    </row>
    <row r="45" spans="1:9" ht="20.100000000000001" customHeight="1" thickBot="1" x14ac:dyDescent="0.3">
      <c r="A45" s="12">
        <v>45907</v>
      </c>
    </row>
    <row r="46" spans="1:9" ht="20.100000000000001" customHeight="1" thickBot="1" x14ac:dyDescent="0.3">
      <c r="A46" s="12">
        <v>45908</v>
      </c>
    </row>
    <row r="47" spans="1:9" ht="20.100000000000001" customHeight="1" thickBot="1" x14ac:dyDescent="0.3">
      <c r="A47" s="12">
        <v>45909</v>
      </c>
    </row>
    <row r="48" spans="1:9" ht="20.100000000000001" customHeight="1" thickBot="1" x14ac:dyDescent="0.3">
      <c r="A48" s="12">
        <v>45910</v>
      </c>
    </row>
    <row r="49" spans="1:1" ht="20.100000000000001" customHeight="1" thickBot="1" x14ac:dyDescent="0.3">
      <c r="A49" s="12">
        <v>45911</v>
      </c>
    </row>
    <row r="50" spans="1:1" ht="20.100000000000001" customHeight="1" thickBot="1" x14ac:dyDescent="0.3">
      <c r="A50" s="12">
        <v>45912</v>
      </c>
    </row>
    <row r="51" spans="1:1" ht="20.100000000000001" customHeight="1" thickBot="1" x14ac:dyDescent="0.3">
      <c r="A51" s="12">
        <v>45913</v>
      </c>
    </row>
    <row r="52" spans="1:1" ht="20.100000000000001" customHeight="1" thickBot="1" x14ac:dyDescent="0.3">
      <c r="A52" s="12">
        <v>45914</v>
      </c>
    </row>
    <row r="53" spans="1:1" ht="20.100000000000001" customHeight="1" thickBot="1" x14ac:dyDescent="0.3">
      <c r="A53" s="12">
        <v>45915</v>
      </c>
    </row>
    <row r="54" spans="1:1" ht="20.100000000000001" customHeight="1" thickBot="1" x14ac:dyDescent="0.3">
      <c r="A54" s="12">
        <v>45916</v>
      </c>
    </row>
    <row r="55" spans="1:1" ht="20.100000000000001" customHeight="1" thickBot="1" x14ac:dyDescent="0.3">
      <c r="A55" s="12">
        <v>45917</v>
      </c>
    </row>
    <row r="56" spans="1:1" ht="20.100000000000001" customHeight="1" thickBot="1" x14ac:dyDescent="0.3">
      <c r="A56" s="12">
        <v>45918</v>
      </c>
    </row>
    <row r="57" spans="1:1" ht="20.100000000000001" customHeight="1" thickBot="1" x14ac:dyDescent="0.3">
      <c r="A57" s="12">
        <v>45919</v>
      </c>
    </row>
    <row r="58" spans="1:1" ht="20.100000000000001" customHeight="1" thickBot="1" x14ac:dyDescent="0.3">
      <c r="A58" s="12">
        <v>45920</v>
      </c>
    </row>
    <row r="59" spans="1:1" ht="20.100000000000001" customHeight="1" thickBot="1" x14ac:dyDescent="0.3">
      <c r="A59" s="12">
        <v>45921</v>
      </c>
    </row>
    <row r="60" spans="1:1" ht="20.100000000000001" customHeight="1" thickBot="1" x14ac:dyDescent="0.3">
      <c r="A60" s="12">
        <v>45922</v>
      </c>
    </row>
    <row r="61" spans="1:1" ht="20.100000000000001" customHeight="1" thickBot="1" x14ac:dyDescent="0.3">
      <c r="A61" s="12">
        <v>45923</v>
      </c>
    </row>
    <row r="62" spans="1:1" ht="20.100000000000001" customHeight="1" thickBot="1" x14ac:dyDescent="0.3">
      <c r="A62" s="12">
        <v>45924</v>
      </c>
    </row>
    <row r="63" spans="1:1" ht="20.100000000000001" customHeight="1" thickBot="1" x14ac:dyDescent="0.3">
      <c r="A63" s="12">
        <v>45925</v>
      </c>
    </row>
    <row r="64" spans="1:1" ht="20.100000000000001" customHeight="1" thickBot="1" x14ac:dyDescent="0.3">
      <c r="A64" s="12">
        <v>45926</v>
      </c>
    </row>
    <row r="65" spans="1:1" ht="20.100000000000001" customHeight="1" thickBot="1" x14ac:dyDescent="0.3">
      <c r="A65" s="12">
        <v>45927</v>
      </c>
    </row>
    <row r="66" spans="1:1" ht="20.100000000000001" customHeight="1" thickBot="1" x14ac:dyDescent="0.3">
      <c r="A66" s="12">
        <v>45928</v>
      </c>
    </row>
    <row r="67" spans="1:1" ht="20.100000000000001" customHeight="1" thickBot="1" x14ac:dyDescent="0.3">
      <c r="A67" s="12">
        <v>45929</v>
      </c>
    </row>
    <row r="68" spans="1:1" ht="20.100000000000001" customHeight="1" thickBot="1" x14ac:dyDescent="0.3">
      <c r="A68" s="12">
        <v>45930</v>
      </c>
    </row>
    <row r="69" spans="1:1" ht="20.100000000000001" customHeight="1" thickBot="1" x14ac:dyDescent="0.3">
      <c r="A69" s="12">
        <v>45931</v>
      </c>
    </row>
    <row r="70" spans="1:1" ht="20.100000000000001" customHeight="1" thickBot="1" x14ac:dyDescent="0.3">
      <c r="A70" s="12">
        <v>45932</v>
      </c>
    </row>
    <row r="71" spans="1:1" ht="20.100000000000001" customHeight="1" thickBot="1" x14ac:dyDescent="0.3">
      <c r="A71" s="12">
        <v>45933</v>
      </c>
    </row>
    <row r="72" spans="1:1" ht="20.100000000000001" customHeight="1" thickBot="1" x14ac:dyDescent="0.3">
      <c r="A72" s="12">
        <v>45934</v>
      </c>
    </row>
    <row r="73" spans="1:1" ht="20.100000000000001" customHeight="1" thickBot="1" x14ac:dyDescent="0.3">
      <c r="A73" s="12">
        <v>45935</v>
      </c>
    </row>
    <row r="74" spans="1:1" ht="20.100000000000001" customHeight="1" thickBot="1" x14ac:dyDescent="0.3">
      <c r="A74" s="12">
        <v>45936</v>
      </c>
    </row>
    <row r="75" spans="1:1" ht="20.100000000000001" customHeight="1" thickBot="1" x14ac:dyDescent="0.3">
      <c r="A75" s="12">
        <v>45937</v>
      </c>
    </row>
    <row r="76" spans="1:1" ht="20.100000000000001" customHeight="1" thickBot="1" x14ac:dyDescent="0.3">
      <c r="A76" s="12">
        <v>45938</v>
      </c>
    </row>
    <row r="77" spans="1:1" ht="20.100000000000001" customHeight="1" thickBot="1" x14ac:dyDescent="0.3">
      <c r="A77" s="12">
        <v>45939</v>
      </c>
    </row>
    <row r="78" spans="1:1" ht="20.100000000000001" customHeight="1" thickBot="1" x14ac:dyDescent="0.3">
      <c r="A78" s="12">
        <v>45940</v>
      </c>
    </row>
    <row r="79" spans="1:1" ht="20.100000000000001" customHeight="1" thickBot="1" x14ac:dyDescent="0.3">
      <c r="A79" s="12">
        <v>45941</v>
      </c>
    </row>
    <row r="80" spans="1:1" ht="20.100000000000001" customHeight="1" thickBot="1" x14ac:dyDescent="0.3">
      <c r="A80" s="12">
        <v>45942</v>
      </c>
    </row>
    <row r="81" spans="1:1" ht="20.100000000000001" customHeight="1" thickBot="1" x14ac:dyDescent="0.3">
      <c r="A81" s="12">
        <v>45943</v>
      </c>
    </row>
    <row r="82" spans="1:1" ht="20.100000000000001" customHeight="1" thickBot="1" x14ac:dyDescent="0.3">
      <c r="A82" s="12">
        <v>45944</v>
      </c>
    </row>
    <row r="83" spans="1:1" ht="20.100000000000001" customHeight="1" thickBot="1" x14ac:dyDescent="0.3">
      <c r="A83" s="12">
        <v>45945</v>
      </c>
    </row>
    <row r="84" spans="1:1" ht="20.100000000000001" customHeight="1" thickBot="1" x14ac:dyDescent="0.3">
      <c r="A84" s="12">
        <v>45946</v>
      </c>
    </row>
    <row r="85" spans="1:1" ht="20.100000000000001" customHeight="1" thickBot="1" x14ac:dyDescent="0.3">
      <c r="A85" s="12">
        <v>45947</v>
      </c>
    </row>
    <row r="86" spans="1:1" ht="20.100000000000001" customHeight="1" thickBot="1" x14ac:dyDescent="0.3">
      <c r="A86" s="12">
        <v>45948</v>
      </c>
    </row>
    <row r="87" spans="1:1" ht="20.100000000000001" customHeight="1" thickBot="1" x14ac:dyDescent="0.3">
      <c r="A87" s="12">
        <v>45949</v>
      </c>
    </row>
    <row r="88" spans="1:1" ht="20.100000000000001" customHeight="1" thickBot="1" x14ac:dyDescent="0.3">
      <c r="A88" s="12">
        <v>45950</v>
      </c>
    </row>
    <row r="89" spans="1:1" ht="20.100000000000001" customHeight="1" thickBot="1" x14ac:dyDescent="0.3">
      <c r="A89" s="12">
        <v>45951</v>
      </c>
    </row>
    <row r="90" spans="1:1" ht="20.100000000000001" customHeight="1" thickBot="1" x14ac:dyDescent="0.3">
      <c r="A90" s="12">
        <v>45952</v>
      </c>
    </row>
    <row r="91" spans="1:1" ht="20.100000000000001" customHeight="1" thickBot="1" x14ac:dyDescent="0.3">
      <c r="A91" s="12">
        <v>45953</v>
      </c>
    </row>
    <row r="92" spans="1:1" ht="20.100000000000001" customHeight="1" thickBot="1" x14ac:dyDescent="0.3">
      <c r="A92" s="12">
        <v>45954</v>
      </c>
    </row>
    <row r="93" spans="1:1" ht="20.100000000000001" customHeight="1" thickBot="1" x14ac:dyDescent="0.3">
      <c r="A93" s="12">
        <v>45955</v>
      </c>
    </row>
    <row r="94" spans="1:1" ht="20.100000000000001" customHeight="1" thickBot="1" x14ac:dyDescent="0.3">
      <c r="A94" s="12">
        <v>45956</v>
      </c>
    </row>
    <row r="95" spans="1:1" ht="20.100000000000001" customHeight="1" thickBot="1" x14ac:dyDescent="0.3">
      <c r="A95" s="12">
        <v>45957</v>
      </c>
    </row>
    <row r="96" spans="1:1" ht="20.100000000000001" customHeight="1" thickBot="1" x14ac:dyDescent="0.3">
      <c r="A96" s="12">
        <v>45958</v>
      </c>
    </row>
    <row r="97" spans="1:9" ht="20.100000000000001" customHeight="1" thickBot="1" x14ac:dyDescent="0.3">
      <c r="A97" s="12">
        <v>45959</v>
      </c>
    </row>
    <row r="98" spans="1:9" ht="20.100000000000001" customHeight="1" thickBot="1" x14ac:dyDescent="0.3">
      <c r="A98" s="12">
        <v>45960</v>
      </c>
    </row>
    <row r="99" spans="1:9" ht="20.100000000000001" customHeight="1" thickBot="1" x14ac:dyDescent="0.3">
      <c r="A99" s="12">
        <v>45961</v>
      </c>
    </row>
    <row r="100" spans="1:9" ht="20.100000000000001" customHeight="1" thickBot="1" x14ac:dyDescent="0.3">
      <c r="A100" s="12">
        <v>45962</v>
      </c>
    </row>
    <row r="101" spans="1:9" ht="20.100000000000001" customHeight="1" thickBot="1" x14ac:dyDescent="0.3">
      <c r="A101" s="12">
        <v>45963</v>
      </c>
    </row>
    <row r="102" spans="1:9" ht="20.100000000000001" customHeight="1" thickBot="1" x14ac:dyDescent="0.3">
      <c r="A102" s="12">
        <v>45964</v>
      </c>
    </row>
    <row r="103" spans="1:9" ht="20.100000000000001" customHeight="1" thickBot="1" x14ac:dyDescent="0.3">
      <c r="A103" s="12">
        <v>45965</v>
      </c>
    </row>
    <row r="104" spans="1:9" ht="20.100000000000001" customHeight="1" thickBot="1" x14ac:dyDescent="0.3">
      <c r="A104" s="12">
        <v>45966</v>
      </c>
    </row>
    <row r="105" spans="1:9" ht="20.100000000000001" customHeight="1" thickBot="1" x14ac:dyDescent="0.3">
      <c r="A105" s="12">
        <v>45967</v>
      </c>
    </row>
    <row r="106" spans="1:9" ht="20.100000000000001" customHeight="1" thickBot="1" x14ac:dyDescent="0.3">
      <c r="A106" s="12">
        <v>45968</v>
      </c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9" t="s">
        <v>89</v>
      </c>
    </row>
    <row r="200" spans="1:1" ht="20.100000000000001" customHeight="1" x14ac:dyDescent="0.2">
      <c r="A200" s="19" t="s">
        <v>90</v>
      </c>
    </row>
    <row r="201" spans="1:1" ht="20.100000000000001" customHeight="1" x14ac:dyDescent="0.2">
      <c r="A201" s="19" t="s">
        <v>91</v>
      </c>
    </row>
    <row r="202" spans="1:1" ht="20.100000000000001" customHeight="1" x14ac:dyDescent="0.2">
      <c r="A202" s="19" t="s">
        <v>92</v>
      </c>
    </row>
    <row r="203" spans="1:1" ht="20.100000000000001" customHeight="1" x14ac:dyDescent="0.2">
      <c r="A203" s="19" t="s">
        <v>93</v>
      </c>
    </row>
    <row r="204" spans="1:1" ht="20.100000000000001" customHeight="1" x14ac:dyDescent="0.2">
      <c r="A204" s="19" t="s">
        <v>94</v>
      </c>
    </row>
    <row r="205" spans="1:1" ht="20.100000000000001" customHeight="1" x14ac:dyDescent="0.2">
      <c r="A205" s="19" t="s">
        <v>95</v>
      </c>
    </row>
    <row r="206" spans="1:1" ht="20.100000000000001" customHeight="1" x14ac:dyDescent="0.2">
      <c r="A206" s="19" t="s">
        <v>96</v>
      </c>
    </row>
    <row r="207" spans="1:1" ht="20.100000000000001" customHeight="1" x14ac:dyDescent="0.2">
      <c r="A207" s="19" t="s">
        <v>97</v>
      </c>
    </row>
    <row r="208" spans="1:1" ht="20.100000000000001" customHeight="1" x14ac:dyDescent="0.2">
      <c r="A208" s="20" t="s">
        <v>98</v>
      </c>
    </row>
    <row r="209" spans="1:1" ht="20.100000000000001" customHeight="1" x14ac:dyDescent="0.2">
      <c r="A209" s="20" t="s">
        <v>99</v>
      </c>
    </row>
    <row r="210" spans="1:1" ht="20.100000000000001" customHeight="1" x14ac:dyDescent="0.2">
      <c r="A210" s="19" t="s">
        <v>100</v>
      </c>
    </row>
    <row r="211" spans="1:1" ht="20.100000000000001" customHeight="1" x14ac:dyDescent="0.2">
      <c r="A211" s="19" t="s">
        <v>101</v>
      </c>
    </row>
    <row r="212" spans="1:1" ht="20.100000000000001" customHeight="1" x14ac:dyDescent="0.2">
      <c r="A212" s="19" t="s">
        <v>102</v>
      </c>
    </row>
    <row r="213" spans="1:1" ht="20.100000000000001" customHeight="1" x14ac:dyDescent="0.2">
      <c r="A213" s="19" t="s">
        <v>103</v>
      </c>
    </row>
    <row r="214" spans="1:1" ht="20.100000000000001" customHeight="1" x14ac:dyDescent="0.2">
      <c r="A214" s="19" t="s">
        <v>104</v>
      </c>
    </row>
    <row r="215" spans="1:1" ht="20.100000000000001" customHeight="1" x14ac:dyDescent="0.2">
      <c r="A215" s="19" t="s">
        <v>105</v>
      </c>
    </row>
    <row r="216" spans="1:1" ht="20.100000000000001" customHeight="1" x14ac:dyDescent="0.2">
      <c r="A216" s="19" t="s">
        <v>106</v>
      </c>
    </row>
    <row r="217" spans="1:1" ht="20.100000000000001" customHeight="1" x14ac:dyDescent="0.2">
      <c r="A217" s="19" t="s">
        <v>107</v>
      </c>
    </row>
    <row r="218" spans="1:1" ht="20.100000000000001" customHeight="1" x14ac:dyDescent="0.2">
      <c r="A218" s="19" t="s">
        <v>108</v>
      </c>
    </row>
    <row r="219" spans="1:1" ht="20.100000000000001" customHeight="1" x14ac:dyDescent="0.2">
      <c r="A219" s="19" t="s">
        <v>109</v>
      </c>
    </row>
    <row r="220" spans="1:1" ht="20.100000000000001" customHeight="1" x14ac:dyDescent="0.2">
      <c r="A220" s="19" t="s">
        <v>110</v>
      </c>
    </row>
    <row r="221" spans="1:1" ht="20.100000000000001" customHeight="1" x14ac:dyDescent="0.2">
      <c r="A221" s="19" t="s">
        <v>111</v>
      </c>
    </row>
    <row r="222" spans="1:1" ht="20.100000000000001" customHeight="1" x14ac:dyDescent="0.2">
      <c r="A222" s="19" t="s">
        <v>112</v>
      </c>
    </row>
    <row r="223" spans="1:1" ht="20.100000000000001" customHeight="1" x14ac:dyDescent="0.2">
      <c r="A223" s="19" t="s">
        <v>113</v>
      </c>
    </row>
    <row r="224" spans="1:1" ht="20.100000000000001" customHeight="1" x14ac:dyDescent="0.2">
      <c r="A224" s="19" t="s">
        <v>114</v>
      </c>
    </row>
    <row r="225" spans="1:1" ht="20.100000000000001" customHeight="1" x14ac:dyDescent="0.2">
      <c r="A225" s="19" t="s">
        <v>115</v>
      </c>
    </row>
    <row r="226" spans="1:1" ht="20.100000000000001" customHeight="1" x14ac:dyDescent="0.2">
      <c r="A226" s="19" t="s">
        <v>116</v>
      </c>
    </row>
    <row r="227" spans="1:1" ht="20.100000000000001" customHeight="1" x14ac:dyDescent="0.2">
      <c r="A227" s="19" t="s">
        <v>117</v>
      </c>
    </row>
    <row r="228" spans="1:1" ht="20.100000000000001" customHeight="1" x14ac:dyDescent="0.2">
      <c r="A228" s="19" t="s">
        <v>118</v>
      </c>
    </row>
    <row r="229" spans="1:1" ht="20.100000000000001" customHeight="1" x14ac:dyDescent="0.2">
      <c r="A229" s="19" t="s">
        <v>119</v>
      </c>
    </row>
    <row r="230" spans="1:1" ht="20.100000000000001" customHeight="1" x14ac:dyDescent="0.2">
      <c r="A230" s="19" t="s">
        <v>120</v>
      </c>
    </row>
    <row r="231" spans="1:1" ht="20.100000000000001" customHeight="1" x14ac:dyDescent="0.2">
      <c r="A231" s="19" t="s">
        <v>121</v>
      </c>
    </row>
    <row r="232" spans="1:1" ht="20.100000000000001" customHeight="1" x14ac:dyDescent="0.2">
      <c r="A232" s="19" t="s">
        <v>122</v>
      </c>
    </row>
    <row r="233" spans="1:1" ht="20.100000000000001" customHeight="1" x14ac:dyDescent="0.2">
      <c r="A233" s="19" t="s">
        <v>123</v>
      </c>
    </row>
    <row r="234" spans="1:1" ht="20.100000000000001" customHeight="1" x14ac:dyDescent="0.2">
      <c r="A234" s="19" t="s">
        <v>124</v>
      </c>
    </row>
    <row r="235" spans="1:1" ht="20.100000000000001" customHeight="1" x14ac:dyDescent="0.2">
      <c r="A235" s="21" t="s">
        <v>125</v>
      </c>
    </row>
    <row r="236" spans="1:1" ht="20.100000000000001" customHeight="1" x14ac:dyDescent="0.2">
      <c r="A236" s="19" t="s">
        <v>126</v>
      </c>
    </row>
    <row r="237" spans="1:1" ht="20.100000000000001" customHeight="1" x14ac:dyDescent="0.2">
      <c r="A237" s="19" t="s">
        <v>127</v>
      </c>
    </row>
    <row r="238" spans="1:1" ht="20.100000000000001" customHeight="1" x14ac:dyDescent="0.2">
      <c r="A238" s="19" t="s">
        <v>128</v>
      </c>
    </row>
    <row r="239" spans="1:1" ht="20.100000000000001" customHeight="1" x14ac:dyDescent="0.2">
      <c r="A239" s="19" t="s">
        <v>129</v>
      </c>
    </row>
    <row r="240" spans="1:1" ht="20.100000000000001" customHeight="1" x14ac:dyDescent="0.2">
      <c r="A240" s="19" t="s">
        <v>130</v>
      </c>
    </row>
    <row r="241" spans="1:1" ht="20.100000000000001" customHeight="1" x14ac:dyDescent="0.2">
      <c r="A241" s="19" t="s">
        <v>131</v>
      </c>
    </row>
    <row r="242" spans="1:1" ht="20.100000000000001" customHeight="1" x14ac:dyDescent="0.2">
      <c r="A242" s="19" t="s">
        <v>132</v>
      </c>
    </row>
    <row r="243" spans="1:1" ht="20.100000000000001" customHeight="1" x14ac:dyDescent="0.2">
      <c r="A243" s="19" t="s">
        <v>133</v>
      </c>
    </row>
    <row r="244" spans="1:1" ht="20.100000000000001" customHeight="1" x14ac:dyDescent="0.2">
      <c r="A244" s="19" t="s">
        <v>134</v>
      </c>
    </row>
    <row r="245" spans="1:1" ht="20.100000000000001" customHeight="1" x14ac:dyDescent="0.2">
      <c r="A245" s="19" t="s">
        <v>135</v>
      </c>
    </row>
    <row r="246" spans="1:1" ht="20.100000000000001" customHeight="1" x14ac:dyDescent="0.2">
      <c r="A246" s="19" t="s">
        <v>136</v>
      </c>
    </row>
    <row r="247" spans="1:1" ht="20.100000000000001" customHeight="1" x14ac:dyDescent="0.2">
      <c r="A247" s="19" t="s">
        <v>127</v>
      </c>
    </row>
    <row r="248" spans="1:1" ht="20.100000000000001" customHeight="1" x14ac:dyDescent="0.2">
      <c r="A248" s="19" t="s">
        <v>137</v>
      </c>
    </row>
    <row r="249" spans="1:1" ht="20.100000000000001" customHeight="1" x14ac:dyDescent="0.2">
      <c r="A249" s="19" t="s">
        <v>138</v>
      </c>
    </row>
    <row r="250" spans="1:1" ht="20.100000000000001" customHeight="1" x14ac:dyDescent="0.2">
      <c r="A250" s="21" t="s">
        <v>139</v>
      </c>
    </row>
    <row r="251" spans="1:1" ht="20.100000000000001" customHeight="1" x14ac:dyDescent="0.2">
      <c r="A251" s="22" t="s">
        <v>140</v>
      </c>
    </row>
    <row r="252" spans="1:1" ht="20.100000000000001" customHeight="1" x14ac:dyDescent="0.2">
      <c r="A252" s="19" t="s">
        <v>141</v>
      </c>
    </row>
    <row r="253" spans="1:1" ht="20.100000000000001" customHeight="1" x14ac:dyDescent="0.2">
      <c r="A253" s="19" t="s">
        <v>142</v>
      </c>
    </row>
    <row r="254" spans="1:1" ht="20.100000000000001" customHeight="1" x14ac:dyDescent="0.2">
      <c r="A254" s="23" t="s">
        <v>143</v>
      </c>
    </row>
    <row r="255" spans="1:1" ht="20.100000000000001" customHeight="1" x14ac:dyDescent="0.2">
      <c r="A255" s="23" t="s">
        <v>144</v>
      </c>
    </row>
    <row r="256" spans="1:1" ht="20.100000000000001" customHeight="1" x14ac:dyDescent="0.2">
      <c r="A256" s="24" t="s">
        <v>145</v>
      </c>
    </row>
    <row r="257" spans="1:1" ht="20.100000000000001" customHeight="1" x14ac:dyDescent="0.2">
      <c r="A257" s="19" t="s">
        <v>146</v>
      </c>
    </row>
    <row r="258" spans="1:1" ht="20.100000000000001" customHeight="1" x14ac:dyDescent="0.2">
      <c r="A258" s="24" t="s">
        <v>147</v>
      </c>
    </row>
    <row r="259" spans="1:1" ht="20.100000000000001" customHeight="1" x14ac:dyDescent="0.2">
      <c r="A259" s="19" t="s">
        <v>148</v>
      </c>
    </row>
    <row r="260" spans="1:1" ht="20.100000000000001" customHeight="1" x14ac:dyDescent="0.2">
      <c r="A260" s="24" t="s">
        <v>149</v>
      </c>
    </row>
    <row r="261" spans="1:1" ht="20.100000000000001" customHeight="1" x14ac:dyDescent="0.2">
      <c r="A261" s="19" t="s">
        <v>150</v>
      </c>
    </row>
    <row r="262" spans="1:1" ht="20.100000000000001" customHeight="1" x14ac:dyDescent="0.2">
      <c r="A262" s="19" t="s">
        <v>151</v>
      </c>
    </row>
    <row r="263" spans="1:1" ht="20.100000000000001" customHeight="1" x14ac:dyDescent="0.2">
      <c r="A263" s="24" t="s">
        <v>152</v>
      </c>
    </row>
    <row r="264" spans="1:1" ht="20.100000000000001" customHeight="1" x14ac:dyDescent="0.2">
      <c r="A264" s="24" t="s">
        <v>153</v>
      </c>
    </row>
    <row r="265" spans="1:1" ht="20.100000000000001" customHeight="1" x14ac:dyDescent="0.2">
      <c r="A265" s="24" t="s">
        <v>154</v>
      </c>
    </row>
    <row r="266" spans="1:1" ht="20.100000000000001" customHeight="1" x14ac:dyDescent="0.2">
      <c r="A266" s="19" t="s">
        <v>155</v>
      </c>
    </row>
    <row r="267" spans="1:1" ht="20.100000000000001" customHeight="1" x14ac:dyDescent="0.2">
      <c r="A267" s="19" t="s">
        <v>156</v>
      </c>
    </row>
    <row r="268" spans="1:1" ht="20.100000000000001" customHeight="1" x14ac:dyDescent="0.2">
      <c r="A268" s="19" t="s">
        <v>157</v>
      </c>
    </row>
    <row r="269" spans="1:1" ht="20.100000000000001" customHeight="1" x14ac:dyDescent="0.2">
      <c r="A269" s="19" t="s">
        <v>158</v>
      </c>
    </row>
    <row r="270" spans="1:1" ht="20.100000000000001" customHeight="1" x14ac:dyDescent="0.2">
      <c r="A270" s="24" t="s">
        <v>159</v>
      </c>
    </row>
    <row r="271" spans="1:1" ht="20.100000000000001" customHeight="1" x14ac:dyDescent="0.2">
      <c r="A271" s="24" t="s">
        <v>160</v>
      </c>
    </row>
    <row r="272" spans="1:1" ht="20.100000000000001" customHeight="1" x14ac:dyDescent="0.2">
      <c r="A272" s="19" t="s">
        <v>161</v>
      </c>
    </row>
    <row r="273" spans="1:1" ht="20.100000000000001" customHeight="1" x14ac:dyDescent="0.2">
      <c r="A273" s="24" t="s">
        <v>162</v>
      </c>
    </row>
    <row r="274" spans="1:1" ht="20.100000000000001" customHeight="1" x14ac:dyDescent="0.2">
      <c r="A274" s="24" t="s">
        <v>163</v>
      </c>
    </row>
    <row r="275" spans="1:1" ht="20.100000000000001" customHeight="1" x14ac:dyDescent="0.2">
      <c r="A275" s="19" t="s">
        <v>164</v>
      </c>
    </row>
    <row r="276" spans="1:1" ht="20.100000000000001" customHeight="1" x14ac:dyDescent="0.2">
      <c r="A276" s="19" t="s">
        <v>165</v>
      </c>
    </row>
    <row r="277" spans="1:1" ht="20.100000000000001" customHeight="1" x14ac:dyDescent="0.2">
      <c r="A277" s="24" t="s">
        <v>166</v>
      </c>
    </row>
    <row r="278" spans="1:1" ht="20.100000000000001" customHeight="1" x14ac:dyDescent="0.2">
      <c r="A278" s="19" t="s">
        <v>167</v>
      </c>
    </row>
    <row r="279" spans="1:1" ht="20.100000000000001" customHeight="1" x14ac:dyDescent="0.2">
      <c r="A279" s="19" t="s">
        <v>168</v>
      </c>
    </row>
    <row r="280" spans="1:1" ht="20.100000000000001" customHeight="1" x14ac:dyDescent="0.2">
      <c r="A280" s="19" t="s">
        <v>169</v>
      </c>
    </row>
    <row r="281" spans="1:1" ht="20.100000000000001" customHeight="1" x14ac:dyDescent="0.2">
      <c r="A281" s="19" t="s">
        <v>170</v>
      </c>
    </row>
    <row r="282" spans="1:1" ht="20.100000000000001" customHeight="1" x14ac:dyDescent="0.2">
      <c r="A282" s="24" t="s">
        <v>171</v>
      </c>
    </row>
    <row r="283" spans="1:1" ht="20.100000000000001" customHeight="1" x14ac:dyDescent="0.2">
      <c r="A283" s="24" t="s">
        <v>172</v>
      </c>
    </row>
    <row r="284" spans="1:1" ht="20.100000000000001" customHeight="1" x14ac:dyDescent="0.2">
      <c r="A284" s="24" t="s">
        <v>173</v>
      </c>
    </row>
    <row r="285" spans="1:1" ht="20.100000000000001" customHeight="1" thickBot="1" x14ac:dyDescent="0.25">
      <c r="A285" s="19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2025-10-13T09:33:34Z</dcterms:modified>
</cp:coreProperties>
</file>