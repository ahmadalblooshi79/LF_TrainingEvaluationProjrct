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2F8311B-DE85-B946-8F82-77140FD56CB2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5" i="2"/>
  <c r="H25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<sst xmlns="http://schemas.openxmlformats.org/spreadsheetml/2006/main" count="278" uniqueCount="222">
  <si>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</si>
  <si>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</si>
  <si>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</si>
  <si>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</si>
  <si>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</si>
  <si>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</si>
  <si>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</si>
  <si>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</si>
  <si>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</si>
  <si>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</si>
  <si>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</si>
  <si>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</si>
  <si>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</si>
  <si>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</si>
  <si>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</si>
  <si>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</si>
  <si>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</si>
  <si>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</si>
  <si>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</si>
  <si>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</si>
  <si>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</si>
  <si>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</si>
  <si>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</si>
  <si>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</si>
  <si>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</si>
  <si>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</si>
  <si>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</si>
  <si>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</si>
  <si>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</si>
  <si>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</si>
  <si>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</si>
  <si>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</si>
  <si>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</si>
  <si>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</si>
  <si>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</si>
  <si>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</si>
  <si>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</si>
  <si>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</si>
  <si>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</si>
  <si>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</si>
  <si>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</si>
  <si>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</si>
  <si>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</si>
  <si>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</si>
  <si>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</si>
  <si>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</si>
  <si>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</si>
  <si>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</si>
  <si>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</si>
  <si>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</si>
  <si>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</si>
  <si>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</si>
  <si>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</si>
  <si>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</si>
  <si>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</si>
  <si>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</si>
  <si>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</si>
  <si>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</si>
  <si>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</si>
  <si>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</si>
  <si>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</si>
  <si>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</si>
  <si>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</si>
  <si>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</si>
  <si>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</si>
  <si>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</si>
  <si>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</si>
  <si>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</si>
  <si>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</si>
  <si>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</si>
  <si>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</si>
  <si>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</si>
  <si>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</si>
  <si>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</si>
  <si>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</si>
  <si>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</si>
  <si>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</si>
  <si>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</si>
  <si>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</si>
  <si>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</si>
  <si>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</si>
  <si>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</si>
  <si>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</si>
  <si>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</si>
  <si>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</si>
  <si>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</si>
  <si>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</si>
  <si>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</si>
  <si>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</si>
  <si>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</si>
  <si>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</si>
  <si>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</si>
  <si>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</si>
  <si>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</si>
  <si>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</si>
  <si>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</si>
  <si>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</si>
  <si>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</si>
  <si>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</si>
  <si>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</si>
  <si>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</si>
  <si>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</si>
  <si>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</si>
  <si>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</si>
  <si>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</si>
  <si>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</si>
  <si>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</si>
  <si>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</si>
  <si>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</si>
  <si>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</si>
  <si>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</si>
  <si>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</si>
  <si>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</si>
  <si>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</si>
  <si>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</si>
  <si>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</si>
  <si>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</si>
  <si>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</si>
  <si>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</si>
  <si>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</si>
  <si>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</si>
  <si>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</si>
  <si>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</si>
  <si>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</si>
  <si>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</si>
  <si>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</si>
  <si>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</si>
  <si>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</si>
  <si>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</si>
  <si>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</si>
  <si>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</si>
  <si>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</si>
  <si>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</si>
  <si>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</si>
  <si>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</si>
  <si>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</si>
  <si>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</si>
  <si>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</si>
  <si>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</si>
  <si>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</si>
  <si>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</si>
  <si>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</si>
  <si>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</si>
  <si>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</si>
  <si>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</si>
  <si>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</si>
  <si>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</si>
  <si>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</si>
  <si>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</si>
  <si>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</si>
  <si>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</si>
  <si>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</si>
  <si>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</si>
  <si>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</si>
  <si>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</si>
  <si>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</si>
  <si>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</si>
  <si>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</si>
  <si>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</si>
  <si>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</si>
  <si>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</si>
  <si>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</si>
  <si>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</si>
  <si>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</si>
  <si>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</si>
  <si>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</si>
  <si>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</si>
  <si>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</si>
  <si>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</si>
  <si>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</si>
  <si>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</si>
  <si>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</si>
  <si>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</si>
  <si>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</si>
  <si>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</si>
  <si>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إجراءات التخطيط.</t>
  </si>
  <si>
    <r>
      <t xml:space="preserve">أ.    البدء بالتخطيط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</si>
  <si>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t>ب.   تنفيذ الاستطلاع من الخارطة.</t>
  </si>
  <si>
    <t>جـ.   إعداد وتطوير خطة المناورة لتشمل ما يلي:</t>
  </si>
  <si>
    <t>(1)   التجميع للواجب بما يتلاءم مع المهمة.</t>
  </si>
  <si>
    <t>(2)   استخدام أحد الفصائل للعمل كقوة استطلاع إذا لم يكن هناك استطلاع تخصصي امام السرية.</t>
  </si>
  <si>
    <t>(3)   استخدام تشكيلة الحركة التي تُمكِّن من الانفتاح بسرعة والهجوم من أي اتجاه، وأن تكون الوحدات ضمن مسافات تمكنها من إسناد بعضها البعض لتسهيل رد الفعل.</t>
  </si>
  <si>
    <t xml:space="preserve">(4) 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</si>
  <si>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</si>
  <si>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  مراجعة إجراءات السيطرة الموضوعة من قبل الكتيبة/ مجموعة القتال وإضافة أي إجراءات سيطرة ضرورية على مستوى السرية. </t>
  </si>
  <si>
    <t>هـ.  تنسيق ومزامنة الوظائف القتالية التالية بناءً على متغيرات المهمة:</t>
  </si>
  <si>
    <t>(1)  إسناد النيران غير المباشرة.</t>
  </si>
  <si>
    <t>(2)  الإسناد الهندسي مع خطة المناورة.</t>
  </si>
  <si>
    <t>(3)  الإسناد الإداري قبل وأثناء العملية.</t>
  </si>
  <si>
    <t>إجراءات التحضير.</t>
  </si>
  <si>
    <t>أ.   تنقيح الخطة بناءً على التحديث المستمر للمعلومات الاستخبارية.</t>
  </si>
  <si>
    <t>ب.  تنفيذ تفقدات وتفتيشات ما قبل القتال.</t>
  </si>
  <si>
    <t>جـ.  التنسيق مع الوحدات المجاورة حسب الحاجة.</t>
  </si>
  <si>
    <t>أ.   أسلوب الحركة والتشكيلات.</t>
  </si>
  <si>
    <t>ب.  الإجراءات عند التماس.</t>
  </si>
  <si>
    <t>جـ.  التعامل مع الموانع.</t>
  </si>
  <si>
    <t>د.   إجراءات التحول للهجوم عند التماس مع العدو.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</si>
  <si>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</si>
  <si>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</si>
  <si>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</si>
  <si>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</si>
  <si>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</si>
  <si>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</si>
  <si>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</si>
  <si>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</si>
  <si>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</si>
  <si>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</si>
  <si>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</si>
  <si>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</si>
  <si>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>تستلم السرية الأمر من المستوى الأعلى لتنفيذ التقدم للتماس وتقوم بما يلي: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</si>
  <si>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إصدار أمر العمليات للوحدات المرؤوسة.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</si>
  <si>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تقوم قيادة السرية بالإشراف على الوحدات المرؤوسة أثناء تحضيرها للتقدم للتماس.</t>
    </r>
  </si>
  <si>
    <r>
      <t>2.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قيادة السرية الإجراءات التالية:</t>
    </r>
  </si>
  <si>
    <r>
      <t>3.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التجارب على تنفيذ المهمة لتشمل ما يلي: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</si>
  <si>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توضيع القوات لبدء الحركة حسب دورها في الخطة.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</si>
  <si>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منطقة التجمع حسب أولوية الحركة والخطة الموضوعة.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</si>
  <si>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</si>
  <si>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</si>
  <si>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</si>
  <si>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</si>
  <si>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</si>
  <si>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تقييم سرية فريق القتال المشاة الآلي/الدروع في الهجوم السريع</t>
    </r>
    <r>
      <rPr>
        <b/>
        <u/>
        <sz val="14"/>
        <color rgb="FF000000"/>
        <rFont val="Arial"/>
        <family val="2"/>
      </rPr>
      <t xml:space="preserve">
تمرين لعبات حرب مجموعة لواء الإمارات/1 (رياح الصحراء 2025/19)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</si>
</sst>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178655</xdr:colOff>
      <xdr:row>56</xdr:row>
      <xdr:rowOff>114780</xdr:rowOff>
    </xdr:from>
    <xdr:to>
      <xdr:col>9</xdr:col>
      <xdr:colOff>259994</xdr:colOff>
      <xdr:row>57</xdr:row>
      <xdr:rowOff>70875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0AC7355-FA3A-9213-F9E3-5713847FB6F0}"/>
                </a:ext>
              </a:extLst>
            </xdr14:cNvPr>
            <xdr14:cNvContentPartPr/>
          </xdr14:nvContentPartPr>
          <xdr14:nvPr macro=""/>
          <xdr14:xfrm>
            <a:off x="10398326825" y="27737280"/>
            <a:ext cx="1397520" cy="602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0AC7355-FA3A-9213-F9E3-5713847FB6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18185" y="27728280"/>
              <a:ext cx="1415160" cy="620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03:23.2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3881 630,'0'0,"0"0,0 0,0 0,0 0,0 0,0 0,0 0,0 0,0 0,0 0,0 0,0 0,0 0,0 0,0 0,0 0,0 0,-16 0,-32-16,40 14,-16-12,8 14,13 0,-106-32,-84-16,162 40,-114-32,-64-8,175 40,-140-16,-67-8,206 27,-170-22,-36 11,202 13,-162 6,-40 13,202-14,-178-4,-24 18,203-14,-164 28,-7-14,178-14,-130 28,0 2,136-27,-62 6,7 5,69-14,-42 12,5 2,40-13,-16-6,8 3,13 0,-10 0,13-16,0 14,48-12,48-18,-82 27,132-38,63-21,-180 55,198-46,46-9,-233 54,241-61,7 23,-242 41,181-34,30 9,-217 27,160 10,-40-5,-135 0,79 0,-8 16,-81-13,34 10,-17 3,-27-13,-10 26,21 3,-13-27,-6 22,-29 38,27-56,-70 110,-53 9,107-108,-119 104,-36 37,149-137,-123 144,-42 9,160-149,-80 88,15-20,83-81,-52 66,2 0,54-69,-12 24,22-4,0-27,16-10,16 21,-27-14,38 12,102-46,-123 27,132-38,55-22,-178 56,162-78,-193 87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B1" zoomScale="130" zoomScaleNormal="100" zoomScaleSheetLayoutView="130" workbookViewId="0">
      <selection activeCell="C3" sqref="C3:D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5" t="s">
        <v>221</v>
      </c>
      <c r="C1" s="55"/>
      <c r="D1" s="55"/>
      <c r="E1" s="55"/>
      <c r="F1" s="55"/>
      <c r="G1" s="55"/>
      <c r="H1" s="55"/>
      <c r="I1" s="55"/>
      <c r="J1" s="55"/>
    </row>
    <row r="2" spans="1:10" ht="30" customHeight="1" x14ac:dyDescent="0.2">
      <c r="B2" s="11" t="s">
        <v>8</v>
      </c>
      <c r="C2" s="61" t="s">
        <v>42</v>
      </c>
      <c r="D2" s="61"/>
      <c r="E2" s="11" t="s">
        <v>7</v>
      </c>
      <c r="F2" s="56">
        <v>45954</v>
      </c>
      <c r="G2" s="56"/>
      <c r="H2" s="56"/>
      <c r="I2" s="56"/>
      <c r="J2" s="56"/>
    </row>
    <row r="3" spans="1:10" ht="30" customHeight="1" x14ac:dyDescent="0.2">
      <c r="B3" s="11" t="s">
        <v>9</v>
      </c>
      <c r="C3" s="61" t="s">
        <v>83</v>
      </c>
      <c r="D3" s="61"/>
      <c r="E3" s="11" t="s">
        <v>6</v>
      </c>
      <c r="F3" s="61" t="s">
        <v>131</v>
      </c>
      <c r="G3" s="61"/>
      <c r="H3" s="61"/>
      <c r="I3" s="61"/>
      <c r="J3" s="6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7" t="s">
        <v>0</v>
      </c>
      <c r="C5" s="58"/>
      <c r="D5" s="58"/>
      <c r="E5" s="66" t="s">
        <v>1</v>
      </c>
      <c r="F5" s="66"/>
      <c r="G5" s="66"/>
      <c r="H5" s="66"/>
      <c r="I5" s="66" t="s">
        <v>2</v>
      </c>
      <c r="J5" s="67"/>
    </row>
    <row r="6" spans="1:10" ht="24.95" customHeight="1" thickBot="1" x14ac:dyDescent="0.25">
      <c r="A6" s="10"/>
      <c r="B6" s="59"/>
      <c r="C6" s="60"/>
      <c r="D6" s="60"/>
      <c r="E6" s="19" t="s">
        <v>3</v>
      </c>
      <c r="F6" s="19" t="s">
        <v>4</v>
      </c>
      <c r="G6" s="19" t="s">
        <v>23</v>
      </c>
      <c r="H6" s="19" t="s">
        <v>24</v>
      </c>
      <c r="I6" s="68"/>
      <c r="J6" s="69"/>
    </row>
    <row r="7" spans="1:10" ht="24.95" customHeight="1" thickBot="1" x14ac:dyDescent="0.25">
      <c r="A7" s="10"/>
      <c r="B7" s="64" t="s">
        <v>21</v>
      </c>
      <c r="C7" s="65"/>
      <c r="D7" s="65"/>
      <c r="E7" s="27" t="s">
        <v>18</v>
      </c>
      <c r="F7" s="27" t="s">
        <v>19</v>
      </c>
      <c r="G7" s="27" t="s">
        <v>22</v>
      </c>
      <c r="H7" s="27" t="s">
        <v>20</v>
      </c>
      <c r="I7" s="70" t="s">
        <v>25</v>
      </c>
      <c r="J7" s="71"/>
    </row>
    <row r="8" spans="1:10" ht="39.950000000000003" customHeight="1" x14ac:dyDescent="0.2">
      <c r="A8" s="10"/>
      <c r="B8" s="40" t="s">
        <v>175</v>
      </c>
      <c r="C8" s="41"/>
      <c r="D8" s="41"/>
      <c r="E8" s="41"/>
      <c r="F8" s="41"/>
      <c r="G8" s="41"/>
      <c r="H8" s="41"/>
      <c r="I8" s="41"/>
      <c r="J8" s="42"/>
    </row>
    <row r="9" spans="1:10" ht="39.950000000000003" customHeight="1" x14ac:dyDescent="0.2">
      <c r="A9" s="10"/>
      <c r="B9" s="43" t="s">
        <v>209</v>
      </c>
      <c r="C9" s="44"/>
      <c r="D9" s="44"/>
      <c r="E9" s="34"/>
      <c r="F9" s="18"/>
      <c r="G9" s="29"/>
      <c r="H9" s="30"/>
      <c r="I9" s="49"/>
      <c r="J9" s="50"/>
    </row>
    <row r="10" spans="1:10" ht="59.25" customHeight="1" x14ac:dyDescent="0.2">
      <c r="A10" s="10"/>
      <c r="B10" s="36" t="s">
        <v>176</v>
      </c>
      <c r="C10" s="37"/>
      <c r="D10" s="37"/>
      <c r="E10" s="9">
        <v>5</v>
      </c>
      <c r="F10" s="18">
        <v>3.5</v>
      </c>
      <c r="G10" s="29">
        <f t="shared" ref="G10:G52" si="0">IFERROR(F10/E10,"")</f>
        <v>0.7</v>
      </c>
      <c r="H10" s="30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9"/>
      <c r="J10" s="50"/>
    </row>
    <row r="11" spans="1:10" ht="39.950000000000003" customHeight="1" x14ac:dyDescent="0.2">
      <c r="A11" s="10"/>
      <c r="B11" s="36" t="s">
        <v>177</v>
      </c>
      <c r="C11" s="37"/>
      <c r="D11" s="37"/>
      <c r="E11" s="9">
        <v>5</v>
      </c>
      <c r="F11" s="35">
        <v>3.5</v>
      </c>
      <c r="G11" s="29">
        <f t="shared" si="0"/>
        <v>0.7</v>
      </c>
      <c r="H11" s="30" t="str">
        <f t="shared" si="1"/>
        <v>جيد</v>
      </c>
      <c r="I11" s="49"/>
      <c r="J11" s="50"/>
    </row>
    <row r="12" spans="1:10" ht="39.950000000000003" customHeight="1" x14ac:dyDescent="0.2">
      <c r="A12" s="10"/>
      <c r="B12" s="36" t="s">
        <v>178</v>
      </c>
      <c r="C12" s="37"/>
      <c r="D12" s="37"/>
      <c r="E12" s="34"/>
      <c r="F12" s="18"/>
      <c r="G12" s="29"/>
      <c r="H12" s="30"/>
      <c r="I12" s="49"/>
      <c r="J12" s="50"/>
    </row>
    <row r="13" spans="1:10" ht="39.950000000000003" customHeight="1" x14ac:dyDescent="0.2">
      <c r="A13" s="10"/>
      <c r="B13" s="51" t="s">
        <v>179</v>
      </c>
      <c r="C13" s="52"/>
      <c r="D13" s="52"/>
      <c r="E13" s="9">
        <v>5</v>
      </c>
      <c r="F13" s="18">
        <v>3.75</v>
      </c>
      <c r="G13" s="29">
        <f t="shared" si="0"/>
        <v>0.75</v>
      </c>
      <c r="H13" s="30" t="str">
        <f t="shared" si="1"/>
        <v>جيد</v>
      </c>
      <c r="I13" s="49"/>
      <c r="J13" s="50"/>
    </row>
    <row r="14" spans="1:10" ht="39.950000000000003" customHeight="1" x14ac:dyDescent="0.2">
      <c r="A14" s="10"/>
      <c r="B14" s="51" t="s">
        <v>180</v>
      </c>
      <c r="C14" s="52"/>
      <c r="D14" s="52"/>
      <c r="E14" s="9">
        <v>5</v>
      </c>
      <c r="F14" s="35">
        <v>3.75</v>
      </c>
      <c r="G14" s="29">
        <f t="shared" si="0"/>
        <v>0.75</v>
      </c>
      <c r="H14" s="30" t="str">
        <f t="shared" si="1"/>
        <v>جيد</v>
      </c>
      <c r="I14" s="49"/>
      <c r="J14" s="50"/>
    </row>
    <row r="15" spans="1:10" ht="54" customHeight="1" x14ac:dyDescent="0.2">
      <c r="A15" s="10"/>
      <c r="B15" s="51" t="s">
        <v>181</v>
      </c>
      <c r="C15" s="52"/>
      <c r="D15" s="52"/>
      <c r="E15" s="9">
        <v>5</v>
      </c>
      <c r="F15" s="35">
        <v>3.75</v>
      </c>
      <c r="G15" s="29">
        <f t="shared" si="0"/>
        <v>0.75</v>
      </c>
      <c r="H15" s="30" t="str">
        <f t="shared" si="1"/>
        <v>جيد</v>
      </c>
      <c r="I15" s="49"/>
      <c r="J15" s="50"/>
    </row>
    <row r="16" spans="1:10" ht="39.950000000000003" customHeight="1" x14ac:dyDescent="0.2">
      <c r="A16" s="10"/>
      <c r="B16" s="51" t="s">
        <v>182</v>
      </c>
      <c r="C16" s="52"/>
      <c r="D16" s="52"/>
      <c r="E16" s="9">
        <v>5</v>
      </c>
      <c r="F16" s="35">
        <v>3.75</v>
      </c>
      <c r="G16" s="29">
        <f t="shared" si="0"/>
        <v>0.75</v>
      </c>
      <c r="H16" s="30" t="str">
        <f t="shared" si="1"/>
        <v>جيد</v>
      </c>
      <c r="I16" s="49"/>
      <c r="J16" s="50"/>
    </row>
    <row r="17" spans="1:10" ht="39.950000000000003" customHeight="1" x14ac:dyDescent="0.2">
      <c r="A17" s="10"/>
      <c r="B17" s="51" t="s">
        <v>183</v>
      </c>
      <c r="C17" s="52"/>
      <c r="D17" s="52"/>
      <c r="E17" s="9">
        <v>5</v>
      </c>
      <c r="F17" s="35">
        <v>3.75</v>
      </c>
      <c r="G17" s="29">
        <f t="shared" si="0"/>
        <v>0.75</v>
      </c>
      <c r="H17" s="30" t="str">
        <f t="shared" si="1"/>
        <v>جيد</v>
      </c>
      <c r="I17" s="49"/>
      <c r="J17" s="50"/>
    </row>
    <row r="18" spans="1:10" ht="39.950000000000003" customHeight="1" x14ac:dyDescent="0.2">
      <c r="A18" s="10"/>
      <c r="B18" s="36" t="s">
        <v>184</v>
      </c>
      <c r="C18" s="37"/>
      <c r="D18" s="37"/>
      <c r="E18" s="9">
        <v>5</v>
      </c>
      <c r="F18" s="35">
        <v>3.75</v>
      </c>
      <c r="G18" s="29">
        <f t="shared" si="0"/>
        <v>0.75</v>
      </c>
      <c r="H18" s="30" t="str">
        <f t="shared" si="1"/>
        <v>جيد</v>
      </c>
      <c r="I18" s="49"/>
      <c r="J18" s="50"/>
    </row>
    <row r="19" spans="1:10" ht="39.950000000000003" customHeight="1" x14ac:dyDescent="0.2">
      <c r="A19" s="10"/>
      <c r="B19" s="36" t="s">
        <v>185</v>
      </c>
      <c r="C19" s="37"/>
      <c r="D19" s="37"/>
      <c r="E19" s="34"/>
      <c r="F19" s="18"/>
      <c r="G19" s="29"/>
      <c r="H19" s="30"/>
      <c r="I19" s="49"/>
      <c r="J19" s="50"/>
    </row>
    <row r="20" spans="1:10" ht="39.950000000000003" customHeight="1" x14ac:dyDescent="0.2">
      <c r="A20" s="10"/>
      <c r="B20" s="51" t="s">
        <v>186</v>
      </c>
      <c r="C20" s="52"/>
      <c r="D20" s="52"/>
      <c r="E20" s="9">
        <v>5</v>
      </c>
      <c r="F20" s="18">
        <v>4</v>
      </c>
      <c r="G20" s="29">
        <f t="shared" si="0"/>
        <v>0.8</v>
      </c>
      <c r="H20" s="30" t="str">
        <f t="shared" si="1"/>
        <v>جيد جداً</v>
      </c>
      <c r="I20" s="49"/>
      <c r="J20" s="50"/>
    </row>
    <row r="21" spans="1:10" ht="39.950000000000003" customHeight="1" x14ac:dyDescent="0.2">
      <c r="A21" s="10"/>
      <c r="B21" s="51" t="s">
        <v>187</v>
      </c>
      <c r="C21" s="52"/>
      <c r="D21" s="52"/>
      <c r="E21" s="9">
        <v>5</v>
      </c>
      <c r="F21" s="35">
        <v>4</v>
      </c>
      <c r="G21" s="29">
        <f t="shared" si="0"/>
        <v>0.8</v>
      </c>
      <c r="H21" s="30" t="str">
        <f t="shared" si="1"/>
        <v>جيد جداً</v>
      </c>
      <c r="I21" s="49"/>
      <c r="J21" s="50"/>
    </row>
    <row r="22" spans="1:10" ht="39.950000000000003" customHeight="1" x14ac:dyDescent="0.2">
      <c r="A22" s="10"/>
      <c r="B22" s="51" t="s">
        <v>188</v>
      </c>
      <c r="C22" s="52"/>
      <c r="D22" s="52"/>
      <c r="E22" s="9">
        <v>5</v>
      </c>
      <c r="F22" s="35">
        <v>4</v>
      </c>
      <c r="G22" s="29">
        <f t="shared" si="0"/>
        <v>0.8</v>
      </c>
      <c r="H22" s="30" t="str">
        <f t="shared" si="1"/>
        <v>جيد جداً</v>
      </c>
      <c r="I22" s="49"/>
      <c r="J22" s="50"/>
    </row>
    <row r="23" spans="1:10" ht="39.950000000000003" customHeight="1" thickBot="1" x14ac:dyDescent="0.25">
      <c r="A23" s="10"/>
      <c r="B23" s="45" t="s">
        <v>210</v>
      </c>
      <c r="C23" s="46"/>
      <c r="D23" s="46"/>
      <c r="E23" s="31">
        <v>5</v>
      </c>
      <c r="F23" s="35">
        <v>4</v>
      </c>
      <c r="G23" s="32">
        <f t="shared" si="0"/>
        <v>0.8</v>
      </c>
      <c r="H23" s="33" t="str">
        <f t="shared" si="1"/>
        <v>جيد جداً</v>
      </c>
      <c r="I23" s="53"/>
      <c r="J23" s="54"/>
    </row>
    <row r="24" spans="1:10" ht="39.950000000000003" customHeight="1" x14ac:dyDescent="0.2">
      <c r="A24" s="10"/>
      <c r="B24" s="40" t="s">
        <v>189</v>
      </c>
      <c r="C24" s="41"/>
      <c r="D24" s="41"/>
      <c r="E24" s="41"/>
      <c r="F24" s="41"/>
      <c r="G24" s="41"/>
      <c r="H24" s="41"/>
      <c r="I24" s="41"/>
      <c r="J24" s="42"/>
    </row>
    <row r="25" spans="1:10" ht="39.950000000000003" customHeight="1" x14ac:dyDescent="0.2">
      <c r="A25" s="10"/>
      <c r="B25" s="43" t="s">
        <v>211</v>
      </c>
      <c r="C25" s="44"/>
      <c r="D25" s="44"/>
      <c r="E25" s="9">
        <v>5</v>
      </c>
      <c r="F25" s="18">
        <v>4</v>
      </c>
      <c r="G25" s="29">
        <f t="shared" si="0"/>
        <v>0.8</v>
      </c>
      <c r="H25" s="30" t="str">
        <f t="shared" si="1"/>
        <v>جيد جداً</v>
      </c>
      <c r="I25" s="49"/>
      <c r="J25" s="50"/>
    </row>
    <row r="26" spans="1:10" ht="39.950000000000003" customHeight="1" x14ac:dyDescent="0.2">
      <c r="A26" s="10"/>
      <c r="B26" s="43" t="s">
        <v>212</v>
      </c>
      <c r="C26" s="44"/>
      <c r="D26" s="44"/>
      <c r="E26" s="34"/>
      <c r="F26" s="18"/>
      <c r="G26" s="29"/>
      <c r="H26" s="30"/>
      <c r="I26" s="49"/>
      <c r="J26" s="50"/>
    </row>
    <row r="27" spans="1:10" ht="39.950000000000003" customHeight="1" x14ac:dyDescent="0.2">
      <c r="A27" s="10"/>
      <c r="B27" s="36" t="s">
        <v>190</v>
      </c>
      <c r="C27" s="37"/>
      <c r="D27" s="37"/>
      <c r="E27" s="9">
        <v>5</v>
      </c>
      <c r="F27" s="18">
        <v>4</v>
      </c>
      <c r="G27" s="29">
        <f t="shared" si="0"/>
        <v>0.8</v>
      </c>
      <c r="H27" s="30" t="str">
        <f t="shared" si="1"/>
        <v>جيد جداً</v>
      </c>
      <c r="I27" s="49"/>
      <c r="J27" s="50"/>
    </row>
    <row r="28" spans="1:10" ht="39.950000000000003" customHeight="1" x14ac:dyDescent="0.2">
      <c r="A28" s="10"/>
      <c r="B28" s="36" t="s">
        <v>191</v>
      </c>
      <c r="C28" s="37"/>
      <c r="D28" s="37"/>
      <c r="E28" s="9">
        <v>5</v>
      </c>
      <c r="F28" s="35">
        <v>4</v>
      </c>
      <c r="G28" s="29">
        <f t="shared" si="0"/>
        <v>0.8</v>
      </c>
      <c r="H28" s="30" t="str">
        <f t="shared" si="1"/>
        <v>جيد جداً</v>
      </c>
      <c r="I28" s="49"/>
      <c r="J28" s="50"/>
    </row>
    <row r="29" spans="1:10" ht="39.950000000000003" customHeight="1" x14ac:dyDescent="0.2">
      <c r="A29" s="10"/>
      <c r="B29" s="36" t="s">
        <v>192</v>
      </c>
      <c r="C29" s="37"/>
      <c r="D29" s="37"/>
      <c r="E29" s="9">
        <v>5</v>
      </c>
      <c r="F29" s="35">
        <v>4</v>
      </c>
      <c r="G29" s="29">
        <f t="shared" si="0"/>
        <v>0.8</v>
      </c>
      <c r="H29" s="30" t="str">
        <f t="shared" si="1"/>
        <v>جيد جداً</v>
      </c>
      <c r="I29" s="49"/>
      <c r="J29" s="50"/>
    </row>
    <row r="30" spans="1:10" ht="39.950000000000003" customHeight="1" x14ac:dyDescent="0.2">
      <c r="A30" s="10"/>
      <c r="B30" s="43" t="s">
        <v>213</v>
      </c>
      <c r="C30" s="44"/>
      <c r="D30" s="44"/>
      <c r="E30" s="34"/>
      <c r="F30" s="18"/>
      <c r="G30" s="29"/>
      <c r="H30" s="30"/>
      <c r="I30" s="49"/>
      <c r="J30" s="50"/>
    </row>
    <row r="31" spans="1:10" ht="39.950000000000003" customHeight="1" x14ac:dyDescent="0.2">
      <c r="A31" s="10"/>
      <c r="B31" s="36" t="s">
        <v>193</v>
      </c>
      <c r="C31" s="37"/>
      <c r="D31" s="37"/>
      <c r="E31" s="9">
        <v>5</v>
      </c>
      <c r="F31" s="18">
        <v>3.5</v>
      </c>
      <c r="G31" s="29">
        <f t="shared" si="0"/>
        <v>0.7</v>
      </c>
      <c r="H31" s="30" t="str">
        <f t="shared" si="1"/>
        <v>جيد</v>
      </c>
      <c r="I31" s="49"/>
      <c r="J31" s="50"/>
    </row>
    <row r="32" spans="1:10" ht="39.950000000000003" customHeight="1" x14ac:dyDescent="0.2">
      <c r="A32" s="10"/>
      <c r="B32" s="36" t="s">
        <v>194</v>
      </c>
      <c r="C32" s="37"/>
      <c r="D32" s="37"/>
      <c r="E32" s="9">
        <v>5</v>
      </c>
      <c r="F32" s="35">
        <v>3.5</v>
      </c>
      <c r="G32" s="29">
        <f t="shared" si="0"/>
        <v>0.7</v>
      </c>
      <c r="H32" s="30" t="str">
        <f t="shared" si="1"/>
        <v>جيد</v>
      </c>
      <c r="I32" s="49"/>
      <c r="J32" s="50"/>
    </row>
    <row r="33" spans="1:10" ht="39.950000000000003" customHeight="1" x14ac:dyDescent="0.2">
      <c r="A33" s="10"/>
      <c r="B33" s="36" t="s">
        <v>195</v>
      </c>
      <c r="C33" s="37"/>
      <c r="D33" s="37"/>
      <c r="E33" s="9">
        <v>5</v>
      </c>
      <c r="F33" s="35">
        <v>3.5</v>
      </c>
      <c r="G33" s="29">
        <f t="shared" si="0"/>
        <v>0.7</v>
      </c>
      <c r="H33" s="30" t="str">
        <f t="shared" si="1"/>
        <v>جيد</v>
      </c>
      <c r="I33" s="49"/>
      <c r="J33" s="50"/>
    </row>
    <row r="34" spans="1:10" ht="39.950000000000003" customHeight="1" x14ac:dyDescent="0.2">
      <c r="A34" s="10"/>
      <c r="B34" s="36" t="s">
        <v>196</v>
      </c>
      <c r="C34" s="37"/>
      <c r="D34" s="37"/>
      <c r="E34" s="9">
        <v>5</v>
      </c>
      <c r="F34" s="35">
        <v>3.5</v>
      </c>
      <c r="G34" s="29">
        <f t="shared" si="0"/>
        <v>0.7</v>
      </c>
      <c r="H34" s="30" t="str">
        <f t="shared" si="1"/>
        <v>جيد</v>
      </c>
      <c r="I34" s="49"/>
      <c r="J34" s="50"/>
    </row>
    <row r="35" spans="1:10" ht="39.950000000000003" customHeight="1" thickBot="1" x14ac:dyDescent="0.25">
      <c r="A35" s="10"/>
      <c r="B35" s="45" t="s">
        <v>214</v>
      </c>
      <c r="C35" s="46"/>
      <c r="D35" s="46"/>
      <c r="E35" s="31">
        <v>5</v>
      </c>
      <c r="F35" s="35">
        <v>3.5</v>
      </c>
      <c r="G35" s="32">
        <f t="shared" si="0"/>
        <v>0.7</v>
      </c>
      <c r="H35" s="33" t="str">
        <f t="shared" si="1"/>
        <v>جيد</v>
      </c>
      <c r="I35" s="53"/>
      <c r="J35" s="54"/>
    </row>
    <row r="36" spans="1:10" ht="39.950000000000003" customHeight="1" x14ac:dyDescent="0.2">
      <c r="A36" s="10"/>
      <c r="B36" s="40" t="s">
        <v>197</v>
      </c>
      <c r="C36" s="41"/>
      <c r="D36" s="41"/>
      <c r="E36" s="41"/>
      <c r="F36" s="41"/>
      <c r="G36" s="41"/>
      <c r="H36" s="41"/>
      <c r="I36" s="41"/>
      <c r="J36" s="42"/>
    </row>
    <row r="37" spans="1:10" ht="39.950000000000003" customHeight="1" x14ac:dyDescent="0.2">
      <c r="A37" s="10"/>
      <c r="B37" s="43" t="s">
        <v>215</v>
      </c>
      <c r="C37" s="44"/>
      <c r="D37" s="44"/>
      <c r="E37" s="9">
        <v>5</v>
      </c>
      <c r="F37" s="18">
        <v>3.5</v>
      </c>
      <c r="G37" s="29">
        <f t="shared" si="0"/>
        <v>0.7</v>
      </c>
      <c r="H37" s="30" t="str">
        <f t="shared" si="1"/>
        <v>جيد</v>
      </c>
      <c r="I37" s="49"/>
      <c r="J37" s="50"/>
    </row>
    <row r="38" spans="1:10" ht="39.950000000000003" customHeight="1" x14ac:dyDescent="0.2">
      <c r="A38" s="10"/>
      <c r="B38" s="47" t="s">
        <v>216</v>
      </c>
      <c r="C38" s="48"/>
      <c r="D38" s="48"/>
      <c r="E38" s="9">
        <v>5</v>
      </c>
      <c r="F38" s="35">
        <v>3.5</v>
      </c>
      <c r="G38" s="29">
        <f t="shared" si="0"/>
        <v>0.7</v>
      </c>
      <c r="H38" s="30" t="str">
        <f t="shared" si="1"/>
        <v>جيد</v>
      </c>
      <c r="I38" s="49"/>
      <c r="J38" s="50"/>
    </row>
    <row r="39" spans="1:10" ht="39.950000000000003" customHeight="1" x14ac:dyDescent="0.2">
      <c r="A39" s="10"/>
      <c r="B39" s="47" t="s">
        <v>217</v>
      </c>
      <c r="C39" s="48"/>
      <c r="D39" s="48"/>
      <c r="E39" s="34"/>
      <c r="F39" s="18"/>
      <c r="G39" s="29"/>
      <c r="H39" s="30"/>
      <c r="I39" s="49"/>
      <c r="J39" s="50"/>
    </row>
    <row r="40" spans="1:10" ht="39.950000000000003" customHeight="1" x14ac:dyDescent="0.2">
      <c r="A40" s="10"/>
      <c r="B40" s="36" t="s">
        <v>198</v>
      </c>
      <c r="C40" s="37"/>
      <c r="D40" s="37"/>
      <c r="E40" s="9">
        <v>5</v>
      </c>
      <c r="F40" s="18">
        <v>3.5</v>
      </c>
      <c r="G40" s="29">
        <f t="shared" si="0"/>
        <v>0.7</v>
      </c>
      <c r="H40" s="30" t="str">
        <f t="shared" si="1"/>
        <v>جيد</v>
      </c>
      <c r="I40" s="49"/>
      <c r="J40" s="50"/>
    </row>
    <row r="41" spans="1:10" ht="39.950000000000003" customHeight="1" x14ac:dyDescent="0.2">
      <c r="A41" s="10"/>
      <c r="B41" s="36" t="s">
        <v>199</v>
      </c>
      <c r="C41" s="37"/>
      <c r="D41" s="37"/>
      <c r="E41" s="9">
        <v>5</v>
      </c>
      <c r="F41" s="35">
        <v>3.5</v>
      </c>
      <c r="G41" s="29">
        <f t="shared" si="0"/>
        <v>0.7</v>
      </c>
      <c r="H41" s="30" t="str">
        <f t="shared" si="1"/>
        <v>جيد</v>
      </c>
      <c r="I41" s="49"/>
      <c r="J41" s="50"/>
    </row>
    <row r="42" spans="1:10" ht="39.950000000000003" customHeight="1" x14ac:dyDescent="0.2">
      <c r="A42" s="10"/>
      <c r="B42" s="36" t="s">
        <v>200</v>
      </c>
      <c r="C42" s="37"/>
      <c r="D42" s="37"/>
      <c r="E42" s="9">
        <v>5</v>
      </c>
      <c r="F42" s="35">
        <v>3.5</v>
      </c>
      <c r="G42" s="29">
        <f t="shared" si="0"/>
        <v>0.7</v>
      </c>
      <c r="H42" s="30" t="str">
        <f t="shared" si="1"/>
        <v>جيد</v>
      </c>
      <c r="I42" s="49"/>
      <c r="J42" s="50"/>
    </row>
    <row r="43" spans="1:10" ht="39.950000000000003" customHeight="1" x14ac:dyDescent="0.2">
      <c r="A43" s="10"/>
      <c r="B43" s="36" t="s">
        <v>201</v>
      </c>
      <c r="C43" s="37"/>
      <c r="D43" s="37"/>
      <c r="E43" s="9">
        <v>5</v>
      </c>
      <c r="F43" s="35">
        <v>3.5</v>
      </c>
      <c r="G43" s="29">
        <f t="shared" si="0"/>
        <v>0.7</v>
      </c>
      <c r="H43" s="30" t="str">
        <f t="shared" si="1"/>
        <v>جيد</v>
      </c>
      <c r="I43" s="49"/>
      <c r="J43" s="50"/>
    </row>
    <row r="44" spans="1:10" ht="39.950000000000003" customHeight="1" x14ac:dyDescent="0.2">
      <c r="A44" s="10"/>
      <c r="B44" s="36" t="s">
        <v>202</v>
      </c>
      <c r="C44" s="37"/>
      <c r="D44" s="37"/>
      <c r="E44" s="9">
        <v>5</v>
      </c>
      <c r="F44" s="35">
        <v>3.5</v>
      </c>
      <c r="G44" s="29">
        <f t="shared" si="0"/>
        <v>0.7</v>
      </c>
      <c r="H44" s="30" t="str">
        <f t="shared" si="1"/>
        <v>جيد</v>
      </c>
      <c r="I44" s="49"/>
      <c r="J44" s="50"/>
    </row>
    <row r="45" spans="1:10" ht="39.950000000000003" customHeight="1" x14ac:dyDescent="0.2">
      <c r="A45" s="10"/>
      <c r="B45" s="43" t="s">
        <v>218</v>
      </c>
      <c r="C45" s="44"/>
      <c r="D45" s="44"/>
      <c r="E45" s="9"/>
      <c r="F45" s="18"/>
      <c r="G45" s="29"/>
      <c r="H45" s="30"/>
      <c r="I45" s="49"/>
      <c r="J45" s="50"/>
    </row>
    <row r="46" spans="1:10" ht="39.950000000000003" customHeight="1" x14ac:dyDescent="0.2">
      <c r="A46" s="10"/>
      <c r="B46" s="36" t="s">
        <v>203</v>
      </c>
      <c r="C46" s="37"/>
      <c r="D46" s="37"/>
      <c r="E46" s="9">
        <v>5</v>
      </c>
      <c r="F46" s="18">
        <v>3.75</v>
      </c>
      <c r="G46" s="29">
        <f t="shared" si="0"/>
        <v>0.75</v>
      </c>
      <c r="H46" s="30" t="str">
        <f t="shared" si="1"/>
        <v>جيد</v>
      </c>
      <c r="I46" s="49"/>
      <c r="J46" s="50"/>
    </row>
    <row r="47" spans="1:10" ht="39.950000000000003" customHeight="1" x14ac:dyDescent="0.2">
      <c r="A47" s="10"/>
      <c r="B47" s="36" t="s">
        <v>204</v>
      </c>
      <c r="C47" s="37"/>
      <c r="D47" s="37"/>
      <c r="E47" s="9">
        <v>5</v>
      </c>
      <c r="F47" s="35">
        <v>3.75</v>
      </c>
      <c r="G47" s="29">
        <f t="shared" si="0"/>
        <v>0.75</v>
      </c>
      <c r="H47" s="30" t="str">
        <f t="shared" si="1"/>
        <v>جيد</v>
      </c>
      <c r="I47" s="49"/>
      <c r="J47" s="50"/>
    </row>
    <row r="48" spans="1:10" ht="39.950000000000003" customHeight="1" x14ac:dyDescent="0.2">
      <c r="A48" s="10"/>
      <c r="B48" s="36" t="s">
        <v>205</v>
      </c>
      <c r="C48" s="37"/>
      <c r="D48" s="37"/>
      <c r="E48" s="9">
        <v>5</v>
      </c>
      <c r="F48" s="35">
        <v>3.75</v>
      </c>
      <c r="G48" s="29">
        <f t="shared" si="0"/>
        <v>0.75</v>
      </c>
      <c r="H48" s="30" t="str">
        <f t="shared" si="1"/>
        <v>جيد</v>
      </c>
      <c r="I48" s="49"/>
      <c r="J48" s="50"/>
    </row>
    <row r="49" spans="1:10" ht="39.950000000000003" customHeight="1" x14ac:dyDescent="0.2">
      <c r="A49" s="10"/>
      <c r="B49" s="36" t="s">
        <v>206</v>
      </c>
      <c r="C49" s="37"/>
      <c r="D49" s="37"/>
      <c r="E49" s="9">
        <v>5</v>
      </c>
      <c r="F49" s="35">
        <v>3.75</v>
      </c>
      <c r="G49" s="29">
        <f t="shared" si="0"/>
        <v>0.75</v>
      </c>
      <c r="H49" s="30" t="str">
        <f t="shared" si="1"/>
        <v>جيد</v>
      </c>
      <c r="I49" s="49"/>
      <c r="J49" s="50"/>
    </row>
    <row r="50" spans="1:10" ht="39.950000000000003" customHeight="1" x14ac:dyDescent="0.2">
      <c r="A50" s="10"/>
      <c r="B50" s="36" t="s">
        <v>207</v>
      </c>
      <c r="C50" s="37"/>
      <c r="D50" s="37"/>
      <c r="E50" s="9">
        <v>5</v>
      </c>
      <c r="F50" s="35">
        <v>3.75</v>
      </c>
      <c r="G50" s="29">
        <f t="shared" si="0"/>
        <v>0.75</v>
      </c>
      <c r="H50" s="30" t="str">
        <f t="shared" si="1"/>
        <v>جيد</v>
      </c>
      <c r="I50" s="49"/>
      <c r="J50" s="50"/>
    </row>
    <row r="51" spans="1:10" ht="39.950000000000003" customHeight="1" x14ac:dyDescent="0.2">
      <c r="A51" s="10"/>
      <c r="B51" s="36" t="s">
        <v>208</v>
      </c>
      <c r="C51" s="37"/>
      <c r="D51" s="37"/>
      <c r="E51" s="9">
        <v>5</v>
      </c>
      <c r="F51" s="35">
        <v>3.75</v>
      </c>
      <c r="G51" s="29">
        <f t="shared" si="0"/>
        <v>0.75</v>
      </c>
      <c r="H51" s="30" t="str">
        <f t="shared" si="1"/>
        <v>جيد</v>
      </c>
      <c r="I51" s="49"/>
      <c r="J51" s="50"/>
    </row>
    <row r="52" spans="1:10" ht="39.950000000000003" customHeight="1" thickBot="1" x14ac:dyDescent="0.25">
      <c r="A52" s="10"/>
      <c r="B52" s="38" t="s">
        <v>219</v>
      </c>
      <c r="C52" s="39"/>
      <c r="D52" s="39"/>
      <c r="E52" s="31">
        <v>5</v>
      </c>
      <c r="F52" s="35">
        <v>3.75</v>
      </c>
      <c r="G52" s="32">
        <f t="shared" si="0"/>
        <v>0.75</v>
      </c>
      <c r="H52" s="33" t="str">
        <f t="shared" si="1"/>
        <v>جيد</v>
      </c>
      <c r="I52" s="53"/>
      <c r="J52" s="54"/>
    </row>
    <row r="53" spans="1:10" ht="30" customHeight="1" thickBot="1" x14ac:dyDescent="0.25">
      <c r="A53" s="4"/>
      <c r="B53" s="78" t="s">
        <v>5</v>
      </c>
      <c r="C53" s="79"/>
      <c r="D53" s="79"/>
      <c r="E53" s="28">
        <f>SUM(E8:E52)</f>
        <v>175</v>
      </c>
      <c r="F53" s="28">
        <f>SUM(F8:F52)</f>
        <v>129.75</v>
      </c>
      <c r="G53" s="84"/>
      <c r="H53" s="85"/>
      <c r="I53" s="85"/>
      <c r="J53" s="86"/>
    </row>
    <row r="54" spans="1:10" ht="30" customHeight="1" thickBot="1" x14ac:dyDescent="0.25">
      <c r="A54" s="4"/>
      <c r="B54" s="80" t="s">
        <v>54</v>
      </c>
      <c r="C54" s="81"/>
      <c r="D54" s="81"/>
      <c r="E54" s="62">
        <f>F53/E53/100*100</f>
        <v>0.74142857142857144</v>
      </c>
      <c r="F54" s="62"/>
      <c r="G54" s="62"/>
      <c r="H54" s="62"/>
      <c r="I54" s="62"/>
      <c r="J54" s="63"/>
    </row>
    <row r="55" spans="1:10" ht="30" customHeight="1" thickBot="1" x14ac:dyDescent="0.25">
      <c r="A55" s="4"/>
      <c r="B55" s="80" t="s">
        <v>55</v>
      </c>
      <c r="C55" s="81"/>
      <c r="D55" s="81"/>
      <c r="E55" s="76" t="str">
        <f>_xlfn.IFS(E54&gt;=90%,"ممتاز",E54&gt;=80%,"جيد جداً",E54&gt;=70%,"جيد",E54&gt;=60%,"مقبول",E54&lt;60%,"راسب")</f>
        <v>جيد</v>
      </c>
      <c r="F55" s="76"/>
      <c r="G55" s="76"/>
      <c r="H55" s="76"/>
      <c r="I55" s="76"/>
      <c r="J55" s="77"/>
    </row>
    <row r="56" spans="1:10" ht="42" customHeight="1" x14ac:dyDescent="0.2">
      <c r="B56" s="72" t="s">
        <v>220</v>
      </c>
      <c r="C56" s="72"/>
      <c r="D56" s="72"/>
      <c r="E56" s="82" t="s">
        <v>52</v>
      </c>
      <c r="F56" s="82"/>
      <c r="G56" s="74" t="s">
        <v>59</v>
      </c>
      <c r="H56" s="74"/>
      <c r="I56" s="74"/>
      <c r="J56" s="74"/>
    </row>
    <row r="57" spans="1:10" ht="51" customHeight="1" x14ac:dyDescent="0.2">
      <c r="A57" s="5"/>
      <c r="B57" s="73"/>
      <c r="C57" s="73"/>
      <c r="D57" s="73"/>
      <c r="E57" s="83" t="s">
        <v>53</v>
      </c>
      <c r="F57" s="83"/>
      <c r="G57" s="75"/>
      <c r="H57" s="75"/>
      <c r="I57" s="75"/>
      <c r="J57" s="7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B53:D53"/>
    <mergeCell ref="B54:D54"/>
    <mergeCell ref="B55:D55"/>
    <mergeCell ref="E56:F56"/>
    <mergeCell ref="E57:F57"/>
    <mergeCell ref="G53:J53"/>
    <mergeCell ref="I45:J45"/>
    <mergeCell ref="I46:J46"/>
    <mergeCell ref="I47:J47"/>
    <mergeCell ref="I48:J48"/>
    <mergeCell ref="B40:D40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11:J11"/>
    <mergeCell ref="I12:J12"/>
    <mergeCell ref="I13:J13"/>
    <mergeCell ref="I26:J26"/>
    <mergeCell ref="I27:J27"/>
    <mergeCell ref="I28:J28"/>
    <mergeCell ref="B1:J1"/>
    <mergeCell ref="F2:J2"/>
    <mergeCell ref="B5:D6"/>
    <mergeCell ref="C2:D2"/>
    <mergeCell ref="C3:D3"/>
    <mergeCell ref="F3:J3"/>
    <mergeCell ref="I29:J29"/>
    <mergeCell ref="B9:D9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23:D23"/>
    <mergeCell ref="B25:D25"/>
    <mergeCell ref="B24:J24"/>
    <mergeCell ref="B26:D26"/>
    <mergeCell ref="B27:D27"/>
    <mergeCell ref="B28:D28"/>
    <mergeCell ref="B29:D29"/>
    <mergeCell ref="I19:J19"/>
    <mergeCell ref="I20:J20"/>
    <mergeCell ref="I21:J21"/>
    <mergeCell ref="I22:J22"/>
    <mergeCell ref="I23:J23"/>
    <mergeCell ref="I25:J25"/>
    <mergeCell ref="B8:J8"/>
    <mergeCell ref="I9:J9"/>
    <mergeCell ref="I14:J14"/>
    <mergeCell ref="I15:J15"/>
    <mergeCell ref="I16:J16"/>
    <mergeCell ref="B17:D17"/>
    <mergeCell ref="B18:D18"/>
    <mergeCell ref="B19:D19"/>
    <mergeCell ref="B20:D20"/>
    <mergeCell ref="I17:J17"/>
    <mergeCell ref="I18:J18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B49:D49"/>
    <mergeCell ref="B50:D50"/>
    <mergeCell ref="B51:D51"/>
    <mergeCell ref="B52:D52"/>
    <mergeCell ref="B41:D41"/>
    <mergeCell ref="B42:D42"/>
    <mergeCell ref="B43:D43"/>
    <mergeCell ref="B36:J36"/>
    <mergeCell ref="B44:D44"/>
    <mergeCell ref="B45:D45"/>
    <mergeCell ref="B46:D46"/>
    <mergeCell ref="B47:D47"/>
    <mergeCell ref="B48:D48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5 F37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5 H37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F46:F52 F40:F44 F37:F38 F31:F35 F27:F29 F25 F20:F23 F13:F18 F10:F11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G56:J56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102</v>
      </c>
    </row>
    <row r="213" spans="1:1" ht="20.100000000000001" customHeight="1" x14ac:dyDescent="0.2">
      <c r="A213" s="21" t="s">
        <v>103</v>
      </c>
    </row>
    <row r="214" spans="1:1" ht="20.100000000000001" customHeight="1" x14ac:dyDescent="0.2">
      <c r="A214" s="21" t="s">
        <v>104</v>
      </c>
    </row>
    <row r="215" spans="1:1" ht="20.100000000000001" customHeight="1" x14ac:dyDescent="0.2">
      <c r="A215" s="21" t="s">
        <v>105</v>
      </c>
    </row>
    <row r="216" spans="1:1" ht="20.100000000000001" customHeight="1" x14ac:dyDescent="0.2">
      <c r="A216" s="21" t="s">
        <v>106</v>
      </c>
    </row>
    <row r="217" spans="1:1" ht="20.100000000000001" customHeight="1" x14ac:dyDescent="0.2">
      <c r="A217" s="21" t="s">
        <v>107</v>
      </c>
    </row>
    <row r="218" spans="1:1" ht="20.100000000000001" customHeight="1" x14ac:dyDescent="0.2">
      <c r="A218" s="21" t="s">
        <v>108</v>
      </c>
    </row>
    <row r="219" spans="1:1" ht="20.100000000000001" customHeight="1" x14ac:dyDescent="0.2">
      <c r="A219" s="21" t="s">
        <v>109</v>
      </c>
    </row>
    <row r="220" spans="1:1" ht="20.100000000000001" customHeight="1" x14ac:dyDescent="0.2">
      <c r="A220" s="21" t="s">
        <v>110</v>
      </c>
    </row>
    <row r="221" spans="1:1" ht="20.100000000000001" customHeight="1" x14ac:dyDescent="0.2">
      <c r="A221" s="21" t="s">
        <v>111</v>
      </c>
    </row>
    <row r="222" spans="1:1" ht="20.100000000000001" customHeight="1" x14ac:dyDescent="0.2">
      <c r="A222" s="21" t="s">
        <v>112</v>
      </c>
    </row>
    <row r="223" spans="1:1" ht="20.100000000000001" customHeight="1" x14ac:dyDescent="0.2">
      <c r="A223" s="21" t="s">
        <v>113</v>
      </c>
    </row>
    <row r="224" spans="1:1" ht="20.100000000000001" customHeight="1" x14ac:dyDescent="0.2">
      <c r="A224" s="21" t="s">
        <v>114</v>
      </c>
    </row>
    <row r="225" spans="1:1" ht="20.100000000000001" customHeight="1" x14ac:dyDescent="0.2">
      <c r="A225" s="21" t="s">
        <v>115</v>
      </c>
    </row>
    <row r="226" spans="1:1" ht="20.100000000000001" customHeight="1" x14ac:dyDescent="0.2">
      <c r="A226" s="21" t="s">
        <v>116</v>
      </c>
    </row>
    <row r="227" spans="1:1" ht="20.100000000000001" customHeight="1" x14ac:dyDescent="0.2">
      <c r="A227" s="21" t="s">
        <v>117</v>
      </c>
    </row>
    <row r="228" spans="1:1" ht="20.100000000000001" customHeight="1" x14ac:dyDescent="0.2">
      <c r="A228" s="21" t="s">
        <v>118</v>
      </c>
    </row>
    <row r="229" spans="1:1" ht="20.100000000000001" customHeight="1" x14ac:dyDescent="0.2">
      <c r="A229" s="21" t="s">
        <v>119</v>
      </c>
    </row>
    <row r="230" spans="1:1" ht="20.100000000000001" customHeight="1" x14ac:dyDescent="0.2">
      <c r="A230" s="21" t="s">
        <v>120</v>
      </c>
    </row>
    <row r="231" spans="1:1" ht="20.100000000000001" customHeight="1" x14ac:dyDescent="0.2">
      <c r="A231" s="21" t="s">
        <v>121</v>
      </c>
    </row>
    <row r="232" spans="1:1" ht="20.100000000000001" customHeight="1" x14ac:dyDescent="0.2">
      <c r="A232" s="21" t="s">
        <v>122</v>
      </c>
    </row>
    <row r="233" spans="1:1" ht="20.100000000000001" customHeight="1" x14ac:dyDescent="0.2">
      <c r="A233" s="21" t="s">
        <v>123</v>
      </c>
    </row>
    <row r="234" spans="1:1" ht="20.100000000000001" customHeight="1" x14ac:dyDescent="0.2">
      <c r="A234" s="21" t="s">
        <v>124</v>
      </c>
    </row>
    <row r="235" spans="1:1" ht="20.100000000000001" customHeight="1" x14ac:dyDescent="0.2">
      <c r="A235" s="23" t="s">
        <v>125</v>
      </c>
    </row>
    <row r="236" spans="1:1" ht="20.100000000000001" customHeight="1" x14ac:dyDescent="0.2">
      <c r="A236" s="21" t="s">
        <v>126</v>
      </c>
    </row>
    <row r="237" spans="1:1" ht="20.100000000000001" customHeight="1" x14ac:dyDescent="0.2">
      <c r="A237" s="21" t="s">
        <v>127</v>
      </c>
    </row>
    <row r="238" spans="1:1" ht="20.100000000000001" customHeight="1" x14ac:dyDescent="0.2">
      <c r="A238" s="21" t="s">
        <v>128</v>
      </c>
    </row>
    <row r="239" spans="1:1" ht="20.100000000000001" customHeight="1" x14ac:dyDescent="0.2">
      <c r="A239" s="21" t="s">
        <v>129</v>
      </c>
    </row>
    <row r="240" spans="1:1" ht="20.100000000000001" customHeight="1" x14ac:dyDescent="0.2">
      <c r="A240" s="21" t="s">
        <v>130</v>
      </c>
    </row>
    <row r="241" spans="1:1" ht="20.100000000000001" customHeight="1" x14ac:dyDescent="0.2">
      <c r="A241" s="21" t="s">
        <v>131</v>
      </c>
    </row>
    <row r="242" spans="1:1" ht="20.100000000000001" customHeight="1" x14ac:dyDescent="0.2">
      <c r="A242" s="21" t="s">
        <v>132</v>
      </c>
    </row>
    <row r="243" spans="1:1" ht="20.100000000000001" customHeight="1" x14ac:dyDescent="0.2">
      <c r="A243" s="21" t="s">
        <v>133</v>
      </c>
    </row>
    <row r="244" spans="1:1" ht="20.100000000000001" customHeight="1" x14ac:dyDescent="0.2">
      <c r="A244" s="21" t="s">
        <v>134</v>
      </c>
    </row>
    <row r="245" spans="1:1" ht="20.100000000000001" customHeight="1" x14ac:dyDescent="0.2">
      <c r="A245" s="21" t="s">
        <v>135</v>
      </c>
    </row>
    <row r="246" spans="1:1" ht="20.100000000000001" customHeight="1" x14ac:dyDescent="0.2">
      <c r="A246" s="21" t="s">
        <v>136</v>
      </c>
    </row>
    <row r="247" spans="1:1" ht="20.100000000000001" customHeight="1" x14ac:dyDescent="0.2">
      <c r="A247" s="21" t="s">
        <v>127</v>
      </c>
    </row>
    <row r="248" spans="1:1" ht="20.100000000000001" customHeight="1" x14ac:dyDescent="0.2">
      <c r="A248" s="21" t="s">
        <v>137</v>
      </c>
    </row>
    <row r="249" spans="1:1" ht="20.100000000000001" customHeight="1" x14ac:dyDescent="0.2">
      <c r="A249" s="21" t="s">
        <v>138</v>
      </c>
    </row>
    <row r="250" spans="1:1" ht="20.100000000000001" customHeight="1" x14ac:dyDescent="0.2">
      <c r="A250" s="23" t="s">
        <v>139</v>
      </c>
    </row>
    <row r="251" spans="1:1" ht="20.100000000000001" customHeight="1" x14ac:dyDescent="0.2">
      <c r="A251" s="24" t="s">
        <v>140</v>
      </c>
    </row>
    <row r="252" spans="1:1" ht="20.100000000000001" customHeight="1" x14ac:dyDescent="0.2">
      <c r="A252" s="21" t="s">
        <v>141</v>
      </c>
    </row>
    <row r="253" spans="1:1" ht="20.100000000000001" customHeight="1" x14ac:dyDescent="0.2">
      <c r="A253" s="21" t="s">
        <v>142</v>
      </c>
    </row>
    <row r="254" spans="1:1" ht="20.100000000000001" customHeight="1" x14ac:dyDescent="0.2">
      <c r="A254" s="25" t="s">
        <v>143</v>
      </c>
    </row>
    <row r="255" spans="1:1" ht="20.100000000000001" customHeight="1" x14ac:dyDescent="0.2">
      <c r="A255" s="25" t="s">
        <v>144</v>
      </c>
    </row>
    <row r="256" spans="1:1" ht="20.100000000000001" customHeight="1" x14ac:dyDescent="0.2">
      <c r="A256" s="26" t="s">
        <v>145</v>
      </c>
    </row>
    <row r="257" spans="1:1" ht="20.100000000000001" customHeight="1" x14ac:dyDescent="0.2">
      <c r="A257" s="21" t="s">
        <v>146</v>
      </c>
    </row>
    <row r="258" spans="1:1" ht="20.100000000000001" customHeight="1" x14ac:dyDescent="0.2">
      <c r="A258" s="26" t="s">
        <v>147</v>
      </c>
    </row>
    <row r="259" spans="1:1" ht="20.100000000000001" customHeight="1" x14ac:dyDescent="0.2">
      <c r="A259" s="21" t="s">
        <v>148</v>
      </c>
    </row>
    <row r="260" spans="1:1" ht="20.100000000000001" customHeight="1" x14ac:dyDescent="0.2">
      <c r="A260" s="26" t="s">
        <v>149</v>
      </c>
    </row>
    <row r="261" spans="1:1" ht="20.100000000000001" customHeight="1" x14ac:dyDescent="0.2">
      <c r="A261" s="21" t="s">
        <v>150</v>
      </c>
    </row>
    <row r="262" spans="1:1" ht="20.100000000000001" customHeight="1" x14ac:dyDescent="0.2">
      <c r="A262" s="21" t="s">
        <v>151</v>
      </c>
    </row>
    <row r="263" spans="1:1" ht="20.100000000000001" customHeight="1" x14ac:dyDescent="0.2">
      <c r="A263" s="26" t="s">
        <v>152</v>
      </c>
    </row>
    <row r="264" spans="1:1" ht="20.100000000000001" customHeight="1" x14ac:dyDescent="0.2">
      <c r="A264" s="26" t="s">
        <v>153</v>
      </c>
    </row>
    <row r="265" spans="1:1" ht="20.100000000000001" customHeight="1" x14ac:dyDescent="0.2">
      <c r="A265" s="26" t="s">
        <v>154</v>
      </c>
    </row>
    <row r="266" spans="1:1" ht="20.100000000000001" customHeight="1" x14ac:dyDescent="0.2">
      <c r="A266" s="21" t="s">
        <v>155</v>
      </c>
    </row>
    <row r="267" spans="1:1" ht="20.100000000000001" customHeight="1" x14ac:dyDescent="0.2">
      <c r="A267" s="21" t="s">
        <v>156</v>
      </c>
    </row>
    <row r="268" spans="1:1" ht="20.100000000000001" customHeight="1" x14ac:dyDescent="0.2">
      <c r="A268" s="21" t="s">
        <v>157</v>
      </c>
    </row>
    <row r="269" spans="1:1" ht="20.100000000000001" customHeight="1" x14ac:dyDescent="0.2">
      <c r="A269" s="21" t="s">
        <v>158</v>
      </c>
    </row>
    <row r="270" spans="1:1" ht="20.100000000000001" customHeight="1" x14ac:dyDescent="0.2">
      <c r="A270" s="26" t="s">
        <v>159</v>
      </c>
    </row>
    <row r="271" spans="1:1" ht="20.100000000000001" customHeight="1" x14ac:dyDescent="0.2">
      <c r="A271" s="26" t="s">
        <v>160</v>
      </c>
    </row>
    <row r="272" spans="1:1" ht="20.100000000000001" customHeight="1" x14ac:dyDescent="0.2">
      <c r="A272" s="21" t="s">
        <v>161</v>
      </c>
    </row>
    <row r="273" spans="1:1" ht="20.100000000000001" customHeight="1" x14ac:dyDescent="0.2">
      <c r="A273" s="26" t="s">
        <v>162</v>
      </c>
    </row>
    <row r="274" spans="1:1" ht="20.100000000000001" customHeight="1" x14ac:dyDescent="0.2">
      <c r="A274" s="26" t="s">
        <v>163</v>
      </c>
    </row>
    <row r="275" spans="1:1" ht="20.100000000000001" customHeight="1" x14ac:dyDescent="0.2">
      <c r="A275" s="21" t="s">
        <v>164</v>
      </c>
    </row>
    <row r="276" spans="1:1" ht="20.100000000000001" customHeight="1" x14ac:dyDescent="0.2">
      <c r="A276" s="21" t="s">
        <v>165</v>
      </c>
    </row>
    <row r="277" spans="1:1" ht="20.100000000000001" customHeight="1" x14ac:dyDescent="0.2">
      <c r="A277" s="26" t="s">
        <v>166</v>
      </c>
    </row>
    <row r="278" spans="1:1" ht="20.100000000000001" customHeight="1" x14ac:dyDescent="0.2">
      <c r="A278" s="21" t="s">
        <v>167</v>
      </c>
    </row>
    <row r="279" spans="1:1" ht="20.100000000000001" customHeight="1" x14ac:dyDescent="0.2">
      <c r="A279" s="21" t="s">
        <v>168</v>
      </c>
    </row>
    <row r="280" spans="1:1" ht="20.100000000000001" customHeight="1" x14ac:dyDescent="0.2">
      <c r="A280" s="21" t="s">
        <v>169</v>
      </c>
    </row>
    <row r="281" spans="1:1" ht="20.100000000000001" customHeight="1" x14ac:dyDescent="0.2">
      <c r="A281" s="21" t="s">
        <v>170</v>
      </c>
    </row>
    <row r="282" spans="1:1" ht="20.100000000000001" customHeight="1" x14ac:dyDescent="0.2">
      <c r="A282" s="26" t="s">
        <v>171</v>
      </c>
    </row>
    <row r="283" spans="1:1" ht="20.100000000000001" customHeight="1" x14ac:dyDescent="0.2">
      <c r="A283" s="26" t="s">
        <v>172</v>
      </c>
    </row>
    <row r="284" spans="1:1" ht="20.100000000000001" customHeight="1" x14ac:dyDescent="0.2">
      <c r="A284" s="26" t="s">
        <v>173</v>
      </c>
    </row>
    <row r="285" spans="1:1" ht="20.100000000000001" customHeight="1" thickBot="1" x14ac:dyDescent="0.25">
      <c r="A285" s="21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2025-10-22T03:37:33Z</dcterms:modified>
</cp:coreProperties>
</file>