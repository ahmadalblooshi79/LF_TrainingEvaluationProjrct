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C80DE7E3-0B63-B649-A8CB-A1D112FFF710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التقييم'!$A$1:$J$44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" l="1"/>
  <c r="H10" i="2"/>
  <c r="G11" i="2"/>
  <c r="H11" i="2"/>
  <c r="G12" i="2"/>
  <c r="H12" i="2"/>
  <c r="G14" i="2"/>
  <c r="H14" i="2"/>
  <c r="G15" i="2"/>
  <c r="H15" i="2"/>
  <c r="G16" i="2"/>
  <c r="H16" i="2"/>
  <c r="G18" i="2"/>
  <c r="H18" i="2"/>
  <c r="G19" i="2"/>
  <c r="H19" i="2"/>
  <c r="G20" i="2"/>
  <c r="H20" i="2"/>
  <c r="G21" i="2"/>
  <c r="H21" i="2"/>
  <c r="G22" i="2"/>
  <c r="H22" i="2"/>
  <c r="G23" i="2"/>
  <c r="H23" i="2"/>
  <c r="G24" i="2"/>
  <c r="H24" i="2"/>
  <c r="G25" i="2"/>
  <c r="H25" i="2"/>
  <c r="G26" i="2"/>
  <c r="H26" i="2"/>
  <c r="G27" i="2"/>
  <c r="H27" i="2"/>
  <c r="G28" i="2"/>
  <c r="H28" i="2"/>
  <c r="G29" i="2"/>
  <c r="H29" i="2"/>
  <c r="G31" i="2"/>
  <c r="H31" i="2"/>
  <c r="G32" i="2"/>
  <c r="H32" i="2"/>
  <c r="G33" i="2"/>
  <c r="H33" i="2"/>
  <c r="G34" i="2"/>
  <c r="H34" i="2"/>
  <c r="G35" i="2"/>
  <c r="H35" i="2"/>
  <c r="G36" i="2"/>
  <c r="H36" i="2"/>
  <c r="G37" i="2"/>
  <c r="H37" i="2"/>
  <c r="G38" i="2"/>
  <c r="H38" i="2"/>
  <c r="G39" i="2"/>
  <c r="H39" i="2"/>
  <c r="G8" i="2"/>
  <c r="H8" i="2"/>
  <c r="F40" i="2"/>
  <c r="E40" i="2"/>
  <c r="E41" i="2"/>
  <c r="E42" i="2"/>
</calcChain>
</file>

<file path=xl/sharedStrings.xml><?xml version="1.0" encoding="utf-8"?>
<sst xmlns="http://schemas.openxmlformats.org/spreadsheetml/2006/main" count="269" uniqueCount="213">
  <si>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</si>
  <si>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</si>
  <si>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</si>
  <si>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</si>
  <si>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</si>
  <si>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</si>
  <si>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</si>
  <si>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</si>
  <si>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</si>
  <si>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</si>
  <si>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</si>
  <si>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</si>
  <si>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</si>
  <si>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</si>
  <si>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</si>
  <si>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</si>
  <si>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</si>
  <si>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</si>
  <si>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</si>
  <si>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</si>
  <si>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</si>
  <si>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</si>
  <si>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</si>
  <si>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</si>
  <si>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</si>
  <si>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</si>
  <si>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</si>
  <si>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</si>
  <si>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</si>
  <si>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</si>
  <si>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</si>
  <si>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</si>
  <si>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</si>
  <si>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</si>
  <si>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</si>
  <si>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</si>
  <si>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</si>
  <si>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</si>
  <si>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</si>
  <si>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</si>
  <si>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</si>
  <si>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</si>
  <si>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</si>
  <si>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</si>
  <si>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</si>
  <si>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</si>
  <si>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</si>
  <si>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</si>
  <si>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</si>
  <si>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</si>
  <si>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</si>
  <si>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</si>
  <si>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</si>
  <si>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</si>
  <si>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</si>
  <si>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</si>
  <si>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</si>
  <si>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</si>
  <si>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</si>
  <si>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</si>
  <si>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</si>
  <si>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</si>
  <si>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</si>
  <si>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</si>
  <si>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</si>
  <si>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</si>
  <si>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</si>
  <si>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</si>
  <si>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</si>
  <si>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</si>
  <si>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</si>
  <si>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</si>
  <si>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</si>
  <si>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</si>
  <si>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</si>
  <si>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</si>
  <si>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</si>
  <si>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</si>
  <si>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</si>
  <si>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</si>
  <si>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</si>
  <si>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</si>
  <si>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</si>
  <si>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</si>
  <si>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</si>
  <si>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</si>
  <si>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</si>
  <si>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</si>
  <si>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</si>
  <si>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</si>
  <si>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</si>
  <si>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</si>
  <si>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</si>
  <si>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</si>
  <si>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</si>
  <si>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</si>
  <si>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</si>
  <si>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</si>
  <si>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</si>
  <si>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</si>
  <si>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</si>
  <si>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</si>
  <si>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</si>
  <si>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</si>
  <si>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</si>
  <si>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</si>
  <si>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</si>
  <si>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</si>
  <si>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</si>
  <si>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</si>
  <si>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</si>
  <si>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</si>
  <si>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</si>
  <si>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</si>
  <si>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</si>
  <si>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</si>
  <si>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</si>
  <si>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</si>
  <si>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</si>
  <si>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</si>
  <si>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</si>
  <si>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</si>
  <si>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</si>
  <si>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</si>
  <si>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</si>
  <si>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</si>
  <si>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</si>
  <si>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</si>
  <si>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</si>
  <si>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</si>
  <si>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</si>
  <si>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</si>
  <si>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</si>
  <si>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</si>
  <si>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</si>
  <si>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</si>
  <si>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</si>
  <si>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</si>
  <si>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</si>
  <si>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</si>
  <si>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</si>
  <si>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</si>
  <si>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</si>
  <si>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</si>
  <si>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</si>
  <si>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</si>
  <si>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</si>
  <si>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</si>
  <si>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</si>
  <si>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</si>
  <si>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</si>
  <si>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</si>
  <si>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</si>
  <si>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</si>
  <si>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</si>
  <si>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</si>
  <si>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</si>
  <si>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</si>
  <si>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</si>
  <si>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</si>
  <si>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</si>
  <si>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</si>
  <si>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</si>
  <si>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</si>
  <si>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</si>
  <si>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</si>
  <si>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</si>
  <si>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</si>
  <si>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</si>
  <si>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</si>
  <si>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</si>
  <si>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</si>
  <si>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</si>
  <si>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</si>
  <si>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</si>
  <si>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</si>
  <si>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</si>
  <si>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</si>
  <si>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</si>
  <si>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</si>
  <si>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 xml:space="preserve">أ. الحصول على التقارير والمعلومات المحدثَة التي تبين مواقع القوات الأمامية والجانبية (المجاورة) الصديقة وحسب الحاجة. </t>
  </si>
  <si>
    <t xml:space="preserve">ب. الحصول على معلومات محدثَة عن مواقع قوات العدو لمنع الإصابة بالنيران الصديقة وزيادة حماية القوة وحسب الحاجة. </t>
  </si>
  <si>
    <t>أ. التأكد من يقظة وجاهزية جميع الأفراد للتعامل مع أي هجوم معاكس محتمل.</t>
  </si>
  <si>
    <t>ب. تفادي اشتباك الجسم الرئيسي للسرية بالعدو دون توفر الإنذار المبكر.</t>
  </si>
  <si>
    <t>جـ. التأكد من فعالية الاتصالات بين السرية ونقاط المراقبة.</t>
  </si>
  <si>
    <t>أ. تأسيس الحماية المحلية لجميع الجهات.</t>
  </si>
  <si>
    <t>ب. تدمير أي مقاومة منظمة للعدو.</t>
  </si>
  <si>
    <t>جـ. إجراءات الدفاع ضد الهجمات المعاكسة.</t>
  </si>
  <si>
    <t>د. القيام باستطلاع منطقة الأهداف باستخدام الدوريات وعناصر الكشف للتأكد من خلوها من العدو.</t>
  </si>
  <si>
    <t>هـ. إعادة تأسيس التسلسل القيادي حسب الرتب وسد النقص في المناصب القيادية.</t>
  </si>
  <si>
    <t>و. إعادة تأسيس شبكات الاتصالات.</t>
  </si>
  <si>
    <t>أ. المواقع الجديدة للسرية.</t>
  </si>
  <si>
    <t>ب. الموقف الإداري للسرية شاملاً (الخسائر في الأفراد والمعدات والذخيرة والوقود).</t>
  </si>
  <si>
    <r>
      <t>1.</t>
    </r>
    <r>
      <rPr>
        <sz val="7"/>
        <color rgb="FF000000"/>
        <rFont val="Times New Roman"/>
        <family val="1"/>
      </rPr>
      <t xml:space="preserve">    </t>
    </r>
    <r>
      <rPr>
        <sz val="14"/>
        <color rgb="FF000000"/>
        <rFont val="Arial"/>
        <family val="2"/>
      </rPr>
      <t>يديم قائد السرية الإلمام بالموقف باستخدام كافة الوسائل المتوفرة.</t>
    </r>
  </si>
  <si>
    <r>
      <t>2.</t>
    </r>
    <r>
      <rPr>
        <sz val="7"/>
        <color rgb="FF000000"/>
        <rFont val="Times New Roman"/>
        <family val="1"/>
      </rPr>
      <t xml:space="preserve">    </t>
    </r>
    <r>
      <rPr>
        <sz val="14"/>
        <color rgb="FF000000"/>
        <rFont val="Arial"/>
        <family val="2"/>
      </rPr>
      <t>يؤكد قائد السرية موقف القوات الصديقة والمعادية وكما يلي:</t>
    </r>
  </si>
  <si>
    <r>
      <t>3.</t>
    </r>
    <r>
      <rPr>
        <sz val="7"/>
        <color rgb="FF000000"/>
        <rFont val="Times New Roman"/>
        <family val="1"/>
      </rPr>
      <t xml:space="preserve">    </t>
    </r>
    <r>
      <rPr>
        <sz val="14"/>
        <color rgb="FF000000"/>
        <rFont val="Arial"/>
        <family val="2"/>
      </rPr>
      <t>يقوم قائد السرية بتوزيع المعلومات الضرورية لجميع الفصائل لإطلاعهم على آخر مستجدات الموقف.</t>
    </r>
  </si>
  <si>
    <r>
      <t>6.</t>
    </r>
    <r>
      <rPr>
        <sz val="7"/>
        <color rgb="FF000000"/>
        <rFont val="Times New Roman"/>
        <family val="1"/>
      </rPr>
      <t xml:space="preserve">    </t>
    </r>
    <r>
      <rPr>
        <sz val="14"/>
        <color rgb="FF000000"/>
        <rFont val="Arial"/>
        <family val="2"/>
      </rPr>
      <t>يحدد قائد السرية أو يعيد تحديد قواطع النيران الأولية للفصائل.</t>
    </r>
  </si>
  <si>
    <r>
      <t>7.</t>
    </r>
    <r>
      <rPr>
        <sz val="7"/>
        <color rgb="FF000000"/>
        <rFont val="Times New Roman"/>
        <family val="1"/>
      </rPr>
      <t xml:space="preserve">    </t>
    </r>
    <r>
      <rPr>
        <sz val="14"/>
        <color rgb="FF000000"/>
        <rFont val="Arial"/>
        <family val="2"/>
      </rPr>
      <t>يعدل قائد السرية أو قادة الفصائل مواقع أسلحة الطواقم لتغطية مقتربات العدو الأكثر احتمالا، والتأكد من تأمين الإسناد المتبادل بين الفصائل والوحدات المجاورة.</t>
    </r>
  </si>
  <si>
    <r>
      <t>8.</t>
    </r>
    <r>
      <rPr>
        <sz val="7"/>
        <color rgb="FF000000"/>
        <rFont val="Times New Roman"/>
        <family val="1"/>
      </rPr>
      <t xml:space="preserve">    </t>
    </r>
    <r>
      <rPr>
        <sz val="14"/>
        <color rgb="FF000000"/>
        <rFont val="Arial"/>
        <family val="2"/>
      </rPr>
      <t>يتم تحضير بطاقات المدى للأسلحة وحسب الأوامر التعبوية المستديمة.</t>
    </r>
  </si>
  <si>
    <r>
      <t>9.</t>
    </r>
    <r>
      <rPr>
        <sz val="7"/>
        <color rgb="FF000000"/>
        <rFont val="Times New Roman"/>
        <family val="1"/>
      </rPr>
      <t xml:space="preserve">    </t>
    </r>
    <r>
      <rPr>
        <sz val="14"/>
        <color rgb="FF000000"/>
        <rFont val="Arial"/>
        <family val="2"/>
      </rPr>
      <t>يرسل قادة الفصائل تقاريرهم لقائد السرية حول الذخيرة، الإصابات والمعدات.</t>
    </r>
  </si>
  <si>
    <r>
      <t>10.</t>
    </r>
    <r>
      <rPr>
        <sz val="7"/>
        <color rgb="FF000000"/>
        <rFont val="Times New Roman"/>
        <family val="1"/>
      </rPr>
      <t xml:space="preserve">  </t>
    </r>
    <r>
      <rPr>
        <sz val="14"/>
        <color rgb="FF000000"/>
        <rFont val="Arial"/>
        <family val="2"/>
      </rPr>
      <t>ينسق نائب قائد السرية ووكيل السرية عملية إعادة التزويد وسد النقص من الذخيرة والأرزاق والوقود.</t>
    </r>
  </si>
  <si>
    <t>11.   يشرف القادة على إعادة توزيع الذخيرة.</t>
  </si>
  <si>
    <t>12.   يرسل قائد السرية تقرير مفصل لقائد الكتيبة/ مجموعة القتال يتضمن ما يلي:</t>
  </si>
  <si>
    <t>13.   التعامل مع الإصابات وإخلاء الجرحى والشهداء حسب الإجراءات المتبعة.</t>
  </si>
  <si>
    <t>14.   تعويض خسائر القوى البشرية بأسرع ما يمكن وعمل الترتيبات لإسناد الواجبات لأشخاص من نفس المرتبات ليعملوا بدل القادة الصغار والآمار الذين استشهدوا أو جرحوا.</t>
  </si>
  <si>
    <t>15.   اخلاء الآليات والمعدات المعطلة حسب الإجراءات المتبعة.</t>
  </si>
  <si>
    <t>16.   تأمين أسرى الحرب حسب الإجراءات المتبعة.</t>
  </si>
  <si>
    <t>18.   التعامل مع الوثائق والمعدات التي تم الاستيلاء عليها حسب الإجراءات المتبعة.</t>
  </si>
  <si>
    <t>19.   تستعد السرية لتنفيذ أي واجب يُطلب منها.</t>
  </si>
  <si>
    <r>
      <rPr>
        <b/>
        <sz val="14"/>
        <color rgb="FF000000"/>
        <rFont val="Arial"/>
        <family val="2"/>
      </rPr>
      <t>تقييم سرية مشاة راجلة في التثبت وإعادة التنظيم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</si>
  <si>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r>
      <t>4.</t>
    </r>
    <r>
      <rPr>
        <sz val="7"/>
        <color rgb="FF000000"/>
        <rFont val="Times New Roman"/>
        <family val="1"/>
      </rPr>
      <t xml:space="preserve">    </t>
    </r>
    <r>
      <rPr>
        <sz val="14"/>
        <color rgb="FF000000"/>
        <rFont val="Arial"/>
        <family val="2"/>
      </rPr>
      <t>يعمل قائد السرية على تركيز أو إعادة تركيز نقاط المراقبة في الأمام لتوفير الحماية:</t>
    </r>
  </si>
  <si>
    <r>
      <t>5.</t>
    </r>
    <r>
      <rPr>
        <sz val="7"/>
        <color rgb="FF000000"/>
        <rFont val="Times New Roman"/>
        <family val="1"/>
      </rPr>
      <t xml:space="preserve">    </t>
    </r>
    <r>
      <rPr>
        <sz val="14"/>
        <color rgb="FF000000"/>
        <rFont val="Arial"/>
        <family val="2"/>
      </rPr>
      <t>تقوم السرية باحتلال أو إعادة احتلال مواقع قتالية سريعة بالقرب من الهدف:</t>
    </r>
  </si>
  <si>
    <t>17.   التأكد من فعالية الاتصالات وممارسة قائد السرية للقيادة والسيطرة استعداداً لأي عملية مستقبلية.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</si>
</sst>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7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7" fillId="4" borderId="19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14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16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8" fillId="5" borderId="21" xfId="0" applyFont="1" applyFill="1" applyBorder="1" applyAlignment="1">
      <alignment horizontal="right" vertical="center" wrapText="1" readingOrder="2"/>
    </xf>
    <xf numFmtId="0" fontId="8" fillId="5" borderId="3" xfId="0" applyFont="1" applyFill="1" applyBorder="1" applyAlignment="1">
      <alignment horizontal="right" vertical="center" wrapText="1" readingOrder="2"/>
    </xf>
    <xf numFmtId="0" fontId="8" fillId="5" borderId="21" xfId="0" applyFont="1" applyFill="1" applyBorder="1" applyAlignment="1">
      <alignment horizontal="right" vertical="center" wrapText="1" indent="2" readingOrder="2"/>
    </xf>
    <xf numFmtId="0" fontId="8" fillId="5" borderId="3" xfId="0" applyFont="1" applyFill="1" applyBorder="1" applyAlignment="1">
      <alignment horizontal="right" vertical="center" wrapText="1" indent="2" readingOrder="2"/>
    </xf>
    <xf numFmtId="0" fontId="8" fillId="5" borderId="5" xfId="0" applyFont="1" applyFill="1" applyBorder="1" applyAlignment="1">
      <alignment horizontal="right" vertical="center" wrapText="1" readingOrder="2"/>
    </xf>
    <xf numFmtId="0" fontId="8" fillId="5" borderId="4" xfId="0" applyFont="1" applyFill="1" applyBorder="1" applyAlignment="1">
      <alignment horizontal="right" vertical="center" wrapText="1" readingOrder="2"/>
    </xf>
    <xf numFmtId="0" fontId="8" fillId="5" borderId="11" xfId="0" applyFont="1" applyFill="1" applyBorder="1" applyAlignment="1">
      <alignment horizontal="right" vertical="center" wrapText="1" readingOrder="2"/>
    </xf>
    <xf numFmtId="0" fontId="8" fillId="5" borderId="12" xfId="0" applyFont="1" applyFill="1" applyBorder="1" applyAlignment="1">
      <alignment horizontal="right" vertical="center" wrapText="1" readingOrder="2"/>
    </xf>
  </cellXfs>
  <cellStyles count="1">
    <cellStyle name="Normal" xfId="0" builtinId="0"/>
  </cellStyles>
  <dxfs count="17"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 /><Relationship Id="rId2" Type="http://schemas.openxmlformats.org/officeDocument/2006/relationships/image" Target="../media/image1.png" /><Relationship Id="rId1" Type="http://schemas.openxmlformats.org/officeDocument/2006/relationships/customXml" Target="../ink/ink1.xml" /><Relationship Id="rId4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171825</xdr:colOff>
      <xdr:row>43</xdr:row>
      <xdr:rowOff>152582</xdr:rowOff>
    </xdr:from>
    <xdr:to>
      <xdr:col>8</xdr:col>
      <xdr:colOff>391404</xdr:colOff>
      <xdr:row>43</xdr:row>
      <xdr:rowOff>518342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2ED3CAC3-EFDF-F80F-800F-26AD9CBE6DB5}"/>
                </a:ext>
              </a:extLst>
            </xdr14:cNvPr>
            <xdr14:cNvContentPartPr/>
          </xdr14:nvContentPartPr>
          <xdr14:nvPr macro=""/>
          <xdr14:xfrm>
            <a:off x="10398853505" y="21569400"/>
            <a:ext cx="1535760" cy="36576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2ED3CAC3-EFDF-F80F-800F-26AD9CBE6DB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844865" y="21560760"/>
              <a:ext cx="1553400" cy="383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377025</xdr:colOff>
      <xdr:row>43</xdr:row>
      <xdr:rowOff>486302</xdr:rowOff>
    </xdr:from>
    <xdr:to>
      <xdr:col>6</xdr:col>
      <xdr:colOff>388545</xdr:colOff>
      <xdr:row>43</xdr:row>
      <xdr:rowOff>505742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D1A33312-DF6F-123F-4CF8-820F89E18414}"/>
                </a:ext>
              </a:extLst>
            </xdr14:cNvPr>
            <xdr14:cNvContentPartPr/>
          </xdr14:nvContentPartPr>
          <xdr14:nvPr macro=""/>
          <xdr14:xfrm>
            <a:off x="10400172545" y="21903120"/>
            <a:ext cx="11520" cy="1944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D1A33312-DF6F-123F-4CF8-820F89E18414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00163545" y="21894480"/>
              <a:ext cx="29160" cy="370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4T05:52:24.19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3748 183 15635,'0'0'0,"0"-6"256,3-8-48,2 8 136,-5 6-344,9-12 328,-6 7 16,9 0-16,-8-1-80,-4 6-248,5-6 184,5 1-32,-5 0-40,7 0-32,-12 5-80,2-5 72,15 1-24,-5 0 0,0 2-24,-12 2-24,17-1 16,5 1 8,-3 0-48,5 0 48,-24 0-24,24 4 32,0 8-16,2-8-88,3 9 80,-29-13-8,24 4-8,3 12 32,-3-12 80,-3 10-104,-21-14 0,22 4 40,-5 12-80,5-12 40,-8 13-8,-14-17 8,14 4-48,1 9 200,-13-8-128,10 7 25,-12-12-49,0 3 72,3 10-104,-1-10 128,1 8 16,-3-11-112,0 4 192,-3 11-8,1-11 24,-10 13 56,12-17-264,-8 11 256,-11 2-24,-2-1-8,-3-8-32,24-4-192,-27 14 208,-4-11-48,2 1 48,-5 9-24,34-13-184,-36 3 144,0 0-8,-2 1 8,-3 0-48,41-4-96,-48 3 64,-5 1 0,-3-1-32,-4 1 16,60-4-48,-57 3 64,-1 0-8,0-3-16,8 0-16,50 0-24,-46 0 112,3-3-88,9-1 64,3-2 48,31 6-136,-20-5 56,1-1 64,5 0 24,6 0-32,8 6-112,-9-4 104,6 0-24,3 1 1,0 2-33,0 1-48,0-2-56,0 2 64,0-1-73,0 1 41,0 0 24,0 0 41,0 0-58,0 0-47,0 0 104,0 0-40,-2 0-96,-3 0 56,-7 3-120,-5 0 24,17-3 136,-24 4 8,-7 7-96,-7-7 192,-11 11-128,49-15 24,-52 11-80,-18 3 48,-7 3 32,-12 5 16,89-22-16,-101 22 24,-7 4 8,-15 2-48,-5 4-208,128-32 224,-134 34-32,-15 3 48,-5 0 0,0 2 208,154-39-224,-159 40 40,7 0-40,6-3 56,-1-1-32,147-36-24,-135 32 72,8 0 8,11-7-16,15-4 32,101-21-96,-93 16-40,11-12 160,7 1-55,8-1-9,67-4-56,-60 0 120,9 0-32,5-3-8,6-8 128,40 11-208,-36-12 80,7-2-24,5-2 48,7 1-72,17 15-32,-12-14 120,9-1-48,1 0-72,2-1 16,0 16-16,2-17-32,13-3 8,9-1-32,9-5-72,-33 26 128,44-27 56,9-1-80,7-1 8,7 1 32,-67 28-16,77-30-128,7 2 88,10-1 40,7-1-8,-101 30 8,116-29 8,6-3 8,6 0-40,4-1-24,-132 33 48,135-33 0,4 0 0,10-1-48,3 0-120,-152 34 168,154-34-72,-5 0 8,-2 0 24,-3 1 160,-144 33-120,137-31-40,-5 1-40,-9 3-56,-17 3-57,-106 24 193,89-21-200,-17 4 24,-19 5 56,-17 8-96,-36 4 216,22-4-48,-20-1 88,-2 4 48,-5 1 32,5 0-120,-17 0 112,1 0-88,-8 3-40,-5 8 8,29-11 8,-32 4 0,-1 12 24,-1-2 32,0 2 48,34-16-104,-33 16 0,1 1 40,4 1-40,4-1 16,24-17-16,-20 19 56,1-2-136,9 0 48,3 1 24,7-18 8,-2 17-16,-1 2 72,1 1-56,0 2 40,2-22-40,0 29 8,0 2 24,0 2 32,0 2-24,0-35-40,4 36 32,1 2 33,7-1-81,-12 0 32,0-37-16,5 37 0,10-1-16,-3-1 56,0-2-8,-12-33-32,14 33 24,0-2-32,3-3 8,3-1-48,-20-27 48,26 26-121,0-2-135,3 0-504,-2-1-872,-27-23 1632,26 21-2913,5-2-7969,-31-19 10882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4T05:52:24.63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 53 23893,'0'0'0,"0"0"0,0-5 80,-3-10-80,3 11 32,0-7-48,0 11 16,3 0-32,-3 0 8,0 0 24,4 0 0,-4 0-168,0 0-144,0 0-745,0 0 1057,0-2-1928,12 0-2665,0-11-5657,-12 13 10250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44"/>
  <sheetViews>
    <sheetView rightToLeft="1" tabSelected="1" view="pageBreakPreview" topLeftCell="C30" zoomScale="130" zoomScaleNormal="100" zoomScaleSheetLayoutView="130" workbookViewId="0">
      <selection activeCell="G44" sqref="G44:J44"/>
    </sheetView>
  </sheetViews>
  <sheetFormatPr defaultColWidth="9.01171875" defaultRowHeight="15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>
      <c r="B1" s="57" t="s">
        <v>209</v>
      </c>
      <c r="C1" s="57"/>
      <c r="D1" s="57"/>
      <c r="E1" s="57"/>
      <c r="F1" s="57"/>
      <c r="G1" s="57"/>
      <c r="H1" s="57"/>
      <c r="I1" s="57"/>
      <c r="J1" s="57"/>
    </row>
    <row r="2" spans="1:10" ht="30" customHeight="1">
      <c r="B2" s="13" t="s">
        <v>8</v>
      </c>
      <c r="C2" s="63" t="s">
        <v>37</v>
      </c>
      <c r="D2" s="63"/>
      <c r="E2" s="13" t="s">
        <v>7</v>
      </c>
      <c r="F2" s="58">
        <v>45942</v>
      </c>
      <c r="G2" s="58"/>
      <c r="H2" s="58"/>
      <c r="I2" s="58"/>
      <c r="J2" s="58"/>
    </row>
    <row r="3" spans="1:10" ht="30" customHeight="1">
      <c r="B3" s="13" t="s">
        <v>9</v>
      </c>
      <c r="C3" s="63" t="s">
        <v>78</v>
      </c>
      <c r="D3" s="63"/>
      <c r="E3" s="13" t="s">
        <v>6</v>
      </c>
      <c r="F3" s="63" t="s">
        <v>133</v>
      </c>
      <c r="G3" s="63"/>
      <c r="H3" s="63"/>
      <c r="I3" s="63"/>
      <c r="J3" s="63"/>
    </row>
    <row r="4" spans="1:10" ht="30" customHeight="1" thickBot="1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>
      <c r="A5" s="11"/>
      <c r="B5" s="59" t="s">
        <v>0</v>
      </c>
      <c r="C5" s="60"/>
      <c r="D5" s="60"/>
      <c r="E5" s="64" t="s">
        <v>1</v>
      </c>
      <c r="F5" s="64"/>
      <c r="G5" s="64"/>
      <c r="H5" s="64"/>
      <c r="I5" s="64" t="s">
        <v>2</v>
      </c>
      <c r="J5" s="65"/>
    </row>
    <row r="6" spans="1:10" ht="24.95" customHeight="1" thickBot="1">
      <c r="A6" s="11"/>
      <c r="B6" s="61"/>
      <c r="C6" s="62"/>
      <c r="D6" s="62"/>
      <c r="E6" s="12" t="s">
        <v>3</v>
      </c>
      <c r="F6" s="12" t="s">
        <v>4</v>
      </c>
      <c r="G6" s="12" t="s">
        <v>23</v>
      </c>
      <c r="H6" s="12" t="s">
        <v>24</v>
      </c>
      <c r="I6" s="66"/>
      <c r="J6" s="67"/>
    </row>
    <row r="7" spans="1:10" ht="24.95" customHeight="1" thickBot="1">
      <c r="A7" s="11"/>
      <c r="B7" s="49" t="s">
        <v>21</v>
      </c>
      <c r="C7" s="50"/>
      <c r="D7" s="50"/>
      <c r="E7" s="29" t="s">
        <v>18</v>
      </c>
      <c r="F7" s="29" t="s">
        <v>19</v>
      </c>
      <c r="G7" s="29" t="s">
        <v>22</v>
      </c>
      <c r="H7" s="29" t="s">
        <v>20</v>
      </c>
      <c r="I7" s="53" t="s">
        <v>25</v>
      </c>
      <c r="J7" s="54"/>
    </row>
    <row r="8" spans="1:10" ht="39.950000000000003" customHeight="1">
      <c r="A8" s="11"/>
      <c r="B8" s="79" t="s">
        <v>193</v>
      </c>
      <c r="C8" s="80"/>
      <c r="D8" s="80"/>
      <c r="E8" s="32">
        <v>5</v>
      </c>
      <c r="F8" s="33">
        <v>3.75</v>
      </c>
      <c r="G8" s="34">
        <f>IFERROR(F8/E8,"")</f>
        <v>0.75</v>
      </c>
      <c r="H8" s="35" t="str">
        <f>_xlfn.IFS(F8="أدخل العلامة","",F8="لا ينطبق","تم الإلغاء",G8&gt;=90%,"ممتاز",G8&gt;=80%,"جيد جداً",G8&gt;=70%,"جيد",G8&gt;=60%,"مقبول",G8&lt;60%,"راسب")</f>
        <v>جيد</v>
      </c>
      <c r="I8" s="55"/>
      <c r="J8" s="56"/>
    </row>
    <row r="9" spans="1:10" ht="39.950000000000003" customHeight="1">
      <c r="A9" s="11"/>
      <c r="B9" s="75" t="s">
        <v>194</v>
      </c>
      <c r="C9" s="76"/>
      <c r="D9" s="76"/>
      <c r="E9" s="9"/>
      <c r="F9" s="27"/>
      <c r="G9" s="30"/>
      <c r="H9" s="31"/>
      <c r="I9" s="39"/>
      <c r="J9" s="40"/>
    </row>
    <row r="10" spans="1:10" ht="39.950000000000003" customHeight="1">
      <c r="A10" s="11"/>
      <c r="B10" s="77" t="s">
        <v>180</v>
      </c>
      <c r="C10" s="78"/>
      <c r="D10" s="78"/>
      <c r="E10" s="9">
        <v>5</v>
      </c>
      <c r="F10" s="27">
        <v>3.75</v>
      </c>
      <c r="G10" s="30">
        <f t="shared" ref="G10:G39" si="0">IFERROR(F10/E10,"")</f>
        <v>0.75</v>
      </c>
      <c r="H10" s="31" t="str">
        <f t="shared" ref="H10:H39" si="1">_xlfn.IFS(F10="أدخل العلامة","",F10="لا ينطبق","تم الإلغاء",G10&gt;=90%,"ممتاز",G10&gt;=80%,"جيد جداً",G10&gt;=70%,"جيد",G10&gt;=60%,"مقبول",G10&lt;60%,"راسب")</f>
        <v>جيد</v>
      </c>
      <c r="I10" s="39"/>
      <c r="J10" s="40"/>
    </row>
    <row r="11" spans="1:10" ht="57" customHeight="1">
      <c r="A11" s="11"/>
      <c r="B11" s="77" t="s">
        <v>181</v>
      </c>
      <c r="C11" s="78"/>
      <c r="D11" s="78"/>
      <c r="E11" s="9">
        <v>5</v>
      </c>
      <c r="F11" s="27">
        <v>3.25</v>
      </c>
      <c r="G11" s="30">
        <f t="shared" si="0"/>
        <v>0.65</v>
      </c>
      <c r="H11" s="31" t="str">
        <f t="shared" si="1"/>
        <v>مقبول</v>
      </c>
      <c r="I11" s="39"/>
      <c r="J11" s="40"/>
    </row>
    <row r="12" spans="1:10" ht="39.950000000000003" customHeight="1">
      <c r="A12" s="11"/>
      <c r="B12" s="75" t="s">
        <v>195</v>
      </c>
      <c r="C12" s="76"/>
      <c r="D12" s="76"/>
      <c r="E12" s="9">
        <v>5</v>
      </c>
      <c r="F12" s="27">
        <v>3.25</v>
      </c>
      <c r="G12" s="30">
        <f t="shared" si="0"/>
        <v>0.65</v>
      </c>
      <c r="H12" s="31" t="str">
        <f t="shared" si="1"/>
        <v>مقبول</v>
      </c>
      <c r="I12" s="39"/>
      <c r="J12" s="40"/>
    </row>
    <row r="13" spans="1:10" ht="39.950000000000003" customHeight="1">
      <c r="A13" s="11"/>
      <c r="B13" s="75" t="s">
        <v>210</v>
      </c>
      <c r="C13" s="76"/>
      <c r="D13" s="76"/>
      <c r="E13" s="9"/>
      <c r="F13" s="27"/>
      <c r="G13" s="30"/>
      <c r="H13" s="31"/>
      <c r="I13" s="39"/>
      <c r="J13" s="40"/>
    </row>
    <row r="14" spans="1:10" ht="39.950000000000003" customHeight="1">
      <c r="A14" s="11"/>
      <c r="B14" s="77" t="s">
        <v>182</v>
      </c>
      <c r="C14" s="78"/>
      <c r="D14" s="78"/>
      <c r="E14" s="9">
        <v>5</v>
      </c>
      <c r="F14" s="27">
        <v>3.75</v>
      </c>
      <c r="G14" s="30">
        <f t="shared" si="0"/>
        <v>0.75</v>
      </c>
      <c r="H14" s="31" t="str">
        <f t="shared" si="1"/>
        <v>جيد</v>
      </c>
      <c r="I14" s="39"/>
      <c r="J14" s="40"/>
    </row>
    <row r="15" spans="1:10" ht="39.950000000000003" customHeight="1">
      <c r="A15" s="11"/>
      <c r="B15" s="77" t="s">
        <v>183</v>
      </c>
      <c r="C15" s="78"/>
      <c r="D15" s="78"/>
      <c r="E15" s="9">
        <v>5</v>
      </c>
      <c r="F15" s="27">
        <v>3.75</v>
      </c>
      <c r="G15" s="30">
        <f t="shared" si="0"/>
        <v>0.75</v>
      </c>
      <c r="H15" s="31" t="str">
        <f t="shared" si="1"/>
        <v>جيد</v>
      </c>
      <c r="I15" s="39"/>
      <c r="J15" s="40"/>
    </row>
    <row r="16" spans="1:10" ht="39.950000000000003" customHeight="1">
      <c r="A16" s="11"/>
      <c r="B16" s="77" t="s">
        <v>184</v>
      </c>
      <c r="C16" s="78"/>
      <c r="D16" s="78"/>
      <c r="E16" s="9">
        <v>5</v>
      </c>
      <c r="F16" s="27">
        <v>3.75</v>
      </c>
      <c r="G16" s="30">
        <f t="shared" si="0"/>
        <v>0.75</v>
      </c>
      <c r="H16" s="31" t="str">
        <f t="shared" si="1"/>
        <v>جيد</v>
      </c>
      <c r="I16" s="39"/>
      <c r="J16" s="40"/>
    </row>
    <row r="17" spans="1:10" ht="39.950000000000003" customHeight="1">
      <c r="A17" s="11"/>
      <c r="B17" s="75" t="s">
        <v>211</v>
      </c>
      <c r="C17" s="76"/>
      <c r="D17" s="76"/>
      <c r="E17" s="9"/>
      <c r="F17" s="27"/>
      <c r="G17" s="30"/>
      <c r="H17" s="31"/>
      <c r="I17" s="39"/>
      <c r="J17" s="40"/>
    </row>
    <row r="18" spans="1:10" ht="39.950000000000003" customHeight="1">
      <c r="A18" s="11"/>
      <c r="B18" s="77" t="s">
        <v>185</v>
      </c>
      <c r="C18" s="78"/>
      <c r="D18" s="78"/>
      <c r="E18" s="9">
        <v>5</v>
      </c>
      <c r="F18" s="27">
        <v>3.75</v>
      </c>
      <c r="G18" s="30">
        <f t="shared" si="0"/>
        <v>0.75</v>
      </c>
      <c r="H18" s="31" t="str">
        <f t="shared" si="1"/>
        <v>جيد</v>
      </c>
      <c r="I18" s="39"/>
      <c r="J18" s="40"/>
    </row>
    <row r="19" spans="1:10" ht="39.950000000000003" customHeight="1">
      <c r="A19" s="11"/>
      <c r="B19" s="77" t="s">
        <v>186</v>
      </c>
      <c r="C19" s="78"/>
      <c r="D19" s="78"/>
      <c r="E19" s="9">
        <v>5</v>
      </c>
      <c r="F19" s="27">
        <v>3.75</v>
      </c>
      <c r="G19" s="30">
        <f t="shared" si="0"/>
        <v>0.75</v>
      </c>
      <c r="H19" s="31" t="str">
        <f t="shared" si="1"/>
        <v>جيد</v>
      </c>
      <c r="I19" s="39"/>
      <c r="J19" s="40"/>
    </row>
    <row r="20" spans="1:10" ht="39.950000000000003" customHeight="1">
      <c r="A20" s="11"/>
      <c r="B20" s="77" t="s">
        <v>187</v>
      </c>
      <c r="C20" s="78"/>
      <c r="D20" s="78"/>
      <c r="E20" s="9">
        <v>5</v>
      </c>
      <c r="F20" s="27">
        <v>3</v>
      </c>
      <c r="G20" s="30">
        <f t="shared" si="0"/>
        <v>0.6</v>
      </c>
      <c r="H20" s="31" t="str">
        <f t="shared" si="1"/>
        <v>مقبول</v>
      </c>
      <c r="I20" s="39"/>
      <c r="J20" s="40"/>
    </row>
    <row r="21" spans="1:10" ht="39.950000000000003" customHeight="1">
      <c r="A21" s="11"/>
      <c r="B21" s="77" t="s">
        <v>188</v>
      </c>
      <c r="C21" s="78"/>
      <c r="D21" s="78"/>
      <c r="E21" s="9">
        <v>5</v>
      </c>
      <c r="F21" s="27">
        <v>3</v>
      </c>
      <c r="G21" s="30">
        <f t="shared" si="0"/>
        <v>0.6</v>
      </c>
      <c r="H21" s="31" t="str">
        <f t="shared" si="1"/>
        <v>مقبول</v>
      </c>
      <c r="I21" s="39"/>
      <c r="J21" s="40"/>
    </row>
    <row r="22" spans="1:10" ht="39.950000000000003" customHeight="1">
      <c r="A22" s="11"/>
      <c r="B22" s="77" t="s">
        <v>189</v>
      </c>
      <c r="C22" s="78"/>
      <c r="D22" s="78"/>
      <c r="E22" s="9">
        <v>5</v>
      </c>
      <c r="F22" s="27">
        <v>3.5</v>
      </c>
      <c r="G22" s="30">
        <f t="shared" si="0"/>
        <v>0.7</v>
      </c>
      <c r="H22" s="31" t="str">
        <f t="shared" si="1"/>
        <v>جيد</v>
      </c>
      <c r="I22" s="39"/>
      <c r="J22" s="40"/>
    </row>
    <row r="23" spans="1:10" ht="39.950000000000003" customHeight="1">
      <c r="A23" s="11"/>
      <c r="B23" s="77" t="s">
        <v>190</v>
      </c>
      <c r="C23" s="78"/>
      <c r="D23" s="78"/>
      <c r="E23" s="9">
        <v>5</v>
      </c>
      <c r="F23" s="27">
        <v>3</v>
      </c>
      <c r="G23" s="30">
        <f t="shared" si="0"/>
        <v>0.6</v>
      </c>
      <c r="H23" s="31" t="str">
        <f t="shared" si="1"/>
        <v>مقبول</v>
      </c>
      <c r="I23" s="39"/>
      <c r="J23" s="40"/>
    </row>
    <row r="24" spans="1:10" ht="39.950000000000003" customHeight="1">
      <c r="A24" s="11"/>
      <c r="B24" s="75" t="s">
        <v>196</v>
      </c>
      <c r="C24" s="76"/>
      <c r="D24" s="76"/>
      <c r="E24" s="9">
        <v>5</v>
      </c>
      <c r="F24" s="27">
        <v>3</v>
      </c>
      <c r="G24" s="30">
        <f t="shared" si="0"/>
        <v>0.6</v>
      </c>
      <c r="H24" s="31" t="str">
        <f t="shared" si="1"/>
        <v>مقبول</v>
      </c>
      <c r="I24" s="39"/>
      <c r="J24" s="40"/>
    </row>
    <row r="25" spans="1:10" ht="66" customHeight="1">
      <c r="A25" s="11"/>
      <c r="B25" s="75" t="s">
        <v>197</v>
      </c>
      <c r="C25" s="76"/>
      <c r="D25" s="76"/>
      <c r="E25" s="9">
        <v>5</v>
      </c>
      <c r="F25" s="27">
        <v>3.5</v>
      </c>
      <c r="G25" s="30">
        <f t="shared" si="0"/>
        <v>0.7</v>
      </c>
      <c r="H25" s="31" t="str">
        <f t="shared" si="1"/>
        <v>جيد</v>
      </c>
      <c r="I25" s="39"/>
      <c r="J25" s="40"/>
    </row>
    <row r="26" spans="1:10" ht="39.950000000000003" customHeight="1">
      <c r="A26" s="11"/>
      <c r="B26" s="75" t="s">
        <v>198</v>
      </c>
      <c r="C26" s="76"/>
      <c r="D26" s="76"/>
      <c r="E26" s="9">
        <v>5</v>
      </c>
      <c r="F26" s="27">
        <v>3.5</v>
      </c>
      <c r="G26" s="30">
        <f t="shared" si="0"/>
        <v>0.7</v>
      </c>
      <c r="H26" s="31" t="str">
        <f t="shared" si="1"/>
        <v>جيد</v>
      </c>
      <c r="I26" s="39"/>
      <c r="J26" s="40"/>
    </row>
    <row r="27" spans="1:10" ht="39.950000000000003" customHeight="1">
      <c r="A27" s="11"/>
      <c r="B27" s="75" t="s">
        <v>199</v>
      </c>
      <c r="C27" s="76"/>
      <c r="D27" s="76"/>
      <c r="E27" s="9">
        <v>5</v>
      </c>
      <c r="F27" s="27">
        <v>3.75</v>
      </c>
      <c r="G27" s="30">
        <f t="shared" si="0"/>
        <v>0.75</v>
      </c>
      <c r="H27" s="31" t="str">
        <f t="shared" si="1"/>
        <v>جيد</v>
      </c>
      <c r="I27" s="39"/>
      <c r="J27" s="40"/>
    </row>
    <row r="28" spans="1:10" ht="39.950000000000003" customHeight="1">
      <c r="A28" s="11"/>
      <c r="B28" s="75" t="s">
        <v>200</v>
      </c>
      <c r="C28" s="76"/>
      <c r="D28" s="76"/>
      <c r="E28" s="9">
        <v>5</v>
      </c>
      <c r="F28" s="27">
        <v>3</v>
      </c>
      <c r="G28" s="30">
        <f t="shared" si="0"/>
        <v>0.6</v>
      </c>
      <c r="H28" s="31" t="str">
        <f t="shared" si="1"/>
        <v>مقبول</v>
      </c>
      <c r="I28" s="39"/>
      <c r="J28" s="40"/>
    </row>
    <row r="29" spans="1:10" ht="39.950000000000003" customHeight="1">
      <c r="A29" s="11"/>
      <c r="B29" s="75" t="s">
        <v>201</v>
      </c>
      <c r="C29" s="76"/>
      <c r="D29" s="76"/>
      <c r="E29" s="9">
        <v>5</v>
      </c>
      <c r="F29" s="27">
        <v>3</v>
      </c>
      <c r="G29" s="30">
        <f t="shared" si="0"/>
        <v>0.6</v>
      </c>
      <c r="H29" s="31" t="str">
        <f t="shared" si="1"/>
        <v>مقبول</v>
      </c>
      <c r="I29" s="39"/>
      <c r="J29" s="40"/>
    </row>
    <row r="30" spans="1:10" ht="39.950000000000003" customHeight="1">
      <c r="A30" s="11"/>
      <c r="B30" s="75" t="s">
        <v>202</v>
      </c>
      <c r="C30" s="76"/>
      <c r="D30" s="76"/>
      <c r="E30" s="9"/>
      <c r="F30" s="27"/>
      <c r="G30" s="30"/>
      <c r="H30" s="31"/>
      <c r="I30" s="39"/>
      <c r="J30" s="40"/>
    </row>
    <row r="31" spans="1:10" ht="39.950000000000003" customHeight="1">
      <c r="A31" s="11"/>
      <c r="B31" s="77" t="s">
        <v>191</v>
      </c>
      <c r="C31" s="78"/>
      <c r="D31" s="78"/>
      <c r="E31" s="9">
        <v>5</v>
      </c>
      <c r="F31" s="27">
        <v>3.75</v>
      </c>
      <c r="G31" s="30">
        <f t="shared" si="0"/>
        <v>0.75</v>
      </c>
      <c r="H31" s="31" t="str">
        <f t="shared" si="1"/>
        <v>جيد</v>
      </c>
      <c r="I31" s="39"/>
      <c r="J31" s="40"/>
    </row>
    <row r="32" spans="1:10" ht="39.950000000000003" customHeight="1">
      <c r="A32" s="11"/>
      <c r="B32" s="77" t="s">
        <v>192</v>
      </c>
      <c r="C32" s="78"/>
      <c r="D32" s="78"/>
      <c r="E32" s="9">
        <v>5</v>
      </c>
      <c r="F32" s="27">
        <v>3.75</v>
      </c>
      <c r="G32" s="30">
        <f t="shared" si="0"/>
        <v>0.75</v>
      </c>
      <c r="H32" s="31" t="str">
        <f t="shared" si="1"/>
        <v>جيد</v>
      </c>
      <c r="I32" s="39"/>
      <c r="J32" s="40"/>
    </row>
    <row r="33" spans="1:10" ht="39.950000000000003" customHeight="1">
      <c r="A33" s="11"/>
      <c r="B33" s="75" t="s">
        <v>203</v>
      </c>
      <c r="C33" s="76"/>
      <c r="D33" s="76"/>
      <c r="E33" s="9">
        <v>5</v>
      </c>
      <c r="F33" s="27">
        <v>3.5</v>
      </c>
      <c r="G33" s="30">
        <f t="shared" si="0"/>
        <v>0.7</v>
      </c>
      <c r="H33" s="31" t="str">
        <f t="shared" si="1"/>
        <v>جيد</v>
      </c>
      <c r="I33" s="39"/>
      <c r="J33" s="40"/>
    </row>
    <row r="34" spans="1:10" ht="61.5" customHeight="1">
      <c r="A34" s="11"/>
      <c r="B34" s="75" t="s">
        <v>204</v>
      </c>
      <c r="C34" s="76"/>
      <c r="D34" s="76"/>
      <c r="E34" s="9">
        <v>5</v>
      </c>
      <c r="F34" s="27">
        <v>3.75</v>
      </c>
      <c r="G34" s="30">
        <f t="shared" si="0"/>
        <v>0.75</v>
      </c>
      <c r="H34" s="31" t="str">
        <f t="shared" si="1"/>
        <v>جيد</v>
      </c>
      <c r="I34" s="39"/>
      <c r="J34" s="40"/>
    </row>
    <row r="35" spans="1:10" ht="39.950000000000003" customHeight="1">
      <c r="A35" s="11"/>
      <c r="B35" s="75" t="s">
        <v>205</v>
      </c>
      <c r="C35" s="76"/>
      <c r="D35" s="76"/>
      <c r="E35" s="9">
        <v>5</v>
      </c>
      <c r="F35" s="27">
        <v>3.25</v>
      </c>
      <c r="G35" s="30">
        <f t="shared" si="0"/>
        <v>0.65</v>
      </c>
      <c r="H35" s="31" t="str">
        <f t="shared" si="1"/>
        <v>مقبول</v>
      </c>
      <c r="I35" s="39"/>
      <c r="J35" s="40"/>
    </row>
    <row r="36" spans="1:10" ht="39.950000000000003" customHeight="1">
      <c r="A36" s="11"/>
      <c r="B36" s="75" t="s">
        <v>206</v>
      </c>
      <c r="C36" s="76"/>
      <c r="D36" s="76"/>
      <c r="E36" s="9">
        <v>5</v>
      </c>
      <c r="F36" s="27">
        <v>3.75</v>
      </c>
      <c r="G36" s="30">
        <f t="shared" si="0"/>
        <v>0.75</v>
      </c>
      <c r="H36" s="31" t="str">
        <f t="shared" si="1"/>
        <v>جيد</v>
      </c>
      <c r="I36" s="39"/>
      <c r="J36" s="40"/>
    </row>
    <row r="37" spans="1:10" ht="39.950000000000003" customHeight="1">
      <c r="A37" s="11"/>
      <c r="B37" s="75" t="s">
        <v>212</v>
      </c>
      <c r="C37" s="76"/>
      <c r="D37" s="76"/>
      <c r="E37" s="9">
        <v>5</v>
      </c>
      <c r="F37" s="27">
        <v>3.75</v>
      </c>
      <c r="G37" s="30">
        <f t="shared" si="0"/>
        <v>0.75</v>
      </c>
      <c r="H37" s="31" t="str">
        <f t="shared" si="1"/>
        <v>جيد</v>
      </c>
      <c r="I37" s="39"/>
      <c r="J37" s="40"/>
    </row>
    <row r="38" spans="1:10" ht="39.950000000000003" customHeight="1">
      <c r="A38" s="11"/>
      <c r="B38" s="75" t="s">
        <v>207</v>
      </c>
      <c r="C38" s="76"/>
      <c r="D38" s="76"/>
      <c r="E38" s="9">
        <v>5</v>
      </c>
      <c r="F38" s="27">
        <v>3.75</v>
      </c>
      <c r="G38" s="30">
        <f t="shared" si="0"/>
        <v>0.75</v>
      </c>
      <c r="H38" s="31" t="str">
        <f t="shared" si="1"/>
        <v>جيد</v>
      </c>
      <c r="I38" s="39"/>
      <c r="J38" s="40"/>
    </row>
    <row r="39" spans="1:10" ht="39.950000000000003" customHeight="1" thickBot="1">
      <c r="A39" s="11"/>
      <c r="B39" s="81" t="s">
        <v>208</v>
      </c>
      <c r="C39" s="82"/>
      <c r="D39" s="82"/>
      <c r="E39" s="36">
        <v>5</v>
      </c>
      <c r="F39" s="28">
        <v>3.75</v>
      </c>
      <c r="G39" s="37">
        <f t="shared" si="0"/>
        <v>0.75</v>
      </c>
      <c r="H39" s="38" t="str">
        <f t="shared" si="1"/>
        <v>جيد</v>
      </c>
      <c r="I39" s="51"/>
      <c r="J39" s="52"/>
    </row>
    <row r="40" spans="1:10" ht="30" customHeight="1" thickBot="1">
      <c r="A40" s="4"/>
      <c r="B40" s="47" t="s">
        <v>5</v>
      </c>
      <c r="C40" s="48"/>
      <c r="D40" s="48"/>
      <c r="E40" s="10">
        <f>SUM(E8:E39)</f>
        <v>140</v>
      </c>
      <c r="F40" s="10">
        <f>SUM(F8:F39)</f>
        <v>98</v>
      </c>
      <c r="G40" s="70"/>
      <c r="H40" s="71"/>
      <c r="I40" s="71"/>
      <c r="J40" s="72"/>
    </row>
    <row r="41" spans="1:10" ht="30" customHeight="1" thickBot="1">
      <c r="A41" s="4"/>
      <c r="B41" s="47" t="s">
        <v>54</v>
      </c>
      <c r="C41" s="48"/>
      <c r="D41" s="48"/>
      <c r="E41" s="73">
        <f>F40/E40/100*100</f>
        <v>0.7</v>
      </c>
      <c r="F41" s="73"/>
      <c r="G41" s="73"/>
      <c r="H41" s="73"/>
      <c r="I41" s="73"/>
      <c r="J41" s="74"/>
    </row>
    <row r="42" spans="1:10" ht="30" customHeight="1" thickBot="1">
      <c r="A42" s="4"/>
      <c r="B42" s="47" t="s">
        <v>55</v>
      </c>
      <c r="C42" s="48"/>
      <c r="D42" s="48"/>
      <c r="E42" s="45" t="str">
        <f>_xlfn.IFS(E41&gt;=90%,"ممتاز",E41&gt;=80%,"جيد جداً",E41&gt;=70%,"جيد",E41&gt;=60%,"مقبول",E41&lt;60%,"راسب")</f>
        <v>جيد</v>
      </c>
      <c r="F42" s="45"/>
      <c r="G42" s="45"/>
      <c r="H42" s="45"/>
      <c r="I42" s="45"/>
      <c r="J42" s="46"/>
    </row>
    <row r="43" spans="1:10" ht="42" customHeight="1">
      <c r="B43" s="41" t="s">
        <v>174</v>
      </c>
      <c r="C43" s="41"/>
      <c r="D43" s="41"/>
      <c r="E43" s="68" t="s">
        <v>52</v>
      </c>
      <c r="F43" s="68"/>
      <c r="G43" s="43" t="s">
        <v>133</v>
      </c>
      <c r="H43" s="43"/>
      <c r="I43" s="43"/>
      <c r="J43" s="43"/>
    </row>
    <row r="44" spans="1:10" ht="51" customHeight="1">
      <c r="A44" s="5"/>
      <c r="B44" s="42"/>
      <c r="C44" s="42"/>
      <c r="D44" s="42"/>
      <c r="E44" s="69" t="s">
        <v>53</v>
      </c>
      <c r="F44" s="69"/>
      <c r="G44" s="44"/>
      <c r="H44" s="44"/>
      <c r="I44" s="44"/>
      <c r="J44" s="44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85">
    <mergeCell ref="B38:D38"/>
    <mergeCell ref="B39:D39"/>
    <mergeCell ref="B29:D29"/>
    <mergeCell ref="B30:D30"/>
    <mergeCell ref="B35:D35"/>
    <mergeCell ref="B36:D36"/>
    <mergeCell ref="B37:D37"/>
    <mergeCell ref="B31:D31"/>
    <mergeCell ref="B32:D32"/>
    <mergeCell ref="B33:D33"/>
    <mergeCell ref="B34:D34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I9:J9"/>
    <mergeCell ref="E44:F44"/>
    <mergeCell ref="G40:J40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E41:J41"/>
    <mergeCell ref="B1:J1"/>
    <mergeCell ref="F2:J2"/>
    <mergeCell ref="B5:D6"/>
    <mergeCell ref="C2:D2"/>
    <mergeCell ref="C3:D3"/>
    <mergeCell ref="F3:J3"/>
    <mergeCell ref="E5:H5"/>
    <mergeCell ref="I5:J6"/>
    <mergeCell ref="B7:D7"/>
    <mergeCell ref="I38:J38"/>
    <mergeCell ref="I39:J39"/>
    <mergeCell ref="I30:J30"/>
    <mergeCell ref="I31:J31"/>
    <mergeCell ref="I37:J37"/>
    <mergeCell ref="I7:J7"/>
    <mergeCell ref="I10:J10"/>
    <mergeCell ref="I8:J8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B43:D44"/>
    <mergeCell ref="G43:J43"/>
    <mergeCell ref="G44:J44"/>
    <mergeCell ref="E42:J42"/>
    <mergeCell ref="I32:J32"/>
    <mergeCell ref="I33:J33"/>
    <mergeCell ref="I34:J34"/>
    <mergeCell ref="I35:J35"/>
    <mergeCell ref="I36:J36"/>
    <mergeCell ref="B40:D40"/>
    <mergeCell ref="B41:D41"/>
    <mergeCell ref="B42:D42"/>
    <mergeCell ref="E43:F43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42">
    <cfRule type="expression" dxfId="14" priority="57">
      <formula>$E42="راسب"</formula>
    </cfRule>
  </conditionalFormatting>
  <conditionalFormatting sqref="E42:J42">
    <cfRule type="expression" dxfId="13" priority="60">
      <formula>$E42="جيد جداً"</formula>
    </cfRule>
    <cfRule type="expression" dxfId="12" priority="59">
      <formula>$E42="جيد"</formula>
    </cfRule>
    <cfRule type="expression" dxfId="11" priority="58">
      <formula>$E42="مقبول"</formula>
    </cfRule>
    <cfRule type="expression" dxfId="10" priority="61">
      <formula>$E42="ممتاز"</formula>
    </cfRule>
  </conditionalFormatting>
  <conditionalFormatting sqref="F8:F39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43:J43">
    <cfRule type="containsText" dxfId="6" priority="15" operator="containsText" text="أدخل اسم المحكم">
      <formula>NOT(ISERROR(SEARCH("أدخل اسم المحكم",G43)))</formula>
    </cfRule>
  </conditionalFormatting>
  <conditionalFormatting sqref="H8:H39">
    <cfRule type="containsText" dxfId="5" priority="10" operator="containsText" text="راسب">
      <formula>NOT(ISERROR(SEARCH("راسب",H8)))</formula>
    </cfRule>
    <cfRule type="containsText" dxfId="4" priority="9" operator="containsText" text="مقبول">
      <formula>NOT(ISERROR(SEARCH("مقبول",H8)))</formula>
    </cfRule>
    <cfRule type="containsText" dxfId="3" priority="8" operator="containsText" text="جيد">
      <formula>NOT(ISERROR(SEARCH("جيد",H8)))</formula>
    </cfRule>
    <cfRule type="containsText" dxfId="2" priority="7" operator="containsText" text="جيد جداً">
      <formula>NOT(ISERROR(SEARCH("جيد جداً",H8)))</formula>
    </cfRule>
    <cfRule type="containsText" dxfId="1" priority="6" operator="containsText" text="ممتاز">
      <formula>NOT(ISERROR(SEARCH("ممتاز",H8)))</formula>
    </cfRule>
    <cfRule type="containsText" dxfId="0" priority="5" operator="containsText" text="أدخل العلامة">
      <formula>NOT(ISERROR(SEARCH("أدخل العلامة",H8)))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F31:F39 F18:F29 F14:F16 F8 F10:F12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G43:J43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54" workbookViewId="0">
      <selection activeCell="A64" sqref="A64"/>
    </sheetView>
  </sheetViews>
  <sheetFormatPr defaultRowHeight="20.100000000000001" customHeight="1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>
      <c r="A1" s="2" t="s">
        <v>57</v>
      </c>
      <c r="C1" s="2" t="s">
        <v>60</v>
      </c>
    </row>
    <row r="2" spans="1:3" ht="20.100000000000001" customHeight="1" thickBot="1">
      <c r="A2" s="2" t="s">
        <v>35</v>
      </c>
      <c r="C2" s="20" t="s">
        <v>62</v>
      </c>
    </row>
    <row r="3" spans="1:3" ht="20.100000000000001" customHeight="1" thickBot="1">
      <c r="A3" s="2" t="s">
        <v>26</v>
      </c>
      <c r="C3" s="20" t="s">
        <v>63</v>
      </c>
    </row>
    <row r="4" spans="1:3" ht="20.100000000000001" customHeight="1" thickBot="1">
      <c r="A4" s="2" t="s">
        <v>36</v>
      </c>
      <c r="C4" s="20" t="s">
        <v>64</v>
      </c>
    </row>
    <row r="5" spans="1:3" ht="20.100000000000001" customHeight="1" thickBot="1">
      <c r="A5" s="2" t="s">
        <v>37</v>
      </c>
      <c r="C5" s="20" t="s">
        <v>65</v>
      </c>
    </row>
    <row r="6" spans="1:3" ht="20.100000000000001" customHeight="1" thickBot="1">
      <c r="A6" s="2" t="s">
        <v>38</v>
      </c>
      <c r="C6" s="20" t="s">
        <v>66</v>
      </c>
    </row>
    <row r="7" spans="1:3" ht="20.100000000000001" customHeight="1" thickBot="1">
      <c r="A7" s="2" t="s">
        <v>39</v>
      </c>
      <c r="C7" s="20" t="s">
        <v>67</v>
      </c>
    </row>
    <row r="8" spans="1:3" ht="20.100000000000001" customHeight="1" thickBot="1">
      <c r="A8" s="2" t="s">
        <v>40</v>
      </c>
      <c r="C8" s="20" t="s">
        <v>68</v>
      </c>
    </row>
    <row r="9" spans="1:3" ht="20.100000000000001" customHeight="1" thickBot="1">
      <c r="A9" s="2" t="s">
        <v>41</v>
      </c>
      <c r="C9" s="20" t="s">
        <v>69</v>
      </c>
    </row>
    <row r="10" spans="1:3" ht="20.100000000000001" customHeight="1" thickBot="1">
      <c r="A10" s="2" t="s">
        <v>42</v>
      </c>
      <c r="C10" s="20" t="s">
        <v>70</v>
      </c>
    </row>
    <row r="11" spans="1:3" ht="20.100000000000001" customHeight="1" thickBot="1">
      <c r="A11" s="2" t="s">
        <v>43</v>
      </c>
      <c r="C11" s="20" t="s">
        <v>71</v>
      </c>
    </row>
    <row r="12" spans="1:3" ht="20.100000000000001" customHeight="1" thickBot="1">
      <c r="A12" s="2" t="s">
        <v>44</v>
      </c>
      <c r="C12" s="20" t="s">
        <v>72</v>
      </c>
    </row>
    <row r="13" spans="1:3" ht="20.100000000000001" customHeight="1" thickBot="1">
      <c r="A13" s="2" t="s">
        <v>45</v>
      </c>
      <c r="C13" s="20" t="s">
        <v>73</v>
      </c>
    </row>
    <row r="14" spans="1:3" ht="20.100000000000001" customHeight="1" thickBot="1">
      <c r="A14" s="2" t="s">
        <v>46</v>
      </c>
      <c r="C14" s="20" t="s">
        <v>74</v>
      </c>
    </row>
    <row r="15" spans="1:3" ht="20.100000000000001" customHeight="1" thickBot="1">
      <c r="A15" s="2" t="s">
        <v>47</v>
      </c>
      <c r="C15" s="20" t="s">
        <v>75</v>
      </c>
    </row>
    <row r="16" spans="1:3" ht="20.100000000000001" customHeight="1" thickBot="1">
      <c r="A16" s="2" t="s">
        <v>10</v>
      </c>
      <c r="C16" s="20" t="s">
        <v>76</v>
      </c>
    </row>
    <row r="17" spans="1:3" ht="20.100000000000001" customHeight="1" thickBot="1">
      <c r="A17" s="2" t="s">
        <v>27</v>
      </c>
      <c r="C17" s="20" t="s">
        <v>77</v>
      </c>
    </row>
    <row r="18" spans="1:3" ht="20.100000000000001" customHeight="1" thickBot="1">
      <c r="A18" s="2" t="s">
        <v>48</v>
      </c>
      <c r="C18" s="20" t="s">
        <v>78</v>
      </c>
    </row>
    <row r="19" spans="1:3" ht="20.100000000000001" customHeight="1" thickBot="1">
      <c r="A19" s="2" t="s">
        <v>49</v>
      </c>
      <c r="C19" s="20" t="s">
        <v>79</v>
      </c>
    </row>
    <row r="20" spans="1:3" ht="20.100000000000001" customHeight="1" thickBot="1">
      <c r="A20" s="2" t="s">
        <v>50</v>
      </c>
      <c r="C20" s="20" t="s">
        <v>80</v>
      </c>
    </row>
    <row r="21" spans="1:3" ht="20.100000000000001" customHeight="1" thickBot="1">
      <c r="A21" s="2" t="s">
        <v>51</v>
      </c>
      <c r="C21" s="20" t="s">
        <v>81</v>
      </c>
    </row>
    <row r="22" spans="1:3" ht="20.100000000000001" customHeight="1" thickBot="1">
      <c r="A22" s="2" t="s">
        <v>11</v>
      </c>
      <c r="C22" s="20" t="s">
        <v>82</v>
      </c>
    </row>
    <row r="23" spans="1:3" ht="20.100000000000001" customHeight="1" thickBot="1">
      <c r="A23" s="2" t="s">
        <v>12</v>
      </c>
      <c r="C23" s="20" t="s">
        <v>83</v>
      </c>
    </row>
    <row r="24" spans="1:3" ht="20.100000000000001" customHeight="1" thickBot="1">
      <c r="A24" s="2" t="s">
        <v>15</v>
      </c>
      <c r="C24" s="20" t="s">
        <v>84</v>
      </c>
    </row>
    <row r="25" spans="1:3" ht="20.100000000000001" customHeight="1" thickBot="1">
      <c r="A25" s="2" t="s">
        <v>28</v>
      </c>
      <c r="C25" s="20" t="s">
        <v>85</v>
      </c>
    </row>
    <row r="26" spans="1:3" ht="20.100000000000001" customHeight="1" thickBot="1">
      <c r="A26" s="2" t="s">
        <v>29</v>
      </c>
      <c r="C26" s="20" t="s">
        <v>86</v>
      </c>
    </row>
    <row r="27" spans="1:3" ht="20.100000000000001" customHeight="1" thickBot="1">
      <c r="A27" s="2" t="s">
        <v>13</v>
      </c>
      <c r="C27" s="20" t="s">
        <v>87</v>
      </c>
    </row>
    <row r="28" spans="1:3" ht="20.100000000000001" customHeight="1" thickBot="1">
      <c r="A28" s="2" t="s">
        <v>30</v>
      </c>
      <c r="C28" s="20" t="s">
        <v>88</v>
      </c>
    </row>
    <row r="29" spans="1:3" ht="20.100000000000001" customHeight="1" thickBot="1">
      <c r="A29" s="2" t="s">
        <v>31</v>
      </c>
      <c r="C29" s="20" t="s">
        <v>177</v>
      </c>
    </row>
    <row r="30" spans="1:3" ht="20.100000000000001" customHeight="1" thickBot="1">
      <c r="A30" s="2" t="s">
        <v>32</v>
      </c>
      <c r="C30" s="20" t="s">
        <v>178</v>
      </c>
    </row>
    <row r="31" spans="1:3" ht="20.100000000000001" customHeight="1" thickBot="1">
      <c r="A31" s="2" t="s">
        <v>33</v>
      </c>
      <c r="C31" s="20" t="s">
        <v>179</v>
      </c>
    </row>
    <row r="32" spans="1:3" ht="20.100000000000001" customHeight="1" thickBot="1">
      <c r="A32" s="2" t="s">
        <v>16</v>
      </c>
      <c r="C32" s="20"/>
    </row>
    <row r="33" spans="1:9" ht="20.100000000000001" customHeight="1" thickBot="1">
      <c r="A33" s="2" t="s">
        <v>14</v>
      </c>
      <c r="C33" s="20"/>
    </row>
    <row r="34" spans="1:9" ht="20.100000000000001" customHeight="1" thickBot="1">
      <c r="A34" s="2" t="s">
        <v>34</v>
      </c>
      <c r="C34" s="20"/>
    </row>
    <row r="35" spans="1:9" ht="20.100000000000001" customHeight="1">
      <c r="A35" s="19"/>
    </row>
    <row r="36" spans="1:9" s="18" customFormat="1" ht="20.100000000000001" customHeight="1">
      <c r="A36" s="16"/>
      <c r="B36" s="17"/>
      <c r="C36" s="17"/>
      <c r="D36" s="17"/>
      <c r="E36" s="17"/>
      <c r="F36" s="17"/>
      <c r="G36" s="17"/>
      <c r="H36" s="17"/>
      <c r="I36" s="17"/>
    </row>
    <row r="37" spans="1:9" ht="20.100000000000001" customHeight="1" thickBot="1"/>
    <row r="38" spans="1:9" ht="20.100000000000001" customHeight="1" thickBot="1">
      <c r="A38" s="2" t="s">
        <v>56</v>
      </c>
    </row>
    <row r="39" spans="1:9" ht="20.100000000000001" customHeight="1" thickBot="1">
      <c r="A39" s="14">
        <v>45931</v>
      </c>
    </row>
    <row r="40" spans="1:9" ht="20.100000000000001" customHeight="1" thickBot="1">
      <c r="A40" s="14">
        <v>45932</v>
      </c>
    </row>
    <row r="41" spans="1:9" ht="20.100000000000001" customHeight="1" thickBot="1">
      <c r="A41" s="14">
        <v>45933</v>
      </c>
    </row>
    <row r="42" spans="1:9" ht="20.100000000000001" customHeight="1" thickBot="1">
      <c r="A42" s="14">
        <v>45934</v>
      </c>
    </row>
    <row r="43" spans="1:9" ht="20.100000000000001" customHeight="1" thickBot="1">
      <c r="A43" s="14">
        <v>45935</v>
      </c>
    </row>
    <row r="44" spans="1:9" ht="20.100000000000001" customHeight="1" thickBot="1">
      <c r="A44" s="14">
        <v>45936</v>
      </c>
    </row>
    <row r="45" spans="1:9" ht="20.100000000000001" customHeight="1" thickBot="1">
      <c r="A45" s="14">
        <v>45937</v>
      </c>
    </row>
    <row r="46" spans="1:9" ht="20.100000000000001" customHeight="1" thickBot="1">
      <c r="A46" s="14">
        <v>45938</v>
      </c>
    </row>
    <row r="47" spans="1:9" ht="20.100000000000001" customHeight="1" thickBot="1">
      <c r="A47" s="14">
        <v>45939</v>
      </c>
    </row>
    <row r="48" spans="1:9" ht="20.100000000000001" customHeight="1" thickBot="1">
      <c r="A48" s="14">
        <v>45940</v>
      </c>
    </row>
    <row r="49" spans="1:1" ht="20.100000000000001" customHeight="1" thickBot="1">
      <c r="A49" s="14">
        <v>45941</v>
      </c>
    </row>
    <row r="50" spans="1:1" ht="20.100000000000001" customHeight="1" thickBot="1">
      <c r="A50" s="14">
        <v>45942</v>
      </c>
    </row>
    <row r="51" spans="1:1" ht="20.100000000000001" customHeight="1" thickBot="1">
      <c r="A51" s="14">
        <v>45943</v>
      </c>
    </row>
    <row r="52" spans="1:1" ht="20.100000000000001" customHeight="1" thickBot="1">
      <c r="A52" s="14">
        <v>45944</v>
      </c>
    </row>
    <row r="53" spans="1:1" ht="20.100000000000001" customHeight="1" thickBot="1">
      <c r="A53" s="14">
        <v>45945</v>
      </c>
    </row>
    <row r="54" spans="1:1" ht="20.100000000000001" customHeight="1" thickBot="1">
      <c r="A54" s="14">
        <v>45946</v>
      </c>
    </row>
    <row r="55" spans="1:1" ht="20.100000000000001" customHeight="1" thickBot="1">
      <c r="A55" s="14">
        <v>45947</v>
      </c>
    </row>
    <row r="56" spans="1:1" ht="20.100000000000001" customHeight="1" thickBot="1">
      <c r="A56" s="14">
        <v>45948</v>
      </c>
    </row>
    <row r="57" spans="1:1" ht="20.100000000000001" customHeight="1" thickBot="1">
      <c r="A57" s="14">
        <v>45949</v>
      </c>
    </row>
    <row r="58" spans="1:1" ht="20.100000000000001" customHeight="1" thickBot="1">
      <c r="A58" s="14">
        <v>45950</v>
      </c>
    </row>
    <row r="59" spans="1:1" ht="20.100000000000001" customHeight="1" thickBot="1">
      <c r="A59" s="14">
        <v>45951</v>
      </c>
    </row>
    <row r="60" spans="1:1" ht="20.100000000000001" customHeight="1" thickBot="1">
      <c r="A60" s="14">
        <v>45952</v>
      </c>
    </row>
    <row r="61" spans="1:1" ht="20.100000000000001" customHeight="1" thickBot="1">
      <c r="A61" s="14">
        <v>45953</v>
      </c>
    </row>
    <row r="62" spans="1:1" ht="20.100000000000001" customHeight="1" thickBot="1">
      <c r="A62" s="14">
        <v>45954</v>
      </c>
    </row>
    <row r="63" spans="1:1" ht="20.100000000000001" customHeight="1" thickBot="1">
      <c r="A63" s="14">
        <v>45955</v>
      </c>
    </row>
    <row r="64" spans="1:1" ht="20.100000000000001" customHeight="1" thickBot="1">
      <c r="A64" s="14">
        <v>45956</v>
      </c>
    </row>
    <row r="65" spans="1:1" ht="20.100000000000001" customHeight="1" thickBot="1">
      <c r="A65" s="14">
        <v>45957</v>
      </c>
    </row>
    <row r="66" spans="1:1" ht="20.100000000000001" customHeight="1" thickBot="1">
      <c r="A66" s="14">
        <v>45958</v>
      </c>
    </row>
    <row r="67" spans="1:1" ht="20.100000000000001" customHeight="1" thickBot="1">
      <c r="A67" s="14">
        <v>45959</v>
      </c>
    </row>
    <row r="68" spans="1:1" ht="20.100000000000001" customHeight="1" thickBot="1">
      <c r="A68" s="14">
        <v>45960</v>
      </c>
    </row>
    <row r="69" spans="1:1" ht="20.100000000000001" customHeight="1" thickBot="1">
      <c r="A69" s="14">
        <v>45961</v>
      </c>
    </row>
    <row r="70" spans="1:1" ht="20.100000000000001" customHeight="1" thickBot="1">
      <c r="A70" s="14"/>
    </row>
    <row r="71" spans="1:1" ht="20.100000000000001" customHeight="1" thickBot="1">
      <c r="A71" s="14"/>
    </row>
    <row r="72" spans="1:1" ht="20.100000000000001" customHeight="1" thickBot="1">
      <c r="A72" s="14"/>
    </row>
    <row r="73" spans="1:1" ht="20.100000000000001" customHeight="1" thickBot="1">
      <c r="A73" s="14"/>
    </row>
    <row r="74" spans="1:1" ht="20.100000000000001" customHeight="1" thickBot="1">
      <c r="A74" s="14"/>
    </row>
    <row r="75" spans="1:1" ht="20.100000000000001" customHeight="1" thickBot="1">
      <c r="A75" s="14"/>
    </row>
    <row r="76" spans="1:1" ht="20.100000000000001" customHeight="1" thickBot="1">
      <c r="A76" s="14"/>
    </row>
    <row r="77" spans="1:1" ht="20.100000000000001" customHeight="1" thickBot="1">
      <c r="A77" s="14"/>
    </row>
    <row r="78" spans="1:1" ht="20.100000000000001" customHeight="1" thickBot="1">
      <c r="A78" s="14"/>
    </row>
    <row r="79" spans="1:1" ht="20.100000000000001" customHeight="1" thickBot="1">
      <c r="A79" s="14"/>
    </row>
    <row r="80" spans="1:1" ht="20.100000000000001" customHeight="1" thickBot="1">
      <c r="A80" s="14"/>
    </row>
    <row r="81" spans="1:1" ht="20.100000000000001" customHeight="1" thickBot="1">
      <c r="A81" s="14"/>
    </row>
    <row r="82" spans="1:1" ht="20.100000000000001" customHeight="1" thickBot="1">
      <c r="A82" s="14"/>
    </row>
    <row r="83" spans="1:1" ht="20.100000000000001" customHeight="1" thickBot="1">
      <c r="A83" s="14"/>
    </row>
    <row r="84" spans="1:1" ht="20.100000000000001" customHeight="1" thickBot="1">
      <c r="A84" s="14"/>
    </row>
    <row r="85" spans="1:1" ht="20.100000000000001" customHeight="1" thickBot="1">
      <c r="A85" s="14"/>
    </row>
    <row r="86" spans="1:1" ht="20.100000000000001" customHeight="1" thickBot="1">
      <c r="A86" s="14"/>
    </row>
    <row r="87" spans="1:1" ht="20.100000000000001" customHeight="1" thickBot="1">
      <c r="A87" s="14"/>
    </row>
    <row r="88" spans="1:1" ht="20.100000000000001" customHeight="1" thickBot="1">
      <c r="A88" s="14"/>
    </row>
    <row r="89" spans="1:1" ht="20.100000000000001" customHeight="1" thickBot="1">
      <c r="A89" s="14"/>
    </row>
    <row r="90" spans="1:1" ht="20.100000000000001" customHeight="1" thickBot="1">
      <c r="A90" s="14"/>
    </row>
    <row r="91" spans="1:1" ht="20.100000000000001" customHeight="1" thickBot="1">
      <c r="A91" s="14"/>
    </row>
    <row r="92" spans="1:1" ht="20.100000000000001" customHeight="1" thickBot="1">
      <c r="A92" s="14"/>
    </row>
    <row r="93" spans="1:1" ht="20.100000000000001" customHeight="1" thickBot="1">
      <c r="A93" s="14"/>
    </row>
    <row r="94" spans="1:1" ht="20.100000000000001" customHeight="1" thickBot="1">
      <c r="A94" s="14"/>
    </row>
    <row r="95" spans="1:1" ht="20.100000000000001" customHeight="1" thickBot="1">
      <c r="A95" s="14"/>
    </row>
    <row r="96" spans="1:1" ht="20.100000000000001" customHeight="1" thickBot="1">
      <c r="A96" s="14"/>
    </row>
    <row r="97" spans="1:9" ht="20.100000000000001" customHeight="1" thickBot="1">
      <c r="A97" s="14"/>
    </row>
    <row r="98" spans="1:9" ht="20.100000000000001" customHeight="1" thickBot="1">
      <c r="A98" s="14"/>
    </row>
    <row r="99" spans="1:9" ht="20.100000000000001" customHeight="1" thickBot="1">
      <c r="A99" s="14"/>
    </row>
    <row r="100" spans="1:9" ht="20.100000000000001" customHeight="1" thickBot="1">
      <c r="A100" s="14"/>
    </row>
    <row r="101" spans="1:9" ht="20.100000000000001" customHeight="1" thickBot="1">
      <c r="A101" s="14"/>
    </row>
    <row r="102" spans="1:9" ht="20.100000000000001" customHeight="1" thickBot="1">
      <c r="A102" s="14"/>
    </row>
    <row r="103" spans="1:9" ht="20.100000000000001" customHeight="1" thickBot="1">
      <c r="A103" s="14"/>
    </row>
    <row r="104" spans="1:9" ht="20.100000000000001" customHeight="1" thickBot="1">
      <c r="A104" s="14"/>
    </row>
    <row r="105" spans="1:9" ht="20.100000000000001" customHeight="1" thickBot="1">
      <c r="A105" s="14"/>
    </row>
    <row r="106" spans="1:9" ht="20.100000000000001" customHeight="1" thickBot="1">
      <c r="A106" s="14"/>
    </row>
    <row r="107" spans="1:9" ht="20.100000000000001" customHeight="1">
      <c r="A107" s="15"/>
    </row>
    <row r="108" spans="1:9" ht="20.100000000000001" customHeight="1">
      <c r="A108" s="15"/>
    </row>
    <row r="109" spans="1:9" s="18" customFormat="1" ht="20.100000000000001" customHeight="1">
      <c r="A109" s="16"/>
      <c r="B109" s="17"/>
      <c r="C109" s="17"/>
      <c r="D109" s="17"/>
      <c r="E109" s="17"/>
      <c r="F109" s="17"/>
      <c r="G109" s="17"/>
      <c r="H109" s="17"/>
      <c r="I109" s="17"/>
    </row>
    <row r="110" spans="1:9" ht="20.100000000000001" customHeight="1" thickBot="1"/>
    <row r="111" spans="1:9" ht="20.100000000000001" customHeight="1" thickBot="1">
      <c r="A111" s="2" t="s">
        <v>61</v>
      </c>
    </row>
    <row r="112" spans="1:9" ht="20.100000000000001" customHeight="1" thickBot="1">
      <c r="A112" s="2" t="s">
        <v>17</v>
      </c>
    </row>
    <row r="113" spans="1:1" ht="20.100000000000001" customHeight="1" thickBot="1">
      <c r="A113" s="2">
        <v>0</v>
      </c>
    </row>
    <row r="114" spans="1:1" ht="20.100000000000001" customHeight="1" thickBot="1">
      <c r="A114" s="2">
        <v>0.25</v>
      </c>
    </row>
    <row r="115" spans="1:1" ht="20.100000000000001" customHeight="1" thickBot="1">
      <c r="A115" s="2">
        <v>0.5</v>
      </c>
    </row>
    <row r="116" spans="1:1" ht="20.100000000000001" customHeight="1" thickBot="1">
      <c r="A116" s="2">
        <v>0.75</v>
      </c>
    </row>
    <row r="117" spans="1:1" ht="20.100000000000001" customHeight="1" thickBot="1">
      <c r="A117" s="2">
        <v>1</v>
      </c>
    </row>
    <row r="118" spans="1:1" ht="20.100000000000001" customHeight="1" thickBot="1">
      <c r="A118" s="2">
        <v>1.25</v>
      </c>
    </row>
    <row r="119" spans="1:1" ht="20.100000000000001" customHeight="1" thickBot="1">
      <c r="A119" s="2">
        <v>1.5</v>
      </c>
    </row>
    <row r="120" spans="1:1" ht="20.100000000000001" customHeight="1" thickBot="1">
      <c r="A120" s="2">
        <v>1.75</v>
      </c>
    </row>
    <row r="121" spans="1:1" ht="20.100000000000001" customHeight="1" thickBot="1">
      <c r="A121" s="2">
        <v>2</v>
      </c>
    </row>
    <row r="122" spans="1:1" ht="20.100000000000001" customHeight="1" thickBot="1">
      <c r="A122" s="2">
        <v>2.25</v>
      </c>
    </row>
    <row r="123" spans="1:1" ht="20.100000000000001" customHeight="1" thickBot="1">
      <c r="A123" s="2">
        <v>2.5</v>
      </c>
    </row>
    <row r="124" spans="1:1" ht="20.100000000000001" customHeight="1" thickBot="1">
      <c r="A124" s="2">
        <v>2.75</v>
      </c>
    </row>
    <row r="125" spans="1:1" ht="20.100000000000001" customHeight="1" thickBot="1">
      <c r="A125" s="2">
        <v>3</v>
      </c>
    </row>
    <row r="126" spans="1:1" ht="20.100000000000001" customHeight="1" thickBot="1">
      <c r="A126" s="2">
        <v>3.25</v>
      </c>
    </row>
    <row r="127" spans="1:1" ht="20.100000000000001" customHeight="1" thickBot="1">
      <c r="A127" s="2">
        <v>3.5</v>
      </c>
    </row>
    <row r="128" spans="1:1" ht="20.100000000000001" customHeight="1" thickBot="1">
      <c r="A128" s="2">
        <v>3.75</v>
      </c>
    </row>
    <row r="129" spans="1:1" ht="20.100000000000001" customHeight="1" thickBot="1">
      <c r="A129" s="2">
        <v>4</v>
      </c>
    </row>
    <row r="130" spans="1:1" ht="20.100000000000001" customHeight="1" thickBot="1">
      <c r="A130" s="2">
        <v>4.25</v>
      </c>
    </row>
    <row r="131" spans="1:1" ht="20.100000000000001" customHeight="1" thickBot="1">
      <c r="A131" s="2">
        <v>4.5</v>
      </c>
    </row>
    <row r="132" spans="1:1" ht="20.100000000000001" customHeight="1" thickBot="1">
      <c r="A132" s="2">
        <v>4.75</v>
      </c>
    </row>
    <row r="133" spans="1:1" ht="20.100000000000001" customHeight="1" thickBot="1">
      <c r="A133" s="2">
        <v>5</v>
      </c>
    </row>
    <row r="134" spans="1:1" ht="20.100000000000001" customHeight="1" thickBot="1">
      <c r="A134" s="2">
        <v>5.25</v>
      </c>
    </row>
    <row r="135" spans="1:1" ht="20.100000000000001" customHeight="1" thickBot="1">
      <c r="A135" s="2">
        <v>5.5</v>
      </c>
    </row>
    <row r="136" spans="1:1" ht="20.100000000000001" customHeight="1" thickBot="1">
      <c r="A136" s="2">
        <v>5.75</v>
      </c>
    </row>
    <row r="137" spans="1:1" ht="20.100000000000001" customHeight="1" thickBot="1">
      <c r="A137" s="2">
        <v>6</v>
      </c>
    </row>
    <row r="138" spans="1:1" ht="20.100000000000001" customHeight="1" thickBot="1">
      <c r="A138" s="2">
        <v>6.25</v>
      </c>
    </row>
    <row r="139" spans="1:1" ht="20.100000000000001" customHeight="1" thickBot="1">
      <c r="A139" s="2">
        <v>6.5</v>
      </c>
    </row>
    <row r="140" spans="1:1" ht="20.100000000000001" customHeight="1" thickBot="1">
      <c r="A140" s="2">
        <v>6.75</v>
      </c>
    </row>
    <row r="141" spans="1:1" ht="20.100000000000001" customHeight="1" thickBot="1">
      <c r="A141" s="2">
        <v>7</v>
      </c>
    </row>
    <row r="142" spans="1:1" ht="20.100000000000001" customHeight="1" thickBot="1">
      <c r="A142" s="2">
        <v>7.25</v>
      </c>
    </row>
    <row r="143" spans="1:1" ht="20.100000000000001" customHeight="1" thickBot="1">
      <c r="A143" s="2">
        <v>7.5</v>
      </c>
    </row>
    <row r="144" spans="1:1" ht="20.100000000000001" customHeight="1" thickBot="1">
      <c r="A144" s="2">
        <v>7.75</v>
      </c>
    </row>
    <row r="145" spans="1:1" ht="20.100000000000001" customHeight="1" thickBot="1">
      <c r="A145" s="2">
        <v>8</v>
      </c>
    </row>
    <row r="146" spans="1:1" ht="20.100000000000001" customHeight="1" thickBot="1">
      <c r="A146" s="2">
        <v>8.25</v>
      </c>
    </row>
    <row r="147" spans="1:1" ht="20.100000000000001" customHeight="1" thickBot="1">
      <c r="A147" s="2">
        <v>8.5</v>
      </c>
    </row>
    <row r="148" spans="1:1" ht="20.100000000000001" customHeight="1" thickBot="1">
      <c r="A148" s="2">
        <v>8.75</v>
      </c>
    </row>
    <row r="149" spans="1:1" ht="20.100000000000001" customHeight="1" thickBot="1">
      <c r="A149" s="2">
        <v>9</v>
      </c>
    </row>
    <row r="150" spans="1:1" ht="20.100000000000001" customHeight="1" thickBot="1">
      <c r="A150" s="2">
        <v>9.25</v>
      </c>
    </row>
    <row r="151" spans="1:1" ht="20.100000000000001" customHeight="1" thickBot="1">
      <c r="A151" s="2">
        <v>9.5</v>
      </c>
    </row>
    <row r="152" spans="1:1" ht="20.100000000000001" customHeight="1" thickBot="1">
      <c r="A152" s="2">
        <v>9.75</v>
      </c>
    </row>
    <row r="153" spans="1:1" ht="20.100000000000001" customHeight="1" thickBot="1">
      <c r="A153" s="2">
        <v>10</v>
      </c>
    </row>
    <row r="154" spans="1:1" ht="20.100000000000001" customHeight="1" thickBot="1">
      <c r="A154" s="2">
        <v>10.25</v>
      </c>
    </row>
    <row r="155" spans="1:1" ht="20.100000000000001" customHeight="1" thickBot="1">
      <c r="A155" s="2">
        <v>10.5</v>
      </c>
    </row>
    <row r="156" spans="1:1" ht="20.100000000000001" customHeight="1" thickBot="1">
      <c r="A156" s="2">
        <v>10.75</v>
      </c>
    </row>
    <row r="157" spans="1:1" ht="20.100000000000001" customHeight="1" thickBot="1">
      <c r="A157" s="2">
        <v>11</v>
      </c>
    </row>
    <row r="158" spans="1:1" ht="20.100000000000001" customHeight="1" thickBot="1">
      <c r="A158" s="2">
        <v>11.25</v>
      </c>
    </row>
    <row r="159" spans="1:1" ht="20.100000000000001" customHeight="1" thickBot="1">
      <c r="A159" s="2">
        <v>11.5</v>
      </c>
    </row>
    <row r="160" spans="1:1" ht="20.100000000000001" customHeight="1" thickBot="1">
      <c r="A160" s="2">
        <v>11.75</v>
      </c>
    </row>
    <row r="161" spans="1:1" ht="20.100000000000001" customHeight="1" thickBot="1">
      <c r="A161" s="2">
        <v>12</v>
      </c>
    </row>
    <row r="162" spans="1:1" ht="20.100000000000001" customHeight="1" thickBot="1">
      <c r="A162" s="2">
        <v>12.25</v>
      </c>
    </row>
    <row r="163" spans="1:1" ht="20.100000000000001" customHeight="1" thickBot="1">
      <c r="A163" s="2">
        <v>12.5</v>
      </c>
    </row>
    <row r="164" spans="1:1" ht="20.100000000000001" customHeight="1" thickBot="1">
      <c r="A164" s="2">
        <v>12.75</v>
      </c>
    </row>
    <row r="165" spans="1:1" ht="20.100000000000001" customHeight="1" thickBot="1">
      <c r="A165" s="2">
        <v>13</v>
      </c>
    </row>
    <row r="166" spans="1:1" ht="20.100000000000001" customHeight="1" thickBot="1">
      <c r="A166" s="2">
        <v>13.25</v>
      </c>
    </row>
    <row r="167" spans="1:1" ht="20.100000000000001" customHeight="1" thickBot="1">
      <c r="A167" s="2">
        <v>13.5</v>
      </c>
    </row>
    <row r="168" spans="1:1" ht="20.100000000000001" customHeight="1" thickBot="1">
      <c r="A168" s="2">
        <v>13.75</v>
      </c>
    </row>
    <row r="169" spans="1:1" ht="20.100000000000001" customHeight="1" thickBot="1">
      <c r="A169" s="2">
        <v>14</v>
      </c>
    </row>
    <row r="170" spans="1:1" ht="20.100000000000001" customHeight="1" thickBot="1">
      <c r="A170" s="2">
        <v>14.25</v>
      </c>
    </row>
    <row r="171" spans="1:1" ht="20.100000000000001" customHeight="1" thickBot="1">
      <c r="A171" s="2">
        <v>14.5</v>
      </c>
    </row>
    <row r="172" spans="1:1" ht="20.100000000000001" customHeight="1" thickBot="1">
      <c r="A172" s="2">
        <v>14.75</v>
      </c>
    </row>
    <row r="173" spans="1:1" ht="20.100000000000001" customHeight="1" thickBot="1">
      <c r="A173" s="2">
        <v>15</v>
      </c>
    </row>
    <row r="174" spans="1:1" ht="20.100000000000001" customHeight="1" thickBot="1">
      <c r="A174" s="2">
        <v>15.25</v>
      </c>
    </row>
    <row r="175" spans="1:1" ht="20.100000000000001" customHeight="1" thickBot="1">
      <c r="A175" s="2">
        <v>15.5</v>
      </c>
    </row>
    <row r="176" spans="1:1" ht="20.100000000000001" customHeight="1" thickBot="1">
      <c r="A176" s="2">
        <v>15.75</v>
      </c>
    </row>
    <row r="177" spans="1:1" ht="20.100000000000001" customHeight="1" thickBot="1">
      <c r="A177" s="2">
        <v>16</v>
      </c>
    </row>
    <row r="178" spans="1:1" ht="20.100000000000001" customHeight="1" thickBot="1">
      <c r="A178" s="2">
        <v>16.25</v>
      </c>
    </row>
    <row r="179" spans="1:1" ht="20.100000000000001" customHeight="1" thickBot="1">
      <c r="A179" s="2">
        <v>16.5</v>
      </c>
    </row>
    <row r="180" spans="1:1" ht="20.100000000000001" customHeight="1" thickBot="1">
      <c r="A180" s="2">
        <v>16.75</v>
      </c>
    </row>
    <row r="181" spans="1:1" ht="20.100000000000001" customHeight="1" thickBot="1">
      <c r="A181" s="2">
        <v>17</v>
      </c>
    </row>
    <row r="182" spans="1:1" ht="20.100000000000001" customHeight="1" thickBot="1">
      <c r="A182" s="2">
        <v>17.25</v>
      </c>
    </row>
    <row r="183" spans="1:1" ht="20.100000000000001" customHeight="1" thickBot="1">
      <c r="A183" s="2">
        <v>17.5</v>
      </c>
    </row>
    <row r="184" spans="1:1" ht="20.100000000000001" customHeight="1" thickBot="1">
      <c r="A184" s="2">
        <v>17.75</v>
      </c>
    </row>
    <row r="185" spans="1:1" ht="20.100000000000001" customHeight="1" thickBot="1">
      <c r="A185" s="2">
        <v>18</v>
      </c>
    </row>
    <row r="186" spans="1:1" ht="20.100000000000001" customHeight="1" thickBot="1">
      <c r="A186" s="2">
        <v>18.25</v>
      </c>
    </row>
    <row r="187" spans="1:1" ht="20.100000000000001" customHeight="1" thickBot="1">
      <c r="A187" s="2">
        <v>18.5</v>
      </c>
    </row>
    <row r="188" spans="1:1" ht="20.100000000000001" customHeight="1" thickBot="1">
      <c r="A188" s="2">
        <v>18.75</v>
      </c>
    </row>
    <row r="189" spans="1:1" ht="20.100000000000001" customHeight="1" thickBot="1">
      <c r="A189" s="2">
        <v>19</v>
      </c>
    </row>
    <row r="190" spans="1:1" ht="20.100000000000001" customHeight="1" thickBot="1">
      <c r="A190" s="2">
        <v>19.25</v>
      </c>
    </row>
    <row r="191" spans="1:1" ht="20.100000000000001" customHeight="1" thickBot="1">
      <c r="A191" s="2">
        <v>19.5</v>
      </c>
    </row>
    <row r="192" spans="1:1" ht="20.100000000000001" customHeight="1" thickBot="1">
      <c r="A192" s="2">
        <v>19.75</v>
      </c>
    </row>
    <row r="193" spans="1:1" ht="20.100000000000001" customHeight="1" thickBot="1">
      <c r="A193" s="2">
        <v>20</v>
      </c>
    </row>
    <row r="197" spans="1:1" ht="20.100000000000001" customHeight="1" thickBot="1"/>
    <row r="198" spans="1:1" ht="20.100000000000001" customHeight="1" thickBot="1">
      <c r="A198" s="2" t="s">
        <v>59</v>
      </c>
    </row>
    <row r="199" spans="1:1" ht="20.100000000000001" customHeight="1">
      <c r="A199" s="21" t="s">
        <v>89</v>
      </c>
    </row>
    <row r="200" spans="1:1" ht="20.100000000000001" customHeight="1">
      <c r="A200" s="21" t="s">
        <v>90</v>
      </c>
    </row>
    <row r="201" spans="1:1" ht="20.100000000000001" customHeight="1">
      <c r="A201" s="21" t="s">
        <v>91</v>
      </c>
    </row>
    <row r="202" spans="1:1" ht="20.100000000000001" customHeight="1">
      <c r="A202" s="21" t="s">
        <v>92</v>
      </c>
    </row>
    <row r="203" spans="1:1" ht="20.100000000000001" customHeight="1">
      <c r="A203" s="21" t="s">
        <v>93</v>
      </c>
    </row>
    <row r="204" spans="1:1" ht="20.100000000000001" customHeight="1">
      <c r="A204" s="21" t="s">
        <v>94</v>
      </c>
    </row>
    <row r="205" spans="1:1" ht="20.100000000000001" customHeight="1">
      <c r="A205" s="21" t="s">
        <v>95</v>
      </c>
    </row>
    <row r="206" spans="1:1" ht="20.100000000000001" customHeight="1">
      <c r="A206" s="21" t="s">
        <v>96</v>
      </c>
    </row>
    <row r="207" spans="1:1" ht="20.100000000000001" customHeight="1">
      <c r="A207" s="21" t="s">
        <v>97</v>
      </c>
    </row>
    <row r="208" spans="1:1" ht="20.100000000000001" customHeight="1">
      <c r="A208" s="22" t="s">
        <v>98</v>
      </c>
    </row>
    <row r="209" spans="1:1" ht="20.100000000000001" customHeight="1">
      <c r="A209" s="22" t="s">
        <v>99</v>
      </c>
    </row>
    <row r="210" spans="1:1" ht="20.100000000000001" customHeight="1">
      <c r="A210" s="21" t="s">
        <v>100</v>
      </c>
    </row>
    <row r="211" spans="1:1" ht="20.100000000000001" customHeight="1">
      <c r="A211" s="21" t="s">
        <v>101</v>
      </c>
    </row>
    <row r="212" spans="1:1" ht="20.100000000000001" customHeight="1">
      <c r="A212" s="21" t="s">
        <v>175</v>
      </c>
    </row>
    <row r="213" spans="1:1" ht="20.100000000000001" customHeight="1">
      <c r="A213" s="21" t="s">
        <v>102</v>
      </c>
    </row>
    <row r="214" spans="1:1" ht="20.100000000000001" customHeight="1">
      <c r="A214" s="21" t="s">
        <v>103</v>
      </c>
    </row>
    <row r="215" spans="1:1" ht="20.100000000000001" customHeight="1">
      <c r="A215" s="21" t="s">
        <v>104</v>
      </c>
    </row>
    <row r="216" spans="1:1" ht="20.100000000000001" customHeight="1">
      <c r="A216" s="21" t="s">
        <v>105</v>
      </c>
    </row>
    <row r="217" spans="1:1" ht="20.100000000000001" customHeight="1">
      <c r="A217" s="21" t="s">
        <v>106</v>
      </c>
    </row>
    <row r="218" spans="1:1" ht="20.100000000000001" customHeight="1">
      <c r="A218" s="21" t="s">
        <v>107</v>
      </c>
    </row>
    <row r="219" spans="1:1" ht="20.100000000000001" customHeight="1">
      <c r="A219" s="21" t="s">
        <v>108</v>
      </c>
    </row>
    <row r="220" spans="1:1" ht="20.100000000000001" customHeight="1">
      <c r="A220" s="21" t="s">
        <v>109</v>
      </c>
    </row>
    <row r="221" spans="1:1" ht="20.100000000000001" customHeight="1">
      <c r="A221" s="21" t="s">
        <v>110</v>
      </c>
    </row>
    <row r="222" spans="1:1" ht="20.100000000000001" customHeight="1">
      <c r="A222" s="21" t="s">
        <v>111</v>
      </c>
    </row>
    <row r="223" spans="1:1" ht="20.100000000000001" customHeight="1">
      <c r="A223" s="21" t="s">
        <v>112</v>
      </c>
    </row>
    <row r="224" spans="1:1" ht="20.100000000000001" customHeight="1">
      <c r="A224" s="21" t="s">
        <v>176</v>
      </c>
    </row>
    <row r="225" spans="1:1" ht="20.100000000000001" customHeight="1">
      <c r="A225" s="21" t="s">
        <v>113</v>
      </c>
    </row>
    <row r="226" spans="1:1" ht="20.100000000000001" customHeight="1">
      <c r="A226" s="21" t="s">
        <v>114</v>
      </c>
    </row>
    <row r="227" spans="1:1" ht="20.100000000000001" customHeight="1">
      <c r="A227" s="21" t="s">
        <v>115</v>
      </c>
    </row>
    <row r="228" spans="1:1" ht="20.100000000000001" customHeight="1">
      <c r="A228" s="21" t="s">
        <v>116</v>
      </c>
    </row>
    <row r="229" spans="1:1" ht="20.100000000000001" customHeight="1">
      <c r="A229" s="21" t="s">
        <v>117</v>
      </c>
    </row>
    <row r="230" spans="1:1" ht="20.100000000000001" customHeight="1">
      <c r="A230" s="21" t="s">
        <v>118</v>
      </c>
    </row>
    <row r="231" spans="1:1" ht="20.100000000000001" customHeight="1">
      <c r="A231" s="21" t="s">
        <v>119</v>
      </c>
    </row>
    <row r="232" spans="1:1" ht="20.100000000000001" customHeight="1">
      <c r="A232" s="21" t="s">
        <v>120</v>
      </c>
    </row>
    <row r="233" spans="1:1" ht="20.100000000000001" customHeight="1">
      <c r="A233" s="21" t="s">
        <v>121</v>
      </c>
    </row>
    <row r="234" spans="1:1" ht="20.100000000000001" customHeight="1">
      <c r="A234" s="21" t="s">
        <v>122</v>
      </c>
    </row>
    <row r="235" spans="1:1" ht="20.100000000000001" customHeight="1">
      <c r="A235" s="21" t="s">
        <v>123</v>
      </c>
    </row>
    <row r="236" spans="1:1" ht="20.100000000000001" customHeight="1">
      <c r="A236" s="23" t="s">
        <v>124</v>
      </c>
    </row>
    <row r="237" spans="1:1" ht="20.100000000000001" customHeight="1">
      <c r="A237" s="21" t="s">
        <v>125</v>
      </c>
    </row>
    <row r="238" spans="1:1" ht="20.100000000000001" customHeight="1">
      <c r="A238" s="21" t="s">
        <v>126</v>
      </c>
    </row>
    <row r="239" spans="1:1" ht="20.100000000000001" customHeight="1">
      <c r="A239" s="21" t="s">
        <v>127</v>
      </c>
    </row>
    <row r="240" spans="1:1" ht="20.100000000000001" customHeight="1">
      <c r="A240" s="21" t="s">
        <v>128</v>
      </c>
    </row>
    <row r="241" spans="1:1" ht="20.100000000000001" customHeight="1">
      <c r="A241" s="21" t="s">
        <v>129</v>
      </c>
    </row>
    <row r="242" spans="1:1" ht="20.100000000000001" customHeight="1">
      <c r="A242" s="21" t="s">
        <v>130</v>
      </c>
    </row>
    <row r="243" spans="1:1" ht="20.100000000000001" customHeight="1">
      <c r="A243" s="21" t="s">
        <v>131</v>
      </c>
    </row>
    <row r="244" spans="1:1" ht="20.100000000000001" customHeight="1">
      <c r="A244" s="21" t="s">
        <v>132</v>
      </c>
    </row>
    <row r="245" spans="1:1" ht="20.100000000000001" customHeight="1">
      <c r="A245" s="21" t="s">
        <v>133</v>
      </c>
    </row>
    <row r="246" spans="1:1" ht="20.100000000000001" customHeight="1">
      <c r="A246" s="21" t="s">
        <v>134</v>
      </c>
    </row>
    <row r="247" spans="1:1" ht="20.100000000000001" customHeight="1">
      <c r="A247" s="21" t="s">
        <v>135</v>
      </c>
    </row>
    <row r="248" spans="1:1" ht="20.100000000000001" customHeight="1">
      <c r="A248" s="21" t="s">
        <v>126</v>
      </c>
    </row>
    <row r="249" spans="1:1" ht="20.100000000000001" customHeight="1">
      <c r="A249" s="21" t="s">
        <v>136</v>
      </c>
    </row>
    <row r="250" spans="1:1" ht="20.100000000000001" customHeight="1">
      <c r="A250" s="21" t="s">
        <v>137</v>
      </c>
    </row>
    <row r="251" spans="1:1" ht="20.100000000000001" customHeight="1">
      <c r="A251" s="23" t="s">
        <v>138</v>
      </c>
    </row>
    <row r="252" spans="1:1" ht="20.100000000000001" customHeight="1">
      <c r="A252" s="24" t="s">
        <v>139</v>
      </c>
    </row>
    <row r="253" spans="1:1" ht="20.100000000000001" customHeight="1">
      <c r="A253" s="21" t="s">
        <v>140</v>
      </c>
    </row>
    <row r="254" spans="1:1" ht="20.100000000000001" customHeight="1">
      <c r="A254" s="21" t="s">
        <v>141</v>
      </c>
    </row>
    <row r="255" spans="1:1" ht="20.100000000000001" customHeight="1">
      <c r="A255" s="25" t="s">
        <v>142</v>
      </c>
    </row>
    <row r="256" spans="1:1" ht="20.100000000000001" customHeight="1">
      <c r="A256" s="25" t="s">
        <v>143</v>
      </c>
    </row>
    <row r="257" spans="1:1" ht="20.100000000000001" customHeight="1">
      <c r="A257" s="26" t="s">
        <v>144</v>
      </c>
    </row>
    <row r="258" spans="1:1" ht="20.100000000000001" customHeight="1">
      <c r="A258" s="21" t="s">
        <v>145</v>
      </c>
    </row>
    <row r="259" spans="1:1" ht="20.100000000000001" customHeight="1">
      <c r="A259" s="26" t="s">
        <v>146</v>
      </c>
    </row>
    <row r="260" spans="1:1" ht="20.100000000000001" customHeight="1">
      <c r="A260" s="21" t="s">
        <v>147</v>
      </c>
    </row>
    <row r="261" spans="1:1" ht="20.100000000000001" customHeight="1">
      <c r="A261" s="26" t="s">
        <v>148</v>
      </c>
    </row>
    <row r="262" spans="1:1" ht="20.100000000000001" customHeight="1">
      <c r="A262" s="21" t="s">
        <v>149</v>
      </c>
    </row>
    <row r="263" spans="1:1" ht="20.100000000000001" customHeight="1">
      <c r="A263" s="21" t="s">
        <v>150</v>
      </c>
    </row>
    <row r="264" spans="1:1" ht="20.100000000000001" customHeight="1">
      <c r="A264" s="26" t="s">
        <v>151</v>
      </c>
    </row>
    <row r="265" spans="1:1" ht="20.100000000000001" customHeight="1">
      <c r="A265" s="26" t="s">
        <v>152</v>
      </c>
    </row>
    <row r="266" spans="1:1" ht="20.100000000000001" customHeight="1">
      <c r="A266" s="26" t="s">
        <v>153</v>
      </c>
    </row>
    <row r="267" spans="1:1" ht="20.100000000000001" customHeight="1">
      <c r="A267" s="21" t="s">
        <v>154</v>
      </c>
    </row>
    <row r="268" spans="1:1" ht="20.100000000000001" customHeight="1">
      <c r="A268" s="21" t="s">
        <v>155</v>
      </c>
    </row>
    <row r="269" spans="1:1" ht="20.100000000000001" customHeight="1">
      <c r="A269" s="21" t="s">
        <v>156</v>
      </c>
    </row>
    <row r="270" spans="1:1" ht="20.100000000000001" customHeight="1">
      <c r="A270" s="21" t="s">
        <v>157</v>
      </c>
    </row>
    <row r="271" spans="1:1" ht="20.100000000000001" customHeight="1">
      <c r="A271" s="26" t="s">
        <v>158</v>
      </c>
    </row>
    <row r="272" spans="1:1" ht="20.100000000000001" customHeight="1">
      <c r="A272" s="26" t="s">
        <v>159</v>
      </c>
    </row>
    <row r="273" spans="1:1" ht="20.100000000000001" customHeight="1">
      <c r="A273" s="21" t="s">
        <v>160</v>
      </c>
    </row>
    <row r="274" spans="1:1" ht="20.100000000000001" customHeight="1">
      <c r="A274" s="26" t="s">
        <v>161</v>
      </c>
    </row>
    <row r="275" spans="1:1" ht="20.100000000000001" customHeight="1">
      <c r="A275" s="26" t="s">
        <v>162</v>
      </c>
    </row>
    <row r="276" spans="1:1" ht="20.100000000000001" customHeight="1">
      <c r="A276" s="21" t="s">
        <v>163</v>
      </c>
    </row>
    <row r="277" spans="1:1" ht="20.100000000000001" customHeight="1">
      <c r="A277" s="21" t="s">
        <v>164</v>
      </c>
    </row>
    <row r="278" spans="1:1" ht="20.100000000000001" customHeight="1">
      <c r="A278" s="26" t="s">
        <v>165</v>
      </c>
    </row>
    <row r="279" spans="1:1" ht="20.100000000000001" customHeight="1">
      <c r="A279" s="21" t="s">
        <v>166</v>
      </c>
    </row>
    <row r="280" spans="1:1" ht="20.100000000000001" customHeight="1">
      <c r="A280" s="21" t="s">
        <v>167</v>
      </c>
    </row>
    <row r="281" spans="1:1" ht="20.100000000000001" customHeight="1">
      <c r="A281" s="21" t="s">
        <v>168</v>
      </c>
    </row>
    <row r="282" spans="1:1" ht="20.100000000000001" customHeight="1">
      <c r="A282" s="21" t="s">
        <v>169</v>
      </c>
    </row>
    <row r="283" spans="1:1" ht="20.100000000000001" customHeight="1">
      <c r="A283" s="26" t="s">
        <v>170</v>
      </c>
    </row>
    <row r="284" spans="1:1" ht="20.100000000000001" customHeight="1">
      <c r="A284" s="26" t="s">
        <v>171</v>
      </c>
    </row>
    <row r="285" spans="1:1" ht="20.100000000000001" customHeight="1">
      <c r="A285" s="26" t="s">
        <v>172</v>
      </c>
    </row>
    <row r="286" spans="1:1" ht="20.100000000000001" customHeight="1" thickBot="1">
      <c r="A286" s="21" t="s">
        <v>173</v>
      </c>
    </row>
    <row r="287" spans="1:1" ht="20.100000000000001" customHeight="1" thickBot="1">
      <c r="A287" s="2" t="s">
        <v>58</v>
      </c>
    </row>
    <row r="288" spans="1:1" ht="20.100000000000001" customHeight="1" thickBot="1">
      <c r="A288" s="2" t="s">
        <v>58</v>
      </c>
    </row>
    <row r="289" spans="1:1" ht="20.100000000000001" customHeight="1" thickBot="1">
      <c r="A289" s="2" t="s">
        <v>58</v>
      </c>
    </row>
    <row r="290" spans="1:1" ht="20.100000000000001" customHeight="1" thickBot="1">
      <c r="A290" s="2" t="s">
        <v>58</v>
      </c>
    </row>
    <row r="291" spans="1:1" ht="20.100000000000001" customHeight="1" thickBot="1">
      <c r="A291" s="2" t="s">
        <v>58</v>
      </c>
    </row>
    <row r="292" spans="1:1" ht="20.100000000000001" customHeight="1" thickBot="1">
      <c r="A292" s="2" t="s">
        <v>58</v>
      </c>
    </row>
    <row r="293" spans="1:1" ht="20.100000000000001" customHeight="1" thickBot="1">
      <c r="A293" s="2" t="s">
        <v>58</v>
      </c>
    </row>
    <row r="294" spans="1:1" ht="20.100000000000001" customHeight="1" thickBot="1">
      <c r="A294" s="2" t="s">
        <v>58</v>
      </c>
    </row>
    <row r="295" spans="1:1" ht="20.100000000000001" customHeight="1" thickBot="1">
      <c r="A295" s="2" t="s">
        <v>58</v>
      </c>
    </row>
    <row r="296" spans="1:1" ht="20.100000000000001" customHeight="1" thickBot="1">
      <c r="A296" s="2" t="s">
        <v>58</v>
      </c>
    </row>
    <row r="297" spans="1:1" ht="20.100000000000001" customHeight="1" thickBot="1">
      <c r="A297" s="2" t="s">
        <v>58</v>
      </c>
    </row>
    <row r="298" spans="1:1" ht="20.100000000000001" customHeight="1" thickBot="1">
      <c r="A298" s="2" t="s">
        <v>58</v>
      </c>
    </row>
    <row r="299" spans="1:1" ht="20.100000000000001" customHeight="1" thickBot="1">
      <c r="A299" s="2" t="s">
        <v>58</v>
      </c>
    </row>
    <row r="300" spans="1:1" ht="20.100000000000001" customHeight="1" thickBot="1">
      <c r="A300" s="2" t="s">
        <v>58</v>
      </c>
    </row>
    <row r="301" spans="1:1" ht="20.100000000000001" customHeight="1" thickBot="1">
      <c r="A301" s="2" t="s">
        <v>58</v>
      </c>
    </row>
    <row r="302" spans="1:1" ht="20.100000000000001" customHeight="1" thickBot="1">
      <c r="A302" s="2" t="s">
        <v>58</v>
      </c>
    </row>
    <row r="303" spans="1:1" ht="20.100000000000001" customHeight="1" thickBot="1">
      <c r="A303" s="2" t="s">
        <v>58</v>
      </c>
    </row>
    <row r="304" spans="1:1" ht="20.100000000000001" customHeight="1" thickBot="1">
      <c r="A304" s="2" t="s">
        <v>58</v>
      </c>
    </row>
    <row r="305" spans="1:1" ht="20.100000000000001" customHeight="1" thickBot="1">
      <c r="A305" s="2" t="s">
        <v>58</v>
      </c>
    </row>
    <row r="306" spans="1:1" ht="20.100000000000001" customHeight="1" thickBot="1">
      <c r="A306" s="2" t="s">
        <v>58</v>
      </c>
    </row>
    <row r="307" spans="1:1" ht="20.100000000000001" customHeight="1" thickBot="1">
      <c r="A307" s="2" t="s">
        <v>58</v>
      </c>
    </row>
    <row r="308" spans="1:1" ht="20.100000000000001" customHeight="1" thickBot="1">
      <c r="A308" s="2" t="s">
        <v>58</v>
      </c>
    </row>
    <row r="309" spans="1:1" ht="20.100000000000001" customHeight="1" thickBot="1">
      <c r="A309" s="2" t="s">
        <v>58</v>
      </c>
    </row>
    <row r="310" spans="1:1" ht="20.100000000000001" customHeight="1" thickBot="1">
      <c r="A310" s="2" t="s">
        <v>58</v>
      </c>
    </row>
    <row r="311" spans="1:1" ht="20.100000000000001" customHeight="1" thickBot="1">
      <c r="A311" s="2" t="s">
        <v>58</v>
      </c>
    </row>
    <row r="312" spans="1:1" ht="20.100000000000001" customHeight="1" thickBot="1">
      <c r="A312" s="2" t="s">
        <v>58</v>
      </c>
    </row>
    <row r="313" spans="1:1" ht="20.100000000000001" customHeight="1" thickBot="1">
      <c r="A313" s="2" t="s">
        <v>58</v>
      </c>
    </row>
    <row r="314" spans="1:1" ht="20.100000000000001" customHeight="1" thickBot="1">
      <c r="A314" s="2" t="s">
        <v>58</v>
      </c>
    </row>
    <row r="315" spans="1:1" ht="20.100000000000001" customHeight="1" thickBot="1">
      <c r="A315" s="2" t="s">
        <v>58</v>
      </c>
    </row>
    <row r="316" spans="1:1" ht="20.100000000000001" customHeight="1" thickBot="1">
      <c r="A316" s="2" t="s">
        <v>58</v>
      </c>
    </row>
    <row r="317" spans="1:1" ht="20.100000000000001" customHeight="1" thickBot="1">
      <c r="A317" s="2" t="s">
        <v>58</v>
      </c>
    </row>
    <row r="318" spans="1:1" ht="20.100000000000001" customHeight="1" thickBot="1">
      <c r="A318" s="2" t="s">
        <v>58</v>
      </c>
    </row>
    <row r="319" spans="1:1" ht="20.100000000000001" customHeight="1" thickBot="1">
      <c r="A319" s="2" t="s">
        <v>58</v>
      </c>
    </row>
    <row r="320" spans="1:1" ht="20.100000000000001" customHeight="1" thickBot="1">
      <c r="A320" s="2" t="s">
        <v>58</v>
      </c>
    </row>
    <row r="321" spans="1:1" ht="20.100000000000001" customHeight="1" thickBot="1">
      <c r="A321" s="2" t="s">
        <v>58</v>
      </c>
    </row>
    <row r="322" spans="1:1" ht="20.100000000000001" customHeight="1" thickBot="1">
      <c r="A322" s="2" t="s">
        <v>58</v>
      </c>
    </row>
    <row r="323" spans="1:1" ht="20.100000000000001" customHeight="1" thickBot="1">
      <c r="A323" s="2" t="s">
        <v>58</v>
      </c>
    </row>
    <row r="324" spans="1:1" ht="20.100000000000001" customHeight="1" thickBot="1">
      <c r="A324" s="2" t="s">
        <v>58</v>
      </c>
    </row>
    <row r="325" spans="1:1" ht="20.100000000000001" customHeight="1" thickBot="1">
      <c r="A325" s="2" t="s">
        <v>58</v>
      </c>
    </row>
    <row r="326" spans="1:1" ht="20.100000000000001" customHeight="1" thickBot="1">
      <c r="A326" s="2" t="s">
        <v>58</v>
      </c>
    </row>
    <row r="327" spans="1:1" ht="20.100000000000001" customHeight="1" thickBot="1">
      <c r="A327" s="2" t="s">
        <v>58</v>
      </c>
    </row>
    <row r="328" spans="1:1" ht="20.100000000000001" customHeight="1" thickBot="1">
      <c r="A328" s="2" t="s">
        <v>58</v>
      </c>
    </row>
    <row r="329" spans="1:1" ht="20.100000000000001" customHeight="1" thickBot="1">
      <c r="A329" s="2" t="s">
        <v>58</v>
      </c>
    </row>
    <row r="330" spans="1:1" ht="20.100000000000001" customHeight="1" thickBot="1">
      <c r="A330" s="2" t="s">
        <v>58</v>
      </c>
    </row>
    <row r="331" spans="1:1" ht="20.100000000000001" customHeight="1" thickBot="1">
      <c r="A331" s="2" t="s">
        <v>58</v>
      </c>
    </row>
    <row r="332" spans="1:1" ht="20.100000000000001" customHeight="1" thickBot="1">
      <c r="A332" s="2" t="s">
        <v>58</v>
      </c>
    </row>
    <row r="333" spans="1:1" ht="20.100000000000001" customHeight="1" thickBot="1">
      <c r="A333" s="2" t="s">
        <v>58</v>
      </c>
    </row>
    <row r="334" spans="1:1" ht="20.100000000000001" customHeight="1" thickBot="1">
      <c r="A334" s="2" t="s">
        <v>58</v>
      </c>
    </row>
    <row r="335" spans="1:1" ht="20.100000000000001" customHeight="1" thickBot="1">
      <c r="A335" s="2" t="s">
        <v>58</v>
      </c>
    </row>
    <row r="336" spans="1:1" ht="20.100000000000001" customHeight="1" thickBot="1">
      <c r="A336" s="2" t="s">
        <v>58</v>
      </c>
    </row>
    <row r="337" spans="1:1" ht="20.100000000000001" customHeight="1" thickBot="1">
      <c r="A337" s="2" t="s">
        <v>58</v>
      </c>
    </row>
    <row r="338" spans="1:1" ht="20.100000000000001" customHeight="1" thickBot="1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2025-10-08T15:40:01Z</dcterms:modified>
</cp:coreProperties>
</file>