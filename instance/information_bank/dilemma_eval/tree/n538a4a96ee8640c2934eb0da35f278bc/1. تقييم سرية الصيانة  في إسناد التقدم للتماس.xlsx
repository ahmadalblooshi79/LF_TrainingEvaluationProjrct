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FF886470-D18D-1A43-9FCF-4CABF4EAC98B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التقييم'!$A$1:$J$27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3" i="2"/>
  <c r="H13" i="2"/>
  <c r="G14" i="2"/>
  <c r="H14" i="2"/>
  <c r="G15" i="2"/>
  <c r="H15" i="2"/>
  <c r="G17" i="2"/>
  <c r="H17" i="2"/>
  <c r="G18" i="2"/>
  <c r="H18" i="2"/>
  <c r="G19" i="2"/>
  <c r="H19" i="2"/>
  <c r="G20" i="2"/>
  <c r="H20" i="2"/>
  <c r="G21" i="2"/>
  <c r="H21" i="2"/>
  <c r="G22" i="2"/>
  <c r="H22" i="2"/>
  <c r="F23" i="2"/>
  <c r="E23" i="2"/>
  <c r="E24" i="2"/>
  <c r="E25" i="2"/>
</calcChain>
</file>

<file path=xl/sharedStrings.xml><?xml version="1.0" encoding="utf-8"?>
<sst xmlns="http://schemas.openxmlformats.org/spreadsheetml/2006/main" count="252" uniqueCount="196">
  <si>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</si>
  <si>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</si>
  <si>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</si>
  <si>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</si>
  <si>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</si>
  <si>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</si>
  <si>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</si>
  <si>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</si>
  <si>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</si>
  <si>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</si>
  <si>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</si>
  <si>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</si>
  <si>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</si>
  <si>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</si>
  <si>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</si>
  <si>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</si>
  <si>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</si>
  <si>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</si>
  <si>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</si>
  <si>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</si>
  <si>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</si>
  <si>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</si>
  <si>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</si>
  <si>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</si>
  <si>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</si>
  <si>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</si>
  <si>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</si>
  <si>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</si>
  <si>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</si>
  <si>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</si>
  <si>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</si>
  <si>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</si>
  <si>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</si>
  <si>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</si>
  <si>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</si>
  <si>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</si>
  <si>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</si>
  <si>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</si>
  <si>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</si>
  <si>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</si>
  <si>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</si>
  <si>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</si>
  <si>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</si>
  <si>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</si>
  <si>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</si>
  <si>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</si>
  <si>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</si>
  <si>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</si>
  <si>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</si>
  <si>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</si>
  <si>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</si>
  <si>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</si>
  <si>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</si>
  <si>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</si>
  <si>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</si>
  <si>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</si>
  <si>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</si>
  <si>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</si>
  <si>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</si>
  <si>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</si>
  <si>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</si>
  <si>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</si>
  <si>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</si>
  <si>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</si>
  <si>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</si>
  <si>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</si>
  <si>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</si>
  <si>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</si>
  <si>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</si>
  <si>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</si>
  <si>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</si>
  <si>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</si>
  <si>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</si>
  <si>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</si>
  <si>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</si>
  <si>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</si>
  <si>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</si>
  <si>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</si>
  <si>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</si>
  <si>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</si>
  <si>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</si>
  <si>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</si>
  <si>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</si>
  <si>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</si>
  <si>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</si>
  <si>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</si>
  <si>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</si>
  <si>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</si>
  <si>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</si>
  <si>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</si>
  <si>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</si>
  <si>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</si>
  <si>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</si>
  <si>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</si>
  <si>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</si>
  <si>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</si>
  <si>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</si>
  <si>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</si>
  <si>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</si>
  <si>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</si>
  <si>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</si>
  <si>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</si>
  <si>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</si>
  <si>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</si>
  <si>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</si>
  <si>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</si>
  <si>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</si>
  <si>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</si>
  <si>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</si>
  <si>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</si>
  <si>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</si>
  <si>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</si>
  <si>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</si>
  <si>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</si>
  <si>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</si>
  <si>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</si>
  <si>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</si>
  <si>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</si>
  <si>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</si>
  <si>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</si>
  <si>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</si>
  <si>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</si>
  <si>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</si>
  <si>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</si>
  <si>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</si>
  <si>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</si>
  <si>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</si>
  <si>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</si>
  <si>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</si>
  <si>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</si>
  <si>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</si>
  <si>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</si>
  <si>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</si>
  <si>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</si>
  <si>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</si>
  <si>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</si>
  <si>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</si>
  <si>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</si>
  <si>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</si>
  <si>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</si>
  <si>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</si>
  <si>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</si>
  <si>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</si>
  <si>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</si>
  <si>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</si>
  <si>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</si>
  <si>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</si>
  <si>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</si>
  <si>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</si>
  <si>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</si>
  <si>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</si>
  <si>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</si>
  <si>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</si>
  <si>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</si>
  <si>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</si>
  <si>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</si>
  <si>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</si>
  <si>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</si>
  <si>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</si>
  <si>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</si>
  <si>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</si>
  <si>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</si>
  <si>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</si>
  <si>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</si>
  <si>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</si>
  <si>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</si>
  <si>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</si>
  <si>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</si>
  <si>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</si>
  <si>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</si>
  <si>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</si>
  <si>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</si>
  <si>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</si>
  <si>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</si>
  <si>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</si>
  <si>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</si>
  <si>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</si>
  <si>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</si>
  <si>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</si>
  <si>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</si>
  <si>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تقييم سرية الصيانة  في إسناد التقدم للتماس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</si>
  <si>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إجراءات التخطيط.</t>
  </si>
  <si>
    <t>إجراءات التحضير.</t>
  </si>
  <si>
    <r>
      <t xml:space="preserve">إجراءات التنفيذ. </t>
    </r>
    <r>
      <rPr>
        <sz val="12"/>
        <color rgb="FF000000"/>
        <rFont val="Arial"/>
        <family val="2"/>
      </rPr>
      <t>تقوم وحدات الصيانة بإكمال الإجراءات التالية عند التقدم للتماس:</t>
    </r>
  </si>
  <si>
    <t>1.   تقييم القادة في سرية صيانة مجموعة اللواء للموقف القتالي  في العمليات التعرضية.</t>
  </si>
  <si>
    <t>2.   تحديد حجم الإسناد المطلوب.</t>
  </si>
  <si>
    <t>3.   تنظيم الموارد لتوفير الإسناد.</t>
  </si>
  <si>
    <t>1.   أفراد الصيانة أقصى جهد في تجهيز المعدات للقتال.</t>
  </si>
  <si>
    <t>2.   تواجد فرق إسناد الصيانة داخل موقع نقليات الخط الأول بكل مجموعة قتال.</t>
  </si>
  <si>
    <t>3.   انفتاح بعض عناصر فرق إسناد الصيانة مع وحدات المناورة.</t>
  </si>
  <si>
    <t>1.   فحص وتنفيذ الصيانة المطلوبة على معدات الوحدة.</t>
  </si>
  <si>
    <t>2.   تعويض مخزون قطع الغيار ليصل إلى المستوى المرغوب.</t>
  </si>
  <si>
    <t>3.   إعداد وتجهيز نسبة قطع الغيار للخط الاول والخط الثاني.</t>
  </si>
  <si>
    <t>4.   تجهيز وتوزيع أوامر العمليات والأوامر الإدارية.</t>
  </si>
  <si>
    <t>5.   إعداد أولويات الإسناد ويشمل ذلك أولويات صرف المخزون البديل أو الاستبدال المباشر وقطع الغيار الهامة.</t>
  </si>
  <si>
    <t>6.   إعداد الإجراءات والأولويات والظروف لإعادة التزويد بقطع الغيار.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</si>
</sst>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3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2" fillId="0" borderId="24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0" borderId="15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1" fillId="0" borderId="25" xfId="0" applyFont="1" applyBorder="1" applyAlignment="1">
      <alignment horizontal="right" vertical="center" wrapText="1" readingOrder="2"/>
    </xf>
    <xf numFmtId="0" fontId="1" fillId="0" borderId="26" xfId="0" applyFont="1" applyBorder="1" applyAlignment="1">
      <alignment horizontal="right" vertical="center" wrapText="1" readingOrder="2"/>
    </xf>
    <xf numFmtId="0" fontId="1" fillId="0" borderId="27" xfId="0" applyFont="1" applyBorder="1" applyAlignment="1">
      <alignment horizontal="right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288825</xdr:colOff>
      <xdr:row>25</xdr:row>
      <xdr:rowOff>317520</xdr:rowOff>
    </xdr:from>
    <xdr:to>
      <xdr:col>9</xdr:col>
      <xdr:colOff>861554</xdr:colOff>
      <xdr:row>26</xdr:row>
      <xdr:rowOff>624508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6FA90B54-91D4-3C50-F011-CC08DA9C992D}"/>
                </a:ext>
              </a:extLst>
            </xdr14:cNvPr>
            <xdr14:cNvContentPartPr/>
          </xdr14:nvContentPartPr>
          <xdr14:nvPr macro=""/>
          <xdr14:xfrm>
            <a:off x="10397725265" y="11747520"/>
            <a:ext cx="2547000" cy="83808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FA90B54-91D4-3C50-F011-CC08DA9C992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7719145" y="11741400"/>
              <a:ext cx="2559240" cy="85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164975</xdr:colOff>
      <xdr:row>26</xdr:row>
      <xdr:rowOff>370348</xdr:rowOff>
    </xdr:from>
    <xdr:to>
      <xdr:col>9</xdr:col>
      <xdr:colOff>536834</xdr:colOff>
      <xdr:row>27</xdr:row>
      <xdr:rowOff>36283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C6BF0DA8-6CDC-DFDE-E489-175B04F75C24}"/>
                </a:ext>
              </a:extLst>
            </xdr14:cNvPr>
            <xdr14:cNvContentPartPr/>
          </xdr14:nvContentPartPr>
          <xdr14:nvPr macro=""/>
          <xdr14:xfrm>
            <a:off x="10398049985" y="12331440"/>
            <a:ext cx="1688040" cy="31248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C6BF0DA8-6CDC-DFDE-E489-175B04F75C24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8043865" y="12325320"/>
              <a:ext cx="1700280" cy="3247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15:26:03.2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4713 1958 5785,'0'0'0,"5"0"-112,-5 0 112,2 0-416,-2 5 0,0-1 23,-5 9 321,5-13 72,-14 4-8,-3 14 16,-10-5 16,-6 0-24,33-13 0,-44 11 16,-11 2-16,-7-9 8,-13 11-8,75-15 0,-84 2 24,-10 10-24,-5-9 0,-6 1-16,105-4 16,-113 4-8,-3-4 8,-7 0 24,-2 0 48,125 0-72,-130-4 56,-7-9 8,5 7-23,0-9-41,132 15 0,-135-14 24,3-2 8,-3-4-8,3-3 24,132 23-48,-125-24 48,2-3-48,5-1 32,10-2-24,108 30-8,-53-17 104,-7-4 80,2-4 8,-7-5 136,10-2 72,55 32-400,-63-41 640,13-5 96,-8-8 8,58 54-744,-46-60 608,13-4-200,14-4 17,11-4-1,8 72-424,-2-76 456,16-2-56,15-1-144,10-2-72,21-2-96,-60 83-88,84-94 72,80-62-72,9 22 0,2 28-16,-175 106 16,149-70 32,15 7 16,14 8-16,-178 55-32,183-48 24,14 5 8,12 6 8,10 3-24,7 6 24,-226 28-40,236-26 8,0 5 0,4 4 16,-240 17-24,238-12 8,-2 9 0,-5 2 32,-10 1-72,-7 11 40,-214-11-8,205 15-48,-13 4-56,-11 6 40,-11 2-40,-170-27 104,157 31-104,-18 2-32,-14 4-16,-19-1-24,-106-36 176,92 42-176,-20-1 24,-19 3-16,-20 3-56,-33-47 224,15 48-168,-15 2 48,-22 3-16,-14 2 88,36-55 48,-60 58-24,-17 1 24,-19-3-24,-20-2 0,116-54 24,-127 56-80,-20 1-56,-14 1 64,-12 2 24,173-60 48,-183 58-73,-9 2 41,-11-2 0,-13-3-24,216-55 56,-228 54-40,-8-2 8,-12-4 0,-9 0-16,257-48 48,-258 47-40,-6 2 16,-3-3-24,-5 0 48,272-46 0,-272 45-48,3 1-24,4 2 24,140-21 8,125-27 40,-159 33-112,5 2-16,-24 5-136,5 2-152,173-42 416,-96 22-280,-12 2-80,4 1-8,-6 0-40,110-25 408,-118 26-552,-7 2 1488,9-2-1496,-9 1 48,125-27 512,-110 21-424,-3 2-209,9-5-39,3 1-16,101-19 688,-91 14-680,2-1 80,19-10 144,10 1-400,60-4 856,0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15:26:04.0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2615 130 2344,'0'0'0,"0"0"0,166-18 1768,48-1-1023,53-2-409,-38 5-136,-229 16-200,192-11 136,-16 5-32,-10-8 16,-22 10-80,-144 4-40,130-12 48,-17 10-32,-24-3 0,-14 4 0,-75 1-16,55 0 16,-19 0-24,-14 0-40,-22 3 24,0-3 24,-7 4-24,-27 7 32,-12-6 0,-24 10-16,70-15 8,-84 12-8,-22 0-8,-19 3 16,-12 0-8,137-15 8,-151 19-24,-15 1 0,-12 0-8,-10 2 8,188-22 24,-202 24-16,-2 1 0,-10-1-16,-1 1 16,215-25 16,-216 25-40,-1 2-16,3 0 0,3 2-8,211-29 64,-202 29-80,4-1 8,107-14 32,-24 5-24,115-19 64,-106 17-64,-19 4-16,9-1-24,-14 3-32,130-23 136,-118 20-153,-9 3 17,14-3-8,65-16 136,48-4 8,-48 13 56,9-11 184,3 3 113,-19 7-49,55-12-304,-31 0 272,26 0-72,17-1-64,29-10 32,-41 11-168,65-13 224,21-4-24,20-3-8,41-7-72,-147 27-120,279-46 112,-5 2-40,-12 6-8,-45 12 32,-217 26-96,228-25 72,13-1 8,4 2-8,5 1-16,-250 23-56,250-21 40,-14 1 8,-12 2-16,-17-1-24,-207 19-8,194-14 32,-16 3-16,-12 6 0,-9 2 0,-157 3-16,137-1-8,-17 1 24,-16 0-8,-15 0-40,-89 0 32,64 3 16,-23-3-48,-19 3-104,-22 1-32,0-4 168,-12 4-184,-19 9 48,-25-9 112,-16 9 8,72-13 16,-96 4 16,-17 11-16,-14-4-16,-20 0 40,147-11-24,-164 15 0,-7-1 0,-9 4 32,-5 2 8,185-20-40,-195 26 16,-2-1 0,2 4-8,-5 2 0,200-31-8,-197 30 8,5 3-32,-1 2 24,10-1-16,183-34 16,-178 37-8,8 0-8,13-3-56,83-17 24,74-17 48,-87 20-64,8-1 0,-10 2-8,9-1-40,80-20 112,-89 21-96,17-2-160,0-2-1112,14-3-2337,58-14 3705,0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7"/>
  <sheetViews>
    <sheetView rightToLeft="1" tabSelected="1" view="pageBreakPreview" topLeftCell="C16" zoomScale="130" zoomScaleNormal="100" zoomScaleSheetLayoutView="130" workbookViewId="0">
      <selection activeCell="G26" sqref="G26:J26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35" t="s">
        <v>180</v>
      </c>
      <c r="C1" s="35"/>
      <c r="D1" s="35"/>
      <c r="E1" s="35"/>
      <c r="F1" s="35"/>
      <c r="G1" s="35"/>
      <c r="H1" s="35"/>
      <c r="I1" s="35"/>
      <c r="J1" s="35"/>
    </row>
    <row r="2" spans="1:10" ht="30" customHeight="1" x14ac:dyDescent="0.2">
      <c r="B2" s="10" t="s">
        <v>8</v>
      </c>
      <c r="C2" s="41" t="s">
        <v>32</v>
      </c>
      <c r="D2" s="41"/>
      <c r="E2" s="10" t="s">
        <v>7</v>
      </c>
      <c r="F2" s="36">
        <v>45953</v>
      </c>
      <c r="G2" s="36"/>
      <c r="H2" s="36"/>
      <c r="I2" s="36"/>
      <c r="J2" s="36"/>
    </row>
    <row r="3" spans="1:10" ht="30" customHeight="1" x14ac:dyDescent="0.2">
      <c r="B3" s="10" t="s">
        <v>9</v>
      </c>
      <c r="C3" s="41" t="s">
        <v>67</v>
      </c>
      <c r="D3" s="41"/>
      <c r="E3" s="10" t="s">
        <v>6</v>
      </c>
      <c r="F3" s="41" t="s">
        <v>136</v>
      </c>
      <c r="G3" s="41"/>
      <c r="H3" s="41"/>
      <c r="I3" s="41"/>
      <c r="J3" s="41"/>
    </row>
    <row r="4" spans="1:10" ht="30" customHeight="1" thickBot="1" x14ac:dyDescent="0.25">
      <c r="B4" s="6"/>
      <c r="C4" s="58"/>
      <c r="D4" s="58"/>
      <c r="E4" s="6"/>
      <c r="F4" s="58"/>
      <c r="G4" s="58"/>
      <c r="H4" s="58"/>
      <c r="I4" s="58"/>
      <c r="J4" s="58"/>
    </row>
    <row r="5" spans="1:10" ht="24.95" customHeight="1" x14ac:dyDescent="0.2">
      <c r="A5" s="8"/>
      <c r="B5" s="37" t="s">
        <v>0</v>
      </c>
      <c r="C5" s="38"/>
      <c r="D5" s="38"/>
      <c r="E5" s="42" t="s">
        <v>1</v>
      </c>
      <c r="F5" s="42"/>
      <c r="G5" s="42"/>
      <c r="H5" s="42"/>
      <c r="I5" s="42" t="s">
        <v>2</v>
      </c>
      <c r="J5" s="43"/>
    </row>
    <row r="6" spans="1:10" ht="24.95" customHeight="1" thickBot="1" x14ac:dyDescent="0.25">
      <c r="A6" s="8"/>
      <c r="B6" s="39"/>
      <c r="C6" s="40"/>
      <c r="D6" s="40"/>
      <c r="E6" s="9" t="s">
        <v>3</v>
      </c>
      <c r="F6" s="9" t="s">
        <v>4</v>
      </c>
      <c r="G6" s="9" t="s">
        <v>23</v>
      </c>
      <c r="H6" s="9" t="s">
        <v>24</v>
      </c>
      <c r="I6" s="44"/>
      <c r="J6" s="45"/>
    </row>
    <row r="7" spans="1:10" ht="24.95" customHeight="1" thickBot="1" x14ac:dyDescent="0.25">
      <c r="A7" s="8"/>
      <c r="B7" s="63" t="s">
        <v>21</v>
      </c>
      <c r="C7" s="64"/>
      <c r="D7" s="64"/>
      <c r="E7" s="26" t="s">
        <v>18</v>
      </c>
      <c r="F7" s="26" t="s">
        <v>19</v>
      </c>
      <c r="G7" s="26" t="s">
        <v>22</v>
      </c>
      <c r="H7" s="26" t="s">
        <v>20</v>
      </c>
      <c r="I7" s="65" t="s">
        <v>25</v>
      </c>
      <c r="J7" s="66"/>
    </row>
    <row r="8" spans="1:10" ht="39.950000000000003" customHeight="1" x14ac:dyDescent="0.2">
      <c r="A8" s="8"/>
      <c r="B8" s="71" t="s">
        <v>181</v>
      </c>
      <c r="C8" s="72"/>
      <c r="D8" s="72"/>
      <c r="E8" s="72"/>
      <c r="F8" s="72"/>
      <c r="G8" s="72"/>
      <c r="H8" s="72"/>
      <c r="I8" s="72"/>
      <c r="J8" s="73"/>
    </row>
    <row r="9" spans="1:10" ht="39.950000000000003" customHeight="1" x14ac:dyDescent="0.2">
      <c r="A9" s="8"/>
      <c r="B9" s="33" t="s">
        <v>184</v>
      </c>
      <c r="C9" s="34"/>
      <c r="D9" s="34"/>
      <c r="E9" s="7">
        <v>5</v>
      </c>
      <c r="F9" s="24">
        <v>4</v>
      </c>
      <c r="G9" s="28">
        <f>IFERROR(F9/E9,"")</f>
        <v>0.8</v>
      </c>
      <c r="H9" s="29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59"/>
      <c r="J9" s="60"/>
    </row>
    <row r="10" spans="1:10" ht="39.950000000000003" customHeight="1" x14ac:dyDescent="0.2">
      <c r="A10" s="8"/>
      <c r="B10" s="33" t="s">
        <v>185</v>
      </c>
      <c r="C10" s="34"/>
      <c r="D10" s="34"/>
      <c r="E10" s="7">
        <v>5</v>
      </c>
      <c r="F10" s="24">
        <v>3.75</v>
      </c>
      <c r="G10" s="28">
        <f t="shared" ref="G10:G22" si="0">IFERROR(F10/E10,"")</f>
        <v>0.75</v>
      </c>
      <c r="H10" s="29" t="str">
        <f t="shared" ref="H10:H22" si="1">_xlfn.IFS(F10="أدخل العلامة","",F10="لا ينطبق","تم الإلغاء",G10&gt;=90%,"ممتاز",G10&gt;=80%,"جيد جداً",G10&gt;=70%,"جيد",G10&gt;=60%,"مقبول",G10&lt;60%,"راسب")</f>
        <v>جيد</v>
      </c>
      <c r="I10" s="59"/>
      <c r="J10" s="60"/>
    </row>
    <row r="11" spans="1:10" ht="39.950000000000003" customHeight="1" thickBot="1" x14ac:dyDescent="0.25">
      <c r="A11" s="8"/>
      <c r="B11" s="67" t="s">
        <v>186</v>
      </c>
      <c r="C11" s="68"/>
      <c r="D11" s="68"/>
      <c r="E11" s="30">
        <v>5</v>
      </c>
      <c r="F11" s="25">
        <v>4</v>
      </c>
      <c r="G11" s="31">
        <f t="shared" si="0"/>
        <v>0.8</v>
      </c>
      <c r="H11" s="32" t="str">
        <f t="shared" si="1"/>
        <v>جيد جداً</v>
      </c>
      <c r="I11" s="61"/>
      <c r="J11" s="62"/>
    </row>
    <row r="12" spans="1:10" ht="39.950000000000003" customHeight="1" x14ac:dyDescent="0.2">
      <c r="A12" s="8"/>
      <c r="B12" s="71" t="s">
        <v>182</v>
      </c>
      <c r="C12" s="72"/>
      <c r="D12" s="72"/>
      <c r="E12" s="72"/>
      <c r="F12" s="72"/>
      <c r="G12" s="72"/>
      <c r="H12" s="72"/>
      <c r="I12" s="72"/>
      <c r="J12" s="73"/>
    </row>
    <row r="13" spans="1:10" ht="39.950000000000003" customHeight="1" x14ac:dyDescent="0.2">
      <c r="A13" s="8"/>
      <c r="B13" s="33" t="s">
        <v>187</v>
      </c>
      <c r="C13" s="34"/>
      <c r="D13" s="34"/>
      <c r="E13" s="7">
        <v>5</v>
      </c>
      <c r="F13" s="24">
        <v>4</v>
      </c>
      <c r="G13" s="28">
        <f t="shared" si="0"/>
        <v>0.8</v>
      </c>
      <c r="H13" s="29" t="str">
        <f t="shared" si="1"/>
        <v>جيد جداً</v>
      </c>
      <c r="I13" s="59"/>
      <c r="J13" s="60"/>
    </row>
    <row r="14" spans="1:10" ht="39.950000000000003" customHeight="1" x14ac:dyDescent="0.2">
      <c r="A14" s="8"/>
      <c r="B14" s="33" t="s">
        <v>188</v>
      </c>
      <c r="C14" s="34"/>
      <c r="D14" s="34"/>
      <c r="E14" s="7">
        <v>5</v>
      </c>
      <c r="F14" s="24">
        <v>3.75</v>
      </c>
      <c r="G14" s="28">
        <f t="shared" si="0"/>
        <v>0.75</v>
      </c>
      <c r="H14" s="29" t="str">
        <f t="shared" si="1"/>
        <v>جيد</v>
      </c>
      <c r="I14" s="59"/>
      <c r="J14" s="60"/>
    </row>
    <row r="15" spans="1:10" ht="39.950000000000003" customHeight="1" thickBot="1" x14ac:dyDescent="0.25">
      <c r="A15" s="8"/>
      <c r="B15" s="67" t="s">
        <v>189</v>
      </c>
      <c r="C15" s="68"/>
      <c r="D15" s="68"/>
      <c r="E15" s="30">
        <v>5</v>
      </c>
      <c r="F15" s="25">
        <v>3.75</v>
      </c>
      <c r="G15" s="31">
        <f t="shared" si="0"/>
        <v>0.75</v>
      </c>
      <c r="H15" s="32" t="str">
        <f t="shared" si="1"/>
        <v>جيد</v>
      </c>
      <c r="I15" s="61"/>
      <c r="J15" s="62"/>
    </row>
    <row r="16" spans="1:10" ht="39.950000000000003" customHeight="1" x14ac:dyDescent="0.2">
      <c r="A16" s="8"/>
      <c r="B16" s="71" t="s">
        <v>183</v>
      </c>
      <c r="C16" s="72"/>
      <c r="D16" s="72"/>
      <c r="E16" s="72"/>
      <c r="F16" s="72"/>
      <c r="G16" s="72"/>
      <c r="H16" s="72"/>
      <c r="I16" s="72"/>
      <c r="J16" s="73"/>
    </row>
    <row r="17" spans="1:10" ht="39.950000000000003" customHeight="1" x14ac:dyDescent="0.2">
      <c r="A17" s="8"/>
      <c r="B17" s="33" t="s">
        <v>190</v>
      </c>
      <c r="C17" s="34"/>
      <c r="D17" s="34"/>
      <c r="E17" s="7">
        <v>5</v>
      </c>
      <c r="F17" s="24">
        <v>3.75</v>
      </c>
      <c r="G17" s="28">
        <f t="shared" si="0"/>
        <v>0.75</v>
      </c>
      <c r="H17" s="29" t="str">
        <f t="shared" si="1"/>
        <v>جيد</v>
      </c>
      <c r="I17" s="59"/>
      <c r="J17" s="60"/>
    </row>
    <row r="18" spans="1:10" ht="39.950000000000003" customHeight="1" x14ac:dyDescent="0.2">
      <c r="A18" s="8"/>
      <c r="B18" s="33" t="s">
        <v>191</v>
      </c>
      <c r="C18" s="34"/>
      <c r="D18" s="34"/>
      <c r="E18" s="7">
        <v>5</v>
      </c>
      <c r="F18" s="24">
        <v>3.5</v>
      </c>
      <c r="G18" s="28">
        <f t="shared" si="0"/>
        <v>0.7</v>
      </c>
      <c r="H18" s="29" t="str">
        <f t="shared" si="1"/>
        <v>جيد</v>
      </c>
      <c r="I18" s="59"/>
      <c r="J18" s="60"/>
    </row>
    <row r="19" spans="1:10" ht="39.950000000000003" customHeight="1" x14ac:dyDescent="0.2">
      <c r="A19" s="8"/>
      <c r="B19" s="33" t="s">
        <v>192</v>
      </c>
      <c r="C19" s="34"/>
      <c r="D19" s="34"/>
      <c r="E19" s="7">
        <v>5</v>
      </c>
      <c r="F19" s="24">
        <v>3.5</v>
      </c>
      <c r="G19" s="28">
        <f t="shared" si="0"/>
        <v>0.7</v>
      </c>
      <c r="H19" s="29" t="str">
        <f t="shared" si="1"/>
        <v>جيد</v>
      </c>
      <c r="I19" s="59"/>
      <c r="J19" s="60"/>
    </row>
    <row r="20" spans="1:10" ht="39.950000000000003" customHeight="1" x14ac:dyDescent="0.2">
      <c r="A20" s="8"/>
      <c r="B20" s="33" t="s">
        <v>193</v>
      </c>
      <c r="C20" s="34"/>
      <c r="D20" s="34"/>
      <c r="E20" s="7">
        <v>5</v>
      </c>
      <c r="F20" s="24">
        <v>3.75</v>
      </c>
      <c r="G20" s="28">
        <f t="shared" si="0"/>
        <v>0.75</v>
      </c>
      <c r="H20" s="29" t="str">
        <f t="shared" si="1"/>
        <v>جيد</v>
      </c>
      <c r="I20" s="59"/>
      <c r="J20" s="60"/>
    </row>
    <row r="21" spans="1:10" ht="39.950000000000003" customHeight="1" x14ac:dyDescent="0.2">
      <c r="A21" s="8"/>
      <c r="B21" s="33" t="s">
        <v>194</v>
      </c>
      <c r="C21" s="34"/>
      <c r="D21" s="34"/>
      <c r="E21" s="7">
        <v>5</v>
      </c>
      <c r="F21" s="24">
        <v>3.75</v>
      </c>
      <c r="G21" s="28">
        <f t="shared" si="0"/>
        <v>0.75</v>
      </c>
      <c r="H21" s="29" t="str">
        <f t="shared" si="1"/>
        <v>جيد</v>
      </c>
      <c r="I21" s="59"/>
      <c r="J21" s="60"/>
    </row>
    <row r="22" spans="1:10" ht="39.950000000000003" customHeight="1" thickBot="1" x14ac:dyDescent="0.25">
      <c r="A22" s="8"/>
      <c r="B22" s="67" t="s">
        <v>195</v>
      </c>
      <c r="C22" s="68"/>
      <c r="D22" s="68"/>
      <c r="E22" s="30">
        <v>5</v>
      </c>
      <c r="F22" s="25">
        <v>4.25</v>
      </c>
      <c r="G22" s="31">
        <f t="shared" si="0"/>
        <v>0.85</v>
      </c>
      <c r="H22" s="32" t="str">
        <f t="shared" si="1"/>
        <v>جيد جداً</v>
      </c>
      <c r="I22" s="61"/>
      <c r="J22" s="62"/>
    </row>
    <row r="23" spans="1:10" ht="30" customHeight="1" thickBot="1" x14ac:dyDescent="0.25">
      <c r="A23" s="4"/>
      <c r="B23" s="69" t="s">
        <v>5</v>
      </c>
      <c r="C23" s="70"/>
      <c r="D23" s="70"/>
      <c r="E23" s="27">
        <f>SUM(E8:E22)</f>
        <v>60</v>
      </c>
      <c r="F23" s="27">
        <f>SUM(F8:F22)</f>
        <v>45.75</v>
      </c>
      <c r="G23" s="74"/>
      <c r="H23" s="75"/>
      <c r="I23" s="75"/>
      <c r="J23" s="76"/>
    </row>
    <row r="24" spans="1:10" ht="30" customHeight="1" thickBot="1" x14ac:dyDescent="0.25">
      <c r="A24" s="4"/>
      <c r="B24" s="52" t="s">
        <v>54</v>
      </c>
      <c r="C24" s="53"/>
      <c r="D24" s="53"/>
      <c r="E24" s="56">
        <f>F23/E23/100*100</f>
        <v>0.76249999999999996</v>
      </c>
      <c r="F24" s="56"/>
      <c r="G24" s="56"/>
      <c r="H24" s="56"/>
      <c r="I24" s="56"/>
      <c r="J24" s="57"/>
    </row>
    <row r="25" spans="1:10" ht="30" customHeight="1" thickBot="1" x14ac:dyDescent="0.25">
      <c r="A25" s="4"/>
      <c r="B25" s="52" t="s">
        <v>55</v>
      </c>
      <c r="C25" s="53"/>
      <c r="D25" s="53"/>
      <c r="E25" s="50" t="str">
        <f>_xlfn.IFS(E24&gt;=90%,"ممتاز",E24&gt;=80%,"جيد جداً",E24&gt;=70%,"جيد",E24&gt;=60%,"مقبول",E24&lt;60%,"راسب")</f>
        <v>جيد</v>
      </c>
      <c r="F25" s="50"/>
      <c r="G25" s="50"/>
      <c r="H25" s="50"/>
      <c r="I25" s="50"/>
      <c r="J25" s="51"/>
    </row>
    <row r="26" spans="1:10" ht="42" customHeight="1" x14ac:dyDescent="0.2">
      <c r="B26" s="46" t="s">
        <v>174</v>
      </c>
      <c r="C26" s="46"/>
      <c r="D26" s="46"/>
      <c r="E26" s="54" t="s">
        <v>52</v>
      </c>
      <c r="F26" s="54"/>
      <c r="G26" s="48" t="s">
        <v>136</v>
      </c>
      <c r="H26" s="48"/>
      <c r="I26" s="48"/>
      <c r="J26" s="48"/>
    </row>
    <row r="27" spans="1:10" ht="51" customHeight="1" x14ac:dyDescent="0.2">
      <c r="A27" s="5"/>
      <c r="B27" s="47"/>
      <c r="C27" s="47"/>
      <c r="D27" s="47"/>
      <c r="E27" s="55" t="s">
        <v>53</v>
      </c>
      <c r="F27" s="55"/>
      <c r="G27" s="49"/>
      <c r="H27" s="49"/>
      <c r="I27" s="49"/>
      <c r="J27" s="49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50">
    <mergeCell ref="B23:D23"/>
    <mergeCell ref="B8:J8"/>
    <mergeCell ref="B12:J12"/>
    <mergeCell ref="B16:J16"/>
    <mergeCell ref="I21:J21"/>
    <mergeCell ref="I22:J22"/>
    <mergeCell ref="I20:J20"/>
    <mergeCell ref="G23:J23"/>
    <mergeCell ref="B22:D22"/>
    <mergeCell ref="B13:D13"/>
    <mergeCell ref="B14:D14"/>
    <mergeCell ref="B15:D15"/>
    <mergeCell ref="B17:D17"/>
    <mergeCell ref="B18:D18"/>
    <mergeCell ref="B19:D19"/>
    <mergeCell ref="B20:D20"/>
    <mergeCell ref="I14:J14"/>
    <mergeCell ref="I15:J15"/>
    <mergeCell ref="I9:J9"/>
    <mergeCell ref="B7:D7"/>
    <mergeCell ref="I7:J7"/>
    <mergeCell ref="I10:J10"/>
    <mergeCell ref="B9:D9"/>
    <mergeCell ref="B10:D10"/>
    <mergeCell ref="B11:D11"/>
    <mergeCell ref="B26:D27"/>
    <mergeCell ref="G26:J26"/>
    <mergeCell ref="G27:J27"/>
    <mergeCell ref="E25:J25"/>
    <mergeCell ref="B24:D24"/>
    <mergeCell ref="B25:D25"/>
    <mergeCell ref="E26:F26"/>
    <mergeCell ref="E27:F27"/>
    <mergeCell ref="E24:J24"/>
    <mergeCell ref="B21:D21"/>
    <mergeCell ref="B1:J1"/>
    <mergeCell ref="F2:J2"/>
    <mergeCell ref="B5:D6"/>
    <mergeCell ref="C2:D2"/>
    <mergeCell ref="C3:D3"/>
    <mergeCell ref="F3:J3"/>
    <mergeCell ref="E5:H5"/>
    <mergeCell ref="I5:J6"/>
    <mergeCell ref="F4:J4"/>
    <mergeCell ref="C4:D4"/>
    <mergeCell ref="I17:J17"/>
    <mergeCell ref="I18:J18"/>
    <mergeCell ref="I19:J19"/>
    <mergeCell ref="I11:J11"/>
    <mergeCell ref="I13:J13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5">
    <cfRule type="expression" dxfId="21" priority="57">
      <formula>$E25="راسب"</formula>
    </cfRule>
  </conditionalFormatting>
  <conditionalFormatting sqref="E25:J25">
    <cfRule type="expression" dxfId="20" priority="60">
      <formula>$E25="جيد جداً"</formula>
    </cfRule>
    <cfRule type="expression" dxfId="19" priority="59">
      <formula>$E25="جيد"</formula>
    </cfRule>
    <cfRule type="expression" dxfId="18" priority="58">
      <formula>$E25="مقبول"</formula>
    </cfRule>
    <cfRule type="expression" dxfId="17" priority="61">
      <formula>$E25="ممتاز"</formula>
    </cfRule>
  </conditionalFormatting>
  <conditionalFormatting sqref="F9:F11">
    <cfRule type="containsText" dxfId="16" priority="4" operator="containsText" text="أدخل العلامة">
      <formula>NOT(ISERROR(SEARCH("أدخل العلامة",F9)))</formula>
    </cfRule>
  </conditionalFormatting>
  <conditionalFormatting sqref="F13:F15 F17:F22">
    <cfRule type="containsText" dxfId="15" priority="14" operator="containsText" text="أدخل العلامة">
      <formula>NOT(ISERROR(SEARCH("أدخل العلامة",F13)))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26:J26">
    <cfRule type="containsText" dxfId="12" priority="15" operator="containsText" text="أدخل اسم المحكم">
      <formula>NOT(ISERROR(SEARCH("أدخل اسم المحكم",G26)))</formula>
    </cfRule>
  </conditionalFormatting>
  <conditionalFormatting sqref="H9:H11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13:H15 H17:H22">
    <cfRule type="containsText" dxfId="5" priority="38" operator="containsText" text="أدخل العلامة">
      <formula>NOT(ISERROR(SEARCH("أدخل العلامة",H13)))</formula>
    </cfRule>
    <cfRule type="containsText" dxfId="4" priority="39" operator="containsText" text="ممتاز">
      <formula>NOT(ISERROR(SEARCH("ممتاز",H13)))</formula>
    </cfRule>
    <cfRule type="containsText" dxfId="3" priority="40" operator="containsText" text="جيد جداً">
      <formula>NOT(ISERROR(SEARCH("جيد جداً",H13)))</formula>
    </cfRule>
    <cfRule type="containsText" dxfId="2" priority="41" operator="containsText" text="جيد">
      <formula>NOT(ISERROR(SEARCH("جيد",H13)))</formula>
    </cfRule>
    <cfRule type="containsText" dxfId="1" priority="42" operator="containsText" text="مقبول">
      <formula>NOT(ISERROR(SEARCH("مقبول",H13)))</formula>
    </cfRule>
    <cfRule type="containsText" dxfId="0" priority="43" operator="containsText" text="راسب">
      <formula>NOT(ISERROR(SEARCH("راسب",H13)))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F17:F22 F13:F15 F9:F11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G26:J26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78" sqref="A78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7" t="s">
        <v>62</v>
      </c>
    </row>
    <row r="3" spans="1:3" ht="20.100000000000001" customHeight="1" thickBot="1" x14ac:dyDescent="0.3">
      <c r="A3" s="2" t="s">
        <v>26</v>
      </c>
      <c r="C3" s="17" t="s">
        <v>63</v>
      </c>
    </row>
    <row r="4" spans="1:3" ht="20.100000000000001" customHeight="1" thickBot="1" x14ac:dyDescent="0.3">
      <c r="A4" s="2" t="s">
        <v>36</v>
      </c>
      <c r="C4" s="17" t="s">
        <v>64</v>
      </c>
    </row>
    <row r="5" spans="1:3" ht="20.100000000000001" customHeight="1" thickBot="1" x14ac:dyDescent="0.3">
      <c r="A5" s="2" t="s">
        <v>37</v>
      </c>
      <c r="C5" s="17" t="s">
        <v>65</v>
      </c>
    </row>
    <row r="6" spans="1:3" ht="20.100000000000001" customHeight="1" thickBot="1" x14ac:dyDescent="0.3">
      <c r="A6" s="2" t="s">
        <v>38</v>
      </c>
      <c r="C6" s="17" t="s">
        <v>66</v>
      </c>
    </row>
    <row r="7" spans="1:3" ht="20.100000000000001" customHeight="1" thickBot="1" x14ac:dyDescent="0.3">
      <c r="A7" s="2" t="s">
        <v>39</v>
      </c>
      <c r="C7" s="17" t="s">
        <v>67</v>
      </c>
    </row>
    <row r="8" spans="1:3" ht="20.100000000000001" customHeight="1" thickBot="1" x14ac:dyDescent="0.3">
      <c r="A8" s="2" t="s">
        <v>40</v>
      </c>
      <c r="C8" s="17" t="s">
        <v>68</v>
      </c>
    </row>
    <row r="9" spans="1:3" ht="20.100000000000001" customHeight="1" thickBot="1" x14ac:dyDescent="0.3">
      <c r="A9" s="2" t="s">
        <v>41</v>
      </c>
      <c r="C9" s="17" t="s">
        <v>69</v>
      </c>
    </row>
    <row r="10" spans="1:3" ht="20.100000000000001" customHeight="1" thickBot="1" x14ac:dyDescent="0.3">
      <c r="A10" s="2" t="s">
        <v>42</v>
      </c>
      <c r="C10" s="17" t="s">
        <v>70</v>
      </c>
    </row>
    <row r="11" spans="1:3" ht="20.100000000000001" customHeight="1" thickBot="1" x14ac:dyDescent="0.3">
      <c r="A11" s="2" t="s">
        <v>43</v>
      </c>
      <c r="C11" s="17" t="s">
        <v>71</v>
      </c>
    </row>
    <row r="12" spans="1:3" ht="20.100000000000001" customHeight="1" thickBot="1" x14ac:dyDescent="0.3">
      <c r="A12" s="2" t="s">
        <v>44</v>
      </c>
      <c r="C12" s="17" t="s">
        <v>72</v>
      </c>
    </row>
    <row r="13" spans="1:3" ht="20.100000000000001" customHeight="1" thickBot="1" x14ac:dyDescent="0.3">
      <c r="A13" s="2" t="s">
        <v>45</v>
      </c>
      <c r="C13" s="17" t="s">
        <v>73</v>
      </c>
    </row>
    <row r="14" spans="1:3" ht="20.100000000000001" customHeight="1" thickBot="1" x14ac:dyDescent="0.3">
      <c r="A14" s="2" t="s">
        <v>46</v>
      </c>
      <c r="C14" s="17" t="s">
        <v>74</v>
      </c>
    </row>
    <row r="15" spans="1:3" ht="20.100000000000001" customHeight="1" thickBot="1" x14ac:dyDescent="0.3">
      <c r="A15" s="2" t="s">
        <v>47</v>
      </c>
      <c r="C15" s="17" t="s">
        <v>75</v>
      </c>
    </row>
    <row r="16" spans="1:3" ht="20.100000000000001" customHeight="1" thickBot="1" x14ac:dyDescent="0.3">
      <c r="A16" s="2" t="s">
        <v>10</v>
      </c>
      <c r="C16" s="17" t="s">
        <v>76</v>
      </c>
    </row>
    <row r="17" spans="1:3" ht="20.100000000000001" customHeight="1" thickBot="1" x14ac:dyDescent="0.3">
      <c r="A17" s="2" t="s">
        <v>27</v>
      </c>
      <c r="C17" s="17" t="s">
        <v>77</v>
      </c>
    </row>
    <row r="18" spans="1:3" ht="20.100000000000001" customHeight="1" thickBot="1" x14ac:dyDescent="0.3">
      <c r="A18" s="2" t="s">
        <v>48</v>
      </c>
      <c r="C18" s="17" t="s">
        <v>78</v>
      </c>
    </row>
    <row r="19" spans="1:3" ht="20.100000000000001" customHeight="1" thickBot="1" x14ac:dyDescent="0.3">
      <c r="A19" s="2" t="s">
        <v>49</v>
      </c>
      <c r="C19" s="17" t="s">
        <v>79</v>
      </c>
    </row>
    <row r="20" spans="1:3" ht="20.100000000000001" customHeight="1" thickBot="1" x14ac:dyDescent="0.3">
      <c r="A20" s="2" t="s">
        <v>50</v>
      </c>
      <c r="C20" s="17" t="s">
        <v>80</v>
      </c>
    </row>
    <row r="21" spans="1:3" ht="20.100000000000001" customHeight="1" thickBot="1" x14ac:dyDescent="0.3">
      <c r="A21" s="2" t="s">
        <v>51</v>
      </c>
      <c r="C21" s="17" t="s">
        <v>81</v>
      </c>
    </row>
    <row r="22" spans="1:3" ht="20.100000000000001" customHeight="1" thickBot="1" x14ac:dyDescent="0.3">
      <c r="A22" s="2" t="s">
        <v>11</v>
      </c>
      <c r="C22" s="17" t="s">
        <v>82</v>
      </c>
    </row>
    <row r="23" spans="1:3" ht="20.100000000000001" customHeight="1" thickBot="1" x14ac:dyDescent="0.3">
      <c r="A23" s="2" t="s">
        <v>12</v>
      </c>
      <c r="C23" s="17" t="s">
        <v>83</v>
      </c>
    </row>
    <row r="24" spans="1:3" ht="20.100000000000001" customHeight="1" thickBot="1" x14ac:dyDescent="0.3">
      <c r="A24" s="2" t="s">
        <v>15</v>
      </c>
      <c r="C24" s="17" t="s">
        <v>84</v>
      </c>
    </row>
    <row r="25" spans="1:3" ht="20.100000000000001" customHeight="1" thickBot="1" x14ac:dyDescent="0.3">
      <c r="A25" s="2" t="s">
        <v>28</v>
      </c>
      <c r="C25" s="17" t="s">
        <v>85</v>
      </c>
    </row>
    <row r="26" spans="1:3" ht="20.100000000000001" customHeight="1" thickBot="1" x14ac:dyDescent="0.3">
      <c r="A26" s="2" t="s">
        <v>29</v>
      </c>
      <c r="C26" s="17" t="s">
        <v>86</v>
      </c>
    </row>
    <row r="27" spans="1:3" ht="20.100000000000001" customHeight="1" thickBot="1" x14ac:dyDescent="0.3">
      <c r="A27" s="2" t="s">
        <v>13</v>
      </c>
      <c r="C27" s="17" t="s">
        <v>87</v>
      </c>
    </row>
    <row r="28" spans="1:3" ht="20.100000000000001" customHeight="1" thickBot="1" x14ac:dyDescent="0.3">
      <c r="A28" s="2" t="s">
        <v>30</v>
      </c>
      <c r="C28" s="17" t="s">
        <v>88</v>
      </c>
    </row>
    <row r="29" spans="1:3" ht="20.100000000000001" customHeight="1" thickBot="1" x14ac:dyDescent="0.3">
      <c r="A29" s="2" t="s">
        <v>31</v>
      </c>
      <c r="C29" s="17" t="s">
        <v>177</v>
      </c>
    </row>
    <row r="30" spans="1:3" ht="20.100000000000001" customHeight="1" thickBot="1" x14ac:dyDescent="0.3">
      <c r="A30" s="2" t="s">
        <v>32</v>
      </c>
      <c r="C30" s="17" t="s">
        <v>178</v>
      </c>
    </row>
    <row r="31" spans="1:3" ht="20.100000000000001" customHeight="1" thickBot="1" x14ac:dyDescent="0.3">
      <c r="A31" s="2" t="s">
        <v>33</v>
      </c>
      <c r="C31" s="17" t="s">
        <v>179</v>
      </c>
    </row>
    <row r="32" spans="1:3" ht="20.100000000000001" customHeight="1" thickBot="1" x14ac:dyDescent="0.3">
      <c r="A32" s="2" t="s">
        <v>16</v>
      </c>
      <c r="C32" s="17"/>
    </row>
    <row r="33" spans="1:9" ht="20.100000000000001" customHeight="1" thickBot="1" x14ac:dyDescent="0.3">
      <c r="A33" s="2" t="s">
        <v>14</v>
      </c>
      <c r="C33" s="17"/>
    </row>
    <row r="34" spans="1:9" ht="20.100000000000001" customHeight="1" thickBot="1" x14ac:dyDescent="0.3">
      <c r="A34" s="2" t="s">
        <v>34</v>
      </c>
      <c r="C34" s="17"/>
    </row>
    <row r="35" spans="1:9" ht="20.100000000000001" customHeight="1" x14ac:dyDescent="0.2">
      <c r="A35" s="16"/>
    </row>
    <row r="36" spans="1:9" s="15" customFormat="1" ht="20.100000000000001" customHeight="1" x14ac:dyDescent="0.2">
      <c r="A36" s="13"/>
      <c r="B36" s="14"/>
      <c r="C36" s="14"/>
      <c r="D36" s="14"/>
      <c r="E36" s="14"/>
      <c r="F36" s="14"/>
      <c r="G36" s="14"/>
      <c r="H36" s="14"/>
      <c r="I36" s="14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1">
        <v>45931</v>
      </c>
    </row>
    <row r="40" spans="1:9" ht="20.100000000000001" customHeight="1" thickBot="1" x14ac:dyDescent="0.3">
      <c r="A40" s="11">
        <v>45932</v>
      </c>
    </row>
    <row r="41" spans="1:9" ht="20.100000000000001" customHeight="1" thickBot="1" x14ac:dyDescent="0.3">
      <c r="A41" s="11">
        <v>45933</v>
      </c>
    </row>
    <row r="42" spans="1:9" ht="20.100000000000001" customHeight="1" thickBot="1" x14ac:dyDescent="0.3">
      <c r="A42" s="11">
        <v>45934</v>
      </c>
    </row>
    <row r="43" spans="1:9" ht="20.100000000000001" customHeight="1" thickBot="1" x14ac:dyDescent="0.3">
      <c r="A43" s="11">
        <v>45935</v>
      </c>
    </row>
    <row r="44" spans="1:9" ht="20.100000000000001" customHeight="1" thickBot="1" x14ac:dyDescent="0.3">
      <c r="A44" s="11">
        <v>45936</v>
      </c>
    </row>
    <row r="45" spans="1:9" ht="20.100000000000001" customHeight="1" thickBot="1" x14ac:dyDescent="0.3">
      <c r="A45" s="11">
        <v>45937</v>
      </c>
    </row>
    <row r="46" spans="1:9" ht="20.100000000000001" customHeight="1" thickBot="1" x14ac:dyDescent="0.3">
      <c r="A46" s="11">
        <v>45938</v>
      </c>
    </row>
    <row r="47" spans="1:9" ht="20.100000000000001" customHeight="1" thickBot="1" x14ac:dyDescent="0.3">
      <c r="A47" s="11">
        <v>45939</v>
      </c>
    </row>
    <row r="48" spans="1:9" ht="20.100000000000001" customHeight="1" thickBot="1" x14ac:dyDescent="0.3">
      <c r="A48" s="11">
        <v>45940</v>
      </c>
    </row>
    <row r="49" spans="1:1" ht="20.100000000000001" customHeight="1" thickBot="1" x14ac:dyDescent="0.3">
      <c r="A49" s="11">
        <v>45941</v>
      </c>
    </row>
    <row r="50" spans="1:1" ht="20.100000000000001" customHeight="1" thickBot="1" x14ac:dyDescent="0.3">
      <c r="A50" s="11">
        <v>45942</v>
      </c>
    </row>
    <row r="51" spans="1:1" ht="20.100000000000001" customHeight="1" thickBot="1" x14ac:dyDescent="0.3">
      <c r="A51" s="11">
        <v>45943</v>
      </c>
    </row>
    <row r="52" spans="1:1" ht="20.100000000000001" customHeight="1" thickBot="1" x14ac:dyDescent="0.3">
      <c r="A52" s="11">
        <v>45944</v>
      </c>
    </row>
    <row r="53" spans="1:1" ht="20.100000000000001" customHeight="1" thickBot="1" x14ac:dyDescent="0.3">
      <c r="A53" s="11">
        <v>45945</v>
      </c>
    </row>
    <row r="54" spans="1:1" ht="20.100000000000001" customHeight="1" thickBot="1" x14ac:dyDescent="0.3">
      <c r="A54" s="11">
        <v>45946</v>
      </c>
    </row>
    <row r="55" spans="1:1" ht="20.100000000000001" customHeight="1" thickBot="1" x14ac:dyDescent="0.3">
      <c r="A55" s="11">
        <v>45947</v>
      </c>
    </row>
    <row r="56" spans="1:1" ht="20.100000000000001" customHeight="1" thickBot="1" x14ac:dyDescent="0.3">
      <c r="A56" s="11">
        <v>45948</v>
      </c>
    </row>
    <row r="57" spans="1:1" ht="20.100000000000001" customHeight="1" thickBot="1" x14ac:dyDescent="0.3">
      <c r="A57" s="11">
        <v>45949</v>
      </c>
    </row>
    <row r="58" spans="1:1" ht="20.100000000000001" customHeight="1" thickBot="1" x14ac:dyDescent="0.3">
      <c r="A58" s="11">
        <v>45950</v>
      </c>
    </row>
    <row r="59" spans="1:1" ht="20.100000000000001" customHeight="1" thickBot="1" x14ac:dyDescent="0.3">
      <c r="A59" s="11">
        <v>45951</v>
      </c>
    </row>
    <row r="60" spans="1:1" ht="20.100000000000001" customHeight="1" thickBot="1" x14ac:dyDescent="0.3">
      <c r="A60" s="11">
        <v>45952</v>
      </c>
    </row>
    <row r="61" spans="1:1" ht="20.100000000000001" customHeight="1" thickBot="1" x14ac:dyDescent="0.3">
      <c r="A61" s="11">
        <v>45953</v>
      </c>
    </row>
    <row r="62" spans="1:1" ht="20.100000000000001" customHeight="1" thickBot="1" x14ac:dyDescent="0.3">
      <c r="A62" s="11">
        <v>45954</v>
      </c>
    </row>
    <row r="63" spans="1:1" ht="20.100000000000001" customHeight="1" thickBot="1" x14ac:dyDescent="0.3">
      <c r="A63" s="11">
        <v>45955</v>
      </c>
    </row>
    <row r="64" spans="1:1" ht="20.100000000000001" customHeight="1" thickBot="1" x14ac:dyDescent="0.3">
      <c r="A64" s="11">
        <v>45956</v>
      </c>
    </row>
    <row r="65" spans="1:1" ht="20.100000000000001" customHeight="1" thickBot="1" x14ac:dyDescent="0.3">
      <c r="A65" s="11">
        <v>45957</v>
      </c>
    </row>
    <row r="66" spans="1:1" ht="20.100000000000001" customHeight="1" thickBot="1" x14ac:dyDescent="0.3">
      <c r="A66" s="11">
        <v>45958</v>
      </c>
    </row>
    <row r="67" spans="1:1" ht="20.100000000000001" customHeight="1" thickBot="1" x14ac:dyDescent="0.3">
      <c r="A67" s="11">
        <v>45959</v>
      </c>
    </row>
    <row r="68" spans="1:1" ht="20.100000000000001" customHeight="1" thickBot="1" x14ac:dyDescent="0.3">
      <c r="A68" s="11">
        <v>45960</v>
      </c>
    </row>
    <row r="69" spans="1:1" ht="20.100000000000001" customHeight="1" thickBot="1" x14ac:dyDescent="0.3">
      <c r="A69" s="11">
        <v>45961</v>
      </c>
    </row>
    <row r="70" spans="1:1" ht="20.100000000000001" customHeight="1" thickBot="1" x14ac:dyDescent="0.25">
      <c r="A70" s="11"/>
    </row>
    <row r="71" spans="1:1" ht="20.100000000000001" customHeight="1" thickBot="1" x14ac:dyDescent="0.25">
      <c r="A71" s="11"/>
    </row>
    <row r="72" spans="1:1" ht="20.100000000000001" customHeight="1" thickBot="1" x14ac:dyDescent="0.25">
      <c r="A72" s="11"/>
    </row>
    <row r="73" spans="1:1" ht="20.100000000000001" customHeight="1" thickBot="1" x14ac:dyDescent="0.25">
      <c r="A73" s="11"/>
    </row>
    <row r="74" spans="1:1" ht="20.100000000000001" customHeight="1" thickBot="1" x14ac:dyDescent="0.25">
      <c r="A74" s="11"/>
    </row>
    <row r="75" spans="1:1" ht="20.100000000000001" customHeight="1" thickBot="1" x14ac:dyDescent="0.25">
      <c r="A75" s="11"/>
    </row>
    <row r="76" spans="1:1" ht="20.100000000000001" customHeight="1" thickBot="1" x14ac:dyDescent="0.25">
      <c r="A76" s="11"/>
    </row>
    <row r="77" spans="1:1" ht="20.100000000000001" customHeight="1" thickBot="1" x14ac:dyDescent="0.25">
      <c r="A77" s="11"/>
    </row>
    <row r="78" spans="1:1" ht="20.100000000000001" customHeight="1" thickBot="1" x14ac:dyDescent="0.25">
      <c r="A78" s="11"/>
    </row>
    <row r="79" spans="1:1" ht="20.100000000000001" customHeight="1" thickBot="1" x14ac:dyDescent="0.25">
      <c r="A79" s="11"/>
    </row>
    <row r="80" spans="1:1" ht="20.100000000000001" customHeight="1" thickBot="1" x14ac:dyDescent="0.25">
      <c r="A80" s="11"/>
    </row>
    <row r="81" spans="1:1" ht="20.100000000000001" customHeight="1" thickBot="1" x14ac:dyDescent="0.25">
      <c r="A81" s="11"/>
    </row>
    <row r="82" spans="1:1" ht="20.100000000000001" customHeight="1" thickBot="1" x14ac:dyDescent="0.25">
      <c r="A82" s="11"/>
    </row>
    <row r="83" spans="1:1" ht="20.100000000000001" customHeight="1" thickBot="1" x14ac:dyDescent="0.25">
      <c r="A83" s="11"/>
    </row>
    <row r="84" spans="1:1" ht="20.100000000000001" customHeight="1" thickBot="1" x14ac:dyDescent="0.25">
      <c r="A84" s="11"/>
    </row>
    <row r="85" spans="1:1" ht="20.100000000000001" customHeight="1" thickBot="1" x14ac:dyDescent="0.25">
      <c r="A85" s="11"/>
    </row>
    <row r="86" spans="1:1" ht="20.100000000000001" customHeight="1" thickBot="1" x14ac:dyDescent="0.25">
      <c r="A86" s="11"/>
    </row>
    <row r="87" spans="1:1" ht="20.100000000000001" customHeight="1" thickBot="1" x14ac:dyDescent="0.25">
      <c r="A87" s="11"/>
    </row>
    <row r="88" spans="1:1" ht="20.100000000000001" customHeight="1" thickBot="1" x14ac:dyDescent="0.25">
      <c r="A88" s="11"/>
    </row>
    <row r="89" spans="1:1" ht="20.100000000000001" customHeight="1" thickBot="1" x14ac:dyDescent="0.25">
      <c r="A89" s="11"/>
    </row>
    <row r="90" spans="1:1" ht="20.100000000000001" customHeight="1" thickBot="1" x14ac:dyDescent="0.25">
      <c r="A90" s="11"/>
    </row>
    <row r="91" spans="1:1" ht="20.100000000000001" customHeight="1" thickBot="1" x14ac:dyDescent="0.25">
      <c r="A91" s="11"/>
    </row>
    <row r="92" spans="1:1" ht="20.100000000000001" customHeight="1" thickBot="1" x14ac:dyDescent="0.25">
      <c r="A92" s="11"/>
    </row>
    <row r="93" spans="1:1" ht="20.100000000000001" customHeight="1" thickBot="1" x14ac:dyDescent="0.25">
      <c r="A93" s="11"/>
    </row>
    <row r="94" spans="1:1" ht="20.100000000000001" customHeight="1" thickBot="1" x14ac:dyDescent="0.25">
      <c r="A94" s="11"/>
    </row>
    <row r="95" spans="1:1" ht="20.100000000000001" customHeight="1" thickBot="1" x14ac:dyDescent="0.25">
      <c r="A95" s="11"/>
    </row>
    <row r="96" spans="1:1" ht="20.100000000000001" customHeight="1" thickBot="1" x14ac:dyDescent="0.25">
      <c r="A96" s="11"/>
    </row>
    <row r="97" spans="1:9" ht="20.100000000000001" customHeight="1" thickBot="1" x14ac:dyDescent="0.25">
      <c r="A97" s="11"/>
    </row>
    <row r="98" spans="1:9" ht="20.100000000000001" customHeight="1" thickBot="1" x14ac:dyDescent="0.25">
      <c r="A98" s="11"/>
    </row>
    <row r="99" spans="1:9" ht="20.100000000000001" customHeight="1" thickBot="1" x14ac:dyDescent="0.25">
      <c r="A99" s="11"/>
    </row>
    <row r="100" spans="1:9" ht="20.100000000000001" customHeight="1" thickBot="1" x14ac:dyDescent="0.25">
      <c r="A100" s="11"/>
    </row>
    <row r="101" spans="1:9" ht="20.100000000000001" customHeight="1" thickBot="1" x14ac:dyDescent="0.25">
      <c r="A101" s="11"/>
    </row>
    <row r="102" spans="1:9" ht="20.100000000000001" customHeight="1" thickBot="1" x14ac:dyDescent="0.25">
      <c r="A102" s="11"/>
    </row>
    <row r="103" spans="1:9" ht="20.100000000000001" customHeight="1" thickBot="1" x14ac:dyDescent="0.25">
      <c r="A103" s="11"/>
    </row>
    <row r="104" spans="1:9" ht="20.100000000000001" customHeight="1" thickBot="1" x14ac:dyDescent="0.25">
      <c r="A104" s="11"/>
    </row>
    <row r="105" spans="1:9" ht="20.100000000000001" customHeight="1" thickBot="1" x14ac:dyDescent="0.25">
      <c r="A105" s="11"/>
    </row>
    <row r="106" spans="1:9" ht="20.100000000000001" customHeight="1" thickBot="1" x14ac:dyDescent="0.25">
      <c r="A106" s="11"/>
    </row>
    <row r="107" spans="1:9" ht="20.100000000000001" customHeight="1" x14ac:dyDescent="0.2">
      <c r="A107" s="12"/>
    </row>
    <row r="108" spans="1:9" ht="20.100000000000001" customHeight="1" x14ac:dyDescent="0.2">
      <c r="A108" s="12"/>
    </row>
    <row r="109" spans="1:9" s="15" customFormat="1" ht="20.100000000000001" customHeight="1" x14ac:dyDescent="0.2">
      <c r="A109" s="13"/>
      <c r="B109" s="14"/>
      <c r="C109" s="14"/>
      <c r="D109" s="14"/>
      <c r="E109" s="14"/>
      <c r="F109" s="14"/>
      <c r="G109" s="14"/>
      <c r="H109" s="14"/>
      <c r="I109" s="14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18" t="s">
        <v>89</v>
      </c>
    </row>
    <row r="200" spans="1:1" ht="20.100000000000001" customHeight="1" x14ac:dyDescent="0.2">
      <c r="A200" s="18" t="s">
        <v>90</v>
      </c>
    </row>
    <row r="201" spans="1:1" ht="20.100000000000001" customHeight="1" x14ac:dyDescent="0.2">
      <c r="A201" s="18" t="s">
        <v>91</v>
      </c>
    </row>
    <row r="202" spans="1:1" ht="20.100000000000001" customHeight="1" x14ac:dyDescent="0.2">
      <c r="A202" s="18" t="s">
        <v>92</v>
      </c>
    </row>
    <row r="203" spans="1:1" ht="20.100000000000001" customHeight="1" x14ac:dyDescent="0.2">
      <c r="A203" s="18" t="s">
        <v>93</v>
      </c>
    </row>
    <row r="204" spans="1:1" ht="20.100000000000001" customHeight="1" x14ac:dyDescent="0.2">
      <c r="A204" s="18" t="s">
        <v>94</v>
      </c>
    </row>
    <row r="205" spans="1:1" ht="20.100000000000001" customHeight="1" x14ac:dyDescent="0.2">
      <c r="A205" s="18" t="s">
        <v>95</v>
      </c>
    </row>
    <row r="206" spans="1:1" ht="20.100000000000001" customHeight="1" x14ac:dyDescent="0.2">
      <c r="A206" s="18" t="s">
        <v>96</v>
      </c>
    </row>
    <row r="207" spans="1:1" ht="20.100000000000001" customHeight="1" x14ac:dyDescent="0.2">
      <c r="A207" s="18" t="s">
        <v>97</v>
      </c>
    </row>
    <row r="208" spans="1:1" ht="20.100000000000001" customHeight="1" x14ac:dyDescent="0.2">
      <c r="A208" s="19" t="s">
        <v>98</v>
      </c>
    </row>
    <row r="209" spans="1:1" ht="20.100000000000001" customHeight="1" x14ac:dyDescent="0.2">
      <c r="A209" s="19" t="s">
        <v>99</v>
      </c>
    </row>
    <row r="210" spans="1:1" ht="20.100000000000001" customHeight="1" x14ac:dyDescent="0.2">
      <c r="A210" s="18" t="s">
        <v>100</v>
      </c>
    </row>
    <row r="211" spans="1:1" ht="20.100000000000001" customHeight="1" x14ac:dyDescent="0.2">
      <c r="A211" s="18" t="s">
        <v>101</v>
      </c>
    </row>
    <row r="212" spans="1:1" ht="20.100000000000001" customHeight="1" x14ac:dyDescent="0.2">
      <c r="A212" s="18" t="s">
        <v>175</v>
      </c>
    </row>
    <row r="213" spans="1:1" ht="20.100000000000001" customHeight="1" x14ac:dyDescent="0.2">
      <c r="A213" s="18" t="s">
        <v>102</v>
      </c>
    </row>
    <row r="214" spans="1:1" ht="20.100000000000001" customHeight="1" x14ac:dyDescent="0.2">
      <c r="A214" s="18" t="s">
        <v>103</v>
      </c>
    </row>
    <row r="215" spans="1:1" ht="20.100000000000001" customHeight="1" x14ac:dyDescent="0.2">
      <c r="A215" s="18" t="s">
        <v>104</v>
      </c>
    </row>
    <row r="216" spans="1:1" ht="20.100000000000001" customHeight="1" x14ac:dyDescent="0.2">
      <c r="A216" s="18" t="s">
        <v>105</v>
      </c>
    </row>
    <row r="217" spans="1:1" ht="20.100000000000001" customHeight="1" x14ac:dyDescent="0.2">
      <c r="A217" s="18" t="s">
        <v>106</v>
      </c>
    </row>
    <row r="218" spans="1:1" ht="20.100000000000001" customHeight="1" x14ac:dyDescent="0.2">
      <c r="A218" s="18" t="s">
        <v>107</v>
      </c>
    </row>
    <row r="219" spans="1:1" ht="20.100000000000001" customHeight="1" x14ac:dyDescent="0.2">
      <c r="A219" s="18" t="s">
        <v>108</v>
      </c>
    </row>
    <row r="220" spans="1:1" ht="20.100000000000001" customHeight="1" x14ac:dyDescent="0.2">
      <c r="A220" s="18" t="s">
        <v>109</v>
      </c>
    </row>
    <row r="221" spans="1:1" ht="20.100000000000001" customHeight="1" x14ac:dyDescent="0.2">
      <c r="A221" s="18" t="s">
        <v>110</v>
      </c>
    </row>
    <row r="222" spans="1:1" ht="20.100000000000001" customHeight="1" x14ac:dyDescent="0.2">
      <c r="A222" s="18" t="s">
        <v>111</v>
      </c>
    </row>
    <row r="223" spans="1:1" ht="20.100000000000001" customHeight="1" x14ac:dyDescent="0.2">
      <c r="A223" s="18" t="s">
        <v>112</v>
      </c>
    </row>
    <row r="224" spans="1:1" ht="20.100000000000001" customHeight="1" x14ac:dyDescent="0.2">
      <c r="A224" s="18" t="s">
        <v>176</v>
      </c>
    </row>
    <row r="225" spans="1:1" ht="20.100000000000001" customHeight="1" x14ac:dyDescent="0.2">
      <c r="A225" s="18" t="s">
        <v>113</v>
      </c>
    </row>
    <row r="226" spans="1:1" ht="20.100000000000001" customHeight="1" x14ac:dyDescent="0.2">
      <c r="A226" s="18" t="s">
        <v>114</v>
      </c>
    </row>
    <row r="227" spans="1:1" ht="20.100000000000001" customHeight="1" x14ac:dyDescent="0.2">
      <c r="A227" s="18" t="s">
        <v>115</v>
      </c>
    </row>
    <row r="228" spans="1:1" ht="20.100000000000001" customHeight="1" x14ac:dyDescent="0.2">
      <c r="A228" s="18" t="s">
        <v>116</v>
      </c>
    </row>
    <row r="229" spans="1:1" ht="20.100000000000001" customHeight="1" x14ac:dyDescent="0.2">
      <c r="A229" s="18" t="s">
        <v>117</v>
      </c>
    </row>
    <row r="230" spans="1:1" ht="20.100000000000001" customHeight="1" x14ac:dyDescent="0.2">
      <c r="A230" s="18" t="s">
        <v>118</v>
      </c>
    </row>
    <row r="231" spans="1:1" ht="20.100000000000001" customHeight="1" x14ac:dyDescent="0.2">
      <c r="A231" s="18" t="s">
        <v>119</v>
      </c>
    </row>
    <row r="232" spans="1:1" ht="20.100000000000001" customHeight="1" x14ac:dyDescent="0.2">
      <c r="A232" s="18" t="s">
        <v>120</v>
      </c>
    </row>
    <row r="233" spans="1:1" ht="20.100000000000001" customHeight="1" x14ac:dyDescent="0.2">
      <c r="A233" s="18" t="s">
        <v>121</v>
      </c>
    </row>
    <row r="234" spans="1:1" ht="20.100000000000001" customHeight="1" x14ac:dyDescent="0.2">
      <c r="A234" s="18" t="s">
        <v>122</v>
      </c>
    </row>
    <row r="235" spans="1:1" ht="20.100000000000001" customHeight="1" x14ac:dyDescent="0.2">
      <c r="A235" s="18" t="s">
        <v>123</v>
      </c>
    </row>
    <row r="236" spans="1:1" ht="20.100000000000001" customHeight="1" x14ac:dyDescent="0.2">
      <c r="A236" s="20" t="s">
        <v>124</v>
      </c>
    </row>
    <row r="237" spans="1:1" ht="20.100000000000001" customHeight="1" x14ac:dyDescent="0.2">
      <c r="A237" s="18" t="s">
        <v>125</v>
      </c>
    </row>
    <row r="238" spans="1:1" ht="20.100000000000001" customHeight="1" x14ac:dyDescent="0.2">
      <c r="A238" s="18" t="s">
        <v>126</v>
      </c>
    </row>
    <row r="239" spans="1:1" ht="20.100000000000001" customHeight="1" x14ac:dyDescent="0.2">
      <c r="A239" s="18" t="s">
        <v>127</v>
      </c>
    </row>
    <row r="240" spans="1:1" ht="20.100000000000001" customHeight="1" x14ac:dyDescent="0.2">
      <c r="A240" s="18" t="s">
        <v>128</v>
      </c>
    </row>
    <row r="241" spans="1:1" ht="20.100000000000001" customHeight="1" x14ac:dyDescent="0.2">
      <c r="A241" s="18" t="s">
        <v>129</v>
      </c>
    </row>
    <row r="242" spans="1:1" ht="20.100000000000001" customHeight="1" x14ac:dyDescent="0.2">
      <c r="A242" s="18" t="s">
        <v>130</v>
      </c>
    </row>
    <row r="243" spans="1:1" ht="20.100000000000001" customHeight="1" x14ac:dyDescent="0.2">
      <c r="A243" s="18" t="s">
        <v>131</v>
      </c>
    </row>
    <row r="244" spans="1:1" ht="20.100000000000001" customHeight="1" x14ac:dyDescent="0.2">
      <c r="A244" s="18" t="s">
        <v>132</v>
      </c>
    </row>
    <row r="245" spans="1:1" ht="20.100000000000001" customHeight="1" x14ac:dyDescent="0.2">
      <c r="A245" s="18" t="s">
        <v>133</v>
      </c>
    </row>
    <row r="246" spans="1:1" ht="20.100000000000001" customHeight="1" x14ac:dyDescent="0.2">
      <c r="A246" s="18" t="s">
        <v>134</v>
      </c>
    </row>
    <row r="247" spans="1:1" ht="20.100000000000001" customHeight="1" x14ac:dyDescent="0.2">
      <c r="A247" s="18" t="s">
        <v>135</v>
      </c>
    </row>
    <row r="248" spans="1:1" ht="20.100000000000001" customHeight="1" x14ac:dyDescent="0.2">
      <c r="A248" s="18" t="s">
        <v>126</v>
      </c>
    </row>
    <row r="249" spans="1:1" ht="20.100000000000001" customHeight="1" x14ac:dyDescent="0.2">
      <c r="A249" s="18" t="s">
        <v>136</v>
      </c>
    </row>
    <row r="250" spans="1:1" ht="20.100000000000001" customHeight="1" x14ac:dyDescent="0.2">
      <c r="A250" s="18" t="s">
        <v>137</v>
      </c>
    </row>
    <row r="251" spans="1:1" ht="20.100000000000001" customHeight="1" x14ac:dyDescent="0.2">
      <c r="A251" s="20" t="s">
        <v>138</v>
      </c>
    </row>
    <row r="252" spans="1:1" ht="20.100000000000001" customHeight="1" x14ac:dyDescent="0.2">
      <c r="A252" s="21" t="s">
        <v>139</v>
      </c>
    </row>
    <row r="253" spans="1:1" ht="20.100000000000001" customHeight="1" x14ac:dyDescent="0.2">
      <c r="A253" s="18" t="s">
        <v>140</v>
      </c>
    </row>
    <row r="254" spans="1:1" ht="20.100000000000001" customHeight="1" x14ac:dyDescent="0.2">
      <c r="A254" s="18" t="s">
        <v>141</v>
      </c>
    </row>
    <row r="255" spans="1:1" ht="20.100000000000001" customHeight="1" x14ac:dyDescent="0.2">
      <c r="A255" s="22" t="s">
        <v>142</v>
      </c>
    </row>
    <row r="256" spans="1:1" ht="20.100000000000001" customHeight="1" x14ac:dyDescent="0.2">
      <c r="A256" s="22" t="s">
        <v>143</v>
      </c>
    </row>
    <row r="257" spans="1:1" ht="20.100000000000001" customHeight="1" x14ac:dyDescent="0.2">
      <c r="A257" s="23" t="s">
        <v>144</v>
      </c>
    </row>
    <row r="258" spans="1:1" ht="20.100000000000001" customHeight="1" x14ac:dyDescent="0.2">
      <c r="A258" s="18" t="s">
        <v>145</v>
      </c>
    </row>
    <row r="259" spans="1:1" ht="20.100000000000001" customHeight="1" x14ac:dyDescent="0.2">
      <c r="A259" s="23" t="s">
        <v>146</v>
      </c>
    </row>
    <row r="260" spans="1:1" ht="20.100000000000001" customHeight="1" x14ac:dyDescent="0.2">
      <c r="A260" s="18" t="s">
        <v>147</v>
      </c>
    </row>
    <row r="261" spans="1:1" ht="20.100000000000001" customHeight="1" x14ac:dyDescent="0.2">
      <c r="A261" s="23" t="s">
        <v>148</v>
      </c>
    </row>
    <row r="262" spans="1:1" ht="20.100000000000001" customHeight="1" x14ac:dyDescent="0.2">
      <c r="A262" s="18" t="s">
        <v>149</v>
      </c>
    </row>
    <row r="263" spans="1:1" ht="20.100000000000001" customHeight="1" x14ac:dyDescent="0.2">
      <c r="A263" s="18" t="s">
        <v>150</v>
      </c>
    </row>
    <row r="264" spans="1:1" ht="20.100000000000001" customHeight="1" x14ac:dyDescent="0.2">
      <c r="A264" s="23" t="s">
        <v>151</v>
      </c>
    </row>
    <row r="265" spans="1:1" ht="20.100000000000001" customHeight="1" x14ac:dyDescent="0.2">
      <c r="A265" s="23" t="s">
        <v>152</v>
      </c>
    </row>
    <row r="266" spans="1:1" ht="20.100000000000001" customHeight="1" x14ac:dyDescent="0.2">
      <c r="A266" s="23" t="s">
        <v>153</v>
      </c>
    </row>
    <row r="267" spans="1:1" ht="20.100000000000001" customHeight="1" x14ac:dyDescent="0.2">
      <c r="A267" s="18" t="s">
        <v>154</v>
      </c>
    </row>
    <row r="268" spans="1:1" ht="20.100000000000001" customHeight="1" x14ac:dyDescent="0.2">
      <c r="A268" s="18" t="s">
        <v>155</v>
      </c>
    </row>
    <row r="269" spans="1:1" ht="20.100000000000001" customHeight="1" x14ac:dyDescent="0.2">
      <c r="A269" s="18" t="s">
        <v>156</v>
      </c>
    </row>
    <row r="270" spans="1:1" ht="20.100000000000001" customHeight="1" x14ac:dyDescent="0.2">
      <c r="A270" s="18" t="s">
        <v>157</v>
      </c>
    </row>
    <row r="271" spans="1:1" ht="20.100000000000001" customHeight="1" x14ac:dyDescent="0.2">
      <c r="A271" s="23" t="s">
        <v>158</v>
      </c>
    </row>
    <row r="272" spans="1:1" ht="20.100000000000001" customHeight="1" x14ac:dyDescent="0.2">
      <c r="A272" s="23" t="s">
        <v>159</v>
      </c>
    </row>
    <row r="273" spans="1:1" ht="20.100000000000001" customHeight="1" x14ac:dyDescent="0.2">
      <c r="A273" s="18" t="s">
        <v>160</v>
      </c>
    </row>
    <row r="274" spans="1:1" ht="20.100000000000001" customHeight="1" x14ac:dyDescent="0.2">
      <c r="A274" s="23" t="s">
        <v>161</v>
      </c>
    </row>
    <row r="275" spans="1:1" ht="20.100000000000001" customHeight="1" x14ac:dyDescent="0.2">
      <c r="A275" s="23" t="s">
        <v>162</v>
      </c>
    </row>
    <row r="276" spans="1:1" ht="20.100000000000001" customHeight="1" x14ac:dyDescent="0.2">
      <c r="A276" s="18" t="s">
        <v>163</v>
      </c>
    </row>
    <row r="277" spans="1:1" ht="20.100000000000001" customHeight="1" x14ac:dyDescent="0.2">
      <c r="A277" s="18" t="s">
        <v>164</v>
      </c>
    </row>
    <row r="278" spans="1:1" ht="20.100000000000001" customHeight="1" x14ac:dyDescent="0.2">
      <c r="A278" s="23" t="s">
        <v>165</v>
      </c>
    </row>
    <row r="279" spans="1:1" ht="20.100000000000001" customHeight="1" x14ac:dyDescent="0.2">
      <c r="A279" s="18" t="s">
        <v>166</v>
      </c>
    </row>
    <row r="280" spans="1:1" ht="20.100000000000001" customHeight="1" x14ac:dyDescent="0.2">
      <c r="A280" s="18" t="s">
        <v>167</v>
      </c>
    </row>
    <row r="281" spans="1:1" ht="20.100000000000001" customHeight="1" x14ac:dyDescent="0.2">
      <c r="A281" s="18" t="s">
        <v>168</v>
      </c>
    </row>
    <row r="282" spans="1:1" ht="20.100000000000001" customHeight="1" x14ac:dyDescent="0.2">
      <c r="A282" s="18" t="s">
        <v>169</v>
      </c>
    </row>
    <row r="283" spans="1:1" ht="20.100000000000001" customHeight="1" x14ac:dyDescent="0.2">
      <c r="A283" s="23" t="s">
        <v>170</v>
      </c>
    </row>
    <row r="284" spans="1:1" ht="20.100000000000001" customHeight="1" x14ac:dyDescent="0.2">
      <c r="A284" s="23" t="s">
        <v>171</v>
      </c>
    </row>
    <row r="285" spans="1:1" ht="20.100000000000001" customHeight="1" x14ac:dyDescent="0.2">
      <c r="A285" s="23" t="s">
        <v>172</v>
      </c>
    </row>
    <row r="286" spans="1:1" ht="20.100000000000001" customHeight="1" thickBot="1" x14ac:dyDescent="0.25">
      <c r="A286" s="18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2025-10-21T12:21:33Z</dcterms:modified>
</cp:coreProperties>
</file>