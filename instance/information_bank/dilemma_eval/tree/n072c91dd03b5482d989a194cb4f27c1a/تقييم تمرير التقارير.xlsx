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4DE9C2B3-82B7-44A3-A871-A579A584CFCD}"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<sst xmlns="http://schemas.openxmlformats.org/spreadsheetml/2006/main" count="259" uniqueCount="203">
  <si>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</si>
  <si>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</si>
  <si>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</si>
  <si>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</si>
  <si>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</si>
  <si>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</si>
  <si>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</si>
  <si>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</si>
  <si>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</si>
  <si>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</si>
  <si>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</si>
  <si>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</si>
  <si>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</si>
  <si>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</si>
  <si>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</si>
  <si>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</si>
  <si>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</si>
  <si>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</si>
  <si>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</si>
  <si>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</si>
  <si>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</si>
  <si>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</si>
  <si>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</si>
  <si>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</si>
  <si>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</si>
  <si>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</si>
  <si>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</si>
  <si>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</si>
  <si>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</si>
  <si>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</si>
  <si>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</si>
  <si>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</si>
  <si>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</si>
  <si>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</si>
  <si>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</si>
  <si>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</si>
  <si>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</si>
  <si>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</si>
  <si>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</si>
  <si>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</si>
  <si>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</si>
  <si>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</si>
  <si>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</si>
  <si>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</si>
  <si>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</si>
  <si>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</si>
  <si>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</si>
  <si>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</si>
  <si>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</si>
  <si>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</si>
  <si>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</si>
  <si>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</si>
  <si>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</si>
  <si>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</si>
  <si>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</si>
  <si>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</si>
  <si>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</si>
  <si>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</si>
  <si>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</si>
  <si>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</si>
  <si>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</si>
  <si>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</si>
  <si>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</si>
  <si>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</si>
  <si>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</si>
  <si>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</si>
  <si>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</si>
  <si>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</si>
  <si>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</si>
  <si>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</si>
  <si>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</si>
  <si>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</si>
  <si>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</si>
  <si>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</si>
  <si>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</si>
  <si>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</si>
  <si>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</si>
  <si>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</si>
  <si>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</si>
  <si>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</si>
  <si>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</si>
  <si>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</si>
  <si>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</si>
  <si>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</si>
  <si>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</si>
  <si>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</si>
  <si>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</si>
  <si>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</si>
  <si>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</si>
  <si>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</si>
  <si>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</si>
  <si>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</si>
  <si>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</si>
  <si>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</si>
  <si>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</si>
  <si>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</si>
  <si>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</si>
  <si>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</si>
  <si>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</si>
  <si>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</si>
  <si>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</si>
  <si>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</si>
  <si>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</si>
  <si>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</si>
  <si>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</si>
  <si>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</si>
  <si>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</si>
  <si>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</si>
  <si>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</si>
  <si>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</si>
  <si>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</si>
  <si>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</si>
  <si>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</si>
  <si>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</si>
  <si>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</si>
  <si>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</si>
  <si>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</si>
  <si>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</si>
  <si>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</si>
  <si>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</si>
  <si>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</si>
  <si>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</si>
  <si>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</si>
  <si>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</si>
  <si>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</si>
  <si>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</si>
  <si>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</si>
  <si>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</si>
  <si>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</si>
  <si>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</si>
  <si>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</si>
  <si>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</si>
  <si>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</si>
  <si>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</si>
  <si>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</si>
  <si>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</si>
  <si>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</si>
  <si>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</si>
  <si>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</si>
  <si>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</si>
  <si>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</si>
  <si>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</si>
  <si>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</si>
  <si>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</si>
  <si>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</si>
  <si>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</si>
  <si>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</si>
  <si>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</si>
  <si>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</si>
  <si>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</si>
  <si>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</si>
  <si>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</si>
  <si>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</si>
  <si>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</si>
  <si>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</si>
  <si>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</si>
  <si>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</si>
  <si>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</si>
  <si>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</si>
  <si>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</si>
  <si>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</si>
  <si>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</si>
  <si>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</si>
  <si>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</si>
  <si>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</si>
  <si>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</si>
  <si>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</si>
  <si>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</si>
  <si>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</si>
  <si>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</si>
  <si>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</si>
  <si>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</si>
  <si>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</si>
  <si>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</si>
  <si>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</si>
  <si>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</si>
  <si>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</si>
  <si>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</si>
  <si>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</si>
  <si>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</si>
  <si>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</si>
  <si>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</si>
  <si>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</si>
  <si>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</si>
  <si>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</si>
  <si>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</si>
  <si>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</si>
  <si>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</si>
  <si>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</si>
  <si>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</si>
  <si>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</si>
  <si>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</si>
  <si>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</si>
  <si>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</si>
  <si>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</si>
  <si>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</si>
  <si>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</si>
  <si>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</si>
  <si>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</si>
  <si>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</si>
  <si>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</si>
  <si>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</si>
  <si>
    <t>ملازم/1 يوسف المصعبي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</si>
</sst>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5">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9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6" fillId="0" borderId="24" xfId="0" applyFont="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405221</xdr:colOff>
      <xdr:row>35</xdr:row>
      <xdr:rowOff>410517</xdr:rowOff>
    </xdr:from>
    <xdr:to>
      <xdr:col>8</xdr:col>
      <xdr:colOff>447317</xdr:colOff>
      <xdr:row>37</xdr:row>
      <xdr:rowOff>45760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93638A1F-56A3-C559-DFE2-5FDB4175DEA5}"/>
                </a:ext>
              </a:extLst>
            </xdr14:cNvPr>
            <xdr14:cNvContentPartPr/>
          </xdr14:nvContentPartPr>
          <xdr14:nvPr macro=""/>
          <xdr14:xfrm>
            <a:off x="10398797589" y="18155880"/>
            <a:ext cx="1358280" cy="812880"/>
          </xdr14:xfrm>
        </xdr:contentPart>
      </mc:Choice>
      <mc:Fallback xmlns="">
        <xdr:pic>
          <xdr:nvPicPr>
            <xdr:cNvPr id="2" name="Ink 1">
              <a:extLst>
                <a:ext uri="{FF2B5EF4-FFF2-40B4-BE49-F238E27FC236}">
                  <a16:creationId xmlns:a16="http://schemas.microsoft.com/office/drawing/2014/main" id="{93638A1F-56A3-C559-DFE2-5FDB4175DEA5}"/>
                </a:ext>
              </a:extLst>
            </xdr:cNvPr>
            <xdr:cNvPicPr/>
          </xdr:nvPicPr>
          <xdr:blipFill>
            <a:blip xmlns:r="http://schemas.openxmlformats.org/officeDocument/2006/relationships" r:embed="rId2"/>
            <a:stretch>
              <a:fillRect/>
            </a:stretch>
          </xdr:blipFill>
          <xdr:spPr>
            <a:xfrm>
              <a:off x="10398788949" y="18146880"/>
              <a:ext cx="1375920" cy="8305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4T17:12:10.707"/>
    </inkml:context>
    <inkml:brush xml:id="br0">
      <inkml:brushProperty name="width" value="0.05" units="cm"/>
      <inkml:brushProperty name="height" value="0.05" units="cm"/>
    </inkml:brush>
  </inkml:definitions>
  <inkml:trace contextRef="#ctx0" brushRef="#br0">3667 1312 6969,'0'0'0,"-5"-6"1464,-4-2-544,9 8-920,-23-23 753,16 18-33,4-4-24,-1-2-32,4 11-664,-2-9 576,2 1-104,0-1-120,0 6-88,0 3-264,0-3 233,0 1-9,0 2 8,0 0 0,0 0-232,-2 0 240,-1 0-32,3 0 0,-2 0 0,2 0-208,-5 5 184,3 1-16,-1 0-40,-4 2-40,7-8-88,-7 23 64,0-15-40,-19 26-48,17-1 24,9-33 0,-30 40-16,6 2 16,-4 5 40,-2-2-8,30-45-32,-30 49 24,-3-3 24,-2-1 0,2-2 16,33-43-64,-32 44 96,-8-4 0,7-3-32,0-2 0,33-35-64,-29 28 56,4-5-8,13-15 24,-13 15 8,25-23-80,-3 0 64,-2 9 8,3-9-24,-2 5 0,4-5-48,0 0 104,0 0 0,0 0 16,0-5-16,0 5-104,6-9 8,-1 1-32,2-4-88,1-13 16,-8 25 96,4-23-144,3 0 80,0-6 40,2 0-16,-9 29 40,8-28 16,-4-1-32,3 6 56,-3 14-40,-4 9 0,0-8 0,0 2 8,0 3 8,0 3-40,0 0 24,0 0-56,-11 6-64,4-1-96,-5 4 8,12-9 208,-20 24-264,12-16 48,-20 24 16,5-24 120,23-8 80,-26 34-56,5-25 40,0 20 24,10-23-40,11-6 32,-22 23 8,16-23-16,-6 5-24,5 1 40,7-6-8,-8 0 0,4 6-96,2-6-120,2 0-152,0 0 368,0 0-488,0-3-64,0 0-1,4-3 41,-4 6 512,7-5-472,-7-1 48,0 3 192,0 0 80,0 3 152,0-3-24,0 3 96,0 0 32,-5 0 32,5 0-136,-2 6 104,-4 0-64,-4-1-16,0 1-80,10-6 56,-23 9-96,14 16 56,-17-19 40,2 22 16,24-28-16,-20 9 24,-6 23-16,5-9-8,-3-15-8,24-8 8,-23 32 8,16-10 8,-21-13-40,21 20 88,7-29-64,-12 6 56,1 3 72,4-1 16,-3-2 48,10-6-192,-2 0 296,2 0 16,0-3 104,0-8 17,0 11-433,5-26 312,2-3-112,-2-8-128,3-17-80,-8 54 8,22-67 24,-12-12-40,17-16 80,-6-11-48,-21 106-16,26-118-48,5-11 8,1-8-48,-1-7 48,-31 144 40,35-146 0,0 12 0,-2 8 8,-8 11 16,-25 115-24,10-100-24,20 10 72,-23 22-8,-4 13 24,-3 55-64,6-40 152,-1 12 16,-5 19 32,0 0 16,0 9-216,-3-3 144,-5 3-96,0 6-120,1 23-144,7-29 216,-23 31-264,-1 21 40,1 17 80,-12 14 64,35-83 80,-35 94-56,-10 1-8,10 3-24,2-1-16,33-97 104,-30 97-88,5 3 8,2-2 40,11-6 8,12-92 32,-28 85-16,16-10 32,-9-3-16,-3-6 0,24-66 0,-9 66 8,-24-3 32,7 0 16,1-3-8,25-60-48,-28 54 56,2-2 0,-2-4 16,2-4 64,26-44-136,-25 40 128,1-6-8,1-6-24,10-4-16,13-24-80,-20 9 64,13 16 0,-1-19 8,-3 0-24,11-6-48,0 0 72,-4 0 32,4 0 24,0 0 24,0 0-152,0 0 112,0-3-40,4-9-64,4-10-64,-8 22 56,3-24-80,5-2-40,-4-8-32,1 0 64,-5 34 88,7-38-88,-7 1 8,5 6 16,1 2 24,-6 29 40,0-26-16,5 17 16,-5-2 56,0 2-24,0 9-32,0-2 56,0 2 0,0 0 24,-5 0-8,5 0-72,-1 0 56,-9 5-24,-2 1-64,0-6-48,12 0 80,-11 6-96,4 2 8,-5-2-32,4 3 56,8-9 64,-10 9-24,0-3 16,-2-1 0,11 1-8,1-6 16,-5 0-40,3 6 16,-1-6 48,3 0-24,0 0-16,-2 0 16,2 0-40,0 0 40,-3 5 0,-1-5-24,1 6-24,-2-6 56,5 0-8,-7 9-40,1-1-24,-1 15 8,-3-17-16,10-6 72,-23 28-32,16-4 16,-16 1 32,13 4-16,10-29 0,-25 25 8,17 8 16,-24-5-40,20 6 16,12-34 0,-26 31-8,17-5 32,-17-2 16,19-19 32,7-5-72,-7 9 96,-2-3 32,4-6 72,1 0 40,4 0-240,0 0 360,0 0-8,0-9-8,0-16-88,0 25-256,7-30 120,-7-10-48,4-11-16,3-15-56,-7 66 0,21-78 32,-14-13-16,30-18-64,-8-14 96,-29 123-48,33-135-80,-1-11 32,1-9-24,2-8-64,-35 163 136,38-161-88,2 4-16,-13 1 40,1 13 16,-28 143 48,31-129-16,-24 23 32,18 27 40,-25 24 56,0 55-112,0-35 192,0 27 64,0 5-24,-5 3-224,5 0-8,-8 23-112,-24 8-112,5 21-80,-11 28 152,38-80 152,-41 103-144,-11 15 24,0 8 8,3 3-24,49-129 136,-44 132-88,-3-1 0,8-2 40,-1-5 40,40-124 8,-35 114-16,5-8 40,1-11 24,-2-6-8,31-89-40,-27 74 80,1-7 40,3-13-8,11-9 16,12-45-128,-23 41 96,13-13 8,-2-2 8,5-17 24,7-9-136,-6 8 80,1-2-8,-2-1-48,7-5 56,0 0-80,0 0 112,0 0 48,0 0 8,0-2-32,0 2-136,5-6 144,-5-3-64,7 1-8,-7-15-72,0 23 0,0-6-40,0-16 32,4 13-16,-4 1-32,0 8 56,0-9 0,0 1-16,5 4-40,-5 1 32,0 3 24,0-3 8,0 3 8,0 0 16,0 0 8,0 0-40,0 0-24,0 0-16,0 0 80,0 0-16,0 0-24,0 0 32,0-3 0,0 0-32,0 1 0,0 2 0,0-3-8,0 0 32,-3 0-24,3-3 8,0 6-8,-2-3 16,2 1-8,-4-1 40,4 0 0,0 3-48,-5-3 80,-2 0 8,-3 0-8,-15 1-64,25 2-16,-12-3-40,-26 0-64,1 3-24,-7 0 56,44 0 72,-57 0-72,-6 8 48,-7 15 24,-12-14 0,82-9 0,-88 35 16,-8-10-8,-7 4 48,0 2 32,103-31-88,-105 35 80,-2 2 16,4 3 24,4 1 96,99-41-216,-91 40 336,16-3 1,14-6-1,17-7-152,44-24-184,-26 8-40,24 1-160,2-1-200,9 18-57,-9-26 457,46 0-480,11 5 104,18-5 128,30-8 16,-105 8 232,126-46-128,24-9-16,21-13 80,15-12 48,-186 80 16,205-84-104,3-7 64,0-7-152,2 4 32,-210 94 160,208-104-120,3-2-16,2-2 80,3-1 24,-216 109 32,207-106-24,-13 5 48,-17 7-24,-29 5-8,-148 89 8,116-77 0,-26 7 0,-27 16 56,-24 9 144,-39 45-200,8-32 432,-8 20 264,-8-11-48,-43 21-136,51 2-512,-68-3 289,-23 3-241,-31 28 48,-27 7 104,149-35-200,-171 46 280,-26 11 32,-8 9 96,-8 12 24,213-78-432,-229 82 408,2 10 16,-21 0-104,9-1-8,239-91-312,-224 89 280,18-8-80,35-7-128,31-8 8,140-66-80,-116 57 16,26-8-136,27-12-40,16-11-288,47-26 448,-28 23-864,21-18-560,1 1-705,6-6-1111,0 0 3240,35 0-6290,16-11 441,-51 11 5849</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B1" zoomScale="130" zoomScaleNormal="100" zoomScaleSheetLayoutView="130" workbookViewId="0">
      <selection activeCell="C2" sqref="C2:D2"/>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0" t="s">
        <v>201</v>
      </c>
      <c r="C1" s="60"/>
      <c r="D1" s="60"/>
      <c r="E1" s="60"/>
      <c r="F1" s="60"/>
      <c r="G1" s="60"/>
      <c r="H1" s="60"/>
      <c r="I1" s="60"/>
      <c r="J1" s="60"/>
    </row>
    <row r="2" spans="1:10" ht="30" customHeight="1" x14ac:dyDescent="0.3">
      <c r="B2" s="13" t="s">
        <v>8</v>
      </c>
      <c r="C2" s="66" t="s">
        <v>37</v>
      </c>
      <c r="D2" s="66"/>
      <c r="E2" s="13" t="s">
        <v>7</v>
      </c>
      <c r="F2" s="61">
        <v>45953</v>
      </c>
      <c r="G2" s="61"/>
      <c r="H2" s="61"/>
      <c r="I2" s="61"/>
      <c r="J2" s="61"/>
    </row>
    <row r="3" spans="1:10" ht="30" customHeight="1" x14ac:dyDescent="0.3">
      <c r="B3" s="13" t="s">
        <v>9</v>
      </c>
      <c r="C3" s="66" t="s">
        <v>60</v>
      </c>
      <c r="D3" s="66"/>
      <c r="E3" s="13" t="s">
        <v>6</v>
      </c>
      <c r="F3" s="66" t="s">
        <v>142</v>
      </c>
      <c r="G3" s="66"/>
      <c r="H3" s="66"/>
      <c r="I3" s="66"/>
      <c r="J3" s="66"/>
    </row>
    <row r="4" spans="1:10" ht="30" customHeight="1" thickBot="1" x14ac:dyDescent="0.35">
      <c r="B4" s="6"/>
      <c r="C4" s="95" t="s">
        <v>202</v>
      </c>
      <c r="D4" s="95"/>
      <c r="E4" s="6"/>
      <c r="F4" s="7"/>
      <c r="G4" s="7"/>
      <c r="H4" s="8"/>
      <c r="I4" s="7"/>
      <c r="J4" s="7"/>
    </row>
    <row r="5" spans="1:10" ht="24.9" customHeight="1" x14ac:dyDescent="0.3">
      <c r="A5" s="11"/>
      <c r="B5" s="62" t="s">
        <v>0</v>
      </c>
      <c r="C5" s="63"/>
      <c r="D5" s="63"/>
      <c r="E5" s="71" t="s">
        <v>1</v>
      </c>
      <c r="F5" s="71"/>
      <c r="G5" s="71"/>
      <c r="H5" s="71"/>
      <c r="I5" s="71" t="s">
        <v>2</v>
      </c>
      <c r="J5" s="72"/>
    </row>
    <row r="6" spans="1:10" ht="24.9" customHeight="1" thickBot="1" x14ac:dyDescent="0.35">
      <c r="A6" s="11"/>
      <c r="B6" s="64"/>
      <c r="C6" s="65"/>
      <c r="D6" s="65"/>
      <c r="E6" s="12" t="s">
        <v>3</v>
      </c>
      <c r="F6" s="12" t="s">
        <v>4</v>
      </c>
      <c r="G6" s="12" t="s">
        <v>23</v>
      </c>
      <c r="H6" s="12" t="s">
        <v>24</v>
      </c>
      <c r="I6" s="73"/>
      <c r="J6" s="74"/>
    </row>
    <row r="7" spans="1:10" ht="24.9" customHeight="1" thickBot="1" x14ac:dyDescent="0.35">
      <c r="A7" s="11"/>
      <c r="B7" s="69" t="s">
        <v>21</v>
      </c>
      <c r="C7" s="70"/>
      <c r="D7" s="70"/>
      <c r="E7" s="30" t="s">
        <v>18</v>
      </c>
      <c r="F7" s="30" t="s">
        <v>19</v>
      </c>
      <c r="G7" s="30" t="s">
        <v>22</v>
      </c>
      <c r="H7" s="30" t="s">
        <v>20</v>
      </c>
      <c r="I7" s="50" t="s">
        <v>25</v>
      </c>
      <c r="J7" s="51"/>
    </row>
    <row r="8" spans="1:10" ht="39.9" customHeight="1" thickBot="1" x14ac:dyDescent="0.35">
      <c r="A8" s="11"/>
      <c r="B8" s="89" t="s">
        <v>195</v>
      </c>
      <c r="C8" s="90"/>
      <c r="D8" s="90"/>
      <c r="E8" s="10">
        <v>5</v>
      </c>
      <c r="F8" s="41">
        <v>3.75</v>
      </c>
      <c r="G8" s="42">
        <f>IFERROR(F8/E8,"")</f>
        <v>0.75</v>
      </c>
      <c r="H8" s="28" t="str">
        <f>_xlfn.IFS(F8="أدخل العلامة","",F8="لا ينطبق","تم الإلغاء",G8&gt;=90%,"ممتاز",G8&gt;=80%,"جيد جداً",G8&gt;=70%,"جيد",G8&gt;=60%,"مقبول",G8&lt;60%,"راسب")</f>
        <v>جيد</v>
      </c>
      <c r="I8" s="48"/>
      <c r="J8" s="49"/>
    </row>
    <row r="9" spans="1:10" ht="39.9" customHeight="1" thickBot="1" x14ac:dyDescent="0.35">
      <c r="A9" s="11"/>
      <c r="B9" s="91" t="s">
        <v>196</v>
      </c>
      <c r="C9" s="92"/>
      <c r="D9" s="92"/>
      <c r="E9" s="10">
        <v>5</v>
      </c>
      <c r="F9" s="41">
        <v>3.5</v>
      </c>
      <c r="G9" s="42">
        <f>IFERROR(F9/E9,"")</f>
        <v>0.7</v>
      </c>
      <c r="H9" s="28" t="str">
        <f>_xlfn.IFS(F9="أدخل العلامة","",F9="لا ينطبق","تم الإلغاء",G9&gt;=90%,"ممتاز",G9&gt;=80%,"جيد جداً",G9&gt;=70%,"جيد",G9&gt;=60%,"مقبول",G9&lt;60%,"راسب")</f>
        <v>جيد</v>
      </c>
      <c r="I9" s="48"/>
      <c r="J9" s="49"/>
    </row>
    <row r="10" spans="1:10" ht="39.9" customHeight="1" thickBot="1" x14ac:dyDescent="0.35">
      <c r="A10" s="11"/>
      <c r="B10" s="91" t="s">
        <v>197</v>
      </c>
      <c r="C10" s="92"/>
      <c r="D10" s="92"/>
      <c r="E10" s="10">
        <v>5</v>
      </c>
      <c r="F10" s="41">
        <v>3.5</v>
      </c>
      <c r="G10" s="42">
        <f t="shared" ref="G10:G32" si="0">IFERROR(F10/E10,"")</f>
        <v>0.7</v>
      </c>
      <c r="H10" s="28" t="str">
        <f t="shared" ref="H10:H32" si="1">_xlfn.IFS(F10="أدخل العلامة","",F10="لا ينطبق","تم الإلغاء",G10&gt;=90%,"ممتاز",G10&gt;=80%,"جيد جداً",G10&gt;=70%,"جيد",G10&gt;=60%,"مقبول",G10&lt;60%,"راسب")</f>
        <v>جيد</v>
      </c>
      <c r="I10" s="48"/>
      <c r="J10" s="49"/>
    </row>
    <row r="11" spans="1:10" ht="39.9" customHeight="1" x14ac:dyDescent="0.3">
      <c r="A11" s="11"/>
      <c r="B11" s="93" t="s">
        <v>198</v>
      </c>
      <c r="C11" s="94"/>
      <c r="D11" s="94"/>
      <c r="E11" s="40"/>
      <c r="F11" s="34"/>
      <c r="G11" s="35"/>
      <c r="H11" s="36"/>
      <c r="I11" s="79"/>
      <c r="J11" s="80"/>
    </row>
    <row r="12" spans="1:10" ht="39.9" customHeight="1" x14ac:dyDescent="0.3">
      <c r="A12" s="11"/>
      <c r="B12" s="83" t="s">
        <v>176</v>
      </c>
      <c r="C12" s="84"/>
      <c r="D12" s="84"/>
      <c r="E12" s="9">
        <v>5</v>
      </c>
      <c r="F12" s="27">
        <v>3.75</v>
      </c>
      <c r="G12" s="32">
        <f t="shared" si="0"/>
        <v>0.75</v>
      </c>
      <c r="H12" s="33" t="str">
        <f t="shared" si="1"/>
        <v>جيد</v>
      </c>
      <c r="I12" s="52"/>
      <c r="J12" s="53"/>
    </row>
    <row r="13" spans="1:10" ht="54.9" customHeight="1" x14ac:dyDescent="0.3">
      <c r="A13" s="11"/>
      <c r="B13" s="83" t="s">
        <v>177</v>
      </c>
      <c r="C13" s="84"/>
      <c r="D13" s="84"/>
      <c r="E13" s="9">
        <v>5</v>
      </c>
      <c r="F13" s="27">
        <v>3.5</v>
      </c>
      <c r="G13" s="32">
        <f t="shared" si="0"/>
        <v>0.7</v>
      </c>
      <c r="H13" s="33" t="str">
        <f t="shared" si="1"/>
        <v>جيد</v>
      </c>
      <c r="I13" s="52"/>
      <c r="J13" s="53"/>
    </row>
    <row r="14" spans="1:10" ht="71.25" customHeight="1" x14ac:dyDescent="0.3">
      <c r="A14" s="11"/>
      <c r="B14" s="83" t="s">
        <v>178</v>
      </c>
      <c r="C14" s="84"/>
      <c r="D14" s="84"/>
      <c r="E14" s="9">
        <v>5</v>
      </c>
      <c r="F14" s="27">
        <v>3.5</v>
      </c>
      <c r="G14" s="32">
        <f t="shared" si="0"/>
        <v>0.7</v>
      </c>
      <c r="H14" s="33" t="str">
        <f t="shared" si="1"/>
        <v>جيد</v>
      </c>
      <c r="I14" s="52"/>
      <c r="J14" s="53"/>
    </row>
    <row r="15" spans="1:10" ht="39.9" customHeight="1" x14ac:dyDescent="0.3">
      <c r="A15" s="11"/>
      <c r="B15" s="83" t="s">
        <v>179</v>
      </c>
      <c r="C15" s="84"/>
      <c r="D15" s="84"/>
      <c r="E15" s="9">
        <v>5</v>
      </c>
      <c r="F15" s="27">
        <v>3.75</v>
      </c>
      <c r="G15" s="32">
        <f t="shared" si="0"/>
        <v>0.75</v>
      </c>
      <c r="H15" s="33" t="str">
        <f t="shared" si="1"/>
        <v>جيد</v>
      </c>
      <c r="I15" s="52"/>
      <c r="J15" s="53"/>
    </row>
    <row r="16" spans="1:10" ht="68.25" customHeight="1" x14ac:dyDescent="0.3">
      <c r="A16" s="11"/>
      <c r="B16" s="83" t="s">
        <v>180</v>
      </c>
      <c r="C16" s="84"/>
      <c r="D16" s="84"/>
      <c r="E16" s="9">
        <v>5</v>
      </c>
      <c r="F16" s="27">
        <v>3.5</v>
      </c>
      <c r="G16" s="32">
        <f t="shared" si="0"/>
        <v>0.7</v>
      </c>
      <c r="H16" s="33" t="str">
        <f t="shared" si="1"/>
        <v>جيد</v>
      </c>
      <c r="I16" s="52"/>
      <c r="J16" s="53"/>
    </row>
    <row r="17" spans="1:10" ht="65.099999999999994" customHeight="1" thickBot="1" x14ac:dyDescent="0.35">
      <c r="A17" s="11"/>
      <c r="B17" s="85" t="s">
        <v>181</v>
      </c>
      <c r="C17" s="86"/>
      <c r="D17" s="86"/>
      <c r="E17" s="37">
        <v>5</v>
      </c>
      <c r="F17" s="29">
        <v>3.5</v>
      </c>
      <c r="G17" s="38">
        <f t="shared" si="0"/>
        <v>0.7</v>
      </c>
      <c r="H17" s="39" t="str">
        <f t="shared" si="1"/>
        <v>جيد</v>
      </c>
      <c r="I17" s="81"/>
      <c r="J17" s="82"/>
    </row>
    <row r="18" spans="1:10" ht="39.9" customHeight="1" x14ac:dyDescent="0.3">
      <c r="A18" s="11"/>
      <c r="B18" s="87" t="s">
        <v>199</v>
      </c>
      <c r="C18" s="88"/>
      <c r="D18" s="88"/>
      <c r="E18" s="40"/>
      <c r="F18" s="34"/>
      <c r="G18" s="35"/>
      <c r="H18" s="36"/>
      <c r="I18" s="79"/>
      <c r="J18" s="80"/>
    </row>
    <row r="19" spans="1:10" ht="39.9" customHeight="1" x14ac:dyDescent="0.3">
      <c r="A19" s="11"/>
      <c r="B19" s="83" t="s">
        <v>182</v>
      </c>
      <c r="C19" s="84"/>
      <c r="D19" s="84"/>
      <c r="E19" s="9">
        <v>5</v>
      </c>
      <c r="F19" s="27">
        <v>3.75</v>
      </c>
      <c r="G19" s="32">
        <f t="shared" si="0"/>
        <v>0.75</v>
      </c>
      <c r="H19" s="33" t="str">
        <f t="shared" si="1"/>
        <v>جيد</v>
      </c>
      <c r="I19" s="52"/>
      <c r="J19" s="53"/>
    </row>
    <row r="20" spans="1:10" ht="39.9" customHeight="1" x14ac:dyDescent="0.3">
      <c r="A20" s="11"/>
      <c r="B20" s="83" t="s">
        <v>183</v>
      </c>
      <c r="C20" s="84"/>
      <c r="D20" s="84"/>
      <c r="E20" s="9">
        <v>5</v>
      </c>
      <c r="F20" s="27">
        <v>3.75</v>
      </c>
      <c r="G20" s="32">
        <f t="shared" si="0"/>
        <v>0.75</v>
      </c>
      <c r="H20" s="33" t="str">
        <f t="shared" si="1"/>
        <v>جيد</v>
      </c>
      <c r="I20" s="52"/>
      <c r="J20" s="53"/>
    </row>
    <row r="21" spans="1:10" ht="39.9" customHeight="1" x14ac:dyDescent="0.3">
      <c r="A21" s="11"/>
      <c r="B21" s="83" t="s">
        <v>184</v>
      </c>
      <c r="C21" s="84"/>
      <c r="D21" s="84"/>
      <c r="E21" s="9">
        <v>5</v>
      </c>
      <c r="F21" s="27">
        <v>3.75</v>
      </c>
      <c r="G21" s="32">
        <f t="shared" si="0"/>
        <v>0.75</v>
      </c>
      <c r="H21" s="33" t="str">
        <f t="shared" si="1"/>
        <v>جيد</v>
      </c>
      <c r="I21" s="52"/>
      <c r="J21" s="53"/>
    </row>
    <row r="22" spans="1:10" ht="39.9" customHeight="1" x14ac:dyDescent="0.3">
      <c r="A22" s="11"/>
      <c r="B22" s="83" t="s">
        <v>185</v>
      </c>
      <c r="C22" s="84"/>
      <c r="D22" s="84"/>
      <c r="E22" s="9">
        <v>5</v>
      </c>
      <c r="F22" s="27">
        <v>3.75</v>
      </c>
      <c r="G22" s="32">
        <f t="shared" si="0"/>
        <v>0.75</v>
      </c>
      <c r="H22" s="33" t="str">
        <f t="shared" si="1"/>
        <v>جيد</v>
      </c>
      <c r="I22" s="52"/>
      <c r="J22" s="53"/>
    </row>
    <row r="23" spans="1:10" ht="39.9" customHeight="1" x14ac:dyDescent="0.3">
      <c r="A23" s="11"/>
      <c r="B23" s="83" t="s">
        <v>186</v>
      </c>
      <c r="C23" s="84"/>
      <c r="D23" s="84"/>
      <c r="E23" s="9">
        <v>5</v>
      </c>
      <c r="F23" s="27">
        <v>3.5</v>
      </c>
      <c r="G23" s="32">
        <f t="shared" si="0"/>
        <v>0.7</v>
      </c>
      <c r="H23" s="33" t="str">
        <f t="shared" si="1"/>
        <v>جيد</v>
      </c>
      <c r="I23" s="52"/>
      <c r="J23" s="53"/>
    </row>
    <row r="24" spans="1:10" ht="39.9" customHeight="1" x14ac:dyDescent="0.3">
      <c r="A24" s="11"/>
      <c r="B24" s="83" t="s">
        <v>187</v>
      </c>
      <c r="C24" s="84"/>
      <c r="D24" s="84"/>
      <c r="E24" s="9">
        <v>5</v>
      </c>
      <c r="F24" s="27">
        <v>3.75</v>
      </c>
      <c r="G24" s="32">
        <f t="shared" si="0"/>
        <v>0.75</v>
      </c>
      <c r="H24" s="33" t="str">
        <f t="shared" si="1"/>
        <v>جيد</v>
      </c>
      <c r="I24" s="52"/>
      <c r="J24" s="53"/>
    </row>
    <row r="25" spans="1:10" ht="39.9" customHeight="1" x14ac:dyDescent="0.3">
      <c r="A25" s="11"/>
      <c r="B25" s="83" t="s">
        <v>188</v>
      </c>
      <c r="C25" s="84"/>
      <c r="D25" s="84"/>
      <c r="E25" s="9">
        <v>5</v>
      </c>
      <c r="F25" s="27">
        <v>3.5</v>
      </c>
      <c r="G25" s="32">
        <f t="shared" si="0"/>
        <v>0.7</v>
      </c>
      <c r="H25" s="33" t="str">
        <f t="shared" si="1"/>
        <v>جيد</v>
      </c>
      <c r="I25" s="52"/>
      <c r="J25" s="53"/>
    </row>
    <row r="26" spans="1:10" ht="39.9" customHeight="1" thickBot="1" x14ac:dyDescent="0.35">
      <c r="A26" s="11"/>
      <c r="B26" s="85" t="s">
        <v>189</v>
      </c>
      <c r="C26" s="86"/>
      <c r="D26" s="86"/>
      <c r="E26" s="37">
        <v>5</v>
      </c>
      <c r="F26" s="29">
        <v>3.75</v>
      </c>
      <c r="G26" s="38">
        <f t="shared" si="0"/>
        <v>0.75</v>
      </c>
      <c r="H26" s="39" t="str">
        <f t="shared" si="1"/>
        <v>جيد</v>
      </c>
      <c r="I26" s="81"/>
      <c r="J26" s="82"/>
    </row>
    <row r="27" spans="1:10" ht="39.9" customHeight="1" x14ac:dyDescent="0.3">
      <c r="A27" s="11"/>
      <c r="B27" s="93" t="s">
        <v>200</v>
      </c>
      <c r="C27" s="94"/>
      <c r="D27" s="94"/>
      <c r="E27" s="40"/>
      <c r="F27" s="34"/>
      <c r="G27" s="35"/>
      <c r="H27" s="36"/>
      <c r="I27" s="79"/>
      <c r="J27" s="80"/>
    </row>
    <row r="28" spans="1:10" ht="39.9" customHeight="1" x14ac:dyDescent="0.3">
      <c r="A28" s="11"/>
      <c r="B28" s="83" t="s">
        <v>190</v>
      </c>
      <c r="C28" s="84"/>
      <c r="D28" s="84"/>
      <c r="E28" s="9">
        <v>5</v>
      </c>
      <c r="F28" s="27">
        <v>3.75</v>
      </c>
      <c r="G28" s="32">
        <f t="shared" si="0"/>
        <v>0.75</v>
      </c>
      <c r="H28" s="33" t="str">
        <f t="shared" si="1"/>
        <v>جيد</v>
      </c>
      <c r="I28" s="52"/>
      <c r="J28" s="53"/>
    </row>
    <row r="29" spans="1:10" ht="39.9" customHeight="1" x14ac:dyDescent="0.3">
      <c r="A29" s="11"/>
      <c r="B29" s="83" t="s">
        <v>191</v>
      </c>
      <c r="C29" s="84"/>
      <c r="D29" s="84"/>
      <c r="E29" s="9">
        <v>5</v>
      </c>
      <c r="F29" s="27">
        <v>3.75</v>
      </c>
      <c r="G29" s="32">
        <f t="shared" si="0"/>
        <v>0.75</v>
      </c>
      <c r="H29" s="33" t="str">
        <f t="shared" si="1"/>
        <v>جيد</v>
      </c>
      <c r="I29" s="52"/>
      <c r="J29" s="53"/>
    </row>
    <row r="30" spans="1:10" ht="39.9" customHeight="1" x14ac:dyDescent="0.3">
      <c r="A30" s="11"/>
      <c r="B30" s="83" t="s">
        <v>192</v>
      </c>
      <c r="C30" s="84"/>
      <c r="D30" s="84"/>
      <c r="E30" s="9">
        <v>5</v>
      </c>
      <c r="F30" s="27">
        <v>3.5</v>
      </c>
      <c r="G30" s="32">
        <f t="shared" si="0"/>
        <v>0.7</v>
      </c>
      <c r="H30" s="33" t="str">
        <f t="shared" si="1"/>
        <v>جيد</v>
      </c>
      <c r="I30" s="52"/>
      <c r="J30" s="53"/>
    </row>
    <row r="31" spans="1:10" ht="39.9" customHeight="1" x14ac:dyDescent="0.3">
      <c r="A31" s="11"/>
      <c r="B31" s="83" t="s">
        <v>193</v>
      </c>
      <c r="C31" s="84"/>
      <c r="D31" s="84"/>
      <c r="E31" s="9">
        <v>5</v>
      </c>
      <c r="F31" s="27">
        <v>3.5</v>
      </c>
      <c r="G31" s="32">
        <f t="shared" si="0"/>
        <v>0.7</v>
      </c>
      <c r="H31" s="33" t="str">
        <f t="shared" si="1"/>
        <v>جيد</v>
      </c>
      <c r="I31" s="52"/>
      <c r="J31" s="53"/>
    </row>
    <row r="32" spans="1:10" ht="39.9" customHeight="1" thickBot="1" x14ac:dyDescent="0.35">
      <c r="A32" s="11"/>
      <c r="B32" s="85" t="s">
        <v>194</v>
      </c>
      <c r="C32" s="86"/>
      <c r="D32" s="86"/>
      <c r="E32" s="37">
        <v>5</v>
      </c>
      <c r="F32" s="29">
        <v>3.75</v>
      </c>
      <c r="G32" s="38">
        <f t="shared" si="0"/>
        <v>0.75</v>
      </c>
      <c r="H32" s="39" t="str">
        <f t="shared" si="1"/>
        <v>جيد</v>
      </c>
      <c r="I32" s="81"/>
      <c r="J32" s="82"/>
    </row>
    <row r="33" spans="1:10" ht="30" customHeight="1" thickBot="1" x14ac:dyDescent="0.35">
      <c r="A33" s="4"/>
      <c r="B33" s="75" t="s">
        <v>5</v>
      </c>
      <c r="C33" s="76"/>
      <c r="D33" s="76"/>
      <c r="E33" s="31">
        <f>SUM(E8:E32)</f>
        <v>110</v>
      </c>
      <c r="F33" s="31">
        <f>SUM(F8:F32)</f>
        <v>80</v>
      </c>
      <c r="G33" s="45"/>
      <c r="H33" s="46"/>
      <c r="I33" s="46"/>
      <c r="J33" s="47"/>
    </row>
    <row r="34" spans="1:10" ht="30" customHeight="1" thickBot="1" x14ac:dyDescent="0.35">
      <c r="A34" s="4"/>
      <c r="B34" s="77" t="s">
        <v>54</v>
      </c>
      <c r="C34" s="78"/>
      <c r="D34" s="78"/>
      <c r="E34" s="67">
        <f>F33/E33/100*100</f>
        <v>0.72727272727272729</v>
      </c>
      <c r="F34" s="67"/>
      <c r="G34" s="67"/>
      <c r="H34" s="67"/>
      <c r="I34" s="67"/>
      <c r="J34" s="68"/>
    </row>
    <row r="35" spans="1:10" ht="30" customHeight="1" thickBot="1" x14ac:dyDescent="0.35">
      <c r="A35" s="4"/>
      <c r="B35" s="77" t="s">
        <v>55</v>
      </c>
      <c r="C35" s="78"/>
      <c r="D35" s="78"/>
      <c r="E35" s="58" t="str">
        <f>_xlfn.IFS(E34&gt;=90%,"ممتاز",E34&gt;=80%,"جيد جداً",E34&gt;=70%,"جيد",E34&gt;=60%,"مقبول",E34&lt;60%,"راسب")</f>
        <v>جيد</v>
      </c>
      <c r="F35" s="58"/>
      <c r="G35" s="58"/>
      <c r="H35" s="58"/>
      <c r="I35" s="58"/>
      <c r="J35" s="59"/>
    </row>
    <row r="36" spans="1:10" ht="42" customHeight="1" x14ac:dyDescent="0.3">
      <c r="B36" s="54" t="s">
        <v>175</v>
      </c>
      <c r="C36" s="54"/>
      <c r="D36" s="54"/>
      <c r="E36" s="43" t="s">
        <v>52</v>
      </c>
      <c r="F36" s="43"/>
      <c r="G36" s="56" t="s">
        <v>142</v>
      </c>
      <c r="H36" s="56"/>
      <c r="I36" s="56"/>
      <c r="J36" s="56"/>
    </row>
    <row r="37" spans="1:10" ht="51" customHeight="1" x14ac:dyDescent="0.3">
      <c r="A37" s="5"/>
      <c r="B37" s="55"/>
      <c r="C37" s="55"/>
      <c r="D37" s="55"/>
      <c r="E37" s="44" t="s">
        <v>53</v>
      </c>
      <c r="F37" s="44"/>
      <c r="G37" s="57"/>
      <c r="H37" s="57"/>
      <c r="I37" s="57"/>
      <c r="J37" s="57"/>
    </row>
  </sheetData>
  <sheetProtection formatCells="0" formatColumns="0" formatRows="0" insertColumns="0" insertRows="0" insertHyperlinks="0" deleteColumns="0" deleteRows="0" selectLockedCells="1" sort="0" autoFilter="0" pivotTables="0"/>
  <mergeCells count="72">
    <mergeCell ref="C4:D4"/>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2025-10-27T22:15:20Z</dcterms:modified>
</cp:coreProperties>
</file>