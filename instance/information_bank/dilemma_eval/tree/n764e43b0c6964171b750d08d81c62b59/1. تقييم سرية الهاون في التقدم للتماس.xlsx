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2239A415-26FD-A942-91E1-998B86ED1C4E}"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التقييم'!$A$1:$J$22</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8" i="2"/>
  <c r="H8" i="2"/>
  <c r="F18" i="2"/>
  <c r="E18" i="2"/>
  <c r="E19" i="2"/>
  <c r="E20" i="2"/>
</calcChain>
</file>

<file path=xl/sharedStrings.xml><?xml version="1.0" encoding="utf-8"?>
<sst xmlns="http://schemas.openxmlformats.org/spreadsheetml/2006/main" count="243" uniqueCount="187">
  <si>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</si>
  <si>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</si>
  <si>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</si>
  <si>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</si>
  <si>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</si>
  <si>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</si>
  <si>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</si>
  <si>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</si>
  <si>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</si>
  <si>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</si>
  <si>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</si>
  <si>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</si>
  <si>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</si>
  <si>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</si>
  <si>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</si>
  <si>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</si>
  <si>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</si>
  <si>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</si>
  <si>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</si>
  <si>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</si>
  <si>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</si>
  <si>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</si>
  <si>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</si>
  <si>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</si>
  <si>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</si>
  <si>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</si>
  <si>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</si>
  <si>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</si>
  <si>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</si>
  <si>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</si>
  <si>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</si>
  <si>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</si>
  <si>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</si>
  <si>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</si>
  <si>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</si>
  <si>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</si>
  <si>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</si>
  <si>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</si>
  <si>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</si>
  <si>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</si>
  <si>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</si>
  <si>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</si>
  <si>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</si>
  <si>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</si>
  <si>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</si>
  <si>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</si>
  <si>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</si>
  <si>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</si>
  <si>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</si>
  <si>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</si>
  <si>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</si>
  <si>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</si>
  <si>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</si>
  <si>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</si>
  <si>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</si>
  <si>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</si>
  <si>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</si>
  <si>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</si>
  <si>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</si>
  <si>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</si>
  <si>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</si>
  <si>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</si>
  <si>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</si>
  <si>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</si>
  <si>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</si>
  <si>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</si>
  <si>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</si>
  <si>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</si>
  <si>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</si>
  <si>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</si>
  <si>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</si>
  <si>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</si>
  <si>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</si>
  <si>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</si>
  <si>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</si>
  <si>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</si>
  <si>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</si>
  <si>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</si>
  <si>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</si>
  <si>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</si>
  <si>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</si>
  <si>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</si>
  <si>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</si>
  <si>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</si>
  <si>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</si>
  <si>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</si>
  <si>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</si>
  <si>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</si>
  <si>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</si>
  <si>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</si>
  <si>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</si>
  <si>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</si>
  <si>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</si>
  <si>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</si>
  <si>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</si>
  <si>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</si>
  <si>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</si>
  <si>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</si>
  <si>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</si>
  <si>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</si>
  <si>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</si>
  <si>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</si>
  <si>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</si>
  <si>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</si>
  <si>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</si>
  <si>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</si>
  <si>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</si>
  <si>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</si>
  <si>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</si>
  <si>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</si>
  <si>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</si>
  <si>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</si>
  <si>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</si>
  <si>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</si>
  <si>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</si>
  <si>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</si>
  <si>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</si>
  <si>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</si>
  <si>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</si>
  <si>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</si>
  <si>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</si>
  <si>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</si>
  <si>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</si>
  <si>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</si>
  <si>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</si>
  <si>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</si>
  <si>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</si>
  <si>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</si>
  <si>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</si>
  <si>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</si>
  <si>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</si>
  <si>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</si>
  <si>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</si>
  <si>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</si>
  <si>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</si>
  <si>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</si>
  <si>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</si>
  <si>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</si>
  <si>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</si>
  <si>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</si>
  <si>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</si>
  <si>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</si>
  <si>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</si>
  <si>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</si>
  <si>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</si>
  <si>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</si>
  <si>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</si>
  <si>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</si>
  <si>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</si>
  <si>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</si>
  <si>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</si>
  <si>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</si>
  <si>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</si>
  <si>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</si>
  <si>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</si>
  <si>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</si>
  <si>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</si>
  <si>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</si>
  <si>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</si>
  <si>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</si>
  <si>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</si>
  <si>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</si>
  <si>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</si>
  <si>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</si>
  <si>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</si>
  <si>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</si>
  <si>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</si>
  <si>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</si>
  <si>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</si>
  <si>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</si>
  <si>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</si>
  <si>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</si>
  <si>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</si>
  <si>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</si>
  <si>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</si>
  <si>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</si>
  <si>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 xml:space="preserve">1.    توفر مدافع الهاون للقائد أكثر وسائل الإسناد الناري غير المباشرة قدرة على الرد أثناء التقدم للتماس. </t>
  </si>
  <si>
    <t>2.    قيام قائد سرية الهاون بالبحث عن المعلومات وتقديم توصيات لاستخدام نيران الهاون.</t>
  </si>
  <si>
    <t>3.    إعطاء أولوية النيران لوحدة المناورة الأمامية.</t>
  </si>
  <si>
    <t>4.    تخطيط النيران على طول الطريق وعلى الأجنحة، خصوصاً على المقتربات التي توفر الحركة السريعة إلى أجنحة وحدة المناورة الأمامية.</t>
  </si>
  <si>
    <t>5.    الاستعداد للرماية على قوات العدو التي تهدد وحدة الهاون بشكل مباشر.</t>
  </si>
  <si>
    <t>6.    إدامة الإلمام بالموقف واتخاذ أساليب لزيادة الأمن، كالحركة مع عنصر المناورة.</t>
  </si>
  <si>
    <t xml:space="preserve">7.    أن تخطيط الرماية على الارض الحاكمة، ومواقع العدو المحتملة يزيد من تأثير مدافع الهاون على الرد عند حدوث التماس مع العدو. ويشمل التخطيط أهدافاً محتملة في الطريق إلى الهدف، وأهداف مصادَفة، وأهداف فيما بعد الهدف. </t>
  </si>
  <si>
    <t xml:space="preserve"> 8.    يجب على القائد أيضاً أن يخطط لحركة الهاون. تكون سرية الهاون قريبة بما يكفي للمساهمة بالنيران الفورية سريعة الاستجابة عندما تكون ملحقة بوحدة وبالقرب من مقدمة رتل المسير أو التشكيلة التعبوية.</t>
  </si>
  <si>
    <t xml:space="preserve">9.    تكون سرية الهاون في عملية البحث والهجوم عادةً في مواقع محضرة مسبقاً تستطيع أن ترمي منها ضمن منطقة العمليات. </t>
  </si>
  <si>
    <t>10.    إلمام قائد سرية الهاون بالموقف، وتوقع متطلبات الإسناد الناري.</t>
  </si>
  <si>
    <r>
      <rPr>
        <b/>
        <sz val="14"/>
        <color rgb="FF000000"/>
        <rFont val="Arial"/>
        <family val="2"/>
      </rPr>
      <t>تقييم سرية الهاون 120 ملم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</si>
</sst>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3"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3" xfId="0" applyFont="1" applyBorder="1" applyAlignment="1">
      <alignment horizontal="right" vertical="center" wrapText="1" indent="1" readingOrder="2"/>
    </xf>
    <xf numFmtId="0" fontId="12" fillId="0" borderId="3" xfId="0" applyFont="1" applyBorder="1" applyAlignment="1">
      <alignment horizontal="right" vertical="center" wrapText="1" indent="1" readingOrder="2"/>
    </xf>
    <xf numFmtId="0" fontId="12" fillId="0" borderId="11" xfId="0" applyFont="1" applyBorder="1" applyAlignment="1">
      <alignment horizontal="right" vertical="center" wrapText="1" indent="1" readingOrder="2"/>
    </xf>
    <xf numFmtId="0" fontId="12" fillId="0" borderId="12" xfId="0" applyFont="1" applyBorder="1" applyAlignment="1">
      <alignment horizontal="right" vertical="center" wrapText="1" indent="1" readingOrder="2"/>
    </xf>
    <xf numFmtId="0" fontId="12" fillId="0" borderId="5" xfId="0" applyFont="1" applyBorder="1" applyAlignment="1">
      <alignment horizontal="right" vertical="center" wrapText="1" indent="1" readingOrder="2"/>
    </xf>
    <xf numFmtId="0" fontId="12" fillId="0" borderId="4" xfId="0" applyFont="1" applyBorder="1" applyAlignment="1">
      <alignment horizontal="right" vertical="center" wrapText="1" inden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643638</xdr:colOff>
      <xdr:row>21</xdr:row>
      <xdr:rowOff>27632</xdr:rowOff>
    </xdr:from>
    <xdr:to>
      <xdr:col>8</xdr:col>
      <xdr:colOff>311696</xdr:colOff>
      <xdr:row>22</xdr:row>
      <xdr:rowOff>21230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FE9564E8-8B91-4184-A235-C6EA8A65E31B}"/>
                </a:ext>
              </a:extLst>
            </xdr14:cNvPr>
            <xdr14:cNvContentPartPr/>
          </xdr14:nvContentPartPr>
          <xdr14:nvPr macro=""/>
          <xdr14:xfrm>
            <a:off x="10436739960" y="10092960"/>
            <a:ext cx="984240" cy="644760"/>
          </xdr14:xfrm>
        </xdr:contentPart>
      </mc:Choice>
      <mc:Fallback>
        <xdr:pic>
          <xdr:nvPicPr>
            <xdr:cNvPr id="2" name="Ink 1">
              <a:extLst>
                <a:ext uri="{FF2B5EF4-FFF2-40B4-BE49-F238E27FC236}">
                  <a16:creationId xmlns:a16="http://schemas.microsoft.com/office/drawing/2014/main" id="{FE9564E8-8B91-4184-A235-C6EA8A65E31B}"/>
                </a:ext>
              </a:extLst>
            </xdr:cNvPr>
            <xdr:cNvPicPr/>
          </xdr:nvPicPr>
          <xdr:blipFill>
            <a:blip xmlns:r="http://schemas.openxmlformats.org/officeDocument/2006/relationships" r:embed="rId2"/>
            <a:stretch>
              <a:fillRect/>
            </a:stretch>
          </xdr:blipFill>
          <xdr:spPr>
            <a:xfrm>
              <a:off x="10436733840" y="10086840"/>
              <a:ext cx="996480" cy="657000"/>
            </a:xfrm>
            <a:prstGeom prst="rect">
              <a:avLst/>
            </a:prstGeom>
          </xdr:spPr>
        </xdr:pic>
      </mc:Fallback>
    </mc:AlternateContent>
    <xdr:clientData/>
  </xdr:twoCellAnchor>
  <xdr:twoCellAnchor editAs="oneCell">
    <xdr:from>
      <xdr:col>6</xdr:col>
      <xdr:colOff>484518</xdr:colOff>
      <xdr:row>22</xdr:row>
      <xdr:rowOff>88910</xdr:rowOff>
    </xdr:from>
    <xdr:to>
      <xdr:col>6</xdr:col>
      <xdr:colOff>484878</xdr:colOff>
      <xdr:row>22</xdr:row>
      <xdr:rowOff>97190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56AFE7C4-2084-AE13-B6A9-857C1CCC8E53}"/>
                </a:ext>
              </a:extLst>
            </xdr14:cNvPr>
            <xdr14:cNvContentPartPr/>
          </xdr14:nvContentPartPr>
          <xdr14:nvPr macro=""/>
          <xdr14:xfrm>
            <a:off x="10437882960" y="10805400"/>
            <a:ext cx="360" cy="8280"/>
          </xdr14:xfrm>
        </xdr:contentPart>
      </mc:Choice>
      <mc:Fallback>
        <xdr:pic>
          <xdr:nvPicPr>
            <xdr:cNvPr id="3" name="Ink 2">
              <a:extLst>
                <a:ext uri="{FF2B5EF4-FFF2-40B4-BE49-F238E27FC236}">
                  <a16:creationId xmlns:a16="http://schemas.microsoft.com/office/drawing/2014/main" id="{56AFE7C4-2084-AE13-B6A9-857C1CCC8E53}"/>
                </a:ext>
              </a:extLst>
            </xdr:cNvPr>
            <xdr:cNvPicPr/>
          </xdr:nvPicPr>
          <xdr:blipFill>
            <a:blip xmlns:r="http://schemas.openxmlformats.org/officeDocument/2006/relationships" r:embed="rId4"/>
            <a:stretch>
              <a:fillRect/>
            </a:stretch>
          </xdr:blipFill>
          <xdr:spPr>
            <a:xfrm>
              <a:off x="10437876840" y="10799280"/>
              <a:ext cx="12600" cy="20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4T14:09:08.631"/>
    </inkml:context>
    <inkml:brush xml:id="br0">
      <inkml:brushProperty name="width" value="0.035" units="cm"/>
      <inkml:brushProperty name="height" value="0.035" units="cm"/>
    </inkml:brush>
  </inkml:definitions>
  <inkml:trace contextRef="#ctx0" brushRef="#br0">2733 1212,'0'0,"0"0,0 0,0 0,0 0,0 0,0 0,0 0,0 0,0 0,0 0,0 0,0 0,0 0,0 0,-20 0,1 0,17 0,-34 20,-3-20,34 0,-28 19,-6-19,34 0,-48 19,-4-19,47 0,-19 19,-9-19,33 0,-29 20,-4-20,30 0,-23 0,12 19,17-16,-35-6,18 3,17 0,-15 0,7 0,1 0,-1 0,20-19,-10 9,0 0,-19 10,-1 0,18 0,-34 20,-3-20,35 0,-49 19,-5 0,48-16,-76 33,-11 2,81-31,-83 25,-16 6,95-32,-76 46,0-14,81-31,-47 6,-15 25,65-32,-53 7,26 7,32-17,-43 13,-8-16,48 0,-18 0,-11 19,32-16,-24-6,-8 3,32 0,-5 0,-7 0,16 0,-14 0,8 0,18-19,11 19,-18 0,-4-19,2-1,0 17,19 6,0-22,-17 16,-4-13,21 16,-16 0,14-19,-8 9,1 0,28-9,-31 16,6-13,6-3,-17 15,34-12,-17-22,-16 31,33-5,2-8,-30 17,23-32,7-4,-30 33,42-7,-11-25,-32 31,43-25,-11-26,-32 49,44-20,6-29,-47 49,38-20,-9-29,-32 48,43-38,8 10,-48 32,18-27,11-5,-32 31,24-5,-11-8,-18 17,34-13,-17 7,-38-1,19 1,-19 37,-20-9,1 1,31-17,-25 13,-25 22,47-31,-57 25,9 26,48-48,-38 18,-29 30,63-48,-29 18,-15 11,48-33,-38 26,-10 7,49-33,-20 26,-10-13,32-15,-5 31,-7-16,17-16,-15-6,7 3,58 0,-9-19,-32 16,24-33,65-2,-79 31,63-44,74-45,-128 79,82-43,27-17,-111 64,87-51,4 6,-96 49,39-20,0 10,-49 15,40-12,-11-3,-31 16,24-13,8-3,-32 15,5 8,7-4,-16 0,-25 19,-16 0,-1 0,32-15,-43 31,-8 23,48-49,-76 39,-11 10,83-49,-68 40,-14 9,79-49,-43 39,-36-9,79-33,-24 26,-17-13,49-15,-20 31,-29-16,48-16,1 13,-10 4,16-17,-14-6,8 3,38 0,9-20,1 1,-32 16,43-32,27-23,-62 48,47-38,54-9,-97 47,39-57,19 9,-63 48,49-57,-6 9,-47 48,38-38,-29 10,-16 31,33-44,-17-7,-17 48,15-37,-17-11,0 48,0-18,0-30,0 48,-19-19,-19-28,30 46,-23-17,-27-30,49 49,-59-20,-9-10,65 33,-91-26,-32-7,111 33,-106-7,-24 13,128 0,-121 0,-26 19,144-15,-77 31,-48 3,128-31,-63 63,-46-12,114-49,-35 40,-21 9,63-48,-49 57,25-10,31-47,-5 38,-8 29,18-64,-15 51,36 13,-16-64,14 51,40 51,-47-95,96 76,28 38,-112-112,110 91,61 3,-162-97,169 96,-27-38,-142-63,111 30,31-5,-144-33,96 7,29-13,-130 0,68 0,100-39,-161 33,73-7,11-45,-96 48,-38 20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4T14:09:09.058"/>
    </inkml:context>
    <inkml:brush xml:id="br0">
      <inkml:brushProperty name="width" value="0.035" units="cm"/>
      <inkml:brushProperty name="height" value="0.035" units="cm"/>
    </inkml:brush>
  </inkml:definitions>
  <inkml:trace contextRef="#ctx0" brushRef="#br0">0 22,'0'0,"0"0,0 0,0 0,0 0,0 0,0 0,0-19,0 16,0 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2"/>
  <sheetViews>
    <sheetView rightToLeft="1" tabSelected="1" view="pageBreakPreview" topLeftCell="B10" zoomScale="130" zoomScaleNormal="100" zoomScaleSheetLayoutView="130" workbookViewId="0">
      <selection activeCell="G22" sqref="G22:J2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0" t="s">
        <v>186</v>
      </c>
      <c r="C1" s="50"/>
      <c r="D1" s="50"/>
      <c r="E1" s="50"/>
      <c r="F1" s="50"/>
      <c r="G1" s="50"/>
      <c r="H1" s="50"/>
      <c r="I1" s="50"/>
      <c r="J1" s="50"/>
    </row>
    <row r="2" spans="1:10" ht="30" customHeight="1" x14ac:dyDescent="0.2">
      <c r="B2" s="12" t="s">
        <v>8</v>
      </c>
      <c r="C2" s="56" t="s">
        <v>11</v>
      </c>
      <c r="D2" s="56"/>
      <c r="E2" s="12" t="s">
        <v>7</v>
      </c>
      <c r="F2" s="51">
        <v>45954</v>
      </c>
      <c r="G2" s="51"/>
      <c r="H2" s="51"/>
      <c r="I2" s="51"/>
      <c r="J2" s="51"/>
    </row>
    <row r="3" spans="1:10" ht="30" customHeight="1" x14ac:dyDescent="0.2">
      <c r="B3" s="12" t="s">
        <v>9</v>
      </c>
      <c r="C3" s="56" t="s">
        <v>69</v>
      </c>
      <c r="D3" s="56"/>
      <c r="E3" s="12" t="s">
        <v>6</v>
      </c>
      <c r="F3" s="56" t="s">
        <v>135</v>
      </c>
      <c r="G3" s="56"/>
      <c r="H3" s="56"/>
      <c r="I3" s="56"/>
      <c r="J3" s="56"/>
    </row>
    <row r="4" spans="1:10" ht="30" customHeight="1" thickBot="1" x14ac:dyDescent="0.25">
      <c r="B4" s="6"/>
      <c r="C4" s="7"/>
      <c r="D4" s="7"/>
      <c r="E4" s="6"/>
      <c r="F4" s="7"/>
      <c r="G4" s="7"/>
      <c r="H4" s="8"/>
      <c r="I4" s="7"/>
      <c r="J4" s="7"/>
    </row>
    <row r="5" spans="1:10" ht="24.95" customHeight="1" x14ac:dyDescent="0.2">
      <c r="A5" s="10"/>
      <c r="B5" s="52" t="s">
        <v>0</v>
      </c>
      <c r="C5" s="53"/>
      <c r="D5" s="53"/>
      <c r="E5" s="61" t="s">
        <v>1</v>
      </c>
      <c r="F5" s="61"/>
      <c r="G5" s="61"/>
      <c r="H5" s="61"/>
      <c r="I5" s="61" t="s">
        <v>2</v>
      </c>
      <c r="J5" s="62"/>
    </row>
    <row r="6" spans="1:10" ht="24.95" customHeight="1" thickBot="1" x14ac:dyDescent="0.25">
      <c r="A6" s="10"/>
      <c r="B6" s="54"/>
      <c r="C6" s="55"/>
      <c r="D6" s="55"/>
      <c r="E6" s="11" t="s">
        <v>3</v>
      </c>
      <c r="F6" s="11" t="s">
        <v>4</v>
      </c>
      <c r="G6" s="11" t="s">
        <v>23</v>
      </c>
      <c r="H6" s="11" t="s">
        <v>24</v>
      </c>
      <c r="I6" s="63"/>
      <c r="J6" s="64"/>
    </row>
    <row r="7" spans="1:10" ht="24.95" customHeight="1" thickBot="1" x14ac:dyDescent="0.25">
      <c r="A7" s="10"/>
      <c r="B7" s="59" t="s">
        <v>21</v>
      </c>
      <c r="C7" s="60"/>
      <c r="D7" s="60"/>
      <c r="E7" s="28" t="s">
        <v>18</v>
      </c>
      <c r="F7" s="28" t="s">
        <v>19</v>
      </c>
      <c r="G7" s="28" t="s">
        <v>22</v>
      </c>
      <c r="H7" s="28" t="s">
        <v>20</v>
      </c>
      <c r="I7" s="65" t="s">
        <v>25</v>
      </c>
      <c r="J7" s="66"/>
    </row>
    <row r="8" spans="1:10" ht="39.950000000000003" customHeight="1" x14ac:dyDescent="0.2">
      <c r="A8" s="10"/>
      <c r="B8" s="43" t="s">
        <v>176</v>
      </c>
      <c r="C8" s="44"/>
      <c r="D8" s="44"/>
      <c r="E8" s="32">
        <v>5</v>
      </c>
      <c r="F8" s="33">
        <v>4</v>
      </c>
      <c r="G8" s="34">
        <f>IFERROR(F8/E8,"")</f>
        <v>0.8</v>
      </c>
      <c r="H8" s="35" t="str">
        <f>_xlfn.IFS(F8="أدخل العلامة","",F8="لا ينطبق","تم الإلغاء",G8&gt;=90%,"ممتاز",G8&gt;=80%,"جيد جداً",G8&gt;=70%,"جيد",G8&gt;=60%,"مقبول",G8&lt;60%,"راسب")</f>
        <v>جيد جداً</v>
      </c>
      <c r="I8" s="75"/>
      <c r="J8" s="76"/>
    </row>
    <row r="9" spans="1:10" ht="39.950000000000003" customHeight="1" x14ac:dyDescent="0.2">
      <c r="A9" s="10"/>
      <c r="B9" s="39" t="s">
        <v>177</v>
      </c>
      <c r="C9" s="40"/>
      <c r="D9" s="40"/>
      <c r="E9" s="9">
        <v>5</v>
      </c>
      <c r="F9" s="26">
        <v>3.75</v>
      </c>
      <c r="G9" s="30">
        <f>IFERROR(F9/E9,"")</f>
        <v>0.75</v>
      </c>
      <c r="H9" s="31" t="str">
        <f>_xlfn.IFS(F9="أدخل العلامة","",F9="لا ينطبق","تم الإلغاء",G9&gt;=90%,"ممتاز",G9&gt;=80%,"جيد جداً",G9&gt;=70%,"جيد",G9&gt;=60%,"مقبول",G9&lt;60%,"راسب")</f>
        <v>جيد</v>
      </c>
      <c r="I9" s="67"/>
      <c r="J9" s="68"/>
    </row>
    <row r="10" spans="1:10" ht="39.950000000000003" customHeight="1" x14ac:dyDescent="0.2">
      <c r="A10" s="10"/>
      <c r="B10" s="39" t="s">
        <v>178</v>
      </c>
      <c r="C10" s="40"/>
      <c r="D10" s="40"/>
      <c r="E10" s="9">
        <v>5</v>
      </c>
      <c r="F10" s="26">
        <v>3.75</v>
      </c>
      <c r="G10" s="30">
        <f t="shared" ref="G10:G17" si="0">IFERROR(F10/E10,"")</f>
        <v>0.75</v>
      </c>
      <c r="H10" s="31" t="str">
        <f t="shared" ref="H10:H17" si="1">_xlfn.IFS(F10="أدخل العلامة","",F10="لا ينطبق","تم الإلغاء",G10&gt;=90%,"ممتاز",G10&gt;=80%,"جيد جداً",G10&gt;=70%,"جيد",G10&gt;=60%,"مقبول",G10&lt;60%,"راسب")</f>
        <v>جيد</v>
      </c>
      <c r="I10" s="67"/>
      <c r="J10" s="68"/>
    </row>
    <row r="11" spans="1:10" ht="39.950000000000003" customHeight="1" x14ac:dyDescent="0.2">
      <c r="A11" s="10"/>
      <c r="B11" s="39" t="s">
        <v>179</v>
      </c>
      <c r="C11" s="40"/>
      <c r="D11" s="40"/>
      <c r="E11" s="9">
        <v>5</v>
      </c>
      <c r="F11" s="26">
        <v>3.75</v>
      </c>
      <c r="G11" s="30">
        <f t="shared" si="0"/>
        <v>0.75</v>
      </c>
      <c r="H11" s="31" t="str">
        <f t="shared" si="1"/>
        <v>جيد</v>
      </c>
      <c r="I11" s="67"/>
      <c r="J11" s="68"/>
    </row>
    <row r="12" spans="1:10" ht="39.950000000000003" customHeight="1" x14ac:dyDescent="0.2">
      <c r="A12" s="10"/>
      <c r="B12" s="39" t="s">
        <v>180</v>
      </c>
      <c r="C12" s="40"/>
      <c r="D12" s="40"/>
      <c r="E12" s="9">
        <v>5</v>
      </c>
      <c r="F12" s="26">
        <v>3.5</v>
      </c>
      <c r="G12" s="30">
        <f t="shared" si="0"/>
        <v>0.7</v>
      </c>
      <c r="H12" s="31" t="str">
        <f t="shared" si="1"/>
        <v>جيد</v>
      </c>
      <c r="I12" s="67"/>
      <c r="J12" s="68"/>
    </row>
    <row r="13" spans="1:10" ht="39.950000000000003" customHeight="1" x14ac:dyDescent="0.2">
      <c r="A13" s="10"/>
      <c r="B13" s="39" t="s">
        <v>181</v>
      </c>
      <c r="C13" s="40"/>
      <c r="D13" s="40"/>
      <c r="E13" s="9">
        <v>5</v>
      </c>
      <c r="F13" s="26">
        <v>3.75</v>
      </c>
      <c r="G13" s="30">
        <f t="shared" si="0"/>
        <v>0.75</v>
      </c>
      <c r="H13" s="31" t="str">
        <f t="shared" si="1"/>
        <v>جيد</v>
      </c>
      <c r="I13" s="67"/>
      <c r="J13" s="68"/>
    </row>
    <row r="14" spans="1:10" ht="69.75" customHeight="1" x14ac:dyDescent="0.2">
      <c r="A14" s="10"/>
      <c r="B14" s="39" t="s">
        <v>182</v>
      </c>
      <c r="C14" s="40"/>
      <c r="D14" s="40"/>
      <c r="E14" s="9">
        <v>5</v>
      </c>
      <c r="F14" s="26">
        <v>3.5</v>
      </c>
      <c r="G14" s="30">
        <f t="shared" si="0"/>
        <v>0.7</v>
      </c>
      <c r="H14" s="31" t="str">
        <f t="shared" si="1"/>
        <v>جيد</v>
      </c>
      <c r="I14" s="67"/>
      <c r="J14" s="68"/>
    </row>
    <row r="15" spans="1:10" ht="61.5" customHeight="1" x14ac:dyDescent="0.2">
      <c r="A15" s="10"/>
      <c r="B15" s="39" t="s">
        <v>183</v>
      </c>
      <c r="C15" s="40"/>
      <c r="D15" s="40"/>
      <c r="E15" s="9">
        <v>5</v>
      </c>
      <c r="F15" s="26">
        <v>3.5</v>
      </c>
      <c r="G15" s="30">
        <f t="shared" si="0"/>
        <v>0.7</v>
      </c>
      <c r="H15" s="31" t="str">
        <f t="shared" si="1"/>
        <v>جيد</v>
      </c>
      <c r="I15" s="67"/>
      <c r="J15" s="68"/>
    </row>
    <row r="16" spans="1:10" ht="39.950000000000003" customHeight="1" x14ac:dyDescent="0.2">
      <c r="A16" s="10"/>
      <c r="B16" s="39" t="s">
        <v>184</v>
      </c>
      <c r="C16" s="40"/>
      <c r="D16" s="40"/>
      <c r="E16" s="9">
        <v>5</v>
      </c>
      <c r="F16" s="26">
        <v>3.25</v>
      </c>
      <c r="G16" s="30">
        <f t="shared" si="0"/>
        <v>0.65</v>
      </c>
      <c r="H16" s="31" t="str">
        <f t="shared" si="1"/>
        <v>مقبول</v>
      </c>
      <c r="I16" s="67"/>
      <c r="J16" s="68"/>
    </row>
    <row r="17" spans="1:10" ht="39.950000000000003" customHeight="1" thickBot="1" x14ac:dyDescent="0.25">
      <c r="A17" s="10"/>
      <c r="B17" s="41" t="s">
        <v>185</v>
      </c>
      <c r="C17" s="42"/>
      <c r="D17" s="42"/>
      <c r="E17" s="36">
        <v>5</v>
      </c>
      <c r="F17" s="27">
        <v>3.5</v>
      </c>
      <c r="G17" s="37">
        <f t="shared" si="0"/>
        <v>0.7</v>
      </c>
      <c r="H17" s="38" t="str">
        <f t="shared" si="1"/>
        <v>جيد</v>
      </c>
      <c r="I17" s="81"/>
      <c r="J17" s="82"/>
    </row>
    <row r="18" spans="1:10" ht="30" customHeight="1" thickBot="1" x14ac:dyDescent="0.25">
      <c r="A18" s="4"/>
      <c r="B18" s="77" t="s">
        <v>5</v>
      </c>
      <c r="C18" s="78"/>
      <c r="D18" s="78"/>
      <c r="E18" s="29">
        <f>SUM(E8:E17)</f>
        <v>50</v>
      </c>
      <c r="F18" s="29">
        <f>SUM(F8:F17)</f>
        <v>36.25</v>
      </c>
      <c r="G18" s="47"/>
      <c r="H18" s="48"/>
      <c r="I18" s="48"/>
      <c r="J18" s="49"/>
    </row>
    <row r="19" spans="1:10" ht="30" customHeight="1" thickBot="1" x14ac:dyDescent="0.25">
      <c r="A19" s="4"/>
      <c r="B19" s="79" t="s">
        <v>54</v>
      </c>
      <c r="C19" s="80"/>
      <c r="D19" s="80"/>
      <c r="E19" s="57">
        <f>F18/E18/100*100</f>
        <v>0.72499999999999998</v>
      </c>
      <c r="F19" s="57"/>
      <c r="G19" s="57"/>
      <c r="H19" s="57"/>
      <c r="I19" s="57"/>
      <c r="J19" s="58"/>
    </row>
    <row r="20" spans="1:10" ht="30" customHeight="1" thickBot="1" x14ac:dyDescent="0.25">
      <c r="A20" s="4"/>
      <c r="B20" s="79" t="s">
        <v>55</v>
      </c>
      <c r="C20" s="80"/>
      <c r="D20" s="80"/>
      <c r="E20" s="73" t="str">
        <f>_xlfn.IFS(E19&gt;=90%,"ممتاز",E19&gt;=80%,"جيد جداً",E19&gt;=70%,"جيد",E19&gt;=60%,"مقبول",E19&lt;60%,"راسب")</f>
        <v>جيد</v>
      </c>
      <c r="F20" s="73"/>
      <c r="G20" s="73"/>
      <c r="H20" s="73"/>
      <c r="I20" s="73"/>
      <c r="J20" s="74"/>
    </row>
    <row r="21" spans="1:10" ht="42" customHeight="1" x14ac:dyDescent="0.2">
      <c r="B21" s="69" t="s">
        <v>175</v>
      </c>
      <c r="C21" s="69"/>
      <c r="D21" s="69"/>
      <c r="E21" s="45" t="s">
        <v>52</v>
      </c>
      <c r="F21" s="45"/>
      <c r="G21" s="71" t="s">
        <v>135</v>
      </c>
      <c r="H21" s="71"/>
      <c r="I21" s="71"/>
      <c r="J21" s="71"/>
    </row>
    <row r="22" spans="1:10" ht="51" customHeight="1" x14ac:dyDescent="0.2">
      <c r="A22" s="5"/>
      <c r="B22" s="70"/>
      <c r="C22" s="70"/>
      <c r="D22" s="70"/>
      <c r="E22" s="46" t="s">
        <v>53</v>
      </c>
      <c r="F22" s="46"/>
      <c r="G22" s="72"/>
      <c r="H22" s="72"/>
      <c r="I22" s="72"/>
      <c r="J22" s="72"/>
    </row>
  </sheetData>
  <sheetProtection sheet="1" formatCells="0" formatColumns="0" formatRows="0" insertColumns="0" insertRows="0" insertHyperlinks="0" deleteColumns="0" deleteRows="0" selectLockedCells="1" sort="0" autoFilter="0" pivotTables="0"/>
  <mergeCells count="41">
    <mergeCell ref="B21:D22"/>
    <mergeCell ref="G21:J21"/>
    <mergeCell ref="G22:J22"/>
    <mergeCell ref="E20:J20"/>
    <mergeCell ref="I8:J8"/>
    <mergeCell ref="B18:D18"/>
    <mergeCell ref="B19:D19"/>
    <mergeCell ref="B20:D20"/>
    <mergeCell ref="I11:J11"/>
    <mergeCell ref="I12:J12"/>
    <mergeCell ref="I13:J13"/>
    <mergeCell ref="I14:J14"/>
    <mergeCell ref="I15:J15"/>
    <mergeCell ref="I16:J16"/>
    <mergeCell ref="I17:J17"/>
    <mergeCell ref="I9:J9"/>
    <mergeCell ref="E21:F21"/>
    <mergeCell ref="E22:F22"/>
    <mergeCell ref="G18:J18"/>
    <mergeCell ref="B1:J1"/>
    <mergeCell ref="F2:J2"/>
    <mergeCell ref="B5:D6"/>
    <mergeCell ref="C2:D2"/>
    <mergeCell ref="C3:D3"/>
    <mergeCell ref="F3:J3"/>
    <mergeCell ref="E19:J19"/>
    <mergeCell ref="B7:D7"/>
    <mergeCell ref="E5:H5"/>
    <mergeCell ref="I5:J6"/>
    <mergeCell ref="I7:J7"/>
    <mergeCell ref="I10:J10"/>
    <mergeCell ref="B13:D13"/>
    <mergeCell ref="B14:D14"/>
    <mergeCell ref="B15:D15"/>
    <mergeCell ref="B16:D16"/>
    <mergeCell ref="B17:D17"/>
    <mergeCell ref="B8:D8"/>
    <mergeCell ref="B9:D9"/>
    <mergeCell ref="B10:D10"/>
    <mergeCell ref="B11:D11"/>
    <mergeCell ref="B12:D12"/>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0">
    <cfRule type="expression" dxfId="14" priority="57">
      <formula>$E20="راسب"</formula>
    </cfRule>
  </conditionalFormatting>
  <conditionalFormatting sqref="E20:J20">
    <cfRule type="expression" dxfId="13" priority="58">
      <formula>$E20="مقبول"</formula>
    </cfRule>
    <cfRule type="expression" dxfId="12" priority="59">
      <formula>$E20="جيد"</formula>
    </cfRule>
    <cfRule type="expression" dxfId="11" priority="60">
      <formula>$E20="جيد جداً"</formula>
    </cfRule>
    <cfRule type="expression" dxfId="10" priority="61">
      <formula>$E20="ممتاز"</formula>
    </cfRule>
  </conditionalFormatting>
  <conditionalFormatting sqref="F8:F17">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21:J21">
    <cfRule type="containsText" dxfId="6" priority="15" operator="containsText" text="أدخل اسم المحكم">
      <formula>NOT(ISERROR(SEARCH("أدخل اسم المحكم",G21)))</formula>
    </cfRule>
  </conditionalFormatting>
  <conditionalFormatting sqref="H8:H17">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F8:F17</xm:sqref>
        </x14:dataValidation>
        <x14:dataValidation type="list" allowBlank="1" showInputMessage="1" showErrorMessage="1" xr:uid="{AE50457C-7424-4A4C-907B-8DC6AA09E7A3}">
          <x14:formula1>
            <xm:f>'بيانات التقييم'!$A$198:$A$285</xm:f>
          </x14:formula1>
          <xm:sqref>G21:J21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2025-10-22T08:29:49Z</dcterms:modified>
</cp:coreProperties>
</file>