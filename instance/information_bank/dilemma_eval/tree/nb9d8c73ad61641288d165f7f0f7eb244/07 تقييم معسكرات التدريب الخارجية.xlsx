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9E07B29-3F50-1D44-866C-621BA67049F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<sst xmlns="http://schemas.openxmlformats.org/spreadsheetml/2006/main" count="280" uniqueCount="224">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</sst>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31214</xdr:colOff>
      <xdr:row>54</xdr:row>
      <xdr:rowOff>47943</xdr:rowOff>
    </xdr:from>
    <xdr:to>
      <xdr:col>8</xdr:col>
      <xdr:colOff>402791</xdr:colOff>
      <xdr:row>54</xdr:row>
      <xdr:rowOff>429543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426F2D6-4528-59C2-1593-EAAF44C9A7A5}"/>
                </a:ext>
              </a:extLst>
            </xdr14:cNvPr>
            <xdr14:cNvContentPartPr/>
          </xdr14:nvContentPartPr>
          <xdr14:nvPr macro=""/>
          <xdr14:xfrm>
            <a:off x="10423300009" y="22558320"/>
            <a:ext cx="1026000" cy="381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426F2D6-4528-59C2-1593-EAAF44C9A7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91369" y="22549320"/>
              <a:ext cx="1043640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550334</xdr:colOff>
      <xdr:row>54</xdr:row>
      <xdr:rowOff>118503</xdr:rowOff>
    </xdr:from>
    <xdr:to>
      <xdr:col>8</xdr:col>
      <xdr:colOff>529151</xdr:colOff>
      <xdr:row>54</xdr:row>
      <xdr:rowOff>646983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E402EB4-A6CA-BB8F-8BAF-93090AE286AE}"/>
                </a:ext>
              </a:extLst>
            </xdr14:cNvPr>
            <xdr14:cNvContentPartPr/>
          </xdr14:nvContentPartPr>
          <xdr14:nvPr macro=""/>
          <xdr14:xfrm>
            <a:off x="10423173649" y="22628880"/>
            <a:ext cx="633240" cy="5284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E402EB4-A6CA-BB8F-8BAF-93090AE286A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65009" y="22620240"/>
              <a:ext cx="650880" cy="546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1:26.5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2184 557 2248,'0'0'0,"0"0"0,0 2 1224,-1-1 521,0 0 239,0-1-608,-1 0-503,2 0-345,0 0-528,0 0 328,0 0-152,0 0-64,0 0-16,0 0-64,0 0 8,0 0-824,3 0 1584,-1 0-792,-2 0 48,3 0 24,-1 0 40,-2 0 8,0 0 0,0 0-128,2-2 112,-2 2-16,0 0 24,3 0 0,-3 0-16,2 0-8,-2 0-96,0 0 64,0 0-16,0 0-16,3 0-8,-3 0-16,2 0-8,-2 0 0,2 0 0,1 0-24,-1-3 24,1 3 0,-1 0 0,0 0 16,-2 0-16,3 0 0,0-2-24,1 2 24,0 0-8,-1-3 8,1 1 8,-4 2-8,9-2 8,-6-1-8,0 1 16,7-1-32,-7 1 8,-3 2 8,13-4 0,-10 1 0,12 0-8,-5 0 8,1-1-8,1 1-16,-12 3 24,12-10 0,0 8-8,0-2 0,1 0-16,0 1 0,1-1-16,-14 4 40,13-9-16,1 6-24,2 1 0,-2-2 8,2 1-24,-1-1 32,-15 4 24,17-9 56,1 9-64,-1-3-8,-1 0 8,1 0-88,0 1 80,-17 2 16,16-3-40,-1 3 8,0 0 0,0 0-16,0 0 0,-2 0-80,-13 0 128,13 2 40,-1 1-152,-1 1-16,2 1-24,-1 5-144,0-6 136,-12-4 160,11 10-136,-2-7-16,2 9 0,-1-7 0,-7 9 8,9-4 56,-12-10 88,4 9-112,7 2 24,-9 0 0,1 1-1,7-1 49,-10 0-16,0-11 56,3 12-72,-1-2-56,0 1-24,-2 2 16,0-8 80,0 11 0,0-16 56,-1 10-56,-1 0 8,-2 2-64,-6-2 48,7 0-24,-8-6 96,11-4-8,-5 13 16,-7-8-8,3 5 64,-3-7-40,1 1 104,-1 5-40,12-9-96,-12 3 56,0 0-24,0 1-80,1 0 160,1-3-8,0 0 48,10-1-152,-11 1 96,-1 0-88,1 1 56,-1-1-88,2-1 136,-1 0-80,11 0-32,-12-4 8,1 1 57,0-9-89,-1 9 32,2-8 128,-1 9-104,11 2-32,-11-12 56,-1 8 16,1-10-56,-1 4 88,1 1 24,1 5-96,10 4-32,-12-11-96,1 8-104,-2-8-64,0 7-129,-2-5-15,-1 6-144,16 3 552,-16-3-664,-4 0 168,0 1 112,-2 0 152,-4 2 64,0 0 80,26 0 88,-26 1-112,-2 2 24,2 7 56,-1-6 16,1 0 16,1 6 40,25-10-40,-27 4 48,0 0-16,0 7-16,1-6-8,0 5 16,2-7-16,24-3-8,-25 10 16,1-8 8,0 9-64,-2-7 88,1-1 0,1 2 48,24-5-96,-22 4 152,0-2 0,-1 0 0,2 0-56,-2-1 8,1-1-64,22 0-40,-24 0 72,1 0 120,1-3-8,-3 0-32,1-1-8,-2 1-80,26 3-64,-23-11 120,-2 11 48,3-10 48,-1 7-56,1-11 0,1 4 0,21 10-160,-22-12 216,1 1 224,0-1 25,1-1 55,2-2-8,0 1-88,18 14-424,-17-14 488,3-1-48,1 0 64,1 0 64,1 0-48,1-1 25,10 16-545,-3-16 440,-8 0-128,7-1-64,1 0-8,-2-1-56,0 1 0,5 17-184,-4-15 144,2-3-112,1 1 32,0-2-48,1 0-48,0 1 88,0 18-56,0-18-24,0 1-8,2 1-16,0 1-16,2-1 8,0 3-40,-4 13 96,11-12-64,-9 1-24,1 0-32,8 1-32,-7-2-48,8 1-8,-12 11 208,4-11-192,10 0 24,-3 2-16,1-2 16,0 1-32,2 7-1,-14 3 201,14-13-176,3 9 8,1-9 40,0 9 24,2-7 0,1 8 0,-21 3 104,23-12-96,-1 9-8,3-6 8,2 7 0,0-8 16,3 8 16,-30 2 64,30-4-104,2 0 0,-1 2-24,-1 0 0,1-1 32,-1 3-32,-30 0 128,31 0-128,0 0-16,-1 1-24,-1 3 0,0 0 0,-3 5-16,-26-9 184,26 4-176,-2 6 40,-1-5-8,1 8 16,-2-3 8,-2 1-16,-20-11 136,19 9-128,-1 3 24,-1 0 0,-3 0 0,1 2 16,-3-1-24,-12-13 112,12 14-97,-3 1 1,1-2-16,-7 0 16,11 0 0,-11-1-16,-3-12 112,10 13-160,-8-1-40,1 1-32,-1-1 8,-2 0 48,0 0 48,0-12 128,0 12-80,-1 0 56,-3 2 24,-5-1 48,4 0 40,-10 0-8,15-13-80,-10 12 48,-4-1 24,0 1-24,-3-1-8,-2-1 24,-2 1-32,21-11-32,-23 11-8,-2 0 32,-1 0 8,-1-2-16,-1 1 64,1 0-16,27-10-64,-31 5 48,-1 8 24,-1-2-24,-1-6-40,2 9 32,-2-9-24,34-5-16,-34 12 64,-1-2-16,-2-1-16,-3 1 16,1 1-64,-2 1 88,41-12-72,-41 11 40,2 2-48,-2 0-8,0 0-72,-1 4 16,-2-2 112,44-15-40,-42 15 80,0 2-56,-1-3 8,1 3-56,0-2 0,0 1 56,42-16-32,-41 15 48,-1 1-24,1 0-24,-2-1-16,0 1-64,0-1 112,43-15-32,-44 16 16,1 0-8,-1 0 88,3 0-96,-3 1 8,1-4 16,43-13-24,-42 12 40,3 0-8,0-7 8,4 8-8,0-8 32,2 4 8,33-9-72,-30 4 40,3-1 8,0 2-80,3-1-40,2-1-24,1-1-104,21-2 200,-19 0-496,2 0-352,2 0-320,0-3-208,2 0-97,1-11 433,12 14 1040,-11-9-664,7-3 272,-8-3-1040,12 15 1432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51:28.0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1759 153 6025,'0'0'0,"0"1"2752,0-1-2752,-1 1 1929,-1 0-1073,1 1-344,0 0-360,1 0-72,0 2-48,0-4-32,-1 4-80,1 0 88,-2 7-16,2-7-24,-1 5-64,0-5-24,1-4 120,-2 11-192,-1-8-96,0 8 24,-1-7-200,-6 7-48,7-7 16,-9 8-41,12-12 537,-10 4-344,1 7 80,-2-8 40,-1 2 88,1 5-8,-2-7 16,13-3 128,-13 4-120,-2 5 8,0-5-40,-3 1-120,1 4-120,-2-6-128,19-3 520,-18 3-528,0 1 24,-1 0 40,-2-1 55,0 0 57,-1-1 80,22-2 272,-21 2-200,-1 1 56,1-1 32,-1 1 24,0 0 8,1 0 0,21-3 80,-22 3-56,2 1 16,-2-1 24,1 1 56,-1 0 0,1-1 32,21-3-72,-24 5 136,1 0 48,-1 0 32,-1 4 48,0-5 0,-2 1 24,27-5-288,-25 10 305,0-6 15,-3 8 0,1-3 8,-6 1 16,0 1-16,33-11-328,-35 11 376,0 1 40,0 1 24,0 0 24,-3-1-40,0 0-8,38-12-416,-39 13 393,0-1-49,2 0-32,0 1-56,1-1-24,0-1-56,36-11-176,-36 11 152,1-2-40,3 1-48,2-5-8,1 6 8,3-8-8,26-3-56,-24 10 56,0-7-16,1 1-48,2 0-88,0-1-240,3-2-424,18-1 760,-15 2-1345,0-1-551,1-1-360,-1 0 599,2-4 625,-1-5-912,14 9 1944,0 0 0</inkml:trace>
  <inkml:trace contextRef="#ctx0" brushRef="#br0" timeOffset="1">1332 1 6169,'0'0'0,"0"0"5201,0 1-2785,0 0-983,0 0-905,0 2-272,0-3-256,2 3 64,1 8-8,-1-1-24,2 3-16,-1 2 64,7 1-136,-10-16 56,2 18-16,8 1 8,-8 3-72,8 0 112,-8 1-88,2-1-176,-4-22 232,4 20-352,-1-1-200,1 2-224,-2-1-153,0-1-319,-2-1-296,0-18 1544,0 17-1849,0 1-127,0-1 96,0-2 351,0-1 601,0-2 440,0-12 488,-1 9-192,-2-5 160,-2-1 8,-6-1-1432,11-2 1456</inkml:trace>
  <inkml:trace contextRef="#ctx0" brushRef="#br0" timeOffset="2">1119 2 10290,'0'0'0,"-4"1"4713,1 0-2793,-8 0-1088,11-1-832,-4 4 288,-1 6-120,0-7-168,1 12 8,-1-3-8,0 3-24,5-15 24,-3 17 40,-1 3 112,1 3-112,2 1-80,-1 0 8,1 0-160,1-24 192,-3 24-96,1-4 56,-2 2 8,3 0-8,-3-3 16,1 0-16,3-19 40,-4 18-72,1 1-40,-1-3 8,0 0-32,1-2 8,-2-2-24,5-12 152,-5 12-160,2-8-16,-2 9 8,0-9-32,0 7 0,1-9-40,4-2 240,-10 4-272,8 1-32,-2-2 24,-5 0 48,5-2 64,-1 0 72,5-1 96,-11 0-64,7 0 0,-7 0 8,1-2-8,5-2 24,-8 2-8,13 2 48,-9-4-16,-1-6 24,0 10-8,1-9 0,4 9 0,-8-4 0,13 4 0,-10-2-24,5 2 8,-9 0 16,4 0-16,1 1 32,-1 1 16,10-2-32,-12 4 8,1 1 24,1 0 8,-3 5-8,0-6 16,0 7-16,13-11-32,-14 5 16,0 8 16,0-10 16,2 9-8,2-8-8,0 1 24,10-5-56,-5 5 48,-5-2 8,6 1 0,0-1-24,1-1 0,-1-1 24,4-1-56,-2 1 64,1-1 0,-1 0 0,1 0-8,0 0-16,0 0-16,1 0-24,-3-2-24,2 2 16,-1-3-24,-1 1-24,0-1 16,-1 1-40,4 2 80,-5-4-96,1 1 8,-6-8-64,8 9 16,-8-9-24,6 8 0,4 3 160,-9-9-160,4 6-25,-6 1-143,7 0-80,-9-1 32,4 3 64,9 0 312,-11 0-168,-1 0 40,-1 1 0,-2 3 8,1 7-24,-3-6 80,17-5 64,-16 15-96,-4-2 72,0 2 48,0 0-24,-1 1 64,3 1-40,18-17-24,-18 20 0,0 0 32,0 2-8,0 2-16,0-1 32,0 6-32,18-29-8,-18 28 48,-1 5 0,0 0 16,0 2 8,0 3-24,1 1 40,18-39-88,-18 39 112,0 0 64,3-2 32,1-1 64,3-2 32,7 1-40,4-35-264,-4 34 344,2-2-71,2 0-17,10 0 72,4-5 0,4 1 120,-18-28-448,21 24 536,7-3-8,3-2 48,4-2-24,5-1-32,5-2-15,-45-14-505,49 5 568,5 5-200,3-10-56,6 0-64,2-3-248,6-10 104,-71 13-104,73-13 192,6-5-144,5-4 24,1-4-80,8 0-384,3-3-112,-96 29 504,97-33-1225,4 0-1487,0-4-2185,1-2 328,2-1 1488,-1-6-111,-103 46 3192,0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A48" zoomScale="130" zoomScaleNormal="100" zoomScaleSheetLayoutView="130" workbookViewId="0">
      <selection activeCell="G55" sqref="G55:J55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7" t="s">
        <v>223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">
      <c r="B2" s="12" t="s">
        <v>8</v>
      </c>
      <c r="C2" s="73" t="s">
        <v>36</v>
      </c>
      <c r="D2" s="73"/>
      <c r="E2" s="12" t="s">
        <v>7</v>
      </c>
      <c r="F2" s="68">
        <v>45937</v>
      </c>
      <c r="G2" s="68"/>
      <c r="H2" s="68"/>
      <c r="I2" s="68"/>
      <c r="J2" s="68"/>
    </row>
    <row r="3" spans="1:10" ht="30" customHeight="1" x14ac:dyDescent="0.2">
      <c r="B3" s="12" t="s">
        <v>9</v>
      </c>
      <c r="C3" s="73" t="s">
        <v>77</v>
      </c>
      <c r="D3" s="73"/>
      <c r="E3" s="12" t="s">
        <v>6</v>
      </c>
      <c r="F3" s="73" t="s">
        <v>92</v>
      </c>
      <c r="G3" s="73"/>
      <c r="H3" s="73"/>
      <c r="I3" s="73"/>
      <c r="J3" s="7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5" customHeight="1" thickBot="1" x14ac:dyDescent="0.2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5" customHeight="1" thickBot="1" x14ac:dyDescent="0.25">
      <c r="A7" s="10"/>
      <c r="B7" s="76" t="s">
        <v>21</v>
      </c>
      <c r="C7" s="77"/>
      <c r="D7" s="77"/>
      <c r="E7" s="31" t="s">
        <v>18</v>
      </c>
      <c r="F7" s="31" t="s">
        <v>19</v>
      </c>
      <c r="G7" s="31" t="s">
        <v>22</v>
      </c>
      <c r="H7" s="31" t="s">
        <v>20</v>
      </c>
      <c r="I7" s="82" t="s">
        <v>25</v>
      </c>
      <c r="J7" s="83"/>
    </row>
    <row r="8" spans="1:10" ht="30" customHeight="1" x14ac:dyDescent="0.2">
      <c r="A8" s="10"/>
      <c r="B8" s="42" t="s">
        <v>180</v>
      </c>
      <c r="C8" s="43"/>
      <c r="D8" s="43"/>
      <c r="E8" s="28"/>
      <c r="F8" s="35"/>
      <c r="G8" s="36"/>
      <c r="H8" s="37"/>
      <c r="I8" s="48"/>
      <c r="J8" s="49"/>
    </row>
    <row r="9" spans="1:10" ht="39.950000000000003" customHeight="1" x14ac:dyDescent="0.2">
      <c r="A9" s="10"/>
      <c r="B9" s="44" t="s">
        <v>181</v>
      </c>
      <c r="C9" s="45"/>
      <c r="D9" s="45"/>
      <c r="E9" s="9">
        <v>10</v>
      </c>
      <c r="F9" s="26">
        <v>8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0"/>
      <c r="J9" s="51"/>
    </row>
    <row r="10" spans="1:10" ht="30" customHeight="1" x14ac:dyDescent="0.2">
      <c r="A10" s="10"/>
      <c r="B10" s="44" t="s">
        <v>182</v>
      </c>
      <c r="C10" s="45"/>
      <c r="D10" s="45"/>
      <c r="E10" s="9">
        <v>5</v>
      </c>
      <c r="F10" s="26">
        <v>3.75</v>
      </c>
      <c r="G10" s="33">
        <f t="shared" ref="G10:G50" si="0">IFERROR(F10/E10,"")</f>
        <v>0.75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2">
      <c r="A11" s="10"/>
      <c r="B11" s="44" t="s">
        <v>183</v>
      </c>
      <c r="C11" s="45"/>
      <c r="D11" s="45"/>
      <c r="E11" s="9">
        <v>10</v>
      </c>
      <c r="F11" s="26">
        <v>7</v>
      </c>
      <c r="G11" s="33">
        <f t="shared" si="0"/>
        <v>0.7</v>
      </c>
      <c r="H11" s="34" t="str">
        <f t="shared" si="1"/>
        <v>جيد</v>
      </c>
      <c r="I11" s="50"/>
      <c r="J11" s="51"/>
    </row>
    <row r="12" spans="1:10" ht="39.950000000000003" customHeight="1" x14ac:dyDescent="0.2">
      <c r="A12" s="10"/>
      <c r="B12" s="44" t="s">
        <v>184</v>
      </c>
      <c r="C12" s="45"/>
      <c r="D12" s="45"/>
      <c r="E12" s="9">
        <v>8</v>
      </c>
      <c r="F12" s="26">
        <v>6.25</v>
      </c>
      <c r="G12" s="33">
        <f t="shared" si="0"/>
        <v>0.78125</v>
      </c>
      <c r="H12" s="34" t="str">
        <f t="shared" si="1"/>
        <v>جيد</v>
      </c>
      <c r="I12" s="50"/>
      <c r="J12" s="51"/>
    </row>
    <row r="13" spans="1:10" ht="30" customHeight="1" x14ac:dyDescent="0.2">
      <c r="A13" s="10"/>
      <c r="B13" s="44" t="s">
        <v>185</v>
      </c>
      <c r="C13" s="45"/>
      <c r="D13" s="45"/>
      <c r="E13" s="9">
        <v>5</v>
      </c>
      <c r="F13" s="26">
        <v>3.75</v>
      </c>
      <c r="G13" s="33">
        <f t="shared" si="0"/>
        <v>0.75</v>
      </c>
      <c r="H13" s="34" t="str">
        <f t="shared" si="1"/>
        <v>جيد</v>
      </c>
      <c r="I13" s="50"/>
      <c r="J13" s="51"/>
    </row>
    <row r="14" spans="1:10" ht="30" customHeight="1" x14ac:dyDescent="0.2">
      <c r="A14" s="10"/>
      <c r="B14" s="44" t="s">
        <v>186</v>
      </c>
      <c r="C14" s="45"/>
      <c r="D14" s="45"/>
      <c r="E14" s="9">
        <v>6</v>
      </c>
      <c r="F14" s="26">
        <v>4.5</v>
      </c>
      <c r="G14" s="33">
        <f t="shared" si="0"/>
        <v>0.75</v>
      </c>
      <c r="H14" s="34" t="str">
        <f t="shared" si="1"/>
        <v>جيد</v>
      </c>
      <c r="I14" s="50"/>
      <c r="J14" s="51"/>
    </row>
    <row r="15" spans="1:10" ht="30" customHeight="1" x14ac:dyDescent="0.2">
      <c r="A15" s="10"/>
      <c r="B15" s="44" t="s">
        <v>187</v>
      </c>
      <c r="C15" s="45"/>
      <c r="D15" s="45"/>
      <c r="E15" s="9">
        <v>5</v>
      </c>
      <c r="F15" s="26">
        <v>3.75</v>
      </c>
      <c r="G15" s="33">
        <f t="shared" si="0"/>
        <v>0.75</v>
      </c>
      <c r="H15" s="34" t="str">
        <f t="shared" si="1"/>
        <v>جيد</v>
      </c>
      <c r="I15" s="50"/>
      <c r="J15" s="51"/>
    </row>
    <row r="16" spans="1:10" ht="30" customHeight="1" x14ac:dyDescent="0.2">
      <c r="A16" s="10"/>
      <c r="B16" s="44" t="s">
        <v>188</v>
      </c>
      <c r="C16" s="45"/>
      <c r="D16" s="45"/>
      <c r="E16" s="9">
        <v>5</v>
      </c>
      <c r="F16" s="26">
        <v>4.25</v>
      </c>
      <c r="G16" s="33">
        <f t="shared" si="0"/>
        <v>0.85</v>
      </c>
      <c r="H16" s="34" t="str">
        <f t="shared" si="1"/>
        <v>جيد جداً</v>
      </c>
      <c r="I16" s="50"/>
      <c r="J16" s="51"/>
    </row>
    <row r="17" spans="1:10" ht="30" customHeight="1" x14ac:dyDescent="0.2">
      <c r="A17" s="10"/>
      <c r="B17" s="44" t="s">
        <v>189</v>
      </c>
      <c r="C17" s="45"/>
      <c r="D17" s="45"/>
      <c r="E17" s="9">
        <v>6</v>
      </c>
      <c r="F17" s="26">
        <v>5</v>
      </c>
      <c r="G17" s="33">
        <f t="shared" si="0"/>
        <v>0.83333333333333337</v>
      </c>
      <c r="H17" s="34" t="str">
        <f t="shared" si="1"/>
        <v>جيد جداً</v>
      </c>
      <c r="I17" s="50"/>
      <c r="J17" s="51"/>
    </row>
    <row r="18" spans="1:10" ht="39.950000000000003" customHeight="1" x14ac:dyDescent="0.2">
      <c r="A18" s="10"/>
      <c r="B18" s="44" t="s">
        <v>190</v>
      </c>
      <c r="C18" s="45"/>
      <c r="D18" s="45"/>
      <c r="E18" s="9">
        <v>8</v>
      </c>
      <c r="F18" s="26">
        <v>6.75</v>
      </c>
      <c r="G18" s="33">
        <f t="shared" si="0"/>
        <v>0.84375</v>
      </c>
      <c r="H18" s="34" t="str">
        <f t="shared" si="1"/>
        <v>جيد جداً</v>
      </c>
      <c r="I18" s="50"/>
      <c r="J18" s="51"/>
    </row>
    <row r="19" spans="1:10" ht="39.950000000000003" customHeight="1" x14ac:dyDescent="0.2">
      <c r="A19" s="10"/>
      <c r="B19" s="44" t="s">
        <v>191</v>
      </c>
      <c r="C19" s="45"/>
      <c r="D19" s="45"/>
      <c r="E19" s="9">
        <v>8</v>
      </c>
      <c r="F19" s="26">
        <v>7</v>
      </c>
      <c r="G19" s="33">
        <f t="shared" si="0"/>
        <v>0.875</v>
      </c>
      <c r="H19" s="34" t="str">
        <f t="shared" si="1"/>
        <v>جيد جداً</v>
      </c>
      <c r="I19" s="50"/>
      <c r="J19" s="51"/>
    </row>
    <row r="20" spans="1:10" ht="30" customHeight="1" x14ac:dyDescent="0.2">
      <c r="A20" s="10"/>
      <c r="B20" s="44" t="s">
        <v>192</v>
      </c>
      <c r="C20" s="45"/>
      <c r="D20" s="45"/>
      <c r="E20" s="9">
        <v>5</v>
      </c>
      <c r="F20" s="26">
        <v>3.25</v>
      </c>
      <c r="G20" s="33">
        <f t="shared" si="0"/>
        <v>0.65</v>
      </c>
      <c r="H20" s="34" t="str">
        <f t="shared" si="1"/>
        <v>مقبول</v>
      </c>
      <c r="I20" s="50"/>
      <c r="J20" s="51"/>
    </row>
    <row r="21" spans="1:10" ht="30" customHeight="1" x14ac:dyDescent="0.2">
      <c r="A21" s="10"/>
      <c r="B21" s="44" t="s">
        <v>193</v>
      </c>
      <c r="C21" s="45"/>
      <c r="D21" s="45"/>
      <c r="E21" s="9">
        <v>5</v>
      </c>
      <c r="F21" s="26">
        <v>3.25</v>
      </c>
      <c r="G21" s="33">
        <f t="shared" si="0"/>
        <v>0.65</v>
      </c>
      <c r="H21" s="34" t="str">
        <f t="shared" si="1"/>
        <v>مقبول</v>
      </c>
      <c r="I21" s="50"/>
      <c r="J21" s="51"/>
    </row>
    <row r="22" spans="1:10" ht="39.950000000000003" customHeight="1" thickBot="1" x14ac:dyDescent="0.25">
      <c r="A22" s="10"/>
      <c r="B22" s="40" t="s">
        <v>194</v>
      </c>
      <c r="C22" s="41"/>
      <c r="D22" s="41"/>
      <c r="E22" s="29">
        <v>5</v>
      </c>
      <c r="F22" s="27">
        <v>3.75</v>
      </c>
      <c r="G22" s="38">
        <f t="shared" si="0"/>
        <v>0.75</v>
      </c>
      <c r="H22" s="39" t="str">
        <f t="shared" si="1"/>
        <v>جيد</v>
      </c>
      <c r="I22" s="46"/>
      <c r="J22" s="47"/>
    </row>
    <row r="23" spans="1:10" ht="30" customHeight="1" x14ac:dyDescent="0.2">
      <c r="A23" s="10"/>
      <c r="B23" s="42" t="s">
        <v>195</v>
      </c>
      <c r="C23" s="43"/>
      <c r="D23" s="43"/>
      <c r="E23" s="28"/>
      <c r="F23" s="35"/>
      <c r="G23" s="36"/>
      <c r="H23" s="37"/>
      <c r="I23" s="48"/>
      <c r="J23" s="49"/>
    </row>
    <row r="24" spans="1:10" ht="39.950000000000003" customHeight="1" x14ac:dyDescent="0.2">
      <c r="A24" s="10"/>
      <c r="B24" s="44" t="s">
        <v>196</v>
      </c>
      <c r="C24" s="45"/>
      <c r="D24" s="45"/>
      <c r="E24" s="9">
        <v>8</v>
      </c>
      <c r="F24" s="26">
        <v>5.75</v>
      </c>
      <c r="G24" s="33">
        <f t="shared" si="0"/>
        <v>0.71875</v>
      </c>
      <c r="H24" s="34" t="str">
        <f t="shared" si="1"/>
        <v>جيد</v>
      </c>
      <c r="I24" s="50"/>
      <c r="J24" s="51"/>
    </row>
    <row r="25" spans="1:10" ht="30" customHeight="1" x14ac:dyDescent="0.2">
      <c r="A25" s="10"/>
      <c r="B25" s="44" t="s">
        <v>197</v>
      </c>
      <c r="C25" s="45"/>
      <c r="D25" s="45"/>
      <c r="E25" s="9">
        <v>7</v>
      </c>
      <c r="F25" s="26">
        <v>5</v>
      </c>
      <c r="G25" s="33">
        <f t="shared" si="0"/>
        <v>0.7142857142857143</v>
      </c>
      <c r="H25" s="34" t="str">
        <f t="shared" si="1"/>
        <v>جيد</v>
      </c>
      <c r="I25" s="50"/>
      <c r="J25" s="51"/>
    </row>
    <row r="26" spans="1:10" ht="39.950000000000003" customHeight="1" x14ac:dyDescent="0.2">
      <c r="A26" s="10"/>
      <c r="B26" s="44" t="s">
        <v>198</v>
      </c>
      <c r="C26" s="45"/>
      <c r="D26" s="45"/>
      <c r="E26" s="9">
        <v>8</v>
      </c>
      <c r="F26" s="26">
        <v>6</v>
      </c>
      <c r="G26" s="33">
        <f t="shared" si="0"/>
        <v>0.75</v>
      </c>
      <c r="H26" s="34" t="str">
        <f t="shared" si="1"/>
        <v>جيد</v>
      </c>
      <c r="I26" s="50"/>
      <c r="J26" s="51"/>
    </row>
    <row r="27" spans="1:10" ht="30" customHeight="1" x14ac:dyDescent="0.2">
      <c r="A27" s="10"/>
      <c r="B27" s="44" t="s">
        <v>199</v>
      </c>
      <c r="C27" s="45"/>
      <c r="D27" s="45"/>
      <c r="E27" s="9">
        <v>8</v>
      </c>
      <c r="F27" s="26">
        <v>6.25</v>
      </c>
      <c r="G27" s="33">
        <f t="shared" si="0"/>
        <v>0.78125</v>
      </c>
      <c r="H27" s="34" t="str">
        <f t="shared" si="1"/>
        <v>جيد</v>
      </c>
      <c r="I27" s="50"/>
      <c r="J27" s="51"/>
    </row>
    <row r="28" spans="1:10" ht="30" customHeight="1" thickBot="1" x14ac:dyDescent="0.25">
      <c r="A28" s="10"/>
      <c r="B28" s="40" t="s">
        <v>200</v>
      </c>
      <c r="C28" s="41"/>
      <c r="D28" s="41"/>
      <c r="E28" s="29">
        <v>8</v>
      </c>
      <c r="F28" s="27">
        <v>6.5</v>
      </c>
      <c r="G28" s="38">
        <f t="shared" si="0"/>
        <v>0.8125</v>
      </c>
      <c r="H28" s="39" t="str">
        <f t="shared" si="1"/>
        <v>جيد جداً</v>
      </c>
      <c r="I28" s="46"/>
      <c r="J28" s="47"/>
    </row>
    <row r="29" spans="1:10" ht="30" customHeight="1" x14ac:dyDescent="0.2">
      <c r="A29" s="10"/>
      <c r="B29" s="42" t="s">
        <v>201</v>
      </c>
      <c r="C29" s="43"/>
      <c r="D29" s="43"/>
      <c r="E29" s="28"/>
      <c r="F29" s="35"/>
      <c r="G29" s="36"/>
      <c r="H29" s="37"/>
      <c r="I29" s="48"/>
      <c r="J29" s="49"/>
    </row>
    <row r="30" spans="1:10" ht="39.950000000000003" customHeight="1" x14ac:dyDescent="0.2">
      <c r="A30" s="10"/>
      <c r="B30" s="44" t="s">
        <v>202</v>
      </c>
      <c r="C30" s="45"/>
      <c r="D30" s="45"/>
      <c r="E30" s="9">
        <v>10</v>
      </c>
      <c r="F30" s="26">
        <v>8.25</v>
      </c>
      <c r="G30" s="33">
        <f t="shared" si="0"/>
        <v>0.82499999999999996</v>
      </c>
      <c r="H30" s="34" t="str">
        <f t="shared" si="1"/>
        <v>جيد جداً</v>
      </c>
      <c r="I30" s="50"/>
      <c r="J30" s="51"/>
    </row>
    <row r="31" spans="1:10" ht="30" customHeight="1" x14ac:dyDescent="0.2">
      <c r="A31" s="10"/>
      <c r="B31" s="44" t="s">
        <v>203</v>
      </c>
      <c r="C31" s="45"/>
      <c r="D31" s="45"/>
      <c r="E31" s="9">
        <v>10</v>
      </c>
      <c r="F31" s="26">
        <v>8</v>
      </c>
      <c r="G31" s="33">
        <f t="shared" si="0"/>
        <v>0.8</v>
      </c>
      <c r="H31" s="34" t="str">
        <f t="shared" si="1"/>
        <v>جيد جداً</v>
      </c>
      <c r="I31" s="50"/>
      <c r="J31" s="51"/>
    </row>
    <row r="32" spans="1:10" ht="30" customHeight="1" thickBot="1" x14ac:dyDescent="0.25">
      <c r="A32" s="10"/>
      <c r="B32" s="40" t="s">
        <v>204</v>
      </c>
      <c r="C32" s="41"/>
      <c r="D32" s="41"/>
      <c r="E32" s="29">
        <v>10</v>
      </c>
      <c r="F32" s="27">
        <v>8.75</v>
      </c>
      <c r="G32" s="38">
        <f t="shared" si="0"/>
        <v>0.875</v>
      </c>
      <c r="H32" s="39" t="str">
        <f t="shared" si="1"/>
        <v>جيد جداً</v>
      </c>
      <c r="I32" s="46"/>
      <c r="J32" s="47"/>
    </row>
    <row r="33" spans="1:10" ht="39.950000000000003" customHeight="1" x14ac:dyDescent="0.2">
      <c r="A33" s="10"/>
      <c r="B33" s="42" t="s">
        <v>205</v>
      </c>
      <c r="C33" s="43"/>
      <c r="D33" s="43"/>
      <c r="E33" s="28"/>
      <c r="F33" s="35"/>
      <c r="G33" s="36"/>
      <c r="H33" s="37"/>
      <c r="I33" s="48"/>
      <c r="J33" s="49"/>
    </row>
    <row r="34" spans="1:10" ht="30" customHeight="1" x14ac:dyDescent="0.2">
      <c r="A34" s="10"/>
      <c r="B34" s="44" t="s">
        <v>206</v>
      </c>
      <c r="C34" s="45"/>
      <c r="D34" s="45"/>
      <c r="E34" s="9">
        <v>5</v>
      </c>
      <c r="F34" s="26">
        <v>3.75</v>
      </c>
      <c r="G34" s="33">
        <f t="shared" si="0"/>
        <v>0.75</v>
      </c>
      <c r="H34" s="34" t="str">
        <f t="shared" si="1"/>
        <v>جيد</v>
      </c>
      <c r="I34" s="50"/>
      <c r="J34" s="51"/>
    </row>
    <row r="35" spans="1:10" ht="30" customHeight="1" x14ac:dyDescent="0.2">
      <c r="A35" s="10"/>
      <c r="B35" s="44" t="s">
        <v>207</v>
      </c>
      <c r="C35" s="45"/>
      <c r="D35" s="45"/>
      <c r="E35" s="9">
        <v>5</v>
      </c>
      <c r="F35" s="26">
        <v>3.75</v>
      </c>
      <c r="G35" s="33">
        <f t="shared" si="0"/>
        <v>0.75</v>
      </c>
      <c r="H35" s="34" t="str">
        <f t="shared" si="1"/>
        <v>جيد</v>
      </c>
      <c r="I35" s="50"/>
      <c r="J35" s="51"/>
    </row>
    <row r="36" spans="1:10" ht="39.950000000000003" customHeight="1" x14ac:dyDescent="0.2">
      <c r="A36" s="10"/>
      <c r="B36" s="44" t="s">
        <v>208</v>
      </c>
      <c r="C36" s="45"/>
      <c r="D36" s="45"/>
      <c r="E36" s="9">
        <v>5</v>
      </c>
      <c r="F36" s="26">
        <v>4</v>
      </c>
      <c r="G36" s="33">
        <f t="shared" si="0"/>
        <v>0.8</v>
      </c>
      <c r="H36" s="34" t="str">
        <f t="shared" si="1"/>
        <v>جيد جداً</v>
      </c>
      <c r="I36" s="50"/>
      <c r="J36" s="51"/>
    </row>
    <row r="37" spans="1:10" ht="52.5" customHeight="1" x14ac:dyDescent="0.2">
      <c r="A37" s="10"/>
      <c r="B37" s="44" t="s">
        <v>209</v>
      </c>
      <c r="C37" s="45"/>
      <c r="D37" s="45"/>
      <c r="E37" s="9">
        <v>5</v>
      </c>
      <c r="F37" s="26">
        <v>4</v>
      </c>
      <c r="G37" s="33">
        <f t="shared" si="0"/>
        <v>0.8</v>
      </c>
      <c r="H37" s="34" t="str">
        <f t="shared" si="1"/>
        <v>جيد جداً</v>
      </c>
      <c r="I37" s="50"/>
      <c r="J37" s="51"/>
    </row>
    <row r="38" spans="1:10" ht="39.950000000000003" customHeight="1" x14ac:dyDescent="0.2">
      <c r="A38" s="10"/>
      <c r="B38" s="44" t="s">
        <v>210</v>
      </c>
      <c r="C38" s="45"/>
      <c r="D38" s="4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0"/>
      <c r="J38" s="51"/>
    </row>
    <row r="39" spans="1:10" ht="30" customHeight="1" thickBot="1" x14ac:dyDescent="0.25">
      <c r="A39" s="10"/>
      <c r="B39" s="40" t="s">
        <v>211</v>
      </c>
      <c r="C39" s="41"/>
      <c r="D39" s="41"/>
      <c r="E39" s="29">
        <v>5</v>
      </c>
      <c r="F39" s="27">
        <v>3.75</v>
      </c>
      <c r="G39" s="38">
        <f t="shared" si="0"/>
        <v>0.75</v>
      </c>
      <c r="H39" s="39" t="str">
        <f t="shared" si="1"/>
        <v>جيد</v>
      </c>
      <c r="I39" s="46"/>
      <c r="J39" s="47"/>
    </row>
    <row r="40" spans="1:10" ht="30" customHeight="1" x14ac:dyDescent="0.2">
      <c r="A40" s="10"/>
      <c r="B40" s="42" t="s">
        <v>212</v>
      </c>
      <c r="C40" s="43"/>
      <c r="D40" s="43"/>
      <c r="E40" s="28"/>
      <c r="F40" s="35"/>
      <c r="G40" s="36"/>
      <c r="H40" s="37"/>
      <c r="I40" s="48"/>
      <c r="J40" s="49"/>
    </row>
    <row r="41" spans="1:10" ht="30" customHeight="1" x14ac:dyDescent="0.2">
      <c r="A41" s="10"/>
      <c r="B41" s="44" t="s">
        <v>213</v>
      </c>
      <c r="C41" s="45"/>
      <c r="D41" s="45"/>
      <c r="E41" s="9">
        <v>5</v>
      </c>
      <c r="F41" s="26">
        <v>3.75</v>
      </c>
      <c r="G41" s="33">
        <f t="shared" si="0"/>
        <v>0.75</v>
      </c>
      <c r="H41" s="34" t="str">
        <f t="shared" si="1"/>
        <v>جيد</v>
      </c>
      <c r="I41" s="50"/>
      <c r="J41" s="51"/>
    </row>
    <row r="42" spans="1:10" ht="39.950000000000003" customHeight="1" x14ac:dyDescent="0.2">
      <c r="A42" s="10"/>
      <c r="B42" s="44" t="s">
        <v>214</v>
      </c>
      <c r="C42" s="45"/>
      <c r="D42" s="45"/>
      <c r="E42" s="9">
        <v>5</v>
      </c>
      <c r="F42" s="26">
        <v>3.75</v>
      </c>
      <c r="G42" s="33">
        <f t="shared" si="0"/>
        <v>0.75</v>
      </c>
      <c r="H42" s="34" t="str">
        <f t="shared" si="1"/>
        <v>جيد</v>
      </c>
      <c r="I42" s="50"/>
      <c r="J42" s="51"/>
    </row>
    <row r="43" spans="1:10" ht="30" customHeight="1" thickBot="1" x14ac:dyDescent="0.25">
      <c r="A43" s="10"/>
      <c r="B43" s="40" t="s">
        <v>215</v>
      </c>
      <c r="C43" s="41"/>
      <c r="D43" s="41"/>
      <c r="E43" s="29">
        <v>5</v>
      </c>
      <c r="F43" s="27">
        <v>3.75</v>
      </c>
      <c r="G43" s="38">
        <f t="shared" si="0"/>
        <v>0.75</v>
      </c>
      <c r="H43" s="39" t="str">
        <f t="shared" si="1"/>
        <v>جيد</v>
      </c>
      <c r="I43" s="46"/>
      <c r="J43" s="47"/>
    </row>
    <row r="44" spans="1:10" ht="30" customHeight="1" x14ac:dyDescent="0.2">
      <c r="A44" s="10"/>
      <c r="B44" s="42" t="s">
        <v>216</v>
      </c>
      <c r="C44" s="43"/>
      <c r="D44" s="43"/>
      <c r="E44" s="30"/>
      <c r="F44" s="35"/>
      <c r="G44" s="36"/>
      <c r="H44" s="37"/>
      <c r="I44" s="48"/>
      <c r="J44" s="49"/>
    </row>
    <row r="45" spans="1:10" ht="30" customHeight="1" x14ac:dyDescent="0.2">
      <c r="A45" s="10"/>
      <c r="B45" s="44" t="s">
        <v>217</v>
      </c>
      <c r="C45" s="45"/>
      <c r="D45" s="45"/>
      <c r="E45" s="9">
        <v>5</v>
      </c>
      <c r="F45" s="26">
        <v>4.25</v>
      </c>
      <c r="G45" s="33">
        <f t="shared" si="0"/>
        <v>0.85</v>
      </c>
      <c r="H45" s="34" t="str">
        <f t="shared" si="1"/>
        <v>جيد جداً</v>
      </c>
      <c r="I45" s="50"/>
      <c r="J45" s="51"/>
    </row>
    <row r="46" spans="1:10" ht="30" customHeight="1" x14ac:dyDescent="0.2">
      <c r="A46" s="10"/>
      <c r="B46" s="44" t="s">
        <v>218</v>
      </c>
      <c r="C46" s="45"/>
      <c r="D46" s="45"/>
      <c r="E46" s="9">
        <v>5</v>
      </c>
      <c r="F46" s="26">
        <v>3.75</v>
      </c>
      <c r="G46" s="33">
        <f t="shared" si="0"/>
        <v>0.75</v>
      </c>
      <c r="H46" s="34" t="str">
        <f t="shared" si="1"/>
        <v>جيد</v>
      </c>
      <c r="I46" s="50"/>
      <c r="J46" s="51"/>
    </row>
    <row r="47" spans="1:10" ht="30" customHeight="1" x14ac:dyDescent="0.2">
      <c r="A47" s="10"/>
      <c r="B47" s="44" t="s">
        <v>219</v>
      </c>
      <c r="C47" s="45"/>
      <c r="D47" s="45"/>
      <c r="E47" s="9">
        <v>5</v>
      </c>
      <c r="F47" s="26">
        <v>3.75</v>
      </c>
      <c r="G47" s="33">
        <f t="shared" si="0"/>
        <v>0.75</v>
      </c>
      <c r="H47" s="34" t="str">
        <f t="shared" si="1"/>
        <v>جيد</v>
      </c>
      <c r="I47" s="50"/>
      <c r="J47" s="51"/>
    </row>
    <row r="48" spans="1:10" ht="30" customHeight="1" x14ac:dyDescent="0.2">
      <c r="A48" s="10"/>
      <c r="B48" s="44" t="s">
        <v>220</v>
      </c>
      <c r="C48" s="45"/>
      <c r="D48" s="45"/>
      <c r="E48" s="9">
        <v>5</v>
      </c>
      <c r="F48" s="26">
        <v>4</v>
      </c>
      <c r="G48" s="33">
        <f t="shared" si="0"/>
        <v>0.8</v>
      </c>
      <c r="H48" s="34" t="str">
        <f t="shared" si="1"/>
        <v>جيد جداً</v>
      </c>
      <c r="I48" s="50"/>
      <c r="J48" s="51"/>
    </row>
    <row r="49" spans="1:10" ht="30" customHeight="1" x14ac:dyDescent="0.2">
      <c r="A49" s="10"/>
      <c r="B49" s="44" t="s">
        <v>221</v>
      </c>
      <c r="C49" s="45"/>
      <c r="D49" s="45"/>
      <c r="E49" s="9">
        <v>5</v>
      </c>
      <c r="F49" s="26">
        <v>3</v>
      </c>
      <c r="G49" s="33">
        <f t="shared" si="0"/>
        <v>0.6</v>
      </c>
      <c r="H49" s="34" t="str">
        <f t="shared" si="1"/>
        <v>مقبول</v>
      </c>
      <c r="I49" s="50"/>
      <c r="J49" s="51"/>
    </row>
    <row r="50" spans="1:10" ht="30" customHeight="1" thickBot="1" x14ac:dyDescent="0.25">
      <c r="A50" s="10"/>
      <c r="B50" s="40" t="s">
        <v>222</v>
      </c>
      <c r="C50" s="41"/>
      <c r="D50" s="41"/>
      <c r="E50" s="29">
        <v>10</v>
      </c>
      <c r="F50" s="27">
        <v>2.75</v>
      </c>
      <c r="G50" s="38">
        <f t="shared" si="0"/>
        <v>0.27500000000000002</v>
      </c>
      <c r="H50" s="39" t="str">
        <f t="shared" si="1"/>
        <v>راسب</v>
      </c>
      <c r="I50" s="46"/>
      <c r="J50" s="47"/>
    </row>
    <row r="51" spans="1:10" ht="30" customHeight="1" thickBot="1" x14ac:dyDescent="0.25">
      <c r="A51" s="4"/>
      <c r="B51" s="52" t="s">
        <v>5</v>
      </c>
      <c r="C51" s="53"/>
      <c r="D51" s="53"/>
      <c r="E51" s="32">
        <f>SUM(E8:E50)</f>
        <v>240</v>
      </c>
      <c r="F51" s="32">
        <f>SUM(F8:F50)</f>
        <v>180.25</v>
      </c>
      <c r="G51" s="64"/>
      <c r="H51" s="65"/>
      <c r="I51" s="65"/>
      <c r="J51" s="66"/>
    </row>
    <row r="52" spans="1:10" ht="30" customHeight="1" thickBot="1" x14ac:dyDescent="0.25">
      <c r="A52" s="4"/>
      <c r="B52" s="54" t="s">
        <v>54</v>
      </c>
      <c r="C52" s="55"/>
      <c r="D52" s="55"/>
      <c r="E52" s="74">
        <f>F51/E51/100*100</f>
        <v>0.75104166666666672</v>
      </c>
      <c r="F52" s="74"/>
      <c r="G52" s="74"/>
      <c r="H52" s="74"/>
      <c r="I52" s="74"/>
      <c r="J52" s="75"/>
    </row>
    <row r="53" spans="1:10" ht="30" customHeight="1" thickBot="1" x14ac:dyDescent="0.25">
      <c r="A53" s="4"/>
      <c r="B53" s="54" t="s">
        <v>55</v>
      </c>
      <c r="C53" s="55"/>
      <c r="D53" s="55"/>
      <c r="E53" s="60" t="str">
        <f>_xlfn.IFS(E52&gt;=90%,"ممتاز",E52&gt;=80%,"جيد جداً",E52&gt;=70%,"جيد",E52&gt;=60%,"مقبول",E52&lt;60%,"راسب")</f>
        <v>جيد</v>
      </c>
      <c r="F53" s="60"/>
      <c r="G53" s="60"/>
      <c r="H53" s="60"/>
      <c r="I53" s="60"/>
      <c r="J53" s="61"/>
    </row>
    <row r="54" spans="1:10" ht="42" customHeight="1" x14ac:dyDescent="0.2">
      <c r="B54" s="56" t="s">
        <v>174</v>
      </c>
      <c r="C54" s="56"/>
      <c r="D54" s="56"/>
      <c r="E54" s="62" t="s">
        <v>52</v>
      </c>
      <c r="F54" s="62"/>
      <c r="G54" s="58" t="s">
        <v>92</v>
      </c>
      <c r="H54" s="58"/>
      <c r="I54" s="58"/>
      <c r="J54" s="58"/>
    </row>
    <row r="55" spans="1:10" ht="51" customHeight="1" x14ac:dyDescent="0.2">
      <c r="A55" s="5"/>
      <c r="B55" s="57"/>
      <c r="C55" s="57"/>
      <c r="D55" s="57"/>
      <c r="E55" s="63" t="s">
        <v>53</v>
      </c>
      <c r="F55" s="63"/>
      <c r="G55" s="59"/>
      <c r="H55" s="59"/>
      <c r="I55" s="59"/>
      <c r="J55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2025-09-22T05:51:08Z</dcterms:modified>
</cp:coreProperties>
</file>