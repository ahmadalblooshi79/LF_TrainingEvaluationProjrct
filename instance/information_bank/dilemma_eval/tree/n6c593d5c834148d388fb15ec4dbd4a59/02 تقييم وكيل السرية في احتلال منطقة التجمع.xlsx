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ink/ink1.xml" ContentType="application/inkml+xml"/>
  <Override PartName="/xl/ink/ink2.xml" ContentType="application/inkml+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103"/>
  <workbookPr filterPrivacy="1" codeName="ThisWorkbook"/>
  <xr:revisionPtr revIDLastSave="0" documentId="13_ncr:1_{DC9E94ED-B6BE-41CE-85D3-324C13E1CB20}" xr6:coauthVersionLast="47" xr6:coauthVersionMax="47" xr10:uidLastSave="{00000000-0000-0000-0000-000000000000}"/>
  <bookViews>
    <workbookView xWindow="-108" yWindow="-108" windowWidth="23256" windowHeight="12576" xr2:uid="{00000000-000D-0000-FFFF-FFFF00000000}"/>
  </bookViews>
  <sheets>
    <sheet name="قائمة التقييم" sheetId="2" r:id="rId1"/>
    <sheet name="بيانات التقييم" sheetId="4" r:id="rId2"/>
  </sheets>
  <definedNames>
    <definedName name="_Hlk189049083" localSheetId="0">'قائمة التقييم'!#REF!</definedName>
    <definedName name="_Hlk189049123" localSheetId="0">'قائمة التقييم'!$B$3</definedName>
    <definedName name="_xlnm.Print_Area" localSheetId="0">'قائمة التقييم'!$A$1:$J$40</definedName>
    <definedName name="_xlnm.Print_Titles" localSheetId="0">'قائمة التقييم'!$7:$7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G9" i="2" l="1"/>
  <c r="H9" i="2"/>
  <c r="G10" i="2"/>
  <c r="H10" i="2"/>
  <c r="G11" i="2"/>
  <c r="H11" i="2"/>
  <c r="G12" i="2"/>
  <c r="H12" i="2"/>
  <c r="G13" i="2"/>
  <c r="H13" i="2"/>
  <c r="G14" i="2"/>
  <c r="H14" i="2"/>
  <c r="G15" i="2"/>
  <c r="H15" i="2"/>
  <c r="G16" i="2"/>
  <c r="H16" i="2" s="1"/>
  <c r="G17" i="2"/>
  <c r="H17" i="2" s="1"/>
  <c r="G19" i="2"/>
  <c r="H19" i="2"/>
  <c r="G20" i="2"/>
  <c r="H20" i="2"/>
  <c r="G21" i="2"/>
  <c r="H21" i="2"/>
  <c r="G22" i="2"/>
  <c r="H22" i="2" s="1"/>
  <c r="G23" i="2"/>
  <c r="H23" i="2" s="1"/>
  <c r="G25" i="2"/>
  <c r="H25" i="2"/>
  <c r="G26" i="2"/>
  <c r="H26" i="2" s="1"/>
  <c r="G27" i="2"/>
  <c r="H27" i="2"/>
  <c r="G28" i="2"/>
  <c r="H28" i="2" s="1"/>
  <c r="G29" i="2"/>
  <c r="H29" i="2"/>
  <c r="G30" i="2"/>
  <c r="H30" i="2"/>
  <c r="G31" i="2"/>
  <c r="H31" i="2" s="1"/>
  <c r="G32" i="2"/>
  <c r="H32" i="2" s="1"/>
  <c r="G33" i="2"/>
  <c r="H33" i="2" s="1"/>
  <c r="G34" i="2"/>
  <c r="H34" i="2" s="1"/>
  <c r="G35" i="2"/>
  <c r="H35" i="2"/>
  <c r="F36" i="2"/>
  <c r="E37" i="2" s="1"/>
  <c r="E38" i="2" s="1"/>
  <c r="E36" i="2"/>
</calcChain>
</file>

<file path=xl/sharedStrings.xml><?xml version="1.0" encoding="utf-8"?>
<sst xmlns="http://schemas.openxmlformats.org/spreadsheetml/2006/main" count="265" uniqueCount="210">
  <si>
    <t>عناصــــــر التقييـــــم</t>
  </si>
  <si>
    <t>العلامـــــــات</t>
  </si>
  <si>
    <t>ملاحظــــــات</t>
  </si>
  <si>
    <t>القصوى</t>
  </si>
  <si>
    <t>المكتسبة</t>
  </si>
  <si>
    <t>إجمالي العلامـــــات</t>
  </si>
  <si>
    <t xml:space="preserve">المحكــم: </t>
  </si>
  <si>
    <t xml:space="preserve">التاريــخ: </t>
  </si>
  <si>
    <t>سرية الاستطلاع</t>
  </si>
  <si>
    <t>سرية الهاون</t>
  </si>
  <si>
    <t>سرية الهندسة</t>
  </si>
  <si>
    <t>سرية الدفاع الكيميائي</t>
  </si>
  <si>
    <t>سرية الحرب الإلكترونية</t>
  </si>
  <si>
    <t>سرية الإشارة</t>
  </si>
  <si>
    <t>فصيل الشرطة العسكرية</t>
  </si>
  <si>
    <t>لا ينطبق</t>
  </si>
  <si>
    <t>(ب)</t>
  </si>
  <si>
    <t>(جـ)</t>
  </si>
  <si>
    <t>(هـ)</t>
  </si>
  <si>
    <t>( أ )</t>
  </si>
  <si>
    <t>( د )</t>
  </si>
  <si>
    <t>النسبة</t>
  </si>
  <si>
    <t>النتيجة</t>
  </si>
  <si>
    <t>( و )</t>
  </si>
  <si>
    <t>هيئة ركن مجموعة اللواء</t>
  </si>
  <si>
    <t>سرية الـ م/د</t>
  </si>
  <si>
    <t>القيادة والسيطرة</t>
  </si>
  <si>
    <t>سرية الدفاع الجوي</t>
  </si>
  <si>
    <t>كتيبة الإسناد الإداري</t>
  </si>
  <si>
    <t>السرية الطبية</t>
  </si>
  <si>
    <t>سرية الصيانة</t>
  </si>
  <si>
    <t>سرية التزويد والنقل</t>
  </si>
  <si>
    <t>ضباط الصف</t>
  </si>
  <si>
    <t>قيادة مجموعة لواء الإمارات/1</t>
  </si>
  <si>
    <t>قيادة كتيبة المشاة الآلية/12</t>
  </si>
  <si>
    <t>كتيبة المشاة الآلية/12 - السرية/1</t>
  </si>
  <si>
    <t>كتيبة المشاة الآلية/12 - السرية/2</t>
  </si>
  <si>
    <t>كتيبة المشاة الآلية/12 - السرية/3</t>
  </si>
  <si>
    <t>قيادة كتيبة المشاة الآلية/13</t>
  </si>
  <si>
    <t>كتيبة المشاة الآلية/13 - السرية/1</t>
  </si>
  <si>
    <t>كتيبة المشاة الآلية/13 - السرية/2</t>
  </si>
  <si>
    <t>كتيبة المشاة الآلية/13 - السرية/3</t>
  </si>
  <si>
    <t>قيادة كتيبة الدبابات/14</t>
  </si>
  <si>
    <t>كتيبة الدبابات/14 - السرية/1</t>
  </si>
  <si>
    <t>كتيبة الدبابات/14 - السرية/2</t>
  </si>
  <si>
    <t>كتيبة الدبابات/14 - السرية/3</t>
  </si>
  <si>
    <t>قيادة كتيبة المدفعية/72</t>
  </si>
  <si>
    <t>قيادة كتيبة المدفعية/72 - السرية/1</t>
  </si>
  <si>
    <t>قيادة كتيبة المدفعية/72 - السرية/2</t>
  </si>
  <si>
    <t>قيادة كتيبة المدفعية/72 - السرية/3</t>
  </si>
  <si>
    <t>المحكـــــــــم:</t>
  </si>
  <si>
    <t>التوقيــــــــع:</t>
  </si>
  <si>
    <t>النسبــــة العامــــــة</t>
  </si>
  <si>
    <t>التقديــــر العــــــام</t>
  </si>
  <si>
    <t>أدخل التاريخ</t>
  </si>
  <si>
    <t>أدخل الوحدة الخاضعة للتقييم</t>
  </si>
  <si>
    <t>..............................</t>
  </si>
  <si>
    <t>أدخل اسم المحكم</t>
  </si>
  <si>
    <t>أدخل اسم قائد الوحدة الخاضعة للتقييم</t>
  </si>
  <si>
    <t>أدخل العلامة</t>
  </si>
  <si>
    <t>عميد ركن / راشد حمد مفتاح النيادي</t>
  </si>
  <si>
    <t xml:space="preserve"> عقيد ركن / جمعة محمد جمعة الصريدي</t>
  </si>
  <si>
    <t xml:space="preserve"> عقيد ركن / عتيق الزفنة العفاري</t>
  </si>
  <si>
    <t>رائد / أحمد محمد الظهوري</t>
  </si>
  <si>
    <t>مقدم / عبدالله سعيد الشامسي</t>
  </si>
  <si>
    <t xml:space="preserve"> نقيب / سعيد أحمد الشحي</t>
  </si>
  <si>
    <t>عقيد ركن / محمد سعيد الكتبي</t>
  </si>
  <si>
    <t>نقيب / راشد الطيب النعيمي</t>
  </si>
  <si>
    <t>نقيب / حمدان سالمين العامري</t>
  </si>
  <si>
    <t>رائد/ عبدالله سيف الغفلي</t>
  </si>
  <si>
    <t>نقيب / حمد محمد الشامسي</t>
  </si>
  <si>
    <t>رائد/ سعيد مبارك الكتبي</t>
  </si>
  <si>
    <t>ملازم 2 / علي ابراهيم النعيمي</t>
  </si>
  <si>
    <t>رائد/ محمد عمران الكتبي</t>
  </si>
  <si>
    <t>نقيب / محمد سعيد الكعبي</t>
  </si>
  <si>
    <t>عقيد ركن / علي راشد اليماحي</t>
  </si>
  <si>
    <t>نقيب / ماجد عبدالله البلوشي</t>
  </si>
  <si>
    <t>ملازم 1 / حمد طارش الكعبي</t>
  </si>
  <si>
    <t>رائد/ سالم سلطان الكتبي</t>
  </si>
  <si>
    <t>مقدم ركن / محمد عبدالله الشحي</t>
  </si>
  <si>
    <t>رائد/ محمد عبدالرحمن الطنيجي</t>
  </si>
  <si>
    <t>رائد/ محمد راشد المزروعي</t>
  </si>
  <si>
    <t>رائد/ محمد سعيد الظنحاني</t>
  </si>
  <si>
    <t>مقدم ركن / علي حسن الحمادي</t>
  </si>
  <si>
    <t>ملازم 1 / علي ناصر المقدمي</t>
  </si>
  <si>
    <t>نقيب / حمد سعيد الشهياري</t>
  </si>
  <si>
    <t>ملازم 1 / سعود محمد الطياري</t>
  </si>
  <si>
    <t xml:space="preserve">عميد ركن / حمد علي جمعة الشحي </t>
  </si>
  <si>
    <t>عقيد ركن / خليفة بن هويدن الكتبي</t>
  </si>
  <si>
    <t>عقيد ركن / راشد محمد عبيد الظنحاني</t>
  </si>
  <si>
    <t>عقيد ركن / حميد محمد عبيد الدرعي</t>
  </si>
  <si>
    <t>عقيد ركن / سلطان راشد بالرشاد الشامسي</t>
  </si>
  <si>
    <t>عقيد ركن / احمد سليمان علي المعمري</t>
  </si>
  <si>
    <t>عقيد ركن / علي الرضه كمادي المهيري</t>
  </si>
  <si>
    <t>عقيد ركن / خليل احمد سليمان العنتلي</t>
  </si>
  <si>
    <t xml:space="preserve">عقيد ركن / سعود صالح  راشدالظاهري </t>
  </si>
  <si>
    <t>عقيد / سالم محمد سعيد العفاري</t>
  </si>
  <si>
    <t xml:space="preserve">مقدم ركن / خادم سيف المنصوري </t>
  </si>
  <si>
    <t>مقدم ركن / مصبح مفتاح علي الخاطري</t>
  </si>
  <si>
    <t>مقدم ركن / حمد راشد سليمان الزيودي</t>
  </si>
  <si>
    <t>مقدم / محمد عبدالرحمن الرميثي</t>
  </si>
  <si>
    <t xml:space="preserve">مقدم / علي سيف حامد الطنيجي </t>
  </si>
  <si>
    <t>مقدم / خليفة عبدالله سلطان السويدي</t>
  </si>
  <si>
    <t>مقدم / سالم القرين علي العامري</t>
  </si>
  <si>
    <t>مقدم / محمد عبدالرحمن جاسم الرميثي</t>
  </si>
  <si>
    <t xml:space="preserve">مقدم / سعيد محمد سالم  العامري </t>
  </si>
  <si>
    <t xml:space="preserve">مقدم / جابر محمد خاتم الشامسي </t>
  </si>
  <si>
    <t xml:space="preserve">مقدم / مصبح حارب المنصوري </t>
  </si>
  <si>
    <t>مقدم / عبدالله محمد سلطان الحبسي</t>
  </si>
  <si>
    <t>مقدم طبيب / محمد عيسى الرميثي</t>
  </si>
  <si>
    <t>رائد / احمد علي عبدالله الحوسني</t>
  </si>
  <si>
    <t xml:space="preserve">رائد / عبدالله مطر عبيد الكتبي </t>
  </si>
  <si>
    <t xml:space="preserve">رائد / خليفة مصبح الدهماني </t>
  </si>
  <si>
    <t>رائد / أحمد هلال سيف الزعابي</t>
  </si>
  <si>
    <t xml:space="preserve">رائد / سيف حمود محمد الشامسي </t>
  </si>
  <si>
    <t>رائد / عبدالناصر أحمد عبدالله  آل نصور</t>
  </si>
  <si>
    <t>رائد / حمدان محمد الكعبي</t>
  </si>
  <si>
    <t>رائد / سلطان سيف حميد بن سميط</t>
  </si>
  <si>
    <t xml:space="preserve">رائد / هلال سعيد ضبيب الدرعي </t>
  </si>
  <si>
    <t xml:space="preserve">رائد / سعيد إبراهيم المرزوقي </t>
  </si>
  <si>
    <t>رائد / أحمد عبدالكريم محمد</t>
  </si>
  <si>
    <t xml:space="preserve">رائد / جمعة محمد مسعود المزروعي </t>
  </si>
  <si>
    <t xml:space="preserve">رائد / خليفة مصبح علي الدهماني </t>
  </si>
  <si>
    <t xml:space="preserve">رائد / محمد خليفة حميد النعيمي </t>
  </si>
  <si>
    <t xml:space="preserve">نقيب / محمد سعيد الكعبي </t>
  </si>
  <si>
    <t>نقيب / ناصر حمد سليم التميمي</t>
  </si>
  <si>
    <t xml:space="preserve">نقيب / سعيد مصبح  محمد الغفلي </t>
  </si>
  <si>
    <t xml:space="preserve">نقيب / أحمد حمد حمود الدرعي </t>
  </si>
  <si>
    <t>نقيب / سالم جمعة محمد الكتبي</t>
  </si>
  <si>
    <t xml:space="preserve">نقيب / عمران راشد عبيد الكتبي </t>
  </si>
  <si>
    <t>نقيب / محمد جاسم محمد النقبي</t>
  </si>
  <si>
    <t>نقيب / بلاع سالم الدوده العامري</t>
  </si>
  <si>
    <t>نقيب / عبدالله علي سعيد الصريدي</t>
  </si>
  <si>
    <t>نقيب / عبدالله علي سليمان الزعابي</t>
  </si>
  <si>
    <t>نقيب / يوسف خليفه سعيد الكتبي</t>
  </si>
  <si>
    <t>نقيب بحري / سالم محمد جمعة الصريدي</t>
  </si>
  <si>
    <t xml:space="preserve">نقيب طبيب / حميد عبدالله خميس الكندي </t>
  </si>
  <si>
    <t xml:space="preserve">نقيب طيار / ناصر ظافر دشن الاحبابي </t>
  </si>
  <si>
    <t xml:space="preserve">ملازم 1 / مطر احمد الكلباني </t>
  </si>
  <si>
    <t>ملازم 1 / حمد هلال خليفة الكتبي</t>
  </si>
  <si>
    <t>ملازم / مايد عبدالله الزيودي</t>
  </si>
  <si>
    <t>وكيل/1 - خالد عبدالله التميمي</t>
  </si>
  <si>
    <t>وكيل/1 - سعيد راشد عبيد السدراني</t>
  </si>
  <si>
    <t xml:space="preserve">وكيل/1 - سمير إبراهيم المازمي </t>
  </si>
  <si>
    <t>وكيل/1 - فايز سعيد صالح العامري</t>
  </si>
  <si>
    <t xml:space="preserve">وكيل/1 - فهد سبت النعيمي </t>
  </si>
  <si>
    <t xml:space="preserve">وكيل/1 - مرزوق سالم مرزوق الزحمي </t>
  </si>
  <si>
    <t>وكيل/1 - سيف سعيد سالم اليماحي</t>
  </si>
  <si>
    <t xml:space="preserve">وكيل/1 - فيصل علي الاميري </t>
  </si>
  <si>
    <t>وكيل/1 - داوود درويش محمد الشحي</t>
  </si>
  <si>
    <t>وكيل/1 - محمد عبدالله سالم الزيدي</t>
  </si>
  <si>
    <t xml:space="preserve">وكيل/1 - حمد حسن علي القايدي </t>
  </si>
  <si>
    <t xml:space="preserve">وكيل/1 - خالد محمد الشحي </t>
  </si>
  <si>
    <t xml:space="preserve">وكيل/1 - عبدالله سعيد الكلباني </t>
  </si>
  <si>
    <t>وكيل/1 - علي مسلم الكتبي</t>
  </si>
  <si>
    <t xml:space="preserve">وكيل/1 - عمر أحمد مختار </t>
  </si>
  <si>
    <t xml:space="preserve">وكيل/ احمد سالمين سالم الشنيني </t>
  </si>
  <si>
    <t xml:space="preserve">وكيل/ أحمد سعيد حمد الشامسي </t>
  </si>
  <si>
    <t>وكيل/ علي عبدالله الصريدي</t>
  </si>
  <si>
    <t>وكيل/ محمد عمر سالم الخنبشي</t>
  </si>
  <si>
    <t xml:space="preserve">وكيل/ وليد مرزوق مسعود العلوي </t>
  </si>
  <si>
    <t xml:space="preserve">وكيل/ علي محمد عبدالله النقبي </t>
  </si>
  <si>
    <t>وكيل/ فهد علي سليمان الشحي</t>
  </si>
  <si>
    <t>وكيل/ محمد حميد عبيد الزعابي</t>
  </si>
  <si>
    <t xml:space="preserve">وكيل/ محمد علي الحمادي </t>
  </si>
  <si>
    <t>رقيب/1 - حامد سعيد شماريخ</t>
  </si>
  <si>
    <t xml:space="preserve">رقيب/1 - علي حميد علي الكندي </t>
  </si>
  <si>
    <t>رقيب/1 - فايز عيسى عبدالله البلوشي</t>
  </si>
  <si>
    <t xml:space="preserve">رقيب/1 - محمد جمعة محمد المنصوري </t>
  </si>
  <si>
    <t>رقيب/1 - محمد يوسف احمد ال علي</t>
  </si>
  <si>
    <t xml:space="preserve">رقيب / حسن علي سلطان ال علي </t>
  </si>
  <si>
    <t xml:space="preserve">رقيب / عوض محمد الكثيري </t>
  </si>
  <si>
    <r>
      <t>ملاحظـــات:</t>
    </r>
    <r>
      <rPr>
        <sz val="12"/>
        <color rgb="FF000000"/>
        <rFont val="Arial"/>
        <family val="2"/>
      </rPr>
      <t xml:space="preserve"> 
1. تقييم مستوى الوحدة من خلال مراقبة الآداء أو طرح الأسئلة.
2. يعتبر هذا النموذج (سري للغاية) بعد إدخال علامات التقييم.
3. نموذج التقييم قابل للتطوير والتعديل.</t>
    </r>
  </si>
  <si>
    <t>مقدم ركن / عبدالرحمن محمد الطنيجي</t>
  </si>
  <si>
    <t xml:space="preserve">رائد / راشد ضاوي  راشد الطنيجي </t>
  </si>
  <si>
    <t>نقيب / حميد سعيد مسير الظاهري</t>
  </si>
  <si>
    <t>نقيب / يوسف محمد الفلاسي</t>
  </si>
  <si>
    <t>نقيب / سعيد راشد الظنحاني</t>
  </si>
  <si>
    <t xml:space="preserve">الوحــــــــــــــــــدة: </t>
  </si>
  <si>
    <t xml:space="preserve">اسم ضابط الصف: </t>
  </si>
  <si>
    <r>
      <rPr>
        <b/>
        <sz val="14"/>
        <color rgb="FF000000"/>
        <rFont val="Arial"/>
        <family val="2"/>
      </rPr>
      <t>تقييم وكيل السرية في احتلال منطقة التجمع</t>
    </r>
    <r>
      <rPr>
        <b/>
        <u/>
        <sz val="14"/>
        <color rgb="FF000000"/>
        <rFont val="Arial"/>
        <family val="2"/>
      </rPr>
      <t xml:space="preserve">
تمرين جاهزية مجموعة لواء الإمارات/1 (جندي الصحراء 2025/20)</t>
    </r>
  </si>
  <si>
    <r>
      <t>1.</t>
    </r>
    <r>
      <rPr>
        <sz val="7"/>
        <color theme="1"/>
        <rFont val="Times New Roman"/>
        <family val="1"/>
      </rPr>
      <t xml:space="preserve">        </t>
    </r>
    <r>
      <rPr>
        <sz val="12"/>
        <color theme="1"/>
        <rFont val="Arial"/>
        <family val="2"/>
      </rPr>
      <t>تطبيق إجراءات المعركة الثمانية وتشمل:</t>
    </r>
  </si>
  <si>
    <t>أ. استلام المهمة في أمر عمليات.</t>
  </si>
  <si>
    <r>
      <t xml:space="preserve">ب. </t>
    </r>
    <r>
      <rPr>
        <u/>
        <sz val="12"/>
        <color theme="1"/>
        <rFont val="Arial"/>
        <family val="2"/>
      </rPr>
      <t>إصدار الأمر الإنذاري للقادة المرؤوسين</t>
    </r>
    <r>
      <rPr>
        <sz val="12"/>
        <color theme="1"/>
        <rFont val="Arial"/>
        <family val="2"/>
      </rPr>
      <t>. يشمل الموقع والمعدات الخاصة المطلوبة وأبكر وقت للحركة.</t>
    </r>
  </si>
  <si>
    <r>
      <t>جـ. إ</t>
    </r>
    <r>
      <rPr>
        <u/>
        <sz val="12"/>
        <color theme="1"/>
        <rFont val="Arial"/>
        <family val="2"/>
      </rPr>
      <t>عداد خطة أولية</t>
    </r>
    <r>
      <rPr>
        <sz val="12"/>
        <color theme="1"/>
        <rFont val="Arial"/>
        <family val="2"/>
      </rPr>
      <t>. إعداد خطة أولية للحركة إلى الموقع وإعداده وتجهيزه بناءً على تقدير الموقف، وتحليل المهمة، والعدو، والأرض والطقس، والقوات المتوفرة، والإسناد المتوفر، والوقت المتوفر، والاعتبارات المدنية. يجب أن تساند الخطة خطة السرية لاحتلال منطقة التجمع</t>
    </r>
  </si>
  <si>
    <r>
      <t xml:space="preserve">د. </t>
    </r>
    <r>
      <rPr>
        <u/>
        <sz val="12"/>
        <color theme="1"/>
        <rFont val="Arial"/>
        <family val="2"/>
      </rPr>
      <t>بدء الحركة الضرورية</t>
    </r>
    <r>
      <rPr>
        <sz val="12"/>
        <color theme="1"/>
        <rFont val="Arial"/>
        <family val="2"/>
      </rPr>
      <t>. قد نضطر للحركة قبل إتمام التخطيط؛ فالحركة يمكن أن تبدأ في أي وقت أثناء إجراءات المعركة.</t>
    </r>
  </si>
  <si>
    <r>
      <t xml:space="preserve">هـ. </t>
    </r>
    <r>
      <rPr>
        <u/>
        <sz val="12"/>
        <color theme="1"/>
        <rFont val="Arial"/>
        <family val="2"/>
      </rPr>
      <t>استطلاع الموقع والطريق أو الطرق المؤدية إليه</t>
    </r>
    <r>
      <rPr>
        <sz val="12"/>
        <color theme="1"/>
        <rFont val="Arial"/>
        <family val="2"/>
      </rPr>
      <t>. قد لا يسمح الموقف بهذا، ولكن على الأقل يجب الاستطلاع على الخارطة لتأكيد الافتراضات التي وُضِعت أثناء تقدير الموقف أو نفيها.</t>
    </r>
  </si>
  <si>
    <t>و. إتمام الخطة.</t>
  </si>
  <si>
    <r>
      <t xml:space="preserve">ز. </t>
    </r>
    <r>
      <rPr>
        <u/>
        <sz val="12"/>
        <color theme="1"/>
        <rFont val="Arial"/>
        <family val="2"/>
      </rPr>
      <t>إصدار الأمر إلى القادة المرؤوسين</t>
    </r>
    <r>
      <rPr>
        <sz val="12"/>
        <color theme="1"/>
        <rFont val="Arial"/>
        <family val="2"/>
      </rPr>
      <t>. يُستخدَم نموذج أمر العمليات القياسي.</t>
    </r>
  </si>
  <si>
    <t>ح. الإشراف والمراقبة.</t>
  </si>
  <si>
    <r>
      <t>2.</t>
    </r>
    <r>
      <rPr>
        <sz val="7"/>
        <color theme="1"/>
        <rFont val="Times New Roman"/>
        <family val="1"/>
      </rPr>
      <t xml:space="preserve">        </t>
    </r>
    <r>
      <rPr>
        <b/>
        <u/>
        <sz val="12"/>
        <color theme="1"/>
        <rFont val="Arial"/>
        <family val="2"/>
      </rPr>
      <t>التنسيق مع الوحدات المجاورة</t>
    </r>
    <r>
      <rPr>
        <sz val="12"/>
        <color theme="1"/>
        <rFont val="Arial"/>
        <family val="2"/>
      </rPr>
      <t>. يتم التنسيق مع العناصر التي ستُلحق بنا أو ستجاور موقعنا في منطقة التجمع بناءً على الحاجة.</t>
    </r>
  </si>
  <si>
    <r>
      <t>3.</t>
    </r>
    <r>
      <rPr>
        <sz val="7"/>
        <color theme="1"/>
        <rFont val="Times New Roman"/>
        <family val="1"/>
      </rPr>
      <t xml:space="preserve">        </t>
    </r>
    <r>
      <rPr>
        <b/>
        <u/>
        <sz val="12"/>
        <color theme="1"/>
        <rFont val="Arial"/>
        <family val="2"/>
      </rPr>
      <t>تنظيم جماعة المقدمة</t>
    </r>
    <r>
      <rPr>
        <sz val="12"/>
        <color theme="1"/>
        <rFont val="Arial"/>
        <family val="2"/>
      </rPr>
      <t>. ممثلين عن الوحدات المرؤوسة يسند غليهم تنفيذ الواجبات التالية:</t>
    </r>
  </si>
  <si>
    <t>أ. استطلاع منطقة التجمع للتأكد من أنها خالية من العدو.</t>
  </si>
  <si>
    <t>ب. الأمن الأولي.</t>
  </si>
  <si>
    <t>جـ. انتخاب المواقع الأولية.</t>
  </si>
  <si>
    <t>د. التعرف على الموانع أو التخلص منها أو تأشيرها في القاطع المخصص في منطقة التجمع.</t>
  </si>
  <si>
    <r>
      <t>4.</t>
    </r>
    <r>
      <rPr>
        <sz val="7"/>
        <color theme="1"/>
        <rFont val="Times New Roman"/>
        <family val="1"/>
      </rPr>
      <t xml:space="preserve">        </t>
    </r>
    <r>
      <rPr>
        <sz val="12"/>
        <color theme="1"/>
        <rFont val="Arial"/>
        <family val="2"/>
      </rPr>
      <t>توجيه حركة الوحدة إلى منطقة بدء الحركة واستخدام أساليب الحركة المناسبة حسب الموقف والأرض.</t>
    </r>
  </si>
  <si>
    <r>
      <t>5.</t>
    </r>
    <r>
      <rPr>
        <sz val="7"/>
        <color theme="1"/>
        <rFont val="Times New Roman"/>
        <family val="1"/>
      </rPr>
      <t xml:space="preserve">        </t>
    </r>
    <r>
      <rPr>
        <sz val="12"/>
        <color theme="1"/>
        <rFont val="Arial"/>
        <family val="2"/>
      </rPr>
      <t>إعداد القاطع بناءً على الخطة وكما يلي:</t>
    </r>
  </si>
  <si>
    <t>أ. الالتقاء مع أدلاء المقدمة والتحرك إلى المواقع المخصصة.</t>
  </si>
  <si>
    <t>ب. تأسيس الأمن المحلي وإدامته.</t>
  </si>
  <si>
    <t>جـ. تعيين قواطع الوحدات المرؤوسة والتأكد من أن القواطع بينها إسناد متبادل وأن جميع الفجوات مغطاة بالنيران والمراقبة.</t>
  </si>
  <si>
    <t>د. تحديد مواقع نقاط المراقبة والعناصر المسؤولة عن العمل فيها وإدامتهاِ.</t>
  </si>
  <si>
    <t>هـ. التأكد من وجود اتصالات بين القيادة والمرؤوسين.</t>
  </si>
  <si>
    <t>و. إرسال التقارير في الوقت المناسب.</t>
  </si>
  <si>
    <t>ز. وضع أولويات العمل وفرضها.</t>
  </si>
  <si>
    <t>ح. توضيع الآليات وأسلحة الطواقم وأجهزة إنذار العوامل الكيميائية، وتحديد اتجاه النار الرئيسي وخط الحماية النهائي ونيران الحماية النهائية.</t>
  </si>
  <si>
    <t>ط. إعداد الاتصالات السلكية.</t>
  </si>
  <si>
    <t>ي. إعداد بطاقات المدى.</t>
  </si>
  <si>
    <t>ك. توزيع الذخيرة والأرزاق والماء والإمدادات والمعدات الخاصة.</t>
  </si>
  <si>
    <t>وكيل/ عيسى راشد ثاني الشميلي</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</si>
</sst>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0C0000]d\ mmmm\ yyyy;@"/>
  </numFmts>
  <fonts count="17" x14ac:knownFonts="1">
    <font>
      <sz val="11"/>
      <color theme="1"/>
      <name val="Calibri"/>
      <family val="2"/>
      <scheme val="minor"/>
    </font>
    <font>
      <b/>
      <u/>
      <sz val="12"/>
      <color rgb="FF000000"/>
      <name val="Arial"/>
      <family val="2"/>
    </font>
    <font>
      <b/>
      <sz val="12"/>
      <color rgb="FF000000"/>
      <name val="Arial"/>
      <family val="2"/>
    </font>
    <font>
      <b/>
      <sz val="12"/>
      <color theme="1"/>
      <name val="Arial"/>
      <family val="2"/>
    </font>
    <font>
      <sz val="14"/>
      <color rgb="FF000000"/>
      <name val="Calibri"/>
      <family val="2"/>
      <scheme val="minor"/>
    </font>
    <font>
      <b/>
      <u/>
      <sz val="14"/>
      <color rgb="FF000000"/>
      <name val="Arial"/>
      <family val="2"/>
    </font>
    <font>
      <b/>
      <sz val="14"/>
      <color rgb="FF000000"/>
      <name val="Arial"/>
      <family val="2"/>
    </font>
    <font>
      <b/>
      <sz val="14"/>
      <color theme="1"/>
      <name val="Arial"/>
      <family val="2"/>
    </font>
    <font>
      <sz val="16"/>
      <color theme="1"/>
      <name val="Arial"/>
      <family val="2"/>
    </font>
    <font>
      <b/>
      <sz val="12"/>
      <color theme="1"/>
      <name val="Calibri"/>
      <family val="2"/>
      <scheme val="minor"/>
    </font>
    <font>
      <b/>
      <sz val="12"/>
      <name val="Arial"/>
      <family val="2"/>
    </font>
    <font>
      <b/>
      <sz val="12"/>
      <name val="Calibri"/>
      <family val="2"/>
      <scheme val="minor"/>
    </font>
    <font>
      <sz val="12"/>
      <color rgb="FF000000"/>
      <name val="Arial"/>
      <family val="2"/>
    </font>
    <font>
      <sz val="12"/>
      <color theme="1"/>
      <name val="Arial"/>
      <family val="2"/>
    </font>
    <font>
      <sz val="7"/>
      <color theme="1"/>
      <name val="Times New Roman"/>
      <family val="1"/>
    </font>
    <font>
      <u/>
      <sz val="12"/>
      <color theme="1"/>
      <name val="Arial"/>
      <family val="2"/>
    </font>
    <font>
      <b/>
      <u/>
      <sz val="12"/>
      <color theme="1"/>
      <name val="Arial"/>
      <family val="2"/>
    </font>
  </fonts>
  <fills count="5">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5" tint="0.59999389629810485"/>
        <bgColor indexed="64"/>
      </patternFill>
    </fill>
  </fills>
  <borders count="22">
    <border>
      <left/>
      <right/>
      <top/>
      <bottom/>
      <diagonal/>
    </border>
    <border>
      <left/>
      <right/>
      <top style="medium">
        <color indexed="64"/>
      </top>
      <bottom/>
      <diagonal/>
    </border>
    <border>
      <left style="medium">
        <color rgb="FF000000"/>
      </left>
      <right style="medium">
        <color rgb="FF000000"/>
      </right>
      <top style="medium">
        <color rgb="FF000000"/>
      </top>
      <bottom style="medium">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thin">
        <color indexed="64"/>
      </top>
      <bottom style="thin">
        <color indexed="64"/>
      </bottom>
      <diagonal/>
    </border>
  </borders>
  <cellStyleXfs count="1">
    <xf numFmtId="0" fontId="0" fillId="0" borderId="0"/>
  </cellStyleXfs>
  <cellXfs count="88">
    <xf numFmtId="0" fontId="0" fillId="0" borderId="0" xfId="0"/>
    <xf numFmtId="0" fontId="0" fillId="0" borderId="0" xfId="0" applyProtection="1">
      <protection locked="0"/>
    </xf>
    <xf numFmtId="0" fontId="4" fillId="0" borderId="2" xfId="0" applyFont="1" applyBorder="1" applyAlignment="1" applyProtection="1">
      <alignment horizontal="center" vertical="center" wrapText="1" readingOrder="2"/>
      <protection locked="0"/>
    </xf>
    <xf numFmtId="0" fontId="0" fillId="0" borderId="0" xfId="0" applyAlignment="1" applyProtection="1">
      <alignment horizontal="center"/>
      <protection locked="0"/>
    </xf>
    <xf numFmtId="0" fontId="2" fillId="2" borderId="0" xfId="0" applyFont="1" applyFill="1" applyBorder="1" applyAlignment="1" applyProtection="1">
      <alignment vertical="center" wrapText="1" readingOrder="2"/>
      <protection locked="0"/>
    </xf>
    <xf numFmtId="0" fontId="1" fillId="0" borderId="0" xfId="0" applyFont="1" applyBorder="1" applyAlignment="1" applyProtection="1">
      <alignment vertical="top" wrapText="1" readingOrder="2"/>
      <protection locked="0"/>
    </xf>
    <xf numFmtId="0" fontId="6" fillId="0" borderId="0" xfId="0" applyFont="1" applyAlignment="1" applyProtection="1">
      <alignment vertical="center" wrapText="1" readingOrder="2"/>
      <protection locked="0"/>
    </xf>
    <xf numFmtId="0" fontId="6" fillId="0" borderId="0" xfId="0" applyFont="1" applyAlignment="1" applyProtection="1">
      <alignment horizontal="right" vertical="center" wrapText="1" readingOrder="2"/>
      <protection locked="0"/>
    </xf>
    <xf numFmtId="0" fontId="6" fillId="0" borderId="0" xfId="0" applyFont="1" applyAlignment="1" applyProtection="1">
      <alignment horizontal="center" vertical="center" wrapText="1" readingOrder="2"/>
      <protection locked="0"/>
    </xf>
    <xf numFmtId="0" fontId="2" fillId="0" borderId="3" xfId="0" applyFont="1" applyBorder="1" applyAlignment="1">
      <alignment horizontal="center" vertical="center" wrapText="1" readingOrder="2"/>
    </xf>
    <xf numFmtId="0" fontId="2" fillId="0" borderId="9" xfId="0" applyFont="1" applyBorder="1" applyAlignment="1">
      <alignment horizontal="center" vertical="center" wrapText="1" readingOrder="2"/>
    </xf>
    <xf numFmtId="0" fontId="3" fillId="2" borderId="0" xfId="0" applyFont="1" applyFill="1" applyBorder="1" applyAlignment="1" applyProtection="1">
      <alignment vertical="center" wrapText="1" readingOrder="2"/>
      <protection locked="0"/>
    </xf>
    <xf numFmtId="0" fontId="6" fillId="4" borderId="12" xfId="0" applyFont="1" applyFill="1" applyBorder="1" applyAlignment="1" applyProtection="1">
      <alignment horizontal="center" vertical="center" wrapText="1" readingOrder="2"/>
      <protection locked="0"/>
    </xf>
    <xf numFmtId="0" fontId="6" fillId="4" borderId="3" xfId="0" applyFont="1" applyFill="1" applyBorder="1" applyAlignment="1" applyProtection="1">
      <alignment vertical="center" wrapText="1" readingOrder="2"/>
      <protection locked="0"/>
    </xf>
    <xf numFmtId="164" fontId="4" fillId="0" borderId="2" xfId="0" applyNumberFormat="1" applyFont="1" applyBorder="1" applyAlignment="1" applyProtection="1">
      <alignment horizontal="center" vertical="center" wrapText="1" readingOrder="2"/>
      <protection locked="0"/>
    </xf>
    <xf numFmtId="164" fontId="4" fillId="0" borderId="0" xfId="0" applyNumberFormat="1" applyFont="1" applyBorder="1" applyAlignment="1" applyProtection="1">
      <alignment horizontal="center" vertical="center" wrapText="1" readingOrder="2"/>
      <protection locked="0"/>
    </xf>
    <xf numFmtId="164" fontId="4" fillId="3" borderId="0" xfId="0" applyNumberFormat="1" applyFont="1" applyFill="1" applyBorder="1" applyAlignment="1" applyProtection="1">
      <alignment horizontal="center" vertical="center" wrapText="1" readingOrder="2"/>
      <protection locked="0"/>
    </xf>
    <xf numFmtId="0" fontId="0" fillId="3" borderId="0" xfId="0" applyFill="1" applyProtection="1">
      <protection locked="0"/>
    </xf>
    <xf numFmtId="0" fontId="0" fillId="3" borderId="0" xfId="0" applyFill="1"/>
    <xf numFmtId="0" fontId="4" fillId="0" borderId="0" xfId="0" applyFont="1" applyBorder="1" applyAlignment="1" applyProtection="1">
      <alignment horizontal="center" vertical="center" wrapText="1" readingOrder="2"/>
      <protection locked="0"/>
    </xf>
    <xf numFmtId="0" fontId="8" fillId="0" borderId="3" xfId="0" applyFont="1" applyBorder="1" applyAlignment="1">
      <alignment horizontal="center" vertical="center"/>
    </xf>
    <xf numFmtId="0" fontId="9" fillId="0" borderId="3" xfId="0" applyFont="1" applyBorder="1" applyAlignment="1">
      <alignment horizontal="center" vertical="center"/>
    </xf>
    <xf numFmtId="0" fontId="9" fillId="0" borderId="17" xfId="0" applyFont="1" applyBorder="1" applyAlignment="1">
      <alignment horizontal="center" vertical="center"/>
    </xf>
    <xf numFmtId="0" fontId="10" fillId="0" borderId="3" xfId="0" applyFont="1" applyFill="1" applyBorder="1" applyAlignment="1">
      <alignment horizontal="center" vertical="center"/>
    </xf>
    <xf numFmtId="0" fontId="3" fillId="0" borderId="3" xfId="0" applyFont="1" applyFill="1" applyBorder="1" applyAlignment="1">
      <alignment horizontal="center" vertical="center"/>
    </xf>
    <xf numFmtId="0" fontId="11" fillId="0" borderId="3" xfId="0" applyFont="1" applyBorder="1" applyAlignment="1">
      <alignment horizontal="center" vertical="center"/>
    </xf>
    <xf numFmtId="0" fontId="3" fillId="0" borderId="3" xfId="0" applyFont="1" applyBorder="1" applyAlignment="1">
      <alignment horizontal="center" vertical="center"/>
    </xf>
    <xf numFmtId="0" fontId="3" fillId="0" borderId="3" xfId="0" applyFont="1" applyBorder="1" applyAlignment="1" applyProtection="1">
      <alignment horizontal="center" vertical="center" wrapText="1" readingOrder="2"/>
      <protection locked="0"/>
    </xf>
    <xf numFmtId="0" fontId="2" fillId="0" borderId="9" xfId="0" applyFont="1" applyBorder="1" applyAlignment="1">
      <alignment horizontal="center" vertical="center" wrapText="1" readingOrder="1"/>
    </xf>
    <xf numFmtId="0" fontId="3" fillId="0" borderId="12" xfId="0" applyFont="1" applyBorder="1" applyAlignment="1" applyProtection="1">
      <alignment horizontal="center" vertical="center" wrapText="1" readingOrder="2"/>
      <protection locked="0"/>
    </xf>
    <xf numFmtId="0" fontId="6" fillId="4" borderId="19" xfId="0" applyFont="1" applyFill="1" applyBorder="1" applyAlignment="1" applyProtection="1">
      <alignment horizontal="center" vertical="center" wrapText="1" readingOrder="2"/>
      <protection locked="0"/>
    </xf>
    <xf numFmtId="9" fontId="3" fillId="0" borderId="3" xfId="0" applyNumberFormat="1" applyFont="1" applyBorder="1" applyAlignment="1">
      <alignment horizontal="center" vertical="center" wrapText="1" readingOrder="2"/>
    </xf>
    <xf numFmtId="0" fontId="2" fillId="0" borderId="3" xfId="0" applyFont="1" applyBorder="1" applyAlignment="1">
      <alignment horizontal="center" vertical="center" wrapText="1" readingOrder="1"/>
    </xf>
    <xf numFmtId="0" fontId="2" fillId="0" borderId="4" xfId="0" applyFont="1" applyBorder="1" applyAlignment="1">
      <alignment horizontal="center" vertical="center" wrapText="1" readingOrder="2"/>
    </xf>
    <xf numFmtId="0" fontId="3" fillId="0" borderId="4" xfId="0" applyFont="1" applyBorder="1" applyAlignment="1" applyProtection="1">
      <alignment horizontal="center" vertical="center" wrapText="1" readingOrder="2"/>
      <protection locked="0"/>
    </xf>
    <xf numFmtId="9" fontId="3" fillId="0" borderId="4" xfId="0" applyNumberFormat="1" applyFont="1" applyBorder="1" applyAlignment="1">
      <alignment horizontal="center" vertical="center" wrapText="1" readingOrder="2"/>
    </xf>
    <xf numFmtId="0" fontId="2" fillId="0" borderId="4" xfId="0" applyFont="1" applyBorder="1" applyAlignment="1">
      <alignment horizontal="center" vertical="center" wrapText="1" readingOrder="1"/>
    </xf>
    <xf numFmtId="0" fontId="2" fillId="0" borderId="12" xfId="0" applyFont="1" applyBorder="1" applyAlignment="1">
      <alignment horizontal="center" vertical="center" wrapText="1" readingOrder="2"/>
    </xf>
    <xf numFmtId="9" fontId="3" fillId="0" borderId="12" xfId="0" applyNumberFormat="1" applyFont="1" applyBorder="1" applyAlignment="1">
      <alignment horizontal="center" vertical="center" wrapText="1" readingOrder="2"/>
    </xf>
    <xf numFmtId="0" fontId="2" fillId="0" borderId="12" xfId="0" applyFont="1" applyBorder="1" applyAlignment="1">
      <alignment horizontal="center" vertical="center" wrapText="1" readingOrder="1"/>
    </xf>
    <xf numFmtId="0" fontId="3" fillId="0" borderId="9" xfId="0" applyFont="1" applyBorder="1" applyAlignment="1" applyProtection="1">
      <alignment horizontal="center" vertical="center" wrapText="1" readingOrder="2"/>
      <protection locked="0"/>
    </xf>
    <xf numFmtId="9" fontId="3" fillId="0" borderId="9" xfId="0" applyNumberFormat="1" applyFont="1" applyBorder="1" applyAlignment="1">
      <alignment horizontal="center" vertical="center" wrapText="1" readingOrder="2"/>
    </xf>
    <xf numFmtId="0" fontId="6" fillId="0" borderId="1" xfId="0" applyFont="1" applyBorder="1" applyAlignment="1" applyProtection="1">
      <alignment horizontal="left" vertical="center" wrapText="1" readingOrder="2"/>
      <protection locked="0"/>
    </xf>
    <xf numFmtId="0" fontId="6" fillId="0" borderId="0" xfId="0" applyFont="1" applyAlignment="1" applyProtection="1">
      <alignment horizontal="left" vertical="center" wrapText="1" readingOrder="2"/>
      <protection locked="0"/>
    </xf>
    <xf numFmtId="0" fontId="2" fillId="0" borderId="14" xfId="0" applyFont="1" applyBorder="1" applyAlignment="1">
      <alignment horizontal="center" vertical="center" wrapText="1" readingOrder="2"/>
    </xf>
    <xf numFmtId="0" fontId="2" fillId="0" borderId="15" xfId="0" applyFont="1" applyBorder="1" applyAlignment="1">
      <alignment horizontal="center" vertical="center" wrapText="1" readingOrder="2"/>
    </xf>
    <xf numFmtId="0" fontId="2" fillId="0" borderId="16" xfId="0" applyFont="1" applyBorder="1" applyAlignment="1">
      <alignment horizontal="center" vertical="center" wrapText="1" readingOrder="2"/>
    </xf>
    <xf numFmtId="0" fontId="3" fillId="0" borderId="3" xfId="0" applyFont="1" applyBorder="1" applyAlignment="1" applyProtection="1">
      <alignment horizontal="center" vertical="center" wrapText="1" readingOrder="2"/>
      <protection locked="0"/>
    </xf>
    <xf numFmtId="0" fontId="3" fillId="0" borderId="7" xfId="0" applyFont="1" applyBorder="1" applyAlignment="1" applyProtection="1">
      <alignment horizontal="center" vertical="center" wrapText="1" readingOrder="2"/>
      <protection locked="0"/>
    </xf>
    <xf numFmtId="0" fontId="6" fillId="4" borderId="19" xfId="0" applyFont="1" applyFill="1" applyBorder="1" applyAlignment="1" applyProtection="1">
      <alignment horizontal="center" vertical="center" wrapText="1" readingOrder="2"/>
      <protection locked="0"/>
    </xf>
    <xf numFmtId="0" fontId="6" fillId="4" borderId="20" xfId="0" applyFont="1" applyFill="1" applyBorder="1" applyAlignment="1" applyProtection="1">
      <alignment horizontal="center" vertical="center" wrapText="1" readingOrder="2"/>
      <protection locked="0"/>
    </xf>
    <xf numFmtId="0" fontId="3" fillId="0" borderId="12" xfId="0" applyFont="1" applyBorder="1" applyAlignment="1" applyProtection="1">
      <alignment horizontal="center" vertical="center" wrapText="1" readingOrder="2"/>
      <protection locked="0"/>
    </xf>
    <xf numFmtId="0" fontId="3" fillId="0" borderId="13" xfId="0" applyFont="1" applyBorder="1" applyAlignment="1" applyProtection="1">
      <alignment horizontal="center" vertical="center" wrapText="1" readingOrder="2"/>
      <protection locked="0"/>
    </xf>
    <xf numFmtId="0" fontId="3" fillId="0" borderId="4" xfId="0" applyFont="1" applyBorder="1" applyAlignment="1" applyProtection="1">
      <alignment horizontal="center" vertical="center" wrapText="1" readingOrder="2"/>
      <protection locked="0"/>
    </xf>
    <xf numFmtId="0" fontId="3" fillId="0" borderId="6" xfId="0" applyFont="1" applyBorder="1" applyAlignment="1" applyProtection="1">
      <alignment horizontal="center" vertical="center" wrapText="1" readingOrder="2"/>
      <protection locked="0"/>
    </xf>
    <xf numFmtId="0" fontId="1" fillId="0" borderId="1" xfId="0" applyFont="1" applyBorder="1" applyAlignment="1" applyProtection="1">
      <alignment vertical="top" wrapText="1" readingOrder="2"/>
      <protection locked="0"/>
    </xf>
    <xf numFmtId="0" fontId="1" fillId="0" borderId="0" xfId="0" applyFont="1" applyBorder="1" applyAlignment="1" applyProtection="1">
      <alignment vertical="top" wrapText="1" readingOrder="2"/>
      <protection locked="0"/>
    </xf>
    <xf numFmtId="0" fontId="6" fillId="0" borderId="0" xfId="0" applyFont="1" applyBorder="1" applyAlignment="1" applyProtection="1">
      <alignment horizontal="right" vertical="center" wrapText="1" readingOrder="2"/>
      <protection locked="0"/>
    </xf>
    <xf numFmtId="0" fontId="6" fillId="0" borderId="0" xfId="0" applyFont="1" applyAlignment="1" applyProtection="1">
      <alignment horizontal="center" vertical="center" wrapText="1" readingOrder="2"/>
      <protection locked="0"/>
    </xf>
    <xf numFmtId="0" fontId="2" fillId="0" borderId="9" xfId="0" applyFont="1" applyBorder="1" applyAlignment="1">
      <alignment horizontal="center" vertical="center" wrapText="1" readingOrder="1"/>
    </xf>
    <xf numFmtId="0" fontId="2" fillId="0" borderId="10" xfId="0" applyFont="1" applyBorder="1" applyAlignment="1">
      <alignment horizontal="center" vertical="center" wrapText="1" readingOrder="1"/>
    </xf>
    <xf numFmtId="49" fontId="5" fillId="0" borderId="0" xfId="0" applyNumberFormat="1" applyFont="1" applyAlignment="1" applyProtection="1">
      <alignment horizontal="center" vertical="top" wrapText="1" readingOrder="2"/>
      <protection locked="0"/>
    </xf>
    <xf numFmtId="164" fontId="6" fillId="0" borderId="3" xfId="0" applyNumberFormat="1" applyFont="1" applyBorder="1" applyAlignment="1" applyProtection="1">
      <alignment horizontal="right" vertical="center" wrapText="1" readingOrder="2"/>
      <protection locked="0"/>
    </xf>
    <xf numFmtId="0" fontId="7" fillId="4" borderId="5" xfId="0" applyFont="1" applyFill="1" applyBorder="1" applyAlignment="1" applyProtection="1">
      <alignment horizontal="center" vertical="center" wrapText="1" readingOrder="2"/>
      <protection locked="0"/>
    </xf>
    <xf numFmtId="0" fontId="7" fillId="4" borderId="4" xfId="0" applyFont="1" applyFill="1" applyBorder="1" applyAlignment="1" applyProtection="1">
      <alignment horizontal="center" vertical="center" wrapText="1" readingOrder="2"/>
      <protection locked="0"/>
    </xf>
    <xf numFmtId="0" fontId="7" fillId="4" borderId="11" xfId="0" applyFont="1" applyFill="1" applyBorder="1" applyAlignment="1" applyProtection="1">
      <alignment horizontal="center" vertical="center" wrapText="1" readingOrder="2"/>
      <protection locked="0"/>
    </xf>
    <xf numFmtId="0" fontId="7" fillId="4" borderId="12" xfId="0" applyFont="1" applyFill="1" applyBorder="1" applyAlignment="1" applyProtection="1">
      <alignment horizontal="center" vertical="center" wrapText="1" readingOrder="2"/>
      <protection locked="0"/>
    </xf>
    <xf numFmtId="0" fontId="6" fillId="0" borderId="3" xfId="0" applyFont="1" applyBorder="1" applyAlignment="1" applyProtection="1">
      <alignment horizontal="right" vertical="center" wrapText="1" readingOrder="2"/>
      <protection locked="0"/>
    </xf>
    <xf numFmtId="10" fontId="2" fillId="0" borderId="9" xfId="0" applyNumberFormat="1" applyFont="1" applyBorder="1" applyAlignment="1">
      <alignment horizontal="center" vertical="center" wrapText="1" readingOrder="2"/>
    </xf>
    <xf numFmtId="10" fontId="2" fillId="0" borderId="10" xfId="0" applyNumberFormat="1" applyFont="1" applyBorder="1" applyAlignment="1">
      <alignment horizontal="center" vertical="center" wrapText="1" readingOrder="2"/>
    </xf>
    <xf numFmtId="0" fontId="7" fillId="4" borderId="18" xfId="0" applyFont="1" applyFill="1" applyBorder="1" applyAlignment="1" applyProtection="1">
      <alignment horizontal="center" vertical="center" wrapText="1" readingOrder="2"/>
      <protection locked="0"/>
    </xf>
    <xf numFmtId="0" fontId="7" fillId="4" borderId="19" xfId="0" applyFont="1" applyFill="1" applyBorder="1" applyAlignment="1" applyProtection="1">
      <alignment horizontal="center" vertical="center" wrapText="1" readingOrder="2"/>
      <protection locked="0"/>
    </xf>
    <xf numFmtId="0" fontId="6" fillId="4" borderId="4" xfId="0" applyFont="1" applyFill="1" applyBorder="1" applyAlignment="1" applyProtection="1">
      <alignment horizontal="center" vertical="center" wrapText="1" readingOrder="2"/>
      <protection locked="0"/>
    </xf>
    <xf numFmtId="0" fontId="6" fillId="4" borderId="6" xfId="0" applyFont="1" applyFill="1" applyBorder="1" applyAlignment="1" applyProtection="1">
      <alignment horizontal="center" vertical="center" wrapText="1" readingOrder="2"/>
      <protection locked="0"/>
    </xf>
    <xf numFmtId="0" fontId="6" fillId="4" borderId="12" xfId="0" applyFont="1" applyFill="1" applyBorder="1" applyAlignment="1" applyProtection="1">
      <alignment horizontal="center" vertical="center" wrapText="1" readingOrder="2"/>
      <protection locked="0"/>
    </xf>
    <xf numFmtId="0" fontId="6" fillId="4" borderId="13" xfId="0" applyFont="1" applyFill="1" applyBorder="1" applyAlignment="1" applyProtection="1">
      <alignment horizontal="center" vertical="center" wrapText="1" readingOrder="2"/>
      <protection locked="0"/>
    </xf>
    <xf numFmtId="0" fontId="6" fillId="4" borderId="8" xfId="0" applyFont="1" applyFill="1" applyBorder="1" applyAlignment="1" applyProtection="1">
      <alignment horizontal="center" vertical="center" wrapText="1" readingOrder="2"/>
      <protection locked="0"/>
    </xf>
    <xf numFmtId="0" fontId="6" fillId="4" borderId="9" xfId="0" applyFont="1" applyFill="1" applyBorder="1" applyAlignment="1" applyProtection="1">
      <alignment horizontal="center" vertical="center" wrapText="1" readingOrder="2"/>
      <protection locked="0"/>
    </xf>
    <xf numFmtId="0" fontId="3" fillId="0" borderId="9" xfId="0" applyFont="1" applyBorder="1" applyAlignment="1" applyProtection="1">
      <alignment horizontal="center" vertical="center" wrapText="1" readingOrder="2"/>
      <protection locked="0"/>
    </xf>
    <xf numFmtId="0" fontId="3" fillId="0" borderId="10" xfId="0" applyFont="1" applyBorder="1" applyAlignment="1" applyProtection="1">
      <alignment horizontal="center" vertical="center" wrapText="1" readingOrder="2"/>
      <protection locked="0"/>
    </xf>
    <xf numFmtId="0" fontId="13" fillId="0" borderId="11" xfId="0" applyFont="1" applyBorder="1" applyAlignment="1">
      <alignment horizontal="right" vertical="center" wrapText="1" indent="2" readingOrder="2"/>
    </xf>
    <xf numFmtId="0" fontId="13" fillId="0" borderId="12" xfId="0" applyFont="1" applyBorder="1" applyAlignment="1">
      <alignment horizontal="right" vertical="center" wrapText="1" indent="2" readingOrder="2"/>
    </xf>
    <xf numFmtId="0" fontId="13" fillId="0" borderId="8" xfId="0" applyFont="1" applyBorder="1" applyAlignment="1">
      <alignment horizontal="right" vertical="center" wrapText="1" readingOrder="2"/>
    </xf>
    <xf numFmtId="0" fontId="13" fillId="0" borderId="9" xfId="0" applyFont="1" applyBorder="1" applyAlignment="1">
      <alignment horizontal="right" vertical="center" wrapText="1" readingOrder="2"/>
    </xf>
    <xf numFmtId="0" fontId="13" fillId="0" borderId="5" xfId="0" applyFont="1" applyBorder="1" applyAlignment="1">
      <alignment horizontal="right" vertical="center" wrapText="1" readingOrder="2"/>
    </xf>
    <xf numFmtId="0" fontId="13" fillId="0" borderId="4" xfId="0" applyFont="1" applyBorder="1" applyAlignment="1">
      <alignment horizontal="right" vertical="center" wrapText="1" readingOrder="2"/>
    </xf>
    <xf numFmtId="0" fontId="13" fillId="0" borderId="21" xfId="0" applyFont="1" applyBorder="1" applyAlignment="1">
      <alignment horizontal="right" vertical="center" wrapText="1" indent="2" readingOrder="2"/>
    </xf>
    <xf numFmtId="0" fontId="13" fillId="0" borderId="3" xfId="0" applyFont="1" applyBorder="1" applyAlignment="1">
      <alignment horizontal="right" vertical="center" wrapText="1" indent="2" readingOrder="2"/>
    </xf>
  </cellXfs>
  <cellStyles count="1">
    <cellStyle name="Normal" xfId="0" builtinId="0"/>
  </cellStyles>
  <dxfs count="17">
    <dxf>
      <font>
        <color theme="0"/>
      </font>
      <fill>
        <patternFill>
          <bgColor rgb="FFFF0000"/>
        </patternFill>
      </fill>
    </dxf>
    <dxf>
      <fill>
        <patternFill>
          <bgColor theme="5" tint="0.39994506668294322"/>
        </patternFill>
      </fill>
    </dxf>
    <dxf>
      <fill>
        <patternFill>
          <bgColor rgb="FFFFFF00"/>
        </patternFill>
      </fill>
    </dxf>
    <dxf>
      <fill>
        <patternFill>
          <bgColor rgb="FF00CC00"/>
        </patternFill>
      </fill>
    </dxf>
    <dxf>
      <font>
        <color theme="1"/>
      </font>
      <fill>
        <patternFill>
          <bgColor rgb="FF00B0F0"/>
        </patternFill>
      </fill>
    </dxf>
    <dxf>
      <font>
        <color rgb="FFFF0000"/>
      </font>
    </dxf>
    <dxf>
      <font>
        <color rgb="FFFF0000"/>
      </font>
    </dxf>
    <dxf>
      <font>
        <color rgb="FFFF0000"/>
      </font>
    </dxf>
    <dxf>
      <font>
        <color rgb="FFFF0000"/>
      </font>
    </dxf>
    <dxf>
      <font>
        <color rgb="FFFF0000"/>
      </font>
    </dxf>
    <dxf>
      <font>
        <color theme="0"/>
      </font>
      <fill>
        <patternFill>
          <bgColor theme="8"/>
        </patternFill>
      </fill>
    </dxf>
    <dxf>
      <font>
        <b/>
        <i val="0"/>
        <color theme="0"/>
      </font>
      <fill>
        <patternFill>
          <bgColor rgb="FF339933"/>
        </patternFill>
      </fill>
    </dxf>
    <dxf>
      <font>
        <b/>
        <i val="0"/>
        <color theme="1"/>
      </font>
      <fill>
        <patternFill>
          <bgColor rgb="FFFFFF00"/>
        </patternFill>
      </fill>
    </dxf>
    <dxf>
      <font>
        <b/>
        <i val="0"/>
        <color theme="1"/>
      </font>
      <fill>
        <patternFill>
          <bgColor rgb="FFFF9933"/>
        </patternFill>
      </fill>
    </dxf>
    <dxf>
      <font>
        <b/>
        <i val="0"/>
        <color theme="0"/>
      </font>
      <fill>
        <patternFill>
          <bgColor rgb="FFFF0000"/>
        </patternFill>
      </fill>
    </dxf>
    <dxf>
      <font>
        <color rgb="FFFF0000"/>
      </font>
    </dxf>
    <dxf>
      <font>
        <color rgb="FFFF0000"/>
      </font>
    </dxf>
  </dxfs>
  <tableStyles count="0" defaultTableStyle="TableStyleMedium2" defaultPivotStyle="PivotStyleLight16"/>
  <colors>
    <mruColors>
      <color rgb="FFFF9933"/>
      <color rgb="FF00CC00"/>
      <color rgb="FF339933"/>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customXml" Target="../ink/ink2.xml"/><Relationship Id="rId2" Type="http://schemas.openxmlformats.org/officeDocument/2006/relationships/image" Target="../media/image1.png"/><Relationship Id="rId1" Type="http://schemas.openxmlformats.org/officeDocument/2006/relationships/customXml" Target="../ink/ink1.xml"/><Relationship Id="rId4"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6</xdr:col>
      <xdr:colOff>295443</xdr:colOff>
      <xdr:row>39</xdr:row>
      <xdr:rowOff>214527</xdr:rowOff>
    </xdr:from>
    <xdr:to>
      <xdr:col>7</xdr:col>
      <xdr:colOff>171231</xdr:colOff>
      <xdr:row>39</xdr:row>
      <xdr:rowOff>420087</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2" name="Ink 1">
              <a:extLst>
                <a:ext uri="{FF2B5EF4-FFF2-40B4-BE49-F238E27FC236}">
                  <a16:creationId xmlns:a16="http://schemas.microsoft.com/office/drawing/2014/main" id="{635C6326-991F-BC10-E614-B9568C8E8B93}"/>
                </a:ext>
              </a:extLst>
            </xdr14:cNvPr>
            <xdr14:cNvContentPartPr/>
          </xdr14:nvContentPartPr>
          <xdr14:nvPr macro=""/>
          <xdr14:xfrm>
            <a:off x="10399731769" y="17047800"/>
            <a:ext cx="533880" cy="205560"/>
          </xdr14:xfrm>
        </xdr:contentPart>
      </mc:Choice>
      <mc:Fallback xmlns="">
        <xdr:pic>
          <xdr:nvPicPr>
            <xdr:cNvPr id="2" name="Ink 1">
              <a:extLst>
                <a:ext uri="{FF2B5EF4-FFF2-40B4-BE49-F238E27FC236}">
                  <a16:creationId xmlns:a16="http://schemas.microsoft.com/office/drawing/2014/main" id="{635C6326-991F-BC10-E614-B9568C8E8B93}"/>
                </a:ext>
              </a:extLst>
            </xdr:cNvPr>
            <xdr:cNvPicPr/>
          </xdr:nvPicPr>
          <xdr:blipFill>
            <a:blip xmlns:r="http://schemas.openxmlformats.org/officeDocument/2006/relationships" r:embed="rId2"/>
            <a:stretch>
              <a:fillRect/>
            </a:stretch>
          </xdr:blipFill>
          <xdr:spPr>
            <a:xfrm>
              <a:off x="10399725649" y="17041680"/>
              <a:ext cx="546120" cy="217800"/>
            </a:xfrm>
            <a:prstGeom prst="rect">
              <a:avLst/>
            </a:prstGeom>
          </xdr:spPr>
        </xdr:pic>
      </mc:Fallback>
    </mc:AlternateContent>
    <xdr:clientData/>
  </xdr:twoCellAnchor>
  <xdr:twoCellAnchor editAs="oneCell">
    <xdr:from>
      <xdr:col>7</xdr:col>
      <xdr:colOff>49551</xdr:colOff>
      <xdr:row>39</xdr:row>
      <xdr:rowOff>49647</xdr:rowOff>
    </xdr:from>
    <xdr:to>
      <xdr:col>9</xdr:col>
      <xdr:colOff>485489</xdr:colOff>
      <xdr:row>39</xdr:row>
      <xdr:rowOff>571647</xdr:rowOff>
    </xdr:to>
    <mc:AlternateContent xmlns:mc="http://schemas.openxmlformats.org/markup-compatibility/2006" xmlns:xdr14="http://schemas.microsoft.com/office/excel/2010/spreadsheetDrawing">
      <mc:Choice Requires="xdr14">
        <xdr:contentPart xmlns:r="http://schemas.openxmlformats.org/officeDocument/2006/relationships" r:id="rId3">
          <xdr14:nvContentPartPr>
            <xdr14:cNvPr id="3" name="Ink 2">
              <a:extLst>
                <a:ext uri="{FF2B5EF4-FFF2-40B4-BE49-F238E27FC236}">
                  <a16:creationId xmlns:a16="http://schemas.microsoft.com/office/drawing/2014/main" id="{E4A7CA31-DE45-F3F2-6BA0-8C8BD7467E4A}"/>
                </a:ext>
              </a:extLst>
            </xdr14:cNvPr>
            <xdr14:cNvContentPartPr/>
          </xdr14:nvContentPartPr>
          <xdr14:nvPr macro=""/>
          <xdr14:xfrm>
            <a:off x="10398101329" y="16882920"/>
            <a:ext cx="1752120" cy="522000"/>
          </xdr14:xfrm>
        </xdr:contentPart>
      </mc:Choice>
      <mc:Fallback xmlns="">
        <xdr:pic>
          <xdr:nvPicPr>
            <xdr:cNvPr id="3" name="Ink 2">
              <a:extLst>
                <a:ext uri="{FF2B5EF4-FFF2-40B4-BE49-F238E27FC236}">
                  <a16:creationId xmlns:a16="http://schemas.microsoft.com/office/drawing/2014/main" id="{E4A7CA31-DE45-F3F2-6BA0-8C8BD7467E4A}"/>
                </a:ext>
              </a:extLst>
            </xdr:cNvPr>
            <xdr:cNvPicPr/>
          </xdr:nvPicPr>
          <xdr:blipFill>
            <a:blip xmlns:r="http://schemas.openxmlformats.org/officeDocument/2006/relationships" r:embed="rId4"/>
            <a:stretch>
              <a:fillRect/>
            </a:stretch>
          </xdr:blipFill>
          <xdr:spPr>
            <a:xfrm>
              <a:off x="10398095209" y="16876800"/>
              <a:ext cx="1764360" cy="534240"/>
            </a:xfrm>
            <a:prstGeom prst="rect">
              <a:avLst/>
            </a:prstGeom>
          </xdr:spPr>
        </xdr:pic>
      </mc:Fallback>
    </mc:AlternateContent>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15T08:23:42.269"/>
    </inkml:context>
    <inkml:brush xml:id="br0">
      <inkml:brushProperty name="width" value="0.035" units="cm"/>
      <inkml:brushProperty name="height" value="0.035" units="cm"/>
    </inkml:brush>
  </inkml:definitions>
  <inkml:trace contextRef="#ctx0" brushRef="#br0">1411 212 16,'0'0'0,"0"0"0,0 3 32,0 1 24,-3 0 48,3-4 24,0 0-128,0 0 152,0-1 8,0-2-64,0 2-24,0 1-72,0-2 40,0 1-16,-2-1 0,-5 1 16,7 1-40,-3-3 8,-2 0-16,-1 0 24,4 2-24,2 1 8,-7-2 0,4 1 24,-2 0 0,3 1-8,2 0-16,-4 0 32,-1 0 0,1 0-24,-6 0 56,10 0-64,-5-2 56,-13 2-8,0-1 24,-3-2-16,21 3-56,-24-3 64,-2-1 16,-4-2-8,5 0-8,25 6-64,-30-5 64,3-7 8,-4 8-8,3-2 0,28 6-64,-27-12 56,-1 7-32,7-9 0,2 10 112,19 4-136,-16-14 216,4 9 280,7-6 272,4 8 72,1 3-840,-5-5 937,3-1-193,2-6-200,7 8-160,-7 4-384,1-4 296,16-2-112,-4 1-48,2 0-96,-15 5-40,16-4 24,4 0-24,-3 2-8,4 0 16,-21 2-8,21-2 56,0 1-48,-5-1 32,2 1 0,-18 1-40,15-2-8,3 1 64,-4 0-32,0-1-8,-14 2-16,12-1 0,-1-1 0,1 1 8,-7-1-24,-5 2 16,13-1 16,-8 1-40,6 0 40,1 0-16,-12 0 0,0 0 0,12 0-8,-11 0-40,11 3 32,-12-3 16,3 3 0,2-3 0,-3 3-8,3-1 8,-5-2 0,4 3-24,-2 0-8,0 0 48,3 0-32,-5-3 16,5 3 0,-2-1 8,8 1-40,-11 0 8,0-3 24,4 3-32,1 1 24,7 1 8,-10-3 16,-2-2-16,14 5 16,-9-1 0,6 7-48,-9-8 0,-2-3 32,12 12-32,-9-10-32,8 3 40,-11 9-48,0-14 72,2 4-56,3 9 8,-5-9 40,0 13 8,0-17 0,0 12 32,-2 0 64,-3 1-16,-9 1 80,14-14-160,-12 16 136,-1 0-40,-4-1-24,1 2-32,16-17-40,-18 19-8,-4-1 0,4 4-32,-5-1 8,23-21 32,-23 21 0,2 3 0,-3-2 16,1 1 24,23-23-40,-25 19 40,-3 1-8,0-3 24,3 2 0,25-19-56,-31 15 64,0 0 40,-9-4-32,2-7 72,38-4-144,-41 5 88,-5-1-72,1-1 40,-1-3-96,46 0 40,-49 3 32,-1-3 24,2 0-24,0 0 24,48 0-56,-49-2 8,1 1 64,-1-4-32,0 0-80,49 5 40,-46-6-16,0-5-104,2 8-136,2-1-104,42 4 360,-39-5-608,4 1-312,4 3-248,6 1-281,25 0 1449,-23 2-1664,6 11 416,11 0 520,1-2 392,5-11 336,-2 5-96,-1 6 56,3-11 8,0-1 0,0 1 32,0-2-8,0 2 8</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15T08:23:45.310"/>
    </inkml:context>
    <inkml:brush xml:id="br0">
      <inkml:brushProperty name="width" value="0.035" units="cm"/>
      <inkml:brushProperty name="height" value="0.035" units="cm"/>
    </inkml:brush>
  </inkml:definitions>
  <inkml:trace contextRef="#ctx0" brushRef="#br0">4296 589 8,'0'0'0,"5"0"32,5 0 64,-10 0-96,7 0 288,5-4 208,-1-2 288,-9 2-48,-2 4-736,12-3 440,-7 0-112,0 0-136,0-1 48,-5 4-240,13-4 216,-10-1-72,9 1-16,-8 0-16,-4 4-112,12-4 208,-1-8 105,-1 8 143,2-8 144,-12 12-600,12-4 568,-1-10 8,4 10-144,-3-10-24,-12 14-408,16-12 416,-5 1-48,2-1 80,1 7-168,-14 5-280,9-16 233,3 5-1,2-1-40,0 0 40,-14 12-232,11-13 264,2 0-128,-11 0-136,12-1 72,-14 14-72,5-14-72,9-2 104,-12-1 96,17-1-152,-19 18 24,3-16 48,10-1-16,-11 1-64,10-1 32,-12 17 0,5-14 32,7-2-24,-9 2 16,8 1 16,-11 13-40,0-14 112,12 3-72,-12-2 0,0 2 32,0 11-72,2-15-32,-2 3 88,0-1-8,5 1 24,-5 12-72,0-5 16,0-8 32,0 9 16,0-8-104,0 12 40,0-1 56,-2-3-72,2 2 16,0 1 64,0 1-64,0-2-32,0 2-16,-3 0-8,1 0 16,2 0 40,0 0-48,0 3 32,-3 0 0,-1 1 8,4-4 8,0 5-24,-5 6 8,3-7-16,-2 8 8,4-12 24,-5 4 16,0 14-8,0-5 16,3 1-32,2-14 8,-5 15-24,0 0 24,-7 4-8,10-1 16,2-18-8,0 21 32,-4 2-32,4 0-8,-3 1 8,3-24 0,-2 24-16,0 2 16,2-2 80,-5-3-80,5-21 0,-5 22 0,3-2-8,-3-2-64,-2 1 96,7-19-24,-3 18-56,-2 0 56,2 1 16,-2-1-32,5-18 16,-7 20 64,4 0-16,3 0-48,-2 0 88,2-20-88,-5 20 40,3 0-40,-1 0 32,-4 0-56,7-20 24,-5 20-72,-1-1 56,3 1 24,-4-1-128,7-19 120,-5 18 56,1-2-72,-11 0-16,10-2 88,5-14-56,-13 14-24,8-1 16,-9-2 48,9 1 16,5-12-56,-12 11 96,6-7 16,-9 12 32,3-12-56,12-4-88,-12 13 152,1-9-80,6 8 56,-7-10-120,12-2-8,-5 13-16,-7-10 64,9 10-96,-2-10 192,5-3-144,-12 4 48,9 10-8,-9-10-16,10 11-40,2-15 16,-5 4 0,-8 9-8,8-11-40,-7 10 40,12-12 8,-3 0 48,-9 4-32,8 0 152,-10 1-96,14-5-72,-12 3 72,0-3-48,4 2 72,-4-2-72,12 0-24,-5 0 80,-10 0 56,10-1-104,1 0 112,4 1-144,-11-5 64,6 2 48,0-1-48,0 1 24,5 3-88,-9-4 144,4 0-24,0-2-8,3 0-8,2 6-104,-7-11 113,3 8-25,1-3-8,-2-5-16,5 11-64,-2-3 48,-1-2-8,3 0-8,0 1 24,0 4-56,-2-4 8,2 0 80,0-1-120,0 1 8,0 4 24,0-4 72,0-1-56,0 1 96,0 0-144,0 4 32,0-3 0,0 0 16,0-1 0,0 1-48,0 3 32,0-4 64,0 1-40,0 0-48,2 2 208,-2 1-184,0-3-32,0 2 40,0-1 8,0 1-8,0 1-8,0-2 24,3 1-24,-3-1-8,0 1-112,0 1 120,0 0-24,0 0 16,0 0-16,0 0 80,0 0-144,0 0 24,0 0-8,0 0 24,0 0 320,0 3-576,-3 0 296,1 0 32,-5-1 72,7-2-96,-12 3-16,10 0 8,-10 0-24,10 0 24,2-3 8,-12 3-16,0-1-16,7 1 48,-8 0-72,13-3 56,-5 3-40,-10 0 80,11 0-40,-7-3-40,11 0 40,-3 2 8,-11 1 0,7-3 8,-8 0 80,15 0-96,-2 3-16,-12-3 16,10 0 0,1 0-8,3 0 8,-7 0 32,2 0-40,5 0 72,-2 0-48,2 0-16,0 0 48,0 0 16,0-1-56,0-1 64,0 2-72,2-3 32,3 1-8,7-1-16,-7 0 64,-5 3-72,13-3-16,-10 0 32,11 0 0,-9 1-32,-5 2 16,14-2-24,-11-1 16,12 2-16,-10-1-64,-5 2 88,15-1-24,-10-2 16,8 2 0,-11-2 8,-2 3 0,5-1 8,7-2-8,-7 0-96,-3 1 72,-2 2 24,3-2 16,2 0-40,-5 1 48,2 1-120,-2 0 96,0 0-192,0 0-88,0 0-9,-2 0-47,2 0 336,-5 0-312,0 0 136,-5 3 24,3-3 56,7 0 96,-16 2-56,2-2-40,-8 0 24,4 0 32,18 0 40,-24 3-8,-4-3 40,0 0-80,-3 0 16,31 0 32,-35 3 0,0-3-48,-7 0 56,2 0-16,40 0 8,-47 0 8,-1-1 8,1-2 48,-9 1-48,56 2-16,-57-1-48,-4 0 32,-3-1-8,-3 1 32,67 1-8,-79-2 40,4-1 0,-9 2-8,1 0-8,83 1-24,-84 0 16,-3 0 16,-1 0 8,-3 0 8,91 0-48,-94 2 40,-3-2 8,1 3 16,-6 0-24,102-3-40,-101 0 16,3 3 48,-4-3-80,3 0 48,99 0-32,-96 3 16,-6-3-64,4 0 72,2 0 0,96 0-24,-102 0 40,3 0 8,3 0-16,2 0-24,94 0-8,-88 0 8,6 0 24,47 0 88,-12 3 24,47-3-144,-40 3 136,-5-1-40,3 1-88,0 1-40,42-4 32,-38 5-32,-2 6 24,12-11-8,9 4 72,19-4-56,-17 3 120,15 1 40,2-1 33,17 0-105,-17-3-88,25 3 56,10-3 16,50 3-112,19 0-16,-104-3 56,104 0-80,-10 0-8,0 0 112,9-2 32,-103 2-56,113-3 88,14 2-56,10-2-16,7 0-32,-144 3 16,146-3-48,6 1-72,4-3-33,1 1-7,-157 4 160,163-6-144,-11 1 72,-8 0 40,-12 1 56,-132 4-24,113-4 56,-15 0-24,-13 1 40,-7 1-32,-78 2-40,65 0-8,-5 0 32,-16 0-64,-9 0 16,-35 0 24,27 0 48,-14 0-56,-8 0 0,-3 3-64,-2-3 72,0 0-128,-14 3 56,-11 0 32,-13 0 24,38-3 16,-54 0 72,-12 0-16,-10 0 64,-15-2 0,91 2-120,-97-1 112,-8-2 25,-13 0 23,-5-1 24,123 4-184,-129-3 256,-7 2-120,2 1-16,-5 0-136,139 0 16,-139 3-96,-3-1 64,1 1-32,3 2 120,138-5-56,-144 4 32,3 7 8,5-8 16,2 10-120,134-13 64,-62 0 40,-18 4-40,10 9 0,-17-9 48,87-4-48,-83 11-128,-7-6 32,3 9-32,-4-10 32,91-4 96,-83 14-24,4-11-16,12 9-16,9-10 32,58-2 24,-47 5 0,10-2-48,8-1 120,8 1 80,21-3-152,-12 0 168,12 0 184,10 0-88,13 0-56,-23 0-208,31-1 120,11-1-72,14-2 104,10-2-72,-66 6-80,78-11 88,14 7 24,101-19-248,0 6-64,-193 17 200,181-17-200,-7 6-256,-7-1-224,7 7-273,-174 5 953,181-13-1152,5 7 48,3-7 120,0 9 176,-189 4 808,189-13-657,-8 9 169,-14-7 224,-14 6 192,-153 5 72,130-5 8,-15-7 64,-19 9-32,-18 1-8,-78 2-32,63-2 16,-13 1-32,-10 1 24,-16-2-56,-24 2 48,16-1-88,-14-1-264,-2 1-104,-2 0 0,2 1 456,-28-3-416,-12-1 304,-17-9 184,-15 7 168,72 6-240,-90-16 368,-9 5 104,-7 5-32,-11-9-16,117 15-424,-122-12 384,-3 7 56,-8-10 1,-5 11 103,138 4-544,-143-13 544,-8 9-144,2-2-24,2 1-96,147 5-280,-149-5 152,10 1-104,5 0-48,7 1-40,127 3 40,-119-4-48,5 1 56,18-1-8,51 2 32,45 2-32,-52-3 48,7 2 16,-4-2-8,9 0-24,40 3-32,-38-2 96,11-1 136,-2 0 8,13-1-16,16 4-224,-3-3 152,8-2-200,25 1 8,43-11-32,-73 15 72,97-6-72,11-8 64,-6 9-32,-6-7-8,-96 12 48,101-5 8,5-10-152,0 9-8,-3-12 0,-103 18 152,104-13-232,-3-3-128,-4 0-192,-1-1-160,-96 17 712,89-18-848,3-1 23,-3 1 289,-2-3 152,-87 21 384,79-20-272,-9-2 232,-4 0-56,-10-1-32,-56 23 128,57-23-56,-13 3-56,-4 2 48,-6 2 112,-34 16-48,23-11 136,-4 5 32,-8-5 40,-8 9-56,-3 2-152,4-3-8,-4 3-24,0 0-24,-2 16 112,2-16-56,-12 20 328,1 8 184,-6 8 120,0 7 33,17-43-665,-23 47 552,-2 1-112,-4 3-80,-1 4-80,30-55-280,-28 57 224,-1 4-48,6 2-136,1 1 16,22-64-56,-14 64 24,10 0-24,-1 1 48,5 1-160,0-66 112,0 65-736,9 0-816,8-2-1049,2-3-592,-19-60 3193,23 55-2128,10-5 1000,14-7 736,2-12 328,-49-31 64</inkml:trace>
</inkm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1D0DF2-5DCE-4624-B909-68D4EC5F2664}">
  <sheetPr codeName="Sheet1">
    <pageSetUpPr fitToPage="1"/>
  </sheetPr>
  <dimension ref="A1:J40"/>
  <sheetViews>
    <sheetView rightToLeft="1" tabSelected="1" view="pageBreakPreview" topLeftCell="B33" zoomScale="130" zoomScaleNormal="100" zoomScaleSheetLayoutView="130" workbookViewId="0">
      <selection activeCell="F35" sqref="F35"/>
    </sheetView>
  </sheetViews>
  <sheetFormatPr defaultColWidth="9" defaultRowHeight="14.4" x14ac:dyDescent="0.3"/>
  <cols>
    <col min="1" max="1" width="5.109375" style="1" customWidth="1"/>
    <col min="2" max="2" width="16" style="1" customWidth="1"/>
    <col min="3" max="3" width="9" style="1"/>
    <col min="4" max="4" width="28.109375" style="1" customWidth="1"/>
    <col min="5" max="7" width="9.33203125" style="1" customWidth="1"/>
    <col min="8" max="8" width="9.33203125" style="3" customWidth="1"/>
    <col min="9" max="9" width="9.33203125" style="1" customWidth="1"/>
    <col min="10" max="10" width="15.44140625" style="1" customWidth="1"/>
    <col min="11" max="16384" width="9" style="1"/>
  </cols>
  <sheetData>
    <row r="1" spans="1:10" ht="45" customHeight="1" x14ac:dyDescent="0.3">
      <c r="B1" s="61" t="s">
        <v>180</v>
      </c>
      <c r="C1" s="61"/>
      <c r="D1" s="61"/>
      <c r="E1" s="61"/>
      <c r="F1" s="61"/>
      <c r="G1" s="61"/>
      <c r="H1" s="61"/>
      <c r="I1" s="61"/>
      <c r="J1" s="61"/>
    </row>
    <row r="2" spans="1:10" ht="30" customHeight="1" x14ac:dyDescent="0.3">
      <c r="B2" s="13" t="s">
        <v>178</v>
      </c>
      <c r="C2" s="67" t="s">
        <v>40</v>
      </c>
      <c r="D2" s="67"/>
      <c r="E2" s="13" t="s">
        <v>7</v>
      </c>
      <c r="F2" s="62">
        <v>45945</v>
      </c>
      <c r="G2" s="62"/>
      <c r="H2" s="62"/>
      <c r="I2" s="62"/>
      <c r="J2" s="62"/>
    </row>
    <row r="3" spans="1:10" ht="30" customHeight="1" x14ac:dyDescent="0.3">
      <c r="B3" s="13" t="s">
        <v>179</v>
      </c>
      <c r="C3" s="67" t="s">
        <v>209</v>
      </c>
      <c r="D3" s="67"/>
      <c r="E3" s="13" t="s">
        <v>6</v>
      </c>
      <c r="F3" s="67" t="s">
        <v>160</v>
      </c>
      <c r="G3" s="67"/>
      <c r="H3" s="67"/>
      <c r="I3" s="67"/>
      <c r="J3" s="67"/>
    </row>
    <row r="4" spans="1:10" ht="30" customHeight="1" thickBot="1" x14ac:dyDescent="0.35">
      <c r="B4" s="6"/>
      <c r="C4" s="7"/>
      <c r="D4" s="7"/>
      <c r="E4" s="6"/>
      <c r="F4" s="7"/>
      <c r="G4" s="7"/>
      <c r="H4" s="8"/>
      <c r="I4" s="7"/>
      <c r="J4" s="7"/>
    </row>
    <row r="5" spans="1:10" ht="24.9" customHeight="1" x14ac:dyDescent="0.3">
      <c r="A5" s="11"/>
      <c r="B5" s="63" t="s">
        <v>0</v>
      </c>
      <c r="C5" s="64"/>
      <c r="D5" s="64"/>
      <c r="E5" s="72" t="s">
        <v>1</v>
      </c>
      <c r="F5" s="72"/>
      <c r="G5" s="72"/>
      <c r="H5" s="72"/>
      <c r="I5" s="72" t="s">
        <v>2</v>
      </c>
      <c r="J5" s="73"/>
    </row>
    <row r="6" spans="1:10" ht="24.9" customHeight="1" thickBot="1" x14ac:dyDescent="0.35">
      <c r="A6" s="11"/>
      <c r="B6" s="65"/>
      <c r="C6" s="66"/>
      <c r="D6" s="66"/>
      <c r="E6" s="12" t="s">
        <v>3</v>
      </c>
      <c r="F6" s="12" t="s">
        <v>4</v>
      </c>
      <c r="G6" s="12" t="s">
        <v>21</v>
      </c>
      <c r="H6" s="12" t="s">
        <v>22</v>
      </c>
      <c r="I6" s="74"/>
      <c r="J6" s="75"/>
    </row>
    <row r="7" spans="1:10" ht="24.9" customHeight="1" thickBot="1" x14ac:dyDescent="0.35">
      <c r="A7" s="11"/>
      <c r="B7" s="70" t="s">
        <v>19</v>
      </c>
      <c r="C7" s="71"/>
      <c r="D7" s="71"/>
      <c r="E7" s="30" t="s">
        <v>16</v>
      </c>
      <c r="F7" s="30" t="s">
        <v>17</v>
      </c>
      <c r="G7" s="30" t="s">
        <v>20</v>
      </c>
      <c r="H7" s="30" t="s">
        <v>18</v>
      </c>
      <c r="I7" s="49" t="s">
        <v>23</v>
      </c>
      <c r="J7" s="50"/>
    </row>
    <row r="8" spans="1:10" ht="30" customHeight="1" x14ac:dyDescent="0.3">
      <c r="A8" s="11"/>
      <c r="B8" s="84" t="s">
        <v>181</v>
      </c>
      <c r="C8" s="85"/>
      <c r="D8" s="85"/>
      <c r="E8" s="33"/>
      <c r="F8" s="34"/>
      <c r="G8" s="35"/>
      <c r="H8" s="36"/>
      <c r="I8" s="53"/>
      <c r="J8" s="54"/>
    </row>
    <row r="9" spans="1:10" ht="30" customHeight="1" x14ac:dyDescent="0.3">
      <c r="A9" s="11"/>
      <c r="B9" s="86" t="s">
        <v>182</v>
      </c>
      <c r="C9" s="87"/>
      <c r="D9" s="87"/>
      <c r="E9" s="9">
        <v>5</v>
      </c>
      <c r="F9" s="27">
        <v>3.75</v>
      </c>
      <c r="G9" s="31">
        <f>IFERROR(F9/E9,"")</f>
        <v>0.75</v>
      </c>
      <c r="H9" s="32" t="str">
        <f>_xlfn.IFS(F9="أدخل العلامة","",F9="لا ينطبق","تم الإلغاء",G9&gt;=90%,"ممتاز",G9&gt;=80%,"جيد جداً",G9&gt;=70%,"جيد",G9&gt;=60%,"مقبول",G9&lt;60%,"راسب")</f>
        <v>جيد</v>
      </c>
      <c r="I9" s="47"/>
      <c r="J9" s="48"/>
    </row>
    <row r="10" spans="1:10" ht="39.9" customHeight="1" x14ac:dyDescent="0.3">
      <c r="A10" s="11"/>
      <c r="B10" s="86" t="s">
        <v>183</v>
      </c>
      <c r="C10" s="87"/>
      <c r="D10" s="87"/>
      <c r="E10" s="9">
        <v>5</v>
      </c>
      <c r="F10" s="27">
        <v>3.5</v>
      </c>
      <c r="G10" s="31">
        <f t="shared" ref="G10:G35" si="0">IFERROR(F10/E10,"")</f>
        <v>0.7</v>
      </c>
      <c r="H10" s="32" t="str">
        <f t="shared" ref="H10:H35" si="1">_xlfn.IFS(F10="أدخل العلامة","",F10="لا ينطبق","تم الإلغاء",G10&gt;=90%,"ممتاز",G10&gt;=80%,"جيد جداً",G10&gt;=70%,"جيد",G10&gt;=60%,"مقبول",G10&lt;60%,"راسب")</f>
        <v>جيد</v>
      </c>
      <c r="I10" s="47"/>
      <c r="J10" s="48"/>
    </row>
    <row r="11" spans="1:10" ht="65.25" customHeight="1" x14ac:dyDescent="0.3">
      <c r="A11" s="11"/>
      <c r="B11" s="86" t="s">
        <v>184</v>
      </c>
      <c r="C11" s="87"/>
      <c r="D11" s="87"/>
      <c r="E11" s="9">
        <v>5</v>
      </c>
      <c r="F11" s="27">
        <v>3.75</v>
      </c>
      <c r="G11" s="31">
        <f t="shared" si="0"/>
        <v>0.75</v>
      </c>
      <c r="H11" s="32" t="str">
        <f t="shared" si="1"/>
        <v>جيد</v>
      </c>
      <c r="I11" s="47"/>
      <c r="J11" s="48"/>
    </row>
    <row r="12" spans="1:10" ht="39.9" customHeight="1" x14ac:dyDescent="0.3">
      <c r="A12" s="11"/>
      <c r="B12" s="86" t="s">
        <v>185</v>
      </c>
      <c r="C12" s="87"/>
      <c r="D12" s="87"/>
      <c r="E12" s="9">
        <v>5</v>
      </c>
      <c r="F12" s="27">
        <v>4</v>
      </c>
      <c r="G12" s="31">
        <f t="shared" si="0"/>
        <v>0.8</v>
      </c>
      <c r="H12" s="32" t="str">
        <f t="shared" si="1"/>
        <v>جيد جداً</v>
      </c>
      <c r="I12" s="47"/>
      <c r="J12" s="48"/>
    </row>
    <row r="13" spans="1:10" ht="58.5" customHeight="1" x14ac:dyDescent="0.3">
      <c r="A13" s="11"/>
      <c r="B13" s="86" t="s">
        <v>186</v>
      </c>
      <c r="C13" s="87"/>
      <c r="D13" s="87"/>
      <c r="E13" s="9">
        <v>5</v>
      </c>
      <c r="F13" s="27">
        <v>3.75</v>
      </c>
      <c r="G13" s="31">
        <f t="shared" si="0"/>
        <v>0.75</v>
      </c>
      <c r="H13" s="32" t="str">
        <f t="shared" si="1"/>
        <v>جيد</v>
      </c>
      <c r="I13" s="47"/>
      <c r="J13" s="48"/>
    </row>
    <row r="14" spans="1:10" ht="30" customHeight="1" x14ac:dyDescent="0.3">
      <c r="A14" s="11"/>
      <c r="B14" s="86" t="s">
        <v>187</v>
      </c>
      <c r="C14" s="87"/>
      <c r="D14" s="87"/>
      <c r="E14" s="9">
        <v>5</v>
      </c>
      <c r="F14" s="27">
        <v>3.5</v>
      </c>
      <c r="G14" s="31">
        <f t="shared" si="0"/>
        <v>0.7</v>
      </c>
      <c r="H14" s="32" t="str">
        <f t="shared" si="1"/>
        <v>جيد</v>
      </c>
      <c r="I14" s="47"/>
      <c r="J14" s="48"/>
    </row>
    <row r="15" spans="1:10" ht="30" customHeight="1" x14ac:dyDescent="0.3">
      <c r="A15" s="11"/>
      <c r="B15" s="86" t="s">
        <v>188</v>
      </c>
      <c r="C15" s="87"/>
      <c r="D15" s="87"/>
      <c r="E15" s="9">
        <v>5</v>
      </c>
      <c r="F15" s="27">
        <v>3.5</v>
      </c>
      <c r="G15" s="31">
        <f t="shared" si="0"/>
        <v>0.7</v>
      </c>
      <c r="H15" s="32" t="str">
        <f t="shared" si="1"/>
        <v>جيد</v>
      </c>
      <c r="I15" s="47"/>
      <c r="J15" s="48"/>
    </row>
    <row r="16" spans="1:10" ht="30" customHeight="1" thickBot="1" x14ac:dyDescent="0.35">
      <c r="A16" s="11"/>
      <c r="B16" s="80" t="s">
        <v>189</v>
      </c>
      <c r="C16" s="81"/>
      <c r="D16" s="81"/>
      <c r="E16" s="37">
        <v>5</v>
      </c>
      <c r="F16" s="29">
        <v>3.5</v>
      </c>
      <c r="G16" s="38">
        <f t="shared" si="0"/>
        <v>0.7</v>
      </c>
      <c r="H16" s="39" t="str">
        <f t="shared" si="1"/>
        <v>جيد</v>
      </c>
      <c r="I16" s="51"/>
      <c r="J16" s="52"/>
    </row>
    <row r="17" spans="1:10" ht="39.9" customHeight="1" thickBot="1" x14ac:dyDescent="0.35">
      <c r="A17" s="11"/>
      <c r="B17" s="82" t="s">
        <v>190</v>
      </c>
      <c r="C17" s="83"/>
      <c r="D17" s="83"/>
      <c r="E17" s="10">
        <v>5</v>
      </c>
      <c r="F17" s="40">
        <v>3.75</v>
      </c>
      <c r="G17" s="41">
        <f t="shared" si="0"/>
        <v>0.75</v>
      </c>
      <c r="H17" s="28" t="str">
        <f t="shared" si="1"/>
        <v>جيد</v>
      </c>
      <c r="I17" s="78"/>
      <c r="J17" s="79"/>
    </row>
    <row r="18" spans="1:10" ht="39.9" customHeight="1" x14ac:dyDescent="0.3">
      <c r="A18" s="11"/>
      <c r="B18" s="84" t="s">
        <v>191</v>
      </c>
      <c r="C18" s="85"/>
      <c r="D18" s="85"/>
      <c r="E18" s="33"/>
      <c r="F18" s="34"/>
      <c r="G18" s="35"/>
      <c r="H18" s="36"/>
      <c r="I18" s="53"/>
      <c r="J18" s="54"/>
    </row>
    <row r="19" spans="1:10" ht="30" customHeight="1" x14ac:dyDescent="0.3">
      <c r="A19" s="11"/>
      <c r="B19" s="86" t="s">
        <v>192</v>
      </c>
      <c r="C19" s="87"/>
      <c r="D19" s="87"/>
      <c r="E19" s="9">
        <v>5</v>
      </c>
      <c r="F19" s="27">
        <v>3.75</v>
      </c>
      <c r="G19" s="31">
        <f t="shared" si="0"/>
        <v>0.75</v>
      </c>
      <c r="H19" s="32" t="str">
        <f t="shared" si="1"/>
        <v>جيد</v>
      </c>
      <c r="I19" s="47"/>
      <c r="J19" s="48"/>
    </row>
    <row r="20" spans="1:10" ht="30" customHeight="1" x14ac:dyDescent="0.3">
      <c r="A20" s="11"/>
      <c r="B20" s="86" t="s">
        <v>193</v>
      </c>
      <c r="C20" s="87"/>
      <c r="D20" s="87"/>
      <c r="E20" s="9">
        <v>5</v>
      </c>
      <c r="F20" s="27">
        <v>3.5</v>
      </c>
      <c r="G20" s="31">
        <f t="shared" si="0"/>
        <v>0.7</v>
      </c>
      <c r="H20" s="32" t="str">
        <f t="shared" si="1"/>
        <v>جيد</v>
      </c>
      <c r="I20" s="47"/>
      <c r="J20" s="48"/>
    </row>
    <row r="21" spans="1:10" ht="30" customHeight="1" x14ac:dyDescent="0.3">
      <c r="A21" s="11"/>
      <c r="B21" s="86" t="s">
        <v>194</v>
      </c>
      <c r="C21" s="87"/>
      <c r="D21" s="87"/>
      <c r="E21" s="9">
        <v>5</v>
      </c>
      <c r="F21" s="27">
        <v>4</v>
      </c>
      <c r="G21" s="31">
        <f t="shared" si="0"/>
        <v>0.8</v>
      </c>
      <c r="H21" s="32" t="str">
        <f t="shared" si="1"/>
        <v>جيد جداً</v>
      </c>
      <c r="I21" s="47"/>
      <c r="J21" s="48"/>
    </row>
    <row r="22" spans="1:10" ht="39.9" customHeight="1" thickBot="1" x14ac:dyDescent="0.35">
      <c r="A22" s="11"/>
      <c r="B22" s="80" t="s">
        <v>195</v>
      </c>
      <c r="C22" s="81"/>
      <c r="D22" s="81"/>
      <c r="E22" s="37">
        <v>5</v>
      </c>
      <c r="F22" s="29">
        <v>3.5</v>
      </c>
      <c r="G22" s="38">
        <f t="shared" si="0"/>
        <v>0.7</v>
      </c>
      <c r="H22" s="39" t="str">
        <f t="shared" si="1"/>
        <v>جيد</v>
      </c>
      <c r="I22" s="51"/>
      <c r="J22" s="52"/>
    </row>
    <row r="23" spans="1:10" ht="39.9" customHeight="1" thickBot="1" x14ac:dyDescent="0.35">
      <c r="A23" s="11"/>
      <c r="B23" s="82" t="s">
        <v>196</v>
      </c>
      <c r="C23" s="83"/>
      <c r="D23" s="83"/>
      <c r="E23" s="10">
        <v>5</v>
      </c>
      <c r="F23" s="40">
        <v>3.5</v>
      </c>
      <c r="G23" s="41">
        <f t="shared" si="0"/>
        <v>0.7</v>
      </c>
      <c r="H23" s="28" t="str">
        <f t="shared" si="1"/>
        <v>جيد</v>
      </c>
      <c r="I23" s="78"/>
      <c r="J23" s="79"/>
    </row>
    <row r="24" spans="1:10" ht="30" customHeight="1" x14ac:dyDescent="0.3">
      <c r="A24" s="11"/>
      <c r="B24" s="84" t="s">
        <v>197</v>
      </c>
      <c r="C24" s="85"/>
      <c r="D24" s="85"/>
      <c r="E24" s="33"/>
      <c r="F24" s="34"/>
      <c r="G24" s="35"/>
      <c r="H24" s="36"/>
      <c r="I24" s="53"/>
      <c r="J24" s="54"/>
    </row>
    <row r="25" spans="1:10" ht="30" customHeight="1" x14ac:dyDescent="0.3">
      <c r="A25" s="11"/>
      <c r="B25" s="86" t="s">
        <v>198</v>
      </c>
      <c r="C25" s="87"/>
      <c r="D25" s="87"/>
      <c r="E25" s="9">
        <v>5</v>
      </c>
      <c r="F25" s="27">
        <v>4</v>
      </c>
      <c r="G25" s="31">
        <f t="shared" si="0"/>
        <v>0.8</v>
      </c>
      <c r="H25" s="32" t="str">
        <f t="shared" si="1"/>
        <v>جيد جداً</v>
      </c>
      <c r="I25" s="47"/>
      <c r="J25" s="48"/>
    </row>
    <row r="26" spans="1:10" ht="30" customHeight="1" x14ac:dyDescent="0.3">
      <c r="A26" s="11"/>
      <c r="B26" s="86" t="s">
        <v>199</v>
      </c>
      <c r="C26" s="87"/>
      <c r="D26" s="87"/>
      <c r="E26" s="9">
        <v>5</v>
      </c>
      <c r="F26" s="27">
        <v>3.5</v>
      </c>
      <c r="G26" s="31">
        <f t="shared" si="0"/>
        <v>0.7</v>
      </c>
      <c r="H26" s="32" t="str">
        <f t="shared" si="1"/>
        <v>جيد</v>
      </c>
      <c r="I26" s="47"/>
      <c r="J26" s="48"/>
    </row>
    <row r="27" spans="1:10" ht="39.9" customHeight="1" x14ac:dyDescent="0.3">
      <c r="A27" s="11"/>
      <c r="B27" s="86" t="s">
        <v>200</v>
      </c>
      <c r="C27" s="87"/>
      <c r="D27" s="87"/>
      <c r="E27" s="9">
        <v>5</v>
      </c>
      <c r="F27" s="27">
        <v>3.75</v>
      </c>
      <c r="G27" s="31">
        <f t="shared" si="0"/>
        <v>0.75</v>
      </c>
      <c r="H27" s="32" t="str">
        <f t="shared" si="1"/>
        <v>جيد</v>
      </c>
      <c r="I27" s="47"/>
      <c r="J27" s="48"/>
    </row>
    <row r="28" spans="1:10" ht="30" customHeight="1" x14ac:dyDescent="0.3">
      <c r="A28" s="11"/>
      <c r="B28" s="86" t="s">
        <v>201</v>
      </c>
      <c r="C28" s="87"/>
      <c r="D28" s="87"/>
      <c r="E28" s="9">
        <v>5</v>
      </c>
      <c r="F28" s="27">
        <v>3.75</v>
      </c>
      <c r="G28" s="31">
        <f t="shared" si="0"/>
        <v>0.75</v>
      </c>
      <c r="H28" s="32" t="str">
        <f t="shared" si="1"/>
        <v>جيد</v>
      </c>
      <c r="I28" s="47"/>
      <c r="J28" s="48"/>
    </row>
    <row r="29" spans="1:10" ht="30" customHeight="1" x14ac:dyDescent="0.3">
      <c r="A29" s="11"/>
      <c r="B29" s="86" t="s">
        <v>202</v>
      </c>
      <c r="C29" s="87"/>
      <c r="D29" s="87"/>
      <c r="E29" s="9">
        <v>5</v>
      </c>
      <c r="F29" s="27">
        <v>3.75</v>
      </c>
      <c r="G29" s="31">
        <f t="shared" si="0"/>
        <v>0.75</v>
      </c>
      <c r="H29" s="32" t="str">
        <f t="shared" si="1"/>
        <v>جيد</v>
      </c>
      <c r="I29" s="47"/>
      <c r="J29" s="48"/>
    </row>
    <row r="30" spans="1:10" ht="30" customHeight="1" x14ac:dyDescent="0.3">
      <c r="A30" s="11"/>
      <c r="B30" s="86" t="s">
        <v>203</v>
      </c>
      <c r="C30" s="87"/>
      <c r="D30" s="87"/>
      <c r="E30" s="9">
        <v>5</v>
      </c>
      <c r="F30" s="27">
        <v>3.5</v>
      </c>
      <c r="G30" s="31">
        <f t="shared" si="0"/>
        <v>0.7</v>
      </c>
      <c r="H30" s="32" t="str">
        <f t="shared" si="1"/>
        <v>جيد</v>
      </c>
      <c r="I30" s="47"/>
      <c r="J30" s="48"/>
    </row>
    <row r="31" spans="1:10" ht="30" customHeight="1" x14ac:dyDescent="0.3">
      <c r="A31" s="11"/>
      <c r="B31" s="86" t="s">
        <v>204</v>
      </c>
      <c r="C31" s="87"/>
      <c r="D31" s="87"/>
      <c r="E31" s="9">
        <v>5</v>
      </c>
      <c r="F31" s="27">
        <v>3.5</v>
      </c>
      <c r="G31" s="31">
        <f t="shared" si="0"/>
        <v>0.7</v>
      </c>
      <c r="H31" s="32" t="str">
        <f t="shared" si="1"/>
        <v>جيد</v>
      </c>
      <c r="I31" s="47"/>
      <c r="J31" s="48"/>
    </row>
    <row r="32" spans="1:10" ht="39.9" customHeight="1" x14ac:dyDescent="0.3">
      <c r="A32" s="11"/>
      <c r="B32" s="86" t="s">
        <v>205</v>
      </c>
      <c r="C32" s="87"/>
      <c r="D32" s="87"/>
      <c r="E32" s="9">
        <v>5</v>
      </c>
      <c r="F32" s="27">
        <v>3.75</v>
      </c>
      <c r="G32" s="31">
        <f t="shared" si="0"/>
        <v>0.75</v>
      </c>
      <c r="H32" s="32" t="str">
        <f t="shared" si="1"/>
        <v>جيد</v>
      </c>
      <c r="I32" s="47"/>
      <c r="J32" s="48"/>
    </row>
    <row r="33" spans="1:10" ht="30" customHeight="1" x14ac:dyDescent="0.3">
      <c r="A33" s="11"/>
      <c r="B33" s="86" t="s">
        <v>206</v>
      </c>
      <c r="C33" s="87"/>
      <c r="D33" s="87"/>
      <c r="E33" s="9">
        <v>5</v>
      </c>
      <c r="F33" s="27">
        <v>3.5</v>
      </c>
      <c r="G33" s="31">
        <f t="shared" si="0"/>
        <v>0.7</v>
      </c>
      <c r="H33" s="32" t="str">
        <f t="shared" si="1"/>
        <v>جيد</v>
      </c>
      <c r="I33" s="47"/>
      <c r="J33" s="48"/>
    </row>
    <row r="34" spans="1:10" ht="30" customHeight="1" x14ac:dyDescent="0.3">
      <c r="A34" s="11"/>
      <c r="B34" s="86" t="s">
        <v>207</v>
      </c>
      <c r="C34" s="87"/>
      <c r="D34" s="87"/>
      <c r="E34" s="9">
        <v>5</v>
      </c>
      <c r="F34" s="27">
        <v>3.5</v>
      </c>
      <c r="G34" s="31">
        <f t="shared" si="0"/>
        <v>0.7</v>
      </c>
      <c r="H34" s="32" t="str">
        <f t="shared" si="1"/>
        <v>جيد</v>
      </c>
      <c r="I34" s="47"/>
      <c r="J34" s="48"/>
    </row>
    <row r="35" spans="1:10" ht="30" customHeight="1" thickBot="1" x14ac:dyDescent="0.35">
      <c r="A35" s="11"/>
      <c r="B35" s="80" t="s">
        <v>208</v>
      </c>
      <c r="C35" s="81"/>
      <c r="D35" s="81"/>
      <c r="E35" s="37">
        <v>5</v>
      </c>
      <c r="F35" s="29">
        <v>4</v>
      </c>
      <c r="G35" s="38">
        <f t="shared" si="0"/>
        <v>0.8</v>
      </c>
      <c r="H35" s="39" t="str">
        <f t="shared" si="1"/>
        <v>جيد جداً</v>
      </c>
      <c r="I35" s="51"/>
      <c r="J35" s="52"/>
    </row>
    <row r="36" spans="1:10" ht="30" customHeight="1" thickBot="1" x14ac:dyDescent="0.35">
      <c r="A36" s="4"/>
      <c r="B36" s="76" t="s">
        <v>5</v>
      </c>
      <c r="C36" s="77"/>
      <c r="D36" s="77"/>
      <c r="E36" s="10">
        <f>SUM(E8:E35)</f>
        <v>125</v>
      </c>
      <c r="F36" s="10">
        <f>SUM(F8:F35)</f>
        <v>91.75</v>
      </c>
      <c r="G36" s="44"/>
      <c r="H36" s="45"/>
      <c r="I36" s="45"/>
      <c r="J36" s="46"/>
    </row>
    <row r="37" spans="1:10" ht="30" customHeight="1" thickBot="1" x14ac:dyDescent="0.35">
      <c r="A37" s="4"/>
      <c r="B37" s="76" t="s">
        <v>52</v>
      </c>
      <c r="C37" s="77"/>
      <c r="D37" s="77"/>
      <c r="E37" s="68">
        <f>F36/E36/100*100</f>
        <v>0.73399999999999999</v>
      </c>
      <c r="F37" s="68"/>
      <c r="G37" s="68"/>
      <c r="H37" s="68"/>
      <c r="I37" s="68"/>
      <c r="J37" s="69"/>
    </row>
    <row r="38" spans="1:10" ht="30" customHeight="1" thickBot="1" x14ac:dyDescent="0.35">
      <c r="A38" s="4"/>
      <c r="B38" s="76" t="s">
        <v>53</v>
      </c>
      <c r="C38" s="77"/>
      <c r="D38" s="77"/>
      <c r="E38" s="59" t="str">
        <f>_xlfn.IFS(E37&gt;=90%,"ممتاز",E37&gt;=80%,"جيد جداً",E37&gt;=70%,"جيد",E37&gt;=60%,"مقبول",E37&lt;60%,"راسب")</f>
        <v>جيد</v>
      </c>
      <c r="F38" s="59"/>
      <c r="G38" s="59"/>
      <c r="H38" s="59"/>
      <c r="I38" s="59"/>
      <c r="J38" s="60"/>
    </row>
    <row r="39" spans="1:10" ht="42" customHeight="1" x14ac:dyDescent="0.3">
      <c r="B39" s="55" t="s">
        <v>172</v>
      </c>
      <c r="C39" s="55"/>
      <c r="D39" s="55"/>
      <c r="E39" s="42" t="s">
        <v>50</v>
      </c>
      <c r="F39" s="42"/>
      <c r="G39" s="57" t="s">
        <v>160</v>
      </c>
      <c r="H39" s="57"/>
      <c r="I39" s="57"/>
      <c r="J39" s="57"/>
    </row>
    <row r="40" spans="1:10" ht="51" customHeight="1" x14ac:dyDescent="0.3">
      <c r="A40" s="5"/>
      <c r="B40" s="56"/>
      <c r="C40" s="56"/>
      <c r="D40" s="56"/>
      <c r="E40" s="43" t="s">
        <v>51</v>
      </c>
      <c r="F40" s="43"/>
      <c r="G40" s="58"/>
      <c r="H40" s="58"/>
      <c r="I40" s="58"/>
      <c r="J40" s="58"/>
    </row>
  </sheetData>
  <sheetProtection sheet="1" formatCells="0" formatColumns="0" formatRows="0" insertColumns="0" insertRows="0" insertHyperlinks="0" deleteColumns="0" deleteRows="0" selectLockedCells="1" sort="0" autoFilter="0" pivotTables="0"/>
  <mergeCells count="77">
    <mergeCell ref="B18:D18"/>
    <mergeCell ref="B19:D19"/>
    <mergeCell ref="B20:D20"/>
    <mergeCell ref="B21:D21"/>
    <mergeCell ref="B35:D35"/>
    <mergeCell ref="B26:D26"/>
    <mergeCell ref="B27:D27"/>
    <mergeCell ref="B28:D28"/>
    <mergeCell ref="B29:D29"/>
    <mergeCell ref="B30:D30"/>
    <mergeCell ref="B31:D31"/>
    <mergeCell ref="B32:D32"/>
    <mergeCell ref="B33:D33"/>
    <mergeCell ref="B34:D34"/>
    <mergeCell ref="B13:D13"/>
    <mergeCell ref="B14:D14"/>
    <mergeCell ref="B15:D15"/>
    <mergeCell ref="B16:D16"/>
    <mergeCell ref="B17:D17"/>
    <mergeCell ref="B8:D8"/>
    <mergeCell ref="B9:D9"/>
    <mergeCell ref="B10:D10"/>
    <mergeCell ref="B11:D11"/>
    <mergeCell ref="B12:D12"/>
    <mergeCell ref="I27:J27"/>
    <mergeCell ref="B22:D22"/>
    <mergeCell ref="B23:D23"/>
    <mergeCell ref="B24:D24"/>
    <mergeCell ref="B25:D25"/>
    <mergeCell ref="B36:D36"/>
    <mergeCell ref="B37:D37"/>
    <mergeCell ref="B38:D38"/>
    <mergeCell ref="I11:J11"/>
    <mergeCell ref="I12:J12"/>
    <mergeCell ref="I13:J13"/>
    <mergeCell ref="I14:J14"/>
    <mergeCell ref="I15:J15"/>
    <mergeCell ref="I16:J16"/>
    <mergeCell ref="I17:J17"/>
    <mergeCell ref="I18:J18"/>
    <mergeCell ref="I28:J28"/>
    <mergeCell ref="I29:J29"/>
    <mergeCell ref="I22:J22"/>
    <mergeCell ref="I23:J23"/>
    <mergeCell ref="I24:J24"/>
    <mergeCell ref="B39:D40"/>
    <mergeCell ref="G39:J39"/>
    <mergeCell ref="G40:J40"/>
    <mergeCell ref="E38:J38"/>
    <mergeCell ref="B1:J1"/>
    <mergeCell ref="F2:J2"/>
    <mergeCell ref="B5:D6"/>
    <mergeCell ref="C2:D2"/>
    <mergeCell ref="C3:D3"/>
    <mergeCell ref="F3:J3"/>
    <mergeCell ref="E37:J37"/>
    <mergeCell ref="B7:D7"/>
    <mergeCell ref="I30:J30"/>
    <mergeCell ref="I31:J31"/>
    <mergeCell ref="E5:H5"/>
    <mergeCell ref="I5:J6"/>
    <mergeCell ref="E39:F39"/>
    <mergeCell ref="E40:F40"/>
    <mergeCell ref="G36:J36"/>
    <mergeCell ref="I9:J9"/>
    <mergeCell ref="I7:J7"/>
    <mergeCell ref="I10:J10"/>
    <mergeCell ref="I19:J19"/>
    <mergeCell ref="I20:J20"/>
    <mergeCell ref="I21:J21"/>
    <mergeCell ref="I32:J32"/>
    <mergeCell ref="I33:J33"/>
    <mergeCell ref="I34:J34"/>
    <mergeCell ref="I35:J35"/>
    <mergeCell ref="I8:J8"/>
    <mergeCell ref="I25:J25"/>
    <mergeCell ref="I26:J26"/>
  </mergeCells>
  <conditionalFormatting sqref="C2:D2">
    <cfRule type="containsText" dxfId="16" priority="18" operator="containsText" text="أدخل الوحدة الخاضعة للتقييم">
      <formula>NOT(ISERROR(SEARCH("أدخل الوحدة الخاضعة للتقييم",C2)))</formula>
    </cfRule>
  </conditionalFormatting>
  <conditionalFormatting sqref="C3:D3">
    <cfRule type="containsText" dxfId="15" priority="17" operator="containsText" text="أدخل أسم قائد الوحدة الخاضعة للتقييم">
      <formula>NOT(ISERROR(SEARCH("أدخل أسم قائد الوحدة الخاضعة للتقييم",C3)))</formula>
    </cfRule>
  </conditionalFormatting>
  <conditionalFormatting sqref="E38">
    <cfRule type="expression" dxfId="14" priority="57">
      <formula>$E38="راسب"</formula>
    </cfRule>
  </conditionalFormatting>
  <conditionalFormatting sqref="E38:J38">
    <cfRule type="expression" dxfId="13" priority="58">
      <formula>$E38="مقبول"</formula>
    </cfRule>
    <cfRule type="expression" dxfId="12" priority="59">
      <formula>$E38="جيد"</formula>
    </cfRule>
    <cfRule type="expression" dxfId="11" priority="60">
      <formula>$E38="جيد جداً"</formula>
    </cfRule>
    <cfRule type="expression" dxfId="10" priority="61">
      <formula>$E38="ممتاز"</formula>
    </cfRule>
  </conditionalFormatting>
  <conditionalFormatting sqref="F8:F35">
    <cfRule type="containsText" dxfId="9" priority="4" operator="containsText" text="أدخل العلامة">
      <formula>NOT(ISERROR(SEARCH("أدخل العلامة",F8)))</formula>
    </cfRule>
  </conditionalFormatting>
  <conditionalFormatting sqref="F2:J2">
    <cfRule type="containsText" dxfId="8" priority="19" operator="containsText" text="أدخل التاريخ">
      <formula>NOT(ISERROR(SEARCH("أدخل التاريخ",F2)))</formula>
    </cfRule>
  </conditionalFormatting>
  <conditionalFormatting sqref="F3:J3">
    <cfRule type="containsText" dxfId="7" priority="16" operator="containsText" text="أدخل أسم المحكم">
      <formula>NOT(ISERROR(SEARCH("أدخل أسم المحكم",F3)))</formula>
    </cfRule>
  </conditionalFormatting>
  <conditionalFormatting sqref="G39:J39">
    <cfRule type="containsText" dxfId="6" priority="15" operator="containsText" text="أدخل اسم المحكم">
      <formula>NOT(ISERROR(SEARCH("أدخل اسم المحكم",G39)))</formula>
    </cfRule>
  </conditionalFormatting>
  <conditionalFormatting sqref="H8:H35">
    <cfRule type="containsText" dxfId="5" priority="5" operator="containsText" text="أدخل العلامة">
      <formula>NOT(ISERROR(SEARCH("أدخل العلامة",H8)))</formula>
    </cfRule>
    <cfRule type="containsText" dxfId="4" priority="6" operator="containsText" text="ممتاز">
      <formula>NOT(ISERROR(SEARCH("ممتاز",H8)))</formula>
    </cfRule>
    <cfRule type="containsText" dxfId="3" priority="7" operator="containsText" text="جيد جداً">
      <formula>NOT(ISERROR(SEARCH("جيد جداً",H8)))</formula>
    </cfRule>
    <cfRule type="containsText" dxfId="2" priority="8" operator="containsText" text="جيد">
      <formula>NOT(ISERROR(SEARCH("جيد",H8)))</formula>
    </cfRule>
    <cfRule type="containsText" dxfId="1" priority="9" operator="containsText" text="مقبول">
      <formula>NOT(ISERROR(SEARCH("مقبول",H8)))</formula>
    </cfRule>
    <cfRule type="containsText" dxfId="0" priority="10" operator="containsText" text="راسب">
      <formula>NOT(ISERROR(SEARCH("راسب",H8)))</formula>
    </cfRule>
  </conditionalFormatting>
  <printOptions horizontalCentered="1"/>
  <pageMargins left="0.70866141732283472" right="0.70866141732283472" top="0.74803149606299213" bottom="0.74803149606299213" header="0.31496062992125984" footer="0.31496062992125984"/>
  <pageSetup paperSize="9" scale="72" fitToHeight="0" orientation="portrait" r:id="rId1"/>
  <headerFooter>
    <oddHeader>&amp;C&amp;"-,Bold"&amp;12&amp;Uسري للغاية</oddHeader>
    <oddFooter>&amp;C&amp;"-,Bold"&amp;P&amp;"-,Regular"
&amp;"-,Bold"&amp;Uسري للغاية</oddFooter>
  </headerFooter>
  <drawing r:id="rId2"/>
  <extLst>
    <ext xmlns:x14="http://schemas.microsoft.com/office/spreadsheetml/2009/9/main" uri="{CCE6A557-97BC-4b89-ADB6-D9C93CAAB3DF}">
      <x14:dataValidations xmlns:xm="http://schemas.microsoft.com/office/excel/2006/main" count="4">
        <x14:dataValidation type="list" allowBlank="1" showInputMessage="1" showErrorMessage="1" xr:uid="{F27846E5-4775-4613-AD3F-6A647663FDD7}">
          <x14:formula1>
            <xm:f>'بيانات التقييم'!$A$38:$A$106</xm:f>
          </x14:formula1>
          <xm:sqref>F2:J2</xm:sqref>
        </x14:dataValidation>
        <x14:dataValidation type="list" allowBlank="1" showInputMessage="1" showErrorMessage="1" xr:uid="{29F5EBBB-8CF0-4EBC-9568-49582573F3A1}">
          <x14:formula1>
            <xm:f>'بيانات التقييم'!$A$1:$A$34</xm:f>
          </x14:formula1>
          <xm:sqref>C2:D2</xm:sqref>
        </x14:dataValidation>
        <x14:dataValidation type="list" allowBlank="1" showInputMessage="1" showErrorMessage="1" xr:uid="{5A7ADC9F-6098-4415-8DD4-849A148D02E3}">
          <x14:formula1>
            <xm:f>'بيانات التقييم'!$A$111:$A$133</xm:f>
          </x14:formula1>
          <xm:sqref>F25:F35 F19:F23 F9:F17</xm:sqref>
        </x14:dataValidation>
        <x14:dataValidation type="list" allowBlank="1" showInputMessage="1" showErrorMessage="1" xr:uid="{BD8CB5A2-5F32-4EAD-A63C-382D3B90B847}">
          <x14:formula1>
            <xm:f>'بيانات التقييم'!$A$198:$A$286</xm:f>
          </x14:formula1>
          <xm:sqref>G39:J39 F3:J3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E0E097-B5B4-4A62-8BA3-2420E658D743}">
  <sheetPr codeName="Sheet3"/>
  <dimension ref="A1:I338"/>
  <sheetViews>
    <sheetView rightToLeft="1" topLeftCell="A54" workbookViewId="0">
      <selection activeCell="A64" sqref="A64"/>
    </sheetView>
  </sheetViews>
  <sheetFormatPr defaultRowHeight="20.100000000000001" customHeight="1" x14ac:dyDescent="0.3"/>
  <cols>
    <col min="1" max="1" width="42.5546875" style="1" customWidth="1"/>
    <col min="2" max="2" width="24.88671875" style="1" customWidth="1"/>
    <col min="3" max="3" width="59.88671875" style="1" customWidth="1"/>
    <col min="4" max="9" width="9" style="1"/>
  </cols>
  <sheetData>
    <row r="1" spans="1:3" ht="20.100000000000001" customHeight="1" thickBot="1" x14ac:dyDescent="0.35">
      <c r="A1" s="2" t="s">
        <v>55</v>
      </c>
      <c r="C1" s="2" t="s">
        <v>58</v>
      </c>
    </row>
    <row r="2" spans="1:3" ht="20.100000000000001" customHeight="1" thickBot="1" x14ac:dyDescent="0.35">
      <c r="A2" s="2" t="s">
        <v>33</v>
      </c>
      <c r="C2" s="20" t="s">
        <v>60</v>
      </c>
    </row>
    <row r="3" spans="1:3" ht="20.100000000000001" customHeight="1" thickBot="1" x14ac:dyDescent="0.35">
      <c r="A3" s="2" t="s">
        <v>24</v>
      </c>
      <c r="C3" s="20" t="s">
        <v>61</v>
      </c>
    </row>
    <row r="4" spans="1:3" ht="20.100000000000001" customHeight="1" thickBot="1" x14ac:dyDescent="0.35">
      <c r="A4" s="2" t="s">
        <v>34</v>
      </c>
      <c r="C4" s="20" t="s">
        <v>62</v>
      </c>
    </row>
    <row r="5" spans="1:3" ht="20.100000000000001" customHeight="1" thickBot="1" x14ac:dyDescent="0.35">
      <c r="A5" s="2" t="s">
        <v>35</v>
      </c>
      <c r="C5" s="20" t="s">
        <v>63</v>
      </c>
    </row>
    <row r="6" spans="1:3" ht="20.100000000000001" customHeight="1" thickBot="1" x14ac:dyDescent="0.35">
      <c r="A6" s="2" t="s">
        <v>36</v>
      </c>
      <c r="C6" s="20" t="s">
        <v>64</v>
      </c>
    </row>
    <row r="7" spans="1:3" ht="20.100000000000001" customHeight="1" thickBot="1" x14ac:dyDescent="0.35">
      <c r="A7" s="2" t="s">
        <v>37</v>
      </c>
      <c r="C7" s="20" t="s">
        <v>65</v>
      </c>
    </row>
    <row r="8" spans="1:3" ht="20.100000000000001" customHeight="1" thickBot="1" x14ac:dyDescent="0.35">
      <c r="A8" s="2" t="s">
        <v>38</v>
      </c>
      <c r="C8" s="20" t="s">
        <v>66</v>
      </c>
    </row>
    <row r="9" spans="1:3" ht="20.100000000000001" customHeight="1" thickBot="1" x14ac:dyDescent="0.35">
      <c r="A9" s="2" t="s">
        <v>39</v>
      </c>
      <c r="C9" s="20" t="s">
        <v>67</v>
      </c>
    </row>
    <row r="10" spans="1:3" ht="20.100000000000001" customHeight="1" thickBot="1" x14ac:dyDescent="0.35">
      <c r="A10" s="2" t="s">
        <v>40</v>
      </c>
      <c r="C10" s="20" t="s">
        <v>68</v>
      </c>
    </row>
    <row r="11" spans="1:3" ht="20.100000000000001" customHeight="1" thickBot="1" x14ac:dyDescent="0.35">
      <c r="A11" s="2" t="s">
        <v>41</v>
      </c>
      <c r="C11" s="20" t="s">
        <v>69</v>
      </c>
    </row>
    <row r="12" spans="1:3" ht="20.100000000000001" customHeight="1" thickBot="1" x14ac:dyDescent="0.35">
      <c r="A12" s="2" t="s">
        <v>42</v>
      </c>
      <c r="C12" s="20" t="s">
        <v>70</v>
      </c>
    </row>
    <row r="13" spans="1:3" ht="20.100000000000001" customHeight="1" thickBot="1" x14ac:dyDescent="0.35">
      <c r="A13" s="2" t="s">
        <v>43</v>
      </c>
      <c r="C13" s="20" t="s">
        <v>71</v>
      </c>
    </row>
    <row r="14" spans="1:3" ht="20.100000000000001" customHeight="1" thickBot="1" x14ac:dyDescent="0.35">
      <c r="A14" s="2" t="s">
        <v>44</v>
      </c>
      <c r="C14" s="20" t="s">
        <v>72</v>
      </c>
    </row>
    <row r="15" spans="1:3" ht="20.100000000000001" customHeight="1" thickBot="1" x14ac:dyDescent="0.35">
      <c r="A15" s="2" t="s">
        <v>45</v>
      </c>
      <c r="C15" s="20" t="s">
        <v>73</v>
      </c>
    </row>
    <row r="16" spans="1:3" ht="20.100000000000001" customHeight="1" thickBot="1" x14ac:dyDescent="0.35">
      <c r="A16" s="2" t="s">
        <v>8</v>
      </c>
      <c r="C16" s="20" t="s">
        <v>74</v>
      </c>
    </row>
    <row r="17" spans="1:3" ht="20.100000000000001" customHeight="1" thickBot="1" x14ac:dyDescent="0.35">
      <c r="A17" s="2" t="s">
        <v>25</v>
      </c>
      <c r="C17" s="20" t="s">
        <v>75</v>
      </c>
    </row>
    <row r="18" spans="1:3" ht="20.100000000000001" customHeight="1" thickBot="1" x14ac:dyDescent="0.35">
      <c r="A18" s="2" t="s">
        <v>46</v>
      </c>
      <c r="C18" s="20" t="s">
        <v>76</v>
      </c>
    </row>
    <row r="19" spans="1:3" ht="20.100000000000001" customHeight="1" thickBot="1" x14ac:dyDescent="0.35">
      <c r="A19" s="2" t="s">
        <v>47</v>
      </c>
      <c r="C19" s="20" t="s">
        <v>77</v>
      </c>
    </row>
    <row r="20" spans="1:3" ht="20.100000000000001" customHeight="1" thickBot="1" x14ac:dyDescent="0.35">
      <c r="A20" s="2" t="s">
        <v>48</v>
      </c>
      <c r="C20" s="20" t="s">
        <v>78</v>
      </c>
    </row>
    <row r="21" spans="1:3" ht="20.100000000000001" customHeight="1" thickBot="1" x14ac:dyDescent="0.35">
      <c r="A21" s="2" t="s">
        <v>49</v>
      </c>
      <c r="C21" s="20" t="s">
        <v>79</v>
      </c>
    </row>
    <row r="22" spans="1:3" ht="20.100000000000001" customHeight="1" thickBot="1" x14ac:dyDescent="0.35">
      <c r="A22" s="2" t="s">
        <v>9</v>
      </c>
      <c r="C22" s="20" t="s">
        <v>80</v>
      </c>
    </row>
    <row r="23" spans="1:3" ht="20.100000000000001" customHeight="1" thickBot="1" x14ac:dyDescent="0.35">
      <c r="A23" s="2" t="s">
        <v>10</v>
      </c>
      <c r="C23" s="20" t="s">
        <v>81</v>
      </c>
    </row>
    <row r="24" spans="1:3" ht="20.100000000000001" customHeight="1" thickBot="1" x14ac:dyDescent="0.35">
      <c r="A24" s="2" t="s">
        <v>13</v>
      </c>
      <c r="C24" s="20" t="s">
        <v>82</v>
      </c>
    </row>
    <row r="25" spans="1:3" ht="20.100000000000001" customHeight="1" thickBot="1" x14ac:dyDescent="0.35">
      <c r="A25" s="2" t="s">
        <v>26</v>
      </c>
      <c r="C25" s="20" t="s">
        <v>83</v>
      </c>
    </row>
    <row r="26" spans="1:3" ht="20.100000000000001" customHeight="1" thickBot="1" x14ac:dyDescent="0.35">
      <c r="A26" s="2" t="s">
        <v>27</v>
      </c>
      <c r="C26" s="20" t="s">
        <v>84</v>
      </c>
    </row>
    <row r="27" spans="1:3" ht="20.100000000000001" customHeight="1" thickBot="1" x14ac:dyDescent="0.35">
      <c r="A27" s="2" t="s">
        <v>11</v>
      </c>
      <c r="C27" s="20" t="s">
        <v>85</v>
      </c>
    </row>
    <row r="28" spans="1:3" ht="20.100000000000001" customHeight="1" thickBot="1" x14ac:dyDescent="0.35">
      <c r="A28" s="2" t="s">
        <v>28</v>
      </c>
      <c r="C28" s="20" t="s">
        <v>86</v>
      </c>
    </row>
    <row r="29" spans="1:3" ht="20.100000000000001" customHeight="1" thickBot="1" x14ac:dyDescent="0.35">
      <c r="A29" s="2" t="s">
        <v>29</v>
      </c>
      <c r="C29" s="20" t="s">
        <v>175</v>
      </c>
    </row>
    <row r="30" spans="1:3" ht="20.100000000000001" customHeight="1" thickBot="1" x14ac:dyDescent="0.35">
      <c r="A30" s="2" t="s">
        <v>30</v>
      </c>
      <c r="C30" s="20" t="s">
        <v>176</v>
      </c>
    </row>
    <row r="31" spans="1:3" ht="20.100000000000001" customHeight="1" thickBot="1" x14ac:dyDescent="0.35">
      <c r="A31" s="2" t="s">
        <v>31</v>
      </c>
      <c r="C31" s="20" t="s">
        <v>177</v>
      </c>
    </row>
    <row r="32" spans="1:3" ht="20.100000000000001" customHeight="1" thickBot="1" x14ac:dyDescent="0.35">
      <c r="A32" s="2" t="s">
        <v>14</v>
      </c>
      <c r="C32" s="20"/>
    </row>
    <row r="33" spans="1:9" ht="20.100000000000001" customHeight="1" thickBot="1" x14ac:dyDescent="0.35">
      <c r="A33" s="2" t="s">
        <v>12</v>
      </c>
      <c r="C33" s="20"/>
    </row>
    <row r="34" spans="1:9" ht="20.100000000000001" customHeight="1" thickBot="1" x14ac:dyDescent="0.35">
      <c r="A34" s="2" t="s">
        <v>32</v>
      </c>
      <c r="C34" s="20"/>
    </row>
    <row r="35" spans="1:9" ht="20.100000000000001" customHeight="1" x14ac:dyDescent="0.3">
      <c r="A35" s="19"/>
    </row>
    <row r="36" spans="1:9" s="18" customFormat="1" ht="20.100000000000001" customHeight="1" x14ac:dyDescent="0.3">
      <c r="A36" s="16"/>
      <c r="B36" s="17"/>
      <c r="C36" s="17"/>
      <c r="D36" s="17"/>
      <c r="E36" s="17"/>
      <c r="F36" s="17"/>
      <c r="G36" s="17"/>
      <c r="H36" s="17"/>
      <c r="I36" s="17"/>
    </row>
    <row r="37" spans="1:9" ht="20.100000000000001" customHeight="1" thickBot="1" x14ac:dyDescent="0.35"/>
    <row r="38" spans="1:9" ht="20.100000000000001" customHeight="1" thickBot="1" x14ac:dyDescent="0.35">
      <c r="A38" s="2" t="s">
        <v>54</v>
      </c>
    </row>
    <row r="39" spans="1:9" ht="20.100000000000001" customHeight="1" thickBot="1" x14ac:dyDescent="0.35">
      <c r="A39" s="14">
        <v>45931</v>
      </c>
    </row>
    <row r="40" spans="1:9" ht="20.100000000000001" customHeight="1" thickBot="1" x14ac:dyDescent="0.35">
      <c r="A40" s="14">
        <v>45932</v>
      </c>
    </row>
    <row r="41" spans="1:9" ht="20.100000000000001" customHeight="1" thickBot="1" x14ac:dyDescent="0.35">
      <c r="A41" s="14">
        <v>45933</v>
      </c>
    </row>
    <row r="42" spans="1:9" ht="20.100000000000001" customHeight="1" thickBot="1" x14ac:dyDescent="0.35">
      <c r="A42" s="14">
        <v>45934</v>
      </c>
    </row>
    <row r="43" spans="1:9" ht="20.100000000000001" customHeight="1" thickBot="1" x14ac:dyDescent="0.35">
      <c r="A43" s="14">
        <v>45935</v>
      </c>
    </row>
    <row r="44" spans="1:9" ht="20.100000000000001" customHeight="1" thickBot="1" x14ac:dyDescent="0.35">
      <c r="A44" s="14">
        <v>45936</v>
      </c>
    </row>
    <row r="45" spans="1:9" ht="20.100000000000001" customHeight="1" thickBot="1" x14ac:dyDescent="0.35">
      <c r="A45" s="14">
        <v>45937</v>
      </c>
    </row>
    <row r="46" spans="1:9" ht="20.100000000000001" customHeight="1" thickBot="1" x14ac:dyDescent="0.35">
      <c r="A46" s="14">
        <v>45938</v>
      </c>
    </row>
    <row r="47" spans="1:9" ht="20.100000000000001" customHeight="1" thickBot="1" x14ac:dyDescent="0.35">
      <c r="A47" s="14">
        <v>45939</v>
      </c>
    </row>
    <row r="48" spans="1:9" ht="20.100000000000001" customHeight="1" thickBot="1" x14ac:dyDescent="0.35">
      <c r="A48" s="14">
        <v>45940</v>
      </c>
    </row>
    <row r="49" spans="1:1" ht="20.100000000000001" customHeight="1" thickBot="1" x14ac:dyDescent="0.35">
      <c r="A49" s="14">
        <v>45941</v>
      </c>
    </row>
    <row r="50" spans="1:1" ht="20.100000000000001" customHeight="1" thickBot="1" x14ac:dyDescent="0.35">
      <c r="A50" s="14">
        <v>45942</v>
      </c>
    </row>
    <row r="51" spans="1:1" ht="20.100000000000001" customHeight="1" thickBot="1" x14ac:dyDescent="0.35">
      <c r="A51" s="14">
        <v>45943</v>
      </c>
    </row>
    <row r="52" spans="1:1" ht="20.100000000000001" customHeight="1" thickBot="1" x14ac:dyDescent="0.35">
      <c r="A52" s="14">
        <v>45944</v>
      </c>
    </row>
    <row r="53" spans="1:1" ht="20.100000000000001" customHeight="1" thickBot="1" x14ac:dyDescent="0.35">
      <c r="A53" s="14">
        <v>45945</v>
      </c>
    </row>
    <row r="54" spans="1:1" ht="20.100000000000001" customHeight="1" thickBot="1" x14ac:dyDescent="0.35">
      <c r="A54" s="14">
        <v>45946</v>
      </c>
    </row>
    <row r="55" spans="1:1" ht="20.100000000000001" customHeight="1" thickBot="1" x14ac:dyDescent="0.35">
      <c r="A55" s="14">
        <v>45947</v>
      </c>
    </row>
    <row r="56" spans="1:1" ht="20.100000000000001" customHeight="1" thickBot="1" x14ac:dyDescent="0.35">
      <c r="A56" s="14">
        <v>45948</v>
      </c>
    </row>
    <row r="57" spans="1:1" ht="20.100000000000001" customHeight="1" thickBot="1" x14ac:dyDescent="0.35">
      <c r="A57" s="14">
        <v>45949</v>
      </c>
    </row>
    <row r="58" spans="1:1" ht="20.100000000000001" customHeight="1" thickBot="1" x14ac:dyDescent="0.35">
      <c r="A58" s="14">
        <v>45950</v>
      </c>
    </row>
    <row r="59" spans="1:1" ht="20.100000000000001" customHeight="1" thickBot="1" x14ac:dyDescent="0.35">
      <c r="A59" s="14">
        <v>45951</v>
      </c>
    </row>
    <row r="60" spans="1:1" ht="20.100000000000001" customHeight="1" thickBot="1" x14ac:dyDescent="0.35">
      <c r="A60" s="14">
        <v>45952</v>
      </c>
    </row>
    <row r="61" spans="1:1" ht="20.100000000000001" customHeight="1" thickBot="1" x14ac:dyDescent="0.35">
      <c r="A61" s="14">
        <v>45953</v>
      </c>
    </row>
    <row r="62" spans="1:1" ht="20.100000000000001" customHeight="1" thickBot="1" x14ac:dyDescent="0.35">
      <c r="A62" s="14">
        <v>45954</v>
      </c>
    </row>
    <row r="63" spans="1:1" ht="20.100000000000001" customHeight="1" thickBot="1" x14ac:dyDescent="0.35">
      <c r="A63" s="14">
        <v>45955</v>
      </c>
    </row>
    <row r="64" spans="1:1" ht="20.100000000000001" customHeight="1" thickBot="1" x14ac:dyDescent="0.35">
      <c r="A64" s="14">
        <v>45956</v>
      </c>
    </row>
    <row r="65" spans="1:1" ht="20.100000000000001" customHeight="1" thickBot="1" x14ac:dyDescent="0.35">
      <c r="A65" s="14">
        <v>45957</v>
      </c>
    </row>
    <row r="66" spans="1:1" ht="20.100000000000001" customHeight="1" thickBot="1" x14ac:dyDescent="0.35">
      <c r="A66" s="14">
        <v>45958</v>
      </c>
    </row>
    <row r="67" spans="1:1" ht="20.100000000000001" customHeight="1" thickBot="1" x14ac:dyDescent="0.35">
      <c r="A67" s="14">
        <v>45959</v>
      </c>
    </row>
    <row r="68" spans="1:1" ht="20.100000000000001" customHeight="1" thickBot="1" x14ac:dyDescent="0.35">
      <c r="A68" s="14">
        <v>45960</v>
      </c>
    </row>
    <row r="69" spans="1:1" ht="20.100000000000001" customHeight="1" thickBot="1" x14ac:dyDescent="0.35">
      <c r="A69" s="14">
        <v>45961</v>
      </c>
    </row>
    <row r="70" spans="1:1" ht="20.100000000000001" customHeight="1" thickBot="1" x14ac:dyDescent="0.35">
      <c r="A70" s="14"/>
    </row>
    <row r="71" spans="1:1" ht="20.100000000000001" customHeight="1" thickBot="1" x14ac:dyDescent="0.35">
      <c r="A71" s="14"/>
    </row>
    <row r="72" spans="1:1" ht="20.100000000000001" customHeight="1" thickBot="1" x14ac:dyDescent="0.35">
      <c r="A72" s="14"/>
    </row>
    <row r="73" spans="1:1" ht="20.100000000000001" customHeight="1" thickBot="1" x14ac:dyDescent="0.35">
      <c r="A73" s="14"/>
    </row>
    <row r="74" spans="1:1" ht="20.100000000000001" customHeight="1" thickBot="1" x14ac:dyDescent="0.35">
      <c r="A74" s="14"/>
    </row>
    <row r="75" spans="1:1" ht="20.100000000000001" customHeight="1" thickBot="1" x14ac:dyDescent="0.35">
      <c r="A75" s="14"/>
    </row>
    <row r="76" spans="1:1" ht="20.100000000000001" customHeight="1" thickBot="1" x14ac:dyDescent="0.35">
      <c r="A76" s="14"/>
    </row>
    <row r="77" spans="1:1" ht="20.100000000000001" customHeight="1" thickBot="1" x14ac:dyDescent="0.35">
      <c r="A77" s="14"/>
    </row>
    <row r="78" spans="1:1" ht="20.100000000000001" customHeight="1" thickBot="1" x14ac:dyDescent="0.35">
      <c r="A78" s="14"/>
    </row>
    <row r="79" spans="1:1" ht="20.100000000000001" customHeight="1" thickBot="1" x14ac:dyDescent="0.35">
      <c r="A79" s="14"/>
    </row>
    <row r="80" spans="1:1" ht="20.100000000000001" customHeight="1" thickBot="1" x14ac:dyDescent="0.35">
      <c r="A80" s="14"/>
    </row>
    <row r="81" spans="1:1" ht="20.100000000000001" customHeight="1" thickBot="1" x14ac:dyDescent="0.35">
      <c r="A81" s="14"/>
    </row>
    <row r="82" spans="1:1" ht="20.100000000000001" customHeight="1" thickBot="1" x14ac:dyDescent="0.35">
      <c r="A82" s="14"/>
    </row>
    <row r="83" spans="1:1" ht="20.100000000000001" customHeight="1" thickBot="1" x14ac:dyDescent="0.35">
      <c r="A83" s="14"/>
    </row>
    <row r="84" spans="1:1" ht="20.100000000000001" customHeight="1" thickBot="1" x14ac:dyDescent="0.35">
      <c r="A84" s="14"/>
    </row>
    <row r="85" spans="1:1" ht="20.100000000000001" customHeight="1" thickBot="1" x14ac:dyDescent="0.35">
      <c r="A85" s="14"/>
    </row>
    <row r="86" spans="1:1" ht="20.100000000000001" customHeight="1" thickBot="1" x14ac:dyDescent="0.35">
      <c r="A86" s="14"/>
    </row>
    <row r="87" spans="1:1" ht="20.100000000000001" customHeight="1" thickBot="1" x14ac:dyDescent="0.35">
      <c r="A87" s="14"/>
    </row>
    <row r="88" spans="1:1" ht="20.100000000000001" customHeight="1" thickBot="1" x14ac:dyDescent="0.35">
      <c r="A88" s="14"/>
    </row>
    <row r="89" spans="1:1" ht="20.100000000000001" customHeight="1" thickBot="1" x14ac:dyDescent="0.35">
      <c r="A89" s="14"/>
    </row>
    <row r="90" spans="1:1" ht="20.100000000000001" customHeight="1" thickBot="1" x14ac:dyDescent="0.35">
      <c r="A90" s="14"/>
    </row>
    <row r="91" spans="1:1" ht="20.100000000000001" customHeight="1" thickBot="1" x14ac:dyDescent="0.35">
      <c r="A91" s="14"/>
    </row>
    <row r="92" spans="1:1" ht="20.100000000000001" customHeight="1" thickBot="1" x14ac:dyDescent="0.35">
      <c r="A92" s="14"/>
    </row>
    <row r="93" spans="1:1" ht="20.100000000000001" customHeight="1" thickBot="1" x14ac:dyDescent="0.35">
      <c r="A93" s="14"/>
    </row>
    <row r="94" spans="1:1" ht="20.100000000000001" customHeight="1" thickBot="1" x14ac:dyDescent="0.35">
      <c r="A94" s="14"/>
    </row>
    <row r="95" spans="1:1" ht="20.100000000000001" customHeight="1" thickBot="1" x14ac:dyDescent="0.35">
      <c r="A95" s="14"/>
    </row>
    <row r="96" spans="1:1" ht="20.100000000000001" customHeight="1" thickBot="1" x14ac:dyDescent="0.35">
      <c r="A96" s="14"/>
    </row>
    <row r="97" spans="1:9" ht="20.100000000000001" customHeight="1" thickBot="1" x14ac:dyDescent="0.35">
      <c r="A97" s="14"/>
    </row>
    <row r="98" spans="1:9" ht="20.100000000000001" customHeight="1" thickBot="1" x14ac:dyDescent="0.35">
      <c r="A98" s="14"/>
    </row>
    <row r="99" spans="1:9" ht="20.100000000000001" customHeight="1" thickBot="1" x14ac:dyDescent="0.35">
      <c r="A99" s="14"/>
    </row>
    <row r="100" spans="1:9" ht="20.100000000000001" customHeight="1" thickBot="1" x14ac:dyDescent="0.35">
      <c r="A100" s="14"/>
    </row>
    <row r="101" spans="1:9" ht="20.100000000000001" customHeight="1" thickBot="1" x14ac:dyDescent="0.35">
      <c r="A101" s="14"/>
    </row>
    <row r="102" spans="1:9" ht="20.100000000000001" customHeight="1" thickBot="1" x14ac:dyDescent="0.35">
      <c r="A102" s="14"/>
    </row>
    <row r="103" spans="1:9" ht="20.100000000000001" customHeight="1" thickBot="1" x14ac:dyDescent="0.35">
      <c r="A103" s="14"/>
    </row>
    <row r="104" spans="1:9" ht="20.100000000000001" customHeight="1" thickBot="1" x14ac:dyDescent="0.35">
      <c r="A104" s="14"/>
    </row>
    <row r="105" spans="1:9" ht="20.100000000000001" customHeight="1" thickBot="1" x14ac:dyDescent="0.35">
      <c r="A105" s="14"/>
    </row>
    <row r="106" spans="1:9" ht="20.100000000000001" customHeight="1" thickBot="1" x14ac:dyDescent="0.35">
      <c r="A106" s="14"/>
    </row>
    <row r="107" spans="1:9" ht="20.100000000000001" customHeight="1" x14ac:dyDescent="0.3">
      <c r="A107" s="15"/>
    </row>
    <row r="108" spans="1:9" ht="20.100000000000001" customHeight="1" x14ac:dyDescent="0.3">
      <c r="A108" s="15"/>
    </row>
    <row r="109" spans="1:9" s="18" customFormat="1" ht="20.100000000000001" customHeight="1" x14ac:dyDescent="0.3">
      <c r="A109" s="16"/>
      <c r="B109" s="17"/>
      <c r="C109" s="17"/>
      <c r="D109" s="17"/>
      <c r="E109" s="17"/>
      <c r="F109" s="17"/>
      <c r="G109" s="17"/>
      <c r="H109" s="17"/>
      <c r="I109" s="17"/>
    </row>
    <row r="110" spans="1:9" ht="20.100000000000001" customHeight="1" thickBot="1" x14ac:dyDescent="0.35"/>
    <row r="111" spans="1:9" ht="20.100000000000001" customHeight="1" thickBot="1" x14ac:dyDescent="0.35">
      <c r="A111" s="2" t="s">
        <v>59</v>
      </c>
    </row>
    <row r="112" spans="1:9" ht="20.100000000000001" customHeight="1" thickBot="1" x14ac:dyDescent="0.35">
      <c r="A112" s="2" t="s">
        <v>15</v>
      </c>
    </row>
    <row r="113" spans="1:1" ht="20.100000000000001" customHeight="1" thickBot="1" x14ac:dyDescent="0.35">
      <c r="A113" s="2">
        <v>0</v>
      </c>
    </row>
    <row r="114" spans="1:1" ht="20.100000000000001" customHeight="1" thickBot="1" x14ac:dyDescent="0.35">
      <c r="A114" s="2">
        <v>0.25</v>
      </c>
    </row>
    <row r="115" spans="1:1" ht="20.100000000000001" customHeight="1" thickBot="1" x14ac:dyDescent="0.35">
      <c r="A115" s="2">
        <v>0.5</v>
      </c>
    </row>
    <row r="116" spans="1:1" ht="20.100000000000001" customHeight="1" thickBot="1" x14ac:dyDescent="0.35">
      <c r="A116" s="2">
        <v>0.75</v>
      </c>
    </row>
    <row r="117" spans="1:1" ht="20.100000000000001" customHeight="1" thickBot="1" x14ac:dyDescent="0.35">
      <c r="A117" s="2">
        <v>1</v>
      </c>
    </row>
    <row r="118" spans="1:1" ht="20.100000000000001" customHeight="1" thickBot="1" x14ac:dyDescent="0.35">
      <c r="A118" s="2">
        <v>1.25</v>
      </c>
    </row>
    <row r="119" spans="1:1" ht="20.100000000000001" customHeight="1" thickBot="1" x14ac:dyDescent="0.35">
      <c r="A119" s="2">
        <v>1.5</v>
      </c>
    </row>
    <row r="120" spans="1:1" ht="20.100000000000001" customHeight="1" thickBot="1" x14ac:dyDescent="0.35">
      <c r="A120" s="2">
        <v>1.75</v>
      </c>
    </row>
    <row r="121" spans="1:1" ht="20.100000000000001" customHeight="1" thickBot="1" x14ac:dyDescent="0.35">
      <c r="A121" s="2">
        <v>2</v>
      </c>
    </row>
    <row r="122" spans="1:1" ht="20.100000000000001" customHeight="1" thickBot="1" x14ac:dyDescent="0.35">
      <c r="A122" s="2">
        <v>2.25</v>
      </c>
    </row>
    <row r="123" spans="1:1" ht="20.100000000000001" customHeight="1" thickBot="1" x14ac:dyDescent="0.35">
      <c r="A123" s="2">
        <v>2.5</v>
      </c>
    </row>
    <row r="124" spans="1:1" ht="20.100000000000001" customHeight="1" thickBot="1" x14ac:dyDescent="0.35">
      <c r="A124" s="2">
        <v>2.75</v>
      </c>
    </row>
    <row r="125" spans="1:1" ht="20.100000000000001" customHeight="1" thickBot="1" x14ac:dyDescent="0.35">
      <c r="A125" s="2">
        <v>3</v>
      </c>
    </row>
    <row r="126" spans="1:1" ht="20.100000000000001" customHeight="1" thickBot="1" x14ac:dyDescent="0.35">
      <c r="A126" s="2">
        <v>3.25</v>
      </c>
    </row>
    <row r="127" spans="1:1" ht="20.100000000000001" customHeight="1" thickBot="1" x14ac:dyDescent="0.35">
      <c r="A127" s="2">
        <v>3.5</v>
      </c>
    </row>
    <row r="128" spans="1:1" ht="20.100000000000001" customHeight="1" thickBot="1" x14ac:dyDescent="0.35">
      <c r="A128" s="2">
        <v>3.75</v>
      </c>
    </row>
    <row r="129" spans="1:1" ht="20.100000000000001" customHeight="1" thickBot="1" x14ac:dyDescent="0.35">
      <c r="A129" s="2">
        <v>4</v>
      </c>
    </row>
    <row r="130" spans="1:1" ht="20.100000000000001" customHeight="1" thickBot="1" x14ac:dyDescent="0.35">
      <c r="A130" s="2">
        <v>4.25</v>
      </c>
    </row>
    <row r="131" spans="1:1" ht="20.100000000000001" customHeight="1" thickBot="1" x14ac:dyDescent="0.35">
      <c r="A131" s="2">
        <v>4.5</v>
      </c>
    </row>
    <row r="132" spans="1:1" ht="20.100000000000001" customHeight="1" thickBot="1" x14ac:dyDescent="0.35">
      <c r="A132" s="2">
        <v>4.75</v>
      </c>
    </row>
    <row r="133" spans="1:1" ht="20.100000000000001" customHeight="1" thickBot="1" x14ac:dyDescent="0.35">
      <c r="A133" s="2">
        <v>5</v>
      </c>
    </row>
    <row r="134" spans="1:1" ht="20.100000000000001" customHeight="1" thickBot="1" x14ac:dyDescent="0.35">
      <c r="A134" s="2">
        <v>5.25</v>
      </c>
    </row>
    <row r="135" spans="1:1" ht="20.100000000000001" customHeight="1" thickBot="1" x14ac:dyDescent="0.35">
      <c r="A135" s="2">
        <v>5.5</v>
      </c>
    </row>
    <row r="136" spans="1:1" ht="20.100000000000001" customHeight="1" thickBot="1" x14ac:dyDescent="0.35">
      <c r="A136" s="2">
        <v>5.75</v>
      </c>
    </row>
    <row r="137" spans="1:1" ht="20.100000000000001" customHeight="1" thickBot="1" x14ac:dyDescent="0.35">
      <c r="A137" s="2">
        <v>6</v>
      </c>
    </row>
    <row r="138" spans="1:1" ht="20.100000000000001" customHeight="1" thickBot="1" x14ac:dyDescent="0.35">
      <c r="A138" s="2">
        <v>6.25</v>
      </c>
    </row>
    <row r="139" spans="1:1" ht="20.100000000000001" customHeight="1" thickBot="1" x14ac:dyDescent="0.35">
      <c r="A139" s="2">
        <v>6.5</v>
      </c>
    </row>
    <row r="140" spans="1:1" ht="20.100000000000001" customHeight="1" thickBot="1" x14ac:dyDescent="0.35">
      <c r="A140" s="2">
        <v>6.75</v>
      </c>
    </row>
    <row r="141" spans="1:1" ht="20.100000000000001" customHeight="1" thickBot="1" x14ac:dyDescent="0.35">
      <c r="A141" s="2">
        <v>7</v>
      </c>
    </row>
    <row r="142" spans="1:1" ht="20.100000000000001" customHeight="1" thickBot="1" x14ac:dyDescent="0.35">
      <c r="A142" s="2">
        <v>7.25</v>
      </c>
    </row>
    <row r="143" spans="1:1" ht="20.100000000000001" customHeight="1" thickBot="1" x14ac:dyDescent="0.35">
      <c r="A143" s="2">
        <v>7.5</v>
      </c>
    </row>
    <row r="144" spans="1:1" ht="20.100000000000001" customHeight="1" thickBot="1" x14ac:dyDescent="0.35">
      <c r="A144" s="2">
        <v>7.75</v>
      </c>
    </row>
    <row r="145" spans="1:1" ht="20.100000000000001" customHeight="1" thickBot="1" x14ac:dyDescent="0.35">
      <c r="A145" s="2">
        <v>8</v>
      </c>
    </row>
    <row r="146" spans="1:1" ht="20.100000000000001" customHeight="1" thickBot="1" x14ac:dyDescent="0.35">
      <c r="A146" s="2">
        <v>8.25</v>
      </c>
    </row>
    <row r="147" spans="1:1" ht="20.100000000000001" customHeight="1" thickBot="1" x14ac:dyDescent="0.35">
      <c r="A147" s="2">
        <v>8.5</v>
      </c>
    </row>
    <row r="148" spans="1:1" ht="20.100000000000001" customHeight="1" thickBot="1" x14ac:dyDescent="0.35">
      <c r="A148" s="2">
        <v>8.75</v>
      </c>
    </row>
    <row r="149" spans="1:1" ht="20.100000000000001" customHeight="1" thickBot="1" x14ac:dyDescent="0.35">
      <c r="A149" s="2">
        <v>9</v>
      </c>
    </row>
    <row r="150" spans="1:1" ht="20.100000000000001" customHeight="1" thickBot="1" x14ac:dyDescent="0.35">
      <c r="A150" s="2">
        <v>9.25</v>
      </c>
    </row>
    <row r="151" spans="1:1" ht="20.100000000000001" customHeight="1" thickBot="1" x14ac:dyDescent="0.35">
      <c r="A151" s="2">
        <v>9.5</v>
      </c>
    </row>
    <row r="152" spans="1:1" ht="20.100000000000001" customHeight="1" thickBot="1" x14ac:dyDescent="0.35">
      <c r="A152" s="2">
        <v>9.75</v>
      </c>
    </row>
    <row r="153" spans="1:1" ht="20.100000000000001" customHeight="1" thickBot="1" x14ac:dyDescent="0.35">
      <c r="A153" s="2">
        <v>10</v>
      </c>
    </row>
    <row r="154" spans="1:1" ht="20.100000000000001" customHeight="1" thickBot="1" x14ac:dyDescent="0.35">
      <c r="A154" s="2">
        <v>10.25</v>
      </c>
    </row>
    <row r="155" spans="1:1" ht="20.100000000000001" customHeight="1" thickBot="1" x14ac:dyDescent="0.35">
      <c r="A155" s="2">
        <v>10.5</v>
      </c>
    </row>
    <row r="156" spans="1:1" ht="20.100000000000001" customHeight="1" thickBot="1" x14ac:dyDescent="0.35">
      <c r="A156" s="2">
        <v>10.75</v>
      </c>
    </row>
    <row r="157" spans="1:1" ht="20.100000000000001" customHeight="1" thickBot="1" x14ac:dyDescent="0.35">
      <c r="A157" s="2">
        <v>11</v>
      </c>
    </row>
    <row r="158" spans="1:1" ht="20.100000000000001" customHeight="1" thickBot="1" x14ac:dyDescent="0.35">
      <c r="A158" s="2">
        <v>11.25</v>
      </c>
    </row>
    <row r="159" spans="1:1" ht="20.100000000000001" customHeight="1" thickBot="1" x14ac:dyDescent="0.35">
      <c r="A159" s="2">
        <v>11.5</v>
      </c>
    </row>
    <row r="160" spans="1:1" ht="20.100000000000001" customHeight="1" thickBot="1" x14ac:dyDescent="0.35">
      <c r="A160" s="2">
        <v>11.75</v>
      </c>
    </row>
    <row r="161" spans="1:1" ht="20.100000000000001" customHeight="1" thickBot="1" x14ac:dyDescent="0.35">
      <c r="A161" s="2">
        <v>12</v>
      </c>
    </row>
    <row r="162" spans="1:1" ht="20.100000000000001" customHeight="1" thickBot="1" x14ac:dyDescent="0.35">
      <c r="A162" s="2">
        <v>12.25</v>
      </c>
    </row>
    <row r="163" spans="1:1" ht="20.100000000000001" customHeight="1" thickBot="1" x14ac:dyDescent="0.35">
      <c r="A163" s="2">
        <v>12.5</v>
      </c>
    </row>
    <row r="164" spans="1:1" ht="20.100000000000001" customHeight="1" thickBot="1" x14ac:dyDescent="0.35">
      <c r="A164" s="2">
        <v>12.75</v>
      </c>
    </row>
    <row r="165" spans="1:1" ht="20.100000000000001" customHeight="1" thickBot="1" x14ac:dyDescent="0.35">
      <c r="A165" s="2">
        <v>13</v>
      </c>
    </row>
    <row r="166" spans="1:1" ht="20.100000000000001" customHeight="1" thickBot="1" x14ac:dyDescent="0.35">
      <c r="A166" s="2">
        <v>13.25</v>
      </c>
    </row>
    <row r="167" spans="1:1" ht="20.100000000000001" customHeight="1" thickBot="1" x14ac:dyDescent="0.35">
      <c r="A167" s="2">
        <v>13.5</v>
      </c>
    </row>
    <row r="168" spans="1:1" ht="20.100000000000001" customHeight="1" thickBot="1" x14ac:dyDescent="0.35">
      <c r="A168" s="2">
        <v>13.75</v>
      </c>
    </row>
    <row r="169" spans="1:1" ht="20.100000000000001" customHeight="1" thickBot="1" x14ac:dyDescent="0.35">
      <c r="A169" s="2">
        <v>14</v>
      </c>
    </row>
    <row r="170" spans="1:1" ht="20.100000000000001" customHeight="1" thickBot="1" x14ac:dyDescent="0.35">
      <c r="A170" s="2">
        <v>14.25</v>
      </c>
    </row>
    <row r="171" spans="1:1" ht="20.100000000000001" customHeight="1" thickBot="1" x14ac:dyDescent="0.35">
      <c r="A171" s="2">
        <v>14.5</v>
      </c>
    </row>
    <row r="172" spans="1:1" ht="20.100000000000001" customHeight="1" thickBot="1" x14ac:dyDescent="0.35">
      <c r="A172" s="2">
        <v>14.75</v>
      </c>
    </row>
    <row r="173" spans="1:1" ht="20.100000000000001" customHeight="1" thickBot="1" x14ac:dyDescent="0.35">
      <c r="A173" s="2">
        <v>15</v>
      </c>
    </row>
    <row r="174" spans="1:1" ht="20.100000000000001" customHeight="1" thickBot="1" x14ac:dyDescent="0.35">
      <c r="A174" s="2">
        <v>15.25</v>
      </c>
    </row>
    <row r="175" spans="1:1" ht="20.100000000000001" customHeight="1" thickBot="1" x14ac:dyDescent="0.35">
      <c r="A175" s="2">
        <v>15.5</v>
      </c>
    </row>
    <row r="176" spans="1:1" ht="20.100000000000001" customHeight="1" thickBot="1" x14ac:dyDescent="0.35">
      <c r="A176" s="2">
        <v>15.75</v>
      </c>
    </row>
    <row r="177" spans="1:1" ht="20.100000000000001" customHeight="1" thickBot="1" x14ac:dyDescent="0.35">
      <c r="A177" s="2">
        <v>16</v>
      </c>
    </row>
    <row r="178" spans="1:1" ht="20.100000000000001" customHeight="1" thickBot="1" x14ac:dyDescent="0.35">
      <c r="A178" s="2">
        <v>16.25</v>
      </c>
    </row>
    <row r="179" spans="1:1" ht="20.100000000000001" customHeight="1" thickBot="1" x14ac:dyDescent="0.35">
      <c r="A179" s="2">
        <v>16.5</v>
      </c>
    </row>
    <row r="180" spans="1:1" ht="20.100000000000001" customHeight="1" thickBot="1" x14ac:dyDescent="0.35">
      <c r="A180" s="2">
        <v>16.75</v>
      </c>
    </row>
    <row r="181" spans="1:1" ht="20.100000000000001" customHeight="1" thickBot="1" x14ac:dyDescent="0.35">
      <c r="A181" s="2">
        <v>17</v>
      </c>
    </row>
    <row r="182" spans="1:1" ht="20.100000000000001" customHeight="1" thickBot="1" x14ac:dyDescent="0.35">
      <c r="A182" s="2">
        <v>17.25</v>
      </c>
    </row>
    <row r="183" spans="1:1" ht="20.100000000000001" customHeight="1" thickBot="1" x14ac:dyDescent="0.35">
      <c r="A183" s="2">
        <v>17.5</v>
      </c>
    </row>
    <row r="184" spans="1:1" ht="20.100000000000001" customHeight="1" thickBot="1" x14ac:dyDescent="0.35">
      <c r="A184" s="2">
        <v>17.75</v>
      </c>
    </row>
    <row r="185" spans="1:1" ht="20.100000000000001" customHeight="1" thickBot="1" x14ac:dyDescent="0.35">
      <c r="A185" s="2">
        <v>18</v>
      </c>
    </row>
    <row r="186" spans="1:1" ht="20.100000000000001" customHeight="1" thickBot="1" x14ac:dyDescent="0.35">
      <c r="A186" s="2">
        <v>18.25</v>
      </c>
    </row>
    <row r="187" spans="1:1" ht="20.100000000000001" customHeight="1" thickBot="1" x14ac:dyDescent="0.35">
      <c r="A187" s="2">
        <v>18.5</v>
      </c>
    </row>
    <row r="188" spans="1:1" ht="20.100000000000001" customHeight="1" thickBot="1" x14ac:dyDescent="0.35">
      <c r="A188" s="2">
        <v>18.75</v>
      </c>
    </row>
    <row r="189" spans="1:1" ht="20.100000000000001" customHeight="1" thickBot="1" x14ac:dyDescent="0.35">
      <c r="A189" s="2">
        <v>19</v>
      </c>
    </row>
    <row r="190" spans="1:1" ht="20.100000000000001" customHeight="1" thickBot="1" x14ac:dyDescent="0.35">
      <c r="A190" s="2">
        <v>19.25</v>
      </c>
    </row>
    <row r="191" spans="1:1" ht="20.100000000000001" customHeight="1" thickBot="1" x14ac:dyDescent="0.35">
      <c r="A191" s="2">
        <v>19.5</v>
      </c>
    </row>
    <row r="192" spans="1:1" ht="20.100000000000001" customHeight="1" thickBot="1" x14ac:dyDescent="0.35">
      <c r="A192" s="2">
        <v>19.75</v>
      </c>
    </row>
    <row r="193" spans="1:1" ht="20.100000000000001" customHeight="1" thickBot="1" x14ac:dyDescent="0.35">
      <c r="A193" s="2">
        <v>20</v>
      </c>
    </row>
    <row r="197" spans="1:1" ht="20.100000000000001" customHeight="1" thickBot="1" x14ac:dyDescent="0.35"/>
    <row r="198" spans="1:1" ht="20.100000000000001" customHeight="1" thickBot="1" x14ac:dyDescent="0.35">
      <c r="A198" s="2" t="s">
        <v>57</v>
      </c>
    </row>
    <row r="199" spans="1:1" ht="20.100000000000001" customHeight="1" x14ac:dyDescent="0.3">
      <c r="A199" s="21" t="s">
        <v>87</v>
      </c>
    </row>
    <row r="200" spans="1:1" ht="20.100000000000001" customHeight="1" x14ac:dyDescent="0.3">
      <c r="A200" s="21" t="s">
        <v>88</v>
      </c>
    </row>
    <row r="201" spans="1:1" ht="20.100000000000001" customHeight="1" x14ac:dyDescent="0.3">
      <c r="A201" s="21" t="s">
        <v>89</v>
      </c>
    </row>
    <row r="202" spans="1:1" ht="20.100000000000001" customHeight="1" x14ac:dyDescent="0.3">
      <c r="A202" s="21" t="s">
        <v>90</v>
      </c>
    </row>
    <row r="203" spans="1:1" ht="20.100000000000001" customHeight="1" x14ac:dyDescent="0.3">
      <c r="A203" s="21" t="s">
        <v>91</v>
      </c>
    </row>
    <row r="204" spans="1:1" ht="20.100000000000001" customHeight="1" x14ac:dyDescent="0.3">
      <c r="A204" s="21" t="s">
        <v>92</v>
      </c>
    </row>
    <row r="205" spans="1:1" ht="20.100000000000001" customHeight="1" x14ac:dyDescent="0.3">
      <c r="A205" s="21" t="s">
        <v>93</v>
      </c>
    </row>
    <row r="206" spans="1:1" ht="20.100000000000001" customHeight="1" x14ac:dyDescent="0.3">
      <c r="A206" s="21" t="s">
        <v>94</v>
      </c>
    </row>
    <row r="207" spans="1:1" ht="20.100000000000001" customHeight="1" x14ac:dyDescent="0.3">
      <c r="A207" s="21" t="s">
        <v>95</v>
      </c>
    </row>
    <row r="208" spans="1:1" ht="20.100000000000001" customHeight="1" x14ac:dyDescent="0.3">
      <c r="A208" s="22" t="s">
        <v>96</v>
      </c>
    </row>
    <row r="209" spans="1:1" ht="20.100000000000001" customHeight="1" x14ac:dyDescent="0.3">
      <c r="A209" s="22" t="s">
        <v>97</v>
      </c>
    </row>
    <row r="210" spans="1:1" ht="20.100000000000001" customHeight="1" x14ac:dyDescent="0.3">
      <c r="A210" s="21" t="s">
        <v>98</v>
      </c>
    </row>
    <row r="211" spans="1:1" ht="20.100000000000001" customHeight="1" x14ac:dyDescent="0.3">
      <c r="A211" s="21" t="s">
        <v>99</v>
      </c>
    </row>
    <row r="212" spans="1:1" ht="20.100000000000001" customHeight="1" x14ac:dyDescent="0.3">
      <c r="A212" s="21" t="s">
        <v>173</v>
      </c>
    </row>
    <row r="213" spans="1:1" ht="20.100000000000001" customHeight="1" x14ac:dyDescent="0.3">
      <c r="A213" s="21" t="s">
        <v>100</v>
      </c>
    </row>
    <row r="214" spans="1:1" ht="20.100000000000001" customHeight="1" x14ac:dyDescent="0.3">
      <c r="A214" s="21" t="s">
        <v>101</v>
      </c>
    </row>
    <row r="215" spans="1:1" ht="20.100000000000001" customHeight="1" x14ac:dyDescent="0.3">
      <c r="A215" s="21" t="s">
        <v>102</v>
      </c>
    </row>
    <row r="216" spans="1:1" ht="20.100000000000001" customHeight="1" x14ac:dyDescent="0.3">
      <c r="A216" s="21" t="s">
        <v>103</v>
      </c>
    </row>
    <row r="217" spans="1:1" ht="20.100000000000001" customHeight="1" x14ac:dyDescent="0.3">
      <c r="A217" s="21" t="s">
        <v>104</v>
      </c>
    </row>
    <row r="218" spans="1:1" ht="20.100000000000001" customHeight="1" x14ac:dyDescent="0.3">
      <c r="A218" s="21" t="s">
        <v>105</v>
      </c>
    </row>
    <row r="219" spans="1:1" ht="20.100000000000001" customHeight="1" x14ac:dyDescent="0.3">
      <c r="A219" s="21" t="s">
        <v>106</v>
      </c>
    </row>
    <row r="220" spans="1:1" ht="20.100000000000001" customHeight="1" x14ac:dyDescent="0.3">
      <c r="A220" s="21" t="s">
        <v>107</v>
      </c>
    </row>
    <row r="221" spans="1:1" ht="20.100000000000001" customHeight="1" x14ac:dyDescent="0.3">
      <c r="A221" s="21" t="s">
        <v>108</v>
      </c>
    </row>
    <row r="222" spans="1:1" ht="20.100000000000001" customHeight="1" x14ac:dyDescent="0.3">
      <c r="A222" s="21" t="s">
        <v>109</v>
      </c>
    </row>
    <row r="223" spans="1:1" ht="20.100000000000001" customHeight="1" x14ac:dyDescent="0.3">
      <c r="A223" s="21" t="s">
        <v>110</v>
      </c>
    </row>
    <row r="224" spans="1:1" ht="20.100000000000001" customHeight="1" x14ac:dyDescent="0.3">
      <c r="A224" s="21" t="s">
        <v>174</v>
      </c>
    </row>
    <row r="225" spans="1:1" ht="20.100000000000001" customHeight="1" x14ac:dyDescent="0.3">
      <c r="A225" s="21" t="s">
        <v>111</v>
      </c>
    </row>
    <row r="226" spans="1:1" ht="20.100000000000001" customHeight="1" x14ac:dyDescent="0.3">
      <c r="A226" s="21" t="s">
        <v>112</v>
      </c>
    </row>
    <row r="227" spans="1:1" ht="20.100000000000001" customHeight="1" x14ac:dyDescent="0.3">
      <c r="A227" s="21" t="s">
        <v>113</v>
      </c>
    </row>
    <row r="228" spans="1:1" ht="20.100000000000001" customHeight="1" x14ac:dyDescent="0.3">
      <c r="A228" s="21" t="s">
        <v>114</v>
      </c>
    </row>
    <row r="229" spans="1:1" ht="20.100000000000001" customHeight="1" x14ac:dyDescent="0.3">
      <c r="A229" s="21" t="s">
        <v>115</v>
      </c>
    </row>
    <row r="230" spans="1:1" ht="20.100000000000001" customHeight="1" x14ac:dyDescent="0.3">
      <c r="A230" s="21" t="s">
        <v>116</v>
      </c>
    </row>
    <row r="231" spans="1:1" ht="20.100000000000001" customHeight="1" x14ac:dyDescent="0.3">
      <c r="A231" s="21" t="s">
        <v>117</v>
      </c>
    </row>
    <row r="232" spans="1:1" ht="20.100000000000001" customHeight="1" x14ac:dyDescent="0.3">
      <c r="A232" s="21" t="s">
        <v>118</v>
      </c>
    </row>
    <row r="233" spans="1:1" ht="20.100000000000001" customHeight="1" x14ac:dyDescent="0.3">
      <c r="A233" s="21" t="s">
        <v>119</v>
      </c>
    </row>
    <row r="234" spans="1:1" ht="20.100000000000001" customHeight="1" x14ac:dyDescent="0.3">
      <c r="A234" s="21" t="s">
        <v>120</v>
      </c>
    </row>
    <row r="235" spans="1:1" ht="20.100000000000001" customHeight="1" x14ac:dyDescent="0.3">
      <c r="A235" s="21" t="s">
        <v>121</v>
      </c>
    </row>
    <row r="236" spans="1:1" ht="20.100000000000001" customHeight="1" x14ac:dyDescent="0.3">
      <c r="A236" s="23" t="s">
        <v>122</v>
      </c>
    </row>
    <row r="237" spans="1:1" ht="20.100000000000001" customHeight="1" x14ac:dyDescent="0.3">
      <c r="A237" s="21" t="s">
        <v>123</v>
      </c>
    </row>
    <row r="238" spans="1:1" ht="20.100000000000001" customHeight="1" x14ac:dyDescent="0.3">
      <c r="A238" s="21" t="s">
        <v>124</v>
      </c>
    </row>
    <row r="239" spans="1:1" ht="20.100000000000001" customHeight="1" x14ac:dyDescent="0.3">
      <c r="A239" s="21" t="s">
        <v>125</v>
      </c>
    </row>
    <row r="240" spans="1:1" ht="20.100000000000001" customHeight="1" x14ac:dyDescent="0.3">
      <c r="A240" s="21" t="s">
        <v>126</v>
      </c>
    </row>
    <row r="241" spans="1:1" ht="20.100000000000001" customHeight="1" x14ac:dyDescent="0.3">
      <c r="A241" s="21" t="s">
        <v>127</v>
      </c>
    </row>
    <row r="242" spans="1:1" ht="20.100000000000001" customHeight="1" x14ac:dyDescent="0.3">
      <c r="A242" s="21" t="s">
        <v>128</v>
      </c>
    </row>
    <row r="243" spans="1:1" ht="20.100000000000001" customHeight="1" x14ac:dyDescent="0.3">
      <c r="A243" s="21" t="s">
        <v>129</v>
      </c>
    </row>
    <row r="244" spans="1:1" ht="20.100000000000001" customHeight="1" x14ac:dyDescent="0.3">
      <c r="A244" s="21" t="s">
        <v>130</v>
      </c>
    </row>
    <row r="245" spans="1:1" ht="20.100000000000001" customHeight="1" x14ac:dyDescent="0.3">
      <c r="A245" s="21" t="s">
        <v>131</v>
      </c>
    </row>
    <row r="246" spans="1:1" ht="20.100000000000001" customHeight="1" x14ac:dyDescent="0.3">
      <c r="A246" s="21" t="s">
        <v>132</v>
      </c>
    </row>
    <row r="247" spans="1:1" ht="20.100000000000001" customHeight="1" x14ac:dyDescent="0.3">
      <c r="A247" s="21" t="s">
        <v>133</v>
      </c>
    </row>
    <row r="248" spans="1:1" ht="20.100000000000001" customHeight="1" x14ac:dyDescent="0.3">
      <c r="A248" s="21" t="s">
        <v>124</v>
      </c>
    </row>
    <row r="249" spans="1:1" ht="20.100000000000001" customHeight="1" x14ac:dyDescent="0.3">
      <c r="A249" s="21" t="s">
        <v>134</v>
      </c>
    </row>
    <row r="250" spans="1:1" ht="20.100000000000001" customHeight="1" x14ac:dyDescent="0.3">
      <c r="A250" s="21" t="s">
        <v>135</v>
      </c>
    </row>
    <row r="251" spans="1:1" ht="20.100000000000001" customHeight="1" x14ac:dyDescent="0.3">
      <c r="A251" s="23" t="s">
        <v>136</v>
      </c>
    </row>
    <row r="252" spans="1:1" ht="20.100000000000001" customHeight="1" x14ac:dyDescent="0.3">
      <c r="A252" s="24" t="s">
        <v>137</v>
      </c>
    </row>
    <row r="253" spans="1:1" ht="20.100000000000001" customHeight="1" x14ac:dyDescent="0.3">
      <c r="A253" s="21" t="s">
        <v>138</v>
      </c>
    </row>
    <row r="254" spans="1:1" ht="20.100000000000001" customHeight="1" x14ac:dyDescent="0.3">
      <c r="A254" s="21" t="s">
        <v>139</v>
      </c>
    </row>
    <row r="255" spans="1:1" ht="20.100000000000001" customHeight="1" x14ac:dyDescent="0.3">
      <c r="A255" s="25" t="s">
        <v>140</v>
      </c>
    </row>
    <row r="256" spans="1:1" ht="20.100000000000001" customHeight="1" x14ac:dyDescent="0.3">
      <c r="A256" s="25" t="s">
        <v>141</v>
      </c>
    </row>
    <row r="257" spans="1:1" ht="20.100000000000001" customHeight="1" x14ac:dyDescent="0.3">
      <c r="A257" s="26" t="s">
        <v>142</v>
      </c>
    </row>
    <row r="258" spans="1:1" ht="20.100000000000001" customHeight="1" x14ac:dyDescent="0.3">
      <c r="A258" s="21" t="s">
        <v>143</v>
      </c>
    </row>
    <row r="259" spans="1:1" ht="20.100000000000001" customHeight="1" x14ac:dyDescent="0.3">
      <c r="A259" s="26" t="s">
        <v>144</v>
      </c>
    </row>
    <row r="260" spans="1:1" ht="20.100000000000001" customHeight="1" x14ac:dyDescent="0.3">
      <c r="A260" s="21" t="s">
        <v>145</v>
      </c>
    </row>
    <row r="261" spans="1:1" ht="20.100000000000001" customHeight="1" x14ac:dyDescent="0.3">
      <c r="A261" s="26" t="s">
        <v>146</v>
      </c>
    </row>
    <row r="262" spans="1:1" ht="20.100000000000001" customHeight="1" x14ac:dyDescent="0.3">
      <c r="A262" s="21" t="s">
        <v>147</v>
      </c>
    </row>
    <row r="263" spans="1:1" ht="20.100000000000001" customHeight="1" x14ac:dyDescent="0.3">
      <c r="A263" s="21" t="s">
        <v>148</v>
      </c>
    </row>
    <row r="264" spans="1:1" ht="20.100000000000001" customHeight="1" x14ac:dyDescent="0.3">
      <c r="A264" s="26" t="s">
        <v>149</v>
      </c>
    </row>
    <row r="265" spans="1:1" ht="20.100000000000001" customHeight="1" x14ac:dyDescent="0.3">
      <c r="A265" s="26" t="s">
        <v>150</v>
      </c>
    </row>
    <row r="266" spans="1:1" ht="20.100000000000001" customHeight="1" x14ac:dyDescent="0.3">
      <c r="A266" s="26" t="s">
        <v>151</v>
      </c>
    </row>
    <row r="267" spans="1:1" ht="20.100000000000001" customHeight="1" x14ac:dyDescent="0.3">
      <c r="A267" s="21" t="s">
        <v>152</v>
      </c>
    </row>
    <row r="268" spans="1:1" ht="20.100000000000001" customHeight="1" x14ac:dyDescent="0.3">
      <c r="A268" s="21" t="s">
        <v>153</v>
      </c>
    </row>
    <row r="269" spans="1:1" ht="20.100000000000001" customHeight="1" x14ac:dyDescent="0.3">
      <c r="A269" s="21" t="s">
        <v>154</v>
      </c>
    </row>
    <row r="270" spans="1:1" ht="20.100000000000001" customHeight="1" x14ac:dyDescent="0.3">
      <c r="A270" s="21" t="s">
        <v>155</v>
      </c>
    </row>
    <row r="271" spans="1:1" ht="20.100000000000001" customHeight="1" x14ac:dyDescent="0.3">
      <c r="A271" s="26" t="s">
        <v>156</v>
      </c>
    </row>
    <row r="272" spans="1:1" ht="20.100000000000001" customHeight="1" x14ac:dyDescent="0.3">
      <c r="A272" s="26" t="s">
        <v>157</v>
      </c>
    </row>
    <row r="273" spans="1:1" ht="20.100000000000001" customHeight="1" x14ac:dyDescent="0.3">
      <c r="A273" s="21" t="s">
        <v>158</v>
      </c>
    </row>
    <row r="274" spans="1:1" ht="20.100000000000001" customHeight="1" x14ac:dyDescent="0.3">
      <c r="A274" s="26" t="s">
        <v>159</v>
      </c>
    </row>
    <row r="275" spans="1:1" ht="20.100000000000001" customHeight="1" x14ac:dyDescent="0.3">
      <c r="A275" s="26" t="s">
        <v>160</v>
      </c>
    </row>
    <row r="276" spans="1:1" ht="20.100000000000001" customHeight="1" x14ac:dyDescent="0.3">
      <c r="A276" s="21" t="s">
        <v>161</v>
      </c>
    </row>
    <row r="277" spans="1:1" ht="20.100000000000001" customHeight="1" x14ac:dyDescent="0.3">
      <c r="A277" s="21" t="s">
        <v>162</v>
      </c>
    </row>
    <row r="278" spans="1:1" ht="20.100000000000001" customHeight="1" x14ac:dyDescent="0.3">
      <c r="A278" s="26" t="s">
        <v>163</v>
      </c>
    </row>
    <row r="279" spans="1:1" ht="20.100000000000001" customHeight="1" x14ac:dyDescent="0.3">
      <c r="A279" s="21" t="s">
        <v>164</v>
      </c>
    </row>
    <row r="280" spans="1:1" ht="20.100000000000001" customHeight="1" x14ac:dyDescent="0.3">
      <c r="A280" s="21" t="s">
        <v>165</v>
      </c>
    </row>
    <row r="281" spans="1:1" ht="20.100000000000001" customHeight="1" x14ac:dyDescent="0.3">
      <c r="A281" s="21" t="s">
        <v>166</v>
      </c>
    </row>
    <row r="282" spans="1:1" ht="20.100000000000001" customHeight="1" x14ac:dyDescent="0.3">
      <c r="A282" s="21" t="s">
        <v>167</v>
      </c>
    </row>
    <row r="283" spans="1:1" ht="20.100000000000001" customHeight="1" x14ac:dyDescent="0.3">
      <c r="A283" s="26" t="s">
        <v>168</v>
      </c>
    </row>
    <row r="284" spans="1:1" ht="20.100000000000001" customHeight="1" x14ac:dyDescent="0.3">
      <c r="A284" s="26" t="s">
        <v>169</v>
      </c>
    </row>
    <row r="285" spans="1:1" ht="20.100000000000001" customHeight="1" x14ac:dyDescent="0.3">
      <c r="A285" s="26" t="s">
        <v>170</v>
      </c>
    </row>
    <row r="286" spans="1:1" ht="20.100000000000001" customHeight="1" thickBot="1" x14ac:dyDescent="0.35">
      <c r="A286" s="21" t="s">
        <v>171</v>
      </c>
    </row>
    <row r="287" spans="1:1" ht="20.100000000000001" customHeight="1" thickBot="1" x14ac:dyDescent="0.35">
      <c r="A287" s="2" t="s">
        <v>56</v>
      </c>
    </row>
    <row r="288" spans="1:1" ht="20.100000000000001" customHeight="1" thickBot="1" x14ac:dyDescent="0.35">
      <c r="A288" s="2" t="s">
        <v>56</v>
      </c>
    </row>
    <row r="289" spans="1:1" ht="20.100000000000001" customHeight="1" thickBot="1" x14ac:dyDescent="0.35">
      <c r="A289" s="2" t="s">
        <v>56</v>
      </c>
    </row>
    <row r="290" spans="1:1" ht="20.100000000000001" customHeight="1" thickBot="1" x14ac:dyDescent="0.35">
      <c r="A290" s="2" t="s">
        <v>56</v>
      </c>
    </row>
    <row r="291" spans="1:1" ht="20.100000000000001" customHeight="1" thickBot="1" x14ac:dyDescent="0.35">
      <c r="A291" s="2" t="s">
        <v>56</v>
      </c>
    </row>
    <row r="292" spans="1:1" ht="20.100000000000001" customHeight="1" thickBot="1" x14ac:dyDescent="0.35">
      <c r="A292" s="2" t="s">
        <v>56</v>
      </c>
    </row>
    <row r="293" spans="1:1" ht="20.100000000000001" customHeight="1" thickBot="1" x14ac:dyDescent="0.35">
      <c r="A293" s="2" t="s">
        <v>56</v>
      </c>
    </row>
    <row r="294" spans="1:1" ht="20.100000000000001" customHeight="1" thickBot="1" x14ac:dyDescent="0.35">
      <c r="A294" s="2" t="s">
        <v>56</v>
      </c>
    </row>
    <row r="295" spans="1:1" ht="20.100000000000001" customHeight="1" thickBot="1" x14ac:dyDescent="0.35">
      <c r="A295" s="2" t="s">
        <v>56</v>
      </c>
    </row>
    <row r="296" spans="1:1" ht="20.100000000000001" customHeight="1" thickBot="1" x14ac:dyDescent="0.35">
      <c r="A296" s="2" t="s">
        <v>56</v>
      </c>
    </row>
    <row r="297" spans="1:1" ht="20.100000000000001" customHeight="1" thickBot="1" x14ac:dyDescent="0.35">
      <c r="A297" s="2" t="s">
        <v>56</v>
      </c>
    </row>
    <row r="298" spans="1:1" ht="20.100000000000001" customHeight="1" thickBot="1" x14ac:dyDescent="0.35">
      <c r="A298" s="2" t="s">
        <v>56</v>
      </c>
    </row>
    <row r="299" spans="1:1" ht="20.100000000000001" customHeight="1" thickBot="1" x14ac:dyDescent="0.35">
      <c r="A299" s="2" t="s">
        <v>56</v>
      </c>
    </row>
    <row r="300" spans="1:1" ht="20.100000000000001" customHeight="1" thickBot="1" x14ac:dyDescent="0.35">
      <c r="A300" s="2" t="s">
        <v>56</v>
      </c>
    </row>
    <row r="301" spans="1:1" ht="20.100000000000001" customHeight="1" thickBot="1" x14ac:dyDescent="0.35">
      <c r="A301" s="2" t="s">
        <v>56</v>
      </c>
    </row>
    <row r="302" spans="1:1" ht="20.100000000000001" customHeight="1" thickBot="1" x14ac:dyDescent="0.35">
      <c r="A302" s="2" t="s">
        <v>56</v>
      </c>
    </row>
    <row r="303" spans="1:1" ht="20.100000000000001" customHeight="1" thickBot="1" x14ac:dyDescent="0.35">
      <c r="A303" s="2" t="s">
        <v>56</v>
      </c>
    </row>
    <row r="304" spans="1:1" ht="20.100000000000001" customHeight="1" thickBot="1" x14ac:dyDescent="0.35">
      <c r="A304" s="2" t="s">
        <v>56</v>
      </c>
    </row>
    <row r="305" spans="1:1" ht="20.100000000000001" customHeight="1" thickBot="1" x14ac:dyDescent="0.35">
      <c r="A305" s="2" t="s">
        <v>56</v>
      </c>
    </row>
    <row r="306" spans="1:1" ht="20.100000000000001" customHeight="1" thickBot="1" x14ac:dyDescent="0.35">
      <c r="A306" s="2" t="s">
        <v>56</v>
      </c>
    </row>
    <row r="307" spans="1:1" ht="20.100000000000001" customHeight="1" thickBot="1" x14ac:dyDescent="0.35">
      <c r="A307" s="2" t="s">
        <v>56</v>
      </c>
    </row>
    <row r="308" spans="1:1" ht="20.100000000000001" customHeight="1" thickBot="1" x14ac:dyDescent="0.35">
      <c r="A308" s="2" t="s">
        <v>56</v>
      </c>
    </row>
    <row r="309" spans="1:1" ht="20.100000000000001" customHeight="1" thickBot="1" x14ac:dyDescent="0.35">
      <c r="A309" s="2" t="s">
        <v>56</v>
      </c>
    </row>
    <row r="310" spans="1:1" ht="20.100000000000001" customHeight="1" thickBot="1" x14ac:dyDescent="0.35">
      <c r="A310" s="2" t="s">
        <v>56</v>
      </c>
    </row>
    <row r="311" spans="1:1" ht="20.100000000000001" customHeight="1" thickBot="1" x14ac:dyDescent="0.35">
      <c r="A311" s="2" t="s">
        <v>56</v>
      </c>
    </row>
    <row r="312" spans="1:1" ht="20.100000000000001" customHeight="1" thickBot="1" x14ac:dyDescent="0.35">
      <c r="A312" s="2" t="s">
        <v>56</v>
      </c>
    </row>
    <row r="313" spans="1:1" ht="20.100000000000001" customHeight="1" thickBot="1" x14ac:dyDescent="0.35">
      <c r="A313" s="2" t="s">
        <v>56</v>
      </c>
    </row>
    <row r="314" spans="1:1" ht="20.100000000000001" customHeight="1" thickBot="1" x14ac:dyDescent="0.35">
      <c r="A314" s="2" t="s">
        <v>56</v>
      </c>
    </row>
    <row r="315" spans="1:1" ht="20.100000000000001" customHeight="1" thickBot="1" x14ac:dyDescent="0.35">
      <c r="A315" s="2" t="s">
        <v>56</v>
      </c>
    </row>
    <row r="316" spans="1:1" ht="20.100000000000001" customHeight="1" thickBot="1" x14ac:dyDescent="0.35">
      <c r="A316" s="2" t="s">
        <v>56</v>
      </c>
    </row>
    <row r="317" spans="1:1" ht="20.100000000000001" customHeight="1" thickBot="1" x14ac:dyDescent="0.35">
      <c r="A317" s="2" t="s">
        <v>56</v>
      </c>
    </row>
    <row r="318" spans="1:1" ht="20.100000000000001" customHeight="1" thickBot="1" x14ac:dyDescent="0.35">
      <c r="A318" s="2" t="s">
        <v>56</v>
      </c>
    </row>
    <row r="319" spans="1:1" ht="20.100000000000001" customHeight="1" thickBot="1" x14ac:dyDescent="0.35">
      <c r="A319" s="2" t="s">
        <v>56</v>
      </c>
    </row>
    <row r="320" spans="1:1" ht="20.100000000000001" customHeight="1" thickBot="1" x14ac:dyDescent="0.35">
      <c r="A320" s="2" t="s">
        <v>56</v>
      </c>
    </row>
    <row r="321" spans="1:1" ht="20.100000000000001" customHeight="1" thickBot="1" x14ac:dyDescent="0.35">
      <c r="A321" s="2" t="s">
        <v>56</v>
      </c>
    </row>
    <row r="322" spans="1:1" ht="20.100000000000001" customHeight="1" thickBot="1" x14ac:dyDescent="0.35">
      <c r="A322" s="2" t="s">
        <v>56</v>
      </c>
    </row>
    <row r="323" spans="1:1" ht="20.100000000000001" customHeight="1" thickBot="1" x14ac:dyDescent="0.35">
      <c r="A323" s="2" t="s">
        <v>56</v>
      </c>
    </row>
    <row r="324" spans="1:1" ht="20.100000000000001" customHeight="1" thickBot="1" x14ac:dyDescent="0.35">
      <c r="A324" s="2" t="s">
        <v>56</v>
      </c>
    </row>
    <row r="325" spans="1:1" ht="20.100000000000001" customHeight="1" thickBot="1" x14ac:dyDescent="0.35">
      <c r="A325" s="2" t="s">
        <v>56</v>
      </c>
    </row>
    <row r="326" spans="1:1" ht="20.100000000000001" customHeight="1" thickBot="1" x14ac:dyDescent="0.35">
      <c r="A326" s="2" t="s">
        <v>56</v>
      </c>
    </row>
    <row r="327" spans="1:1" ht="20.100000000000001" customHeight="1" thickBot="1" x14ac:dyDescent="0.35">
      <c r="A327" s="2" t="s">
        <v>56</v>
      </c>
    </row>
    <row r="328" spans="1:1" ht="20.100000000000001" customHeight="1" thickBot="1" x14ac:dyDescent="0.35">
      <c r="A328" s="2" t="s">
        <v>56</v>
      </c>
    </row>
    <row r="329" spans="1:1" ht="20.100000000000001" customHeight="1" thickBot="1" x14ac:dyDescent="0.35">
      <c r="A329" s="2" t="s">
        <v>56</v>
      </c>
    </row>
    <row r="330" spans="1:1" ht="20.100000000000001" customHeight="1" thickBot="1" x14ac:dyDescent="0.35">
      <c r="A330" s="2" t="s">
        <v>56</v>
      </c>
    </row>
    <row r="331" spans="1:1" ht="20.100000000000001" customHeight="1" thickBot="1" x14ac:dyDescent="0.35">
      <c r="A331" s="2" t="s">
        <v>56</v>
      </c>
    </row>
    <row r="332" spans="1:1" ht="20.100000000000001" customHeight="1" thickBot="1" x14ac:dyDescent="0.35">
      <c r="A332" s="2" t="s">
        <v>56</v>
      </c>
    </row>
    <row r="333" spans="1:1" ht="20.100000000000001" customHeight="1" thickBot="1" x14ac:dyDescent="0.35">
      <c r="A333" s="2" t="s">
        <v>56</v>
      </c>
    </row>
    <row r="334" spans="1:1" ht="20.100000000000001" customHeight="1" thickBot="1" x14ac:dyDescent="0.35">
      <c r="A334" s="2" t="s">
        <v>56</v>
      </c>
    </row>
    <row r="335" spans="1:1" ht="20.100000000000001" customHeight="1" thickBot="1" x14ac:dyDescent="0.35">
      <c r="A335" s="2" t="s">
        <v>56</v>
      </c>
    </row>
    <row r="336" spans="1:1" ht="20.100000000000001" customHeight="1" thickBot="1" x14ac:dyDescent="0.35">
      <c r="A336" s="2" t="s">
        <v>56</v>
      </c>
    </row>
    <row r="337" spans="1:1" ht="20.100000000000001" customHeight="1" thickBot="1" x14ac:dyDescent="0.35">
      <c r="A337" s="2" t="s">
        <v>56</v>
      </c>
    </row>
    <row r="338" spans="1:1" ht="20.100000000000001" customHeight="1" thickBot="1" x14ac:dyDescent="0.35">
      <c r="A338" s="2" t="s">
        <v>56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3</vt:i4>
      </vt:variant>
    </vt:vector>
  </HeadingPairs>
  <TitlesOfParts>
    <vt:vector size="5" baseType="lpstr">
      <vt:lpstr>قائمة التقييم</vt:lpstr>
      <vt:lpstr>بيانات التقييم</vt:lpstr>
      <vt:lpstr>'قائمة التقييم'!_Hlk189049123</vt:lpstr>
      <vt:lpstr>'قائمة التقييم'!Print_Area</vt:lpstr>
      <vt:lpstr>'قائمة التقييم'!Print_Titles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2025-10-15T21:46:01Z</dcterms:modified>
</cp:coreProperties>
</file>