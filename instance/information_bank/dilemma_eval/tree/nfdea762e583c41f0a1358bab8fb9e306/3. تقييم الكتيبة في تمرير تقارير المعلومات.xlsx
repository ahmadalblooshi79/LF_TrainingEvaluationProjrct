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7C428F03-A6B5-7A40-ABC3-EFB17F521FAB}"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<sst xmlns="http://schemas.openxmlformats.org/spreadsheetml/2006/main" count="258" uniqueCount="202">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</sst>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621825</xdr:colOff>
      <xdr:row>36</xdr:row>
      <xdr:rowOff>174215</xdr:rowOff>
    </xdr:from>
    <xdr:to>
      <xdr:col>8</xdr:col>
      <xdr:colOff>37884</xdr:colOff>
      <xdr:row>36</xdr:row>
      <xdr:rowOff>469775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991E6C64-0AF2-7798-428B-B006F36CE185}"/>
                </a:ext>
              </a:extLst>
            </xdr14:cNvPr>
            <xdr14:cNvContentPartPr/>
          </xdr14:nvContentPartPr>
          <xdr14:nvPr macro=""/>
          <xdr14:xfrm>
            <a:off x="10399207025" y="18473760"/>
            <a:ext cx="732240" cy="295560"/>
          </xdr14:xfrm>
        </xdr:contentPart>
      </mc:Choice>
      <mc:Fallback>
        <xdr:pic>
          <xdr:nvPicPr>
            <xdr:cNvPr id="2" name="Ink 1">
              <a:extLst>
                <a:ext uri="{FF2B5EF4-FFF2-40B4-BE49-F238E27FC236}">
                  <a16:creationId xmlns:a16="http://schemas.microsoft.com/office/drawing/2014/main" id="{991E6C64-0AF2-7798-428B-B006F36CE185}"/>
                </a:ext>
              </a:extLst>
            </xdr:cNvPr>
            <xdr:cNvPicPr/>
          </xdr:nvPicPr>
          <xdr:blipFill>
            <a:blip xmlns:r="http://schemas.openxmlformats.org/officeDocument/2006/relationships" r:embed="rId2"/>
            <a:stretch>
              <a:fillRect/>
            </a:stretch>
          </xdr:blipFill>
          <xdr:spPr>
            <a:xfrm>
              <a:off x="10399200905" y="18467640"/>
              <a:ext cx="744480" cy="307800"/>
            </a:xfrm>
            <a:prstGeom prst="rect">
              <a:avLst/>
            </a:prstGeom>
          </xdr:spPr>
        </xdr:pic>
      </mc:Fallback>
    </mc:AlternateContent>
    <xdr:clientData/>
  </xdr:twoCellAnchor>
  <xdr:twoCellAnchor editAs="oneCell">
    <xdr:from>
      <xdr:col>8</xdr:col>
      <xdr:colOff>31404</xdr:colOff>
      <xdr:row>36</xdr:row>
      <xdr:rowOff>147575</xdr:rowOff>
    </xdr:from>
    <xdr:to>
      <xdr:col>9</xdr:col>
      <xdr:colOff>411914</xdr:colOff>
      <xdr:row>36</xdr:row>
      <xdr:rowOff>529175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1C3BE744-C54E-2E1F-8ABA-02CB29D8E0D0}"/>
                </a:ext>
              </a:extLst>
            </xdr14:cNvPr>
            <xdr14:cNvContentPartPr/>
          </xdr14:nvContentPartPr>
          <xdr14:nvPr macro=""/>
          <xdr14:xfrm>
            <a:off x="10398174905" y="18447120"/>
            <a:ext cx="1038600" cy="381600"/>
          </xdr14:xfrm>
        </xdr:contentPart>
      </mc:Choice>
      <mc:Fallback>
        <xdr:pic>
          <xdr:nvPicPr>
            <xdr:cNvPr id="3" name="Ink 2">
              <a:extLst>
                <a:ext uri="{FF2B5EF4-FFF2-40B4-BE49-F238E27FC236}">
                  <a16:creationId xmlns:a16="http://schemas.microsoft.com/office/drawing/2014/main" id="{1C3BE744-C54E-2E1F-8ABA-02CB29D8E0D0}"/>
                </a:ext>
              </a:extLst>
            </xdr:cNvPr>
            <xdr:cNvPicPr/>
          </xdr:nvPicPr>
          <xdr:blipFill>
            <a:blip xmlns:r="http://schemas.openxmlformats.org/officeDocument/2006/relationships" r:embed="rId4"/>
            <a:stretch>
              <a:fillRect/>
            </a:stretch>
          </xdr:blipFill>
          <xdr:spPr>
            <a:xfrm>
              <a:off x="10398168785" y="18441000"/>
              <a:ext cx="1050840" cy="3938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9:01:54.302"/>
    </inkml:context>
    <inkml:brush xml:id="br0">
      <inkml:brushProperty name="width" value="0.035" units="cm"/>
      <inkml:brushProperty name="height" value="0.035" units="cm"/>
    </inkml:brush>
  </inkml:definitions>
  <inkml:trace contextRef="#ctx0" brushRef="#br0">1282 801 7641,'0'0'0,"0"4"4497,0-4-4497,0 4 2785,-5 1-537,5-1-159,0-3-393,0-1-1696,0 2 1432,0-2-295,0 0-153,0 0-104,0 0-880,0 0 608,0 0-32,0 0-112,0-3-16,0 3-448,0-3 328,0 3-63,0-4-1,0 1-96,0 3-168,0-4 72,0-1 232,0 1-200,0-9-192,0 13 88,3-2 512,-3-11-320,0 10 24,0-10 336,0 13-552,0-4-48,0-9 224,0 9-120,0-13 56,0 17-112,-5-13 64,3-1-96,-1-2 184,-2-2-184,5 18 32,-2-19 96,0-2-112,-1 1 80,3 1-80,0 19 16,-5-17 16,5 2 72,-2-1-144,0 0 160,2 16-104,0-12-64,-5-1 64,0 9 96,3-13-48,2 17-48,-5-5 112,0-9-24,3 10 152,-1-10-320,3 14 80,0-5 112,-5-9-144,3 10-16,2-12 0,0 16 48,0-4-16,0-12 32,-5 12-160,5-9 288,0 13-144,0-4 16,0 0-32,0-8 112,3 10-112,-3 2 16,2-3-32,-2-2-192,2 1 104,6 1-40,-8 3 160,2-4-88,10 1 104,-10-1 88,15 1-104,-17 3 0,10-3 32,-3 0 32,8-1-248,-1 0-8,-14 4 192,12-4-168,2-1 152,1 1-152,-6-7-80,-9 11 248,17-3 16,-5-1-128,0 1 208,3 3 240,-15 0-336,12-3-32,2 3 8,3-3-8,-2 3 0,-15 0 32,16-3 432,1 0 8,-2 1-208,-1-1 80,-14 3-312,17-3-64,0 0 32,-5 0 96,0 0-96,-12 3 32,12-4-32,2 0 24,1 0 32,2-1 152,-17 5-176,19-4-64,0-7 128,0 6-176,3-9-8,-22 14 120,19-11-80,5-1-312,-2 0 200,-3-1-144,-19 13 336,27-13-344,-6 0 456,-2 2-40,3-1-8,-22 12-64,14-4 360,1-10-344,-1 11 0,-2-8 304,-12 11-320,8-3-72,6-1 88,-7-8-64,8 12-128,-15 0 176,2-4 32,8 0-16,-3 1 16,-2 0 80,-5 3-112,5-3-32,-1 0 0,-1 3 16,-3-2-152,0 2 168,0 0-16,0 0-48,0 0-104,0 0 72,0 0 96,0 0-248,0 0 64,0 1-48,-12 0-8,12-1 240,0 3-184,-12 2-32,9-1 176,-9 1-88,12-5 128,-5 13-120,-11-8 32,13 7 0,-11-7-80,14-5 168,-12 14 16,0-9 136,-8 13-120,6-4 112,14-14-144,-22 14 168,3 2-240,-5-2 96,0 3 104,24-17-128,-24 18-112,0-1 176,0 3-112,0 0 16,24-20 32,-22 22 48,-2 0-80,3 0 112,-1-2-144,22-20 64,-24 18-56,2-1 40,1 2-32,1-1 64,20-18-16,-21 17-120,1 0-32,-1-1 48,1-2 56,20-14 48,-16 13 0,-4 0-104,1 1 168,2-1-168,17-13 104,-21 12-48,6 1 184,-2-9-208,1 9 80,16-13-8,-15 4 48,1 8-32,2-9 0,-3 1-64,15-4 48,-12 3 152,-2 0-216,4-2 80,-2 2 136,12-3-152,-12 1-72,0-1 40,0 0 104,7 0-56,5 0-16,-19-3 0,5 1 136,-3-3-72,0-7 24,17 12-88,-17-5 72,-2-9 24,0 1-40,-1-1-88,20 14 32,-24-16 152,0-2-24,-5 0 40,5-1 0,24 19-168,-21-20 256,-3 0-144,2 2-128,-2-2 272,24 20-256,-22-20-56,3 0 192,-5 2-104,2-1-48,22 19 16,-21-20-96,-1 2-56,3 1 64,0 1-176,19 16 264,-15-13 16,1 9-48,2-12-256,2 12 152,10 4 136,-2-14-32,-10 11-360,7-10 552,2 10-48,3 3-112,-2-4-408,0 0 408,-1 0-320,-2-1 24,5 5 296,-2-3 40,2 3-48,0-2 16,-2 2 8,2 0-16,0 0 32,0 0-104,0 0 232,0 1-160,0-1 0,4 4 288,13 8 192,-5-1-192,3 0 128,-15-11-416,14 13 0,3 0 16,-3-2-48,3 2 80,-17-13-48,15 16 120,1-1 80,4 1 64,-6 0-176,-14-16-88,17 13 112,0-1-128,0 0-168,-3-1 256,-14-11-72,12 11-24,0 1 64,-7-7-240,9 11 168,-14-16 32,5 11-56,10-5-88,-13 8 192,3-8-96,-5-6 48,2 13-120,-2-9 40,0 9 296,0-9-416,0-4 200,-5 12 16,-7-8-48,8 10 112,-13-10 8,17-4-88,-17 13 64,0-9-16,-5 9 72,6-9-160,16-4 40,-22 12-32,-2-9 72,2 1-408,-2 2 336,24-6 32,-21 5 200,-8 1-208,5-2-184,-3 2-16,27-6 208,-26 4-456,2 2 136,2-2 352,0-1 24,22-3-56,-19 1 80,7-1-24,7 0 24,-7 0-160,12 0 80,0-2-16,0-1 48,0 0-48,0 0 32,0 3-16,0-4-16,0-8-56,5 10-24,9-11 96,-14 13 0,5-5-120,7-10 152,-9 11-80,9-12-8,-12 16 56,7-4 136,-2-11-184,2 11 128,-5-7-56,-2 11-24,5-3-24,-5-1 96,0-8-56,0 12 72,0 0-88,-5-2 32,-7-1-32,-2 0-88,-3 0 88,17 3 0,-24 0 56,0 0-8,-5 0 104,3 0 16,26 0-168,-32 0 104,4 1 96,-1 1-32,-3-1-72,32-1-96,-26 2 136,-3-1-40,3-1 40,4 0-24,22 0-112,-19 0-32,2-4 16,0 0-112,0-1-104,17 5 232,-17-11-408,1 7-568,11-8-1073,-12 8-1239,17 4 3288,-5-13-6330,-12 10-5056,17 3 11386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9:01:54.968"/>
    </inkml:context>
    <inkml:brush xml:id="br0">
      <inkml:brushProperty name="width" value="0.035" units="cm"/>
      <inkml:brushProperty name="height" value="0.035" units="cm"/>
    </inkml:brush>
  </inkml:definitions>
  <inkml:trace contextRef="#ctx0" brushRef="#br0">1590 539 10986,'0'0'0,"2"-2"5001,-2 2-5001,3-5 760,9-6-392,-7 11 72,0 1 176,-5-1-616,14 12 577,-2-7-25,7 11 64,0-3-8,-19-13-608,27 13 696,4-2 48,10 0 224,2-6-39,-43-5-929,51 11 984,2-10 32,5 2-200,-1-1-48,-57-2-768,58 0 633,0 0-49,-5 0-808,0-12 552,-53 12-328,50-4 360,1-14-168,-6-1 744,-1-1-648,-44 20-288,43-23 208,-5-1-8,3-1-216,-2-5-80,-39 30 96,43-30-16,-9-3-120,4-1 136,-9 3-80,-29 31 80,31-33-104,-4 3 104,-6 3-568,-1 2 608,-20 25-40,12-23-200,-5 0 248,-5 3 568,1 0-496,-3 20-120,2-17 360,-2 0-160,-12 0 16,-5 2-120,17 15-96,-21-15 0,-6 3-96,-7 0 240,-4 8-112,38 4-32,-41-11 144,-9 11-40,-1 0-256,3 0-56,48 0 208,-53 1-280,-2 13 184,4-1-72,-9 4 296,60-17-128,-58 20-32,-4 3-16,-13 5-80,1 5-120,74-33 248,-80 37-24,-6 3-240,-3 4 400,-3 0-168,92-44 32,-93 44-56,-4 3 240,3-3-64,-4 4 440,98-48-560,-99 50 376,-7 0 112,1-3-360,-4-2-336,109-45 208,-50 20-312,-18 6-96,4-1 48,-9 6-72,73-31 432,-74 29-112,-13 5-448,3 0-216,-10 3-241,94-37 1017,-94 38-1568,5 1-544,0-1-1761,46-19-8362,43-19 12235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1"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2" t="s">
        <v>201</v>
      </c>
      <c r="C1" s="72"/>
      <c r="D1" s="72"/>
      <c r="E1" s="72"/>
      <c r="F1" s="72"/>
      <c r="G1" s="72"/>
      <c r="H1" s="72"/>
      <c r="I1" s="72"/>
      <c r="J1" s="72"/>
    </row>
    <row r="2" spans="1:10" ht="30" customHeight="1" x14ac:dyDescent="0.2">
      <c r="B2" s="13" t="s">
        <v>8</v>
      </c>
      <c r="C2" s="78" t="s">
        <v>44</v>
      </c>
      <c r="D2" s="78"/>
      <c r="E2" s="13" t="s">
        <v>7</v>
      </c>
      <c r="F2" s="73">
        <v>45925</v>
      </c>
      <c r="G2" s="73"/>
      <c r="H2" s="73"/>
      <c r="I2" s="73"/>
      <c r="J2" s="73"/>
    </row>
    <row r="3" spans="1:10" ht="30" customHeight="1" x14ac:dyDescent="0.2">
      <c r="B3" s="13" t="s">
        <v>9</v>
      </c>
      <c r="C3" s="78" t="s">
        <v>85</v>
      </c>
      <c r="D3" s="78"/>
      <c r="E3" s="13" t="s">
        <v>6</v>
      </c>
      <c r="F3" s="78" t="s">
        <v>104</v>
      </c>
      <c r="G3" s="78"/>
      <c r="H3" s="78"/>
      <c r="I3" s="78"/>
      <c r="J3" s="78"/>
    </row>
    <row r="4" spans="1:10" ht="30" customHeight="1" thickBot="1" x14ac:dyDescent="0.25">
      <c r="B4" s="6"/>
      <c r="C4" s="7"/>
      <c r="D4" s="7"/>
      <c r="E4" s="6"/>
      <c r="F4" s="7"/>
      <c r="G4" s="7"/>
      <c r="H4" s="8"/>
      <c r="I4" s="7"/>
      <c r="J4" s="7"/>
    </row>
    <row r="5" spans="1:10" ht="24.95" customHeight="1" x14ac:dyDescent="0.2">
      <c r="A5" s="11"/>
      <c r="B5" s="74" t="s">
        <v>0</v>
      </c>
      <c r="C5" s="75"/>
      <c r="D5" s="75"/>
      <c r="E5" s="83" t="s">
        <v>1</v>
      </c>
      <c r="F5" s="83"/>
      <c r="G5" s="83"/>
      <c r="H5" s="83"/>
      <c r="I5" s="83" t="s">
        <v>2</v>
      </c>
      <c r="J5" s="84"/>
    </row>
    <row r="6" spans="1:10" ht="24.95" customHeight="1" thickBot="1" x14ac:dyDescent="0.25">
      <c r="A6" s="11"/>
      <c r="B6" s="76"/>
      <c r="C6" s="77"/>
      <c r="D6" s="77"/>
      <c r="E6" s="12" t="s">
        <v>3</v>
      </c>
      <c r="F6" s="12" t="s">
        <v>4</v>
      </c>
      <c r="G6" s="12" t="s">
        <v>23</v>
      </c>
      <c r="H6" s="12" t="s">
        <v>24</v>
      </c>
      <c r="I6" s="85"/>
      <c r="J6" s="86"/>
    </row>
    <row r="7" spans="1:10" ht="24.95" customHeight="1" thickBot="1" x14ac:dyDescent="0.25">
      <c r="A7" s="11"/>
      <c r="B7" s="81" t="s">
        <v>21</v>
      </c>
      <c r="C7" s="82"/>
      <c r="D7" s="82"/>
      <c r="E7" s="30" t="s">
        <v>18</v>
      </c>
      <c r="F7" s="30" t="s">
        <v>19</v>
      </c>
      <c r="G7" s="30" t="s">
        <v>22</v>
      </c>
      <c r="H7" s="30" t="s">
        <v>20</v>
      </c>
      <c r="I7" s="94" t="s">
        <v>25</v>
      </c>
      <c r="J7" s="95"/>
    </row>
    <row r="8" spans="1:10" ht="39.950000000000003" customHeight="1" thickBot="1" x14ac:dyDescent="0.25">
      <c r="A8" s="11"/>
      <c r="B8" s="50" t="s">
        <v>200</v>
      </c>
      <c r="C8" s="51"/>
      <c r="D8" s="51"/>
      <c r="E8" s="10">
        <v>5</v>
      </c>
      <c r="F8" s="41">
        <v>3.5</v>
      </c>
      <c r="G8" s="42">
        <f>IFERROR(F8/E8,"")</f>
        <v>0.7</v>
      </c>
      <c r="H8" s="28" t="str">
        <f>_xlfn.IFS(F8="أدخل العلامة","",F8="لا ينطبق","تم الإلغاء",G8&gt;=90%,"ممتاز",G8&gt;=80%,"جيد جداً",G8&gt;=70%,"جيد",G8&gt;=60%,"مقبول",G8&lt;60%,"راسب")</f>
        <v>جيد</v>
      </c>
      <c r="I8" s="92"/>
      <c r="J8" s="93"/>
    </row>
    <row r="9" spans="1:10" ht="39.950000000000003" customHeight="1" thickBot="1" x14ac:dyDescent="0.25">
      <c r="A9" s="11"/>
      <c r="B9" s="52" t="s">
        <v>195</v>
      </c>
      <c r="C9" s="53"/>
      <c r="D9" s="53"/>
      <c r="E9" s="10">
        <v>5</v>
      </c>
      <c r="F9" s="41">
        <v>3.75</v>
      </c>
      <c r="G9" s="42">
        <f>IFERROR(F9/E9,"")</f>
        <v>0.75</v>
      </c>
      <c r="H9" s="28" t="str">
        <f>_xlfn.IFS(F9="أدخل العلامة","",F9="لا ينطبق","تم الإلغاء",G9&gt;=90%,"ممتاز",G9&gt;=80%,"جيد جداً",G9&gt;=70%,"جيد",G9&gt;=60%,"مقبول",G9&lt;60%,"راسب")</f>
        <v>جيد</v>
      </c>
      <c r="I9" s="92"/>
      <c r="J9" s="93"/>
    </row>
    <row r="10" spans="1:10" ht="39.950000000000003" customHeight="1" thickBot="1" x14ac:dyDescent="0.25">
      <c r="A10" s="11"/>
      <c r="B10" s="52" t="s">
        <v>196</v>
      </c>
      <c r="C10" s="53"/>
      <c r="D10" s="53"/>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2"/>
      <c r="J10" s="93"/>
    </row>
    <row r="11" spans="1:10" ht="39.950000000000003" customHeight="1" x14ac:dyDescent="0.2">
      <c r="A11" s="11"/>
      <c r="B11" s="48" t="s">
        <v>197</v>
      </c>
      <c r="C11" s="49"/>
      <c r="D11" s="49"/>
      <c r="E11" s="40"/>
      <c r="F11" s="34"/>
      <c r="G11" s="35"/>
      <c r="H11" s="36"/>
      <c r="I11" s="58"/>
      <c r="J11" s="59"/>
    </row>
    <row r="12" spans="1:10" ht="39.950000000000003" customHeight="1" x14ac:dyDescent="0.2">
      <c r="A12" s="11"/>
      <c r="B12" s="44" t="s">
        <v>176</v>
      </c>
      <c r="C12" s="45"/>
      <c r="D12" s="45"/>
      <c r="E12" s="9">
        <v>5</v>
      </c>
      <c r="F12" s="27">
        <v>3.75</v>
      </c>
      <c r="G12" s="32">
        <f t="shared" si="0"/>
        <v>0.75</v>
      </c>
      <c r="H12" s="33" t="str">
        <f t="shared" si="1"/>
        <v>جيد</v>
      </c>
      <c r="I12" s="56"/>
      <c r="J12" s="57"/>
    </row>
    <row r="13" spans="1:10" ht="54.95" customHeight="1" x14ac:dyDescent="0.2">
      <c r="A13" s="11"/>
      <c r="B13" s="44" t="s">
        <v>177</v>
      </c>
      <c r="C13" s="45"/>
      <c r="D13" s="45"/>
      <c r="E13" s="9">
        <v>5</v>
      </c>
      <c r="F13" s="27">
        <v>3.5</v>
      </c>
      <c r="G13" s="32">
        <f t="shared" si="0"/>
        <v>0.7</v>
      </c>
      <c r="H13" s="33" t="str">
        <f t="shared" si="1"/>
        <v>جيد</v>
      </c>
      <c r="I13" s="56"/>
      <c r="J13" s="57"/>
    </row>
    <row r="14" spans="1:10" ht="71.25" customHeight="1" x14ac:dyDescent="0.2">
      <c r="A14" s="11"/>
      <c r="B14" s="44" t="s">
        <v>178</v>
      </c>
      <c r="C14" s="45"/>
      <c r="D14" s="45"/>
      <c r="E14" s="9">
        <v>5</v>
      </c>
      <c r="F14" s="27">
        <v>3.75</v>
      </c>
      <c r="G14" s="32">
        <f t="shared" si="0"/>
        <v>0.75</v>
      </c>
      <c r="H14" s="33" t="str">
        <f t="shared" si="1"/>
        <v>جيد</v>
      </c>
      <c r="I14" s="56"/>
      <c r="J14" s="57"/>
    </row>
    <row r="15" spans="1:10" ht="39.950000000000003" customHeight="1" x14ac:dyDescent="0.2">
      <c r="A15" s="11"/>
      <c r="B15" s="44" t="s">
        <v>179</v>
      </c>
      <c r="C15" s="45"/>
      <c r="D15" s="45"/>
      <c r="E15" s="9">
        <v>5</v>
      </c>
      <c r="F15" s="27">
        <v>3.75</v>
      </c>
      <c r="G15" s="32">
        <f t="shared" si="0"/>
        <v>0.75</v>
      </c>
      <c r="H15" s="33" t="str">
        <f t="shared" si="1"/>
        <v>جيد</v>
      </c>
      <c r="I15" s="56"/>
      <c r="J15" s="57"/>
    </row>
    <row r="16" spans="1:10" ht="68.25" customHeight="1" x14ac:dyDescent="0.2">
      <c r="A16" s="11"/>
      <c r="B16" s="44" t="s">
        <v>180</v>
      </c>
      <c r="C16" s="45"/>
      <c r="D16" s="45"/>
      <c r="E16" s="9">
        <v>5</v>
      </c>
      <c r="F16" s="27">
        <v>3.75</v>
      </c>
      <c r="G16" s="32">
        <f t="shared" si="0"/>
        <v>0.75</v>
      </c>
      <c r="H16" s="33" t="str">
        <f t="shared" si="1"/>
        <v>جيد</v>
      </c>
      <c r="I16" s="56"/>
      <c r="J16" s="57"/>
    </row>
    <row r="17" spans="1:10" ht="65.099999999999994" customHeight="1" thickBot="1" x14ac:dyDescent="0.25">
      <c r="A17" s="11"/>
      <c r="B17" s="46" t="s">
        <v>181</v>
      </c>
      <c r="C17" s="47"/>
      <c r="D17" s="47"/>
      <c r="E17" s="37">
        <v>5</v>
      </c>
      <c r="F17" s="29">
        <v>3.75</v>
      </c>
      <c r="G17" s="38">
        <f t="shared" si="0"/>
        <v>0.75</v>
      </c>
      <c r="H17" s="39" t="str">
        <f t="shared" si="1"/>
        <v>جيد</v>
      </c>
      <c r="I17" s="54"/>
      <c r="J17" s="55"/>
    </row>
    <row r="18" spans="1:10" ht="39.950000000000003" customHeight="1" x14ac:dyDescent="0.2">
      <c r="A18" s="11"/>
      <c r="B18" s="60" t="s">
        <v>198</v>
      </c>
      <c r="C18" s="61"/>
      <c r="D18" s="61"/>
      <c r="E18" s="40"/>
      <c r="F18" s="34"/>
      <c r="G18" s="35"/>
      <c r="H18" s="36"/>
      <c r="I18" s="58"/>
      <c r="J18" s="59"/>
    </row>
    <row r="19" spans="1:10" ht="39.950000000000003" customHeight="1" x14ac:dyDescent="0.2">
      <c r="A19" s="11"/>
      <c r="B19" s="44" t="s">
        <v>182</v>
      </c>
      <c r="C19" s="45"/>
      <c r="D19" s="45"/>
      <c r="E19" s="9">
        <v>5</v>
      </c>
      <c r="F19" s="27">
        <v>3.75</v>
      </c>
      <c r="G19" s="32">
        <f t="shared" si="0"/>
        <v>0.75</v>
      </c>
      <c r="H19" s="33" t="str">
        <f t="shared" si="1"/>
        <v>جيد</v>
      </c>
      <c r="I19" s="56"/>
      <c r="J19" s="57"/>
    </row>
    <row r="20" spans="1:10" ht="39.950000000000003" customHeight="1" x14ac:dyDescent="0.2">
      <c r="A20" s="11"/>
      <c r="B20" s="44" t="s">
        <v>183</v>
      </c>
      <c r="C20" s="45"/>
      <c r="D20" s="45"/>
      <c r="E20" s="9">
        <v>5</v>
      </c>
      <c r="F20" s="27">
        <v>3.75</v>
      </c>
      <c r="G20" s="32">
        <f t="shared" si="0"/>
        <v>0.75</v>
      </c>
      <c r="H20" s="33" t="str">
        <f t="shared" si="1"/>
        <v>جيد</v>
      </c>
      <c r="I20" s="56"/>
      <c r="J20" s="57"/>
    </row>
    <row r="21" spans="1:10" ht="39.950000000000003" customHeight="1" x14ac:dyDescent="0.2">
      <c r="A21" s="11"/>
      <c r="B21" s="44" t="s">
        <v>184</v>
      </c>
      <c r="C21" s="45"/>
      <c r="D21" s="45"/>
      <c r="E21" s="9">
        <v>5</v>
      </c>
      <c r="F21" s="27">
        <v>3.75</v>
      </c>
      <c r="G21" s="32">
        <f t="shared" si="0"/>
        <v>0.75</v>
      </c>
      <c r="H21" s="33" t="str">
        <f t="shared" si="1"/>
        <v>جيد</v>
      </c>
      <c r="I21" s="56"/>
      <c r="J21" s="57"/>
    </row>
    <row r="22" spans="1:10" ht="39.950000000000003" customHeight="1" x14ac:dyDescent="0.2">
      <c r="A22" s="11"/>
      <c r="B22" s="44" t="s">
        <v>185</v>
      </c>
      <c r="C22" s="45"/>
      <c r="D22" s="45"/>
      <c r="E22" s="9">
        <v>5</v>
      </c>
      <c r="F22" s="27">
        <v>3.75</v>
      </c>
      <c r="G22" s="32">
        <f t="shared" si="0"/>
        <v>0.75</v>
      </c>
      <c r="H22" s="33" t="str">
        <f t="shared" si="1"/>
        <v>جيد</v>
      </c>
      <c r="I22" s="56"/>
      <c r="J22" s="57"/>
    </row>
    <row r="23" spans="1:10" ht="39.950000000000003" customHeight="1" x14ac:dyDescent="0.2">
      <c r="A23" s="11"/>
      <c r="B23" s="44" t="s">
        <v>186</v>
      </c>
      <c r="C23" s="45"/>
      <c r="D23" s="45"/>
      <c r="E23" s="9">
        <v>5</v>
      </c>
      <c r="F23" s="27">
        <v>3.5</v>
      </c>
      <c r="G23" s="32">
        <f t="shared" si="0"/>
        <v>0.7</v>
      </c>
      <c r="H23" s="33" t="str">
        <f t="shared" si="1"/>
        <v>جيد</v>
      </c>
      <c r="I23" s="56"/>
      <c r="J23" s="57"/>
    </row>
    <row r="24" spans="1:10" ht="39.950000000000003" customHeight="1" x14ac:dyDescent="0.2">
      <c r="A24" s="11"/>
      <c r="B24" s="44" t="s">
        <v>187</v>
      </c>
      <c r="C24" s="45"/>
      <c r="D24" s="45"/>
      <c r="E24" s="9">
        <v>5</v>
      </c>
      <c r="F24" s="27">
        <v>3.5</v>
      </c>
      <c r="G24" s="32">
        <f t="shared" si="0"/>
        <v>0.7</v>
      </c>
      <c r="H24" s="33" t="str">
        <f t="shared" si="1"/>
        <v>جيد</v>
      </c>
      <c r="I24" s="56"/>
      <c r="J24" s="57"/>
    </row>
    <row r="25" spans="1:10" ht="39.950000000000003" customHeight="1" x14ac:dyDescent="0.2">
      <c r="A25" s="11"/>
      <c r="B25" s="44" t="s">
        <v>188</v>
      </c>
      <c r="C25" s="45"/>
      <c r="D25" s="45"/>
      <c r="E25" s="9">
        <v>5</v>
      </c>
      <c r="F25" s="27">
        <v>3.5</v>
      </c>
      <c r="G25" s="32">
        <f t="shared" si="0"/>
        <v>0.7</v>
      </c>
      <c r="H25" s="33" t="str">
        <f t="shared" si="1"/>
        <v>جيد</v>
      </c>
      <c r="I25" s="56"/>
      <c r="J25" s="57"/>
    </row>
    <row r="26" spans="1:10" ht="39.950000000000003" customHeight="1" thickBot="1" x14ac:dyDescent="0.25">
      <c r="A26" s="11"/>
      <c r="B26" s="46" t="s">
        <v>189</v>
      </c>
      <c r="C26" s="47"/>
      <c r="D26" s="47"/>
      <c r="E26" s="37">
        <v>5</v>
      </c>
      <c r="F26" s="29">
        <v>3.75</v>
      </c>
      <c r="G26" s="38">
        <f t="shared" si="0"/>
        <v>0.75</v>
      </c>
      <c r="H26" s="39" t="str">
        <f t="shared" si="1"/>
        <v>جيد</v>
      </c>
      <c r="I26" s="54"/>
      <c r="J26" s="55"/>
    </row>
    <row r="27" spans="1:10" ht="39.950000000000003" customHeight="1" thickBot="1" x14ac:dyDescent="0.25">
      <c r="A27" s="11"/>
      <c r="B27" s="48" t="s">
        <v>199</v>
      </c>
      <c r="C27" s="49"/>
      <c r="D27" s="49"/>
      <c r="E27" s="40"/>
      <c r="F27" s="43"/>
      <c r="G27" s="35"/>
      <c r="H27" s="36"/>
      <c r="I27" s="58"/>
      <c r="J27" s="59"/>
    </row>
    <row r="28" spans="1:10" ht="39.950000000000003" customHeight="1" thickBot="1" x14ac:dyDescent="0.25">
      <c r="A28" s="11"/>
      <c r="B28" s="44" t="s">
        <v>190</v>
      </c>
      <c r="C28" s="45"/>
      <c r="D28" s="45"/>
      <c r="E28" s="9">
        <v>5</v>
      </c>
      <c r="F28" s="43">
        <v>3.5</v>
      </c>
      <c r="G28" s="32">
        <f t="shared" si="0"/>
        <v>0.7</v>
      </c>
      <c r="H28" s="33" t="str">
        <f t="shared" si="1"/>
        <v>جيد</v>
      </c>
      <c r="I28" s="56"/>
      <c r="J28" s="57"/>
    </row>
    <row r="29" spans="1:10" ht="39.950000000000003" customHeight="1" thickBot="1" x14ac:dyDescent="0.25">
      <c r="A29" s="11"/>
      <c r="B29" s="44" t="s">
        <v>191</v>
      </c>
      <c r="C29" s="45"/>
      <c r="D29" s="45"/>
      <c r="E29" s="9">
        <v>5</v>
      </c>
      <c r="F29" s="43">
        <v>3.5</v>
      </c>
      <c r="G29" s="32">
        <f t="shared" si="0"/>
        <v>0.7</v>
      </c>
      <c r="H29" s="33" t="str">
        <f t="shared" si="1"/>
        <v>جيد</v>
      </c>
      <c r="I29" s="56"/>
      <c r="J29" s="57"/>
    </row>
    <row r="30" spans="1:10" ht="39.950000000000003" customHeight="1" thickBot="1" x14ac:dyDescent="0.25">
      <c r="A30" s="11"/>
      <c r="B30" s="44" t="s">
        <v>192</v>
      </c>
      <c r="C30" s="45"/>
      <c r="D30" s="45"/>
      <c r="E30" s="9">
        <v>5</v>
      </c>
      <c r="F30" s="43">
        <v>3.5</v>
      </c>
      <c r="G30" s="32">
        <f t="shared" si="0"/>
        <v>0.7</v>
      </c>
      <c r="H30" s="33" t="str">
        <f t="shared" si="1"/>
        <v>جيد</v>
      </c>
      <c r="I30" s="56"/>
      <c r="J30" s="57"/>
    </row>
    <row r="31" spans="1:10" ht="39.950000000000003" customHeight="1" thickBot="1" x14ac:dyDescent="0.25">
      <c r="A31" s="11"/>
      <c r="B31" s="44" t="s">
        <v>193</v>
      </c>
      <c r="C31" s="45"/>
      <c r="D31" s="45"/>
      <c r="E31" s="9">
        <v>5</v>
      </c>
      <c r="F31" s="43">
        <v>3.5</v>
      </c>
      <c r="G31" s="32">
        <f t="shared" si="0"/>
        <v>0.7</v>
      </c>
      <c r="H31" s="33" t="str">
        <f t="shared" si="1"/>
        <v>جيد</v>
      </c>
      <c r="I31" s="56"/>
      <c r="J31" s="57"/>
    </row>
    <row r="32" spans="1:10" ht="39.950000000000003" customHeight="1" thickBot="1" x14ac:dyDescent="0.25">
      <c r="A32" s="11"/>
      <c r="B32" s="46" t="s">
        <v>194</v>
      </c>
      <c r="C32" s="47"/>
      <c r="D32" s="47"/>
      <c r="E32" s="37">
        <v>5</v>
      </c>
      <c r="F32" s="29">
        <v>3.5</v>
      </c>
      <c r="G32" s="38">
        <f t="shared" si="0"/>
        <v>0.7</v>
      </c>
      <c r="H32" s="39" t="str">
        <f t="shared" si="1"/>
        <v>جيد</v>
      </c>
      <c r="I32" s="54"/>
      <c r="J32" s="55"/>
    </row>
    <row r="33" spans="1:10" ht="30" customHeight="1" thickBot="1" x14ac:dyDescent="0.25">
      <c r="A33" s="4"/>
      <c r="B33" s="62" t="s">
        <v>5</v>
      </c>
      <c r="C33" s="63"/>
      <c r="D33" s="63"/>
      <c r="E33" s="31">
        <f>SUM(E8:E32)</f>
        <v>110</v>
      </c>
      <c r="F33" s="31">
        <f>SUM(F8:F32)</f>
        <v>80</v>
      </c>
      <c r="G33" s="89"/>
      <c r="H33" s="90"/>
      <c r="I33" s="90"/>
      <c r="J33" s="91"/>
    </row>
    <row r="34" spans="1:10" ht="30" customHeight="1" thickBot="1" x14ac:dyDescent="0.25">
      <c r="A34" s="4"/>
      <c r="B34" s="64" t="s">
        <v>54</v>
      </c>
      <c r="C34" s="65"/>
      <c r="D34" s="65"/>
      <c r="E34" s="79">
        <f>F33/E33/100*100</f>
        <v>0.72727272727272729</v>
      </c>
      <c r="F34" s="79"/>
      <c r="G34" s="79"/>
      <c r="H34" s="79"/>
      <c r="I34" s="79"/>
      <c r="J34" s="80"/>
    </row>
    <row r="35" spans="1:10" ht="30" customHeight="1" thickBot="1" x14ac:dyDescent="0.2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2">
      <c r="B36" s="66" t="s">
        <v>175</v>
      </c>
      <c r="C36" s="66"/>
      <c r="D36" s="66"/>
      <c r="E36" s="87" t="s">
        <v>52</v>
      </c>
      <c r="F36" s="87"/>
      <c r="G36" s="68" t="s">
        <v>104</v>
      </c>
      <c r="H36" s="68"/>
      <c r="I36" s="68"/>
      <c r="J36" s="68"/>
    </row>
    <row r="37" spans="1:10" ht="51" customHeight="1" x14ac:dyDescent="0.2">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