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60A9FCA-8033-4D90-9948-5109ECB099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H17" i="2" s="1"/>
  <c r="G9" i="2"/>
  <c r="H9" i="2"/>
  <c r="G15" i="2"/>
  <c r="H15" i="2"/>
  <c r="G14" i="2"/>
  <c r="H14" i="2"/>
  <c r="G10" i="2"/>
  <c r="H10" i="2"/>
  <c r="G12" i="2"/>
  <c r="H12" i="2" s="1"/>
  <c r="G11" i="2"/>
  <c r="H11" i="2"/>
  <c r="G13" i="2"/>
  <c r="H13" i="2"/>
  <c r="G16" i="2"/>
  <c r="H16" i="2"/>
  <c r="G18" i="2"/>
  <c r="H18" i="2"/>
  <c r="G8" i="2"/>
  <c r="H8" i="2"/>
  <c r="F19" i="2"/>
  <c r="E20" i="2" s="1"/>
  <c r="E21" i="2" s="1"/>
  <c r="E19" i="2"/>
</calcChain>
</file>

<file path=xl/sharedStrings.xml><?xml version="1.0" encoding="utf-8"?>
<sst xmlns="http://schemas.openxmlformats.org/spreadsheetml/2006/main" count="247" uniqueCount="191">
  <si>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</si>
  <si>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</si>
  <si>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</si>
  <si>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</si>
  <si>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</si>
  <si>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</si>
  <si>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</si>
  <si>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</si>
  <si>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</si>
  <si>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</si>
  <si>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</si>
  <si>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</si>
  <si>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</si>
  <si>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</si>
  <si>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</si>
  <si>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</si>
  <si>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</si>
  <si>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</si>
  <si>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</si>
  <si>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</si>
  <si>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</si>
  <si>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</si>
  <si>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</si>
  <si>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</si>
  <si>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</si>
  <si>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</si>
  <si>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</si>
  <si>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</si>
  <si>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</si>
  <si>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</si>
  <si>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</si>
  <si>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</si>
  <si>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</si>
  <si>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</si>
  <si>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</si>
  <si>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</si>
  <si>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</si>
  <si>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</si>
  <si>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</si>
  <si>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</si>
  <si>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</si>
  <si>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</si>
  <si>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</si>
  <si>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</si>
  <si>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</si>
  <si>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</si>
  <si>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</si>
  <si>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</si>
  <si>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</si>
  <si>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</si>
  <si>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</si>
  <si>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</si>
  <si>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</si>
  <si>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</si>
  <si>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</si>
  <si>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</si>
  <si>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</si>
  <si>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</si>
  <si>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</si>
  <si>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</si>
  <si>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</si>
  <si>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</si>
  <si>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</si>
  <si>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</si>
  <si>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</si>
  <si>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</si>
  <si>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</si>
  <si>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</si>
  <si>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</si>
  <si>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</si>
  <si>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</si>
  <si>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</si>
  <si>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</si>
  <si>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</si>
  <si>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</si>
  <si>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</si>
  <si>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</si>
  <si>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</si>
  <si>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</si>
  <si>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</si>
  <si>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</si>
  <si>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</si>
  <si>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</si>
  <si>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</si>
  <si>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</si>
  <si>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</si>
  <si>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</si>
  <si>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</si>
  <si>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</si>
  <si>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</si>
  <si>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</si>
  <si>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</si>
  <si>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</si>
  <si>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</si>
  <si>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</si>
  <si>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</si>
  <si>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</si>
  <si>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</si>
  <si>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</si>
  <si>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</si>
  <si>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</si>
  <si>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</si>
  <si>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</si>
  <si>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</si>
  <si>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</si>
  <si>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</si>
  <si>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</si>
  <si>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</si>
  <si>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</si>
  <si>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</si>
  <si>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</si>
  <si>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</si>
  <si>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</si>
  <si>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</si>
  <si>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</si>
  <si>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</si>
  <si>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</si>
  <si>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</si>
  <si>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</si>
  <si>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</si>
  <si>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</si>
  <si>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</si>
  <si>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</si>
  <si>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</si>
  <si>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</si>
  <si>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</si>
  <si>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</si>
  <si>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</si>
  <si>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</si>
  <si>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</si>
  <si>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</si>
  <si>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</si>
  <si>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</si>
  <si>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</si>
  <si>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</si>
  <si>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</si>
  <si>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</si>
  <si>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</si>
  <si>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</si>
  <si>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</si>
  <si>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</si>
  <si>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</si>
  <si>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</si>
  <si>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</si>
  <si>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</si>
  <si>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</si>
  <si>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</si>
  <si>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</si>
  <si>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</si>
  <si>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</si>
  <si>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</si>
  <si>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</si>
  <si>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</si>
  <si>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</si>
  <si>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</si>
  <si>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</si>
  <si>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</si>
  <si>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</si>
  <si>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</si>
  <si>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</si>
  <si>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</si>
  <si>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</si>
  <si>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</si>
  <si>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</si>
  <si>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</si>
  <si>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</si>
  <si>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</si>
  <si>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</si>
  <si>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</si>
  <si>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</si>
  <si>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</si>
  <si>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</si>
  <si>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</si>
  <si>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</si>
  <si>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</si>
  <si>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</si>
  <si>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</si>
  <si>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</si>
  <si>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4.</t>
    </r>
    <r>
      <rPr>
        <sz val="14"/>
        <color rgb="FF000000"/>
        <rFont val="Times New Roman"/>
        <family val="1"/>
      </rPr>
      <t>     تنفيذ إجراءات الانتشار والدفاع الجوي السلبي</t>
    </r>
    <r>
      <rPr>
        <sz val="14"/>
        <color rgb="FF000000"/>
        <rFont val="Arial"/>
        <family val="2"/>
      </rPr>
      <t>.</t>
    </r>
  </si>
  <si>
    <r>
      <t>5.</t>
    </r>
    <r>
      <rPr>
        <sz val="14"/>
        <color rgb="FF000000"/>
        <rFont val="Times New Roman"/>
        <family val="1"/>
      </rPr>
      <t>     التحول إلى إجراءات السيطرة اللامركزية</t>
    </r>
    <r>
      <rPr>
        <sz val="14"/>
        <color rgb="FF000000"/>
        <rFont val="Arial"/>
        <family val="2"/>
      </rPr>
      <t>.</t>
    </r>
  </si>
  <si>
    <t>2.    استخدام الكلمة الرمزية للإشارة إلى التهديد الجوي المعادي (تُكرر الكلمة الرمزية ثلاث مرات).</t>
  </si>
  <si>
    <t>11.    إذا نجح التهديد الجوي في إصابة إحدى الوحدات الصديقة، تُصدر الوحدة المتأثرة بالهجوم إنذار حسب إجراءات الإنذار المحددة مسبقاً.</t>
  </si>
  <si>
    <t>3.    إصدار الإنذار على شبكات القيادة والعمليات والاستخبارات والإدارة والإمداد ويحدد الإنذار اتجاه التهديد المعادي.</t>
  </si>
  <si>
    <t>7.    تمرير الأهداف الى وحدات الدفاع الجوي المجاورة.</t>
  </si>
  <si>
    <t>8.    تمرير بيانات الأهداف إلى وحدات الدفاع الجوي الأمامية (الكتف).</t>
  </si>
  <si>
    <t>9.    تغيير وضعية أسلحة الدفاع الجوي إذا تواجدت طائرات صديقة في منطقة العمليات، ويتخذ القائد هذا القرار حسب طبيعة الموقف.</t>
  </si>
  <si>
    <t>10.    التعامل مع أخطر وأقرب هدف والذي يشكل خطورة على مجموعة اللواء.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</si>
  <si>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</si>
  <si>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1.    انذار الجميع بالتهديد الجوي المعادي وذلك على اللاسلكي وحسب إجراءات الإنذار المحددة مسبقاً.</t>
  </si>
  <si>
    <t>6.    التنسيق مع القائد لحماية الأهداف ذات الأولوية.</t>
  </si>
  <si>
    <r>
      <rPr>
        <b/>
        <sz val="14"/>
        <color rgb="FF000000"/>
        <rFont val="Arial"/>
        <family val="2"/>
      </rPr>
      <t>اليوم/2 - تقييم معضلة/5 - رد الفعل على الإنذار بتهديد جوي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</si>
</sst>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4" fillId="0" borderId="3" xfId="0" applyFont="1" applyBorder="1" applyAlignment="1">
      <alignment horizontal="right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8" fillId="0" borderId="14" xfId="0" applyFont="1" applyBorder="1" applyAlignment="1">
      <alignment horizontal="right" vertical="center" wrapText="1" readingOrder="2"/>
    </xf>
    <xf numFmtId="0" fontId="8" fillId="0" borderId="24" xfId="0" applyFont="1" applyBorder="1" applyAlignment="1">
      <alignment horizontal="right" vertical="center" wrapText="1" readingOrder="2"/>
    </xf>
    <xf numFmtId="0" fontId="8" fillId="0" borderId="15" xfId="0" applyFont="1" applyBorder="1" applyAlignment="1">
      <alignment horizontal="right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</cellXfs>
  <cellStyles count="1">
    <cellStyle name="Normal" xfId="0" builtinId="0"/>
  </cellStyles>
  <dxfs count="17"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90338</xdr:colOff>
      <xdr:row>22</xdr:row>
      <xdr:rowOff>21635</xdr:rowOff>
    </xdr:from>
    <xdr:to>
      <xdr:col>8</xdr:col>
      <xdr:colOff>420515</xdr:colOff>
      <xdr:row>22</xdr:row>
      <xdr:rowOff>475955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832A7B3-2E12-51E6-EA7C-FD1AA0C154F7}"/>
                </a:ext>
              </a:extLst>
            </xdr14:cNvPr>
            <xdr14:cNvContentPartPr/>
          </xdr14:nvContentPartPr>
          <xdr14:nvPr macro=""/>
          <xdr14:xfrm>
            <a:off x="10423282285" y="10317600"/>
            <a:ext cx="984600" cy="4543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832A7B3-2E12-51E6-EA7C-FD1AA0C154F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273645" y="10308600"/>
              <a:ext cx="1002240" cy="47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638618</xdr:colOff>
      <xdr:row>22</xdr:row>
      <xdr:rowOff>158435</xdr:rowOff>
    </xdr:from>
    <xdr:to>
      <xdr:col>8</xdr:col>
      <xdr:colOff>605555</xdr:colOff>
      <xdr:row>22</xdr:row>
      <xdr:rowOff>534635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EBDFF54-D46C-5A0F-CD6B-3B49992E5F0F}"/>
                </a:ext>
              </a:extLst>
            </xdr14:cNvPr>
            <xdr14:cNvContentPartPr/>
          </xdr14:nvContentPartPr>
          <xdr14:nvPr macro=""/>
          <xdr14:xfrm>
            <a:off x="10423097245" y="10454400"/>
            <a:ext cx="621360" cy="3762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EBDFF54-D46C-5A0F-CD6B-3B49992E5F0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088605" y="10445400"/>
              <a:ext cx="639000" cy="393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8:28:04.8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2082 1067 5025,'0'0'0,"0"-3"2528,0 0 345,0-2-1841,0 5-1032,0-5 632,0-4-160,0 5-144,0 0-128,2-5-120,0 6 32,-2 3-112,2-4 24,2-6 88,-1 8 8,1-8-24,0 8-56,-2-8-56,-2 10 16,4-2 32,-1-2 40,1-1 0,-1-4-64,1 5-40,0-6-80,-4 10 112,4-3-96,1-7 120,0 7 40,5-2-160,-7-6 56,2 8-104,-5 3 144,9-11-152,-5 6 56,6-7-96,-1 7-16,1-8-24,2 8 24,-12 5 208,12-12-208,1 3 48,0-1-56,2 0 32,-1 1 40,0 4-8,-14 5 152,15-12-72,0 7 8,1-7-48,-1 9 40,1-8 16,1 7-40,-17 4 96,15-3-16,0-2-40,0 0-16,1 2 0,0-1-40,0 2-24,-16 2 136,18-3-160,-1 2 40,2 1-8,-2 0 8,1 0-8,-1 2-8,-17-2 136,15 3-136,1 0 15,-2 7-15,1-8 8,-2 8 16,-1-6 24,-12-4 88,11 12-40,-2-3-16,1 1 32,-7-1-24,8 1 8,-7 1 16,-4-11 24,3 10-32,1 1 32,0 0-8,-2 0 24,-1 1 8,-1 0-8,0-12-16,0 13 48,-2 0 0,-8 0 0,8 0 8,-9-1 8,7 2-8,4-14-56,-15 12 64,3 0-32,0-2-8,-1 2-8,0-1 0,-1 0-16,14-11 0,-14 4-24,0 9-8,-2-10-16,2 7 0,-2-8-48,-1 2-16,17-4 112,-17 4-144,-1-1 8,2 0-24,-1-1-24,0-2-8,0 0 24,17 0 168,-15 0-136,-1-1 0,-1-3 32,2 1 0,-3-8 16,1 7 72,17 4 16,-17-12 0,1 3 56,-1-2 24,0 0 48,0-1 32,-1 1 48,18 11-208,-18-11 280,-1-1 88,2 2 72,-1-2 81,0 0 15,-1-1 0,19 13-536,-21-14 552,-2 2-48,1-1-48,-1 1-16,2 1-72,-2 1-32,23 10-336,-23-11 232,1 0-32,-2 1-48,1 1-40,-1 4 24,1-8-31,23 13-105,-24-5 64,-3-8 8,-1 8-32,0-8-16,0 3-16,0 1-8,28 9 0,-27-10-56,-2-1 56,0 1 0,0 0-88,1-1 7,-2 0-79,30 11 160,-29-12-224,-2 2 40,1-2-88,1 0-56,0-1-16,3 1-80,26 12 424,-29-14-432,1 1 8,0 1 16,1-1 56,1 0 88,0 0 0,26 13 264,-26-14-128,1 1 24,1-1 32,0 0 80,0-1-32,2 1 40,22 14-16,-24-15-24,1 1 72,1 1 8,2-3 8,2 2 112,0-3-88,18 17-88,-18-17 96,4 2-40,-1 0-72,3 2-8,1 0-48,2-1-80,9 14 152,-4-14-232,-9 1-64,11 1-49,-2 1 9,-5 1 80,9-1-16,0 11 272,0-11-192,0 1-40,0 0-80,0 0 16,3-1-208,7 1-104,-10 10 608,5-11-688,9 1-41,-1 1 105,1-1 136,3-1 104,1 0 160,-18 11 224,22-9-136,3 4 72,2-7 64,5 8-8,0-6 24,3 6 8,-35 4-24,36-9 24,1 5 0,1 0-8,2 0 0,2 0-8,1 0 16,-43 4-24,43-3 8,1 2 8,2-1-8,1 1-16,-1 1 32,0 0 8,-46 0-32,45 0 16,1 0 16,0 0-8,-2 0 56,1 3 56,-3-1 72,-42-2-208,40 4 296,-4-2 48,-1 2 128,-3-1 49,-1 1-33,-2 6-8,-29-10-480,25 3 392,-1 0-40,-1 7 24,-3-6 72,-2 9-32,-1-2-8,-17-11-408,14 9 400,0 1-144,-2-1 105,-2 1-105,0 1-48,-6 2 0,-4-13-208,9 12 88,-8 0 24,2 2 48,-2-2-8,-1 1 16,-3 3 56,3-16-224,-9 14 176,-1 2 88,-2 1-112,-2 0-8,-2 1 8,-3 1-56,19-19-96,-21 21 176,-5 1-40,-2-2 24,-4 2-32,-1-2 16,-2 2 0,35-22-144,-37 21 136,-1 1 56,-3-1-64,-3 1 0,-3 2-24,-3-1-88,50-23-16,-51 25 64,1-1 16,-2 1-24,0-1-16,-2 1-48,0-1-16,54-24 24,-57 25-8,2 1 72,0-3-16,0 3 16,2-2 1,-2 0-82,55-24 17,-54 22 0,-1 2 89,2 0-81,2-1-24,-1-3 16,3 1-97,49-21 97,-49 21-8,0 0-40,2-1 8,0-1 8,1 2-40,0-2 32,46-19 40,-42 18-144,3 0-56,0-4-96,3-1-152,0 1-232,0-4-320,36-10 1000,-33 11-1384,1-1-169,0-1 65,5-5 96,3 5 223,1-9 353,23 0 816,-21 3-576,0-3 264,1 0 200,3 0-784,3 0-392,14 0 1288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8:28:05.8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1542 76 2840,'0'0'0,"13"-12"488,2 2 128,5-1 72,-20 11-688,18-9 721,-2 5 31,-1-7 0,-2 8-40,1-1 8,0 0-8,-14 4-712,11-3 689,0 0-121,-6 2-72,5 0-128,-8 1-120,2 0-48,-4 0-200,1 0 152,0 0 24,-1 4 0,0-1 0,-2 1-8,-1 7-32,3-11-136,-3 3 96,-11 9 16,5-1-40,-3 1-16,-3 1-8,-4 2-48,19-15 0,-19 14 16,-2 0-40,-2 1-8,-1 0 8,-3 1-56,2 1 8,25-17 72,-26 15-64,-2 1-8,1-1 8,2 1-24,-2 0-8,1-2-56,26-14 152,-24 13-200,0 0-24,1-1-136,2 0-144,0-2-312,2-1-449,19-9 1265,-19 10-1456,2-6-32,3 5 175,3-6 345,0-1 320,2 0 272,9-2 376,-4 0-192,-8 0 120,10 0 48,-2 0 0,-6-1 0,10-2 0,0 3 24,-3-4 0,-1-1 0,1-4 8,-1 5 8,2-1 8,-1 0 40,3 5-64,0-3 120,-2-1 176,-2 2 200,2-1 200,-2 2 225,1-1-49,3 2-872,-4-1 904,0-1-96,-5 1-152,7 0-88,-2-1-136,-6 0-79,10 2-353,-3-1 272,-7 0 8,6 0-72,-9 1-24,4 0 16,-2 0-96,11 0-104,-12 0 144,-1 2-56,0 1-24,-1-1 88,1 0-64,-1 2-8,14-4-80,-15 4 56,1-1-56,0 7-48,-2-10 40,2 3 48,-1 1-24,15-4-16,-14 2 48,-2 2-16,2-2-104,-2 1 104,1-1-72,-1 1-16,16-3 56,-15 2-24,-1 0-120,1 1 48,-1-3 72,0 2-72,0 1 16,16-3 80,-16 0-80,-1 2-56,1 0 88,-2-2-8,0 3-16,0-1 0,18-2 72,-18 4-80,0-1 8,-1 1 112,-1-2-8,0 2-80,0 0 24,20-4 24,-20 3-120,1 7 32,0-8 128,1 0-24,-1 2-8,0 0 8,19-4-16,-20 3-40,2 0-24,0-1 120,1 0 32,0 1-24,0-1 16,17-2-80,-17 0-16,2 3-48,-1-3 96,3 0-40,0 0-32,1 0 24,12 0 16,-12-2-160,1 1 0,0-2-8,2-1-120,5-1-1,-8 0-31,12 5 320,-2-10-392,-8 6 24,10-9-16,-3 3-72,0 1-32,1-2 16,2 11 472,0-12-640,0-2-168,1-3-89,1-1 137,2 0 232,7 0 256,-11 18 272,4-19-64,11 1 32,-5-1 8,1 1 24,1 2-8,0 0 8,-12 16 0,14-14 8,-1 2-16,0 0 24,0 2 0,1 6 0,0-7 16,-14 11-32,13-4 32,-1-5 0,0 6 8,-1 0 0,-2-1 16,-4 3 48,-5 1-104,12-1 296,-8 1 144,-1 0 120,0 3 16,-2 8-151,0-7-113,-1-4-312,0 13 224,0-2-8,-2 2-8,-2 1 32,-7 4 40,8 1-16,3-19-264,-14 22 280,5 1-40,-2 1-16,-1 1 8,-2 1 8,0 2 32,14-28-272,-14 27 288,0 2 0,-1 1 48,1 0 17,-1 1-9,0 2 32,15-33-376,-16 31 352,2 1 32,1-2-8,0 1 0,2-1-48,1 1-56,10-31-272,-3 30 240,-9 0-56,9-2-16,1-1-16,0-3-32,2-2-8,0-22-112,0 20 88,1-1 16,9-2-32,-5 0 32,10-1-24,-1-2-16,-14-14-64,15 14 80,5-2-24,0 0-8,3-2 16,2 0-32,4-7 0,-29-3-32,31 11-8,4-9-72,2 2-8,2-1-224,2 0-280,2-3-392,-43 0 984,45 0-1376,1 0-465,4-1-471,1-3 463,3-1 529,2-5 576,-56 10 744,61-10-200,1-2-1832,-62 12 2032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topLeftCell="A16" zoomScale="130" zoomScaleNormal="100" zoomScaleSheetLayoutView="130" workbookViewId="0">
      <selection activeCell="F17" sqref="F17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9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4" t="s">
        <v>190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3">
      <c r="B2" s="11" t="s">
        <v>8</v>
      </c>
      <c r="C2" s="60" t="s">
        <v>41</v>
      </c>
      <c r="D2" s="60"/>
      <c r="E2" s="11" t="s">
        <v>7</v>
      </c>
      <c r="F2" s="55">
        <v>45944</v>
      </c>
      <c r="G2" s="55"/>
      <c r="H2" s="55"/>
      <c r="I2" s="55"/>
      <c r="J2" s="55"/>
    </row>
    <row r="3" spans="1:10" ht="30" customHeight="1" x14ac:dyDescent="0.3">
      <c r="B3" s="11" t="s">
        <v>9</v>
      </c>
      <c r="C3" s="60" t="s">
        <v>82</v>
      </c>
      <c r="D3" s="60"/>
      <c r="E3" s="11" t="s">
        <v>6</v>
      </c>
      <c r="F3" s="60" t="s">
        <v>92</v>
      </c>
      <c r="G3" s="60"/>
      <c r="H3" s="60"/>
      <c r="I3" s="60"/>
      <c r="J3" s="60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56" t="s">
        <v>0</v>
      </c>
      <c r="C5" s="57"/>
      <c r="D5" s="57"/>
      <c r="E5" s="61" t="s">
        <v>1</v>
      </c>
      <c r="F5" s="61"/>
      <c r="G5" s="61"/>
      <c r="H5" s="61"/>
      <c r="I5" s="61" t="s">
        <v>2</v>
      </c>
      <c r="J5" s="62"/>
    </row>
    <row r="6" spans="1:10" ht="24.9" customHeight="1" thickBot="1" x14ac:dyDescent="0.35">
      <c r="A6" s="9"/>
      <c r="B6" s="58"/>
      <c r="C6" s="59"/>
      <c r="D6" s="59"/>
      <c r="E6" s="10" t="s">
        <v>3</v>
      </c>
      <c r="F6" s="10" t="s">
        <v>4</v>
      </c>
      <c r="G6" s="10" t="s">
        <v>23</v>
      </c>
      <c r="H6" s="10" t="s">
        <v>24</v>
      </c>
      <c r="I6" s="63"/>
      <c r="J6" s="64"/>
    </row>
    <row r="7" spans="1:10" ht="24.9" customHeight="1" x14ac:dyDescent="0.3">
      <c r="A7" s="9"/>
      <c r="B7" s="50" t="s">
        <v>21</v>
      </c>
      <c r="C7" s="51"/>
      <c r="D7" s="51"/>
      <c r="E7" s="30" t="s">
        <v>18</v>
      </c>
      <c r="F7" s="30" t="s">
        <v>19</v>
      </c>
      <c r="G7" s="30" t="s">
        <v>22</v>
      </c>
      <c r="H7" s="30" t="s">
        <v>20</v>
      </c>
      <c r="I7" s="52" t="s">
        <v>25</v>
      </c>
      <c r="J7" s="53"/>
    </row>
    <row r="8" spans="1:10" ht="60" customHeight="1" x14ac:dyDescent="0.3">
      <c r="A8" s="9"/>
      <c r="B8" s="39" t="s">
        <v>188</v>
      </c>
      <c r="C8" s="39"/>
      <c r="D8" s="39"/>
      <c r="E8" s="32">
        <v>3</v>
      </c>
      <c r="F8" s="25">
        <v>2.25</v>
      </c>
      <c r="G8" s="33">
        <f>IFERROR(F8/E8,"")</f>
        <v>0.75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0"/>
      <c r="J8" s="40"/>
    </row>
    <row r="9" spans="1:10" ht="39.9" customHeight="1" x14ac:dyDescent="0.3">
      <c r="A9" s="9"/>
      <c r="B9" s="39" t="s">
        <v>180</v>
      </c>
      <c r="C9" s="39"/>
      <c r="D9" s="39"/>
      <c r="E9" s="32">
        <v>3</v>
      </c>
      <c r="F9" s="25">
        <v>2</v>
      </c>
      <c r="G9" s="33">
        <f t="shared" ref="G9" si="0">IFERROR(F9/E9,"")</f>
        <v>0.66666666666666663</v>
      </c>
      <c r="H9" s="34" t="str">
        <f t="shared" ref="H9" si="1">_xlfn.IFS(F9="أدخل العلامة","",F9="لا ينطبق","تم الإلغاء",G9&gt;=90%,"ممتاز",G9&gt;=80%,"جيد جداً",G9&gt;=70%,"جيد",G9&gt;=60%,"مقبول",G9&lt;60%,"راسب")</f>
        <v>مقبول</v>
      </c>
      <c r="I9" s="40"/>
      <c r="J9" s="40"/>
    </row>
    <row r="10" spans="1:10" ht="39.9" customHeight="1" x14ac:dyDescent="0.3">
      <c r="A10" s="9"/>
      <c r="B10" s="39" t="s">
        <v>182</v>
      </c>
      <c r="C10" s="41"/>
      <c r="D10" s="41"/>
      <c r="E10" s="32">
        <v>3</v>
      </c>
      <c r="F10" s="25">
        <v>2</v>
      </c>
      <c r="G10" s="33">
        <f t="shared" ref="G10" si="2">IFERROR(F10/E10,"")</f>
        <v>0.66666666666666663</v>
      </c>
      <c r="H10" s="34" t="str">
        <f t="shared" ref="H10" si="3">_xlfn.IFS(F10="أدخل العلامة","",F10="لا ينطبق","تم الإلغاء",G10&gt;=90%,"ممتاز",G10&gt;=80%,"جيد جداً",G10&gt;=70%,"جيد",G10&gt;=60%,"مقبول",G10&lt;60%,"راسب")</f>
        <v>مقبول</v>
      </c>
      <c r="I10" s="40"/>
      <c r="J10" s="40"/>
    </row>
    <row r="11" spans="1:10" ht="30" customHeight="1" x14ac:dyDescent="0.3">
      <c r="A11" s="9"/>
      <c r="B11" s="39" t="s">
        <v>178</v>
      </c>
      <c r="C11" s="39"/>
      <c r="D11" s="39"/>
      <c r="E11" s="32">
        <v>3</v>
      </c>
      <c r="F11" s="25">
        <v>2.25</v>
      </c>
      <c r="G11" s="33">
        <f>IFERROR(F11/E11,"")</f>
        <v>0.75</v>
      </c>
      <c r="H11" s="34" t="str">
        <f>_xlfn.IFS(F11="أدخل العلامة","",F11="لا ينطبق","تم الإلغاء",G11&gt;=90%,"ممتاز",G11&gt;=80%,"جيد جداً",G11&gt;=70%,"جيد",G11&gt;=60%,"مقبول",G11&lt;60%,"راسب")</f>
        <v>جيد</v>
      </c>
      <c r="I11" s="40"/>
      <c r="J11" s="40"/>
    </row>
    <row r="12" spans="1:10" ht="30" customHeight="1" x14ac:dyDescent="0.3">
      <c r="A12" s="9"/>
      <c r="B12" s="39" t="s">
        <v>179</v>
      </c>
      <c r="C12" s="39"/>
      <c r="D12" s="39"/>
      <c r="E12" s="32">
        <v>3</v>
      </c>
      <c r="F12" s="25">
        <v>2</v>
      </c>
      <c r="G12" s="33">
        <f>IFERROR(F12/E12,"")</f>
        <v>0.66666666666666663</v>
      </c>
      <c r="H12" s="34" t="str">
        <f>_xlfn.IFS(F12="أدخل العلامة","",F12="لا ينطبق","تم الإلغاء",G12&gt;=90%,"ممتاز",G12&gt;=80%,"جيد جداً",G12&gt;=70%,"جيد",G12&gt;=60%,"مقبول",G12&lt;60%,"راسب")</f>
        <v>مقبول</v>
      </c>
      <c r="I12" s="40"/>
      <c r="J12" s="40"/>
    </row>
    <row r="13" spans="1:10" ht="39.9" customHeight="1" x14ac:dyDescent="0.3">
      <c r="A13" s="9"/>
      <c r="B13" s="39" t="s">
        <v>189</v>
      </c>
      <c r="C13" s="39"/>
      <c r="D13" s="39"/>
      <c r="E13" s="32">
        <v>3</v>
      </c>
      <c r="F13" s="25">
        <v>2.25</v>
      </c>
      <c r="G13" s="33">
        <f t="shared" ref="G13:G18" si="4">IFERROR(F13/E13,"")</f>
        <v>0.75</v>
      </c>
      <c r="H13" s="34" t="str">
        <f t="shared" ref="H13:H18" si="5">_xlfn.IFS(F13="أدخل العلامة","",F13="لا ينطبق","تم الإلغاء",G13&gt;=90%,"ممتاز",G13&gt;=80%,"جيد جداً",G13&gt;=70%,"جيد",G13&gt;=60%,"مقبول",G13&lt;60%,"راسب")</f>
        <v>جيد</v>
      </c>
      <c r="I13" s="40"/>
      <c r="J13" s="40"/>
    </row>
    <row r="14" spans="1:10" ht="30" customHeight="1" x14ac:dyDescent="0.3">
      <c r="A14" s="9"/>
      <c r="B14" s="39" t="s">
        <v>183</v>
      </c>
      <c r="C14" s="39"/>
      <c r="D14" s="39"/>
      <c r="E14" s="32">
        <v>3</v>
      </c>
      <c r="F14" s="25">
        <v>2.25</v>
      </c>
      <c r="G14" s="33">
        <f t="shared" ref="G14" si="6">IFERROR(F14/E14,"")</f>
        <v>0.75</v>
      </c>
      <c r="H14" s="34" t="str">
        <f t="shared" ref="H14" si="7">_xlfn.IFS(F14="أدخل العلامة","",F14="لا ينطبق","تم الإلغاء",G14&gt;=90%,"ممتاز",G14&gt;=80%,"جيد جداً",G14&gt;=70%,"جيد",G14&gt;=60%,"مقبول",G14&lt;60%,"راسب")</f>
        <v>جيد</v>
      </c>
      <c r="I14" s="40"/>
      <c r="J14" s="40"/>
    </row>
    <row r="15" spans="1:10" ht="39.9" customHeight="1" x14ac:dyDescent="0.3">
      <c r="A15" s="9"/>
      <c r="B15" s="39" t="s">
        <v>184</v>
      </c>
      <c r="C15" s="39"/>
      <c r="D15" s="39"/>
      <c r="E15" s="32">
        <v>3</v>
      </c>
      <c r="F15" s="25">
        <v>2.25</v>
      </c>
      <c r="G15" s="33">
        <f t="shared" ref="G15" si="8">IFERROR(F15/E15,"")</f>
        <v>0.75</v>
      </c>
      <c r="H15" s="34" t="str">
        <f t="shared" ref="H15" si="9">_xlfn.IFS(F15="أدخل العلامة","",F15="لا ينطبق","تم الإلغاء",G15&gt;=90%,"ممتاز",G15&gt;=80%,"جيد جداً",G15&gt;=70%,"جيد",G15&gt;=60%,"مقبول",G15&lt;60%,"راسب")</f>
        <v>جيد</v>
      </c>
      <c r="I15" s="40"/>
      <c r="J15" s="40"/>
    </row>
    <row r="16" spans="1:10" ht="60" customHeight="1" x14ac:dyDescent="0.3">
      <c r="A16" s="9"/>
      <c r="B16" s="47" t="s">
        <v>185</v>
      </c>
      <c r="C16" s="48"/>
      <c r="D16" s="49"/>
      <c r="E16" s="32">
        <v>3</v>
      </c>
      <c r="F16" s="25">
        <v>2.25</v>
      </c>
      <c r="G16" s="33">
        <f t="shared" si="4"/>
        <v>0.75</v>
      </c>
      <c r="H16" s="34" t="str">
        <f t="shared" si="5"/>
        <v>جيد</v>
      </c>
      <c r="I16" s="40"/>
      <c r="J16" s="40"/>
    </row>
    <row r="17" spans="1:10" ht="39.9" customHeight="1" x14ac:dyDescent="0.3">
      <c r="A17" s="9"/>
      <c r="B17" s="39" t="s">
        <v>186</v>
      </c>
      <c r="C17" s="41"/>
      <c r="D17" s="41"/>
      <c r="E17" s="32">
        <v>3</v>
      </c>
      <c r="F17" s="29">
        <v>2</v>
      </c>
      <c r="G17" s="33">
        <f>IFERROR(F17/E17,"")</f>
        <v>0.66666666666666663</v>
      </c>
      <c r="H17" s="34" t="str">
        <f>_xlfn.IFS(F17="أدخل العلامة","",F17="لا ينطبق","تم الإلغاء",G17&gt;=90%,"ممتاز",G17&gt;=80%,"جيد جداً",G17&gt;=70%,"جيد",G17&gt;=60%,"مقبول",G17&lt;60%,"راسب")</f>
        <v>مقبول</v>
      </c>
      <c r="I17" s="40"/>
      <c r="J17" s="40"/>
    </row>
    <row r="18" spans="1:10" ht="60" customHeight="1" x14ac:dyDescent="0.3">
      <c r="A18" s="9"/>
      <c r="B18" s="39" t="s">
        <v>181</v>
      </c>
      <c r="C18" s="39"/>
      <c r="D18" s="39"/>
      <c r="E18" s="32">
        <v>3</v>
      </c>
      <c r="F18" s="25">
        <v>2.25</v>
      </c>
      <c r="G18" s="33">
        <f t="shared" si="4"/>
        <v>0.75</v>
      </c>
      <c r="H18" s="34" t="str">
        <f t="shared" si="5"/>
        <v>جيد</v>
      </c>
      <c r="I18" s="40"/>
      <c r="J18" s="40"/>
    </row>
    <row r="19" spans="1:10" ht="30" customHeight="1" thickBot="1" x14ac:dyDescent="0.35">
      <c r="A19" s="4"/>
      <c r="B19" s="73" t="s">
        <v>5</v>
      </c>
      <c r="C19" s="74"/>
      <c r="D19" s="74"/>
      <c r="E19" s="31">
        <f>SUM(E8:E18)</f>
        <v>33</v>
      </c>
      <c r="F19" s="31">
        <f>SUM(F8:F18)</f>
        <v>23.75</v>
      </c>
      <c r="G19" s="42"/>
      <c r="H19" s="43"/>
      <c r="I19" s="43"/>
      <c r="J19" s="44"/>
    </row>
    <row r="20" spans="1:10" ht="30" customHeight="1" thickBot="1" x14ac:dyDescent="0.35">
      <c r="A20" s="4"/>
      <c r="B20" s="75" t="s">
        <v>54</v>
      </c>
      <c r="C20" s="76"/>
      <c r="D20" s="76"/>
      <c r="E20" s="45">
        <f>F19/E19/100*100</f>
        <v>0.71969696969696972</v>
      </c>
      <c r="F20" s="45"/>
      <c r="G20" s="45"/>
      <c r="H20" s="45"/>
      <c r="I20" s="45"/>
      <c r="J20" s="46"/>
    </row>
    <row r="21" spans="1:10" ht="30" customHeight="1" thickBot="1" x14ac:dyDescent="0.35">
      <c r="A21" s="4"/>
      <c r="B21" s="75" t="s">
        <v>55</v>
      </c>
      <c r="C21" s="76"/>
      <c r="D21" s="76"/>
      <c r="E21" s="65" t="str">
        <f>_xlfn.IFS(E20&gt;=90%,"ممتاز",E20&gt;=80%,"جيد جداً",E20&gt;=70%,"جيد",E20&gt;=60%,"مقبول",E20&lt;60%,"راسب")</f>
        <v>جيد</v>
      </c>
      <c r="F21" s="65"/>
      <c r="G21" s="65"/>
      <c r="H21" s="65"/>
      <c r="I21" s="65"/>
      <c r="J21" s="66"/>
    </row>
    <row r="22" spans="1:10" ht="42" customHeight="1" x14ac:dyDescent="0.3">
      <c r="B22" s="35" t="s">
        <v>187</v>
      </c>
      <c r="C22" s="35"/>
      <c r="D22" s="35"/>
      <c r="E22" s="77" t="s">
        <v>52</v>
      </c>
      <c r="F22" s="77"/>
      <c r="G22" s="37" t="s">
        <v>92</v>
      </c>
      <c r="H22" s="37"/>
      <c r="I22" s="37"/>
      <c r="J22" s="37"/>
    </row>
    <row r="23" spans="1:10" ht="51" customHeight="1" x14ac:dyDescent="0.3">
      <c r="A23" s="5"/>
      <c r="B23" s="36"/>
      <c r="C23" s="36"/>
      <c r="D23" s="36"/>
      <c r="E23" s="78" t="s">
        <v>53</v>
      </c>
      <c r="F23" s="78"/>
      <c r="G23" s="38"/>
      <c r="H23" s="38"/>
      <c r="I23" s="38"/>
      <c r="J23" s="38"/>
    </row>
    <row r="24" spans="1:10" ht="15.6" x14ac:dyDescent="0.3">
      <c r="A24" s="26">
        <v>3</v>
      </c>
      <c r="B24" s="67" t="s">
        <v>175</v>
      </c>
      <c r="C24" s="68"/>
    </row>
    <row r="25" spans="1:10" ht="15.6" x14ac:dyDescent="0.3">
      <c r="A25" s="27">
        <v>2</v>
      </c>
      <c r="B25" s="69" t="s">
        <v>176</v>
      </c>
      <c r="C25" s="70"/>
    </row>
    <row r="26" spans="1:10" ht="15.6" x14ac:dyDescent="0.3">
      <c r="A26" s="28">
        <v>1</v>
      </c>
      <c r="B26" s="71" t="s">
        <v>177</v>
      </c>
      <c r="C26" s="72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E21:J21"/>
    <mergeCell ref="B24:C24"/>
    <mergeCell ref="B25:C25"/>
    <mergeCell ref="B26:C26"/>
    <mergeCell ref="I8:J8"/>
    <mergeCell ref="B19:D19"/>
    <mergeCell ref="B20:D20"/>
    <mergeCell ref="B21:D21"/>
    <mergeCell ref="I16:J16"/>
    <mergeCell ref="I18:J18"/>
    <mergeCell ref="I14:J14"/>
    <mergeCell ref="I15:J15"/>
    <mergeCell ref="B17:D17"/>
    <mergeCell ref="I17:J17"/>
    <mergeCell ref="E22:F22"/>
    <mergeCell ref="E23:F23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3:J13"/>
    <mergeCell ref="B8:D8"/>
    <mergeCell ref="B13:D13"/>
    <mergeCell ref="B11:D11"/>
    <mergeCell ref="B22:D23"/>
    <mergeCell ref="G22:J22"/>
    <mergeCell ref="G23:J23"/>
    <mergeCell ref="B15:D15"/>
    <mergeCell ref="B9:D9"/>
    <mergeCell ref="I9:J9"/>
    <mergeCell ref="I11:J11"/>
    <mergeCell ref="B12:D12"/>
    <mergeCell ref="I12:J12"/>
    <mergeCell ref="B10:D10"/>
    <mergeCell ref="I10:J10"/>
    <mergeCell ref="B14:D14"/>
    <mergeCell ref="G19:J19"/>
    <mergeCell ref="E20:J20"/>
    <mergeCell ref="B16:D16"/>
    <mergeCell ref="B18:D18"/>
  </mergeCells>
  <conditionalFormatting sqref="C2:D2">
    <cfRule type="containsText" dxfId="16" priority="67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66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1">
    <cfRule type="expression" dxfId="14" priority="106">
      <formula>$E21="راسب"</formula>
    </cfRule>
  </conditionalFormatting>
  <conditionalFormatting sqref="E21:J21">
    <cfRule type="expression" dxfId="13" priority="110">
      <formula>$E21="ممتاز"</formula>
    </cfRule>
    <cfRule type="expression" dxfId="12" priority="109">
      <formula>$E21="جيد جداً"</formula>
    </cfRule>
    <cfRule type="expression" dxfId="11" priority="108">
      <formula>$E21="جيد"</formula>
    </cfRule>
    <cfRule type="expression" dxfId="10" priority="107">
      <formula>$E21="مقبول"</formula>
    </cfRule>
  </conditionalFormatting>
  <conditionalFormatting sqref="F8:F18">
    <cfRule type="containsText" dxfId="9" priority="7" operator="containsText" text="أدخل العلامة">
      <formula>NOT(ISERROR(SEARCH("أدخل العلامة",F8)))</formula>
    </cfRule>
  </conditionalFormatting>
  <conditionalFormatting sqref="F2:J2">
    <cfRule type="containsText" dxfId="8" priority="68" operator="containsText" text="أدخل التاريخ">
      <formula>NOT(ISERROR(SEARCH("أدخل التاريخ",F2)))</formula>
    </cfRule>
  </conditionalFormatting>
  <conditionalFormatting sqref="F3:J3">
    <cfRule type="containsText" dxfId="7" priority="65" operator="containsText" text="أدخل أسم المحكم">
      <formula>NOT(ISERROR(SEARCH("أدخل أسم المحكم",F3)))</formula>
    </cfRule>
  </conditionalFormatting>
  <conditionalFormatting sqref="G22:J22">
    <cfRule type="containsText" dxfId="6" priority="64" operator="containsText" text="أدخل اسم المحكم">
      <formula>NOT(ISERROR(SEARCH("أدخل اسم المحكم",G22)))</formula>
    </cfRule>
  </conditionalFormatting>
  <conditionalFormatting sqref="H8:H18">
    <cfRule type="containsText" dxfId="5" priority="1" operator="containsText" text="أدخل العلامة">
      <formula>NOT(ISERROR(SEARCH("أدخل العلامة",H8)))</formula>
    </cfRule>
    <cfRule type="containsText" dxfId="4" priority="6" operator="containsText" text="راسب">
      <formula>NOT(ISERROR(SEARCH("راسب",H8)))</formula>
    </cfRule>
    <cfRule type="containsText" dxfId="3" priority="2" operator="containsText" text="ممتاز">
      <formula>NOT(ISERROR(SEARCH("ممتاز",H8)))</formula>
    </cfRule>
    <cfRule type="containsText" dxfId="2" priority="3" operator="containsText" text="جيد جداً">
      <formula>NOT(ISERROR(SEARCH("جيد جداً",H8)))</formula>
    </cfRule>
    <cfRule type="containsText" dxfId="1" priority="4" operator="containsText" text="جيد">
      <formula>NOT(ISERROR(SEARCH("جيد",H8)))</formula>
    </cfRule>
    <cfRule type="containsText" dxfId="0" priority="5" operator="containsText" text="مقبول">
      <formula>NOT(ISERROR(SEARCH("مقبول",H8)))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G22:J22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F8:F18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4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4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4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4" t="s">
        <v>152</v>
      </c>
    </row>
    <row r="264" spans="1:1" ht="20.100000000000001" customHeight="1" x14ac:dyDescent="0.3">
      <c r="A264" s="24" t="s">
        <v>153</v>
      </c>
    </row>
    <row r="265" spans="1:1" ht="20.100000000000001" customHeight="1" x14ac:dyDescent="0.3">
      <c r="A265" s="24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4" t="s">
        <v>159</v>
      </c>
    </row>
    <row r="271" spans="1:1" ht="20.100000000000001" customHeight="1" x14ac:dyDescent="0.3">
      <c r="A271" s="24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4" t="s">
        <v>162</v>
      </c>
    </row>
    <row r="274" spans="1:1" ht="20.100000000000001" customHeight="1" x14ac:dyDescent="0.3">
      <c r="A274" s="24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4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4" t="s">
        <v>171</v>
      </c>
    </row>
    <row r="283" spans="1:1" ht="20.100000000000001" customHeight="1" x14ac:dyDescent="0.3">
      <c r="A283" s="24" t="s">
        <v>172</v>
      </c>
    </row>
    <row r="284" spans="1:1" ht="20.100000000000001" customHeight="1" x14ac:dyDescent="0.3">
      <c r="A284" s="24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2025-10-15T17:35:58Z</dcterms:modified>
</cp:coreProperties>
</file>