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1CBA1D32-93A7-8F40-AF17-64628AB6C5C1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5" i="2"/>
  <c r="H15" i="2"/>
  <c r="G16" i="2"/>
  <c r="H16" i="2"/>
  <c r="G17" i="2"/>
  <c r="H17" i="2"/>
  <c r="G18" i="2"/>
  <c r="H18" i="2"/>
  <c r="G19" i="2"/>
  <c r="H19" i="2"/>
  <c r="G21" i="2"/>
  <c r="H21" i="2"/>
  <c r="G22" i="2"/>
  <c r="H22" i="2"/>
  <c r="G23" i="2"/>
  <c r="H23" i="2"/>
  <c r="G24" i="2"/>
  <c r="H24" i="2"/>
  <c r="G25" i="2"/>
  <c r="H25" i="2"/>
  <c r="F26" i="2"/>
  <c r="E26" i="2"/>
  <c r="E27" i="2"/>
  <c r="E28" i="2"/>
</calcChain>
</file>

<file path=xl/sharedStrings.xml><?xml version="1.0" encoding="utf-8"?>
<sst xmlns="http://schemas.openxmlformats.org/spreadsheetml/2006/main" count="257" uniqueCount="200">
  <si>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</si>
  <si>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</si>
  <si>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</si>
  <si>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</si>
  <si>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</si>
  <si>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</si>
  <si>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</si>
  <si>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</si>
  <si>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</si>
  <si>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</si>
  <si>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</si>
  <si>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</si>
  <si>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</si>
  <si>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</si>
  <si>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</si>
  <si>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</si>
  <si>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</si>
  <si>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</si>
  <si>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</si>
  <si>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</si>
  <si>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</si>
  <si>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</si>
  <si>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</si>
  <si>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</si>
  <si>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</si>
  <si>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</si>
  <si>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</si>
  <si>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</si>
  <si>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</si>
  <si>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</si>
  <si>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</si>
  <si>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</si>
  <si>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</si>
  <si>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</si>
  <si>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</si>
  <si>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</si>
  <si>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</si>
  <si>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</si>
  <si>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</si>
  <si>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</si>
  <si>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</si>
  <si>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</si>
  <si>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</si>
  <si>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</si>
  <si>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</si>
  <si>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</si>
  <si>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</si>
  <si>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</si>
  <si>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</si>
  <si>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</si>
  <si>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</si>
  <si>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</si>
  <si>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</si>
  <si>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</si>
  <si>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</si>
  <si>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</si>
  <si>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</si>
  <si>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</si>
  <si>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</si>
  <si>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</si>
  <si>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</si>
  <si>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</si>
  <si>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</si>
  <si>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</si>
  <si>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</si>
  <si>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</si>
  <si>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</si>
  <si>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</si>
  <si>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</si>
  <si>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</si>
  <si>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</si>
  <si>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</si>
  <si>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</si>
  <si>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</si>
  <si>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</si>
  <si>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</si>
  <si>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</si>
  <si>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</si>
  <si>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</si>
  <si>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</si>
  <si>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</si>
  <si>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</si>
  <si>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</si>
  <si>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</si>
  <si>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</si>
  <si>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</si>
  <si>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</si>
  <si>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</si>
  <si>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</si>
  <si>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</si>
  <si>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</si>
  <si>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</si>
  <si>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</si>
  <si>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</si>
  <si>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</si>
  <si>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</si>
  <si>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</si>
  <si>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</si>
  <si>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</si>
  <si>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</si>
  <si>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</si>
  <si>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</si>
  <si>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</si>
  <si>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</si>
  <si>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</si>
  <si>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</si>
  <si>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</si>
  <si>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</si>
  <si>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</si>
  <si>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</si>
  <si>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</si>
  <si>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</si>
  <si>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</si>
  <si>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</si>
  <si>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</si>
  <si>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</si>
  <si>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</si>
  <si>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</si>
  <si>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</si>
  <si>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</si>
  <si>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</si>
  <si>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</si>
  <si>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</si>
  <si>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</si>
  <si>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</si>
  <si>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</si>
  <si>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</si>
  <si>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</si>
  <si>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</si>
  <si>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</si>
  <si>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</si>
  <si>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</si>
  <si>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</si>
  <si>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</si>
  <si>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</si>
  <si>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</si>
  <si>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</si>
  <si>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</si>
  <si>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</si>
  <si>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</si>
  <si>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</si>
  <si>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</si>
  <si>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</si>
  <si>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</si>
  <si>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</si>
  <si>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</si>
  <si>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</si>
  <si>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</si>
  <si>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</si>
  <si>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</si>
  <si>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</si>
  <si>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</si>
  <si>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</si>
  <si>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</si>
  <si>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</si>
  <si>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</si>
  <si>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</si>
  <si>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</si>
  <si>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</si>
  <si>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</si>
  <si>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</si>
  <si>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</si>
  <si>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</si>
  <si>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</si>
  <si>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</si>
  <si>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</si>
  <si>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</si>
  <si>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</si>
  <si>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</si>
  <si>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</si>
  <si>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</si>
  <si>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</si>
  <si>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</si>
  <si>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</si>
  <si>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</si>
  <si>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</si>
  <si>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</si>
  <si>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</si>
  <si>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</si>
  <si>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</si>
  <si>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إجراءات السرية الطبية في منطقة التجمع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</si>
  <si>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توزيع القوة في منطقة التجمع (الانتشار في منطقة التجمع على شكل الدفاع الدائري).</t>
    </r>
  </si>
  <si>
    <t>أ.   التمركز في الموقع المنتخب للسرية الطبية</t>
  </si>
  <si>
    <t>ب. معرفة الطرق الرئيسية والبديلة لخطوط الاخلاء الطبي</t>
  </si>
  <si>
    <t>جـ. توضيح المهمة والواجبات على المرتب</t>
  </si>
  <si>
    <t xml:space="preserve">د.  ابلاغ قائد كتيبة الاسناد لمجموعة اللواء </t>
  </si>
  <si>
    <t>هـ. معرفة مواقع الإسناد (الصيانة - مواقع الأرزاق).</t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</si>
  <si>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إجراءات الحماية والدفاع الدائري في منطقه التجمع</t>
    </r>
    <r>
      <rPr>
        <b/>
        <sz val="12"/>
        <color rgb="FF000000"/>
        <rFont val="Arial"/>
        <family val="2"/>
      </rPr>
      <t>.</t>
    </r>
  </si>
  <si>
    <t>أ.   التأكد من التوزيع الدائري في منطقه التجمع.</t>
  </si>
  <si>
    <t>ب. التنسيق مع قوه الحماية للسرية الطبية</t>
  </si>
  <si>
    <t>جـ. تحديد المواقع البديلة في حال التعرض للهجوم.</t>
  </si>
  <si>
    <t>د.  التأكد من استخدام وفاعليه أجهزة المراقبة الليلية.</t>
  </si>
  <si>
    <t>هـ. انتخاب نقاط مرجع (GPS) حول منطقه التجمع.</t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</si>
  <si>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استكمال التحضيرات والتفتيشات وسد النقص</t>
    </r>
    <r>
      <rPr>
        <b/>
        <sz val="12"/>
        <color rgb="FF000000"/>
        <rFont val="Arial"/>
        <family val="2"/>
      </rPr>
      <t>.</t>
    </r>
  </si>
  <si>
    <t>أ.   استكمال النقص في المعدات والأجهزة الطبية.</t>
  </si>
  <si>
    <t>ب. استكمال النقص في الوقود.</t>
  </si>
  <si>
    <t>جـ. استكمال مواد الإسناد الإداري.</t>
  </si>
  <si>
    <t>د.  تفقد شبكات الاتصالات.</t>
  </si>
  <si>
    <t>هـ. تفقد وصيانته الآليات والأسلحة.</t>
  </si>
  <si>
    <t>رائد طبيب علي النقبي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</si>
</sst>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1"/>
      <color theme="1"/>
      <name val="Calibri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4" fillId="0" borderId="4" xfId="0" applyFont="1" applyBorder="1" applyAlignment="1">
      <alignment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15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12" fillId="0" borderId="24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  <xf numFmtId="0" fontId="12" fillId="0" borderId="5" xfId="0" applyFont="1" applyBorder="1" applyAlignment="1">
      <alignment horizontal="right" vertical="center" wrapText="1" readingOrder="2"/>
    </xf>
    <xf numFmtId="0" fontId="12" fillId="0" borderId="4" xfId="0" applyFont="1" applyBorder="1" applyAlignment="1">
      <alignment horizontal="right" vertical="center" wrapText="1" readingOrder="2"/>
    </xf>
    <xf numFmtId="0" fontId="15" fillId="0" borderId="11" xfId="0" applyFont="1" applyBorder="1" applyAlignment="1">
      <alignment horizontal="right" vertical="center" wrapText="1" indent="2" readingOrder="2"/>
    </xf>
    <xf numFmtId="0" fontId="15" fillId="0" borderId="12" xfId="0" applyFont="1" applyBorder="1" applyAlignment="1">
      <alignment horizontal="right" vertical="center" wrapText="1" indent="2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255712</xdr:colOff>
      <xdr:row>29</xdr:row>
      <xdr:rowOff>158527</xdr:rowOff>
    </xdr:from>
    <xdr:to>
      <xdr:col>9</xdr:col>
      <xdr:colOff>390352</xdr:colOff>
      <xdr:row>29</xdr:row>
      <xdr:rowOff>548767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F32F40C7-2232-66D6-3958-44DEEC037FC4}"/>
                </a:ext>
              </a:extLst>
            </xdr14:cNvPr>
            <xdr14:cNvContentPartPr/>
          </xdr14:nvContentPartPr>
          <xdr14:nvPr macro=""/>
          <xdr14:xfrm>
            <a:off x="10398196467" y="11530800"/>
            <a:ext cx="134640" cy="39024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F32F40C7-2232-66D6-3958-44DEEC037FC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187467" y="11522160"/>
              <a:ext cx="152280" cy="40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222263</xdr:colOff>
      <xdr:row>29</xdr:row>
      <xdr:rowOff>58447</xdr:rowOff>
    </xdr:from>
    <xdr:to>
      <xdr:col>9</xdr:col>
      <xdr:colOff>857272</xdr:colOff>
      <xdr:row>29</xdr:row>
      <xdr:rowOff>588367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EA548E8-9F6B-351F-1F27-E6265173F72C}"/>
                </a:ext>
              </a:extLst>
            </xdr14:cNvPr>
            <xdr14:cNvContentPartPr/>
          </xdr14:nvContentPartPr>
          <xdr14:nvPr macro=""/>
          <xdr14:xfrm>
            <a:off x="10397729547" y="11430720"/>
            <a:ext cx="2609280" cy="52992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DEA548E8-9F6B-351F-1F27-E6265173F72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7720907" y="11421720"/>
              <a:ext cx="2626920" cy="547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5T14:01:08.4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35 4737,'0'0'0,"0"-3"488,0-1-400,0-1-176,0 5 88,0-4-144,0 0-40,3 0-24,-3-1 55,0 5 153,5-2-88,-5 0 40,0 1 96,0 1 104,0 0-152,2 0 241,-2 0 127,2 0 80,-2 0 0,0 0-448,0 3 424,0-3 8,0 2-56,0 1-56,0-3-320,0 3 280,0 0-72,0 0-112,0 0-40,0-3-56,0 2 40,0 3-8,3-1-16,2 0 32,-5-4-48,2 13 72,0-9-24,1 11 40,-1-3 0,-2-12-88,5 13 112,-3 3 56,10 1 88,-7 3 1,-5-20-257,10 21 280,-5 5 56,9 2 48,-2 5 64,-12-33-448,3 37 416,16 3 32,-10 4-64,6 2-80,-15-46-304,12 50 320,2 1-128,-2 2-32,3-2-24,-15-51-136,12 50 152,2-2 32,1-2 32,-1-5 81,-14-41-297,15 38 360,-6-2 72,6-5 40,-13-4 8,-2-27-480,17 26 496,-12-3-40,9-5-40,-9-1 0,-5-17-416,12 16 360,-7-5-24,4-7 1,-4 11-49,-5-15-288,0 2 280,5 1 8,-3 0 0,1 0 32,-3-3-320,0 0 408,0 0 104,0 0 16,0 0 88,0 0-2680,0 0 4680,0 0-2200,0 0-31,2 0-209,-2 0-176,0 0 160,0 0-16,0 0-104,0-2 40,0 2-80,0-1 24,0-3 24,0 0 0,0-1-32,0 5-16,0-11-56,-2 7-216,-1-8-152,1 8-409,2 4 833,-5-14-1320,3 10-992,-3-11-1721,0 4-1072,5 11 5105,0-13-7434,0 13 7434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5T14:01:10.99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987 874 6233,'0'0'0,"-2"0"4177,-13 0-3321,15 0-856,-12 0 664,7 0-8,1-1 32,-8-1 129,12 2-817,-3-2 712,-11-3-240,9 0 0,-5-1-184,10 6-288,-4-13 272,-9 9-16,11-9-72,-5-1-8,7 14-176,-12-16 104,9 1-40,1-4-72,-3 1 88,5 18-80,-2-22 112,-1 1-16,1-2 0,0-1-64,2 24-32,0-25-120,0-2-64,0 0 0,12-29-112,-12 56 296,16-54-272,1 3 80,5 1-56,7 5 120,-29 45 128,29-40-32,4 3-56,-1 7 0,1 2 0,-33 28 88,34-27-136,2 1 64,3 2 48,1 1-72,-40 23 96,41-20-112,0 2-24,5 2-48,2 3 64,-48 13 120,51-4-152,-1-2-8,3 2 24,-5 4 0,-48 0 136,51 3-113,-1 11-39,5 5 48,30 20-16,-85-39 120,69 45-168,-11 1 64,-22-7 56,0 2-24,-36-41 72,31 41-16,3 3 56,-7 6-56,-3 1 8,-24-51 8,24 57 48,-5 3-96,-5 2-72,-2 2 56,-12-64 64,0 64 0,3 0 64,-3-1 8,0-2 48,0-61-120,-3 58 32,-13-2-16,6-5 152,-7-3-48,17-48-120,-19 43 120,-3-5 40,-4-2-7,2-2 31,24-34-184,-27 31 320,-4-4-80,-5-1-80,-3-4 80,39-22-240,-21 5 296,-3 12 48,0-6 112,-5 1-80,29-12-376,-31 4 312,-6 10-16,1-11-16,-2 1-80,38-4-200,-41 4 216,3-4 0,-1 0-72,3-4 48,36 4-192,-36-13 128,0-1 33,7-3 103,-2-1 32,31 18-296,-24-23 264,-3 0-216,6-4-224,6 0-128,15 27 304,-12-28-416,7-4 79,0 2-15,1-2 56,4 32 296,0-33-328,12 2 0,2 0 16,3-1 56,-17 32 256,22-28-240,2 1 0,2 1 16,8 5-8,-34 21 232,31-20-184,3 3 40,-1 1-24,8 4-16,-41 12 184,39-6-264,-1 0 48,42 0-80,-11 6 23,-69 0 273,58 18-264,-12 1 80,-5 4 120,0 6 120,-41-29-56,38 31 152,-2 3-88,0 3-56,0 0 24,-36-37-32,32 35 48,-4-2-32,-4-3 16,3-3-32,-27-27 0,19 24 8,0-2 72,-4-3 73,-10-2-89,-5-17-64,2 16 8,3-3 40,0-9 72,-5 0 32,0-4-152,0 5 200,0-2 168,2-3 8,-2 0 248,0 0-624,0 0 808,0 0-120,0-2 120,0-2-199,0 4-609,0-16 416,0 1-176,-2-7-88,2-5-248,0 27 96,-5-32-152,2-4 112,3-2-168,0-5 160,0 43 48,8-43 72,-6-1-216,8 2 8,-5 2-48,-5 40 184,16-34-153,-1 4-15,-3 4 8,2 6 40,-14 20 120,15-15-192,-1 2 56,3 7-24,-5-5 8,-12 11 152,12-4-256,0-1 72,0 3 24,3 0-80,-15 2 240,16 0-280,-1 0 16,-1 3 40,1 11 72,-15-14 152,16 14-40,1 6-8,5 3 72,-3 4 0,-19-27-24,19 28 0,1 4 0,-3-1-8,2 0-40,-19-31 48,17 34-48,2-1 48,0-3-32,-7-2 32,-12-28 0,12 23 56,-2-4-32,-3-2 8,5-3-32,-12-14 0,5 13 0,-3-9-8,3 9 16,0-10 48,-5-3-56,5 2 80,-3 1 16,0-3 8,1 3 32,-3-3-136,5 0 112,-3 0-8,3 0 40,-3 0-8,-2 0-136,5 0 208,0 0 48,-3-1-64,3-2 48,-5 3-240,15-4 176,-13-9-72,10 1-112,-10 0-256,-2 12 264,20-15-488,-8-3-264,2-1-328,1-5-217,-15 24 1297,12-27-1448,2-3 232,0-2 312,3-1 264,-17 33 640,12-33-408,8 2 95,-4 0 65,-1 2 200,-15 29 48,14-25 136,1 2 176,-3 2 145,0 1 55,-12 20-512,12-19 584,-7 2 80,7-1 88,-8 1 192,-4 17-944,12-20 937,-9 0 31,9 0-40,-12-3-112,0 23-816,5-22 848,-3-4-136,-2 0-63,0-2-25,0 28-624,0-29 552,0 0-48,-2-1-104,-1-1-40,3 31-360,-2-30 184,-5 4 48,2 5-8,0 5-120,5 16-104,-12-13 160,10 9-176,-1 0 16,-2 0-64,5 4 64,-2-2-96,0 2-96,-1 0-72,3 0-64,0 0 328,-2 3-320,-1 8 88,3-6 16,-2 13 64,2-18 152,-2 17-152,2 4 64,0 5 24,4 2 32,-4-28 32,12 32-24,-7 0 8,10 3-24,-13 0 16,-2-35 24,22 34-64,-10 0-48,2-1 56,1-3-24,-15-30 80,16 28-48,-1-1 40,-1-1-8,3-2 16,-17-24 0,17 23-40,-3 0-16,1 1 32,2-3-128,-17-21 152,14 23-8,-2-3-72,3 0 80,-1-2 24,-14-18-24,14 16-8,-2-2-8,3-1-8,-6-2 96,-9-11-72,5 4 0,15 9 88,-16-13-96,11 4-72,-15-4 80,14 3-72,-9-3 24,12 0 40,-5 0 64,-12 0-56,17-4 112,0-9-88,-3 7-32,3-11-16,-17 17 24,17-14-16,2-1-32,3-2-16,4-2-8,-26 19 72,29-21-136,5-2 24,2 0-40,2-1-65,-38 24 217,48-24-256,-5 3 40,8 2 16,0 2 32,-51 17 168,55-14-160,0 0 32,3 1 24,0 7-24,-58 6 128,60-14-104,2 10 8,1-2 64,7-7 136,-70 13-104,72-4 8,5-2-16,2-7-16,3 9-48,-82 4 72,86-11-32,-1 5-16,6-7-16,-2 8-32,-89 5 96,91-15-24,6 11-16,-4-9 24,8 8-24,-101 5 40,99-13-128,0 9 48,-1-9 104,1 7-48,-99 6 24,99-14 24,-6 8-48,1-8-32,-2 10-16,-92 4 72,89-14 40,-3 9 48,-6-6-88,-3 7 8,-77 4-8,76-6-40,-8 0 24,-1-5 8,-9 8-8,-58 3 16,55-4 24,-4-2-48,-13 2 16,1 1 40,-39 3-32,33-1-64,-11-1 120,-5 1-8,-5 1 16,-12 0-64,2 0 136,3 0 16,-5 0 16,0 0-88,0 0-80,-5 3 80,-12-1-120,1 1-24,-8 0 88,24-3-24,-34 3 24,-5 1-8,-11 0 24,-3 1 0,53-5-40,-63 4 24,-6 0-16,-3 9 0,-13-9-8,85-4 0,-93 16-16,-6-5 0,-7 2-40,-5 1-16,111-14 72,-117 16-24,-11 1 48,-4 0 48,-10-1-88,142-16 16,-142 17 64,-5 0-40,-2 1-16,-5 2-8,154-20 0,-163 20-32,-6 3 8,1-2-24,-5 2 104,173-23-56,-178 23 48,0-1 24,-5 3-32,0 0 72,183-25-112,-180 27-16,-8-1 88,10-1 8,-2 2 40,180-27-120,-181 29 160,6-1-136,-6 1 88,6 2-152,175-31 40,-178 30-48,94-16 168,-25 4-72,8 1-16,101-19-32,-122 20 88,4-2-160,-17 5-48,5-3 64,130-20 56,-70 4 104,-11 13-8,6-5-64,-9 0-8,84-12-24,-77 5-176,-7 12-48,7-13 80,-3 12 16,80-16 128,-74 4 4553,-3 9-4345,7-10-32,-2 9 112,72-12-288,-63 3 104,-2 1 112,8 1 64,-3-1-31,60-4-249,-51 4 408,8-1-144,7-3 80,4 3-280,32-3-64,-24 0-176,8 0 40,4 0-152,7-1 288,5 1 0,-5-2 200,5-1-32,0 0 24,12 1-104,-7-3-5321,-5 5 5233,17-3-112,-3 1-56,3-1 0,0 1-369,-17 2 537,24-2-1904,-3 0-2865,6 1-584,-1 1-16,-26 0 5369,0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0"/>
  <sheetViews>
    <sheetView rightToLeft="1" tabSelected="1" view="pageBreakPreview" topLeftCell="C13" zoomScale="130" zoomScaleNormal="100" zoomScaleSheetLayoutView="130" workbookViewId="0">
      <selection activeCell="G30" sqref="G30:J30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59" t="s">
        <v>180</v>
      </c>
      <c r="C1" s="59"/>
      <c r="D1" s="59"/>
      <c r="E1" s="59"/>
      <c r="F1" s="59"/>
      <c r="G1" s="59"/>
      <c r="H1" s="59"/>
      <c r="I1" s="59"/>
      <c r="J1" s="59"/>
    </row>
    <row r="2" spans="1:10" ht="30" customHeight="1" x14ac:dyDescent="0.2">
      <c r="B2" s="10" t="s">
        <v>8</v>
      </c>
      <c r="C2" s="65" t="s">
        <v>31</v>
      </c>
      <c r="D2" s="65"/>
      <c r="E2" s="10" t="s">
        <v>7</v>
      </c>
      <c r="F2" s="60" t="s">
        <v>56</v>
      </c>
      <c r="G2" s="60"/>
      <c r="H2" s="60"/>
      <c r="I2" s="60"/>
      <c r="J2" s="60"/>
    </row>
    <row r="3" spans="1:10" ht="30" customHeight="1" x14ac:dyDescent="0.2">
      <c r="B3" s="10" t="s">
        <v>9</v>
      </c>
      <c r="C3" s="65" t="s">
        <v>60</v>
      </c>
      <c r="D3" s="65"/>
      <c r="E3" s="10" t="s">
        <v>6</v>
      </c>
      <c r="F3" s="65" t="s">
        <v>138</v>
      </c>
      <c r="G3" s="65"/>
      <c r="H3" s="65"/>
      <c r="I3" s="65"/>
      <c r="J3" s="65"/>
    </row>
    <row r="4" spans="1:10" ht="30" customHeight="1" thickBot="1" x14ac:dyDescent="0.25">
      <c r="B4" s="6"/>
      <c r="C4" s="37" t="s">
        <v>199</v>
      </c>
      <c r="D4" s="37"/>
      <c r="E4" s="6"/>
      <c r="F4" s="37"/>
      <c r="G4" s="37"/>
      <c r="H4" s="37"/>
      <c r="I4" s="37"/>
      <c r="J4" s="37"/>
    </row>
    <row r="5" spans="1:10" ht="24.95" customHeight="1" x14ac:dyDescent="0.2">
      <c r="A5" s="8"/>
      <c r="B5" s="61" t="s">
        <v>0</v>
      </c>
      <c r="C5" s="62"/>
      <c r="D5" s="62"/>
      <c r="E5" s="70" t="s">
        <v>1</v>
      </c>
      <c r="F5" s="70"/>
      <c r="G5" s="70"/>
      <c r="H5" s="70"/>
      <c r="I5" s="70" t="s">
        <v>2</v>
      </c>
      <c r="J5" s="71"/>
    </row>
    <row r="6" spans="1:10" ht="24.95" customHeight="1" thickBot="1" x14ac:dyDescent="0.25">
      <c r="A6" s="8"/>
      <c r="B6" s="63"/>
      <c r="C6" s="64"/>
      <c r="D6" s="64"/>
      <c r="E6" s="9" t="s">
        <v>3</v>
      </c>
      <c r="F6" s="9" t="s">
        <v>4</v>
      </c>
      <c r="G6" s="9" t="s">
        <v>23</v>
      </c>
      <c r="H6" s="9" t="s">
        <v>24</v>
      </c>
      <c r="I6" s="72"/>
      <c r="J6" s="73"/>
    </row>
    <row r="7" spans="1:10" ht="24.95" customHeight="1" thickBot="1" x14ac:dyDescent="0.25">
      <c r="A7" s="8"/>
      <c r="B7" s="68" t="s">
        <v>21</v>
      </c>
      <c r="C7" s="69"/>
      <c r="D7" s="69"/>
      <c r="E7" s="28" t="s">
        <v>18</v>
      </c>
      <c r="F7" s="28" t="s">
        <v>19</v>
      </c>
      <c r="G7" s="28" t="s">
        <v>22</v>
      </c>
      <c r="H7" s="28" t="s">
        <v>20</v>
      </c>
      <c r="I7" s="74" t="s">
        <v>25</v>
      </c>
      <c r="J7" s="75"/>
    </row>
    <row r="8" spans="1:10" ht="43.5" customHeight="1" x14ac:dyDescent="0.2">
      <c r="A8" s="8"/>
      <c r="B8" s="80" t="s">
        <v>181</v>
      </c>
      <c r="C8" s="81"/>
      <c r="D8" s="81"/>
      <c r="E8" s="26"/>
      <c r="F8" s="32"/>
      <c r="G8" s="33"/>
      <c r="H8" s="34"/>
      <c r="I8" s="38"/>
      <c r="J8" s="39"/>
    </row>
    <row r="9" spans="1:10" ht="30" customHeight="1" x14ac:dyDescent="0.2">
      <c r="A9" s="8"/>
      <c r="B9" s="76" t="s">
        <v>182</v>
      </c>
      <c r="C9" s="77"/>
      <c r="D9" s="77"/>
      <c r="E9" s="7">
        <v>5</v>
      </c>
      <c r="F9" s="24">
        <v>3.75</v>
      </c>
      <c r="G9" s="30">
        <f>IFERROR(F9/E9,"")</f>
        <v>0.75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2"/>
      <c r="J9" s="43"/>
    </row>
    <row r="10" spans="1:10" ht="30" customHeight="1" x14ac:dyDescent="0.2">
      <c r="A10" s="8"/>
      <c r="B10" s="76" t="s">
        <v>183</v>
      </c>
      <c r="C10" s="77"/>
      <c r="D10" s="77"/>
      <c r="E10" s="7">
        <v>5</v>
      </c>
      <c r="F10" s="24">
        <v>3.75</v>
      </c>
      <c r="G10" s="30">
        <f t="shared" ref="G10:G25" si="0">IFERROR(F10/E10,"")</f>
        <v>0.75</v>
      </c>
      <c r="H10" s="31" t="str">
        <f t="shared" ref="H10:H25" si="1">_xlfn.IFS(F10="أدخل العلامة","",F10="لا ينطبق","تم الإلغاء",G10&gt;=90%,"ممتاز",G10&gt;=80%,"جيد جداً",G10&gt;=70%,"جيد",G10&gt;=60%,"مقبول",G10&lt;60%,"راسب")</f>
        <v>جيد</v>
      </c>
      <c r="I10" s="42"/>
      <c r="J10" s="43"/>
    </row>
    <row r="11" spans="1:10" ht="30" customHeight="1" x14ac:dyDescent="0.2">
      <c r="A11" s="8"/>
      <c r="B11" s="76" t="s">
        <v>184</v>
      </c>
      <c r="C11" s="77"/>
      <c r="D11" s="77"/>
      <c r="E11" s="7">
        <v>5</v>
      </c>
      <c r="F11" s="24">
        <v>3.75</v>
      </c>
      <c r="G11" s="30">
        <f t="shared" si="0"/>
        <v>0.75</v>
      </c>
      <c r="H11" s="31" t="str">
        <f t="shared" si="1"/>
        <v>جيد</v>
      </c>
      <c r="I11" s="42"/>
      <c r="J11" s="43"/>
    </row>
    <row r="12" spans="1:10" ht="30" customHeight="1" x14ac:dyDescent="0.2">
      <c r="A12" s="8"/>
      <c r="B12" s="76" t="s">
        <v>185</v>
      </c>
      <c r="C12" s="77"/>
      <c r="D12" s="77"/>
      <c r="E12" s="7">
        <v>5</v>
      </c>
      <c r="F12" s="24">
        <v>3.75</v>
      </c>
      <c r="G12" s="30">
        <f t="shared" si="0"/>
        <v>0.75</v>
      </c>
      <c r="H12" s="31" t="str">
        <f t="shared" si="1"/>
        <v>جيد</v>
      </c>
      <c r="I12" s="42"/>
      <c r="J12" s="43"/>
    </row>
    <row r="13" spans="1:10" ht="30" customHeight="1" thickBot="1" x14ac:dyDescent="0.25">
      <c r="A13" s="8"/>
      <c r="B13" s="82" t="s">
        <v>186</v>
      </c>
      <c r="C13" s="83"/>
      <c r="D13" s="83"/>
      <c r="E13" s="27">
        <v>5</v>
      </c>
      <c r="F13" s="25">
        <v>3.75</v>
      </c>
      <c r="G13" s="35">
        <f t="shared" si="0"/>
        <v>0.75</v>
      </c>
      <c r="H13" s="36" t="str">
        <f t="shared" si="1"/>
        <v>جيد</v>
      </c>
      <c r="I13" s="44"/>
      <c r="J13" s="45"/>
    </row>
    <row r="14" spans="1:10" ht="30" customHeight="1" x14ac:dyDescent="0.2">
      <c r="A14" s="8"/>
      <c r="B14" s="80" t="s">
        <v>187</v>
      </c>
      <c r="C14" s="81"/>
      <c r="D14" s="81"/>
      <c r="E14" s="26"/>
      <c r="F14" s="32"/>
      <c r="G14" s="33"/>
      <c r="H14" s="34"/>
      <c r="I14" s="38"/>
      <c r="J14" s="39"/>
    </row>
    <row r="15" spans="1:10" ht="30" customHeight="1" x14ac:dyDescent="0.2">
      <c r="A15" s="8"/>
      <c r="B15" s="76" t="s">
        <v>188</v>
      </c>
      <c r="C15" s="77"/>
      <c r="D15" s="77"/>
      <c r="E15" s="7">
        <v>5</v>
      </c>
      <c r="F15" s="24">
        <v>3.75</v>
      </c>
      <c r="G15" s="30">
        <f t="shared" si="0"/>
        <v>0.75</v>
      </c>
      <c r="H15" s="31" t="str">
        <f t="shared" si="1"/>
        <v>جيد</v>
      </c>
      <c r="I15" s="42"/>
      <c r="J15" s="43"/>
    </row>
    <row r="16" spans="1:10" ht="30" customHeight="1" x14ac:dyDescent="0.2">
      <c r="A16" s="8"/>
      <c r="B16" s="76" t="s">
        <v>189</v>
      </c>
      <c r="C16" s="77"/>
      <c r="D16" s="77"/>
      <c r="E16" s="7">
        <v>5</v>
      </c>
      <c r="F16" s="24">
        <v>3.75</v>
      </c>
      <c r="G16" s="30">
        <f t="shared" si="0"/>
        <v>0.75</v>
      </c>
      <c r="H16" s="31" t="str">
        <f t="shared" si="1"/>
        <v>جيد</v>
      </c>
      <c r="I16" s="42"/>
      <c r="J16" s="43"/>
    </row>
    <row r="17" spans="1:10" ht="30" customHeight="1" x14ac:dyDescent="0.2">
      <c r="A17" s="8"/>
      <c r="B17" s="76" t="s">
        <v>190</v>
      </c>
      <c r="C17" s="77"/>
      <c r="D17" s="77"/>
      <c r="E17" s="7">
        <v>5</v>
      </c>
      <c r="F17" s="24">
        <v>3.75</v>
      </c>
      <c r="G17" s="30">
        <f t="shared" si="0"/>
        <v>0.75</v>
      </c>
      <c r="H17" s="31" t="str">
        <f t="shared" si="1"/>
        <v>جيد</v>
      </c>
      <c r="I17" s="42"/>
      <c r="J17" s="43"/>
    </row>
    <row r="18" spans="1:10" ht="30" customHeight="1" x14ac:dyDescent="0.2">
      <c r="A18" s="8"/>
      <c r="B18" s="76" t="s">
        <v>191</v>
      </c>
      <c r="C18" s="77"/>
      <c r="D18" s="77"/>
      <c r="E18" s="7">
        <v>5</v>
      </c>
      <c r="F18" s="24">
        <v>3.75</v>
      </c>
      <c r="G18" s="30">
        <f t="shared" si="0"/>
        <v>0.75</v>
      </c>
      <c r="H18" s="31" t="str">
        <f t="shared" si="1"/>
        <v>جيد</v>
      </c>
      <c r="I18" s="42"/>
      <c r="J18" s="43"/>
    </row>
    <row r="19" spans="1:10" ht="30" customHeight="1" thickBot="1" x14ac:dyDescent="0.25">
      <c r="A19" s="8"/>
      <c r="B19" s="78" t="s">
        <v>192</v>
      </c>
      <c r="C19" s="79"/>
      <c r="D19" s="79"/>
      <c r="E19" s="27">
        <v>5</v>
      </c>
      <c r="F19" s="25">
        <v>3.75</v>
      </c>
      <c r="G19" s="35">
        <f t="shared" si="0"/>
        <v>0.75</v>
      </c>
      <c r="H19" s="36" t="str">
        <f t="shared" si="1"/>
        <v>جيد</v>
      </c>
      <c r="I19" s="44"/>
      <c r="J19" s="45"/>
    </row>
    <row r="20" spans="1:10" ht="30" customHeight="1" x14ac:dyDescent="0.2">
      <c r="A20" s="8"/>
      <c r="B20" s="80" t="s">
        <v>193</v>
      </c>
      <c r="C20" s="81"/>
      <c r="D20" s="81"/>
      <c r="E20" s="26"/>
      <c r="F20" s="32"/>
      <c r="G20" s="33"/>
      <c r="H20" s="34"/>
      <c r="I20" s="38"/>
      <c r="J20" s="39"/>
    </row>
    <row r="21" spans="1:10" ht="30" customHeight="1" x14ac:dyDescent="0.2">
      <c r="A21" s="8"/>
      <c r="B21" s="76" t="s">
        <v>194</v>
      </c>
      <c r="C21" s="77"/>
      <c r="D21" s="77"/>
      <c r="E21" s="7">
        <v>5</v>
      </c>
      <c r="F21" s="24">
        <v>3.75</v>
      </c>
      <c r="G21" s="30">
        <f t="shared" si="0"/>
        <v>0.75</v>
      </c>
      <c r="H21" s="31" t="str">
        <f t="shared" si="1"/>
        <v>جيد</v>
      </c>
      <c r="I21" s="42"/>
      <c r="J21" s="43"/>
    </row>
    <row r="22" spans="1:10" ht="30" customHeight="1" x14ac:dyDescent="0.2">
      <c r="A22" s="8"/>
      <c r="B22" s="76" t="s">
        <v>195</v>
      </c>
      <c r="C22" s="77"/>
      <c r="D22" s="77"/>
      <c r="E22" s="7">
        <v>5</v>
      </c>
      <c r="F22" s="24">
        <v>3.75</v>
      </c>
      <c r="G22" s="30">
        <f t="shared" si="0"/>
        <v>0.75</v>
      </c>
      <c r="H22" s="31" t="str">
        <f t="shared" si="1"/>
        <v>جيد</v>
      </c>
      <c r="I22" s="42"/>
      <c r="J22" s="43"/>
    </row>
    <row r="23" spans="1:10" ht="30" customHeight="1" x14ac:dyDescent="0.2">
      <c r="A23" s="8"/>
      <c r="B23" s="76" t="s">
        <v>196</v>
      </c>
      <c r="C23" s="77"/>
      <c r="D23" s="77"/>
      <c r="E23" s="7">
        <v>5</v>
      </c>
      <c r="F23" s="24">
        <v>3.75</v>
      </c>
      <c r="G23" s="30">
        <f t="shared" si="0"/>
        <v>0.75</v>
      </c>
      <c r="H23" s="31" t="str">
        <f t="shared" si="1"/>
        <v>جيد</v>
      </c>
      <c r="I23" s="42"/>
      <c r="J23" s="43"/>
    </row>
    <row r="24" spans="1:10" ht="30" customHeight="1" x14ac:dyDescent="0.2">
      <c r="A24" s="8"/>
      <c r="B24" s="76" t="s">
        <v>197</v>
      </c>
      <c r="C24" s="77"/>
      <c r="D24" s="77"/>
      <c r="E24" s="7">
        <v>5</v>
      </c>
      <c r="F24" s="24">
        <v>3.75</v>
      </c>
      <c r="G24" s="30">
        <f t="shared" si="0"/>
        <v>0.75</v>
      </c>
      <c r="H24" s="31" t="str">
        <f t="shared" si="1"/>
        <v>جيد</v>
      </c>
      <c r="I24" s="42"/>
      <c r="J24" s="43"/>
    </row>
    <row r="25" spans="1:10" ht="30" customHeight="1" thickBot="1" x14ac:dyDescent="0.25">
      <c r="A25" s="8"/>
      <c r="B25" s="78" t="s">
        <v>198</v>
      </c>
      <c r="C25" s="79"/>
      <c r="D25" s="79"/>
      <c r="E25" s="27">
        <v>5</v>
      </c>
      <c r="F25" s="25">
        <v>3.75</v>
      </c>
      <c r="G25" s="35">
        <f t="shared" si="0"/>
        <v>0.75</v>
      </c>
      <c r="H25" s="36" t="str">
        <f t="shared" si="1"/>
        <v>جيد</v>
      </c>
      <c r="I25" s="44"/>
      <c r="J25" s="45"/>
    </row>
    <row r="26" spans="1:10" ht="30" customHeight="1" thickBot="1" x14ac:dyDescent="0.25">
      <c r="A26" s="4"/>
      <c r="B26" s="40" t="s">
        <v>5</v>
      </c>
      <c r="C26" s="41"/>
      <c r="D26" s="41"/>
      <c r="E26" s="29">
        <f>SUM(E8:E25)</f>
        <v>75</v>
      </c>
      <c r="F26" s="29">
        <f>SUM(F8:F25)</f>
        <v>56.25</v>
      </c>
      <c r="G26" s="56"/>
      <c r="H26" s="57"/>
      <c r="I26" s="57"/>
      <c r="J26" s="58"/>
    </row>
    <row r="27" spans="1:10" ht="30" customHeight="1" thickBot="1" x14ac:dyDescent="0.25">
      <c r="A27" s="4"/>
      <c r="B27" s="52" t="s">
        <v>54</v>
      </c>
      <c r="C27" s="53"/>
      <c r="D27" s="53"/>
      <c r="E27" s="66">
        <f>F26/E26/100*100</f>
        <v>0.75</v>
      </c>
      <c r="F27" s="66"/>
      <c r="G27" s="66"/>
      <c r="H27" s="66"/>
      <c r="I27" s="66"/>
      <c r="J27" s="67"/>
    </row>
    <row r="28" spans="1:10" ht="30" customHeight="1" thickBot="1" x14ac:dyDescent="0.25">
      <c r="A28" s="4"/>
      <c r="B28" s="52" t="s">
        <v>55</v>
      </c>
      <c r="C28" s="53"/>
      <c r="D28" s="53"/>
      <c r="E28" s="50" t="str">
        <f>_xlfn.IFS(E27&gt;=90%,"ممتاز",E27&gt;=80%,"جيد جداً",E27&gt;=70%,"جيد",E27&gt;=60%,"مقبول",E27&lt;60%,"راسب")</f>
        <v>جيد</v>
      </c>
      <c r="F28" s="50"/>
      <c r="G28" s="50"/>
      <c r="H28" s="50"/>
      <c r="I28" s="50"/>
      <c r="J28" s="51"/>
    </row>
    <row r="29" spans="1:10" ht="42" customHeight="1" x14ac:dyDescent="0.2">
      <c r="B29" s="46" t="s">
        <v>174</v>
      </c>
      <c r="C29" s="46"/>
      <c r="D29" s="46"/>
      <c r="E29" s="54" t="s">
        <v>52</v>
      </c>
      <c r="F29" s="54"/>
      <c r="G29" s="48" t="s">
        <v>138</v>
      </c>
      <c r="H29" s="48"/>
      <c r="I29" s="48"/>
      <c r="J29" s="48"/>
    </row>
    <row r="30" spans="1:10" ht="51" customHeight="1" x14ac:dyDescent="0.2">
      <c r="A30" s="5"/>
      <c r="B30" s="47"/>
      <c r="C30" s="47"/>
      <c r="D30" s="47"/>
      <c r="E30" s="55" t="s">
        <v>53</v>
      </c>
      <c r="F30" s="55"/>
      <c r="G30" s="49"/>
      <c r="H30" s="49"/>
      <c r="I30" s="49"/>
      <c r="J30" s="4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9">
    <mergeCell ref="B21:D21"/>
    <mergeCell ref="B16:D16"/>
    <mergeCell ref="B17:D17"/>
    <mergeCell ref="B18:D18"/>
    <mergeCell ref="B19:D19"/>
    <mergeCell ref="B20:D20"/>
    <mergeCell ref="B8:D8"/>
    <mergeCell ref="B9:D9"/>
    <mergeCell ref="B10:D10"/>
    <mergeCell ref="B11:D11"/>
    <mergeCell ref="B12:D12"/>
    <mergeCell ref="I9:J9"/>
    <mergeCell ref="E29:F29"/>
    <mergeCell ref="E30:F30"/>
    <mergeCell ref="G26:J26"/>
    <mergeCell ref="B1:J1"/>
    <mergeCell ref="F2:J2"/>
    <mergeCell ref="B5:D6"/>
    <mergeCell ref="C2:D2"/>
    <mergeCell ref="C3:D3"/>
    <mergeCell ref="F3:J3"/>
    <mergeCell ref="E27:J27"/>
    <mergeCell ref="B7:D7"/>
    <mergeCell ref="E5:H5"/>
    <mergeCell ref="I5:J6"/>
    <mergeCell ref="I7:J7"/>
    <mergeCell ref="I10:J10"/>
    <mergeCell ref="I13:J13"/>
    <mergeCell ref="I14:J14"/>
    <mergeCell ref="I15:J15"/>
    <mergeCell ref="B29:D30"/>
    <mergeCell ref="G29:J29"/>
    <mergeCell ref="G30:J30"/>
    <mergeCell ref="E28:J28"/>
    <mergeCell ref="B27:D27"/>
    <mergeCell ref="B28:D28"/>
    <mergeCell ref="B22:D22"/>
    <mergeCell ref="B23:D23"/>
    <mergeCell ref="B24:D24"/>
    <mergeCell ref="B25:D25"/>
    <mergeCell ref="B13:D13"/>
    <mergeCell ref="B14:D14"/>
    <mergeCell ref="B15:D15"/>
    <mergeCell ref="F4:J4"/>
    <mergeCell ref="C4:D4"/>
    <mergeCell ref="I8:J8"/>
    <mergeCell ref="B26:D26"/>
    <mergeCell ref="I21:J21"/>
    <mergeCell ref="I22:J22"/>
    <mergeCell ref="I23:J23"/>
    <mergeCell ref="I24:J24"/>
    <mergeCell ref="I25:J25"/>
    <mergeCell ref="I16:J16"/>
    <mergeCell ref="I17:J17"/>
    <mergeCell ref="I18:J18"/>
    <mergeCell ref="I19:J19"/>
    <mergeCell ref="I20:J20"/>
    <mergeCell ref="I11:J11"/>
    <mergeCell ref="I12:J1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8">
    <cfRule type="expression" dxfId="14" priority="57">
      <formula>$E28="راسب"</formula>
    </cfRule>
  </conditionalFormatting>
  <conditionalFormatting sqref="E28:J28">
    <cfRule type="expression" dxfId="13" priority="58">
      <formula>$E28="مقبول"</formula>
    </cfRule>
    <cfRule type="expression" dxfId="12" priority="59">
      <formula>$E28="جيد"</formula>
    </cfRule>
    <cfRule type="expression" dxfId="11" priority="60">
      <formula>$E28="جيد جداً"</formula>
    </cfRule>
    <cfRule type="expression" dxfId="10" priority="61">
      <formula>$E28="ممتاز"</formula>
    </cfRule>
  </conditionalFormatting>
  <conditionalFormatting sqref="F8:F25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9:J29">
    <cfRule type="containsText" dxfId="6" priority="15" operator="containsText" text="أدخل اسم المحكم">
      <formula>NOT(ISERROR(SEARCH("أدخل اسم المحكم",G29)))</formula>
    </cfRule>
  </conditionalFormatting>
  <conditionalFormatting sqref="H8:H25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F21:F25 F15:F19 F9:F13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G29:J29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7" t="s">
        <v>62</v>
      </c>
    </row>
    <row r="3" spans="1:3" ht="20.100000000000001" customHeight="1" thickBot="1" x14ac:dyDescent="0.3">
      <c r="A3" s="2" t="s">
        <v>26</v>
      </c>
      <c r="C3" s="17" t="s">
        <v>63</v>
      </c>
    </row>
    <row r="4" spans="1:3" ht="20.100000000000001" customHeight="1" thickBot="1" x14ac:dyDescent="0.3">
      <c r="A4" s="2" t="s">
        <v>36</v>
      </c>
      <c r="C4" s="17" t="s">
        <v>64</v>
      </c>
    </row>
    <row r="5" spans="1:3" ht="20.100000000000001" customHeight="1" thickBot="1" x14ac:dyDescent="0.3">
      <c r="A5" s="2" t="s">
        <v>37</v>
      </c>
      <c r="C5" s="17" t="s">
        <v>65</v>
      </c>
    </row>
    <row r="6" spans="1:3" ht="20.100000000000001" customHeight="1" thickBot="1" x14ac:dyDescent="0.3">
      <c r="A6" s="2" t="s">
        <v>38</v>
      </c>
      <c r="C6" s="17" t="s">
        <v>66</v>
      </c>
    </row>
    <row r="7" spans="1:3" ht="20.100000000000001" customHeight="1" thickBot="1" x14ac:dyDescent="0.3">
      <c r="A7" s="2" t="s">
        <v>39</v>
      </c>
      <c r="C7" s="17" t="s">
        <v>67</v>
      </c>
    </row>
    <row r="8" spans="1:3" ht="20.100000000000001" customHeight="1" thickBot="1" x14ac:dyDescent="0.3">
      <c r="A8" s="2" t="s">
        <v>40</v>
      </c>
      <c r="C8" s="17" t="s">
        <v>68</v>
      </c>
    </row>
    <row r="9" spans="1:3" ht="20.100000000000001" customHeight="1" thickBot="1" x14ac:dyDescent="0.3">
      <c r="A9" s="2" t="s">
        <v>41</v>
      </c>
      <c r="C9" s="17" t="s">
        <v>69</v>
      </c>
    </row>
    <row r="10" spans="1:3" ht="20.100000000000001" customHeight="1" thickBot="1" x14ac:dyDescent="0.3">
      <c r="A10" s="2" t="s">
        <v>42</v>
      </c>
      <c r="C10" s="17" t="s">
        <v>70</v>
      </c>
    </row>
    <row r="11" spans="1:3" ht="20.100000000000001" customHeight="1" thickBot="1" x14ac:dyDescent="0.3">
      <c r="A11" s="2" t="s">
        <v>43</v>
      </c>
      <c r="C11" s="17" t="s">
        <v>71</v>
      </c>
    </row>
    <row r="12" spans="1:3" ht="20.100000000000001" customHeight="1" thickBot="1" x14ac:dyDescent="0.3">
      <c r="A12" s="2" t="s">
        <v>44</v>
      </c>
      <c r="C12" s="17" t="s">
        <v>72</v>
      </c>
    </row>
    <row r="13" spans="1:3" ht="20.100000000000001" customHeight="1" thickBot="1" x14ac:dyDescent="0.3">
      <c r="A13" s="2" t="s">
        <v>45</v>
      </c>
      <c r="C13" s="17" t="s">
        <v>73</v>
      </c>
    </row>
    <row r="14" spans="1:3" ht="20.100000000000001" customHeight="1" thickBot="1" x14ac:dyDescent="0.3">
      <c r="A14" s="2" t="s">
        <v>46</v>
      </c>
      <c r="C14" s="17" t="s">
        <v>74</v>
      </c>
    </row>
    <row r="15" spans="1:3" ht="20.100000000000001" customHeight="1" thickBot="1" x14ac:dyDescent="0.3">
      <c r="A15" s="2" t="s">
        <v>47</v>
      </c>
      <c r="C15" s="17" t="s">
        <v>75</v>
      </c>
    </row>
    <row r="16" spans="1:3" ht="20.100000000000001" customHeight="1" thickBot="1" x14ac:dyDescent="0.3">
      <c r="A16" s="2" t="s">
        <v>10</v>
      </c>
      <c r="C16" s="17" t="s">
        <v>76</v>
      </c>
    </row>
    <row r="17" spans="1:3" ht="20.100000000000001" customHeight="1" thickBot="1" x14ac:dyDescent="0.3">
      <c r="A17" s="2" t="s">
        <v>27</v>
      </c>
      <c r="C17" s="17" t="s">
        <v>77</v>
      </c>
    </row>
    <row r="18" spans="1:3" ht="20.100000000000001" customHeight="1" thickBot="1" x14ac:dyDescent="0.3">
      <c r="A18" s="2" t="s">
        <v>48</v>
      </c>
      <c r="C18" s="17" t="s">
        <v>78</v>
      </c>
    </row>
    <row r="19" spans="1:3" ht="20.100000000000001" customHeight="1" thickBot="1" x14ac:dyDescent="0.3">
      <c r="A19" s="2" t="s">
        <v>49</v>
      </c>
      <c r="C19" s="17" t="s">
        <v>79</v>
      </c>
    </row>
    <row r="20" spans="1:3" ht="20.100000000000001" customHeight="1" thickBot="1" x14ac:dyDescent="0.3">
      <c r="A20" s="2" t="s">
        <v>50</v>
      </c>
      <c r="C20" s="17" t="s">
        <v>80</v>
      </c>
    </row>
    <row r="21" spans="1:3" ht="20.100000000000001" customHeight="1" thickBot="1" x14ac:dyDescent="0.3">
      <c r="A21" s="2" t="s">
        <v>51</v>
      </c>
      <c r="C21" s="17" t="s">
        <v>81</v>
      </c>
    </row>
    <row r="22" spans="1:3" ht="20.100000000000001" customHeight="1" thickBot="1" x14ac:dyDescent="0.3">
      <c r="A22" s="2" t="s">
        <v>11</v>
      </c>
      <c r="C22" s="17" t="s">
        <v>82</v>
      </c>
    </row>
    <row r="23" spans="1:3" ht="20.100000000000001" customHeight="1" thickBot="1" x14ac:dyDescent="0.3">
      <c r="A23" s="2" t="s">
        <v>12</v>
      </c>
      <c r="C23" s="17" t="s">
        <v>83</v>
      </c>
    </row>
    <row r="24" spans="1:3" ht="20.100000000000001" customHeight="1" thickBot="1" x14ac:dyDescent="0.3">
      <c r="A24" s="2" t="s">
        <v>15</v>
      </c>
      <c r="C24" s="17" t="s">
        <v>84</v>
      </c>
    </row>
    <row r="25" spans="1:3" ht="20.100000000000001" customHeight="1" thickBot="1" x14ac:dyDescent="0.3">
      <c r="A25" s="2" t="s">
        <v>28</v>
      </c>
      <c r="C25" s="17" t="s">
        <v>85</v>
      </c>
    </row>
    <row r="26" spans="1:3" ht="20.100000000000001" customHeight="1" thickBot="1" x14ac:dyDescent="0.3">
      <c r="A26" s="2" t="s">
        <v>29</v>
      </c>
      <c r="C26" s="17" t="s">
        <v>86</v>
      </c>
    </row>
    <row r="27" spans="1:3" ht="20.100000000000001" customHeight="1" thickBot="1" x14ac:dyDescent="0.3">
      <c r="A27" s="2" t="s">
        <v>13</v>
      </c>
      <c r="C27" s="17" t="s">
        <v>87</v>
      </c>
    </row>
    <row r="28" spans="1:3" ht="20.100000000000001" customHeight="1" thickBot="1" x14ac:dyDescent="0.3">
      <c r="A28" s="2" t="s">
        <v>30</v>
      </c>
      <c r="C28" s="17" t="s">
        <v>88</v>
      </c>
    </row>
    <row r="29" spans="1:3" ht="20.100000000000001" customHeight="1" thickBot="1" x14ac:dyDescent="0.3">
      <c r="A29" s="2" t="s">
        <v>31</v>
      </c>
      <c r="C29" s="17" t="s">
        <v>177</v>
      </c>
    </row>
    <row r="30" spans="1:3" ht="20.100000000000001" customHeight="1" thickBot="1" x14ac:dyDescent="0.3">
      <c r="A30" s="2" t="s">
        <v>32</v>
      </c>
      <c r="C30" s="17" t="s">
        <v>178</v>
      </c>
    </row>
    <row r="31" spans="1:3" ht="20.100000000000001" customHeight="1" thickBot="1" x14ac:dyDescent="0.3">
      <c r="A31" s="2" t="s">
        <v>33</v>
      </c>
      <c r="C31" s="17" t="s">
        <v>179</v>
      </c>
    </row>
    <row r="32" spans="1:3" ht="20.100000000000001" customHeight="1" thickBot="1" x14ac:dyDescent="0.3">
      <c r="A32" s="2" t="s">
        <v>16</v>
      </c>
      <c r="C32" s="17"/>
    </row>
    <row r="33" spans="1:9" ht="20.100000000000001" customHeight="1" thickBot="1" x14ac:dyDescent="0.3">
      <c r="A33" s="2" t="s">
        <v>14</v>
      </c>
      <c r="C33" s="17"/>
    </row>
    <row r="34" spans="1:9" ht="20.100000000000001" customHeight="1" thickBot="1" x14ac:dyDescent="0.3">
      <c r="A34" s="2" t="s">
        <v>34</v>
      </c>
      <c r="C34" s="17"/>
    </row>
    <row r="35" spans="1:9" ht="20.100000000000001" customHeight="1" x14ac:dyDescent="0.2">
      <c r="A35" s="16"/>
    </row>
    <row r="36" spans="1:9" s="15" customFormat="1" ht="20.100000000000001" customHeight="1" x14ac:dyDescent="0.2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1">
        <v>45931</v>
      </c>
    </row>
    <row r="40" spans="1:9" ht="20.100000000000001" customHeight="1" thickBot="1" x14ac:dyDescent="0.3">
      <c r="A40" s="11">
        <v>45932</v>
      </c>
    </row>
    <row r="41" spans="1:9" ht="20.100000000000001" customHeight="1" thickBot="1" x14ac:dyDescent="0.3">
      <c r="A41" s="11">
        <v>45933</v>
      </c>
    </row>
    <row r="42" spans="1:9" ht="20.100000000000001" customHeight="1" thickBot="1" x14ac:dyDescent="0.3">
      <c r="A42" s="11">
        <v>45934</v>
      </c>
    </row>
    <row r="43" spans="1:9" ht="20.100000000000001" customHeight="1" thickBot="1" x14ac:dyDescent="0.3">
      <c r="A43" s="11">
        <v>45935</v>
      </c>
    </row>
    <row r="44" spans="1:9" ht="20.100000000000001" customHeight="1" thickBot="1" x14ac:dyDescent="0.3">
      <c r="A44" s="11">
        <v>45936</v>
      </c>
    </row>
    <row r="45" spans="1:9" ht="20.100000000000001" customHeight="1" thickBot="1" x14ac:dyDescent="0.3">
      <c r="A45" s="11">
        <v>45937</v>
      </c>
    </row>
    <row r="46" spans="1:9" ht="20.100000000000001" customHeight="1" thickBot="1" x14ac:dyDescent="0.3">
      <c r="A46" s="11">
        <v>45938</v>
      </c>
    </row>
    <row r="47" spans="1:9" ht="20.100000000000001" customHeight="1" thickBot="1" x14ac:dyDescent="0.3">
      <c r="A47" s="11">
        <v>45939</v>
      </c>
    </row>
    <row r="48" spans="1:9" ht="20.100000000000001" customHeight="1" thickBot="1" x14ac:dyDescent="0.3">
      <c r="A48" s="11">
        <v>45940</v>
      </c>
    </row>
    <row r="49" spans="1:1" ht="20.100000000000001" customHeight="1" thickBot="1" x14ac:dyDescent="0.3">
      <c r="A49" s="11">
        <v>45941</v>
      </c>
    </row>
    <row r="50" spans="1:1" ht="20.100000000000001" customHeight="1" thickBot="1" x14ac:dyDescent="0.3">
      <c r="A50" s="11">
        <v>45942</v>
      </c>
    </row>
    <row r="51" spans="1:1" ht="20.100000000000001" customHeight="1" thickBot="1" x14ac:dyDescent="0.3">
      <c r="A51" s="11">
        <v>45943</v>
      </c>
    </row>
    <row r="52" spans="1:1" ht="20.100000000000001" customHeight="1" thickBot="1" x14ac:dyDescent="0.3">
      <c r="A52" s="11">
        <v>45944</v>
      </c>
    </row>
    <row r="53" spans="1:1" ht="20.100000000000001" customHeight="1" thickBot="1" x14ac:dyDescent="0.3">
      <c r="A53" s="11">
        <v>45945</v>
      </c>
    </row>
    <row r="54" spans="1:1" ht="20.100000000000001" customHeight="1" thickBot="1" x14ac:dyDescent="0.3">
      <c r="A54" s="11">
        <v>45946</v>
      </c>
    </row>
    <row r="55" spans="1:1" ht="20.100000000000001" customHeight="1" thickBot="1" x14ac:dyDescent="0.3">
      <c r="A55" s="11">
        <v>45947</v>
      </c>
    </row>
    <row r="56" spans="1:1" ht="20.100000000000001" customHeight="1" thickBot="1" x14ac:dyDescent="0.3">
      <c r="A56" s="11">
        <v>45948</v>
      </c>
    </row>
    <row r="57" spans="1:1" ht="20.100000000000001" customHeight="1" thickBot="1" x14ac:dyDescent="0.3">
      <c r="A57" s="11">
        <v>45949</v>
      </c>
    </row>
    <row r="58" spans="1:1" ht="20.100000000000001" customHeight="1" thickBot="1" x14ac:dyDescent="0.3">
      <c r="A58" s="11">
        <v>45950</v>
      </c>
    </row>
    <row r="59" spans="1:1" ht="20.100000000000001" customHeight="1" thickBot="1" x14ac:dyDescent="0.3">
      <c r="A59" s="11">
        <v>45951</v>
      </c>
    </row>
    <row r="60" spans="1:1" ht="20.100000000000001" customHeight="1" thickBot="1" x14ac:dyDescent="0.3">
      <c r="A60" s="11">
        <v>45952</v>
      </c>
    </row>
    <row r="61" spans="1:1" ht="20.100000000000001" customHeight="1" thickBot="1" x14ac:dyDescent="0.3">
      <c r="A61" s="11">
        <v>45953</v>
      </c>
    </row>
    <row r="62" spans="1:1" ht="20.100000000000001" customHeight="1" thickBot="1" x14ac:dyDescent="0.3">
      <c r="A62" s="11">
        <v>45954</v>
      </c>
    </row>
    <row r="63" spans="1:1" ht="20.100000000000001" customHeight="1" thickBot="1" x14ac:dyDescent="0.3">
      <c r="A63" s="11">
        <v>45955</v>
      </c>
    </row>
    <row r="64" spans="1:1" ht="20.100000000000001" customHeight="1" thickBot="1" x14ac:dyDescent="0.3">
      <c r="A64" s="11">
        <v>45956</v>
      </c>
    </row>
    <row r="65" spans="1:1" ht="20.100000000000001" customHeight="1" thickBot="1" x14ac:dyDescent="0.3">
      <c r="A65" s="11">
        <v>45957</v>
      </c>
    </row>
    <row r="66" spans="1:1" ht="20.100000000000001" customHeight="1" thickBot="1" x14ac:dyDescent="0.3">
      <c r="A66" s="11">
        <v>45958</v>
      </c>
    </row>
    <row r="67" spans="1:1" ht="20.100000000000001" customHeight="1" thickBot="1" x14ac:dyDescent="0.3">
      <c r="A67" s="11">
        <v>45959</v>
      </c>
    </row>
    <row r="68" spans="1:1" ht="20.100000000000001" customHeight="1" thickBot="1" x14ac:dyDescent="0.3">
      <c r="A68" s="11">
        <v>45960</v>
      </c>
    </row>
    <row r="69" spans="1:1" ht="20.100000000000001" customHeight="1" thickBot="1" x14ac:dyDescent="0.3">
      <c r="A69" s="11">
        <v>45961</v>
      </c>
    </row>
    <row r="70" spans="1:1" ht="20.100000000000001" customHeight="1" thickBot="1" x14ac:dyDescent="0.25">
      <c r="A70" s="11"/>
    </row>
    <row r="71" spans="1:1" ht="20.100000000000001" customHeight="1" thickBot="1" x14ac:dyDescent="0.25">
      <c r="A71" s="11"/>
    </row>
    <row r="72" spans="1:1" ht="20.100000000000001" customHeight="1" thickBot="1" x14ac:dyDescent="0.25">
      <c r="A72" s="11"/>
    </row>
    <row r="73" spans="1:1" ht="20.100000000000001" customHeight="1" thickBot="1" x14ac:dyDescent="0.25">
      <c r="A73" s="11"/>
    </row>
    <row r="74" spans="1:1" ht="20.100000000000001" customHeight="1" thickBot="1" x14ac:dyDescent="0.25">
      <c r="A74" s="11"/>
    </row>
    <row r="75" spans="1:1" ht="20.100000000000001" customHeight="1" thickBot="1" x14ac:dyDescent="0.25">
      <c r="A75" s="11"/>
    </row>
    <row r="76" spans="1:1" ht="20.100000000000001" customHeight="1" thickBot="1" x14ac:dyDescent="0.25">
      <c r="A76" s="11"/>
    </row>
    <row r="77" spans="1:1" ht="20.100000000000001" customHeight="1" thickBot="1" x14ac:dyDescent="0.25">
      <c r="A77" s="11"/>
    </row>
    <row r="78" spans="1:1" ht="20.100000000000001" customHeight="1" thickBot="1" x14ac:dyDescent="0.25">
      <c r="A78" s="11"/>
    </row>
    <row r="79" spans="1:1" ht="20.100000000000001" customHeight="1" thickBot="1" x14ac:dyDescent="0.25">
      <c r="A79" s="11"/>
    </row>
    <row r="80" spans="1:1" ht="20.100000000000001" customHeight="1" thickBot="1" x14ac:dyDescent="0.25">
      <c r="A80" s="11"/>
    </row>
    <row r="81" spans="1:1" ht="20.100000000000001" customHeight="1" thickBot="1" x14ac:dyDescent="0.25">
      <c r="A81" s="11"/>
    </row>
    <row r="82" spans="1:1" ht="20.100000000000001" customHeight="1" thickBot="1" x14ac:dyDescent="0.25">
      <c r="A82" s="11"/>
    </row>
    <row r="83" spans="1:1" ht="20.100000000000001" customHeight="1" thickBot="1" x14ac:dyDescent="0.25">
      <c r="A83" s="11"/>
    </row>
    <row r="84" spans="1:1" ht="20.100000000000001" customHeight="1" thickBot="1" x14ac:dyDescent="0.25">
      <c r="A84" s="11"/>
    </row>
    <row r="85" spans="1:1" ht="20.100000000000001" customHeight="1" thickBot="1" x14ac:dyDescent="0.25">
      <c r="A85" s="11"/>
    </row>
    <row r="86" spans="1:1" ht="20.100000000000001" customHeight="1" thickBot="1" x14ac:dyDescent="0.25">
      <c r="A86" s="11"/>
    </row>
    <row r="87" spans="1:1" ht="20.100000000000001" customHeight="1" thickBot="1" x14ac:dyDescent="0.25">
      <c r="A87" s="11"/>
    </row>
    <row r="88" spans="1:1" ht="20.100000000000001" customHeight="1" thickBot="1" x14ac:dyDescent="0.25">
      <c r="A88" s="11"/>
    </row>
    <row r="89" spans="1:1" ht="20.100000000000001" customHeight="1" thickBot="1" x14ac:dyDescent="0.25">
      <c r="A89" s="11"/>
    </row>
    <row r="90" spans="1:1" ht="20.100000000000001" customHeight="1" thickBot="1" x14ac:dyDescent="0.25">
      <c r="A90" s="11"/>
    </row>
    <row r="91" spans="1:1" ht="20.100000000000001" customHeight="1" thickBot="1" x14ac:dyDescent="0.25">
      <c r="A91" s="11"/>
    </row>
    <row r="92" spans="1:1" ht="20.100000000000001" customHeight="1" thickBot="1" x14ac:dyDescent="0.25">
      <c r="A92" s="11"/>
    </row>
    <row r="93" spans="1:1" ht="20.100000000000001" customHeight="1" thickBot="1" x14ac:dyDescent="0.25">
      <c r="A93" s="11"/>
    </row>
    <row r="94" spans="1:1" ht="20.100000000000001" customHeight="1" thickBot="1" x14ac:dyDescent="0.25">
      <c r="A94" s="11"/>
    </row>
    <row r="95" spans="1:1" ht="20.100000000000001" customHeight="1" thickBot="1" x14ac:dyDescent="0.25">
      <c r="A95" s="11"/>
    </row>
    <row r="96" spans="1:1" ht="20.100000000000001" customHeight="1" thickBot="1" x14ac:dyDescent="0.25">
      <c r="A96" s="11"/>
    </row>
    <row r="97" spans="1:9" ht="20.100000000000001" customHeight="1" thickBot="1" x14ac:dyDescent="0.25">
      <c r="A97" s="11"/>
    </row>
    <row r="98" spans="1:9" ht="20.100000000000001" customHeight="1" thickBot="1" x14ac:dyDescent="0.25">
      <c r="A98" s="11"/>
    </row>
    <row r="99" spans="1:9" ht="20.100000000000001" customHeight="1" thickBot="1" x14ac:dyDescent="0.25">
      <c r="A99" s="11"/>
    </row>
    <row r="100" spans="1:9" ht="20.100000000000001" customHeight="1" thickBot="1" x14ac:dyDescent="0.25">
      <c r="A100" s="11"/>
    </row>
    <row r="101" spans="1:9" ht="20.100000000000001" customHeight="1" thickBot="1" x14ac:dyDescent="0.25">
      <c r="A101" s="11"/>
    </row>
    <row r="102" spans="1:9" ht="20.100000000000001" customHeight="1" thickBot="1" x14ac:dyDescent="0.25">
      <c r="A102" s="11"/>
    </row>
    <row r="103" spans="1:9" ht="20.100000000000001" customHeight="1" thickBot="1" x14ac:dyDescent="0.25">
      <c r="A103" s="11"/>
    </row>
    <row r="104" spans="1:9" ht="20.100000000000001" customHeight="1" thickBot="1" x14ac:dyDescent="0.25">
      <c r="A104" s="11"/>
    </row>
    <row r="105" spans="1:9" ht="20.100000000000001" customHeight="1" thickBot="1" x14ac:dyDescent="0.25">
      <c r="A105" s="11"/>
    </row>
    <row r="106" spans="1:9" ht="20.100000000000001" customHeight="1" thickBot="1" x14ac:dyDescent="0.25">
      <c r="A106" s="11"/>
    </row>
    <row r="107" spans="1:9" ht="20.100000000000001" customHeight="1" x14ac:dyDescent="0.2">
      <c r="A107" s="12"/>
    </row>
    <row r="108" spans="1:9" ht="20.100000000000001" customHeight="1" x14ac:dyDescent="0.2">
      <c r="A108" s="12"/>
    </row>
    <row r="109" spans="1:9" s="15" customFormat="1" ht="20.100000000000001" customHeight="1" x14ac:dyDescent="0.2">
      <c r="A109" s="13"/>
      <c r="B109" s="14"/>
      <c r="C109" s="14"/>
      <c r="D109" s="14"/>
      <c r="E109" s="14"/>
      <c r="F109" s="14"/>
      <c r="G109" s="14"/>
      <c r="H109" s="14"/>
      <c r="I109" s="14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18" t="s">
        <v>89</v>
      </c>
    </row>
    <row r="200" spans="1:1" ht="20.100000000000001" customHeight="1" x14ac:dyDescent="0.2">
      <c r="A200" s="18" t="s">
        <v>90</v>
      </c>
    </row>
    <row r="201" spans="1:1" ht="20.100000000000001" customHeight="1" x14ac:dyDescent="0.2">
      <c r="A201" s="18" t="s">
        <v>91</v>
      </c>
    </row>
    <row r="202" spans="1:1" ht="20.100000000000001" customHeight="1" x14ac:dyDescent="0.2">
      <c r="A202" s="18" t="s">
        <v>92</v>
      </c>
    </row>
    <row r="203" spans="1:1" ht="20.100000000000001" customHeight="1" x14ac:dyDescent="0.2">
      <c r="A203" s="18" t="s">
        <v>93</v>
      </c>
    </row>
    <row r="204" spans="1:1" ht="20.100000000000001" customHeight="1" x14ac:dyDescent="0.2">
      <c r="A204" s="18" t="s">
        <v>94</v>
      </c>
    </row>
    <row r="205" spans="1:1" ht="20.100000000000001" customHeight="1" x14ac:dyDescent="0.2">
      <c r="A205" s="18" t="s">
        <v>95</v>
      </c>
    </row>
    <row r="206" spans="1:1" ht="20.100000000000001" customHeight="1" x14ac:dyDescent="0.2">
      <c r="A206" s="18" t="s">
        <v>96</v>
      </c>
    </row>
    <row r="207" spans="1:1" ht="20.100000000000001" customHeight="1" x14ac:dyDescent="0.2">
      <c r="A207" s="18" t="s">
        <v>97</v>
      </c>
    </row>
    <row r="208" spans="1:1" ht="20.100000000000001" customHeight="1" x14ac:dyDescent="0.2">
      <c r="A208" s="19" t="s">
        <v>98</v>
      </c>
    </row>
    <row r="209" spans="1:1" ht="20.100000000000001" customHeight="1" x14ac:dyDescent="0.2">
      <c r="A209" s="19" t="s">
        <v>99</v>
      </c>
    </row>
    <row r="210" spans="1:1" ht="20.100000000000001" customHeight="1" x14ac:dyDescent="0.2">
      <c r="A210" s="18" t="s">
        <v>100</v>
      </c>
    </row>
    <row r="211" spans="1:1" ht="20.100000000000001" customHeight="1" x14ac:dyDescent="0.2">
      <c r="A211" s="18" t="s">
        <v>101</v>
      </c>
    </row>
    <row r="212" spans="1:1" ht="20.100000000000001" customHeight="1" x14ac:dyDescent="0.2">
      <c r="A212" s="18" t="s">
        <v>175</v>
      </c>
    </row>
    <row r="213" spans="1:1" ht="20.100000000000001" customHeight="1" x14ac:dyDescent="0.2">
      <c r="A213" s="18" t="s">
        <v>102</v>
      </c>
    </row>
    <row r="214" spans="1:1" ht="20.100000000000001" customHeight="1" x14ac:dyDescent="0.2">
      <c r="A214" s="18" t="s">
        <v>103</v>
      </c>
    </row>
    <row r="215" spans="1:1" ht="20.100000000000001" customHeight="1" x14ac:dyDescent="0.2">
      <c r="A215" s="18" t="s">
        <v>104</v>
      </c>
    </row>
    <row r="216" spans="1:1" ht="20.100000000000001" customHeight="1" x14ac:dyDescent="0.2">
      <c r="A216" s="18" t="s">
        <v>105</v>
      </c>
    </row>
    <row r="217" spans="1:1" ht="20.100000000000001" customHeight="1" x14ac:dyDescent="0.2">
      <c r="A217" s="18" t="s">
        <v>106</v>
      </c>
    </row>
    <row r="218" spans="1:1" ht="20.100000000000001" customHeight="1" x14ac:dyDescent="0.2">
      <c r="A218" s="18" t="s">
        <v>107</v>
      </c>
    </row>
    <row r="219" spans="1:1" ht="20.100000000000001" customHeight="1" x14ac:dyDescent="0.2">
      <c r="A219" s="18" t="s">
        <v>108</v>
      </c>
    </row>
    <row r="220" spans="1:1" ht="20.100000000000001" customHeight="1" x14ac:dyDescent="0.2">
      <c r="A220" s="18" t="s">
        <v>109</v>
      </c>
    </row>
    <row r="221" spans="1:1" ht="20.100000000000001" customHeight="1" x14ac:dyDescent="0.2">
      <c r="A221" s="18" t="s">
        <v>110</v>
      </c>
    </row>
    <row r="222" spans="1:1" ht="20.100000000000001" customHeight="1" x14ac:dyDescent="0.2">
      <c r="A222" s="18" t="s">
        <v>111</v>
      </c>
    </row>
    <row r="223" spans="1:1" ht="20.100000000000001" customHeight="1" x14ac:dyDescent="0.2">
      <c r="A223" s="18" t="s">
        <v>112</v>
      </c>
    </row>
    <row r="224" spans="1:1" ht="20.100000000000001" customHeight="1" x14ac:dyDescent="0.2">
      <c r="A224" s="18" t="s">
        <v>176</v>
      </c>
    </row>
    <row r="225" spans="1:1" ht="20.100000000000001" customHeight="1" x14ac:dyDescent="0.2">
      <c r="A225" s="18" t="s">
        <v>113</v>
      </c>
    </row>
    <row r="226" spans="1:1" ht="20.100000000000001" customHeight="1" x14ac:dyDescent="0.2">
      <c r="A226" s="18" t="s">
        <v>114</v>
      </c>
    </row>
    <row r="227" spans="1:1" ht="20.100000000000001" customHeight="1" x14ac:dyDescent="0.2">
      <c r="A227" s="18" t="s">
        <v>115</v>
      </c>
    </row>
    <row r="228" spans="1:1" ht="20.100000000000001" customHeight="1" x14ac:dyDescent="0.2">
      <c r="A228" s="18" t="s">
        <v>116</v>
      </c>
    </row>
    <row r="229" spans="1:1" ht="20.100000000000001" customHeight="1" x14ac:dyDescent="0.2">
      <c r="A229" s="18" t="s">
        <v>117</v>
      </c>
    </row>
    <row r="230" spans="1:1" ht="20.100000000000001" customHeight="1" x14ac:dyDescent="0.2">
      <c r="A230" s="18" t="s">
        <v>118</v>
      </c>
    </row>
    <row r="231" spans="1:1" ht="20.100000000000001" customHeight="1" x14ac:dyDescent="0.2">
      <c r="A231" s="18" t="s">
        <v>119</v>
      </c>
    </row>
    <row r="232" spans="1:1" ht="20.100000000000001" customHeight="1" x14ac:dyDescent="0.2">
      <c r="A232" s="18" t="s">
        <v>120</v>
      </c>
    </row>
    <row r="233" spans="1:1" ht="20.100000000000001" customHeight="1" x14ac:dyDescent="0.2">
      <c r="A233" s="18" t="s">
        <v>121</v>
      </c>
    </row>
    <row r="234" spans="1:1" ht="20.100000000000001" customHeight="1" x14ac:dyDescent="0.2">
      <c r="A234" s="18" t="s">
        <v>122</v>
      </c>
    </row>
    <row r="235" spans="1:1" ht="20.100000000000001" customHeight="1" x14ac:dyDescent="0.2">
      <c r="A235" s="18" t="s">
        <v>123</v>
      </c>
    </row>
    <row r="236" spans="1:1" ht="20.100000000000001" customHeight="1" x14ac:dyDescent="0.2">
      <c r="A236" s="20" t="s">
        <v>124</v>
      </c>
    </row>
    <row r="237" spans="1:1" ht="20.100000000000001" customHeight="1" x14ac:dyDescent="0.2">
      <c r="A237" s="18" t="s">
        <v>125</v>
      </c>
    </row>
    <row r="238" spans="1:1" ht="20.100000000000001" customHeight="1" x14ac:dyDescent="0.2">
      <c r="A238" s="18" t="s">
        <v>126</v>
      </c>
    </row>
    <row r="239" spans="1:1" ht="20.100000000000001" customHeight="1" x14ac:dyDescent="0.2">
      <c r="A239" s="18" t="s">
        <v>127</v>
      </c>
    </row>
    <row r="240" spans="1:1" ht="20.100000000000001" customHeight="1" x14ac:dyDescent="0.2">
      <c r="A240" s="18" t="s">
        <v>128</v>
      </c>
    </row>
    <row r="241" spans="1:1" ht="20.100000000000001" customHeight="1" x14ac:dyDescent="0.2">
      <c r="A241" s="18" t="s">
        <v>129</v>
      </c>
    </row>
    <row r="242" spans="1:1" ht="20.100000000000001" customHeight="1" x14ac:dyDescent="0.2">
      <c r="A242" s="18" t="s">
        <v>130</v>
      </c>
    </row>
    <row r="243" spans="1:1" ht="20.100000000000001" customHeight="1" x14ac:dyDescent="0.2">
      <c r="A243" s="18" t="s">
        <v>131</v>
      </c>
    </row>
    <row r="244" spans="1:1" ht="20.100000000000001" customHeight="1" x14ac:dyDescent="0.2">
      <c r="A244" s="18" t="s">
        <v>132</v>
      </c>
    </row>
    <row r="245" spans="1:1" ht="20.100000000000001" customHeight="1" x14ac:dyDescent="0.2">
      <c r="A245" s="18" t="s">
        <v>133</v>
      </c>
    </row>
    <row r="246" spans="1:1" ht="20.100000000000001" customHeight="1" x14ac:dyDescent="0.2">
      <c r="A246" s="18" t="s">
        <v>134</v>
      </c>
    </row>
    <row r="247" spans="1:1" ht="20.100000000000001" customHeight="1" x14ac:dyDescent="0.2">
      <c r="A247" s="18" t="s">
        <v>135</v>
      </c>
    </row>
    <row r="248" spans="1:1" ht="20.100000000000001" customHeight="1" x14ac:dyDescent="0.2">
      <c r="A248" s="18" t="s">
        <v>126</v>
      </c>
    </row>
    <row r="249" spans="1:1" ht="20.100000000000001" customHeight="1" x14ac:dyDescent="0.2">
      <c r="A249" s="18" t="s">
        <v>136</v>
      </c>
    </row>
    <row r="250" spans="1:1" ht="20.100000000000001" customHeight="1" x14ac:dyDescent="0.2">
      <c r="A250" s="18" t="s">
        <v>137</v>
      </c>
    </row>
    <row r="251" spans="1:1" ht="20.100000000000001" customHeight="1" x14ac:dyDescent="0.2">
      <c r="A251" s="20" t="s">
        <v>138</v>
      </c>
    </row>
    <row r="252" spans="1:1" ht="20.100000000000001" customHeight="1" x14ac:dyDescent="0.2">
      <c r="A252" s="21" t="s">
        <v>139</v>
      </c>
    </row>
    <row r="253" spans="1:1" ht="20.100000000000001" customHeight="1" x14ac:dyDescent="0.2">
      <c r="A253" s="18" t="s">
        <v>140</v>
      </c>
    </row>
    <row r="254" spans="1:1" ht="20.100000000000001" customHeight="1" x14ac:dyDescent="0.2">
      <c r="A254" s="18" t="s">
        <v>141</v>
      </c>
    </row>
    <row r="255" spans="1:1" ht="20.100000000000001" customHeight="1" x14ac:dyDescent="0.2">
      <c r="A255" s="22" t="s">
        <v>142</v>
      </c>
    </row>
    <row r="256" spans="1:1" ht="20.100000000000001" customHeight="1" x14ac:dyDescent="0.2">
      <c r="A256" s="22" t="s">
        <v>143</v>
      </c>
    </row>
    <row r="257" spans="1:1" ht="20.100000000000001" customHeight="1" x14ac:dyDescent="0.2">
      <c r="A257" s="23" t="s">
        <v>144</v>
      </c>
    </row>
    <row r="258" spans="1:1" ht="20.100000000000001" customHeight="1" x14ac:dyDescent="0.2">
      <c r="A258" s="18" t="s">
        <v>145</v>
      </c>
    </row>
    <row r="259" spans="1:1" ht="20.100000000000001" customHeight="1" x14ac:dyDescent="0.2">
      <c r="A259" s="23" t="s">
        <v>146</v>
      </c>
    </row>
    <row r="260" spans="1:1" ht="20.100000000000001" customHeight="1" x14ac:dyDescent="0.2">
      <c r="A260" s="18" t="s">
        <v>147</v>
      </c>
    </row>
    <row r="261" spans="1:1" ht="20.100000000000001" customHeight="1" x14ac:dyDescent="0.2">
      <c r="A261" s="23" t="s">
        <v>148</v>
      </c>
    </row>
    <row r="262" spans="1:1" ht="20.100000000000001" customHeight="1" x14ac:dyDescent="0.2">
      <c r="A262" s="18" t="s">
        <v>149</v>
      </c>
    </row>
    <row r="263" spans="1:1" ht="20.100000000000001" customHeight="1" x14ac:dyDescent="0.2">
      <c r="A263" s="18" t="s">
        <v>150</v>
      </c>
    </row>
    <row r="264" spans="1:1" ht="20.100000000000001" customHeight="1" x14ac:dyDescent="0.2">
      <c r="A264" s="23" t="s">
        <v>151</v>
      </c>
    </row>
    <row r="265" spans="1:1" ht="20.100000000000001" customHeight="1" x14ac:dyDescent="0.2">
      <c r="A265" s="23" t="s">
        <v>152</v>
      </c>
    </row>
    <row r="266" spans="1:1" ht="20.100000000000001" customHeight="1" x14ac:dyDescent="0.2">
      <c r="A266" s="23" t="s">
        <v>153</v>
      </c>
    </row>
    <row r="267" spans="1:1" ht="20.100000000000001" customHeight="1" x14ac:dyDescent="0.2">
      <c r="A267" s="18" t="s">
        <v>154</v>
      </c>
    </row>
    <row r="268" spans="1:1" ht="20.100000000000001" customHeight="1" x14ac:dyDescent="0.2">
      <c r="A268" s="18" t="s">
        <v>155</v>
      </c>
    </row>
    <row r="269" spans="1:1" ht="20.100000000000001" customHeight="1" x14ac:dyDescent="0.2">
      <c r="A269" s="18" t="s">
        <v>156</v>
      </c>
    </row>
    <row r="270" spans="1:1" ht="20.100000000000001" customHeight="1" x14ac:dyDescent="0.2">
      <c r="A270" s="18" t="s">
        <v>157</v>
      </c>
    </row>
    <row r="271" spans="1:1" ht="20.100000000000001" customHeight="1" x14ac:dyDescent="0.2">
      <c r="A271" s="23" t="s">
        <v>158</v>
      </c>
    </row>
    <row r="272" spans="1:1" ht="20.100000000000001" customHeight="1" x14ac:dyDescent="0.2">
      <c r="A272" s="23" t="s">
        <v>159</v>
      </c>
    </row>
    <row r="273" spans="1:1" ht="20.100000000000001" customHeight="1" x14ac:dyDescent="0.2">
      <c r="A273" s="18" t="s">
        <v>160</v>
      </c>
    </row>
    <row r="274" spans="1:1" ht="20.100000000000001" customHeight="1" x14ac:dyDescent="0.2">
      <c r="A274" s="23" t="s">
        <v>161</v>
      </c>
    </row>
    <row r="275" spans="1:1" ht="20.100000000000001" customHeight="1" x14ac:dyDescent="0.2">
      <c r="A275" s="23" t="s">
        <v>162</v>
      </c>
    </row>
    <row r="276" spans="1:1" ht="20.100000000000001" customHeight="1" x14ac:dyDescent="0.2">
      <c r="A276" s="18" t="s">
        <v>163</v>
      </c>
    </row>
    <row r="277" spans="1:1" ht="20.100000000000001" customHeight="1" x14ac:dyDescent="0.2">
      <c r="A277" s="18" t="s">
        <v>164</v>
      </c>
    </row>
    <row r="278" spans="1:1" ht="20.100000000000001" customHeight="1" x14ac:dyDescent="0.2">
      <c r="A278" s="23" t="s">
        <v>165</v>
      </c>
    </row>
    <row r="279" spans="1:1" ht="20.100000000000001" customHeight="1" x14ac:dyDescent="0.2">
      <c r="A279" s="18" t="s">
        <v>166</v>
      </c>
    </row>
    <row r="280" spans="1:1" ht="20.100000000000001" customHeight="1" x14ac:dyDescent="0.2">
      <c r="A280" s="18" t="s">
        <v>167</v>
      </c>
    </row>
    <row r="281" spans="1:1" ht="20.100000000000001" customHeight="1" x14ac:dyDescent="0.2">
      <c r="A281" s="18" t="s">
        <v>168</v>
      </c>
    </row>
    <row r="282" spans="1:1" ht="20.100000000000001" customHeight="1" x14ac:dyDescent="0.2">
      <c r="A282" s="18" t="s">
        <v>169</v>
      </c>
    </row>
    <row r="283" spans="1:1" ht="20.100000000000001" customHeight="1" x14ac:dyDescent="0.2">
      <c r="A283" s="23" t="s">
        <v>170</v>
      </c>
    </row>
    <row r="284" spans="1:1" ht="20.100000000000001" customHeight="1" x14ac:dyDescent="0.2">
      <c r="A284" s="23" t="s">
        <v>171</v>
      </c>
    </row>
    <row r="285" spans="1:1" ht="20.100000000000001" customHeight="1" x14ac:dyDescent="0.2">
      <c r="A285" s="23" t="s">
        <v>172</v>
      </c>
    </row>
    <row r="286" spans="1:1" ht="20.100000000000001" customHeight="1" thickBot="1" x14ac:dyDescent="0.25">
      <c r="A286" s="18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2025-10-21T12:03:34Z</dcterms:modified>
</cp:coreProperties>
</file>