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التقييم'!$A$1:$J$47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20" i="2"/>
  <c r="H20" i="2" s="1"/>
  <c r="G21" i="2"/>
  <c r="H21" i="2" s="1"/>
  <c r="G22" i="2"/>
  <c r="H22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F43" i="2" l="1"/>
  <c r="E43" i="2" l="1"/>
  <c r="E44" i="2" l="1"/>
  <c r="E45" i="2" s="1"/>
</calcChain>
</file>

<file path=xl/sharedStrings.xml><?xml version="1.0" encoding="utf-8"?>
<sst xmlns="http://schemas.openxmlformats.org/spreadsheetml/2006/main" count="94" uniqueCount="64">
  <si>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</si>
  <si>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</si>
  <si>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</si>
  <si>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</si>
  <si>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</si>
  <si>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</si>
  <si>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</si>
  <si>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</si>
  <si>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</si>
  <si>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</si>
  <si>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</si>
  <si>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</si>
  <si>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</si>
  <si>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</si>
  <si>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</si>
  <si>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</si>
  <si>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</si>
  <si>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</si>
  <si>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</si>
  <si>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</si>
  <si>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</si>
  <si>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</si>
  <si>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</si>
  <si>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</si>
  <si>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</si>
  <si>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</si>
  <si>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</si>
  <si>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</si>
  <si>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</si>
  <si>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تستلم سرية الهندسة في مجموعة اللواء المهمة وتصدر أمر عمليات والذي يحتوي على المعلومات الضرورية للمرؤوسين.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</si>
  <si>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التنسيق مع ركن العمليات وضابط الاستخبارات في مجموعة اللواء لتحديد المتطلبات التالية:</t>
    </r>
  </si>
  <si>
    <t>أ. الاستطلاع وتحديد مواقع فتح الثغرة وعبور الفجوات.</t>
  </si>
  <si>
    <t>ب. يتأكد قائد السرية ان عملية فتح الثغرة وعبور الفجوات مسندة بنيران المدفعية ومحمية من قبل الدفاع الجوي.</t>
  </si>
  <si>
    <t>جـ. تقدير المستودعات اللازمة لعمليات فتح الثغرة وعبور الفجوات.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</si>
  <si>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</si>
  <si>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الأفراد</t>
    </r>
    <r>
      <rPr>
        <sz val="12"/>
        <color rgb="FF000000"/>
        <rFont val="Arial"/>
        <family val="2"/>
      </rPr>
      <t>. تحضير المعدات، الملابس، الأرزاق والمياه، الأسلحة الخفيفة والمتوسطة.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</si>
  <si>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المعدات</t>
    </r>
    <r>
      <rPr>
        <sz val="12"/>
        <color rgb="FF000000"/>
        <rFont val="Arial"/>
        <family val="2"/>
      </rPr>
      <t>. الصلاحية، توفير المعدات الخاصة (مجسات، مصابيح، أدوات حفر، أدوات قطع الأسلاك، وغير ذلك).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</si>
  <si>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الأسلحة</t>
    </r>
    <r>
      <rPr>
        <sz val="12"/>
        <color rgb="FF000000"/>
        <rFont val="Arial"/>
        <family val="2"/>
      </rPr>
      <t>. فحص الأسلحة، تعبئة الذخيرة، الصلاحية والصيانة.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</si>
  <si>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u/>
        <sz val="12"/>
        <color rgb="FF000000"/>
        <rFont val="Arial"/>
        <family val="2"/>
      </rPr>
      <t>الآليات</t>
    </r>
    <r>
      <rPr>
        <sz val="12"/>
        <color rgb="FF000000"/>
        <rFont val="Arial"/>
        <family val="2"/>
      </rPr>
      <t>. تنفيذ اصلاح الأعطال، تعبئة خزانات الوقود، تحميل المعدات والإمدادات.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</si>
  <si>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تقوم السرية بالتحضير لتنفيذ عمليات فتح الثغرة وعبور الفجوات كما يلي:</t>
    </r>
  </si>
  <si>
    <t>أ. يقوم قائد السرية بإيجاز قادة الفصائل حول القصد من القيام بعمليات فتح الثغرة وعبور الفجوات.</t>
  </si>
  <si>
    <t>ب. يقوم قائد السرية بإبلاغ قائد الفصيل عن الطريقة/الاسلوب الذي يجب استخدامه عند القيام بعمليات فتح الثغرة وعبور الفجوات.</t>
  </si>
  <si>
    <t>جـ. يقوم قائد السرية بتزويد قائد الفصيل بالجدول الزمني/ الوقت المتاح فيما يتعلق بعمليات فتح الثغرة وعبور الفجوات.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</si>
  <si>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</si>
  <si>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امر الواجب.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</si>
  <si>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واجبات جماعات الهندسة.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</si>
  <si>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فهم قادة الجماعات للعمل المطلوب.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</si>
  <si>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عدة تأشير.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</si>
  <si>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ناقلات ظبيان.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</si>
  <si>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دبابة المهندسين.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</si>
  <si>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تجهيز الناسف الأفعواني.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</si>
  <si>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التقرب الى الثغرة.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</si>
  <si>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موقع دبابة المهندسين.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</si>
  <si>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تقدم الالية بالشكل الصحيح.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</si>
  <si>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ترجل عناصر الهندسة بأسلوب صحيح.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</si>
  <si>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السيطرة على البدء في التأشير للثغرة.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</si>
  <si>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المدخل.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</si>
  <si>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وضع الإشارات للدلالة.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</si>
  <si>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تأشير المخرج.</t>
    </r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</si>
  <si>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مراعاة الافراد لاحتياطات الأمان.</t>
    </r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</si>
  <si>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وجود آليات الاخلاء الطبي.</t>
    </r>
  </si>
  <si>
    <r>
      <t>18.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التعامل مع الالغام والمواد الخطرة.</t>
    </r>
  </si>
  <si>
    <r>
      <t>19.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بالتعليمات الخاصة لاحتياطات الامان.</t>
    </r>
  </si>
  <si>
    <t>تقييم سرية الهندسة في عمليات فتح الثغرة وعبور الفجوات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</si>
</sst>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  <font>
      <u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7" fillId="0" borderId="21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7" fillId="0" borderId="10" xfId="0" applyFont="1" applyBorder="1" applyAlignment="1">
      <alignment horizontal="right" vertical="center" wrapText="1" readingOrder="2"/>
    </xf>
    <xf numFmtId="0" fontId="7" fillId="0" borderId="11" xfId="0" applyFont="1" applyBorder="1" applyAlignment="1">
      <alignment horizontal="right" vertical="center" wrapText="1" readingOrder="2"/>
    </xf>
    <xf numFmtId="0" fontId="7" fillId="0" borderId="21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7" fillId="0" borderId="10" xfId="0" applyFont="1" applyBorder="1" applyAlignment="1">
      <alignment horizontal="right" vertical="center" wrapText="1" indent="2" readingOrder="2"/>
    </xf>
    <xf numFmtId="0" fontId="7" fillId="0" borderId="11" xfId="0" applyFont="1" applyBorder="1" applyAlignment="1">
      <alignment horizontal="right" vertical="center" wrapText="1" indent="2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7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3" t="s">
        <v>63</v>
      </c>
      <c r="C1" s="73"/>
      <c r="D1" s="73"/>
      <c r="E1" s="73"/>
      <c r="F1" s="73"/>
      <c r="G1" s="73"/>
      <c r="H1" s="73"/>
      <c r="I1" s="73"/>
      <c r="J1" s="73"/>
    </row>
    <row r="2" spans="1:10" ht="30" customHeight="1" x14ac:dyDescent="0.25">
      <c r="B2" s="11" t="s">
        <v>8</v>
      </c>
      <c r="C2" s="52" t="s">
        <v>23</v>
      </c>
      <c r="D2" s="52"/>
      <c r="E2" s="11" t="s">
        <v>7</v>
      </c>
      <c r="F2" s="47" t="s">
        <v>22</v>
      </c>
      <c r="G2" s="47"/>
      <c r="H2" s="47"/>
      <c r="I2" s="47"/>
      <c r="J2" s="47"/>
    </row>
    <row r="3" spans="1:10" ht="30" customHeight="1" x14ac:dyDescent="0.25">
      <c r="B3" s="11" t="s">
        <v>9</v>
      </c>
      <c r="C3" s="52" t="s">
        <v>25</v>
      </c>
      <c r="D3" s="52"/>
      <c r="E3" s="11" t="s">
        <v>6</v>
      </c>
      <c r="F3" s="52" t="s">
        <v>24</v>
      </c>
      <c r="G3" s="52"/>
      <c r="H3" s="52"/>
      <c r="I3" s="52"/>
      <c r="J3" s="52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8" t="s">
        <v>0</v>
      </c>
      <c r="C5" s="49"/>
      <c r="D5" s="49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 x14ac:dyDescent="0.3">
      <c r="A6" s="9"/>
      <c r="B6" s="50"/>
      <c r="C6" s="51"/>
      <c r="D6" s="51"/>
      <c r="E6" s="10" t="s">
        <v>3</v>
      </c>
      <c r="F6" s="10" t="s">
        <v>4</v>
      </c>
      <c r="G6" s="10" t="s">
        <v>15</v>
      </c>
      <c r="H6" s="10" t="s">
        <v>16</v>
      </c>
      <c r="I6" s="59"/>
      <c r="J6" s="60"/>
    </row>
    <row r="7" spans="1:10" ht="24.95" customHeight="1" thickBot="1" x14ac:dyDescent="0.3">
      <c r="A7" s="9"/>
      <c r="B7" s="55" t="s">
        <v>13</v>
      </c>
      <c r="C7" s="56"/>
      <c r="D7" s="56"/>
      <c r="E7" s="14" t="s">
        <v>10</v>
      </c>
      <c r="F7" s="14" t="s">
        <v>11</v>
      </c>
      <c r="G7" s="14" t="s">
        <v>14</v>
      </c>
      <c r="H7" s="14" t="s">
        <v>12</v>
      </c>
      <c r="I7" s="61" t="s">
        <v>17</v>
      </c>
      <c r="J7" s="62"/>
    </row>
    <row r="8" spans="1:10" ht="30" customHeight="1" x14ac:dyDescent="0.25">
      <c r="A8" s="9"/>
      <c r="B8" s="34" t="s">
        <v>28</v>
      </c>
      <c r="C8" s="35"/>
      <c r="D8" s="35"/>
      <c r="E8" s="19"/>
      <c r="F8" s="20"/>
      <c r="G8" s="21"/>
      <c r="H8" s="22"/>
      <c r="I8" s="45"/>
      <c r="J8" s="46"/>
    </row>
    <row r="9" spans="1:10" ht="39.950000000000003" customHeight="1" x14ac:dyDescent="0.25">
      <c r="A9" s="9"/>
      <c r="B9" s="26" t="s">
        <v>29</v>
      </c>
      <c r="C9" s="27"/>
      <c r="D9" s="27"/>
      <c r="E9" s="8">
        <v>5</v>
      </c>
      <c r="F9" s="12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36"/>
      <c r="J9" s="37"/>
    </row>
    <row r="10" spans="1:10" ht="39.950000000000003" customHeight="1" x14ac:dyDescent="0.25">
      <c r="A10" s="9"/>
      <c r="B10" s="26" t="s">
        <v>30</v>
      </c>
      <c r="C10" s="27"/>
      <c r="D10" s="27"/>
      <c r="E10" s="8"/>
      <c r="F10" s="12"/>
      <c r="G10" s="17"/>
      <c r="H10" s="18"/>
      <c r="I10" s="36"/>
      <c r="J10" s="37"/>
    </row>
    <row r="11" spans="1:10" ht="30" customHeight="1" x14ac:dyDescent="0.25">
      <c r="A11" s="9"/>
      <c r="B11" s="30" t="s">
        <v>31</v>
      </c>
      <c r="C11" s="31"/>
      <c r="D11" s="31"/>
      <c r="E11" s="8">
        <v>5</v>
      </c>
      <c r="F11" s="12" t="s">
        <v>26</v>
      </c>
      <c r="G11" s="17" t="str">
        <f t="shared" ref="G11:G42" si="0">IFERROR(F11/E11,"")</f>
        <v/>
      </c>
      <c r="H11" s="18" t="str">
        <f t="shared" ref="H11:H42" si="1">_xlfn.IFS(F11="أدخل العلامة","",F11="لا ينطبق","تم الإلغاء",G11&gt;=90%,"ممتاز",G11&gt;=80%,"جيد جداً",G11&gt;=70%,"جيد",G11&gt;=60%,"مقبول",G11&lt;60%,"راسب")</f>
        <v/>
      </c>
      <c r="I11" s="36"/>
      <c r="J11" s="37"/>
    </row>
    <row r="12" spans="1:10" ht="39.950000000000003" customHeight="1" x14ac:dyDescent="0.25">
      <c r="A12" s="9"/>
      <c r="B12" s="30" t="s">
        <v>32</v>
      </c>
      <c r="C12" s="31"/>
      <c r="D12" s="31"/>
      <c r="E12" s="8">
        <v>5</v>
      </c>
      <c r="F12" s="12" t="s">
        <v>26</v>
      </c>
      <c r="G12" s="17" t="str">
        <f t="shared" si="0"/>
        <v/>
      </c>
      <c r="H12" s="18" t="str">
        <f t="shared" si="1"/>
        <v/>
      </c>
      <c r="I12" s="36"/>
      <c r="J12" s="37"/>
    </row>
    <row r="13" spans="1:10" ht="30" customHeight="1" thickBot="1" x14ac:dyDescent="0.3">
      <c r="A13" s="9"/>
      <c r="B13" s="32" t="s">
        <v>33</v>
      </c>
      <c r="C13" s="33"/>
      <c r="D13" s="33"/>
      <c r="E13" s="23">
        <v>5</v>
      </c>
      <c r="F13" s="13" t="s">
        <v>26</v>
      </c>
      <c r="G13" s="24" t="str">
        <f t="shared" si="0"/>
        <v/>
      </c>
      <c r="H13" s="25" t="str">
        <f t="shared" si="1"/>
        <v/>
      </c>
      <c r="I13" s="43"/>
      <c r="J13" s="44"/>
    </row>
    <row r="14" spans="1:10" ht="30" customHeight="1" x14ac:dyDescent="0.25">
      <c r="A14" s="9"/>
      <c r="B14" s="34" t="s">
        <v>34</v>
      </c>
      <c r="C14" s="35"/>
      <c r="D14" s="35"/>
      <c r="E14" s="19"/>
      <c r="F14" s="20" t="s">
        <v>26</v>
      </c>
      <c r="G14" s="21" t="str">
        <f t="shared" si="0"/>
        <v/>
      </c>
      <c r="H14" s="22" t="str">
        <f t="shared" si="1"/>
        <v/>
      </c>
      <c r="I14" s="45"/>
      <c r="J14" s="46"/>
    </row>
    <row r="15" spans="1:10" ht="39.950000000000003" customHeight="1" x14ac:dyDescent="0.25">
      <c r="A15" s="9"/>
      <c r="B15" s="26" t="s">
        <v>35</v>
      </c>
      <c r="C15" s="27"/>
      <c r="D15" s="27"/>
      <c r="E15" s="8">
        <v>5</v>
      </c>
      <c r="F15" s="12" t="s">
        <v>26</v>
      </c>
      <c r="G15" s="17" t="str">
        <f t="shared" si="0"/>
        <v/>
      </c>
      <c r="H15" s="18" t="str">
        <f t="shared" si="1"/>
        <v/>
      </c>
      <c r="I15" s="36"/>
      <c r="J15" s="37"/>
    </row>
    <row r="16" spans="1:10" ht="39.950000000000003" customHeight="1" x14ac:dyDescent="0.25">
      <c r="A16" s="9"/>
      <c r="B16" s="26" t="s">
        <v>36</v>
      </c>
      <c r="C16" s="27"/>
      <c r="D16" s="27"/>
      <c r="E16" s="16"/>
      <c r="F16" s="12"/>
      <c r="G16" s="17"/>
      <c r="H16" s="18"/>
      <c r="I16" s="36"/>
      <c r="J16" s="37"/>
    </row>
    <row r="17" spans="1:10" ht="30" customHeight="1" x14ac:dyDescent="0.25">
      <c r="A17" s="9"/>
      <c r="B17" s="26" t="s">
        <v>37</v>
      </c>
      <c r="C17" s="27"/>
      <c r="D17" s="27"/>
      <c r="E17" s="8">
        <v>5</v>
      </c>
      <c r="F17" s="12" t="s">
        <v>26</v>
      </c>
      <c r="G17" s="17" t="str">
        <f t="shared" si="0"/>
        <v/>
      </c>
      <c r="H17" s="18" t="str">
        <f t="shared" si="1"/>
        <v/>
      </c>
      <c r="I17" s="36"/>
      <c r="J17" s="37"/>
    </row>
    <row r="18" spans="1:10" ht="39.950000000000003" customHeight="1" x14ac:dyDescent="0.25">
      <c r="A18" s="9"/>
      <c r="B18" s="26" t="s">
        <v>38</v>
      </c>
      <c r="C18" s="27"/>
      <c r="D18" s="27"/>
      <c r="E18" s="8">
        <v>5</v>
      </c>
      <c r="F18" s="12" t="s">
        <v>26</v>
      </c>
      <c r="G18" s="17" t="str">
        <f t="shared" si="0"/>
        <v/>
      </c>
      <c r="H18" s="18" t="str">
        <f t="shared" si="1"/>
        <v/>
      </c>
      <c r="I18" s="36"/>
      <c r="J18" s="37"/>
    </row>
    <row r="19" spans="1:10" ht="39.950000000000003" customHeight="1" x14ac:dyDescent="0.25">
      <c r="A19" s="9"/>
      <c r="B19" s="26" t="s">
        <v>39</v>
      </c>
      <c r="C19" s="27"/>
      <c r="D19" s="27"/>
      <c r="E19" s="16"/>
      <c r="F19" s="12"/>
      <c r="G19" s="17"/>
      <c r="H19" s="18"/>
      <c r="I19" s="36"/>
      <c r="J19" s="37"/>
    </row>
    <row r="20" spans="1:10" ht="39.950000000000003" customHeight="1" x14ac:dyDescent="0.25">
      <c r="A20" s="9"/>
      <c r="B20" s="30" t="s">
        <v>40</v>
      </c>
      <c r="C20" s="31"/>
      <c r="D20" s="31"/>
      <c r="E20" s="8">
        <v>5</v>
      </c>
      <c r="F20" s="12" t="s">
        <v>26</v>
      </c>
      <c r="G20" s="17" t="str">
        <f t="shared" si="0"/>
        <v/>
      </c>
      <c r="H20" s="18" t="str">
        <f t="shared" si="1"/>
        <v/>
      </c>
      <c r="I20" s="36"/>
      <c r="J20" s="37"/>
    </row>
    <row r="21" spans="1:10" ht="39.950000000000003" customHeight="1" x14ac:dyDescent="0.25">
      <c r="A21" s="9"/>
      <c r="B21" s="30" t="s">
        <v>41</v>
      </c>
      <c r="C21" s="31"/>
      <c r="D21" s="31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36"/>
      <c r="J21" s="37"/>
    </row>
    <row r="22" spans="1:10" ht="39.950000000000003" customHeight="1" thickBot="1" x14ac:dyDescent="0.3">
      <c r="A22" s="9"/>
      <c r="B22" s="32" t="s">
        <v>42</v>
      </c>
      <c r="C22" s="33"/>
      <c r="D22" s="33"/>
      <c r="E22" s="23">
        <v>5</v>
      </c>
      <c r="F22" s="13" t="s">
        <v>26</v>
      </c>
      <c r="G22" s="24" t="str">
        <f t="shared" si="0"/>
        <v/>
      </c>
      <c r="H22" s="25" t="str">
        <f t="shared" si="1"/>
        <v/>
      </c>
      <c r="I22" s="43"/>
      <c r="J22" s="44"/>
    </row>
    <row r="23" spans="1:10" ht="30" customHeight="1" x14ac:dyDescent="0.25">
      <c r="A23" s="9"/>
      <c r="B23" s="34" t="s">
        <v>43</v>
      </c>
      <c r="C23" s="35"/>
      <c r="D23" s="35"/>
      <c r="E23" s="19"/>
      <c r="F23" s="20"/>
      <c r="G23" s="21"/>
      <c r="H23" s="22"/>
      <c r="I23" s="45"/>
      <c r="J23" s="46"/>
    </row>
    <row r="24" spans="1:10" ht="30" customHeight="1" x14ac:dyDescent="0.25">
      <c r="A24" s="9"/>
      <c r="B24" s="26" t="s">
        <v>44</v>
      </c>
      <c r="C24" s="27"/>
      <c r="D24" s="27"/>
      <c r="E24" s="8">
        <v>5</v>
      </c>
      <c r="F24" s="12" t="s">
        <v>26</v>
      </c>
      <c r="G24" s="17" t="str">
        <f t="shared" si="0"/>
        <v/>
      </c>
      <c r="H24" s="18" t="str">
        <f t="shared" si="1"/>
        <v/>
      </c>
      <c r="I24" s="36"/>
      <c r="J24" s="37"/>
    </row>
    <row r="25" spans="1:10" ht="30" customHeight="1" x14ac:dyDescent="0.25">
      <c r="A25" s="9"/>
      <c r="B25" s="26" t="s">
        <v>45</v>
      </c>
      <c r="C25" s="27"/>
      <c r="D25" s="27"/>
      <c r="E25" s="8">
        <v>5</v>
      </c>
      <c r="F25" s="12" t="s">
        <v>26</v>
      </c>
      <c r="G25" s="17" t="str">
        <f t="shared" si="0"/>
        <v/>
      </c>
      <c r="H25" s="18" t="str">
        <f t="shared" si="1"/>
        <v/>
      </c>
      <c r="I25" s="36"/>
      <c r="J25" s="37"/>
    </row>
    <row r="26" spans="1:10" ht="30" customHeight="1" x14ac:dyDescent="0.25">
      <c r="A26" s="9"/>
      <c r="B26" s="26" t="s">
        <v>46</v>
      </c>
      <c r="C26" s="27"/>
      <c r="D26" s="27"/>
      <c r="E26" s="8">
        <v>5</v>
      </c>
      <c r="F26" s="12" t="s">
        <v>26</v>
      </c>
      <c r="G26" s="17" t="str">
        <f t="shared" si="0"/>
        <v/>
      </c>
      <c r="H26" s="18" t="str">
        <f t="shared" si="1"/>
        <v/>
      </c>
      <c r="I26" s="36"/>
      <c r="J26" s="37"/>
    </row>
    <row r="27" spans="1:10" ht="30" customHeight="1" x14ac:dyDescent="0.25">
      <c r="A27" s="9"/>
      <c r="B27" s="26" t="s">
        <v>47</v>
      </c>
      <c r="C27" s="27"/>
      <c r="D27" s="27"/>
      <c r="E27" s="8">
        <v>5</v>
      </c>
      <c r="F27" s="12" t="s">
        <v>26</v>
      </c>
      <c r="G27" s="17" t="str">
        <f t="shared" si="0"/>
        <v/>
      </c>
      <c r="H27" s="18" t="str">
        <f t="shared" si="1"/>
        <v/>
      </c>
      <c r="I27" s="36"/>
      <c r="J27" s="37"/>
    </row>
    <row r="28" spans="1:10" ht="30" customHeight="1" x14ac:dyDescent="0.25">
      <c r="A28" s="9"/>
      <c r="B28" s="26" t="s">
        <v>48</v>
      </c>
      <c r="C28" s="27"/>
      <c r="D28" s="27"/>
      <c r="E28" s="8">
        <v>5</v>
      </c>
      <c r="F28" s="12" t="s">
        <v>26</v>
      </c>
      <c r="G28" s="17" t="str">
        <f t="shared" si="0"/>
        <v/>
      </c>
      <c r="H28" s="18" t="str">
        <f t="shared" si="1"/>
        <v/>
      </c>
      <c r="I28" s="36"/>
      <c r="J28" s="37"/>
    </row>
    <row r="29" spans="1:10" ht="30" customHeight="1" x14ac:dyDescent="0.25">
      <c r="A29" s="9"/>
      <c r="B29" s="26" t="s">
        <v>49</v>
      </c>
      <c r="C29" s="27"/>
      <c r="D29" s="27"/>
      <c r="E29" s="8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36"/>
      <c r="J29" s="37"/>
    </row>
    <row r="30" spans="1:10" ht="30" customHeight="1" x14ac:dyDescent="0.25">
      <c r="A30" s="9"/>
      <c r="B30" s="26" t="s">
        <v>50</v>
      </c>
      <c r="C30" s="27"/>
      <c r="D30" s="27"/>
      <c r="E30" s="8">
        <v>5</v>
      </c>
      <c r="F30" s="12" t="s">
        <v>26</v>
      </c>
      <c r="G30" s="17" t="str">
        <f t="shared" si="0"/>
        <v/>
      </c>
      <c r="H30" s="18" t="str">
        <f t="shared" si="1"/>
        <v/>
      </c>
      <c r="I30" s="36"/>
      <c r="J30" s="37"/>
    </row>
    <row r="31" spans="1:10" ht="30" customHeight="1" x14ac:dyDescent="0.25">
      <c r="A31" s="9"/>
      <c r="B31" s="26" t="s">
        <v>51</v>
      </c>
      <c r="C31" s="27"/>
      <c r="D31" s="27"/>
      <c r="E31" s="8">
        <v>5</v>
      </c>
      <c r="F31" s="12" t="s">
        <v>26</v>
      </c>
      <c r="G31" s="17" t="str">
        <f t="shared" si="0"/>
        <v/>
      </c>
      <c r="H31" s="18" t="str">
        <f t="shared" si="1"/>
        <v/>
      </c>
      <c r="I31" s="36"/>
      <c r="J31" s="37"/>
    </row>
    <row r="32" spans="1:10" ht="30" customHeight="1" x14ac:dyDescent="0.25">
      <c r="A32" s="9"/>
      <c r="B32" s="26" t="s">
        <v>52</v>
      </c>
      <c r="C32" s="27"/>
      <c r="D32" s="27"/>
      <c r="E32" s="8">
        <v>5</v>
      </c>
      <c r="F32" s="12" t="s">
        <v>26</v>
      </c>
      <c r="G32" s="17" t="str">
        <f t="shared" si="0"/>
        <v/>
      </c>
      <c r="H32" s="18" t="str">
        <f t="shared" si="1"/>
        <v/>
      </c>
      <c r="I32" s="36"/>
      <c r="J32" s="37"/>
    </row>
    <row r="33" spans="1:10" ht="30" customHeight="1" x14ac:dyDescent="0.25">
      <c r="A33" s="9"/>
      <c r="B33" s="26" t="s">
        <v>53</v>
      </c>
      <c r="C33" s="27"/>
      <c r="D33" s="27"/>
      <c r="E33" s="8">
        <v>5</v>
      </c>
      <c r="F33" s="12" t="s">
        <v>26</v>
      </c>
      <c r="G33" s="17" t="str">
        <f t="shared" si="0"/>
        <v/>
      </c>
      <c r="H33" s="18" t="str">
        <f t="shared" si="1"/>
        <v/>
      </c>
      <c r="I33" s="36"/>
      <c r="J33" s="37"/>
    </row>
    <row r="34" spans="1:10" ht="30" customHeight="1" x14ac:dyDescent="0.25">
      <c r="A34" s="9"/>
      <c r="B34" s="26" t="s">
        <v>54</v>
      </c>
      <c r="C34" s="27"/>
      <c r="D34" s="27"/>
      <c r="E34" s="8">
        <v>5</v>
      </c>
      <c r="F34" s="12" t="s">
        <v>26</v>
      </c>
      <c r="G34" s="17" t="str">
        <f t="shared" si="0"/>
        <v/>
      </c>
      <c r="H34" s="18" t="str">
        <f t="shared" si="1"/>
        <v/>
      </c>
      <c r="I34" s="36"/>
      <c r="J34" s="37"/>
    </row>
    <row r="35" spans="1:10" ht="30" customHeight="1" x14ac:dyDescent="0.25">
      <c r="A35" s="9"/>
      <c r="B35" s="26" t="s">
        <v>55</v>
      </c>
      <c r="C35" s="27"/>
      <c r="D35" s="27"/>
      <c r="E35" s="8">
        <v>5</v>
      </c>
      <c r="F35" s="12" t="s">
        <v>26</v>
      </c>
      <c r="G35" s="17" t="str">
        <f t="shared" si="0"/>
        <v/>
      </c>
      <c r="H35" s="18" t="str">
        <f t="shared" si="1"/>
        <v/>
      </c>
      <c r="I35" s="36"/>
      <c r="J35" s="37"/>
    </row>
    <row r="36" spans="1:10" ht="30" customHeight="1" x14ac:dyDescent="0.25">
      <c r="A36" s="9"/>
      <c r="B36" s="26" t="s">
        <v>56</v>
      </c>
      <c r="C36" s="27"/>
      <c r="D36" s="27"/>
      <c r="E36" s="8">
        <v>5</v>
      </c>
      <c r="F36" s="12" t="s">
        <v>26</v>
      </c>
      <c r="G36" s="17" t="str">
        <f t="shared" si="0"/>
        <v/>
      </c>
      <c r="H36" s="18" t="str">
        <f t="shared" si="1"/>
        <v/>
      </c>
      <c r="I36" s="36"/>
      <c r="J36" s="37"/>
    </row>
    <row r="37" spans="1:10" ht="30" customHeight="1" x14ac:dyDescent="0.25">
      <c r="A37" s="9"/>
      <c r="B37" s="26" t="s">
        <v>57</v>
      </c>
      <c r="C37" s="27"/>
      <c r="D37" s="27"/>
      <c r="E37" s="8">
        <v>5</v>
      </c>
      <c r="F37" s="12" t="s">
        <v>26</v>
      </c>
      <c r="G37" s="17" t="str">
        <f t="shared" si="0"/>
        <v/>
      </c>
      <c r="H37" s="18" t="str">
        <f t="shared" si="1"/>
        <v/>
      </c>
      <c r="I37" s="36"/>
      <c r="J37" s="37"/>
    </row>
    <row r="38" spans="1:10" ht="30" customHeight="1" x14ac:dyDescent="0.25">
      <c r="A38" s="9"/>
      <c r="B38" s="26" t="s">
        <v>58</v>
      </c>
      <c r="C38" s="27"/>
      <c r="D38" s="27"/>
      <c r="E38" s="8">
        <v>5</v>
      </c>
      <c r="F38" s="12" t="s">
        <v>26</v>
      </c>
      <c r="G38" s="17" t="str">
        <f t="shared" si="0"/>
        <v/>
      </c>
      <c r="H38" s="18" t="str">
        <f t="shared" si="1"/>
        <v/>
      </c>
      <c r="I38" s="36"/>
      <c r="J38" s="37"/>
    </row>
    <row r="39" spans="1:10" ht="30" customHeight="1" x14ac:dyDescent="0.25">
      <c r="A39" s="9"/>
      <c r="B39" s="26" t="s">
        <v>59</v>
      </c>
      <c r="C39" s="27"/>
      <c r="D39" s="27"/>
      <c r="E39" s="8">
        <v>5</v>
      </c>
      <c r="F39" s="12" t="s">
        <v>26</v>
      </c>
      <c r="G39" s="17" t="str">
        <f t="shared" si="0"/>
        <v/>
      </c>
      <c r="H39" s="18" t="str">
        <f t="shared" si="1"/>
        <v/>
      </c>
      <c r="I39" s="36"/>
      <c r="J39" s="37"/>
    </row>
    <row r="40" spans="1:10" ht="30" customHeight="1" x14ac:dyDescent="0.25">
      <c r="A40" s="9"/>
      <c r="B40" s="26" t="s">
        <v>60</v>
      </c>
      <c r="C40" s="27"/>
      <c r="D40" s="27"/>
      <c r="E40" s="8">
        <v>5</v>
      </c>
      <c r="F40" s="12" t="s">
        <v>26</v>
      </c>
      <c r="G40" s="17" t="str">
        <f t="shared" si="0"/>
        <v/>
      </c>
      <c r="H40" s="18" t="str">
        <f t="shared" si="1"/>
        <v/>
      </c>
      <c r="I40" s="36"/>
      <c r="J40" s="37"/>
    </row>
    <row r="41" spans="1:10" ht="30" customHeight="1" x14ac:dyDescent="0.25">
      <c r="A41" s="9"/>
      <c r="B41" s="26" t="s">
        <v>61</v>
      </c>
      <c r="C41" s="27"/>
      <c r="D41" s="27"/>
      <c r="E41" s="8">
        <v>5</v>
      </c>
      <c r="F41" s="12" t="s">
        <v>26</v>
      </c>
      <c r="G41" s="17" t="str">
        <f t="shared" si="0"/>
        <v/>
      </c>
      <c r="H41" s="18" t="str">
        <f t="shared" si="1"/>
        <v/>
      </c>
      <c r="I41" s="36"/>
      <c r="J41" s="37"/>
    </row>
    <row r="42" spans="1:10" ht="30" customHeight="1" thickBot="1" x14ac:dyDescent="0.3">
      <c r="A42" s="9"/>
      <c r="B42" s="28" t="s">
        <v>62</v>
      </c>
      <c r="C42" s="29"/>
      <c r="D42" s="29"/>
      <c r="E42" s="23">
        <v>5</v>
      </c>
      <c r="F42" s="13" t="s">
        <v>26</v>
      </c>
      <c r="G42" s="24" t="str">
        <f t="shared" si="0"/>
        <v/>
      </c>
      <c r="H42" s="25" t="str">
        <f t="shared" si="1"/>
        <v/>
      </c>
      <c r="I42" s="43"/>
      <c r="J42" s="44"/>
    </row>
    <row r="43" spans="1:10" ht="30" customHeight="1" thickBot="1" x14ac:dyDescent="0.3">
      <c r="A43" s="3"/>
      <c r="B43" s="69" t="s">
        <v>5</v>
      </c>
      <c r="C43" s="70"/>
      <c r="D43" s="70"/>
      <c r="E43" s="15">
        <f>SUM(E8:E42)</f>
        <v>145</v>
      </c>
      <c r="F43" s="15">
        <f>SUM(F8:F42)</f>
        <v>0</v>
      </c>
      <c r="G43" s="40"/>
      <c r="H43" s="41"/>
      <c r="I43" s="41"/>
      <c r="J43" s="42"/>
    </row>
    <row r="44" spans="1:10" ht="30" customHeight="1" thickBot="1" x14ac:dyDescent="0.3">
      <c r="A44" s="3"/>
      <c r="B44" s="71" t="s">
        <v>20</v>
      </c>
      <c r="C44" s="72"/>
      <c r="D44" s="72"/>
      <c r="E44" s="53">
        <f>F43/E43/100*100</f>
        <v>0</v>
      </c>
      <c r="F44" s="53"/>
      <c r="G44" s="53"/>
      <c r="H44" s="53"/>
      <c r="I44" s="53"/>
      <c r="J44" s="54"/>
    </row>
    <row r="45" spans="1:10" ht="30" customHeight="1" thickBot="1" x14ac:dyDescent="0.3">
      <c r="A45" s="3"/>
      <c r="B45" s="71" t="s">
        <v>21</v>
      </c>
      <c r="C45" s="72"/>
      <c r="D45" s="72"/>
      <c r="E45" s="67" t="str">
        <f>_xlfn.IFS(E44&gt;=90%,"ممتاز",E44&gt;=80%,"جيد جداً",E44&gt;=70%,"جيد",E44&gt;=60%,"مقبول",E44&lt;60%,"راسب")</f>
        <v>راسب</v>
      </c>
      <c r="F45" s="67"/>
      <c r="G45" s="67"/>
      <c r="H45" s="67"/>
      <c r="I45" s="67"/>
      <c r="J45" s="68"/>
    </row>
    <row r="46" spans="1:10" ht="42" customHeight="1" x14ac:dyDescent="0.25">
      <c r="B46" s="63" t="s">
        <v>27</v>
      </c>
      <c r="C46" s="63"/>
      <c r="D46" s="63"/>
      <c r="E46" s="38" t="s">
        <v>18</v>
      </c>
      <c r="F46" s="38"/>
      <c r="G46" s="65" t="s">
        <v>24</v>
      </c>
      <c r="H46" s="65"/>
      <c r="I46" s="65"/>
      <c r="J46" s="65"/>
    </row>
    <row r="47" spans="1:10" ht="51" customHeight="1" x14ac:dyDescent="0.25">
      <c r="A47" s="4"/>
      <c r="B47" s="64"/>
      <c r="C47" s="64"/>
      <c r="D47" s="64"/>
      <c r="E47" s="39" t="s">
        <v>19</v>
      </c>
      <c r="F47" s="39"/>
      <c r="G47" s="66"/>
      <c r="H47" s="66"/>
      <c r="I47" s="66"/>
      <c r="J47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1">
    <mergeCell ref="I29:J29"/>
    <mergeCell ref="I15:J15"/>
    <mergeCell ref="I16:J16"/>
    <mergeCell ref="I17:J17"/>
    <mergeCell ref="I18:J18"/>
    <mergeCell ref="I28:J28"/>
    <mergeCell ref="B46:D47"/>
    <mergeCell ref="G46:J46"/>
    <mergeCell ref="G47:J47"/>
    <mergeCell ref="E45:J45"/>
    <mergeCell ref="I40:J40"/>
    <mergeCell ref="I41:J41"/>
    <mergeCell ref="I42:J42"/>
    <mergeCell ref="B43:D43"/>
    <mergeCell ref="B44:D44"/>
    <mergeCell ref="B45:D45"/>
    <mergeCell ref="B7:D7"/>
    <mergeCell ref="I38:J38"/>
    <mergeCell ref="I39:J39"/>
    <mergeCell ref="I30:J30"/>
    <mergeCell ref="I31:J31"/>
    <mergeCell ref="I37:J37"/>
    <mergeCell ref="I7:J7"/>
    <mergeCell ref="I10:J10"/>
    <mergeCell ref="I32:J32"/>
    <mergeCell ref="I33:J33"/>
    <mergeCell ref="I34:J34"/>
    <mergeCell ref="I35:J35"/>
    <mergeCell ref="I36:J36"/>
    <mergeCell ref="I8:J8"/>
    <mergeCell ref="I11:J11"/>
    <mergeCell ref="I12:J12"/>
    <mergeCell ref="B1:J1"/>
    <mergeCell ref="F2:J2"/>
    <mergeCell ref="B5:D6"/>
    <mergeCell ref="C2:D2"/>
    <mergeCell ref="C3:D3"/>
    <mergeCell ref="F3:J3"/>
    <mergeCell ref="E5:H5"/>
    <mergeCell ref="I5:J6"/>
    <mergeCell ref="I9:J9"/>
    <mergeCell ref="E46:F46"/>
    <mergeCell ref="E47:F47"/>
    <mergeCell ref="G43:J43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44:J44"/>
    <mergeCell ref="I13:J13"/>
    <mergeCell ref="I14:J14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40:D40"/>
    <mergeCell ref="B41:D41"/>
    <mergeCell ref="B42:D42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conditionalFormatting sqref="E45">
    <cfRule type="expression" dxfId="23" priority="57">
      <formula>$E45="راسب"</formula>
    </cfRule>
  </conditionalFormatting>
  <conditionalFormatting sqref="E45:J45">
    <cfRule type="expression" dxfId="22" priority="58">
      <formula>$E45="مقبول"</formula>
    </cfRule>
    <cfRule type="expression" dxfId="21" priority="59">
      <formula>$E45="جيد"</formula>
    </cfRule>
    <cfRule type="expression" dxfId="20" priority="60">
      <formula>$E45="جيد جداً"</formula>
    </cfRule>
    <cfRule type="expression" dxfId="19" priority="61">
      <formula>$E45="ممتاز"</formula>
    </cfRule>
  </conditionalFormatting>
  <conditionalFormatting sqref="H8 H10:H42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42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6:J46">
    <cfRule type="containsText" dxfId="8" priority="15" operator="containsText" text="أدخل اسم المحكم">
      <formula>NOT(ISERROR(SEARCH("أدخل اسم المحكم",G46)))</formula>
    </cfRule>
  </conditionalFormatting>
  <conditionalFormatting sqref="F8 F10:F42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F24:F42 F20:F22 F17:F18 F11:F15 F9</xm:sqref>
        </x14:dataValidation>
        <x14:dataValidation type="list" allowBlank="1" showInputMessage="1" showErrorMessage="1">
          <x14:formula1>
            <xm:f>#REF!</xm:f>
          </x14:formula1>
          <xm:sqref>G46:J46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2026-08-30T05:16:40Z</dcterms:modified>
</cp:coreProperties>
</file>