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26BA33A-9651-4121-8556-E335A64935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G11" i="2"/>
  <c r="H11" i="2"/>
  <c r="G10" i="2"/>
  <c r="H10" i="2"/>
  <c r="G9" i="2"/>
  <c r="H9" i="2"/>
  <c r="G12" i="2"/>
  <c r="H12" i="2"/>
  <c r="F13" i="2"/>
  <c r="E14" i="2" s="1"/>
  <c r="E15" i="2" s="1"/>
</calcChain>
</file>

<file path=xl/sharedStrings.xml><?xml version="1.0" encoding="utf-8"?>
<sst xmlns="http://schemas.openxmlformats.org/spreadsheetml/2006/main" count="242" uniqueCount="186">
  <si>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</si>
  <si>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</si>
  <si>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</si>
  <si>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</si>
  <si>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</si>
  <si>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</si>
  <si>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</si>
  <si>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</si>
  <si>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</si>
  <si>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</si>
  <si>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</si>
  <si>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</si>
  <si>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</si>
  <si>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</si>
  <si>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</si>
  <si>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</si>
  <si>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</si>
  <si>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</si>
  <si>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</si>
  <si>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</si>
  <si>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</si>
  <si>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</si>
  <si>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</si>
  <si>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</si>
  <si>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</si>
  <si>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</si>
  <si>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</si>
  <si>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</si>
  <si>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</si>
  <si>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</si>
  <si>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</si>
  <si>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</si>
  <si>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</si>
  <si>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</si>
  <si>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</si>
  <si>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</si>
  <si>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</si>
  <si>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</si>
  <si>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</si>
  <si>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</si>
  <si>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</si>
  <si>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</si>
  <si>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</si>
  <si>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</si>
  <si>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</si>
  <si>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</si>
  <si>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</si>
  <si>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</si>
  <si>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</si>
  <si>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</si>
  <si>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</si>
  <si>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</si>
  <si>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</si>
  <si>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</si>
  <si>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</si>
  <si>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</si>
  <si>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</si>
  <si>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</si>
  <si>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</si>
  <si>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</si>
  <si>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</si>
  <si>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</si>
  <si>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</si>
  <si>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</si>
  <si>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</si>
  <si>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</si>
  <si>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</si>
  <si>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</si>
  <si>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</si>
  <si>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</si>
  <si>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</si>
  <si>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</si>
  <si>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</si>
  <si>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</si>
  <si>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</si>
  <si>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</si>
  <si>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</si>
  <si>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</si>
  <si>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</si>
  <si>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</si>
  <si>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</si>
  <si>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</si>
  <si>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</si>
  <si>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</si>
  <si>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</si>
  <si>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</si>
  <si>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</si>
  <si>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</si>
  <si>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</si>
  <si>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</si>
  <si>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</si>
  <si>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</si>
  <si>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</si>
  <si>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</si>
  <si>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</si>
  <si>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</si>
  <si>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</si>
  <si>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</si>
  <si>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</si>
  <si>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</si>
  <si>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</si>
  <si>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</si>
  <si>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</si>
  <si>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</si>
  <si>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</si>
  <si>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</si>
  <si>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</si>
  <si>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</si>
  <si>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</si>
  <si>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</si>
  <si>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</si>
  <si>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</si>
  <si>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</si>
  <si>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</si>
  <si>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</si>
  <si>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</si>
  <si>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</si>
  <si>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</si>
  <si>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</si>
  <si>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</si>
  <si>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</si>
  <si>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</si>
  <si>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</si>
  <si>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</si>
  <si>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</si>
  <si>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</si>
  <si>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</si>
  <si>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</si>
  <si>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</si>
  <si>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</si>
  <si>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</si>
  <si>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</si>
  <si>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</si>
  <si>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</si>
  <si>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</si>
  <si>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</si>
  <si>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</si>
  <si>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</si>
  <si>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</si>
  <si>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</si>
  <si>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</si>
  <si>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</si>
  <si>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</si>
  <si>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</si>
  <si>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</si>
  <si>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</si>
  <si>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</si>
  <si>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</si>
  <si>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</si>
  <si>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</si>
  <si>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</si>
  <si>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</si>
  <si>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</si>
  <si>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</si>
  <si>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</si>
  <si>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</si>
  <si>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</si>
  <si>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</si>
  <si>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</si>
  <si>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</si>
  <si>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</si>
  <si>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</si>
  <si>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</si>
  <si>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</si>
  <si>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</si>
  <si>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</si>
  <si>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</si>
  <si>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</si>
  <si>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</si>
  <si>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</si>
  <si>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</si>
  <si>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</si>
  <si>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</si>
  <si>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</si>
  <si>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</si>
  <si>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</si>
  <si>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</si>
  <si>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</si>
  <si>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</si>
  <si>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قائد السرية قبل بدء الحركة.</t>
  </si>
  <si>
    <r>
      <t>3.</t>
    </r>
    <r>
      <rPr>
        <sz val="14"/>
        <color rgb="FF000000"/>
        <rFont val="Times New Roman"/>
        <family val="1"/>
      </rPr>
      <t xml:space="preserve">      إدخال </t>
    </r>
    <r>
      <rPr>
        <sz val="14"/>
        <color rgb="FF000000"/>
        <rFont val="Arial"/>
        <family val="2"/>
      </rPr>
      <t>خطة الهجوم على منظومة القيادة والسيطرة (C4I).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</si>
  <si>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تأكد قائد السرية من تفهم جميع قادة الفصائل للمهمة.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</si>
  <si>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تأكد قائد السرية من تفهم الجميع لأسلوب استخدام وسائل الاتصال البديلة.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</si>
  <si>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التأكد من فحص الأجهزة والمعدات الإشارية قبل التحرك وما مدى قدره الأطقم على التعامل مع الأعطال الطارئة.</t>
    </r>
  </si>
  <si>
    <t>تقييم سرية الدبابات - معضلة/4 - فقدان الاتصال اللاسلكي
تمرين جاهزية مجموعة لواء الإمارات/1 (جندي الصحراء 2025/20)</t>
  </si>
  <si>
    <t>النقيب/ عبدالله سعيد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</si>
</sst>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29" xfId="0" applyFont="1" applyBorder="1" applyAlignment="1" applyProtection="1">
      <alignment horizontal="center" vertical="center" wrapText="1" readingOrder="2"/>
      <protection locked="0"/>
    </xf>
    <xf numFmtId="0" fontId="8" fillId="0" borderId="23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5" fillId="0" borderId="26" xfId="0" applyFont="1" applyBorder="1" applyAlignment="1">
      <alignment horizontal="right" vertical="center" wrapText="1" readingOrder="2"/>
    </xf>
    <xf numFmtId="0" fontId="5" fillId="0" borderId="27" xfId="0" applyFont="1" applyBorder="1" applyAlignment="1">
      <alignment horizontal="right" vertical="center" wrapText="1" readingOrder="2"/>
    </xf>
    <xf numFmtId="0" fontId="5" fillId="0" borderId="28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521293</xdr:colOff>
      <xdr:row>16</xdr:row>
      <xdr:rowOff>138635</xdr:rowOff>
    </xdr:from>
    <xdr:to>
      <xdr:col>9</xdr:col>
      <xdr:colOff>246063</xdr:colOff>
      <xdr:row>17</xdr:row>
      <xdr:rowOff>111133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C5517D4-9D60-44D7-011C-E955A05290E8}"/>
                </a:ext>
              </a:extLst>
            </xdr14:cNvPr>
            <xdr14:cNvContentPartPr/>
          </xdr14:nvContentPartPr>
          <xdr14:nvPr macro=""/>
          <xdr14:xfrm>
            <a:off x="10422802313" y="7005600"/>
            <a:ext cx="1688040" cy="622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C5517D4-9D60-44D7-011C-E955A05290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2793313" y="6996960"/>
              <a:ext cx="1705680" cy="64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6T04:22:31.8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4559 205 4656,'0'0'0,"-1"-3"1017,-1-2-465,2-4-312,0 9-240,-1-1 80,1-1-64,0 1-48,0 0-32,0 1 16,0 0 24,0 0 24,0-1 8,0 1 8,0 0 24,0 0-8,0 0 0,0 0-16,0 0-16,0 0 24,0-1-16,0 1 8,0 0-8,-1 0 32,1 0-40,-3 0 48,1 0 32,-1 0 48,-1 0 24,1 0 24,0 0 16,3 0-192,-10 0 184,7 0-16,-7 0-8,7 2-32,-1 0-40,-7 1-16,11-3-72,-4 2 64,1 1-16,-8-1 0,7 0-16,0 1-24,-6-1-8,10-2 0,-4 3 16,1-1-24,-7 0 64,8 1 0,-1-3 8,-2 2 72,5-2-136,-5 0 120,1 0 16,0 0 48,0 0-24,1 0 33,0 0-9,3 0-184,-3 0 192,2 0-16,-1 0 8,1 0 0,1-1-56,-1 0 24,1 1-152,-1-1 192,1-1-48,0 1 48,0 0-40,0-3-88,0 1 24,0 3-88,2-4 40,-1 1-8,2-2 8,-1-5-32,1 8 16,0-3-48,-3 5 24,4-5 0,-1-4 16,7 6-40,-10-2 24,4 1 0,4 0 24,-8 4-24,2-4 32,1 1 0,-1-1 0,1 2-24,-1 1 32,1-2-16,-3 3-24,2-1 8,-2 0 16,2 1-48,-2-1 16,0 1 16,0 0-16,0 0 8,3 0-40,-3 0 8,0 0-16,0 0 16,0 2 24,0-2 8,0 0-32,0 2 24,0-2 0,0 3 16,0-1-8,-2 1 0,2-3 0,0 2 0,-1 0-16,0-2 0,0 3-16,0 0 48,0 0 0,1-3-16,-3 2 48,1 2 32,-2-2-40,2 1 8,-1-1 0,0 2-8,3-4-40,-1 2 8,-2 0 0,2 1 8,0-1-32,-3 1 24,3-1 0,1-2-8,-2 0-24,1 2 40,1 1-32,0-3 32,0 0-24,0 2 40,0-2-32,0 0-24,0 0 48,0 0 40,0 0-72,0 0 56,0 0-8,0 0-184,0 0 280,0 0-88,0 0 16,0 0-16,0 0 32,3 0-32,-3 0-48,0 0 104,0 0-40,0 0 8,0 0 16,0 0-120,0 0 96,0 0-424,0 0 776,0 0-400,0 0 40,0 0-88,0 0 48,0 0-488,0 0 928,0 3-424,0-1-8,-2 0 0,1 1 40,1-1-24,0-2-40,-1 3-16,0 0 56,0 1-40,-2-1 16,1 7 64,0-8-40,2-2-40,-3 4 24,0 0-24,-1 8 0,-1-9 8,1 9 16,-5-8 24,9-4-48,-4 13 40,-1-4 0,-5-5 0,6 10 0,-8-4 24,7 1-8,5-11-56,-13 9 56,9-5-8,-9 10-8,2-4-24,0 0 48,2 0-32,9-10-32,-14 11 80,2 0-24,-2-1-48,-1 0 49,2 1-25,-1 0 32,14-11-64,-16 9 80,-1-5-24,1 9-56,-1-9 48,1 8 0,-1-9 24,17-3-72,-18 10 128,1-8-64,-1 8 24,0-8-16,-2 2-16,0-1 8,20-3-64,-19 4 64,-3-2-32,0 1 72,1-1-56,-2-2-24,0 0 8,23 0-32,-24 0 8,-1 0 40,2 0-40,-1-3 80,0-1-64,4-6 8,-2 7 40,4-7 0,0 5-8,2-7 32,0 8-16,2-10-56,14 14-24,-14-10 32,2-2 16,3-1-8,4-2 64,-7 1-48,9-2-48,-1 0 64,4 16-72,-3-17 32,1-2-24,1 1 80,0-2-72,1 0-72,0 0 88,0 20-32,2-21-24,7 1-16,-6-2 72,9 2-24,-2 0-32,-1 0 8,-9 20 16,12-16-16,-2-1-24,3 1 56,-1 3 0,0 0-72,-3 1 64,-9 12-8,11-11 0,-1 2-8,1 5 40,-3-6-32,2 8-32,-1 0 8,-9 2 24,4-3 0,8 2-56,-8 0-8,7 1-32,-8 0 8,6 2 0,-9-2 88,2 10-64,2-8 0,5 10 24,-9-2 8,4 2 8,0 0 8,-4-12 16,2 12-32,0 2 32,1-1-24,-3 3 0,0-1 24,0 1-40,0-16 40,-2 17 0,-1 0-16,-2-1 32,0 0-32,-5 0-24,5-1 40,5-15 0,-11 15 8,1 0 40,1-1-32,-3 1-16,2-1-8,-3-1 16,13-13-8,-12 14 24,1-2 32,-3-2-24,2 2 56,-3-1-24,0 0 16,15-11-80,-18 11 56,2-2-56,0 1 56,-1-7 0,-1 12 0,1-12 32,17-3-88,-20 11 48,1-7 40,0 6 0,-1-6 8,-1 6 40,3-8-96,18-2-40,-21 10 48,2-8-24,1 2 0,0 5 56,1-9-40,-1 4 0,18-4-40,-17 3 8,1 1-16,2-2 16,1 1 8,0-1 24,2 1-40,11-3 0,-11 0 40,1 2-8,1 0-32,4-2 48,-6 3-48,7-3 24,4 0-24,-10 0 8,8 0-8,-1 0 24,-1 2-16,1-2 16,1 0 16,2 0-40,0 0 8,-1 0 24,1 0 8,0 0-8,0 0 16,0 0-24,0 0-24,0 0-16,0 0 8,0 0 16,0 0 40,0 0-32,0 0-64,0 0 112,0 0-72,0 0 16,0 0 8,0 0 8,0 0-128,0 0 256,0 0-128,0 0-72,0 0 72,0 0 24,0 0-248,0 0 504,0 0-232,-2 0-16,-1 0 0,-1 3-16,-8-3 8,12 0-48,-4 2 24,-11 0-16,0 2 16,0-2 0,-3 1 8,0-1-8,18-2-24,-22 3 64,0 0-40,-2 1 24,-4-2 0,1 2 24,-4-1-24,31-3-48,-34 10 8,-4-8 8,-1 2-56,-6 5-16,-3-6 40,-6 0-16,54-3 32,-58 11-24,-4-8 24,-3 0-48,-5 7 32,-3-8 16,-4 2-24,77-4 24,-82 3 16,1 7-32,-5-8-8,-2 2-8,0 7 8,-2-8 24,90-3 0,-93 14-16,2-5 40,-3 1-48,3-1 64,1 2 32,-1-1-24,91-10-48,-84 9 56,0 1-80,3-1 16,3 1-32,5 0 16,3-1-32,70-9 56,-65 11-24,5 0-24,3-2-16,3 1 24,6-6-56,0 9-8,48-13 104,-45 3-160,4 11-8,2-11-80,3 8 8,4-9-16,2 2-16,30-4 272,-29 3-256,3 1-32,4-2 8,2 1 32,8-3 16,7 0 48,5 0 184,-9 0-216,7 0-120,2 0-185,0-1-223,0-1-88,11-1 96,-11 3 736,10-4-528,7-7 232,5 2 152,4-3 80,3-1 48,2-2-32,-31 15 48,35-14-8,4-2-48,4 0-16,3-1-40,5-1-128,3 0-8,-54 18 248,58-19-345,1 1-31,1-3 8,3 2 16,2-1 32,5-2 48,-70 22 272,70-23-264,2 1 16,1 0-96,2 1 48,0-1-40,2 2 64,-77 20 272,77-20-112,0 1 8,1-1 120,0 2-8,0-1 8,3 1 8,-81 18-24,78-18 24,1 0 0,-4 1-16,-2 3 24,-3 1-24,-3-1 8,-67 14-16,67-12 32,-2 2 8,-4-1 0,1 6-8,-7-6 0,-2 8 8,-53 3-40,50-10 48,-1 8-32,-4-2 32,-3 1 8,-1-2-8,-5 1 32,-36 4-80,34-2 64,-2 1 8,-3-1 0,-3 1-8,-5 0 8,-3 0-24,-18 1-48,15 0 72,-2 0-32,-5 0 24,-4 0-8,-1 2 16,0 1 72,-3-3-144,0 0 248,0 2 184,-1 0 120,-4 1 48,-7-1-95,-1 1-169,13-3-336,-16 3 232,-6 7-48,-3-8-8,-4 2-8,-4 8 16,-3-9-16,36-3-168,-40 12 176,-3-8 0,-3 8 24,-3-9 16,-3 9 16,-2-8 0,54-4-232,-59 14 248,-1-10-16,-6 10-16,-1-10-40,-3 10-8,0-4-40,70-10-128,-75 10 104,-1 0 0,-1 1-48,-1 0 8,-2 0-40,-3 0 24,83-11-48,-81 11 56,-3 1 56,0-1 25,3-7 31,-3 10 56,2-4-64,82-10-160,-81 3 184,1 12-48,1-12-48,1 10 0,4-9 8,0 9-16,74-13-80,-67 4 32,2 9 24,3-9-40,6 8-16,2-9 24,4 7-24,50-10 0,-46 2-24,7 8 24,2-8-8,7 0-40,2 2 16,4 0 16,24-4 16,-21 2-48,4 0 48,3-2-8,4 0-16,8 0 16,1 0-128,1 0 136,0 0-256,2-2-96,1 0-40,12-2 103,-1-6 113,4 6 112,-18 4 64,23-15 8,2 5-16,3-2 16,2 0-40,5 0 16,2-2-40,-37 14 56,40-13-88,2 1 32,3-1-32,2 0 8,2 1 72,2-4-48,-51 16 56,53-14-72,-1 0 64,4-2-24,2 2 32,2 1 56,0-2-88,-60 15 32,61-13-32,-4-1-40,1-1-104,1 3 16,-4-2-56,1 2 32,-56 12 184,53-13-128,0 2 24,-5 0 72,-2 0-16,-3 7 48,-3-10-16,-40 14 16,37-9 56,-2-1-16,-2 5 8,-5-7 8,-7 9-48,-2-2 24,-19 5-32,13-5 8,-10 2 8,7 1-24,-10 2 48,-1 0 48,-2 0-8,3 0-80,-9 0 40,-4 0-72,-5 3-64,-3 0-24,-8 7 24,-5-6 32,34-4 64,-38 12-88,-3-9 24,-4 12-24,-3-6 16,0 1 0,-7-1 16,55-9 56,-56 4-32,-1 10 0,-3-3-32,-2 1 64,1-1-16,-2 0 16,63-11 0,-65 9 40,2-5-16,1 9 16,0-9 0,3 6 16,4-7 8,55-3-64,-53 9 72,2-6 24,4 0 16,6 1-24,2 0 0,4-2-80,35-2-8,-31 2 48,3-2 40,5 3 32,4-3 80,4 0-16,3 0 24,12 0-208,-5-1 240,1-2-8,1 0 8,1 0-64,2 0-136,3-1-72,5-7-104,-8 11 136,11-9-128,5-2 24,2-2 64,6-2 0,4 0 8,2-1 32,-30 16 0,33-15 0,5-1 32,3-1 8,1 0-24,5-2 8,1 1 8,-48 18-32,47-17 0,5 1 8,-2 0 0,2 2-40,2 1 24,0 1 8,-54 12 0,52-12 8,-1 1 24,0 0 32,0 7-56,0-6 0,-2 7-8,-49 3 0,48-2-56,-5 1 16,1 1 8,-3 0 0,-2 3 40,0 8-16,-39-11 8,36 11-24,-1 0-64,-1 3-8,0 0 16,-2 2 16,1 3 112,-33-19-48,31 20 48,-2 3 0,1 2 40,0 3-88,-3 3 8,1 2-40,-28-33 32,26 33-40,-2 5 40,0 4 8,-2 3 56,-1 2 0,0 4-8,-21-51-56,20 51 64,0 4 8,2 2-8,0 0-16,1 0 8,3 0 56,-26-57-112,27 58 64,1-1-8,2-2 24,2-1-96,0-2 89,5-3-49,-37-49-24,38 48 8,-1-1 16,3-2-64,-3-1-17,3-2-71,-1 0-88,-39-42 216,41 40-360,2-2-216,0-2-408,4-4-536,-1 0-465,5-5-415,-51-27 2400,50 28-2033,6-2 321,2-2-304,-58-24 2016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topLeftCell="A8" zoomScale="130" zoomScaleNormal="100" zoomScaleSheetLayoutView="130" workbookViewId="0">
      <selection activeCell="F12" sqref="F1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9" t="s">
        <v>184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2" t="s">
        <v>8</v>
      </c>
      <c r="C2" s="55" t="s">
        <v>44</v>
      </c>
      <c r="D2" s="55"/>
      <c r="E2" s="12" t="s">
        <v>7</v>
      </c>
      <c r="F2" s="50">
        <v>45947</v>
      </c>
      <c r="G2" s="50"/>
      <c r="H2" s="50"/>
      <c r="I2" s="50"/>
      <c r="J2" s="50"/>
    </row>
    <row r="3" spans="1:10" ht="30" customHeight="1" x14ac:dyDescent="0.3">
      <c r="B3" s="12" t="s">
        <v>9</v>
      </c>
      <c r="C3" s="55" t="s">
        <v>60</v>
      </c>
      <c r="D3" s="55"/>
      <c r="E3" s="12" t="s">
        <v>6</v>
      </c>
      <c r="F3" s="55" t="s">
        <v>100</v>
      </c>
      <c r="G3" s="55"/>
      <c r="H3" s="55"/>
      <c r="I3" s="55"/>
      <c r="J3" s="55"/>
    </row>
    <row r="4" spans="1:10" ht="30" customHeight="1" thickBot="1" x14ac:dyDescent="0.35">
      <c r="B4" s="6"/>
      <c r="C4" s="60" t="s">
        <v>185</v>
      </c>
      <c r="D4" s="60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1" t="s">
        <v>0</v>
      </c>
      <c r="C5" s="52"/>
      <c r="D5" s="52"/>
      <c r="E5" s="56" t="s">
        <v>1</v>
      </c>
      <c r="F5" s="56"/>
      <c r="G5" s="56"/>
      <c r="H5" s="56"/>
      <c r="I5" s="56" t="s">
        <v>2</v>
      </c>
      <c r="J5" s="57"/>
    </row>
    <row r="6" spans="1:10" ht="24.9" customHeight="1" thickBot="1" x14ac:dyDescent="0.35">
      <c r="A6" s="10"/>
      <c r="B6" s="53"/>
      <c r="C6" s="54"/>
      <c r="D6" s="54"/>
      <c r="E6" s="11" t="s">
        <v>3</v>
      </c>
      <c r="F6" s="11" t="s">
        <v>4</v>
      </c>
      <c r="G6" s="11" t="s">
        <v>23</v>
      </c>
      <c r="H6" s="11" t="s">
        <v>24</v>
      </c>
      <c r="I6" s="58"/>
      <c r="J6" s="59"/>
    </row>
    <row r="7" spans="1:10" ht="24.9" customHeight="1" thickBot="1" x14ac:dyDescent="0.35">
      <c r="A7" s="10"/>
      <c r="B7" s="78" t="s">
        <v>21</v>
      </c>
      <c r="C7" s="79"/>
      <c r="D7" s="79"/>
      <c r="E7" s="30" t="s">
        <v>18</v>
      </c>
      <c r="F7" s="30" t="s">
        <v>19</v>
      </c>
      <c r="G7" s="30" t="s">
        <v>22</v>
      </c>
      <c r="H7" s="30" t="s">
        <v>20</v>
      </c>
      <c r="I7" s="80" t="s">
        <v>25</v>
      </c>
      <c r="J7" s="81"/>
    </row>
    <row r="8" spans="1:10" ht="39.9" customHeight="1" x14ac:dyDescent="0.3">
      <c r="A8" s="10"/>
      <c r="B8" s="82" t="s">
        <v>179</v>
      </c>
      <c r="C8" s="83"/>
      <c r="D8" s="84"/>
      <c r="E8" s="34"/>
      <c r="F8" s="35"/>
      <c r="G8" s="36"/>
      <c r="H8" s="37"/>
      <c r="I8" s="68"/>
      <c r="J8" s="69"/>
    </row>
    <row r="9" spans="1:10" ht="39.9" customHeight="1" x14ac:dyDescent="0.3">
      <c r="A9" s="10"/>
      <c r="B9" s="61" t="s">
        <v>181</v>
      </c>
      <c r="C9" s="62"/>
      <c r="D9" s="62"/>
      <c r="E9" s="31">
        <v>3</v>
      </c>
      <c r="F9" s="38">
        <v>2.25</v>
      </c>
      <c r="G9" s="32">
        <f t="shared" ref="G9" si="0">IFERROR(F9/E9,"")</f>
        <v>0.75</v>
      </c>
      <c r="H9" s="33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66"/>
      <c r="J9" s="67"/>
    </row>
    <row r="10" spans="1:10" ht="39.9" customHeight="1" x14ac:dyDescent="0.3">
      <c r="A10" s="10"/>
      <c r="B10" s="61" t="s">
        <v>182</v>
      </c>
      <c r="C10" s="62"/>
      <c r="D10" s="62"/>
      <c r="E10" s="31">
        <v>3</v>
      </c>
      <c r="F10" s="38">
        <v>2.25</v>
      </c>
      <c r="G10" s="32">
        <f t="shared" ref="G10" si="2">IFERROR(F10/E10,"")</f>
        <v>0.75</v>
      </c>
      <c r="H10" s="33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66"/>
      <c r="J10" s="67"/>
    </row>
    <row r="11" spans="1:10" ht="39.9" customHeight="1" x14ac:dyDescent="0.3">
      <c r="A11" s="10"/>
      <c r="B11" s="61" t="s">
        <v>180</v>
      </c>
      <c r="C11" s="62"/>
      <c r="D11" s="62"/>
      <c r="E11" s="31">
        <v>3</v>
      </c>
      <c r="F11" s="38">
        <v>2.5</v>
      </c>
      <c r="G11" s="32">
        <f t="shared" ref="G11" si="4">IFERROR(F11/E11,"")</f>
        <v>0.83333333333333337</v>
      </c>
      <c r="H11" s="33" t="str">
        <f t="shared" ref="H11" si="5">_xlfn.IFS(F11="أدخل العلامة","",F11="لا ينطبق","تم الإلغاء",G11&gt;=90%,"ممتاز",G11&gt;=80%,"جيد جداً",G11&gt;=70%,"جيد",G11&gt;=60%,"مقبول",G11&lt;60%,"راسب")</f>
        <v>جيد جداً</v>
      </c>
      <c r="I11" s="66"/>
      <c r="J11" s="67"/>
    </row>
    <row r="12" spans="1:10" ht="39.9" customHeight="1" thickBot="1" x14ac:dyDescent="0.35">
      <c r="A12" s="10"/>
      <c r="B12" s="61" t="s">
        <v>183</v>
      </c>
      <c r="C12" s="62"/>
      <c r="D12" s="62"/>
      <c r="E12" s="31">
        <v>3</v>
      </c>
      <c r="F12" s="26">
        <v>2.5</v>
      </c>
      <c r="G12" s="32">
        <f t="shared" ref="G12" si="6">IFERROR(F12/E12,"")</f>
        <v>0.83333333333333337</v>
      </c>
      <c r="H12" s="33" t="str">
        <f t="shared" ref="H12" si="7">_xlfn.IFS(F12="أدخل العلامة","",F12="لا ينطبق","تم الإلغاء",G12&gt;=90%,"ممتاز",G12&gt;=80%,"جيد جداً",G12&gt;=70%,"جيد",G12&gt;=60%,"مقبول",G12&lt;60%,"راسب")</f>
        <v>جيد جداً</v>
      </c>
      <c r="I12" s="66"/>
      <c r="J12" s="67"/>
    </row>
    <row r="13" spans="1:10" ht="30" customHeight="1" thickBot="1" x14ac:dyDescent="0.35">
      <c r="A13" s="4"/>
      <c r="B13" s="43" t="s">
        <v>5</v>
      </c>
      <c r="C13" s="44"/>
      <c r="D13" s="44"/>
      <c r="E13" s="9">
        <f>SUM(E9:E12)</f>
        <v>12</v>
      </c>
      <c r="F13" s="9">
        <f>SUM(F8:F12)</f>
        <v>9.5</v>
      </c>
      <c r="G13" s="72"/>
      <c r="H13" s="73"/>
      <c r="I13" s="73"/>
      <c r="J13" s="74"/>
    </row>
    <row r="14" spans="1:10" ht="30" customHeight="1" thickBot="1" x14ac:dyDescent="0.35">
      <c r="A14" s="4"/>
      <c r="B14" s="43" t="s">
        <v>54</v>
      </c>
      <c r="C14" s="44"/>
      <c r="D14" s="44"/>
      <c r="E14" s="75">
        <f>F13/E13/100*100</f>
        <v>0.79166666666666652</v>
      </c>
      <c r="F14" s="75"/>
      <c r="G14" s="75"/>
      <c r="H14" s="75"/>
      <c r="I14" s="75"/>
      <c r="J14" s="76"/>
    </row>
    <row r="15" spans="1:10" ht="30" customHeight="1" thickBot="1" x14ac:dyDescent="0.35">
      <c r="A15" s="4"/>
      <c r="B15" s="43" t="s">
        <v>55</v>
      </c>
      <c r="C15" s="44"/>
      <c r="D15" s="44"/>
      <c r="E15" s="64" t="str">
        <f>_xlfn.IFS(E14&gt;=90%,"ممتاز",E14&gt;=80%,"جيد جداً",E14&gt;=70%,"جيد",E14&gt;=60%,"مقبول",E14&lt;60%,"راسب")</f>
        <v>جيد</v>
      </c>
      <c r="F15" s="64"/>
      <c r="G15" s="64"/>
      <c r="H15" s="64"/>
      <c r="I15" s="64"/>
      <c r="J15" s="65"/>
    </row>
    <row r="16" spans="1:10" ht="42" customHeight="1" x14ac:dyDescent="0.3">
      <c r="B16" s="45" t="s">
        <v>178</v>
      </c>
      <c r="C16" s="45"/>
      <c r="D16" s="45"/>
      <c r="E16" s="77" t="s">
        <v>52</v>
      </c>
      <c r="F16" s="77"/>
      <c r="G16" s="70" t="s">
        <v>100</v>
      </c>
      <c r="H16" s="70"/>
      <c r="I16" s="70"/>
      <c r="J16" s="70"/>
    </row>
    <row r="17" spans="1:10" ht="51" customHeight="1" x14ac:dyDescent="0.3">
      <c r="A17" s="5"/>
      <c r="B17" s="46"/>
      <c r="C17" s="46"/>
      <c r="D17" s="46"/>
      <c r="E17" s="71" t="s">
        <v>53</v>
      </c>
      <c r="F17" s="71"/>
      <c r="G17" s="63"/>
      <c r="H17" s="63"/>
      <c r="I17" s="63"/>
      <c r="J17" s="63"/>
    </row>
    <row r="18" spans="1:10" ht="15.6" x14ac:dyDescent="0.3">
      <c r="A18" s="27">
        <v>3</v>
      </c>
      <c r="B18" s="47" t="s">
        <v>175</v>
      </c>
      <c r="C18" s="48"/>
    </row>
    <row r="19" spans="1:10" ht="15.6" x14ac:dyDescent="0.3">
      <c r="A19" s="28">
        <v>2</v>
      </c>
      <c r="B19" s="39" t="s">
        <v>176</v>
      </c>
      <c r="C19" s="40"/>
    </row>
    <row r="20" spans="1:10" ht="15.6" x14ac:dyDescent="0.3">
      <c r="A20" s="29">
        <v>1</v>
      </c>
      <c r="B20" s="41" t="s">
        <v>177</v>
      </c>
      <c r="C20" s="42"/>
    </row>
  </sheetData>
  <sheetProtection formatCells="0" formatColumns="0" formatRows="0" insertColumns="0" insertRows="0" insertHyperlinks="0" deleteColumns="0" deleteRows="0" selectLockedCells="1" sort="0" autoFilter="0" pivotTables="0"/>
  <mergeCells count="35">
    <mergeCell ref="B7:D7"/>
    <mergeCell ref="I7:J7"/>
    <mergeCell ref="B8:D8"/>
    <mergeCell ref="B9:D9"/>
    <mergeCell ref="B12:D12"/>
    <mergeCell ref="G17:J17"/>
    <mergeCell ref="E15:J15"/>
    <mergeCell ref="I9:J9"/>
    <mergeCell ref="I8:J8"/>
    <mergeCell ref="B10:D10"/>
    <mergeCell ref="I12:J12"/>
    <mergeCell ref="G16:J16"/>
    <mergeCell ref="E17:F17"/>
    <mergeCell ref="G13:J13"/>
    <mergeCell ref="E14:J14"/>
    <mergeCell ref="E16:F16"/>
    <mergeCell ref="I10:J10"/>
    <mergeCell ref="B11:D11"/>
    <mergeCell ref="I11:J11"/>
    <mergeCell ref="B1:J1"/>
    <mergeCell ref="F2:J2"/>
    <mergeCell ref="B5:D6"/>
    <mergeCell ref="C2:D2"/>
    <mergeCell ref="C3:D3"/>
    <mergeCell ref="F3:J3"/>
    <mergeCell ref="E5:H5"/>
    <mergeCell ref="I5:J6"/>
    <mergeCell ref="C4:D4"/>
    <mergeCell ref="B19:C19"/>
    <mergeCell ref="B20:C20"/>
    <mergeCell ref="B13:D13"/>
    <mergeCell ref="B14:D14"/>
    <mergeCell ref="B15:D15"/>
    <mergeCell ref="B16:D17"/>
    <mergeCell ref="B18:C18"/>
  </mergeCells>
  <conditionalFormatting sqref="C2:D2">
    <cfRule type="containsText" dxfId="15" priority="36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4" priority="35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5">
    <cfRule type="expression" dxfId="13" priority="75">
      <formula>$E15="راسب"</formula>
    </cfRule>
  </conditionalFormatting>
  <conditionalFormatting sqref="E15:J15">
    <cfRule type="expression" dxfId="12" priority="76">
      <formula>$E15="مقبول"</formula>
    </cfRule>
    <cfRule type="expression" dxfId="11" priority="77">
      <formula>$E15="جيد"</formula>
    </cfRule>
    <cfRule type="expression" dxfId="10" priority="78">
      <formula>$E15="جيد جداً"</formula>
    </cfRule>
    <cfRule type="expression" dxfId="9" priority="79">
      <formula>$E15="ممتاز"</formula>
    </cfRule>
  </conditionalFormatting>
  <conditionalFormatting sqref="F8:F12 H8:H12">
    <cfRule type="containsText" dxfId="8" priority="1" operator="containsText" text="أدخل العلامة">
      <formula>NOT(ISERROR(SEARCH("أدخل العلامة",F8)))</formula>
    </cfRule>
  </conditionalFormatting>
  <conditionalFormatting sqref="F2:J2">
    <cfRule type="containsText" dxfId="7" priority="37" operator="containsText" text="أدخل التاريخ">
      <formula>NOT(ISERROR(SEARCH("أدخل التاريخ",F2)))</formula>
    </cfRule>
  </conditionalFormatting>
  <conditionalFormatting sqref="F3:J3">
    <cfRule type="containsText" dxfId="6" priority="34" operator="containsText" text="أدخل أسم المحكم">
      <formula>NOT(ISERROR(SEARCH("أدخل أسم المحكم",F3)))</formula>
    </cfRule>
  </conditionalFormatting>
  <conditionalFormatting sqref="G16:J16">
    <cfRule type="containsText" dxfId="5" priority="33" operator="containsText" text="أدخل اسم المحكم">
      <formula>NOT(ISERROR(SEARCH("أدخل اسم المحكم",G16)))</formula>
    </cfRule>
  </conditionalFormatting>
  <conditionalFormatting sqref="H8:H12">
    <cfRule type="containsText" dxfId="4" priority="2" operator="containsText" text="ممتاز">
      <formula>NOT(ISERROR(SEARCH("ممتاز",H8)))</formula>
    </cfRule>
    <cfRule type="containsText" dxfId="3" priority="3" operator="containsText" text="جيد جداً">
      <formula>NOT(ISERROR(SEARCH("جيد جداً",H8)))</formula>
    </cfRule>
    <cfRule type="containsText" dxfId="2" priority="4" operator="containsText" text="جيد">
      <formula>NOT(ISERROR(SEARCH("جيد",H8)))</formula>
    </cfRule>
    <cfRule type="containsText" dxfId="1" priority="5" operator="containsText" text="مقبول">
      <formula>NOT(ISERROR(SEARCH("مقبول",H8)))</formula>
    </cfRule>
    <cfRule type="containsText" dxfId="0" priority="6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G16:J16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F9:F12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2025-10-20T03:37:01Z</dcterms:modified>
</cp:coreProperties>
</file>