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9576526-4904-44CC-B0A2-80051EE554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 s="1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<sst xmlns="http://schemas.openxmlformats.org/spreadsheetml/2006/main" count="290" uniqueCount="233">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</sst>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553802</xdr:colOff>
      <xdr:row>62</xdr:row>
      <xdr:rowOff>488258</xdr:rowOff>
    </xdr:from>
    <xdr:to>
      <xdr:col>8</xdr:col>
      <xdr:colOff>568900</xdr:colOff>
      <xdr:row>63</xdr:row>
      <xdr:rowOff>629498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45E442D-78A5-B96A-37E8-84062783C7BE}"/>
                </a:ext>
              </a:extLst>
            </xdr14:cNvPr>
            <xdr14:cNvContentPartPr/>
          </xdr14:nvContentPartPr>
          <xdr14:nvPr macro=""/>
          <xdr14:xfrm>
            <a:off x="10436482756" y="24740640"/>
            <a:ext cx="1331280" cy="674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45E442D-78A5-B96A-37E8-84062783C7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473756" y="24731640"/>
              <a:ext cx="1348920" cy="692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15:49:12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3591 836 5633,'0'0'0,"-14"-2"1480,-5 0-784,3 1-384,16 1-312,-16 0 112,13 0 8,1 0 8,-5 0-72,7 0-56,-5 5 104,-8 0-96,10 10 56,-9-10-96,12-5 32,-7 19-96,-9-14 32,2 19-80,7-5 24,7-19 120,-19 20-144,3 6 32,-1 0-56,2 3 72,15-29 96,-17 30-104,-1 3 0,-2 1 8,4 2 56,16-36 40,-16 37-40,0 1 8,1-2 24,1-4 0,14-32 8,-4 29 24,-10-5 8,9-5 64,2-4-40,3-15-56,-4 5 48,4 10 32,0-15-16,0 4 72,0-4-136,2 0 136,-2 0-48,5 0-56,0 0-32,-5 0 0,4 0 32,1-2 56,2-1 96,5-2 32,-12 5-216,4-5 272,1-2 8,0 0 41,-3 2 111,-2 5-432,5-5 592,-5 0 264,0 3 112,0 2 152,0 0-1120,-5 0 993,1 3-241,-8 1-184,4-1-224,8-3-344,-20 5 208,-1 9-88,-1-11-40,-5 16-96,27-19 16,-28 14 16,-5-9 24,-4 17 0,1-17-104,36-5 64,-35 19 0,-2-14-8,-5 10 16,3-11 88,39-4-96,-43 5 32,3-2-80,1-3-48,1 0-8,38 0 104,-37 0-152,4-1 64,5-5-48,-2 0 72,30 6 64,-30-14-80,4 9 56,0-12-32,3 12 48,23 5 8,-26-16 0,7 11 8,-2 0 72,5-2-64,16 7-16,-7-5-24,-10 0 0,15 3 16,-3 1-32,5 1 40,-4 0-8,2 0-56,2 0-24,0 0-56,0 0 144,0 0-192,0 3-16,2-3-24,2 5 72,-4-5 160,7 5-184,8 0 0,-13 0-16,14 1 47,-16-6 153,5 13-160,16-13 64,-5 5 56,1-1-56,-17-4 96,18 3-56,-1 1-8,1-4 0,1 0-8,-19 0 72,19-2-8,-1-5-8,4-10-48,-2 0 56,-20 17 8,24-22-32,0-2 40,1-5 56,1-7 48,-26 36-112,23-43 104,1-3 16,-4-7 64,6-1 105,-26 54-289,26-60 272,0-5 88,-1-5 40,3-3-72,-28 73-328,28-78 456,-4-1-32,6 1-32,-9 1-144,-21 77-248,21-70 336,0 7-88,-4 8 80,-1 9 80,-16 46-408,5-42 96,10 6 8,-15 5-80,5 5 96,-5 26-120,3-18 265,-3 13-81,0 3-72,0 2-136,0 0 24,-5 17-96,-11 3-128,-3 13 47,-4 15 41,23-48 136,-33 61-264,-2 17 168,-5 11-48,3 5-40,37-94 184,-38 97-136,4-1 32,0-4-48,2-3 48,32-89 104,-31 81-104,1-6 8,5-8 32,2-9 48,23-58 16,-17 49 48,-1-8 24,1-10-32,6-5-24,11-26-16,-8 20-16,-8-4 8,8-11 16,-5 8 160,13-13-168,-7 0 184,-5 4 16,8-4 48,-1 0-88,5 0-160,-7 0 168,4-2-24,1-1-48,2-4-72,0 7-24,-2-19-144,-3 4-120,2-6-48,1-6-64,2 27 376,0-36-328,0-8 40,5-2 16,-3-2 112,-2 48 160,5-39-112,-3 3 64,1 10 48,-3 6 8,0 20-8,0-17 48,0 12 32,0-2 32,0 0 48,0 7-160,0-3 232,0 1 88,-5 2-24,-2 0 24,7 0-320,-16 13 200,4-7-104,-4 11-48,-3 0-48,19-17 0,-23 22-16,-3 3-16,2 3 8,-4 2-40,28-30 64,-23 31-32,-1 2-16,1-1 24,3-3 8,20-29 16,-20 26 16,0-4-8,5-3-8,-3-4-32,18-15 32,-14 5-96,7 12-32,-12-14-168,14 3-112,5-6 408,-15 5-456,10-2-72,2-3 0,1 0 88,2 0 440,-2 0-392,-1 0 48,1 0 40,2 0 7,0 0 297,-3-2-224,3 1 112,-2 1 128,-3 0 128,5 0-144,-4 0 168,-3 3-32,2 2 1,-9 11-1,14-16-136,-5 15 208,-13 2 104,1 5 32,4 2-16,13-24-328,-15 26 296,2 1-32,5-3 8,-6-2-56,14-22-216,-5 19 184,-1-14-40,1 12 48,0-17-72,5 0-120,0 3 232,0-3-80,0 0-64,5-1 56,-5 1-144,3-6-8,-1-7 16,4-6-88,13-12-24,-19 31 104,16-47-128,11-18-120,3-19-104,0-15-256,-30 99 608,38-111-1048,-1-11-601,9-15-583,1-10-185,-47 147 2417,51-148-2016,6 8 744,-11 17 752,-6 23 832,-40 100-312,30-79 1120,-8 16 504,-6 15 337,-14 13-41,-2 35-1920,17-28 1480,-12 13-191,-4 10-185,4 3-256,-5 2-848,0 0 576,-2 5-344,-2 24-144,-13 7-64,17-36-24,-21 60 88,-7 22 72,-9 23-16,-10 23-40,47-128-104,-52 144 16,-4 7-64,8 5-16,-2-10 40,50-146 24,-40 135 0,8-16 40,-1-18-32,3-14-40,30-87 32,-28 75 24,0-5-48,-1-9-16,6-6-48,23-55 88,-23 43-72,2-11 48,2-8-24,-1-9 128,20-15-80,-15 5-56,-1 1 0,11-3-16,-11-3-8,16 0 80,-5-3-136,0-13-48,-8 1-192,13-7-216,0 22 592,-8-31-504,8-10-104,0-12 168,5-10 112,-5 63 328,18-65-329,-1 0 113,2 2 0,5 5 16,-24 58 200,20-58-184,-1 7 96,5 7 48,-11 6 112,-13 38-72,14-27 88,-11 7 24,-3 6 128,0 9 80,0 5-320,-5-5 449,-13 3-177,-4 2-40,-6 0-320,28 0 88,-40 5-320,-11 16-72,-12-3-113,0 8 97,63-26 408,-68 31-336,-1 3 168,-4 2 8,0-2 24,73-34 136,-72 32-112,-1-3 80,6 0 8,1-3 64,66-26-40,-55 24 104,0-4-80,11-6 200,7-9 64,37-5-288,-30 15 248,8-15 0,6 4 64,11-1 177,5-3-489,-4 0 616,4 0-8,2-2-168,11-3-360,-13 5-80,17-7 24,4-10 88,14 2 32,12-6 128,-47 21-272,68-25 328,14-6 24,19-6 16,17-8 80,-118 45-448,126-49 456,14-4-71,6-3 31,7-1-24,-153 57-392,160-58 232,-6 0 16,-4-3-72,-20 3 8,-130 58-184,116-56 304,-15 1 48,-12 6 64,-3 6 16,-86 43-432,75-38 328,-14 9-64,-12 7-56,-11 2-152,-38 20-56,28-14 184,-12 9 24,-12 0-8,-1 0 113,-3 5-313,0-2 160,-3 0 48,-13 1-248,-9-1-264,25 2 304,-40-2-513,-17 2-263,-19 0 0,-22 16-56,98-16 832,-117 20-760,-26 6-232,-16 8-441,-21 3-287,180-37 1720,-196 41-1985,-5 0 105,-4-2 536,-1-5 432,206-34 912,-203 33-457,7-6 618,8-6 727,25-6 832,163-15-1720,-148 5 2177,20 0 63,19 9-536,15-14-799,94 0-905,-75 3 576,22 2-296,15 1-144,17-3-88,21-3-48,-4 0-88,1 0-184,3-2-184,21-3-96,-21 5 552,21-14-529,12 8 169,13-17 32,24 0 72,-70 23 256,83-28-280,12-4-136,8-2-416,7-2-792,-110 36 1624,119-36-3537,16-5-2729,-135 41 6266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B56" zoomScale="130" zoomScaleNormal="100" zoomScaleSheetLayoutView="130" workbookViewId="0">
      <selection activeCell="E23" sqref="E2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4" t="s">
        <v>232</v>
      </c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3">
      <c r="B2" s="13" t="s">
        <v>8</v>
      </c>
      <c r="C2" s="50" t="s">
        <v>39</v>
      </c>
      <c r="D2" s="50"/>
      <c r="E2" s="13" t="s">
        <v>7</v>
      </c>
      <c r="F2" s="45">
        <v>45931</v>
      </c>
      <c r="G2" s="45"/>
      <c r="H2" s="45"/>
      <c r="I2" s="45"/>
      <c r="J2" s="45"/>
    </row>
    <row r="3" spans="1:10" ht="30" customHeight="1" x14ac:dyDescent="0.3">
      <c r="B3" s="13" t="s">
        <v>9</v>
      </c>
      <c r="C3" s="50" t="s">
        <v>80</v>
      </c>
      <c r="D3" s="50"/>
      <c r="E3" s="13" t="s">
        <v>6</v>
      </c>
      <c r="F3" s="50" t="s">
        <v>141</v>
      </c>
      <c r="G3" s="50"/>
      <c r="H3" s="50"/>
      <c r="I3" s="50"/>
      <c r="J3" s="5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6" t="s">
        <v>0</v>
      </c>
      <c r="C5" s="47"/>
      <c r="D5" s="47"/>
      <c r="E5" s="59" t="s">
        <v>1</v>
      </c>
      <c r="F5" s="59"/>
      <c r="G5" s="59"/>
      <c r="H5" s="59"/>
      <c r="I5" s="59" t="s">
        <v>2</v>
      </c>
      <c r="J5" s="62"/>
    </row>
    <row r="6" spans="1:10" ht="24.9" customHeight="1" thickBot="1" x14ac:dyDescent="0.35">
      <c r="A6" s="11"/>
      <c r="B6" s="48"/>
      <c r="C6" s="49"/>
      <c r="D6" s="49"/>
      <c r="E6" s="12" t="s">
        <v>3</v>
      </c>
      <c r="F6" s="12" t="s">
        <v>4</v>
      </c>
      <c r="G6" s="12" t="s">
        <v>23</v>
      </c>
      <c r="H6" s="12" t="s">
        <v>24</v>
      </c>
      <c r="I6" s="63"/>
      <c r="J6" s="64"/>
    </row>
    <row r="7" spans="1:10" ht="24.9" customHeight="1" thickBot="1" x14ac:dyDescent="0.35">
      <c r="A7" s="11"/>
      <c r="B7" s="53" t="s">
        <v>21</v>
      </c>
      <c r="C7" s="54"/>
      <c r="D7" s="54"/>
      <c r="E7" s="33" t="s">
        <v>18</v>
      </c>
      <c r="F7" s="33" t="s">
        <v>19</v>
      </c>
      <c r="G7" s="33" t="s">
        <v>22</v>
      </c>
      <c r="H7" s="33" t="s">
        <v>20</v>
      </c>
      <c r="I7" s="65" t="s">
        <v>25</v>
      </c>
      <c r="J7" s="66"/>
    </row>
    <row r="8" spans="1:10" ht="30" customHeight="1" x14ac:dyDescent="0.3">
      <c r="A8" s="11"/>
      <c r="B8" s="92" t="s">
        <v>180</v>
      </c>
      <c r="C8" s="93"/>
      <c r="D8" s="93"/>
      <c r="E8" s="30"/>
      <c r="F8" s="37"/>
      <c r="G8" s="38"/>
      <c r="H8" s="39"/>
      <c r="I8" s="60"/>
      <c r="J8" s="61"/>
    </row>
    <row r="9" spans="1:10" ht="30" customHeight="1" x14ac:dyDescent="0.3">
      <c r="A9" s="11"/>
      <c r="B9" s="84" t="s">
        <v>181</v>
      </c>
      <c r="C9" s="85"/>
      <c r="D9" s="85"/>
      <c r="E9" s="31">
        <v>10</v>
      </c>
      <c r="F9" s="27">
        <v>8.5</v>
      </c>
      <c r="G9" s="35">
        <f>IFERROR(F9/E9,"")</f>
        <v>0.85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5"/>
      <c r="J9" s="56"/>
    </row>
    <row r="10" spans="1:10" ht="30" customHeight="1" x14ac:dyDescent="0.3">
      <c r="A10" s="11"/>
      <c r="B10" s="84" t="s">
        <v>182</v>
      </c>
      <c r="C10" s="85"/>
      <c r="D10" s="85"/>
      <c r="E10" s="9">
        <v>10</v>
      </c>
      <c r="F10" s="27">
        <v>8</v>
      </c>
      <c r="G10" s="35">
        <f t="shared" ref="G10:G59" si="0">IFERROR(F10/E10,"")</f>
        <v>0.8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5"/>
      <c r="J10" s="56"/>
    </row>
    <row r="11" spans="1:10" ht="39.9" customHeight="1" x14ac:dyDescent="0.3">
      <c r="A11" s="11"/>
      <c r="B11" s="84" t="s">
        <v>183</v>
      </c>
      <c r="C11" s="85"/>
      <c r="D11" s="85"/>
      <c r="E11" s="9">
        <v>8</v>
      </c>
      <c r="F11" s="27">
        <v>6.75</v>
      </c>
      <c r="G11" s="35">
        <f t="shared" si="0"/>
        <v>0.84375</v>
      </c>
      <c r="H11" s="36" t="str">
        <f t="shared" si="1"/>
        <v>جيد جداً</v>
      </c>
      <c r="I11" s="55"/>
      <c r="J11" s="56"/>
    </row>
    <row r="12" spans="1:10" ht="30" customHeight="1" x14ac:dyDescent="0.3">
      <c r="A12" s="11"/>
      <c r="B12" s="84" t="s">
        <v>184</v>
      </c>
      <c r="C12" s="85"/>
      <c r="D12" s="85"/>
      <c r="E12" s="9">
        <v>8</v>
      </c>
      <c r="F12" s="27">
        <v>6.75</v>
      </c>
      <c r="G12" s="35">
        <f t="shared" si="0"/>
        <v>0.84375</v>
      </c>
      <c r="H12" s="36" t="str">
        <f t="shared" si="1"/>
        <v>جيد جداً</v>
      </c>
      <c r="I12" s="55"/>
      <c r="J12" s="56"/>
    </row>
    <row r="13" spans="1:10" ht="30" customHeight="1" x14ac:dyDescent="0.3">
      <c r="A13" s="11"/>
      <c r="B13" s="84" t="s">
        <v>185</v>
      </c>
      <c r="C13" s="85"/>
      <c r="D13" s="85"/>
      <c r="E13" s="9">
        <v>5</v>
      </c>
      <c r="F13" s="27">
        <v>4</v>
      </c>
      <c r="G13" s="35">
        <f t="shared" si="0"/>
        <v>0.8</v>
      </c>
      <c r="H13" s="36" t="str">
        <f t="shared" si="1"/>
        <v>جيد جداً</v>
      </c>
      <c r="I13" s="55"/>
      <c r="J13" s="56"/>
    </row>
    <row r="14" spans="1:10" ht="30" customHeight="1" x14ac:dyDescent="0.3">
      <c r="A14" s="11"/>
      <c r="B14" s="84" t="s">
        <v>186</v>
      </c>
      <c r="C14" s="85"/>
      <c r="D14" s="85"/>
      <c r="E14" s="9">
        <v>8</v>
      </c>
      <c r="F14" s="27">
        <v>6.5</v>
      </c>
      <c r="G14" s="35">
        <f t="shared" si="0"/>
        <v>0.8125</v>
      </c>
      <c r="H14" s="36" t="str">
        <f t="shared" si="1"/>
        <v>جيد جداً</v>
      </c>
      <c r="I14" s="55"/>
      <c r="J14" s="56"/>
    </row>
    <row r="15" spans="1:10" ht="30" customHeight="1" x14ac:dyDescent="0.3">
      <c r="A15" s="11"/>
      <c r="B15" s="84" t="s">
        <v>187</v>
      </c>
      <c r="C15" s="85"/>
      <c r="D15" s="85"/>
      <c r="E15" s="9">
        <v>7</v>
      </c>
      <c r="F15" s="27">
        <v>6.25</v>
      </c>
      <c r="G15" s="35">
        <f t="shared" si="0"/>
        <v>0.8928571428571429</v>
      </c>
      <c r="H15" s="36" t="str">
        <f t="shared" si="1"/>
        <v>جيد جداً</v>
      </c>
      <c r="I15" s="55"/>
      <c r="J15" s="56"/>
    </row>
    <row r="16" spans="1:10" ht="30" customHeight="1" x14ac:dyDescent="0.3">
      <c r="A16" s="11"/>
      <c r="B16" s="84" t="s">
        <v>188</v>
      </c>
      <c r="C16" s="85"/>
      <c r="D16" s="85"/>
      <c r="E16" s="9">
        <v>8</v>
      </c>
      <c r="F16" s="27">
        <v>6.75</v>
      </c>
      <c r="G16" s="35">
        <f t="shared" si="0"/>
        <v>0.84375</v>
      </c>
      <c r="H16" s="36" t="str">
        <f t="shared" si="1"/>
        <v>جيد جداً</v>
      </c>
      <c r="I16" s="55"/>
      <c r="J16" s="56"/>
    </row>
    <row r="17" spans="1:10" ht="39.9" customHeight="1" x14ac:dyDescent="0.3">
      <c r="A17" s="11"/>
      <c r="B17" s="84" t="s">
        <v>189</v>
      </c>
      <c r="C17" s="85"/>
      <c r="D17" s="85"/>
      <c r="E17" s="9">
        <v>5</v>
      </c>
      <c r="F17" s="27">
        <v>4.25</v>
      </c>
      <c r="G17" s="35">
        <f t="shared" si="0"/>
        <v>0.85</v>
      </c>
      <c r="H17" s="36" t="str">
        <f t="shared" si="1"/>
        <v>جيد جداً</v>
      </c>
      <c r="I17" s="55"/>
      <c r="J17" s="56"/>
    </row>
    <row r="18" spans="1:10" ht="30" customHeight="1" x14ac:dyDescent="0.3">
      <c r="A18" s="11"/>
      <c r="B18" s="86" t="s">
        <v>190</v>
      </c>
      <c r="C18" s="87"/>
      <c r="D18" s="87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55"/>
      <c r="J18" s="56"/>
    </row>
    <row r="19" spans="1:10" ht="30" customHeight="1" x14ac:dyDescent="0.3">
      <c r="A19" s="11"/>
      <c r="B19" s="86" t="s">
        <v>191</v>
      </c>
      <c r="C19" s="87"/>
      <c r="D19" s="87"/>
      <c r="E19" s="9">
        <v>5</v>
      </c>
      <c r="F19" s="27">
        <v>4</v>
      </c>
      <c r="G19" s="35">
        <f t="shared" si="0"/>
        <v>0.8</v>
      </c>
      <c r="H19" s="36" t="str">
        <f t="shared" si="1"/>
        <v>جيد جداً</v>
      </c>
      <c r="I19" s="55"/>
      <c r="J19" s="56"/>
    </row>
    <row r="20" spans="1:10" ht="39.9" customHeight="1" x14ac:dyDescent="0.3">
      <c r="A20" s="11"/>
      <c r="B20" s="86" t="s">
        <v>192</v>
      </c>
      <c r="C20" s="87"/>
      <c r="D20" s="87"/>
      <c r="E20" s="9">
        <v>10</v>
      </c>
      <c r="F20" s="27">
        <v>8</v>
      </c>
      <c r="G20" s="35">
        <f t="shared" si="0"/>
        <v>0.8</v>
      </c>
      <c r="H20" s="36" t="str">
        <f t="shared" si="1"/>
        <v>جيد جداً</v>
      </c>
      <c r="I20" s="55"/>
      <c r="J20" s="56"/>
    </row>
    <row r="21" spans="1:10" ht="30" customHeight="1" x14ac:dyDescent="0.3">
      <c r="A21" s="11"/>
      <c r="B21" s="86" t="s">
        <v>193</v>
      </c>
      <c r="C21" s="87"/>
      <c r="D21" s="87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5"/>
      <c r="J21" s="56"/>
    </row>
    <row r="22" spans="1:10" ht="30" customHeight="1" x14ac:dyDescent="0.3">
      <c r="A22" s="11"/>
      <c r="B22" s="86" t="s">
        <v>194</v>
      </c>
      <c r="C22" s="87"/>
      <c r="D22" s="87"/>
      <c r="E22" s="9">
        <v>0</v>
      </c>
      <c r="F22" s="27" t="s">
        <v>17</v>
      </c>
      <c r="G22" s="35" t="str">
        <f t="shared" si="0"/>
        <v/>
      </c>
      <c r="H22" s="36" t="str">
        <f t="shared" si="1"/>
        <v>تم الإلغاء</v>
      </c>
      <c r="I22" s="55"/>
      <c r="J22" s="56"/>
    </row>
    <row r="23" spans="1:10" ht="30" customHeight="1" thickBot="1" x14ac:dyDescent="0.35">
      <c r="A23" s="11"/>
      <c r="B23" s="88" t="s">
        <v>195</v>
      </c>
      <c r="C23" s="89"/>
      <c r="D23" s="89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57"/>
      <c r="J23" s="58"/>
    </row>
    <row r="24" spans="1:10" ht="30" customHeight="1" x14ac:dyDescent="0.3">
      <c r="A24" s="11"/>
      <c r="B24" s="90" t="s">
        <v>196</v>
      </c>
      <c r="C24" s="91"/>
      <c r="D24" s="91"/>
      <c r="E24" s="30"/>
      <c r="F24" s="37"/>
      <c r="G24" s="38"/>
      <c r="H24" s="39"/>
      <c r="I24" s="60"/>
      <c r="J24" s="61"/>
    </row>
    <row r="25" spans="1:10" ht="30" customHeight="1" x14ac:dyDescent="0.3">
      <c r="A25" s="11"/>
      <c r="B25" s="84" t="s">
        <v>197</v>
      </c>
      <c r="C25" s="85"/>
      <c r="D25" s="85"/>
      <c r="E25" s="9">
        <v>6</v>
      </c>
      <c r="F25" s="27">
        <v>4.25</v>
      </c>
      <c r="G25" s="35">
        <f t="shared" si="0"/>
        <v>0.70833333333333337</v>
      </c>
      <c r="H25" s="36" t="str">
        <f t="shared" si="1"/>
        <v>جيد</v>
      </c>
      <c r="I25" s="55"/>
      <c r="J25" s="56"/>
    </row>
    <row r="26" spans="1:10" ht="30" customHeight="1" x14ac:dyDescent="0.3">
      <c r="A26" s="11"/>
      <c r="B26" s="84" t="s">
        <v>198</v>
      </c>
      <c r="C26" s="85"/>
      <c r="D26" s="85"/>
      <c r="E26" s="9">
        <v>5</v>
      </c>
      <c r="F26" s="27">
        <v>3.75</v>
      </c>
      <c r="G26" s="35">
        <f t="shared" si="0"/>
        <v>0.75</v>
      </c>
      <c r="H26" s="36" t="str">
        <f t="shared" si="1"/>
        <v>جيد</v>
      </c>
      <c r="I26" s="55"/>
      <c r="J26" s="56"/>
    </row>
    <row r="27" spans="1:10" ht="30" customHeight="1" x14ac:dyDescent="0.3">
      <c r="A27" s="11"/>
      <c r="B27" s="84" t="s">
        <v>199</v>
      </c>
      <c r="C27" s="85"/>
      <c r="D27" s="85"/>
      <c r="E27" s="9">
        <v>5</v>
      </c>
      <c r="F27" s="27">
        <v>3.75</v>
      </c>
      <c r="G27" s="35">
        <f t="shared" si="0"/>
        <v>0.75</v>
      </c>
      <c r="H27" s="36" t="str">
        <f t="shared" si="1"/>
        <v>جيد</v>
      </c>
      <c r="I27" s="55"/>
      <c r="J27" s="56"/>
    </row>
    <row r="28" spans="1:10" ht="30" customHeight="1" x14ac:dyDescent="0.3">
      <c r="A28" s="11"/>
      <c r="B28" s="84" t="s">
        <v>200</v>
      </c>
      <c r="C28" s="85"/>
      <c r="D28" s="8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5"/>
      <c r="J28" s="56"/>
    </row>
    <row r="29" spans="1:10" ht="30" customHeight="1" x14ac:dyDescent="0.3">
      <c r="A29" s="11"/>
      <c r="B29" s="84" t="s">
        <v>201</v>
      </c>
      <c r="C29" s="85"/>
      <c r="D29" s="85"/>
      <c r="E29" s="9">
        <v>5</v>
      </c>
      <c r="F29" s="27">
        <v>3.5</v>
      </c>
      <c r="G29" s="35">
        <f t="shared" si="0"/>
        <v>0.7</v>
      </c>
      <c r="H29" s="36" t="str">
        <f t="shared" si="1"/>
        <v>جيد</v>
      </c>
      <c r="I29" s="55"/>
      <c r="J29" s="56"/>
    </row>
    <row r="30" spans="1:10" ht="30" customHeight="1" x14ac:dyDescent="0.3">
      <c r="A30" s="11"/>
      <c r="B30" s="84" t="s">
        <v>202</v>
      </c>
      <c r="C30" s="85"/>
      <c r="D30" s="85"/>
      <c r="E30" s="9">
        <v>5</v>
      </c>
      <c r="F30" s="27">
        <v>3.5</v>
      </c>
      <c r="G30" s="35">
        <f t="shared" si="0"/>
        <v>0.7</v>
      </c>
      <c r="H30" s="36" t="str">
        <f t="shared" si="1"/>
        <v>جيد</v>
      </c>
      <c r="I30" s="55"/>
      <c r="J30" s="56"/>
    </row>
    <row r="31" spans="1:10" ht="30" customHeight="1" thickBot="1" x14ac:dyDescent="0.35">
      <c r="A31" s="11"/>
      <c r="B31" s="94" t="s">
        <v>203</v>
      </c>
      <c r="C31" s="95"/>
      <c r="D31" s="95"/>
      <c r="E31" s="32">
        <v>5</v>
      </c>
      <c r="F31" s="29">
        <v>3.75</v>
      </c>
      <c r="G31" s="40">
        <f t="shared" si="0"/>
        <v>0.75</v>
      </c>
      <c r="H31" s="41" t="str">
        <f t="shared" si="1"/>
        <v>جيد</v>
      </c>
      <c r="I31" s="57"/>
      <c r="J31" s="58"/>
    </row>
    <row r="32" spans="1:10" ht="30" customHeight="1" x14ac:dyDescent="0.3">
      <c r="A32" s="11"/>
      <c r="B32" s="90" t="s">
        <v>204</v>
      </c>
      <c r="C32" s="91"/>
      <c r="D32" s="91"/>
      <c r="E32" s="30"/>
      <c r="F32" s="37"/>
      <c r="G32" s="38"/>
      <c r="H32" s="39"/>
      <c r="I32" s="60"/>
      <c r="J32" s="61"/>
    </row>
    <row r="33" spans="1:10" ht="39.9" customHeight="1" x14ac:dyDescent="0.3">
      <c r="A33" s="11"/>
      <c r="B33" s="84" t="s">
        <v>205</v>
      </c>
      <c r="C33" s="85"/>
      <c r="D33" s="85"/>
      <c r="E33" s="31">
        <v>6</v>
      </c>
      <c r="F33" s="27">
        <v>4.5</v>
      </c>
      <c r="G33" s="35">
        <f t="shared" si="0"/>
        <v>0.75</v>
      </c>
      <c r="H33" s="36" t="str">
        <f t="shared" si="1"/>
        <v>جيد</v>
      </c>
      <c r="I33" s="55"/>
      <c r="J33" s="56"/>
    </row>
    <row r="34" spans="1:10" ht="30" customHeight="1" x14ac:dyDescent="0.3">
      <c r="A34" s="11"/>
      <c r="B34" s="84" t="s">
        <v>206</v>
      </c>
      <c r="C34" s="85"/>
      <c r="D34" s="85"/>
      <c r="E34" s="9">
        <v>5</v>
      </c>
      <c r="F34" s="27">
        <v>4</v>
      </c>
      <c r="G34" s="35">
        <f t="shared" si="0"/>
        <v>0.8</v>
      </c>
      <c r="H34" s="36" t="str">
        <f t="shared" si="1"/>
        <v>جيد جداً</v>
      </c>
      <c r="I34" s="55"/>
      <c r="J34" s="56"/>
    </row>
    <row r="35" spans="1:10" ht="30" customHeight="1" x14ac:dyDescent="0.3">
      <c r="A35" s="11"/>
      <c r="B35" s="84" t="s">
        <v>207</v>
      </c>
      <c r="C35" s="85"/>
      <c r="D35" s="8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5"/>
      <c r="J35" s="56"/>
    </row>
    <row r="36" spans="1:10" ht="30" customHeight="1" thickBot="1" x14ac:dyDescent="0.35">
      <c r="A36" s="11"/>
      <c r="B36" s="94" t="s">
        <v>208</v>
      </c>
      <c r="C36" s="95"/>
      <c r="D36" s="95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57"/>
      <c r="J36" s="58"/>
    </row>
    <row r="37" spans="1:10" ht="30" customHeight="1" x14ac:dyDescent="0.3">
      <c r="A37" s="11"/>
      <c r="B37" s="92" t="s">
        <v>209</v>
      </c>
      <c r="C37" s="93"/>
      <c r="D37" s="93"/>
      <c r="E37" s="30"/>
      <c r="F37" s="37"/>
      <c r="G37" s="38"/>
      <c r="H37" s="39"/>
      <c r="I37" s="60"/>
      <c r="J37" s="61"/>
    </row>
    <row r="38" spans="1:10" ht="30" customHeight="1" x14ac:dyDescent="0.3">
      <c r="A38" s="11"/>
      <c r="B38" s="84" t="s">
        <v>210</v>
      </c>
      <c r="C38" s="85"/>
      <c r="D38" s="85"/>
      <c r="E38" s="9">
        <v>6</v>
      </c>
      <c r="F38" s="27">
        <v>4.75</v>
      </c>
      <c r="G38" s="35">
        <f t="shared" si="0"/>
        <v>0.79166666666666663</v>
      </c>
      <c r="H38" s="36" t="str">
        <f t="shared" si="1"/>
        <v>جيد</v>
      </c>
      <c r="I38" s="55"/>
      <c r="J38" s="56"/>
    </row>
    <row r="39" spans="1:10" ht="30" customHeight="1" x14ac:dyDescent="0.3">
      <c r="A39" s="11"/>
      <c r="B39" s="84" t="s">
        <v>211</v>
      </c>
      <c r="C39" s="85"/>
      <c r="D39" s="8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5"/>
      <c r="J39" s="56"/>
    </row>
    <row r="40" spans="1:10" ht="30" customHeight="1" x14ac:dyDescent="0.3">
      <c r="A40" s="11"/>
      <c r="B40" s="84" t="s">
        <v>212</v>
      </c>
      <c r="C40" s="85"/>
      <c r="D40" s="8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5"/>
      <c r="J40" s="56"/>
    </row>
    <row r="41" spans="1:10" ht="30" customHeight="1" x14ac:dyDescent="0.3">
      <c r="A41" s="11"/>
      <c r="B41" s="84" t="s">
        <v>213</v>
      </c>
      <c r="C41" s="85"/>
      <c r="D41" s="8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5"/>
      <c r="J41" s="56"/>
    </row>
    <row r="42" spans="1:10" ht="30" customHeight="1" x14ac:dyDescent="0.3">
      <c r="A42" s="11"/>
      <c r="B42" s="84" t="s">
        <v>214</v>
      </c>
      <c r="C42" s="85"/>
      <c r="D42" s="8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5"/>
      <c r="J42" s="56"/>
    </row>
    <row r="43" spans="1:10" ht="30" customHeight="1" x14ac:dyDescent="0.3">
      <c r="A43" s="11"/>
      <c r="B43" s="84" t="s">
        <v>215</v>
      </c>
      <c r="C43" s="85"/>
      <c r="D43" s="85"/>
      <c r="E43" s="9">
        <v>5</v>
      </c>
      <c r="F43" s="27">
        <v>3.75</v>
      </c>
      <c r="G43" s="35">
        <f t="shared" si="0"/>
        <v>0.75</v>
      </c>
      <c r="H43" s="36" t="str">
        <f t="shared" si="1"/>
        <v>جيد</v>
      </c>
      <c r="I43" s="55"/>
      <c r="J43" s="56"/>
    </row>
    <row r="44" spans="1:10" ht="30" customHeight="1" thickBot="1" x14ac:dyDescent="0.35">
      <c r="A44" s="11"/>
      <c r="B44" s="94" t="s">
        <v>216</v>
      </c>
      <c r="C44" s="95"/>
      <c r="D44" s="95"/>
      <c r="E44" s="32">
        <v>5</v>
      </c>
      <c r="F44" s="29">
        <v>3.75</v>
      </c>
      <c r="G44" s="40">
        <f t="shared" si="0"/>
        <v>0.75</v>
      </c>
      <c r="H44" s="41" t="str">
        <f t="shared" si="1"/>
        <v>جيد</v>
      </c>
      <c r="I44" s="57"/>
      <c r="J44" s="58"/>
    </row>
    <row r="45" spans="1:10" ht="30" customHeight="1" x14ac:dyDescent="0.3">
      <c r="A45" s="11"/>
      <c r="B45" s="90" t="s">
        <v>217</v>
      </c>
      <c r="C45" s="91"/>
      <c r="D45" s="91"/>
      <c r="E45" s="30"/>
      <c r="F45" s="37"/>
      <c r="G45" s="38"/>
      <c r="H45" s="39"/>
      <c r="I45" s="60"/>
      <c r="J45" s="61"/>
    </row>
    <row r="46" spans="1:10" ht="30" customHeight="1" x14ac:dyDescent="0.3">
      <c r="A46" s="11"/>
      <c r="B46" s="84" t="s">
        <v>218</v>
      </c>
      <c r="C46" s="85"/>
      <c r="D46" s="85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55"/>
      <c r="J46" s="56"/>
    </row>
    <row r="47" spans="1:10" ht="30" customHeight="1" x14ac:dyDescent="0.3">
      <c r="A47" s="11"/>
      <c r="B47" s="84" t="s">
        <v>219</v>
      </c>
      <c r="C47" s="85"/>
      <c r="D47" s="85"/>
      <c r="E47" s="9">
        <v>8</v>
      </c>
      <c r="F47" s="27">
        <v>6.75</v>
      </c>
      <c r="G47" s="35">
        <f t="shared" si="0"/>
        <v>0.84375</v>
      </c>
      <c r="H47" s="36" t="str">
        <f t="shared" si="1"/>
        <v>جيد جداً</v>
      </c>
      <c r="I47" s="55"/>
      <c r="J47" s="56"/>
    </row>
    <row r="48" spans="1:10" ht="30" customHeight="1" x14ac:dyDescent="0.3">
      <c r="A48" s="11"/>
      <c r="B48" s="84" t="s">
        <v>220</v>
      </c>
      <c r="C48" s="85"/>
      <c r="D48" s="85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55"/>
      <c r="J48" s="56"/>
    </row>
    <row r="49" spans="1:10" ht="30" customHeight="1" x14ac:dyDescent="0.3">
      <c r="A49" s="11"/>
      <c r="B49" s="84" t="s">
        <v>221</v>
      </c>
      <c r="C49" s="85"/>
      <c r="D49" s="85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55"/>
      <c r="J49" s="56"/>
    </row>
    <row r="50" spans="1:10" ht="30" customHeight="1" x14ac:dyDescent="0.3">
      <c r="A50" s="11"/>
      <c r="B50" s="84" t="s">
        <v>222</v>
      </c>
      <c r="C50" s="85"/>
      <c r="D50" s="85"/>
      <c r="E50" s="9">
        <v>5</v>
      </c>
      <c r="F50" s="27">
        <v>3.5</v>
      </c>
      <c r="G50" s="35">
        <f t="shared" si="0"/>
        <v>0.7</v>
      </c>
      <c r="H50" s="36" t="str">
        <f t="shared" si="1"/>
        <v>جيد</v>
      </c>
      <c r="I50" s="55"/>
      <c r="J50" s="56"/>
    </row>
    <row r="51" spans="1:10" ht="30" customHeight="1" thickBot="1" x14ac:dyDescent="0.35">
      <c r="A51" s="11"/>
      <c r="B51" s="94" t="s">
        <v>223</v>
      </c>
      <c r="C51" s="95"/>
      <c r="D51" s="95"/>
      <c r="E51" s="32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57"/>
      <c r="J51" s="58"/>
    </row>
    <row r="52" spans="1:10" ht="30" customHeight="1" x14ac:dyDescent="0.3">
      <c r="A52" s="11"/>
      <c r="B52" s="92" t="s">
        <v>224</v>
      </c>
      <c r="C52" s="93"/>
      <c r="D52" s="93"/>
      <c r="E52" s="30"/>
      <c r="F52" s="37"/>
      <c r="G52" s="38"/>
      <c r="H52" s="39"/>
      <c r="I52" s="60"/>
      <c r="J52" s="61"/>
    </row>
    <row r="53" spans="1:10" ht="30" customHeight="1" x14ac:dyDescent="0.3">
      <c r="A53" s="11"/>
      <c r="B53" s="84" t="s">
        <v>225</v>
      </c>
      <c r="C53" s="85"/>
      <c r="D53" s="85"/>
      <c r="E53" s="9">
        <v>10</v>
      </c>
      <c r="F53" s="27">
        <v>8.75</v>
      </c>
      <c r="G53" s="35">
        <f t="shared" si="0"/>
        <v>0.875</v>
      </c>
      <c r="H53" s="36" t="str">
        <f t="shared" si="1"/>
        <v>جيد جداً</v>
      </c>
      <c r="I53" s="55"/>
      <c r="J53" s="56"/>
    </row>
    <row r="54" spans="1:10" ht="30" customHeight="1" x14ac:dyDescent="0.3">
      <c r="A54" s="11"/>
      <c r="B54" s="84" t="s">
        <v>226</v>
      </c>
      <c r="C54" s="85"/>
      <c r="D54" s="85"/>
      <c r="E54" s="9">
        <v>10</v>
      </c>
      <c r="F54" s="27">
        <v>7.75</v>
      </c>
      <c r="G54" s="35">
        <f t="shared" si="0"/>
        <v>0.77500000000000002</v>
      </c>
      <c r="H54" s="36" t="str">
        <f t="shared" si="1"/>
        <v>جيد</v>
      </c>
      <c r="I54" s="55"/>
      <c r="J54" s="56"/>
    </row>
    <row r="55" spans="1:10" ht="30" customHeight="1" thickBot="1" x14ac:dyDescent="0.35">
      <c r="A55" s="11"/>
      <c r="B55" s="94" t="s">
        <v>227</v>
      </c>
      <c r="C55" s="95"/>
      <c r="D55" s="95"/>
      <c r="E55" s="32">
        <v>5</v>
      </c>
      <c r="F55" s="29">
        <v>4</v>
      </c>
      <c r="G55" s="40">
        <f t="shared" si="0"/>
        <v>0.8</v>
      </c>
      <c r="H55" s="41" t="str">
        <f t="shared" si="1"/>
        <v>جيد جداً</v>
      </c>
      <c r="I55" s="57"/>
      <c r="J55" s="58"/>
    </row>
    <row r="56" spans="1:10" ht="30" customHeight="1" x14ac:dyDescent="0.3">
      <c r="A56" s="11"/>
      <c r="B56" s="92" t="s">
        <v>228</v>
      </c>
      <c r="C56" s="93"/>
      <c r="D56" s="93"/>
      <c r="E56" s="30"/>
      <c r="F56" s="37"/>
      <c r="G56" s="38"/>
      <c r="H56" s="39"/>
      <c r="I56" s="60"/>
      <c r="J56" s="61"/>
    </row>
    <row r="57" spans="1:10" ht="30" customHeight="1" x14ac:dyDescent="0.3">
      <c r="A57" s="11"/>
      <c r="B57" s="84" t="s">
        <v>229</v>
      </c>
      <c r="C57" s="85"/>
      <c r="D57" s="85"/>
      <c r="E57" s="9">
        <v>5</v>
      </c>
      <c r="F57" s="27">
        <v>3.75</v>
      </c>
      <c r="G57" s="35">
        <f t="shared" si="0"/>
        <v>0.75</v>
      </c>
      <c r="H57" s="36" t="str">
        <f t="shared" si="1"/>
        <v>جيد</v>
      </c>
      <c r="I57" s="55"/>
      <c r="J57" s="56"/>
    </row>
    <row r="58" spans="1:10" ht="30" customHeight="1" thickBot="1" x14ac:dyDescent="0.35">
      <c r="A58" s="11"/>
      <c r="B58" s="94" t="s">
        <v>230</v>
      </c>
      <c r="C58" s="95"/>
      <c r="D58" s="95"/>
      <c r="E58" s="32">
        <v>5</v>
      </c>
      <c r="F58" s="29">
        <v>3.75</v>
      </c>
      <c r="G58" s="40">
        <f t="shared" si="0"/>
        <v>0.75</v>
      </c>
      <c r="H58" s="41" t="str">
        <f t="shared" si="1"/>
        <v>جيد</v>
      </c>
      <c r="I58" s="57"/>
      <c r="J58" s="58"/>
    </row>
    <row r="59" spans="1:10" ht="39.9" customHeight="1" thickBot="1" x14ac:dyDescent="0.35">
      <c r="A59" s="11"/>
      <c r="B59" s="96" t="s">
        <v>231</v>
      </c>
      <c r="C59" s="97"/>
      <c r="D59" s="97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82"/>
      <c r="J59" s="83"/>
    </row>
    <row r="60" spans="1:10" ht="30" customHeight="1" thickBot="1" x14ac:dyDescent="0.35">
      <c r="A60" s="4"/>
      <c r="B60" s="67" t="s">
        <v>5</v>
      </c>
      <c r="C60" s="68"/>
      <c r="D60" s="68"/>
      <c r="E60" s="34">
        <f>SUM(E8:E59)</f>
        <v>265</v>
      </c>
      <c r="F60" s="34">
        <f>SUM(F8:F59)</f>
        <v>207.75</v>
      </c>
      <c r="G60" s="78"/>
      <c r="H60" s="79"/>
      <c r="I60" s="79"/>
      <c r="J60" s="80"/>
    </row>
    <row r="61" spans="1:10" ht="30" customHeight="1" thickBot="1" x14ac:dyDescent="0.35">
      <c r="A61" s="4"/>
      <c r="B61" s="69" t="s">
        <v>54</v>
      </c>
      <c r="C61" s="70"/>
      <c r="D61" s="70"/>
      <c r="E61" s="51">
        <f>F60/E60/100*100</f>
        <v>0.78396226415094339</v>
      </c>
      <c r="F61" s="51"/>
      <c r="G61" s="51"/>
      <c r="H61" s="51"/>
      <c r="I61" s="51"/>
      <c r="J61" s="52"/>
    </row>
    <row r="62" spans="1:10" ht="30" customHeight="1" thickBot="1" x14ac:dyDescent="0.35">
      <c r="A62" s="4"/>
      <c r="B62" s="69" t="s">
        <v>55</v>
      </c>
      <c r="C62" s="70"/>
      <c r="D62" s="70"/>
      <c r="E62" s="75" t="str">
        <f>_xlfn.IFS(E61&gt;=90%,"ممتاز",E61&gt;=80%,"جيد جداً",E61&gt;=70%,"جيد",E61&gt;=60%,"مقبول",E61&lt;60%,"راسب")</f>
        <v>جيد</v>
      </c>
      <c r="F62" s="75"/>
      <c r="G62" s="75"/>
      <c r="H62" s="75"/>
      <c r="I62" s="75"/>
      <c r="J62" s="76"/>
    </row>
    <row r="63" spans="1:10" ht="42" customHeight="1" x14ac:dyDescent="0.3">
      <c r="B63" s="71" t="s">
        <v>174</v>
      </c>
      <c r="C63" s="71"/>
      <c r="D63" s="71"/>
      <c r="E63" s="81" t="s">
        <v>52</v>
      </c>
      <c r="F63" s="81"/>
      <c r="G63" s="73" t="s">
        <v>141</v>
      </c>
      <c r="H63" s="73"/>
      <c r="I63" s="73"/>
      <c r="J63" s="73"/>
    </row>
    <row r="64" spans="1:10" ht="51" customHeight="1" x14ac:dyDescent="0.3">
      <c r="A64" s="5"/>
      <c r="B64" s="72"/>
      <c r="C64" s="72"/>
      <c r="D64" s="72"/>
      <c r="E64" s="77" t="s">
        <v>53</v>
      </c>
      <c r="F64" s="77"/>
      <c r="G64" s="74"/>
      <c r="H64" s="74"/>
      <c r="I64" s="74"/>
      <c r="J64" s="74"/>
    </row>
  </sheetData>
  <sheetProtection formatCells="0" formatColumns="0" formatRows="0" insertColumns="0" insertRows="0" insertHyperlinks="0" deleteColumns="0" deleteRows="0" selectLockedCells="1" sort="0" autoFilter="0" pivotTables="0"/>
  <mergeCells count="125"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2025-10-08T20:32:39Z</dcterms:modified>
</cp:coreProperties>
</file>