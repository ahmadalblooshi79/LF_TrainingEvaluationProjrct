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440BBC0-9356-2D48-B07F-F60ABB815229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3" i="2"/>
  <c r="H23" i="2"/>
  <c r="G24" i="2"/>
  <c r="H24" i="2"/>
  <c r="G25" i="2"/>
  <c r="H25" i="2"/>
  <c r="G27" i="2"/>
  <c r="H27" i="2"/>
  <c r="G28" i="2"/>
  <c r="H28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<sst xmlns="http://schemas.openxmlformats.org/spreadsheetml/2006/main" count="263" uniqueCount="207">
  <si>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</si>
  <si>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</si>
  <si>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</si>
  <si>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</si>
  <si>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</si>
  <si>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</si>
  <si>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</si>
  <si>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</si>
  <si>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</si>
  <si>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</si>
  <si>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</si>
  <si>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</si>
  <si>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</si>
  <si>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</si>
  <si>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</si>
  <si>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</si>
  <si>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</si>
  <si>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</si>
  <si>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</si>
  <si>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</si>
  <si>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</si>
  <si>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</si>
  <si>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</si>
  <si>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</si>
  <si>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</si>
  <si>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</si>
  <si>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</si>
  <si>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</si>
  <si>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</si>
  <si>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</si>
  <si>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</si>
  <si>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</si>
  <si>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</si>
  <si>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</si>
  <si>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</si>
  <si>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</si>
  <si>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</si>
  <si>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</si>
  <si>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</si>
  <si>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</si>
  <si>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</si>
  <si>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</si>
  <si>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</si>
  <si>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</si>
  <si>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</si>
  <si>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</si>
  <si>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</si>
  <si>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</si>
  <si>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</si>
  <si>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</si>
  <si>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</si>
  <si>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</si>
  <si>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</si>
  <si>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</si>
  <si>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</si>
  <si>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</si>
  <si>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</si>
  <si>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</si>
  <si>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</si>
  <si>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</si>
  <si>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</si>
  <si>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</si>
  <si>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</si>
  <si>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</si>
  <si>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</si>
  <si>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</si>
  <si>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</si>
  <si>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</si>
  <si>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</si>
  <si>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</si>
  <si>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</si>
  <si>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</si>
  <si>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</si>
  <si>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</si>
  <si>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</si>
  <si>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</si>
  <si>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</si>
  <si>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</si>
  <si>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</si>
  <si>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</si>
  <si>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</si>
  <si>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</si>
  <si>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</si>
  <si>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</si>
  <si>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</si>
  <si>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</si>
  <si>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</si>
  <si>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</si>
  <si>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</si>
  <si>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</si>
  <si>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</si>
  <si>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</si>
  <si>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</si>
  <si>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</si>
  <si>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</si>
  <si>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</si>
  <si>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</si>
  <si>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</si>
  <si>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</si>
  <si>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</si>
  <si>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</si>
  <si>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</si>
  <si>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</si>
  <si>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</si>
  <si>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</si>
  <si>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</si>
  <si>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</si>
  <si>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</si>
  <si>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</si>
  <si>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</si>
  <si>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</si>
  <si>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</si>
  <si>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</si>
  <si>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</si>
  <si>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</si>
  <si>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</si>
  <si>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</si>
  <si>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</si>
  <si>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</si>
  <si>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</si>
  <si>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</si>
  <si>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</si>
  <si>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</si>
  <si>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</si>
  <si>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</si>
  <si>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</si>
  <si>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</si>
  <si>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</si>
  <si>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</si>
  <si>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</si>
  <si>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</si>
  <si>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</si>
  <si>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</si>
  <si>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</si>
  <si>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</si>
  <si>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</si>
  <si>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</si>
  <si>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</si>
  <si>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</si>
  <si>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</si>
  <si>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</si>
  <si>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</si>
  <si>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</si>
  <si>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</si>
  <si>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</si>
  <si>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</si>
  <si>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</si>
  <si>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</si>
  <si>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</si>
  <si>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</si>
  <si>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</si>
  <si>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</si>
  <si>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</si>
  <si>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</si>
  <si>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</si>
  <si>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</si>
  <si>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</si>
  <si>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</si>
  <si>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</si>
  <si>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</si>
  <si>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</si>
  <si>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</si>
  <si>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</si>
  <si>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</si>
  <si>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</si>
  <si>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</si>
  <si>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</si>
  <si>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</si>
  <si>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</si>
  <si>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</si>
  <si>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</si>
  <si>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</si>
  <si>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</si>
  <si>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</si>
  <si>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</si>
  <si>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</si>
  <si>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</si>
  <si>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</si>
  <si>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</si>
  <si>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</si>
  <si>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لوحدات المناورة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</si>
  <si>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</t>
    </r>
    <r>
      <rPr>
        <b/>
        <sz val="12"/>
        <color rgb="FF000000"/>
        <rFont val="Arial"/>
        <family val="2"/>
      </rPr>
      <t>، وتشمل:</t>
    </r>
  </si>
  <si>
    <t>أ.   أمر / برقية الحركة من المستوى الأعلـى.</t>
  </si>
  <si>
    <t>ب. وجود أمـر التنقل ودقة البيانات الواردة به.</t>
  </si>
  <si>
    <t>جـ. وجود جدول التنقل ودقة البيانات الواردة به.</t>
  </si>
  <si>
    <t>د.  وجود يومية التنقل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</si>
  <si>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</si>
  <si>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</si>
  <si>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</si>
  <si>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تعيين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</si>
  <si>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</si>
  <si>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، من حيـث:</t>
    </r>
  </si>
  <si>
    <t>أ.  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</si>
  <si>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/ جدول التحميل والركوب لكل آلية.</t>
  </si>
  <si>
    <t>جـ. مدى صلاحية وجاهزية الآليات من حيث (الوقود، المياه، الإطار الاحتياطي، شباك التمويه مع أعمدة التثبيت).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</si>
  <si>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حمولة آليات القافلة</t>
    </r>
    <r>
      <rPr>
        <b/>
        <sz val="12"/>
        <color theme="1"/>
        <rFont val="Arial"/>
        <family val="2"/>
      </rPr>
      <t>، من حيـث:</t>
    </r>
  </si>
  <si>
    <t>أ.   التأكد من عدم تحميل الآليات أكثر من حمولتها أو وضع حمولة غير مرتبة بحيث توحي بأنها محملة أكثر من حمولتها.</t>
  </si>
  <si>
    <t>ب. التأكد من تحميل ثلث ذخيرة الخط الأول لجميع الأصناف في صناديق (أثناء التنقل لتنفيذ التمارين الخارجية) مع وجود سند صرف لاستلام الذخائر.</t>
  </si>
  <si>
    <t>جـ.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</si>
  <si>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عند تحميل أي ذخيرة في القافلة</t>
    </r>
    <r>
      <rPr>
        <b/>
        <sz val="12"/>
        <color theme="1"/>
        <rFont val="Arial"/>
        <family val="2"/>
      </rPr>
      <t>، يتم توفير الآتي:</t>
    </r>
  </si>
  <si>
    <t>أ. سيارة إطفاء والتأكد من جاهزيتها وصلاحيتها وكفاءة طاقمها.</t>
  </si>
  <si>
    <t>ب.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</si>
  <si>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2"/>
        <color rgb="FF000000"/>
        <rFont val="Arial"/>
        <family val="2"/>
      </rPr>
      <t>الشؤون الإدارية.</t>
    </r>
  </si>
  <si>
    <t>أ.   توفر الإعاشة أثناء التنقـل.</t>
  </si>
  <si>
    <t>ب. سيارة إسعاف مع طبيب / ممرضة أو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</si>
  <si>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</si>
  <si>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 وجود آلية إنقاذ مركبات احتياط لآليات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</si>
</sst>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274342</xdr:colOff>
      <xdr:row>36</xdr:row>
      <xdr:rowOff>480485</xdr:rowOff>
    </xdr:from>
    <xdr:to>
      <xdr:col>8</xdr:col>
      <xdr:colOff>286141</xdr:colOff>
      <xdr:row>37</xdr:row>
      <xdr:rowOff>516485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9569897-CC19-42DD-C1F1-DEFE27BD7BBC}"/>
                </a:ext>
              </a:extLst>
            </xdr14:cNvPr>
            <xdr14:cNvContentPartPr/>
          </xdr14:nvContentPartPr>
          <xdr14:nvPr macro=""/>
          <xdr14:xfrm>
            <a:off x="10398960416" y="17864640"/>
            <a:ext cx="1331280" cy="5720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9569897-CC19-42DD-C1F1-DEFE27BD7BB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51776" y="17855640"/>
              <a:ext cx="1348920" cy="589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16:01:34.2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3373 908 9882,'0'0'0,"0"0"0,0-2 760,0 0-696,0-2-112,0 0-48,0 4 96,0-2-56,0 0 48,0 0-24,0 0-32,0 2 64,0 0-64,0 0-16,5 0-88,-5 0-48,0 0 216,0 0-248,0 0-33,0 0-71,0 4-104,0-4 456,-5 4-472,5 0-104,-5 0 88,3 12 176,2-16 312,-7 6-248,0 18 152,-13-3 88,11 3-24,9-24 32,-24 27 8,9-1 72,-2-2 8,10 3 40,7-27-128,-24 26 104,7 3-72,0-1-16,3-2-32,14-26 16,-10 27-40,-9-5 24,12-2-8,-15-1 8,22-19 16,-5 6 16,-2 14-16,2-16 72,1 0-32,4-4-40,-8 4 80,8-4 112,-2 0 24,0 0 40,2 0-256,0 0 296,-3 0-48,-4 0 8,5 0 40,2 0-296,-3 0 296,-2-4-40,0-2 1,3 0-65,2 6-192,-2-6 144,2 0 32,-3-2-168,3 0 72,0 8-80,-2-9-8,2-9-72,0 12 88,0-10-144,0 16 136,0-6-8,0-10-8,0 9 32,0 1 64,0 6-80,0-6 24,0 0 16,-7 4-24,4 0 72,3 2-88,-5-2 16,-2 2-120,-7 0-96,7 0-176,7 0 376,-22 4-521,5 12 49,0-10-24,-9 17 104,26-23 392,-24 18-168,-5 0 40,0 1 96,3-1-16,26-18 48,-22 6-32,0 16 24,3-16 72,2 1 64,17-7-128,-17 16 120,10-16 40,-12 0-32,14 0 0,5 0-128,-7 0 136,0 0 40,-1-2-48,6-2-16,2 4-112,0-6 112,-2-1-48,-1-1-96,1 0-8,2 8 40,0-8-72,-5 0 8,0 0 80,0 2 0,5 6-16,-7-2 8,2 0-8,-2 0-16,0 2-56,7 0 72,-10 0-120,-4 0-64,9 4-16,-5 0 0,10-4 200,-16 6-208,13 0 56,-6 0-16,-8 10 48,17-16 120,-5 4-24,-5 0 0,5 3 48,-4-1 32,9-6-56,-5 6 96,0-2 136,-2 0 32,2-4 144,5 0-408,-5 0 440,5 0 104,-4-2-55,1-4-25,3 6-464,-2-6 464,2-13-224,0 11-24,0-22-224,0 30 8,0-31-112,0-9-48,5-9 8,2-6 16,-7 55 136,17-63-216,-13-2 8,11 0-48,-5 0-9,-10 65 265,14-67-160,-9 2 48,12 2 40,-17 4 48,0 59 24,7-50 24,10 1 80,-17 8-24,2 5 48,-2 36-128,0-33 97,5 5 7,-5 5 96,0 15 96,0 8-296,-3-16 304,1 14-16,-8 0-40,8 2-96,2 0-152,-2 0 8,-8 4-152,5 2-296,0 0-208,5-6 648,-7 23-633,2-5-47,-4 8 272,-8 5 128,17-31 280,-5 36-224,-19 3 96,7 2-16,0-1 0,17-40 144,-19 43-104,-3 1 56,3 1 56,-5 0 32,24-45-40,-19 44-16,0-1 40,-8-2-24,1-3 48,26-38-48,-24 37 144,0-5-72,-3-3 24,8-3-24,19-26-72,-22 25 80,3-7 8,12-12-56,-12 14 64,19-20-96,-5 4 80,0 0 24,-5 0 144,6 0 16,4-4-264,-10 5 232,5-5 144,0 0-88,1 0-39,4 0-249,-5-2 240,-3-5-80,1 1 8,5 0-32,2 6-136,-3-16 72,3 10-24,0-10-24,0 10-8,0 6-16,-2-19 80,-3 13-88,3-12 0,2 10 8,0 8 0,-3-18 0,-1 11 0,-4-9 40,4 12 16,4 4-56,-8-6-16,6 2 72,-3 2-48,0 0-128,5 2 120,-9 0-232,4 0-160,-19 6-104,19 10 7,5-16 489,-29 6-456,12 17 104,-4-5 128,-3 4 40,24-22 184,-22 23-8,-2 5-16,-3 3 32,1-1 40,26-30-48,-22 30 32,-2-3-24,5-3 0,2-1 32,17-23-40,-9 18 8,-6 0 48,10-12-16,-2 10-8,7-16-32,-5 4 48,3-4 16,-5 5-32,7-5 24,0 0-56,0 0 24,0 0-56,0 0 24,0 0-40,0 0 112,0 0-120,0 0 80,0 0 8,0 0 32,0 0-128,0 0 168,0 0-40,0 0 8,0 0-32,0 0-320,0 0 656,0 0-320,0 4 40,-3 0 16,3-4-112,-2 0 72,0 4 32,2 0 0,-3-4 24,3 0-128,-5 0 265,1 0 111,1 0 88,3 0 64,0 0-528,-2-2 400,2-2-40,0-4-64,0-11-152,0 19-144,0-20 80,0-8-144,5-13-40,14-8 24,-19 49 80,7-53-48,12-5-80,-2-3 56,-10-4 24,-7 65 48,27-69-56,-13-5 72,5 3-88,-2-2-16,-17 73 88,17-73-32,0 0 16,0-2 48,-10 6-64,-7 69 32,17-65-24,-12 12 64,-3 13-8,5 13 152,-7 27-184,0-18 280,0 14 8,0-2 40,-5 4-80,5 2-248,-2 0 24,-5 4-192,-10 12-152,7 0-64,10-16 384,-24 27-296,0 9 64,-5 11 40,1 8 72,28-55 120,-34 63-104,3 4 32,-3-2 64,0 2 8,34-67 0,-31 65-24,0-6 40,-1-1 0,4-3-24,28-55 8,-29 51 32,7-2-64,-4-7 56,2-5 24,24-37-48,-17 30 24,0-7 64,7-5-64,-4-12 16,14-6-40,-5 16 48,0-16 16,3 4 32,-5-4 32,7 0-128,0 0 152,-5 0 24,2 0 0,3 0 0,0 0-176,-4 0 200,1-2-64,1 0 24,-1 0-96,3 2-64,0-2 8,0-4 48,0 2-120,0-2-32,0 6 96,0-6-80,0-2-16,3 0-8,-1 0-24,-2 8 128,7-17-16,-7 15-32,5-4-24,-5 0 48,0 6 24,0-6-32,0-2 16,0 2 32,0 0-16,0 6 0,0-6 32,0 2-24,0 0 32,0 1 56,0 3-96,0-2-16,0 0 24,0 0-16,-2 2 24,2 0-16,-3 0 8,3 0 16,-4 0-96,4 0 72,-3 0-40,1 0-80,-1 4 0,-4 1-48,7-5 168,-7 4-168,-10 0 8,7 2 56,-11 10-8,21-16 112,-24 4-72,4 12 32,-11-10-24,0 17 112,31-23-48,-43 18-8,-8 4-32,-2 3 40,-9-1 24,62-24-24,-60 29 16,-8-1 56,1 0 40,-3 1-24,70-29-88,-72 28 176,5 5-8,4-5 24,-4 1 40,67-29-232,-60 26 200,11-4 32,1-1-80,7-1-8,41-20-144,-33 16 120,4-10-72,2 17 24,6-17 0,21-6-72,-17 16 72,10-12 0,-8 0 8,13 0-80,2-4 0,0 0-104,0 0-8,5 0 72,16 0 32,-21 0 8,22 0 112,9-2 40,13-4 0,11-16 72,-55 22-224,62-23 192,25-9 57,7-7 7,16-7 16,-110 46-272,133-55 488,11-6-40,8-6 48,6-2 72,-158 69-568,164-69 368,7-4 56,4-1-8,15-3-144,-190 77-272,195-79 272,0 4-104,-12 0-32,-5 2-39,-178 73-97,163-71 24,-4 0 32,-12 6-40,-8 2 16,-139 63-32,128-57 24,-18 6-104,-13 4-201,-18 13 81,-79 34 200,53-29-192,-15 9 96,-23 14 224,-15-10 80,0 16-208,-3-2 240,-18-4-47,-13-1-113,-7-9-176,41 16 96,-55-4-121,-24 0 73,-6 2 113,-18 2 111,103 0-176,-118 20 176,-7 3-16,-19 5-40,-5 7 0,149-35-120,-164 40 176,-9 7 0,-10 6 56,-9 6 96,192-59-328,-195 65 552,19 2 8,8 4 72,26 0-184,142-71-448,-128 75 224,15 4-144,5 4-104,14 5-8,94-88 32,-79 85-40,9-2 32,27-10-168,9-8-232,34-65 408,-14 59-528,14-10-192,7-6 8,29-5 104,-36-38 608,41 31-552,17-7-65,9-8-183,17-12-344,-84-4 1144,84 0-1768,5 0-665,3-16-1064,-1-2-1496,-91 18 4993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F24" sqref="F24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4" t="s">
        <v>180</v>
      </c>
      <c r="C1" s="64"/>
      <c r="D1" s="64"/>
      <c r="E1" s="64"/>
      <c r="F1" s="64"/>
      <c r="G1" s="64"/>
      <c r="H1" s="64"/>
      <c r="I1" s="64"/>
      <c r="J1" s="64"/>
    </row>
    <row r="2" spans="1:10" ht="30" customHeight="1">
      <c r="B2" s="13" t="s">
        <v>8</v>
      </c>
      <c r="C2" s="70" t="s">
        <v>39</v>
      </c>
      <c r="D2" s="70"/>
      <c r="E2" s="13" t="s">
        <v>7</v>
      </c>
      <c r="F2" s="65">
        <v>45935</v>
      </c>
      <c r="G2" s="65"/>
      <c r="H2" s="65"/>
      <c r="I2" s="65"/>
      <c r="J2" s="65"/>
    </row>
    <row r="3" spans="1:10" ht="30" customHeight="1">
      <c r="B3" s="13" t="s">
        <v>9</v>
      </c>
      <c r="C3" s="70" t="s">
        <v>80</v>
      </c>
      <c r="D3" s="70"/>
      <c r="E3" s="13" t="s">
        <v>6</v>
      </c>
      <c r="F3" s="70" t="s">
        <v>141</v>
      </c>
      <c r="G3" s="70"/>
      <c r="H3" s="70"/>
      <c r="I3" s="70"/>
      <c r="J3" s="70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1"/>
      <c r="B5" s="66" t="s">
        <v>0</v>
      </c>
      <c r="C5" s="67"/>
      <c r="D5" s="67"/>
      <c r="E5" s="75" t="s">
        <v>1</v>
      </c>
      <c r="F5" s="75"/>
      <c r="G5" s="75"/>
      <c r="H5" s="75"/>
      <c r="I5" s="75" t="s">
        <v>2</v>
      </c>
      <c r="J5" s="76"/>
    </row>
    <row r="6" spans="1:10" ht="24.95" customHeight="1" thickBot="1">
      <c r="A6" s="11"/>
      <c r="B6" s="68"/>
      <c r="C6" s="69"/>
      <c r="D6" s="69"/>
      <c r="E6" s="12" t="s">
        <v>3</v>
      </c>
      <c r="F6" s="12" t="s">
        <v>4</v>
      </c>
      <c r="G6" s="12" t="s">
        <v>23</v>
      </c>
      <c r="H6" s="12" t="s">
        <v>24</v>
      </c>
      <c r="I6" s="77"/>
      <c r="J6" s="78"/>
    </row>
    <row r="7" spans="1:10" ht="24.95" customHeight="1" thickBot="1">
      <c r="A7" s="11"/>
      <c r="B7" s="73" t="s">
        <v>21</v>
      </c>
      <c r="C7" s="74"/>
      <c r="D7" s="74"/>
      <c r="E7" s="36" t="s">
        <v>18</v>
      </c>
      <c r="F7" s="36" t="s">
        <v>19</v>
      </c>
      <c r="G7" s="36" t="s">
        <v>22</v>
      </c>
      <c r="H7" s="36" t="s">
        <v>20</v>
      </c>
      <c r="I7" s="54" t="s">
        <v>25</v>
      </c>
      <c r="J7" s="55"/>
    </row>
    <row r="8" spans="1:10" ht="39.950000000000003" customHeight="1">
      <c r="A8" s="11"/>
      <c r="B8" s="89" t="s">
        <v>181</v>
      </c>
      <c r="C8" s="90"/>
      <c r="D8" s="90"/>
      <c r="E8" s="30"/>
      <c r="F8" s="40"/>
      <c r="G8" s="41"/>
      <c r="H8" s="42"/>
      <c r="I8" s="79"/>
      <c r="J8" s="80"/>
    </row>
    <row r="9" spans="1:10" ht="39.950000000000003" customHeight="1">
      <c r="A9" s="11"/>
      <c r="B9" s="91" t="s">
        <v>182</v>
      </c>
      <c r="C9" s="92"/>
      <c r="D9" s="92"/>
      <c r="E9" s="31">
        <v>5</v>
      </c>
      <c r="F9" s="27">
        <v>3.75</v>
      </c>
      <c r="G9" s="38">
        <f>IFERROR(F9/E9,"")</f>
        <v>0.75</v>
      </c>
      <c r="H9" s="3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2"/>
      <c r="J9" s="53"/>
    </row>
    <row r="10" spans="1:10" ht="39.950000000000003" customHeight="1">
      <c r="A10" s="11"/>
      <c r="B10" s="91" t="s">
        <v>183</v>
      </c>
      <c r="C10" s="92"/>
      <c r="D10" s="92"/>
      <c r="E10" s="31">
        <v>8</v>
      </c>
      <c r="F10" s="27">
        <v>6</v>
      </c>
      <c r="G10" s="38">
        <f t="shared" ref="G10:G33" si="0">IFERROR(F10/E10,"")</f>
        <v>0.75</v>
      </c>
      <c r="H10" s="3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52"/>
      <c r="J10" s="53"/>
    </row>
    <row r="11" spans="1:10" ht="39.950000000000003" customHeight="1">
      <c r="A11" s="11"/>
      <c r="B11" s="91" t="s">
        <v>184</v>
      </c>
      <c r="C11" s="92"/>
      <c r="D11" s="92"/>
      <c r="E11" s="31">
        <v>5</v>
      </c>
      <c r="F11" s="27">
        <v>3.75</v>
      </c>
      <c r="G11" s="38">
        <f t="shared" si="0"/>
        <v>0.75</v>
      </c>
      <c r="H11" s="39" t="str">
        <f t="shared" si="1"/>
        <v>جيد</v>
      </c>
      <c r="I11" s="52"/>
      <c r="J11" s="53"/>
    </row>
    <row r="12" spans="1:10" ht="39.950000000000003" customHeight="1" thickBot="1">
      <c r="A12" s="11"/>
      <c r="B12" s="93" t="s">
        <v>185</v>
      </c>
      <c r="C12" s="94"/>
      <c r="D12" s="94"/>
      <c r="E12" s="32">
        <v>5</v>
      </c>
      <c r="F12" s="29">
        <v>3.75</v>
      </c>
      <c r="G12" s="43">
        <f t="shared" si="0"/>
        <v>0.75</v>
      </c>
      <c r="H12" s="44" t="str">
        <f t="shared" si="1"/>
        <v>جيد</v>
      </c>
      <c r="I12" s="56"/>
      <c r="J12" s="57"/>
    </row>
    <row r="13" spans="1:10" ht="39.950000000000003" customHeight="1" thickBot="1">
      <c r="A13" s="11"/>
      <c r="B13" s="87" t="s">
        <v>186</v>
      </c>
      <c r="C13" s="88"/>
      <c r="D13" s="88"/>
      <c r="E13" s="33">
        <v>10</v>
      </c>
      <c r="F13" s="45">
        <v>7.5</v>
      </c>
      <c r="G13" s="46">
        <f t="shared" si="0"/>
        <v>0.75</v>
      </c>
      <c r="H13" s="28" t="str">
        <f t="shared" si="1"/>
        <v>جيد</v>
      </c>
      <c r="I13" s="85"/>
      <c r="J13" s="86"/>
    </row>
    <row r="14" spans="1:10" ht="39.950000000000003" customHeight="1" thickBot="1">
      <c r="A14" s="11"/>
      <c r="B14" s="87" t="s">
        <v>187</v>
      </c>
      <c r="C14" s="88"/>
      <c r="D14" s="88"/>
      <c r="E14" s="10">
        <v>10</v>
      </c>
      <c r="F14" s="45">
        <v>7.25</v>
      </c>
      <c r="G14" s="46">
        <f t="shared" si="0"/>
        <v>0.72499999999999998</v>
      </c>
      <c r="H14" s="28" t="str">
        <f t="shared" si="1"/>
        <v>جيد</v>
      </c>
      <c r="I14" s="85"/>
      <c r="J14" s="86"/>
    </row>
    <row r="15" spans="1:10" ht="57" customHeight="1" thickBot="1">
      <c r="A15" s="11"/>
      <c r="B15" s="87" t="s">
        <v>188</v>
      </c>
      <c r="C15" s="88"/>
      <c r="D15" s="88"/>
      <c r="E15" s="10">
        <v>10</v>
      </c>
      <c r="F15" s="45">
        <v>7.75</v>
      </c>
      <c r="G15" s="46">
        <f t="shared" si="0"/>
        <v>0.77500000000000002</v>
      </c>
      <c r="H15" s="28" t="str">
        <f t="shared" si="1"/>
        <v>جيد</v>
      </c>
      <c r="I15" s="85"/>
      <c r="J15" s="86"/>
    </row>
    <row r="16" spans="1:10" ht="39.950000000000003" customHeight="1" thickBot="1">
      <c r="A16" s="11"/>
      <c r="B16" s="87" t="s">
        <v>189</v>
      </c>
      <c r="C16" s="88"/>
      <c r="D16" s="88"/>
      <c r="E16" s="10">
        <v>10</v>
      </c>
      <c r="F16" s="45">
        <v>7.25</v>
      </c>
      <c r="G16" s="46">
        <f t="shared" si="0"/>
        <v>0.72499999999999998</v>
      </c>
      <c r="H16" s="28" t="str">
        <f t="shared" si="1"/>
        <v>جيد</v>
      </c>
      <c r="I16" s="85"/>
      <c r="J16" s="86"/>
    </row>
    <row r="17" spans="1:10" ht="39.950000000000003" customHeight="1" thickBot="1">
      <c r="A17" s="11"/>
      <c r="B17" s="87" t="s">
        <v>190</v>
      </c>
      <c r="C17" s="88"/>
      <c r="D17" s="88"/>
      <c r="E17" s="10">
        <v>5</v>
      </c>
      <c r="F17" s="45">
        <v>3.5</v>
      </c>
      <c r="G17" s="46">
        <f t="shared" si="0"/>
        <v>0.7</v>
      </c>
      <c r="H17" s="28" t="str">
        <f t="shared" si="1"/>
        <v>جيد</v>
      </c>
      <c r="I17" s="85"/>
      <c r="J17" s="86"/>
    </row>
    <row r="18" spans="1:10" ht="39.950000000000003" customHeight="1">
      <c r="A18" s="11"/>
      <c r="B18" s="99" t="s">
        <v>191</v>
      </c>
      <c r="C18" s="100"/>
      <c r="D18" s="100"/>
      <c r="E18" s="30"/>
      <c r="F18" s="40"/>
      <c r="G18" s="41"/>
      <c r="H18" s="42"/>
      <c r="I18" s="79"/>
      <c r="J18" s="80"/>
    </row>
    <row r="19" spans="1:10" ht="51" customHeight="1">
      <c r="A19" s="11"/>
      <c r="B19" s="91" t="s">
        <v>192</v>
      </c>
      <c r="C19" s="92"/>
      <c r="D19" s="92"/>
      <c r="E19" s="9">
        <v>6</v>
      </c>
      <c r="F19" s="27">
        <v>4.25</v>
      </c>
      <c r="G19" s="38">
        <f t="shared" si="0"/>
        <v>0.70833333333333337</v>
      </c>
      <c r="H19" s="39" t="str">
        <f t="shared" si="1"/>
        <v>جيد</v>
      </c>
      <c r="I19" s="52"/>
      <c r="J19" s="53"/>
    </row>
    <row r="20" spans="1:10" ht="39.950000000000003" customHeight="1">
      <c r="A20" s="11"/>
      <c r="B20" s="91" t="s">
        <v>193</v>
      </c>
      <c r="C20" s="92"/>
      <c r="D20" s="92"/>
      <c r="E20" s="9">
        <v>6</v>
      </c>
      <c r="F20" s="27">
        <v>4.75</v>
      </c>
      <c r="G20" s="38">
        <f t="shared" si="0"/>
        <v>0.79166666666666663</v>
      </c>
      <c r="H20" s="39" t="str">
        <f t="shared" si="1"/>
        <v>جيد</v>
      </c>
      <c r="I20" s="52"/>
      <c r="J20" s="53"/>
    </row>
    <row r="21" spans="1:10" ht="39.950000000000003" customHeight="1" thickBot="1">
      <c r="A21" s="11"/>
      <c r="B21" s="93" t="s">
        <v>194</v>
      </c>
      <c r="C21" s="94"/>
      <c r="D21" s="94"/>
      <c r="E21" s="34">
        <v>6</v>
      </c>
      <c r="F21" s="29">
        <v>4.75</v>
      </c>
      <c r="G21" s="43">
        <f t="shared" si="0"/>
        <v>0.79166666666666663</v>
      </c>
      <c r="H21" s="44" t="str">
        <f t="shared" si="1"/>
        <v>جيد</v>
      </c>
      <c r="I21" s="56"/>
      <c r="J21" s="57"/>
    </row>
    <row r="22" spans="1:10" ht="39.950000000000003" customHeight="1">
      <c r="A22" s="11"/>
      <c r="B22" s="89" t="s">
        <v>195</v>
      </c>
      <c r="C22" s="90"/>
      <c r="D22" s="90"/>
      <c r="E22" s="35"/>
      <c r="F22" s="40"/>
      <c r="G22" s="41"/>
      <c r="H22" s="42"/>
      <c r="I22" s="79"/>
      <c r="J22" s="80"/>
    </row>
    <row r="23" spans="1:10" ht="39.950000000000003" customHeight="1">
      <c r="A23" s="11"/>
      <c r="B23" s="91" t="s">
        <v>196</v>
      </c>
      <c r="C23" s="92"/>
      <c r="D23" s="92"/>
      <c r="E23" s="31">
        <v>6</v>
      </c>
      <c r="F23" s="27">
        <v>4.75</v>
      </c>
      <c r="G23" s="38">
        <f t="shared" si="0"/>
        <v>0.79166666666666663</v>
      </c>
      <c r="H23" s="39" t="str">
        <f t="shared" si="1"/>
        <v>جيد</v>
      </c>
      <c r="I23" s="52"/>
      <c r="J23" s="53"/>
    </row>
    <row r="24" spans="1:10" ht="51" customHeight="1">
      <c r="A24" s="11"/>
      <c r="B24" s="91" t="s">
        <v>197</v>
      </c>
      <c r="C24" s="92"/>
      <c r="D24" s="92"/>
      <c r="E24" s="31">
        <v>10</v>
      </c>
      <c r="F24" s="27">
        <v>8.75</v>
      </c>
      <c r="G24" s="38">
        <f t="shared" si="0"/>
        <v>0.875</v>
      </c>
      <c r="H24" s="39" t="str">
        <f t="shared" si="1"/>
        <v>جيد جداً</v>
      </c>
      <c r="I24" s="52"/>
      <c r="J24" s="53"/>
    </row>
    <row r="25" spans="1:10" ht="39.950000000000003" customHeight="1" thickBot="1">
      <c r="A25" s="11"/>
      <c r="B25" s="93" t="s">
        <v>198</v>
      </c>
      <c r="C25" s="94"/>
      <c r="D25" s="94"/>
      <c r="E25" s="32">
        <v>5</v>
      </c>
      <c r="F25" s="29">
        <v>4</v>
      </c>
      <c r="G25" s="43">
        <f t="shared" si="0"/>
        <v>0.8</v>
      </c>
      <c r="H25" s="44" t="str">
        <f t="shared" si="1"/>
        <v>جيد جداً</v>
      </c>
      <c r="I25" s="56"/>
      <c r="J25" s="57"/>
    </row>
    <row r="26" spans="1:10" ht="39.950000000000003" customHeight="1">
      <c r="A26" s="11"/>
      <c r="B26" s="99" t="s">
        <v>199</v>
      </c>
      <c r="C26" s="100"/>
      <c r="D26" s="100"/>
      <c r="E26" s="30"/>
      <c r="F26" s="40"/>
      <c r="G26" s="41"/>
      <c r="H26" s="42"/>
      <c r="I26" s="79"/>
      <c r="J26" s="80"/>
    </row>
    <row r="27" spans="1:10" ht="39.950000000000003" customHeight="1">
      <c r="A27" s="11"/>
      <c r="B27" s="91" t="s">
        <v>200</v>
      </c>
      <c r="C27" s="92"/>
      <c r="D27" s="92"/>
      <c r="E27" s="9">
        <v>10</v>
      </c>
      <c r="F27" s="27">
        <v>7.75</v>
      </c>
      <c r="G27" s="38">
        <f t="shared" si="0"/>
        <v>0.77500000000000002</v>
      </c>
      <c r="H27" s="39" t="str">
        <f t="shared" si="1"/>
        <v>جيد</v>
      </c>
      <c r="I27" s="52"/>
      <c r="J27" s="53"/>
    </row>
    <row r="28" spans="1:10" ht="39.950000000000003" customHeight="1" thickBot="1">
      <c r="A28" s="11"/>
      <c r="B28" s="93" t="s">
        <v>201</v>
      </c>
      <c r="C28" s="94"/>
      <c r="D28" s="94"/>
      <c r="E28" s="34">
        <v>10</v>
      </c>
      <c r="F28" s="29">
        <v>8</v>
      </c>
      <c r="G28" s="43">
        <f t="shared" si="0"/>
        <v>0.8</v>
      </c>
      <c r="H28" s="44" t="str">
        <f t="shared" si="1"/>
        <v>جيد جداً</v>
      </c>
      <c r="I28" s="56"/>
      <c r="J28" s="57"/>
    </row>
    <row r="29" spans="1:10" ht="39.950000000000003" customHeight="1">
      <c r="A29" s="11"/>
      <c r="B29" s="89" t="s">
        <v>202</v>
      </c>
      <c r="C29" s="90"/>
      <c r="D29" s="90"/>
      <c r="E29" s="30"/>
      <c r="F29" s="40"/>
      <c r="G29" s="41"/>
      <c r="H29" s="42"/>
      <c r="I29" s="79"/>
      <c r="J29" s="80"/>
    </row>
    <row r="30" spans="1:10" ht="39.950000000000003" customHeight="1">
      <c r="A30" s="11"/>
      <c r="B30" s="95" t="s">
        <v>203</v>
      </c>
      <c r="C30" s="96"/>
      <c r="D30" s="96"/>
      <c r="E30" s="9">
        <v>5</v>
      </c>
      <c r="F30" s="27">
        <v>3.75</v>
      </c>
      <c r="G30" s="38">
        <f t="shared" si="0"/>
        <v>0.75</v>
      </c>
      <c r="H30" s="39" t="str">
        <f t="shared" si="1"/>
        <v>جيد</v>
      </c>
      <c r="I30" s="52"/>
      <c r="J30" s="53"/>
    </row>
    <row r="31" spans="1:10" ht="39.950000000000003" customHeight="1">
      <c r="A31" s="11"/>
      <c r="B31" s="95" t="s">
        <v>204</v>
      </c>
      <c r="C31" s="96"/>
      <c r="D31" s="96"/>
      <c r="E31" s="9">
        <v>6</v>
      </c>
      <c r="F31" s="27">
        <v>4.5</v>
      </c>
      <c r="G31" s="38">
        <f t="shared" si="0"/>
        <v>0.75</v>
      </c>
      <c r="H31" s="39" t="str">
        <f t="shared" si="1"/>
        <v>جيد</v>
      </c>
      <c r="I31" s="52"/>
      <c r="J31" s="53"/>
    </row>
    <row r="32" spans="1:10" ht="39.950000000000003" customHeight="1">
      <c r="A32" s="11"/>
      <c r="B32" s="95" t="s">
        <v>205</v>
      </c>
      <c r="C32" s="96"/>
      <c r="D32" s="96"/>
      <c r="E32" s="9">
        <v>6</v>
      </c>
      <c r="F32" s="27">
        <v>5</v>
      </c>
      <c r="G32" s="38">
        <f t="shared" si="0"/>
        <v>0.83333333333333337</v>
      </c>
      <c r="H32" s="39" t="str">
        <f t="shared" si="1"/>
        <v>جيد جداً</v>
      </c>
      <c r="I32" s="52"/>
      <c r="J32" s="53"/>
    </row>
    <row r="33" spans="1:10" ht="39.950000000000003" customHeight="1" thickBot="1">
      <c r="A33" s="11"/>
      <c r="B33" s="97" t="s">
        <v>206</v>
      </c>
      <c r="C33" s="98"/>
      <c r="D33" s="98"/>
      <c r="E33" s="32">
        <v>6</v>
      </c>
      <c r="F33" s="29">
        <v>4.75</v>
      </c>
      <c r="G33" s="43">
        <f t="shared" si="0"/>
        <v>0.79166666666666663</v>
      </c>
      <c r="H33" s="44" t="str">
        <f t="shared" si="1"/>
        <v>جيد</v>
      </c>
      <c r="I33" s="56"/>
      <c r="J33" s="57"/>
    </row>
    <row r="34" spans="1:10" ht="30" customHeight="1" thickBot="1">
      <c r="A34" s="4"/>
      <c r="B34" s="81" t="s">
        <v>5</v>
      </c>
      <c r="C34" s="82"/>
      <c r="D34" s="82"/>
      <c r="E34" s="37">
        <f>SUM(E8:E33)</f>
        <v>150</v>
      </c>
      <c r="F34" s="37">
        <f>SUM(F8:F33)</f>
        <v>115.5</v>
      </c>
      <c r="G34" s="49"/>
      <c r="H34" s="50"/>
      <c r="I34" s="50"/>
      <c r="J34" s="51"/>
    </row>
    <row r="35" spans="1:10" ht="30" customHeight="1" thickBot="1">
      <c r="A35" s="4"/>
      <c r="B35" s="83" t="s">
        <v>54</v>
      </c>
      <c r="C35" s="84"/>
      <c r="D35" s="84"/>
      <c r="E35" s="71">
        <f>F34/E34/100*100</f>
        <v>0.77</v>
      </c>
      <c r="F35" s="71"/>
      <c r="G35" s="71"/>
      <c r="H35" s="71"/>
      <c r="I35" s="71"/>
      <c r="J35" s="72"/>
    </row>
    <row r="36" spans="1:10" ht="30" customHeight="1" thickBot="1">
      <c r="A36" s="4"/>
      <c r="B36" s="83" t="s">
        <v>55</v>
      </c>
      <c r="C36" s="84"/>
      <c r="D36" s="84"/>
      <c r="E36" s="62" t="str">
        <f>_xlfn.IFS(E35&gt;=90%,"ممتاز",E35&gt;=80%,"جيد جداً",E35&gt;=70%,"جيد",E35&gt;=60%,"مقبول",E35&lt;60%,"راسب")</f>
        <v>جيد</v>
      </c>
      <c r="F36" s="62"/>
      <c r="G36" s="62"/>
      <c r="H36" s="62"/>
      <c r="I36" s="62"/>
      <c r="J36" s="63"/>
    </row>
    <row r="37" spans="1:10" ht="42" customHeight="1">
      <c r="B37" s="58" t="s">
        <v>174</v>
      </c>
      <c r="C37" s="58"/>
      <c r="D37" s="58"/>
      <c r="E37" s="47" t="s">
        <v>52</v>
      </c>
      <c r="F37" s="47"/>
      <c r="G37" s="60" t="s">
        <v>141</v>
      </c>
      <c r="H37" s="60"/>
      <c r="I37" s="60"/>
      <c r="J37" s="60"/>
    </row>
    <row r="38" spans="1:10" ht="51" customHeight="1">
      <c r="A38" s="5"/>
      <c r="B38" s="59"/>
      <c r="C38" s="59"/>
      <c r="D38" s="59"/>
      <c r="E38" s="48" t="s">
        <v>53</v>
      </c>
      <c r="F38" s="48"/>
      <c r="G38" s="61"/>
      <c r="H38" s="61"/>
      <c r="I38" s="61"/>
      <c r="J38" s="6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8:D8"/>
    <mergeCell ref="B9:D9"/>
    <mergeCell ref="B10:D10"/>
    <mergeCell ref="B11:D11"/>
    <mergeCell ref="B12:D12"/>
    <mergeCell ref="B15:D15"/>
    <mergeCell ref="B16:D16"/>
    <mergeCell ref="I32:J32"/>
    <mergeCell ref="I23:J23"/>
    <mergeCell ref="I24:J24"/>
    <mergeCell ref="I25:J25"/>
    <mergeCell ref="I26:J26"/>
    <mergeCell ref="I27:J27"/>
    <mergeCell ref="B31:D31"/>
    <mergeCell ref="B32:D32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I33:J33"/>
    <mergeCell ref="I8:J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F17 F25 F9 F11:F12 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F10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F13:F16 F24 F27 F28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F19 F20 F21 F23 F31 F32 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6" zoomScaleNormal="100" workbookViewId="0">
      <selection activeCell="C33" sqref="C33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177</v>
      </c>
    </row>
    <row r="30" spans="1:3" ht="20.100000000000001" customHeight="1" thickBot="1">
      <c r="A30" s="2" t="s">
        <v>32</v>
      </c>
      <c r="C30" s="20" t="s">
        <v>178</v>
      </c>
    </row>
    <row r="31" spans="1:3" ht="20.100000000000001" customHeight="1" thickBot="1">
      <c r="A31" s="2" t="s">
        <v>33</v>
      </c>
      <c r="C31" s="20" t="s">
        <v>179</v>
      </c>
    </row>
    <row r="32" spans="1:3" ht="20.100000000000001" customHeight="1" thickBot="1">
      <c r="A32" s="2" t="s">
        <v>16</v>
      </c>
      <c r="C32" s="20"/>
    </row>
    <row r="33" spans="1:9" ht="20.100000000000001" customHeight="1" thickBot="1">
      <c r="A33" s="2" t="s">
        <v>14</v>
      </c>
      <c r="C33" s="20"/>
    </row>
    <row r="34" spans="1:9" ht="20.100000000000001" customHeight="1" thickBot="1">
      <c r="A34" s="2" t="s">
        <v>34</v>
      </c>
      <c r="C34" s="20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45901</v>
      </c>
    </row>
    <row r="40" spans="1:9" ht="20.100000000000001" customHeight="1" thickBot="1">
      <c r="A40" s="14">
        <v>45902</v>
      </c>
    </row>
    <row r="41" spans="1:9" ht="20.100000000000001" customHeight="1" thickBot="1">
      <c r="A41" s="14">
        <v>45903</v>
      </c>
    </row>
    <row r="42" spans="1:9" ht="20.100000000000001" customHeight="1" thickBot="1">
      <c r="A42" s="14">
        <v>45904</v>
      </c>
    </row>
    <row r="43" spans="1:9" ht="20.100000000000001" customHeight="1" thickBot="1">
      <c r="A43" s="14">
        <v>45905</v>
      </c>
    </row>
    <row r="44" spans="1:9" ht="20.100000000000001" customHeight="1" thickBot="1">
      <c r="A44" s="14">
        <v>45906</v>
      </c>
    </row>
    <row r="45" spans="1:9" ht="20.100000000000001" customHeight="1" thickBot="1">
      <c r="A45" s="14">
        <v>45907</v>
      </c>
    </row>
    <row r="46" spans="1:9" ht="20.100000000000001" customHeight="1" thickBot="1">
      <c r="A46" s="14">
        <v>45908</v>
      </c>
    </row>
    <row r="47" spans="1:9" ht="20.100000000000001" customHeight="1" thickBot="1">
      <c r="A47" s="14">
        <v>45909</v>
      </c>
    </row>
    <row r="48" spans="1:9" ht="20.100000000000001" customHeight="1" thickBot="1">
      <c r="A48" s="14">
        <v>45910</v>
      </c>
    </row>
    <row r="49" spans="1:1" ht="20.100000000000001" customHeight="1" thickBot="1">
      <c r="A49" s="14">
        <v>45911</v>
      </c>
    </row>
    <row r="50" spans="1:1" ht="20.100000000000001" customHeight="1" thickBot="1">
      <c r="A50" s="14">
        <v>45912</v>
      </c>
    </row>
    <row r="51" spans="1:1" ht="20.100000000000001" customHeight="1" thickBot="1">
      <c r="A51" s="14">
        <v>45913</v>
      </c>
    </row>
    <row r="52" spans="1:1" ht="20.100000000000001" customHeight="1" thickBot="1">
      <c r="A52" s="14">
        <v>45914</v>
      </c>
    </row>
    <row r="53" spans="1:1" ht="20.100000000000001" customHeight="1" thickBot="1">
      <c r="A53" s="14">
        <v>45915</v>
      </c>
    </row>
    <row r="54" spans="1:1" ht="20.100000000000001" customHeight="1" thickBot="1">
      <c r="A54" s="14">
        <v>45916</v>
      </c>
    </row>
    <row r="55" spans="1:1" ht="20.100000000000001" customHeight="1" thickBot="1">
      <c r="A55" s="14">
        <v>45917</v>
      </c>
    </row>
    <row r="56" spans="1:1" ht="20.100000000000001" customHeight="1" thickBot="1">
      <c r="A56" s="14">
        <v>45918</v>
      </c>
    </row>
    <row r="57" spans="1:1" ht="20.100000000000001" customHeight="1" thickBot="1">
      <c r="A57" s="14">
        <v>45919</v>
      </c>
    </row>
    <row r="58" spans="1:1" ht="20.100000000000001" customHeight="1" thickBot="1">
      <c r="A58" s="14">
        <v>45920</v>
      </c>
    </row>
    <row r="59" spans="1:1" ht="20.100000000000001" customHeight="1" thickBot="1">
      <c r="A59" s="14">
        <v>45921</v>
      </c>
    </row>
    <row r="60" spans="1:1" ht="20.100000000000001" customHeight="1" thickBot="1">
      <c r="A60" s="14">
        <v>45922</v>
      </c>
    </row>
    <row r="61" spans="1:1" ht="20.100000000000001" customHeight="1" thickBot="1">
      <c r="A61" s="14">
        <v>45923</v>
      </c>
    </row>
    <row r="62" spans="1:1" ht="20.100000000000001" customHeight="1" thickBot="1">
      <c r="A62" s="14">
        <v>45924</v>
      </c>
    </row>
    <row r="63" spans="1:1" ht="20.100000000000001" customHeight="1" thickBot="1">
      <c r="A63" s="14">
        <v>45925</v>
      </c>
    </row>
    <row r="64" spans="1:1" ht="20.100000000000001" customHeight="1" thickBot="1">
      <c r="A64" s="14">
        <v>45926</v>
      </c>
    </row>
    <row r="65" spans="1:1" ht="20.100000000000001" customHeight="1" thickBot="1">
      <c r="A65" s="14">
        <v>45927</v>
      </c>
    </row>
    <row r="66" spans="1:1" ht="20.100000000000001" customHeight="1" thickBot="1">
      <c r="A66" s="14">
        <v>45928</v>
      </c>
    </row>
    <row r="67" spans="1:1" ht="20.100000000000001" customHeight="1" thickBot="1">
      <c r="A67" s="14">
        <v>45929</v>
      </c>
    </row>
    <row r="68" spans="1:1" ht="20.100000000000001" customHeight="1" thickBot="1">
      <c r="A68" s="14">
        <v>45930</v>
      </c>
    </row>
    <row r="69" spans="1:1" ht="20.100000000000001" customHeight="1" thickBot="1">
      <c r="A69" s="14">
        <v>45931</v>
      </c>
    </row>
    <row r="70" spans="1:1" ht="20.100000000000001" customHeight="1" thickBot="1">
      <c r="A70" s="14">
        <v>45932</v>
      </c>
    </row>
    <row r="71" spans="1:1" ht="20.100000000000001" customHeight="1" thickBot="1">
      <c r="A71" s="14">
        <v>45933</v>
      </c>
    </row>
    <row r="72" spans="1:1" ht="20.100000000000001" customHeight="1" thickBot="1">
      <c r="A72" s="14">
        <v>45934</v>
      </c>
    </row>
    <row r="73" spans="1:1" ht="20.100000000000001" customHeight="1" thickBot="1">
      <c r="A73" s="14">
        <v>45935</v>
      </c>
    </row>
    <row r="74" spans="1:1" ht="20.100000000000001" customHeight="1" thickBot="1">
      <c r="A74" s="14">
        <v>45936</v>
      </c>
    </row>
    <row r="75" spans="1:1" ht="20.100000000000001" customHeight="1" thickBot="1">
      <c r="A75" s="14">
        <v>45937</v>
      </c>
    </row>
    <row r="76" spans="1:1" ht="20.100000000000001" customHeight="1" thickBot="1">
      <c r="A76" s="14">
        <v>45938</v>
      </c>
    </row>
    <row r="77" spans="1:1" ht="20.100000000000001" customHeight="1" thickBot="1">
      <c r="A77" s="14">
        <v>45939</v>
      </c>
    </row>
    <row r="78" spans="1:1" ht="20.100000000000001" customHeight="1" thickBot="1">
      <c r="A78" s="14">
        <v>45940</v>
      </c>
    </row>
    <row r="79" spans="1:1" ht="20.100000000000001" customHeight="1" thickBot="1">
      <c r="A79" s="14">
        <v>45941</v>
      </c>
    </row>
    <row r="80" spans="1:1" ht="20.100000000000001" customHeight="1" thickBot="1">
      <c r="A80" s="14">
        <v>45942</v>
      </c>
    </row>
    <row r="81" spans="1:1" ht="20.100000000000001" customHeight="1" thickBot="1">
      <c r="A81" s="14">
        <v>45943</v>
      </c>
    </row>
    <row r="82" spans="1:1" ht="20.100000000000001" customHeight="1" thickBot="1">
      <c r="A82" s="14">
        <v>45944</v>
      </c>
    </row>
    <row r="83" spans="1:1" ht="20.100000000000001" customHeight="1" thickBot="1">
      <c r="A83" s="14">
        <v>45945</v>
      </c>
    </row>
    <row r="84" spans="1:1" ht="20.100000000000001" customHeight="1" thickBot="1">
      <c r="A84" s="14">
        <v>45946</v>
      </c>
    </row>
    <row r="85" spans="1:1" ht="20.100000000000001" customHeight="1" thickBot="1">
      <c r="A85" s="14">
        <v>45947</v>
      </c>
    </row>
    <row r="86" spans="1:1" ht="20.100000000000001" customHeight="1" thickBot="1">
      <c r="A86" s="14">
        <v>45948</v>
      </c>
    </row>
    <row r="87" spans="1:1" ht="20.100000000000001" customHeight="1" thickBot="1">
      <c r="A87" s="14">
        <v>45949</v>
      </c>
    </row>
    <row r="88" spans="1:1" ht="20.100000000000001" customHeight="1" thickBot="1">
      <c r="A88" s="14">
        <v>45950</v>
      </c>
    </row>
    <row r="89" spans="1:1" ht="20.100000000000001" customHeight="1" thickBot="1">
      <c r="A89" s="14">
        <v>45951</v>
      </c>
    </row>
    <row r="90" spans="1:1" ht="20.100000000000001" customHeight="1" thickBot="1">
      <c r="A90" s="14">
        <v>45952</v>
      </c>
    </row>
    <row r="91" spans="1:1" ht="20.100000000000001" customHeight="1" thickBot="1">
      <c r="A91" s="14">
        <v>45953</v>
      </c>
    </row>
    <row r="92" spans="1:1" ht="20.100000000000001" customHeight="1" thickBot="1">
      <c r="A92" s="14">
        <v>45954</v>
      </c>
    </row>
    <row r="93" spans="1:1" ht="20.100000000000001" customHeight="1" thickBot="1">
      <c r="A93" s="14">
        <v>45955</v>
      </c>
    </row>
    <row r="94" spans="1:1" ht="20.100000000000001" customHeight="1" thickBot="1">
      <c r="A94" s="14">
        <v>45956</v>
      </c>
    </row>
    <row r="95" spans="1:1" ht="20.100000000000001" customHeight="1" thickBot="1">
      <c r="A95" s="14">
        <v>45957</v>
      </c>
    </row>
    <row r="96" spans="1:1" ht="20.100000000000001" customHeight="1" thickBot="1">
      <c r="A96" s="14">
        <v>45958</v>
      </c>
    </row>
    <row r="97" spans="1:9" ht="20.100000000000001" customHeight="1" thickBot="1">
      <c r="A97" s="14">
        <v>45959</v>
      </c>
    </row>
    <row r="98" spans="1:9" ht="20.100000000000001" customHeight="1" thickBot="1">
      <c r="A98" s="14">
        <v>45960</v>
      </c>
    </row>
    <row r="99" spans="1:9" ht="20.100000000000001" customHeight="1" thickBot="1">
      <c r="A99" s="14">
        <v>45961</v>
      </c>
    </row>
    <row r="100" spans="1:9" ht="20.100000000000001" customHeight="1" thickBot="1">
      <c r="A100" s="14">
        <v>45962</v>
      </c>
    </row>
    <row r="101" spans="1:9" ht="20.100000000000001" customHeight="1" thickBot="1">
      <c r="A101" s="14">
        <v>45963</v>
      </c>
    </row>
    <row r="102" spans="1:9" ht="20.100000000000001" customHeight="1" thickBot="1">
      <c r="A102" s="14">
        <v>45964</v>
      </c>
    </row>
    <row r="103" spans="1:9" ht="20.100000000000001" customHeight="1" thickBot="1">
      <c r="A103" s="14">
        <v>45965</v>
      </c>
    </row>
    <row r="104" spans="1:9" ht="20.100000000000001" customHeight="1" thickBot="1">
      <c r="A104" s="14">
        <v>45966</v>
      </c>
    </row>
    <row r="105" spans="1:9" ht="20.100000000000001" customHeight="1" thickBot="1">
      <c r="A105" s="14">
        <v>45967</v>
      </c>
    </row>
    <row r="106" spans="1:9" ht="20.100000000000001" customHeight="1" thickBot="1">
      <c r="A106" s="14">
        <v>45968</v>
      </c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2025-09-22T05:44:47Z</dcterms:modified>
</cp:coreProperties>
</file>