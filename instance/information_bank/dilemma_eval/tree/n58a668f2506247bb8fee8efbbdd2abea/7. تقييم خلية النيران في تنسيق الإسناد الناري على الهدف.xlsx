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6B4991B-A0E3-7A43-850B-06C2662CEAB9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<sst xmlns="http://schemas.openxmlformats.org/spreadsheetml/2006/main" count="255" uniqueCount="199">
  <si>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</si>
  <si>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</si>
  <si>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</si>
  <si>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</si>
  <si>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</si>
  <si>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</si>
  <si>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</si>
  <si>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</si>
  <si>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</si>
  <si>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</si>
  <si>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</si>
  <si>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</si>
  <si>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</si>
  <si>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</si>
  <si>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</si>
  <si>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</si>
  <si>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</si>
  <si>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</si>
  <si>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</si>
  <si>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</si>
  <si>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</si>
  <si>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</si>
  <si>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</si>
  <si>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</si>
  <si>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</si>
  <si>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</si>
  <si>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</si>
  <si>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</si>
  <si>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</si>
  <si>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</si>
  <si>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</si>
  <si>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</si>
  <si>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</si>
  <si>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</si>
  <si>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</si>
  <si>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</si>
  <si>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</si>
  <si>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</si>
  <si>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</si>
  <si>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</si>
  <si>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</si>
  <si>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</si>
  <si>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</si>
  <si>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</si>
  <si>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</si>
  <si>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</si>
  <si>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</si>
  <si>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</si>
  <si>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</si>
  <si>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</si>
  <si>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</si>
  <si>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</si>
  <si>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</si>
  <si>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</si>
  <si>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</si>
  <si>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</si>
  <si>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</si>
  <si>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</si>
  <si>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</si>
  <si>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</si>
  <si>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</si>
  <si>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</si>
  <si>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</si>
  <si>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</si>
  <si>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</si>
  <si>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</si>
  <si>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</si>
  <si>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</si>
  <si>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</si>
  <si>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</si>
  <si>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</si>
  <si>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</si>
  <si>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</si>
  <si>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</si>
  <si>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</si>
  <si>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</si>
  <si>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</si>
  <si>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</si>
  <si>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</si>
  <si>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</si>
  <si>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</si>
  <si>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</si>
  <si>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</si>
  <si>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</si>
  <si>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</si>
  <si>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</si>
  <si>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</si>
  <si>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</si>
  <si>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</si>
  <si>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</si>
  <si>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</si>
  <si>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</si>
  <si>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</si>
  <si>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</si>
  <si>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</si>
  <si>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</si>
  <si>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</si>
  <si>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</si>
  <si>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</si>
  <si>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</si>
  <si>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</si>
  <si>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</si>
  <si>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</si>
  <si>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</si>
  <si>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</si>
  <si>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</si>
  <si>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</si>
  <si>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</si>
  <si>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</si>
  <si>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</si>
  <si>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</si>
  <si>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</si>
  <si>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</si>
  <si>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</si>
  <si>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</si>
  <si>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</si>
  <si>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</si>
  <si>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</si>
  <si>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</si>
  <si>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</si>
  <si>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</si>
  <si>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</si>
  <si>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</si>
  <si>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</si>
  <si>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</si>
  <si>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</si>
  <si>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</si>
  <si>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</si>
  <si>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</si>
  <si>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</si>
  <si>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</si>
  <si>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</si>
  <si>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</si>
  <si>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</si>
  <si>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</si>
  <si>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</si>
  <si>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</si>
  <si>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</si>
  <si>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</si>
  <si>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</si>
  <si>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</si>
  <si>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</si>
  <si>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</si>
  <si>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</si>
  <si>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</si>
  <si>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</si>
  <si>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</si>
  <si>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</si>
  <si>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</si>
  <si>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</si>
  <si>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</si>
  <si>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</si>
  <si>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</si>
  <si>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</si>
  <si>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</si>
  <si>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</si>
  <si>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</si>
  <si>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</si>
  <si>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</si>
  <si>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</si>
  <si>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</si>
  <si>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</si>
  <si>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</si>
  <si>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</si>
  <si>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</si>
  <si>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</si>
  <si>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</si>
  <si>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</si>
  <si>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</si>
  <si>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</si>
  <si>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</si>
  <si>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</si>
  <si>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</si>
  <si>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</si>
  <si>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</si>
  <si>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</si>
  <si>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أ.     يطلب ضابط الإسناد الناري التقييم من ضباط الرصد.</t>
  </si>
  <si>
    <t>ب.   يطلب ضابط الإسناد الناري من خلال ضابط الاستخبارات تقييم الأضرار على الأهداف المحددة.</t>
  </si>
  <si>
    <t>أ.    إدامة المعلومات عن حالة عناصر الإسناد الناري المتوفرة لتشمل ما يلي:</t>
  </si>
  <si>
    <t>(1)  المواقع.</t>
  </si>
  <si>
    <t>(2)  المهام.</t>
  </si>
  <si>
    <t>(3)  الإمكانيات.</t>
  </si>
  <si>
    <t>(4)  موقف الذخيرة.</t>
  </si>
  <si>
    <t>(5)  حالة المعدات.</t>
  </si>
  <si>
    <t>ب.   جمع وإدامة ومعرفة موقف القوات الصديقة لتشمل:</t>
  </si>
  <si>
    <t>(1)  مخططات المناورة.</t>
  </si>
  <si>
    <t>(2)  مواقع قوات المناورة ومواقع عناصر الإسناد الإداري والنقليات.</t>
  </si>
  <si>
    <t>(3)  أماكن ضباط الرصد كما تم التبليغ عنها.</t>
  </si>
  <si>
    <t>(4)  موانع القوات الصديقة وموانع العدو.</t>
  </si>
  <si>
    <t xml:space="preserve">جـ.   توقع أين ومتى يحتاج ضابط الإسناد الناري لاتخاذ قرار أو توصيات أو القيام بإجراء.  </t>
  </si>
  <si>
    <t>د.   البقاء على اطلاع على تغييرات خطة المناورة والنيران أثناء المعركة.</t>
  </si>
  <si>
    <r>
      <t>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مراقبة شبكات الاتصالات للوحدات لضمان اتباع الإجراءات المحددة.</t>
    </r>
  </si>
  <si>
    <r>
      <t>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كافة معلومات تحديد الأهداف الحالية في قائمة البيانات المناسبة.</t>
    </r>
  </si>
  <si>
    <r>
      <t>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يقوم ضابط الإسناد الناري بتنسيق طلبات الإسناد الناري المخططة وذلك من خلال:</t>
    </r>
    <r>
      <rPr>
        <sz val="14"/>
        <color theme="1"/>
        <rFont val="Calibri Light"/>
        <family val="2"/>
      </rPr>
      <t xml:space="preserve">  </t>
    </r>
  </si>
  <si>
    <t>ب.    رد الفعل على المواقف المتغيرة.</t>
  </si>
  <si>
    <t>أ.     استلام طلبات الوحدات للنيران المخططة (القصف التمهيدي - الأهداف ذات الأولوية - الأهداف تحت الطلب - القصف المعاكس).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</si>
  <si>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يقوم ضابط الإسناد الناري بعمل تقييم للعمليات القتالية من خلال: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</si>
  <si>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يراقب ضابط الإسناد الناري الموقف الحالي ويشمل:</t>
    </r>
  </si>
  <si>
    <r>
      <rPr>
        <b/>
        <sz val="14"/>
        <color rgb="FF000000"/>
        <rFont val="Arial"/>
        <family val="2"/>
      </rPr>
      <t>تقييم الكتيبة/ مجموعة القتال في استخدام النيران المميتة في إسناد الكتيبة/ مجموعة القتال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</si>
</sst>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B20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9" t="s">
        <v>198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2">
      <c r="B2" s="12" t="s">
        <v>8</v>
      </c>
      <c r="C2" s="65" t="s">
        <v>40</v>
      </c>
      <c r="D2" s="65"/>
      <c r="E2" s="12" t="s">
        <v>7</v>
      </c>
      <c r="F2" s="60">
        <v>45957</v>
      </c>
      <c r="G2" s="60"/>
      <c r="H2" s="60"/>
      <c r="I2" s="60"/>
      <c r="J2" s="60"/>
    </row>
    <row r="3" spans="1:10" ht="30" customHeight="1" x14ac:dyDescent="0.2">
      <c r="B3" s="12" t="s">
        <v>9</v>
      </c>
      <c r="C3" s="65" t="s">
        <v>81</v>
      </c>
      <c r="D3" s="65"/>
      <c r="E3" s="12" t="s">
        <v>6</v>
      </c>
      <c r="F3" s="65" t="s">
        <v>59</v>
      </c>
      <c r="G3" s="65"/>
      <c r="H3" s="65"/>
      <c r="I3" s="65"/>
      <c r="J3" s="65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72"/>
      <c r="J6" s="73"/>
    </row>
    <row r="7" spans="1:10" ht="24.95" customHeight="1" thickBot="1" x14ac:dyDescent="0.25">
      <c r="A7" s="10"/>
      <c r="B7" s="68" t="s">
        <v>21</v>
      </c>
      <c r="C7" s="69"/>
      <c r="D7" s="69"/>
      <c r="E7" s="28" t="s">
        <v>18</v>
      </c>
      <c r="F7" s="28" t="s">
        <v>19</v>
      </c>
      <c r="G7" s="28" t="s">
        <v>22</v>
      </c>
      <c r="H7" s="28" t="s">
        <v>20</v>
      </c>
      <c r="I7" s="47" t="s">
        <v>25</v>
      </c>
      <c r="J7" s="48"/>
    </row>
    <row r="8" spans="1:10" ht="39.950000000000003" customHeight="1" x14ac:dyDescent="0.2">
      <c r="A8" s="10"/>
      <c r="B8" s="80" t="s">
        <v>193</v>
      </c>
      <c r="C8" s="81"/>
      <c r="D8" s="81"/>
      <c r="E8" s="33"/>
      <c r="F8" s="34"/>
      <c r="G8" s="35"/>
      <c r="H8" s="36"/>
      <c r="I8" s="51"/>
      <c r="J8" s="52"/>
    </row>
    <row r="9" spans="1:10" ht="39.950000000000003" customHeight="1" x14ac:dyDescent="0.2">
      <c r="A9" s="10"/>
      <c r="B9" s="82" t="s">
        <v>195</v>
      </c>
      <c r="C9" s="83"/>
      <c r="D9" s="83"/>
      <c r="E9" s="9">
        <v>5</v>
      </c>
      <c r="F9" s="26">
        <v>3.5</v>
      </c>
      <c r="G9" s="31">
        <f t="shared" ref="G9" si="0">IFERROR(F9/E9,"")</f>
        <v>0.7</v>
      </c>
      <c r="H9" s="32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x14ac:dyDescent="0.2">
      <c r="A10" s="10"/>
      <c r="B10" s="82" t="s">
        <v>194</v>
      </c>
      <c r="C10" s="83"/>
      <c r="D10" s="83"/>
      <c r="E10" s="9">
        <v>5</v>
      </c>
      <c r="F10" s="26">
        <v>4</v>
      </c>
      <c r="G10" s="31">
        <f t="shared" ref="G10" si="2">IFERROR(F10/E10,"")</f>
        <v>0.8</v>
      </c>
      <c r="H10" s="32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5"/>
      <c r="J10" s="46"/>
    </row>
    <row r="11" spans="1:10" ht="39.950000000000003" customHeight="1" x14ac:dyDescent="0.2">
      <c r="A11" s="10"/>
      <c r="B11" s="84" t="s">
        <v>196</v>
      </c>
      <c r="C11" s="85"/>
      <c r="D11" s="85"/>
      <c r="E11" s="9"/>
      <c r="F11" s="26"/>
      <c r="G11" s="31"/>
      <c r="H11" s="32"/>
      <c r="I11" s="45"/>
      <c r="J11" s="46"/>
    </row>
    <row r="12" spans="1:10" ht="39.950000000000003" customHeight="1" x14ac:dyDescent="0.2">
      <c r="A12" s="10"/>
      <c r="B12" s="82" t="s">
        <v>176</v>
      </c>
      <c r="C12" s="83"/>
      <c r="D12" s="83"/>
      <c r="E12" s="9">
        <v>5</v>
      </c>
      <c r="F12" s="26">
        <v>3.5</v>
      </c>
      <c r="G12" s="31">
        <f t="shared" ref="G12:G29" si="4">IFERROR(F12/E12,"")</f>
        <v>0.7</v>
      </c>
      <c r="H12" s="32" t="str">
        <f t="shared" ref="H12:H29" si="5">_xlfn.IFS(F12="أدخل العلامة","",F12="لا ينطبق","تم الإلغاء",G12&gt;=90%,"ممتاز",G12&gt;=80%,"جيد جداً",G12&gt;=70%,"جيد",G12&gt;=60%,"مقبول",G12&lt;60%,"راسب")</f>
        <v>جيد</v>
      </c>
      <c r="I12" s="45"/>
      <c r="J12" s="46"/>
    </row>
    <row r="13" spans="1:10" ht="39.950000000000003" customHeight="1" x14ac:dyDescent="0.2">
      <c r="A13" s="10"/>
      <c r="B13" s="82" t="s">
        <v>177</v>
      </c>
      <c r="C13" s="83"/>
      <c r="D13" s="83"/>
      <c r="E13" s="9">
        <v>5</v>
      </c>
      <c r="F13" s="26">
        <v>3.75</v>
      </c>
      <c r="G13" s="31">
        <f t="shared" si="4"/>
        <v>0.75</v>
      </c>
      <c r="H13" s="32" t="str">
        <f t="shared" si="5"/>
        <v>جيد</v>
      </c>
      <c r="I13" s="45"/>
      <c r="J13" s="46"/>
    </row>
    <row r="14" spans="1:10" ht="39.950000000000003" customHeight="1" x14ac:dyDescent="0.2">
      <c r="A14" s="10"/>
      <c r="B14" s="84" t="s">
        <v>197</v>
      </c>
      <c r="C14" s="85"/>
      <c r="D14" s="85"/>
      <c r="E14" s="30"/>
      <c r="F14" s="26"/>
      <c r="G14" s="31"/>
      <c r="H14" s="32"/>
      <c r="I14" s="45"/>
      <c r="J14" s="46"/>
    </row>
    <row r="15" spans="1:10" ht="39.950000000000003" customHeight="1" x14ac:dyDescent="0.2">
      <c r="A15" s="10"/>
      <c r="B15" s="82" t="s">
        <v>178</v>
      </c>
      <c r="C15" s="83"/>
      <c r="D15" s="83"/>
      <c r="E15" s="30"/>
      <c r="F15" s="26"/>
      <c r="G15" s="31"/>
      <c r="H15" s="32"/>
      <c r="I15" s="45"/>
      <c r="J15" s="46"/>
    </row>
    <row r="16" spans="1:10" ht="39.950000000000003" customHeight="1" x14ac:dyDescent="0.2">
      <c r="A16" s="10"/>
      <c r="B16" s="78" t="s">
        <v>179</v>
      </c>
      <c r="C16" s="79"/>
      <c r="D16" s="79"/>
      <c r="E16" s="9">
        <v>5</v>
      </c>
      <c r="F16" s="26">
        <v>4</v>
      </c>
      <c r="G16" s="31">
        <f t="shared" si="4"/>
        <v>0.8</v>
      </c>
      <c r="H16" s="32" t="str">
        <f t="shared" si="5"/>
        <v>جيد جداً</v>
      </c>
      <c r="I16" s="45"/>
      <c r="J16" s="46"/>
    </row>
    <row r="17" spans="1:10" ht="39.950000000000003" customHeight="1" x14ac:dyDescent="0.2">
      <c r="A17" s="10"/>
      <c r="B17" s="78" t="s">
        <v>180</v>
      </c>
      <c r="C17" s="79"/>
      <c r="D17" s="79"/>
      <c r="E17" s="9">
        <v>5</v>
      </c>
      <c r="F17" s="26">
        <v>4</v>
      </c>
      <c r="G17" s="31">
        <f t="shared" si="4"/>
        <v>0.8</v>
      </c>
      <c r="H17" s="32" t="str">
        <f t="shared" si="5"/>
        <v>جيد جداً</v>
      </c>
      <c r="I17" s="45"/>
      <c r="J17" s="46"/>
    </row>
    <row r="18" spans="1:10" ht="39.950000000000003" customHeight="1" x14ac:dyDescent="0.2">
      <c r="A18" s="10"/>
      <c r="B18" s="78" t="s">
        <v>181</v>
      </c>
      <c r="C18" s="79"/>
      <c r="D18" s="79"/>
      <c r="E18" s="9">
        <v>5</v>
      </c>
      <c r="F18" s="26">
        <v>4</v>
      </c>
      <c r="G18" s="31">
        <f t="shared" si="4"/>
        <v>0.8</v>
      </c>
      <c r="H18" s="32" t="str">
        <f t="shared" si="5"/>
        <v>جيد جداً</v>
      </c>
      <c r="I18" s="45"/>
      <c r="J18" s="46"/>
    </row>
    <row r="19" spans="1:10" ht="39.950000000000003" customHeight="1" x14ac:dyDescent="0.2">
      <c r="A19" s="10"/>
      <c r="B19" s="78" t="s">
        <v>182</v>
      </c>
      <c r="C19" s="79"/>
      <c r="D19" s="79"/>
      <c r="E19" s="9">
        <v>5</v>
      </c>
      <c r="F19" s="26">
        <v>3.5</v>
      </c>
      <c r="G19" s="31">
        <f t="shared" si="4"/>
        <v>0.7</v>
      </c>
      <c r="H19" s="32" t="str">
        <f t="shared" si="5"/>
        <v>جيد</v>
      </c>
      <c r="I19" s="45"/>
      <c r="J19" s="46"/>
    </row>
    <row r="20" spans="1:10" ht="39.950000000000003" customHeight="1" x14ac:dyDescent="0.2">
      <c r="A20" s="10"/>
      <c r="B20" s="78" t="s">
        <v>183</v>
      </c>
      <c r="C20" s="79"/>
      <c r="D20" s="79"/>
      <c r="E20" s="9">
        <v>5</v>
      </c>
      <c r="F20" s="26">
        <v>3.75</v>
      </c>
      <c r="G20" s="31">
        <f t="shared" si="4"/>
        <v>0.75</v>
      </c>
      <c r="H20" s="32" t="str">
        <f t="shared" si="5"/>
        <v>جيد</v>
      </c>
      <c r="I20" s="45"/>
      <c r="J20" s="46"/>
    </row>
    <row r="21" spans="1:10" ht="39.950000000000003" customHeight="1" x14ac:dyDescent="0.2">
      <c r="A21" s="10"/>
      <c r="B21" s="82" t="s">
        <v>184</v>
      </c>
      <c r="C21" s="83"/>
      <c r="D21" s="83"/>
      <c r="E21" s="9"/>
      <c r="F21" s="26"/>
      <c r="G21" s="31"/>
      <c r="H21" s="32"/>
      <c r="I21" s="45"/>
      <c r="J21" s="46"/>
    </row>
    <row r="22" spans="1:10" ht="39.950000000000003" customHeight="1" x14ac:dyDescent="0.2">
      <c r="A22" s="10"/>
      <c r="B22" s="78" t="s">
        <v>185</v>
      </c>
      <c r="C22" s="79"/>
      <c r="D22" s="79"/>
      <c r="E22" s="9">
        <v>5</v>
      </c>
      <c r="F22" s="26">
        <v>3.5</v>
      </c>
      <c r="G22" s="31">
        <f t="shared" si="4"/>
        <v>0.7</v>
      </c>
      <c r="H22" s="32" t="str">
        <f t="shared" si="5"/>
        <v>جيد</v>
      </c>
      <c r="I22" s="45"/>
      <c r="J22" s="46"/>
    </row>
    <row r="23" spans="1:10" ht="39.950000000000003" customHeight="1" x14ac:dyDescent="0.2">
      <c r="A23" s="10"/>
      <c r="B23" s="78" t="s">
        <v>186</v>
      </c>
      <c r="C23" s="79"/>
      <c r="D23" s="79"/>
      <c r="E23" s="9">
        <v>5</v>
      </c>
      <c r="F23" s="26">
        <v>3.5</v>
      </c>
      <c r="G23" s="31">
        <f t="shared" si="4"/>
        <v>0.7</v>
      </c>
      <c r="H23" s="32" t="str">
        <f t="shared" si="5"/>
        <v>جيد</v>
      </c>
      <c r="I23" s="45"/>
      <c r="J23" s="46"/>
    </row>
    <row r="24" spans="1:10" ht="39.950000000000003" customHeight="1" x14ac:dyDescent="0.2">
      <c r="A24" s="10"/>
      <c r="B24" s="78" t="s">
        <v>187</v>
      </c>
      <c r="C24" s="79"/>
      <c r="D24" s="79"/>
      <c r="E24" s="9">
        <v>5</v>
      </c>
      <c r="F24" s="26">
        <v>3.75</v>
      </c>
      <c r="G24" s="31">
        <f t="shared" si="4"/>
        <v>0.75</v>
      </c>
      <c r="H24" s="32" t="str">
        <f t="shared" si="5"/>
        <v>جيد</v>
      </c>
      <c r="I24" s="45"/>
      <c r="J24" s="46"/>
    </row>
    <row r="25" spans="1:10" ht="39.950000000000003" customHeight="1" x14ac:dyDescent="0.2">
      <c r="A25" s="10"/>
      <c r="B25" s="78" t="s">
        <v>188</v>
      </c>
      <c r="C25" s="79"/>
      <c r="D25" s="79"/>
      <c r="E25" s="9">
        <v>5</v>
      </c>
      <c r="F25" s="26">
        <v>4</v>
      </c>
      <c r="G25" s="31">
        <f t="shared" si="4"/>
        <v>0.8</v>
      </c>
      <c r="H25" s="32" t="str">
        <f t="shared" si="5"/>
        <v>جيد جداً</v>
      </c>
      <c r="I25" s="45"/>
      <c r="J25" s="46"/>
    </row>
    <row r="26" spans="1:10" ht="39.950000000000003" customHeight="1" x14ac:dyDescent="0.2">
      <c r="A26" s="10"/>
      <c r="B26" s="82" t="s">
        <v>189</v>
      </c>
      <c r="C26" s="83"/>
      <c r="D26" s="83"/>
      <c r="E26" s="9">
        <v>5</v>
      </c>
      <c r="F26" s="26">
        <v>3.5</v>
      </c>
      <c r="G26" s="31">
        <f t="shared" si="4"/>
        <v>0.7</v>
      </c>
      <c r="H26" s="32" t="str">
        <f t="shared" si="5"/>
        <v>جيد</v>
      </c>
      <c r="I26" s="45"/>
      <c r="J26" s="46"/>
    </row>
    <row r="27" spans="1:10" ht="39.950000000000003" customHeight="1" x14ac:dyDescent="0.2">
      <c r="A27" s="10"/>
      <c r="B27" s="82" t="s">
        <v>190</v>
      </c>
      <c r="C27" s="83"/>
      <c r="D27" s="83"/>
      <c r="E27" s="9">
        <v>5</v>
      </c>
      <c r="F27" s="26">
        <v>4</v>
      </c>
      <c r="G27" s="31">
        <f t="shared" si="4"/>
        <v>0.8</v>
      </c>
      <c r="H27" s="32" t="str">
        <f t="shared" si="5"/>
        <v>جيد جداً</v>
      </c>
      <c r="I27" s="45"/>
      <c r="J27" s="46"/>
    </row>
    <row r="28" spans="1:10" ht="39.950000000000003" customHeight="1" x14ac:dyDescent="0.2">
      <c r="A28" s="10"/>
      <c r="B28" s="88" t="s">
        <v>191</v>
      </c>
      <c r="C28" s="89"/>
      <c r="D28" s="89"/>
      <c r="E28" s="9">
        <v>5</v>
      </c>
      <c r="F28" s="26">
        <v>4</v>
      </c>
      <c r="G28" s="31">
        <f t="shared" si="4"/>
        <v>0.8</v>
      </c>
      <c r="H28" s="32" t="str">
        <f t="shared" si="5"/>
        <v>جيد جداً</v>
      </c>
      <c r="I28" s="45"/>
      <c r="J28" s="46"/>
    </row>
    <row r="29" spans="1:10" ht="39.950000000000003" customHeight="1" thickBot="1" x14ac:dyDescent="0.25">
      <c r="A29" s="10"/>
      <c r="B29" s="86" t="s">
        <v>192</v>
      </c>
      <c r="C29" s="87"/>
      <c r="D29" s="87"/>
      <c r="E29" s="37">
        <v>5</v>
      </c>
      <c r="F29" s="27">
        <v>3.5</v>
      </c>
      <c r="G29" s="38">
        <f t="shared" si="4"/>
        <v>0.7</v>
      </c>
      <c r="H29" s="39" t="str">
        <f t="shared" si="5"/>
        <v>جيد</v>
      </c>
      <c r="I29" s="49"/>
      <c r="J29" s="50"/>
    </row>
    <row r="30" spans="1:10" ht="30" customHeight="1" thickBot="1" x14ac:dyDescent="0.25">
      <c r="A30" s="4"/>
      <c r="B30" s="74" t="s">
        <v>5</v>
      </c>
      <c r="C30" s="75"/>
      <c r="D30" s="75"/>
      <c r="E30" s="29">
        <f>SUM(E8:E29)</f>
        <v>85</v>
      </c>
      <c r="F30" s="29">
        <f>SUM(F8:F29)</f>
        <v>63.75</v>
      </c>
      <c r="G30" s="42"/>
      <c r="H30" s="43"/>
      <c r="I30" s="43"/>
      <c r="J30" s="44"/>
    </row>
    <row r="31" spans="1:10" ht="30" customHeight="1" thickBot="1" x14ac:dyDescent="0.25">
      <c r="A31" s="4"/>
      <c r="B31" s="76" t="s">
        <v>54</v>
      </c>
      <c r="C31" s="77"/>
      <c r="D31" s="77"/>
      <c r="E31" s="66">
        <f>F30/E30/100*100</f>
        <v>0.75</v>
      </c>
      <c r="F31" s="66"/>
      <c r="G31" s="66"/>
      <c r="H31" s="66"/>
      <c r="I31" s="66"/>
      <c r="J31" s="67"/>
    </row>
    <row r="32" spans="1:10" ht="30" customHeight="1" thickBot="1" x14ac:dyDescent="0.25">
      <c r="A32" s="4"/>
      <c r="B32" s="76" t="s">
        <v>55</v>
      </c>
      <c r="C32" s="77"/>
      <c r="D32" s="77"/>
      <c r="E32" s="57" t="str">
        <f>_xlfn.IFS(E31&gt;=90%,"ممتاز",E31&gt;=80%,"جيد جداً",E31&gt;=70%,"جيد",E31&gt;=60%,"مقبول",E31&lt;60%,"راسب")</f>
        <v>جيد</v>
      </c>
      <c r="F32" s="57"/>
      <c r="G32" s="57"/>
      <c r="H32" s="57"/>
      <c r="I32" s="57"/>
      <c r="J32" s="58"/>
    </row>
    <row r="33" spans="1:10" ht="42" customHeight="1" x14ac:dyDescent="0.2">
      <c r="B33" s="53" t="s">
        <v>175</v>
      </c>
      <c r="C33" s="53"/>
      <c r="D33" s="53"/>
      <c r="E33" s="40" t="s">
        <v>52</v>
      </c>
      <c r="F33" s="40"/>
      <c r="G33" s="55" t="s">
        <v>59</v>
      </c>
      <c r="H33" s="55"/>
      <c r="I33" s="55"/>
      <c r="J33" s="55"/>
    </row>
    <row r="34" spans="1:10" ht="51" customHeight="1" x14ac:dyDescent="0.2">
      <c r="A34" s="5"/>
      <c r="B34" s="54"/>
      <c r="C34" s="54"/>
      <c r="D34" s="54"/>
      <c r="E34" s="41" t="s">
        <v>53</v>
      </c>
      <c r="F34" s="41"/>
      <c r="G34" s="56"/>
      <c r="H34" s="56"/>
      <c r="I34" s="56"/>
      <c r="J34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B29:D2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30:D30"/>
    <mergeCell ref="B31:D31"/>
    <mergeCell ref="B32:D32"/>
    <mergeCell ref="I10:J10"/>
    <mergeCell ref="I11:J11"/>
    <mergeCell ref="I12:J12"/>
    <mergeCell ref="I22:J22"/>
    <mergeCell ref="I23:J23"/>
    <mergeCell ref="I17:J17"/>
    <mergeCell ref="I18:J18"/>
    <mergeCell ref="I19:J19"/>
    <mergeCell ref="I20:J20"/>
    <mergeCell ref="I21:J21"/>
    <mergeCell ref="I26:J26"/>
    <mergeCell ref="I27:J27"/>
    <mergeCell ref="I28:J28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4:J24"/>
    <mergeCell ref="I25:J25"/>
    <mergeCell ref="E5:H5"/>
    <mergeCell ref="I5:J6"/>
    <mergeCell ref="E33:F33"/>
    <mergeCell ref="E34:F34"/>
    <mergeCell ref="G30:J30"/>
    <mergeCell ref="I9:J9"/>
    <mergeCell ref="I7:J7"/>
    <mergeCell ref="I13:J13"/>
    <mergeCell ref="I14:J14"/>
    <mergeCell ref="I15:J15"/>
    <mergeCell ref="I16:J16"/>
    <mergeCell ref="I29:J29"/>
    <mergeCell ref="I8:J8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71">
      <formula>$E32="راسب"</formula>
    </cfRule>
  </conditionalFormatting>
  <conditionalFormatting sqref="E32:J32">
    <cfRule type="expression" dxfId="13" priority="72">
      <formula>$E32="مقبول"</formula>
    </cfRule>
    <cfRule type="expression" dxfId="12" priority="73">
      <formula>$E32="جيد"</formula>
    </cfRule>
    <cfRule type="expression" dxfId="11" priority="74">
      <formula>$E32="جيد جداً"</formula>
    </cfRule>
    <cfRule type="expression" dxfId="10" priority="75">
      <formula>$E32="ممتاز"</formula>
    </cfRule>
  </conditionalFormatting>
  <conditionalFormatting sqref="F8:F29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3:J33">
    <cfRule type="containsText" dxfId="6" priority="29" operator="containsText" text="أدخل اسم المحكم">
      <formula>NOT(ISERROR(SEARCH("أدخل اسم المحكم",G33)))</formula>
    </cfRule>
  </conditionalFormatting>
  <conditionalFormatting sqref="H8:H29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F16:F20 F12:F13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2025-10-22T04:56:17Z</dcterms:modified>
</cp:coreProperties>
</file>