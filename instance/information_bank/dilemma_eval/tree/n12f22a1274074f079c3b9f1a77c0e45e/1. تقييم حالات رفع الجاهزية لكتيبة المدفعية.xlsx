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DE4AF1E-D62E-A745-ACE4-05FA9B9A8473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8" i="2"/>
  <c r="H78" i="2"/>
  <c r="G79" i="2"/>
  <c r="H79" i="2"/>
  <c r="G80" i="2"/>
  <c r="H80" i="2"/>
  <c r="G81" i="2"/>
  <c r="H81" i="2"/>
  <c r="G82" i="2"/>
  <c r="H82" i="2"/>
  <c r="G83" i="2"/>
  <c r="H83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7" i="2"/>
  <c r="H97" i="2"/>
  <c r="G98" i="2"/>
  <c r="H98" i="2"/>
  <c r="G99" i="2"/>
  <c r="H99" i="2"/>
  <c r="G8" i="2"/>
  <c r="H8" i="2"/>
  <c r="F100" i="2"/>
  <c r="E100" i="2"/>
  <c r="E101" i="2"/>
  <c r="E102" i="2"/>
</calcChain>
</file>

<file path=xl/sharedStrings.xml><?xml version="1.0" encoding="utf-8"?>
<sst xmlns="http://schemas.openxmlformats.org/spreadsheetml/2006/main" count="329" uniqueCount="273">
  <si>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</si>
  <si>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</si>
  <si>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</si>
  <si>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</si>
  <si>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</si>
  <si>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</si>
  <si>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</si>
  <si>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</si>
  <si>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</si>
  <si>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</si>
  <si>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</si>
  <si>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</si>
  <si>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</si>
  <si>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</si>
  <si>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</si>
  <si>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</si>
  <si>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</si>
  <si>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</si>
  <si>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</si>
  <si>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</si>
  <si>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</si>
  <si>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</si>
  <si>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</si>
  <si>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</si>
  <si>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</si>
  <si>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</si>
  <si>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</si>
  <si>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</si>
  <si>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</si>
  <si>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</si>
  <si>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</si>
  <si>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</si>
  <si>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</si>
  <si>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</si>
  <si>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</si>
  <si>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</si>
  <si>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</si>
  <si>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</si>
  <si>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</si>
  <si>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</si>
  <si>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</si>
  <si>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</si>
  <si>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</si>
  <si>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</si>
  <si>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</si>
  <si>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</si>
  <si>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</si>
  <si>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</si>
  <si>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</si>
  <si>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</si>
  <si>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</si>
  <si>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</si>
  <si>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</si>
  <si>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</si>
  <si>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</si>
  <si>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</si>
  <si>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</si>
  <si>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</si>
  <si>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</si>
  <si>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</si>
  <si>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</si>
  <si>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</si>
  <si>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</si>
  <si>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</si>
  <si>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</si>
  <si>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</si>
  <si>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</si>
  <si>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</si>
  <si>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</si>
  <si>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</si>
  <si>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</si>
  <si>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</si>
  <si>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</si>
  <si>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</si>
  <si>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</si>
  <si>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</si>
  <si>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</si>
  <si>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</si>
  <si>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</si>
  <si>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</si>
  <si>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</si>
  <si>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</si>
  <si>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</si>
  <si>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</si>
  <si>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</si>
  <si>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</si>
  <si>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</si>
  <si>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</si>
  <si>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</si>
  <si>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</si>
  <si>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</si>
  <si>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</si>
  <si>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</si>
  <si>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</si>
  <si>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</si>
  <si>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</si>
  <si>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</si>
  <si>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</si>
  <si>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</si>
  <si>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</si>
  <si>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</si>
  <si>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</si>
  <si>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</si>
  <si>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</si>
  <si>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</si>
  <si>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</si>
  <si>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</si>
  <si>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</si>
  <si>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</si>
  <si>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</si>
  <si>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</si>
  <si>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</si>
  <si>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</si>
  <si>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</si>
  <si>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</si>
  <si>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</si>
  <si>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</si>
  <si>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</si>
  <si>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</si>
  <si>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</si>
  <si>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</si>
  <si>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</si>
  <si>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</si>
  <si>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</si>
  <si>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</si>
  <si>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</si>
  <si>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</si>
  <si>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</si>
  <si>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</si>
  <si>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</si>
  <si>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</si>
  <si>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</si>
  <si>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</si>
  <si>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</si>
  <si>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</si>
  <si>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</si>
  <si>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</si>
  <si>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</si>
  <si>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</si>
  <si>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</si>
  <si>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</si>
  <si>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</si>
  <si>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</si>
  <si>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</si>
  <si>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</si>
  <si>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</si>
  <si>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</si>
  <si>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</si>
  <si>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</si>
  <si>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</si>
  <si>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</si>
  <si>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</si>
  <si>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</si>
  <si>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</si>
  <si>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</si>
  <si>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</si>
  <si>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</si>
  <si>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</si>
  <si>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</si>
  <si>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</si>
  <si>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</si>
  <si>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</si>
  <si>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</si>
  <si>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</si>
  <si>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</si>
  <si>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</si>
  <si>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</si>
  <si>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</si>
  <si>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</si>
  <si>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</si>
  <si>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</si>
  <si>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</si>
  <si>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</si>
  <si>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</si>
  <si>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</si>
  <si>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</si>
  <si>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</si>
  <si>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</si>
  <si>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</si>
  <si>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</si>
  <si>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 xml:space="preserve">1. </t>
    </r>
    <r>
      <rPr>
        <sz val="12"/>
        <color rgb="FF000000"/>
        <rFont val="Arial"/>
        <family val="2"/>
      </rPr>
      <t>استلام برقية رفع الحالة وتفهم القائد بمضمون البرقية في الوقت المحدد.</t>
    </r>
  </si>
  <si>
    <t>إجراءات القائد</t>
  </si>
  <si>
    <t>2. استلام المهمة وتفهم القائد للمطلوب في الوقت المحدد.</t>
  </si>
  <si>
    <t>3. الرد بالاعتراف على برقية رفع الحالة حسب الوقت المحدد.</t>
  </si>
  <si>
    <t>4. تحرير برقية برفع الحالة وإرسالها إلى مستوى الأعلى والأدنى.</t>
  </si>
  <si>
    <t>5. الكشف من الخارطة.</t>
  </si>
  <si>
    <t>6. إصدار أمر إنذاري والحصول على الاعتراف من المستوى الأدنى.</t>
  </si>
  <si>
    <t>7. تسجيل برقية رفع الحالة في سجل الحوادث.</t>
  </si>
  <si>
    <t>8. عمل تقدير موقف للوقت من قبل القائد مع مراعاة ثلثي الوقت لعمل وإجراءات المرؤوسين وتشمل الإجراءات منذ استلام المهمة وحتى ساعة الصفر.</t>
  </si>
  <si>
    <t>9. عمل تقدير موقف ذهني وسريع من قبل القائد.</t>
  </si>
  <si>
    <t>10. إنذار الوحدة بالمهمة ووسائل الإنذار المتوفرة.</t>
  </si>
  <si>
    <t>11. توضيح المطلوب للقادة المرؤوسين وإجاباتهم على استفساراتهم.</t>
  </si>
  <si>
    <t>12. التقيد بأصول المخابرة في عملية إرسال البرقية.</t>
  </si>
  <si>
    <t>13. التقيد بواجبات الأركان الصغرى في كتابة الأمر الإنذاري.</t>
  </si>
  <si>
    <t>التقييد بمشتملات الأمر الإنذاري (يسلم مكتوب لنائب القائد ونسخة لفريق التفتيش)</t>
  </si>
  <si>
    <t>14. ملخص عن العمليات المقبلة.</t>
  </si>
  <si>
    <t>15. مكان ووقت اجتماع قسم الأمر.</t>
  </si>
  <si>
    <t>16. تفاصيل عن منطقة التجمع.</t>
  </si>
  <si>
    <t>17. تحديدات الحركة (حسب المهمة).</t>
  </si>
  <si>
    <t>18. منطقة التجمع.</t>
  </si>
  <si>
    <t>19. حدود الكشف.</t>
  </si>
  <si>
    <t>20. التعليمات الإدارية.</t>
  </si>
  <si>
    <t>وسائل الإنذار</t>
  </si>
  <si>
    <t>21. التأكد من استخدام وسائل الإنذار المتوفرة (المسموعة، المرئية، الضوئية) حسب ما جاء في تعليمات التحول.</t>
  </si>
  <si>
    <t>22. التأكد من وصولها إلى المرؤوسين وتفهمها من قبلهم.</t>
  </si>
  <si>
    <t>23. التأكد من إصدار الأوامر إلى القادة المرؤوسين (شفهية، مكتوبة، بواسطة اللاسلكي).</t>
  </si>
  <si>
    <t>إجراءات التحـول</t>
  </si>
  <si>
    <t>24. تحرك الوحدات المرؤوسة لتنفيذ التحول حسب تعليمات رفع حالات الاستعداد القتالي (حسب الخطة الزمنية لتعليمات رفع حالات الاستعداد القتالي).</t>
  </si>
  <si>
    <t>25. وجود خطة مفصلة موضح بها الإجراءات خلال وقت محدد.</t>
  </si>
  <si>
    <t>26. التزام مرتب الوحدة (الفصائل) وتنفيذها بطريقة سليمة (تفهم الجميع للخطة الموضوعة) وحسب الحالة المطلوبة.</t>
  </si>
  <si>
    <t>27. مدى سيطرة ضباط السرية على تحركات ضباط الصف والجنود، ومرونة القيادة في التغلب على العقبات التي قد تحدث إثناء العمل.</t>
  </si>
  <si>
    <t>28. مدى التقيد بالتوقيتات المبينة في الخطة الزمنية.</t>
  </si>
  <si>
    <t>29. أسلوب وإجراءات تنفيذ الخطة الزمنية.</t>
  </si>
  <si>
    <t>30. التأكد من الحماس وجديـة الضبـاط والرتـب الأخرى في تنفيـذ الواجبات ومـــدى تفهمهم لإجراءات رفع الحالة.</t>
  </si>
  <si>
    <t>31. التأكد من إجراءات التحميل / تعبئة الذخيرة (التقيد باحتياطات الأمان ومخطط التحميل).</t>
  </si>
  <si>
    <t>32. التأكد من استلام المهمات الكيميائية.</t>
  </si>
  <si>
    <t>33. التأكد من تعبئة وتحميل الوقود والمياه.</t>
  </si>
  <si>
    <t>34. التأكد من تحميل الأرزاق لـ (48) ساعة.</t>
  </si>
  <si>
    <t>35. التأكد من تحميل المهمات الإدارية والهندسية التابعة للسرية.</t>
  </si>
  <si>
    <t>36. التأكد من تركيب الأسلحة والأجهزة واختبارها.</t>
  </si>
  <si>
    <t>37. وجود خطة التحميل ومدى التقيد بها أثناء عملية التحميل ومدى فعاليتها.</t>
  </si>
  <si>
    <t>جاهزية القوة.</t>
  </si>
  <si>
    <t>39. التأكد من 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</si>
  <si>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40. مدى إلمام الضباط والرتب الأخرى باستخدام المعدات والآليات حسب تخصصاتهم.</t>
  </si>
  <si>
    <t>41. وجود وإدامة جداول الركوب والتحميل طبقاً لحالات الاستعداد القتالي ومطابقته للواقع.</t>
  </si>
  <si>
    <t>42. التأكد من عدم تحميل الآليات أكثر من طاقتها.</t>
  </si>
  <si>
    <t>43. وجود وإدامة سجلات استلام الذخائر.</t>
  </si>
  <si>
    <t>44. التأكد من جاهزية الآليات من حيث (الوقود، المياه، العدة، سجل الآلية، وتحميل شباك التمويه مع العصي، إلخ...).</t>
  </si>
  <si>
    <t>45. مدى التقيد بتعليمات المؤخرة للقوة.</t>
  </si>
  <si>
    <t>46. التأكد من نسبة استكمال الأسلحة والمعدات.</t>
  </si>
  <si>
    <t>47. التأكد من نسبة استكمال الآليات المقاتلة (أ).</t>
  </si>
  <si>
    <t>48. مدى توفر نقليات (ب) لحمل (ذخائر الخط الثاني).</t>
  </si>
  <si>
    <t>49. التأكد من نسبة استكمال القوة البشرية.</t>
  </si>
  <si>
    <t>فـرش المتاع (حقيبة الميدان ومحتوياتها كما يلي:)</t>
  </si>
  <si>
    <t>50. عدد (1) بدله مموهة.</t>
  </si>
  <si>
    <t>51. خـوذه.</t>
  </si>
  <si>
    <t>52. فوطه.</t>
  </si>
  <si>
    <t>53. جراب.</t>
  </si>
  <si>
    <t>54. ملابس داخلية فانيله.</t>
  </si>
  <si>
    <t>55. ملابس رياضة (شورت، حذاء، فأنله).</t>
  </si>
  <si>
    <t>56. أدوات الطعام.</t>
  </si>
  <si>
    <t>57. أدوات خياطة.</t>
  </si>
  <si>
    <t>58. أدوات حلاقة + معجون وفرشاة أسنان.</t>
  </si>
  <si>
    <t>59. كيس النوم.</t>
  </si>
  <si>
    <t>60. لباس مدني.</t>
  </si>
  <si>
    <t>61. شماغ (عسكري / مدني).</t>
  </si>
  <si>
    <t>62. مشمع أرضي.</t>
  </si>
  <si>
    <t>63. ترتيب ونظافة محتويات الحقيبة.</t>
  </si>
  <si>
    <r>
      <t>اختبار المعلومات العسكرية للمرتب في</t>
    </r>
    <r>
      <rPr>
        <b/>
        <sz val="12"/>
        <color rgb="FF000000"/>
        <rFont val="Arial"/>
        <family val="2"/>
      </rPr>
      <t>:</t>
    </r>
  </si>
  <si>
    <t>64. الأسلحة وخصائصها الفنية ومسمياتها.</t>
  </si>
  <si>
    <t>65. الذخائر (الخطوط، الوحدة الحسابية).</t>
  </si>
  <si>
    <t>66. الهيكل التنظيمي للوحدة تحت التفتيش.</t>
  </si>
  <si>
    <t>67. أمن الأفراد والمعسكرات والمنشآت.</t>
  </si>
  <si>
    <t>68. التخصصات المهنية.</t>
  </si>
  <si>
    <t>69. حالات الاستعداد القتالي.</t>
  </si>
  <si>
    <t>صندوق أو آلية الوثائق</t>
  </si>
  <si>
    <t>70. توفر صندوق لحفظ الوثائق والسجلات والقرطاسية اللازمة.</t>
  </si>
  <si>
    <t>71. توفر الخرائط والخطط الضرورية.</t>
  </si>
  <si>
    <t>72. توفر وصلاحية الإضاءة الرئيسة والبديلة.</t>
  </si>
  <si>
    <t>73. توفر وصلاحية وسائل الاتصالات الإشارية.</t>
  </si>
  <si>
    <t>74. التأكد من إعداد وتجهيز الآلية.</t>
  </si>
  <si>
    <t>75. التأكد من وجود فهرس بمحتويات الصندوق ومطابقته مع الموجود.</t>
  </si>
  <si>
    <t>76. وجود الأوامر الثابتة لقيادته.</t>
  </si>
  <si>
    <t>77. وجود قوائم التوزيع الشهرية.</t>
  </si>
  <si>
    <t>78. وجود نموذج برقيــات.</t>
  </si>
  <si>
    <t>79. توفر كشف بأرقام الهواتف الهامة (عسكرية، مدنية).</t>
  </si>
  <si>
    <t>80. وجود وإدامة سجل الوارد والصادر.</t>
  </si>
  <si>
    <t>مبادئ الانفتاح</t>
  </si>
  <si>
    <t>81. مدى توقع القادة في جميع المستويات للأعمال المقبلة.</t>
  </si>
  <si>
    <t>82. التأكد من الإشراف والمتابعة من المستوى الأعلى وقيادة المستوى نفسه.</t>
  </si>
  <si>
    <t>83. مدى كفاءة القائد القيادية والذهنية.</t>
  </si>
  <si>
    <t>تقييم حالات رفع جاهزية كتيبة المدفعية - تمرين جاهزية مجموعة لواء الإمارات/1 (جندي الصحراء 2025/20)</t>
  </si>
  <si>
    <t>38. التأكد من اصطفاف القوة بالميدان في الوقت المحدد في تعليمات رفع حالات الاستعداد القتالي وتسليم رئيس فريق التفتيش من قبل قائد القوة.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</si>
</sst>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2" fillId="0" borderId="29" xfId="0" applyFont="1" applyBorder="1" applyAlignment="1">
      <alignment horizontal="right" vertical="center" wrapText="1" readingOrder="2"/>
    </xf>
    <xf numFmtId="0" fontId="2" fillId="0" borderId="16" xfId="0" applyFont="1" applyBorder="1" applyAlignment="1">
      <alignment horizontal="right" vertical="center" wrapText="1" readingOrder="2"/>
    </xf>
    <xf numFmtId="0" fontId="2" fillId="0" borderId="30" xfId="0" applyFont="1" applyBorder="1" applyAlignment="1">
      <alignment horizontal="right" vertical="center" wrapText="1" readingOrder="2"/>
    </xf>
    <xf numFmtId="0" fontId="1" fillId="0" borderId="19" xfId="0" applyFont="1" applyBorder="1" applyAlignment="1">
      <alignment horizontal="right" vertical="center" wrapText="1" readingOrder="2"/>
    </xf>
    <xf numFmtId="0" fontId="1" fillId="0" borderId="20" xfId="0" applyFont="1" applyBorder="1" applyAlignment="1">
      <alignment horizontal="right" vertical="center" wrapText="1" readingOrder="2"/>
    </xf>
    <xf numFmtId="0" fontId="1" fillId="0" borderId="21" xfId="0" applyFont="1" applyBorder="1" applyAlignment="1">
      <alignment horizontal="right" vertical="center" wrapText="1" readingOrder="2"/>
    </xf>
    <xf numFmtId="0" fontId="12" fillId="0" borderId="22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25" xfId="0" applyFont="1" applyBorder="1" applyAlignment="1">
      <alignment horizontal="right" vertical="center" wrapText="1" readingOrder="2"/>
    </xf>
    <xf numFmtId="0" fontId="12" fillId="0" borderId="26" xfId="0" applyFont="1" applyBorder="1" applyAlignment="1">
      <alignment horizontal="right" vertical="center" wrapText="1" readingOrder="2"/>
    </xf>
    <xf numFmtId="0" fontId="12" fillId="0" borderId="27" xfId="0" applyFont="1" applyBorder="1" applyAlignment="1">
      <alignment horizontal="right" vertical="center" wrapText="1" readingOrder="2"/>
    </xf>
    <xf numFmtId="0" fontId="13" fillId="0" borderId="2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2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26" xfId="0" applyFont="1" applyBorder="1" applyAlignment="1">
      <alignment horizontal="right" vertical="center" wrapText="1" readingOrder="2"/>
    </xf>
    <xf numFmtId="0" fontId="13" fillId="0" borderId="27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357585</xdr:colOff>
      <xdr:row>103</xdr:row>
      <xdr:rowOff>28928</xdr:rowOff>
    </xdr:from>
    <xdr:to>
      <xdr:col>9</xdr:col>
      <xdr:colOff>303194</xdr:colOff>
      <xdr:row>104</xdr:row>
      <xdr:rowOff>48023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500BED4-452C-4824-298C-6B7EFA3ECA29}"/>
                </a:ext>
              </a:extLst>
            </xdr14:cNvPr>
            <xdr14:cNvContentPartPr/>
          </xdr14:nvContentPartPr>
          <xdr14:nvPr macro=""/>
          <xdr14:xfrm>
            <a:off x="10398283625" y="41771520"/>
            <a:ext cx="1919880" cy="665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500BED4-452C-4824-298C-6B7EFA3ECA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74625" y="41762880"/>
              <a:ext cx="1937520" cy="68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404015</xdr:colOff>
      <xdr:row>103</xdr:row>
      <xdr:rowOff>335648</xdr:rowOff>
    </xdr:from>
    <xdr:to>
      <xdr:col>7</xdr:col>
      <xdr:colOff>421655</xdr:colOff>
      <xdr:row>103</xdr:row>
      <xdr:rowOff>341768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03F10CA-FDFD-6ED2-0725-BBA4ADAF944E}"/>
                </a:ext>
              </a:extLst>
            </xdr14:cNvPr>
            <xdr14:cNvContentPartPr/>
          </xdr14:nvContentPartPr>
          <xdr14:nvPr macro=""/>
          <xdr14:xfrm>
            <a:off x="10399481345" y="42078240"/>
            <a:ext cx="17640" cy="6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03F10CA-FDFD-6ED2-0725-BBA4ADAF944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472705" y="42069600"/>
              <a:ext cx="3528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9T06:23:39.5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5332 532,'0'0,"0"0,0 0,0 0,0 0,0 0,0 0,-16 0,13 0,-10 0,-3 0,13 0,-26 0,-3 16,29-14,-58-4,-35 18,87-14,-111 12,-24 18,134-29,-140 26,-27 4,162-31,-178 44,-32 2,203-44,-196 40,-23 20,219-58,-196 52,-39 6,232-58,-239 68,-8 7,248-74,-257 66,9 23,246-87,-221 62,-42 9,262-72,-218 65,4 7,214-71,-154 30,4 9,157-43,-88 22,-4 5,99-28,-54-8,18 20,44-14,-38-4,19 2,81-16,-42 16,-13 0,61-32,49 0,-99 28,102-24,46-20,-143 42,156-52,51-7,-198 58,170-50,76-23,-239 70,188-44,51-26,-239 70,204-60,19-27,-221 84,217-70,19-13,-235 83,199-70,20-29,-221 96,187-81,18-15,-206 96,173-64,1-16,-178 82,117-53,-19 3,-110 55,60-30,2 7,-67 27,23-22,-4 11,-28 14,8 4,-28-2,13 0,-26 0,-3 16,27-14,-38-4,-70 34,97-27,-112 22,-48 21,150-41,-173 34,-42 24,207-56,-220 46,-35 41,247-82,-220 52,-27 30,248-82,-223 85,-40 13,259-96,-215 80,-29 16,249-96,-192 81,-25-1,222-83,-139 70,14-19,139-55,-70 30,-5 9,83-41,-22 2,35 7,0-13,16-6,32 3,-41 0,114-32,24-16,-124 41,134-18,53-23,-178 41,181-50,61-7,-237 56,219-80,51 7,-260 69,182-72,46 4,-235 69,164-58,55-43,-220 96,166-65,6 1,-180 69,135-74,-36 21,-110 54,60-28,2-10,-70 41,28-35,-6 10,-27 28,-10-8,-11-4,14 14,-44 4,-50 14,83-13,-86-6,-62 35,137-27,-144 39,-57 4,195-42,-196 68,-47-10,240-56,-238 80,-2-8,235-69,-197 59,11-6,194-56,-165 48,-13 8,178-55,-101 30,19-7,97-27,-50 6,17-11,41 0,-2 0,25-16,-14 14,28-28,66-34,-81 54,67-60,30-10,-96 68,96-73,16-11,-109 82,107-68,-14 18,-96 55,64-46,-16 23,-54 27,28-6,10 11,-40 0,17 16,-10 32,-12-41,11 34,34 7,-42-41,36 66,22 7,-54-67,-20-26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9T06:23:39.9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1,'0'0,"0"0,0 0,0 0,16 0,-14 0,28 16,-30-16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4"/>
  <sheetViews>
    <sheetView rightToLeft="1" tabSelected="1" view="pageBreakPreview" topLeftCell="B82" zoomScale="130" zoomScaleNormal="100" zoomScaleSheetLayoutView="130" workbookViewId="0">
      <selection activeCell="F64" sqref="F64:F65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3" t="s">
        <v>271</v>
      </c>
      <c r="C1" s="53"/>
      <c r="D1" s="53"/>
      <c r="E1" s="53"/>
      <c r="F1" s="53"/>
      <c r="G1" s="53"/>
      <c r="H1" s="53"/>
      <c r="I1" s="53"/>
      <c r="J1" s="53"/>
    </row>
    <row r="2" spans="1:10" ht="30" customHeight="1" x14ac:dyDescent="0.2">
      <c r="B2" s="16" t="s">
        <v>8</v>
      </c>
      <c r="C2" s="59" t="s">
        <v>48</v>
      </c>
      <c r="D2" s="59"/>
      <c r="E2" s="16" t="s">
        <v>7</v>
      </c>
      <c r="F2" s="54">
        <v>45931</v>
      </c>
      <c r="G2" s="54"/>
      <c r="H2" s="54"/>
      <c r="I2" s="54"/>
      <c r="J2" s="54"/>
    </row>
    <row r="3" spans="1:10" ht="30" customHeight="1" x14ac:dyDescent="0.2">
      <c r="B3" s="16" t="s">
        <v>9</v>
      </c>
      <c r="C3" s="59" t="s">
        <v>68</v>
      </c>
      <c r="D3" s="59"/>
      <c r="E3" s="16" t="s">
        <v>6</v>
      </c>
      <c r="F3" s="59" t="s">
        <v>97</v>
      </c>
      <c r="G3" s="59"/>
      <c r="H3" s="59"/>
      <c r="I3" s="59"/>
      <c r="J3" s="59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3"/>
      <c r="B5" s="55" t="s">
        <v>0</v>
      </c>
      <c r="C5" s="56"/>
      <c r="D5" s="56"/>
      <c r="E5" s="64" t="s">
        <v>1</v>
      </c>
      <c r="F5" s="64"/>
      <c r="G5" s="64"/>
      <c r="H5" s="64"/>
      <c r="I5" s="64" t="s">
        <v>2</v>
      </c>
      <c r="J5" s="65"/>
    </row>
    <row r="6" spans="1:10" ht="24.95" customHeight="1" thickBot="1" x14ac:dyDescent="0.25">
      <c r="A6" s="13"/>
      <c r="B6" s="57"/>
      <c r="C6" s="58"/>
      <c r="D6" s="58"/>
      <c r="E6" s="14" t="s">
        <v>3</v>
      </c>
      <c r="F6" s="14" t="s">
        <v>4</v>
      </c>
      <c r="G6" s="14" t="s">
        <v>23</v>
      </c>
      <c r="H6" s="14" t="s">
        <v>24</v>
      </c>
      <c r="I6" s="66"/>
      <c r="J6" s="67"/>
    </row>
    <row r="7" spans="1:10" ht="24.95" customHeight="1" thickBot="1" x14ac:dyDescent="0.25">
      <c r="A7" s="13"/>
      <c r="B7" s="62" t="s">
        <v>21</v>
      </c>
      <c r="C7" s="63"/>
      <c r="D7" s="63"/>
      <c r="E7" s="15" t="s">
        <v>18</v>
      </c>
      <c r="F7" s="15" t="s">
        <v>19</v>
      </c>
      <c r="G7" s="15" t="s">
        <v>22</v>
      </c>
      <c r="H7" s="15" t="s">
        <v>20</v>
      </c>
      <c r="I7" s="68" t="s">
        <v>25</v>
      </c>
      <c r="J7" s="69"/>
    </row>
    <row r="8" spans="1:10" ht="30" customHeight="1" thickBot="1" x14ac:dyDescent="0.25">
      <c r="A8" s="13"/>
      <c r="B8" s="79" t="s">
        <v>180</v>
      </c>
      <c r="C8" s="80"/>
      <c r="D8" s="81"/>
      <c r="E8" s="12">
        <v>10</v>
      </c>
      <c r="F8" s="40">
        <v>8.75</v>
      </c>
      <c r="G8" s="41">
        <f>IFERROR(F8/E8,"")</f>
        <v>0.875</v>
      </c>
      <c r="H8" s="31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76"/>
      <c r="J8" s="77"/>
    </row>
    <row r="9" spans="1:10" ht="30" customHeight="1" x14ac:dyDescent="0.2">
      <c r="A9" s="13"/>
      <c r="B9" s="82" t="s">
        <v>181</v>
      </c>
      <c r="C9" s="83"/>
      <c r="D9" s="84"/>
      <c r="E9" s="33"/>
      <c r="F9" s="34"/>
      <c r="G9" s="35"/>
      <c r="H9" s="36"/>
      <c r="I9" s="42"/>
      <c r="J9" s="43"/>
    </row>
    <row r="10" spans="1:10" ht="30" customHeight="1" x14ac:dyDescent="0.2">
      <c r="A10" s="13"/>
      <c r="B10" s="85" t="s">
        <v>182</v>
      </c>
      <c r="C10" s="86"/>
      <c r="D10" s="87"/>
      <c r="E10" s="11">
        <v>5</v>
      </c>
      <c r="F10" s="30">
        <v>4</v>
      </c>
      <c r="G10" s="10">
        <f t="shared" ref="G10:G73" si="0">IFERROR(F10/E10,"")</f>
        <v>0.8</v>
      </c>
      <c r="H10" s="9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0" customHeight="1" x14ac:dyDescent="0.2">
      <c r="A11" s="13"/>
      <c r="B11" s="85" t="s">
        <v>183</v>
      </c>
      <c r="C11" s="86"/>
      <c r="D11" s="87"/>
      <c r="E11" s="11">
        <v>5</v>
      </c>
      <c r="F11" s="30">
        <v>4</v>
      </c>
      <c r="G11" s="10">
        <f t="shared" si="0"/>
        <v>0.8</v>
      </c>
      <c r="H11" s="9" t="str">
        <f t="shared" si="1"/>
        <v>جيد جداً</v>
      </c>
      <c r="I11" s="44"/>
      <c r="J11" s="45"/>
    </row>
    <row r="12" spans="1:10" ht="30" customHeight="1" x14ac:dyDescent="0.2">
      <c r="A12" s="13"/>
      <c r="B12" s="85" t="s">
        <v>184</v>
      </c>
      <c r="C12" s="86"/>
      <c r="D12" s="87"/>
      <c r="E12" s="11">
        <v>5</v>
      </c>
      <c r="F12" s="30">
        <v>3.5</v>
      </c>
      <c r="G12" s="10">
        <f t="shared" si="0"/>
        <v>0.7</v>
      </c>
      <c r="H12" s="9" t="str">
        <f t="shared" si="1"/>
        <v>جيد</v>
      </c>
      <c r="I12" s="44"/>
      <c r="J12" s="45"/>
    </row>
    <row r="13" spans="1:10" ht="30" customHeight="1" x14ac:dyDescent="0.2">
      <c r="A13" s="13"/>
      <c r="B13" s="85" t="s">
        <v>185</v>
      </c>
      <c r="C13" s="86"/>
      <c r="D13" s="87"/>
      <c r="E13" s="11">
        <v>5</v>
      </c>
      <c r="F13" s="30">
        <v>3</v>
      </c>
      <c r="G13" s="10">
        <f t="shared" si="0"/>
        <v>0.6</v>
      </c>
      <c r="H13" s="9" t="str">
        <f t="shared" si="1"/>
        <v>مقبول</v>
      </c>
      <c r="I13" s="44"/>
      <c r="J13" s="45"/>
    </row>
    <row r="14" spans="1:10" ht="30" customHeight="1" x14ac:dyDescent="0.2">
      <c r="A14" s="13"/>
      <c r="B14" s="85" t="s">
        <v>186</v>
      </c>
      <c r="C14" s="86"/>
      <c r="D14" s="87"/>
      <c r="E14" s="11">
        <v>5</v>
      </c>
      <c r="F14" s="30">
        <v>3</v>
      </c>
      <c r="G14" s="10">
        <f t="shared" si="0"/>
        <v>0.6</v>
      </c>
      <c r="H14" s="9" t="str">
        <f t="shared" si="1"/>
        <v>مقبول</v>
      </c>
      <c r="I14" s="44"/>
      <c r="J14" s="45"/>
    </row>
    <row r="15" spans="1:10" ht="30" customHeight="1" x14ac:dyDescent="0.2">
      <c r="A15" s="13"/>
      <c r="B15" s="85" t="s">
        <v>187</v>
      </c>
      <c r="C15" s="86"/>
      <c r="D15" s="87"/>
      <c r="E15" s="11">
        <v>5</v>
      </c>
      <c r="F15" s="30">
        <v>3</v>
      </c>
      <c r="G15" s="10">
        <f t="shared" si="0"/>
        <v>0.6</v>
      </c>
      <c r="H15" s="9" t="str">
        <f t="shared" si="1"/>
        <v>مقبول</v>
      </c>
      <c r="I15" s="44"/>
      <c r="J15" s="45"/>
    </row>
    <row r="16" spans="1:10" ht="54.95" customHeight="1" x14ac:dyDescent="0.2">
      <c r="A16" s="13"/>
      <c r="B16" s="85" t="s">
        <v>188</v>
      </c>
      <c r="C16" s="86"/>
      <c r="D16" s="87"/>
      <c r="E16" s="11">
        <v>5</v>
      </c>
      <c r="F16" s="30">
        <v>4</v>
      </c>
      <c r="G16" s="10">
        <f t="shared" si="0"/>
        <v>0.8</v>
      </c>
      <c r="H16" s="9" t="str">
        <f t="shared" si="1"/>
        <v>جيد جداً</v>
      </c>
      <c r="I16" s="44"/>
      <c r="J16" s="45"/>
    </row>
    <row r="17" spans="1:10" ht="30" customHeight="1" x14ac:dyDescent="0.2">
      <c r="A17" s="13"/>
      <c r="B17" s="85" t="s">
        <v>189</v>
      </c>
      <c r="C17" s="86"/>
      <c r="D17" s="87"/>
      <c r="E17" s="11">
        <v>5</v>
      </c>
      <c r="F17" s="30">
        <v>4</v>
      </c>
      <c r="G17" s="10">
        <f t="shared" si="0"/>
        <v>0.8</v>
      </c>
      <c r="H17" s="9" t="str">
        <f t="shared" si="1"/>
        <v>جيد جداً</v>
      </c>
      <c r="I17" s="44"/>
      <c r="J17" s="45"/>
    </row>
    <row r="18" spans="1:10" ht="30" customHeight="1" x14ac:dyDescent="0.2">
      <c r="A18" s="13"/>
      <c r="B18" s="85" t="s">
        <v>190</v>
      </c>
      <c r="C18" s="86"/>
      <c r="D18" s="87"/>
      <c r="E18" s="11">
        <v>5</v>
      </c>
      <c r="F18" s="30">
        <v>3.75</v>
      </c>
      <c r="G18" s="10">
        <f t="shared" si="0"/>
        <v>0.75</v>
      </c>
      <c r="H18" s="9" t="str">
        <f t="shared" si="1"/>
        <v>جيد</v>
      </c>
      <c r="I18" s="44"/>
      <c r="J18" s="45"/>
    </row>
    <row r="19" spans="1:10" ht="30" customHeight="1" x14ac:dyDescent="0.2">
      <c r="A19" s="13"/>
      <c r="B19" s="85" t="s">
        <v>191</v>
      </c>
      <c r="C19" s="86"/>
      <c r="D19" s="87"/>
      <c r="E19" s="11">
        <v>5</v>
      </c>
      <c r="F19" s="30">
        <v>4</v>
      </c>
      <c r="G19" s="10">
        <f t="shared" si="0"/>
        <v>0.8</v>
      </c>
      <c r="H19" s="9" t="str">
        <f t="shared" si="1"/>
        <v>جيد جداً</v>
      </c>
      <c r="I19" s="44"/>
      <c r="J19" s="45"/>
    </row>
    <row r="20" spans="1:10" ht="30" customHeight="1" x14ac:dyDescent="0.2">
      <c r="A20" s="13"/>
      <c r="B20" s="85" t="s">
        <v>192</v>
      </c>
      <c r="C20" s="86"/>
      <c r="D20" s="87"/>
      <c r="E20" s="11">
        <v>5</v>
      </c>
      <c r="F20" s="30">
        <v>4</v>
      </c>
      <c r="G20" s="10">
        <f t="shared" si="0"/>
        <v>0.8</v>
      </c>
      <c r="H20" s="9" t="str">
        <f t="shared" si="1"/>
        <v>جيد جداً</v>
      </c>
      <c r="I20" s="44"/>
      <c r="J20" s="45"/>
    </row>
    <row r="21" spans="1:10" ht="30" customHeight="1" thickBot="1" x14ac:dyDescent="0.25">
      <c r="A21" s="13"/>
      <c r="B21" s="88" t="s">
        <v>193</v>
      </c>
      <c r="C21" s="89"/>
      <c r="D21" s="90"/>
      <c r="E21" s="32">
        <v>5</v>
      </c>
      <c r="F21" s="30">
        <v>3.5</v>
      </c>
      <c r="G21" s="38">
        <f t="shared" si="0"/>
        <v>0.7</v>
      </c>
      <c r="H21" s="39" t="str">
        <f t="shared" si="1"/>
        <v>جيد</v>
      </c>
      <c r="I21" s="51"/>
      <c r="J21" s="52"/>
    </row>
    <row r="22" spans="1:10" ht="39.950000000000003" customHeight="1" x14ac:dyDescent="0.2">
      <c r="A22" s="13"/>
      <c r="B22" s="82" t="s">
        <v>194</v>
      </c>
      <c r="C22" s="83"/>
      <c r="D22" s="84"/>
      <c r="E22" s="33"/>
      <c r="F22" s="34"/>
      <c r="G22" s="35"/>
      <c r="H22" s="36"/>
      <c r="I22" s="42"/>
      <c r="J22" s="43"/>
    </row>
    <row r="23" spans="1:10" ht="30" customHeight="1" x14ac:dyDescent="0.2">
      <c r="A23" s="13"/>
      <c r="B23" s="85" t="s">
        <v>195</v>
      </c>
      <c r="C23" s="86"/>
      <c r="D23" s="87"/>
      <c r="E23" s="11">
        <v>5</v>
      </c>
      <c r="F23" s="30">
        <v>3</v>
      </c>
      <c r="G23" s="10">
        <f t="shared" si="0"/>
        <v>0.6</v>
      </c>
      <c r="H23" s="9" t="str">
        <f t="shared" si="1"/>
        <v>مقبول</v>
      </c>
      <c r="I23" s="44"/>
      <c r="J23" s="45"/>
    </row>
    <row r="24" spans="1:10" ht="30" customHeight="1" x14ac:dyDescent="0.2">
      <c r="A24" s="13"/>
      <c r="B24" s="85" t="s">
        <v>196</v>
      </c>
      <c r="C24" s="86"/>
      <c r="D24" s="87"/>
      <c r="E24" s="11">
        <v>5</v>
      </c>
      <c r="F24" s="30">
        <v>3</v>
      </c>
      <c r="G24" s="10">
        <f t="shared" si="0"/>
        <v>0.6</v>
      </c>
      <c r="H24" s="9" t="str">
        <f t="shared" si="1"/>
        <v>مقبول</v>
      </c>
      <c r="I24" s="44"/>
      <c r="J24" s="45"/>
    </row>
    <row r="25" spans="1:10" ht="30" customHeight="1" x14ac:dyDescent="0.2">
      <c r="A25" s="13"/>
      <c r="B25" s="85" t="s">
        <v>197</v>
      </c>
      <c r="C25" s="86"/>
      <c r="D25" s="87"/>
      <c r="E25" s="11">
        <v>5</v>
      </c>
      <c r="F25" s="30">
        <v>3</v>
      </c>
      <c r="G25" s="10">
        <f t="shared" si="0"/>
        <v>0.6</v>
      </c>
      <c r="H25" s="9" t="str">
        <f t="shared" si="1"/>
        <v>مقبول</v>
      </c>
      <c r="I25" s="44"/>
      <c r="J25" s="45"/>
    </row>
    <row r="26" spans="1:10" ht="30" customHeight="1" x14ac:dyDescent="0.2">
      <c r="A26" s="13"/>
      <c r="B26" s="85" t="s">
        <v>198</v>
      </c>
      <c r="C26" s="86"/>
      <c r="D26" s="87"/>
      <c r="E26" s="11">
        <v>5</v>
      </c>
      <c r="F26" s="30">
        <v>3</v>
      </c>
      <c r="G26" s="10">
        <f t="shared" si="0"/>
        <v>0.6</v>
      </c>
      <c r="H26" s="9" t="str">
        <f t="shared" si="1"/>
        <v>مقبول</v>
      </c>
      <c r="I26" s="44"/>
      <c r="J26" s="45"/>
    </row>
    <row r="27" spans="1:10" ht="30" customHeight="1" x14ac:dyDescent="0.2">
      <c r="A27" s="13"/>
      <c r="B27" s="85" t="s">
        <v>199</v>
      </c>
      <c r="C27" s="86"/>
      <c r="D27" s="87"/>
      <c r="E27" s="11">
        <v>5</v>
      </c>
      <c r="F27" s="30">
        <v>3</v>
      </c>
      <c r="G27" s="10">
        <f t="shared" si="0"/>
        <v>0.6</v>
      </c>
      <c r="H27" s="9" t="str">
        <f t="shared" si="1"/>
        <v>مقبول</v>
      </c>
      <c r="I27" s="44"/>
      <c r="J27" s="45"/>
    </row>
    <row r="28" spans="1:10" ht="30" customHeight="1" x14ac:dyDescent="0.2">
      <c r="A28" s="13"/>
      <c r="B28" s="85" t="s">
        <v>200</v>
      </c>
      <c r="C28" s="86"/>
      <c r="D28" s="87"/>
      <c r="E28" s="11">
        <v>5</v>
      </c>
      <c r="F28" s="30">
        <v>3</v>
      </c>
      <c r="G28" s="10">
        <f t="shared" si="0"/>
        <v>0.6</v>
      </c>
      <c r="H28" s="9" t="str">
        <f t="shared" si="1"/>
        <v>مقبول</v>
      </c>
      <c r="I28" s="44"/>
      <c r="J28" s="45"/>
    </row>
    <row r="29" spans="1:10" ht="30" customHeight="1" thickBot="1" x14ac:dyDescent="0.25">
      <c r="A29" s="13"/>
      <c r="B29" s="88" t="s">
        <v>201</v>
      </c>
      <c r="C29" s="89"/>
      <c r="D29" s="90"/>
      <c r="E29" s="32">
        <v>5</v>
      </c>
      <c r="F29" s="30">
        <v>3</v>
      </c>
      <c r="G29" s="38">
        <f t="shared" si="0"/>
        <v>0.6</v>
      </c>
      <c r="H29" s="39" t="str">
        <f t="shared" si="1"/>
        <v>مقبول</v>
      </c>
      <c r="I29" s="51"/>
      <c r="J29" s="52"/>
    </row>
    <row r="30" spans="1:10" ht="30" customHeight="1" x14ac:dyDescent="0.2">
      <c r="A30" s="13"/>
      <c r="B30" s="82" t="s">
        <v>202</v>
      </c>
      <c r="C30" s="83"/>
      <c r="D30" s="84"/>
      <c r="E30" s="33"/>
      <c r="F30" s="34"/>
      <c r="G30" s="35"/>
      <c r="H30" s="36"/>
      <c r="I30" s="42"/>
      <c r="J30" s="43"/>
    </row>
    <row r="31" spans="1:10" ht="39.950000000000003" customHeight="1" x14ac:dyDescent="0.2">
      <c r="A31" s="13"/>
      <c r="B31" s="85" t="s">
        <v>203</v>
      </c>
      <c r="C31" s="86"/>
      <c r="D31" s="87"/>
      <c r="E31" s="11">
        <v>5</v>
      </c>
      <c r="F31" s="30">
        <v>4</v>
      </c>
      <c r="G31" s="10">
        <f t="shared" si="0"/>
        <v>0.8</v>
      </c>
      <c r="H31" s="9" t="str">
        <f t="shared" si="1"/>
        <v>جيد جداً</v>
      </c>
      <c r="I31" s="44"/>
      <c r="J31" s="45"/>
    </row>
    <row r="32" spans="1:10" ht="30" customHeight="1" x14ac:dyDescent="0.2">
      <c r="A32" s="13"/>
      <c r="B32" s="85" t="s">
        <v>204</v>
      </c>
      <c r="C32" s="86"/>
      <c r="D32" s="87"/>
      <c r="E32" s="11">
        <v>5</v>
      </c>
      <c r="F32" s="30">
        <v>4</v>
      </c>
      <c r="G32" s="10">
        <f t="shared" si="0"/>
        <v>0.8</v>
      </c>
      <c r="H32" s="9" t="str">
        <f t="shared" si="1"/>
        <v>جيد جداً</v>
      </c>
      <c r="I32" s="44"/>
      <c r="J32" s="45"/>
    </row>
    <row r="33" spans="1:10" ht="39.950000000000003" customHeight="1" thickBot="1" x14ac:dyDescent="0.25">
      <c r="A33" s="13"/>
      <c r="B33" s="88" t="s">
        <v>205</v>
      </c>
      <c r="C33" s="89"/>
      <c r="D33" s="90"/>
      <c r="E33" s="32">
        <v>5</v>
      </c>
      <c r="F33" s="37">
        <v>3.25</v>
      </c>
      <c r="G33" s="38">
        <f t="shared" si="0"/>
        <v>0.65</v>
      </c>
      <c r="H33" s="39" t="str">
        <f t="shared" si="1"/>
        <v>مقبول</v>
      </c>
      <c r="I33" s="51"/>
      <c r="J33" s="52"/>
    </row>
    <row r="34" spans="1:10" ht="30" customHeight="1" x14ac:dyDescent="0.2">
      <c r="A34" s="13"/>
      <c r="B34" s="82" t="s">
        <v>206</v>
      </c>
      <c r="C34" s="83"/>
      <c r="D34" s="84"/>
      <c r="E34" s="33"/>
      <c r="F34" s="34"/>
      <c r="G34" s="35"/>
      <c r="H34" s="36"/>
      <c r="I34" s="42"/>
      <c r="J34" s="43"/>
    </row>
    <row r="35" spans="1:10" ht="54.95" customHeight="1" x14ac:dyDescent="0.2">
      <c r="A35" s="13"/>
      <c r="B35" s="85" t="s">
        <v>207</v>
      </c>
      <c r="C35" s="86"/>
      <c r="D35" s="87"/>
      <c r="E35" s="11">
        <v>5</v>
      </c>
      <c r="F35" s="30">
        <v>4</v>
      </c>
      <c r="G35" s="10">
        <f t="shared" si="0"/>
        <v>0.8</v>
      </c>
      <c r="H35" s="9" t="str">
        <f t="shared" si="1"/>
        <v>جيد جداً</v>
      </c>
      <c r="I35" s="44"/>
      <c r="J35" s="45"/>
    </row>
    <row r="36" spans="1:10" ht="30" customHeight="1" x14ac:dyDescent="0.2">
      <c r="A36" s="13"/>
      <c r="B36" s="85" t="s">
        <v>208</v>
      </c>
      <c r="C36" s="86"/>
      <c r="D36" s="87"/>
      <c r="E36" s="11">
        <v>5</v>
      </c>
      <c r="F36" s="30">
        <v>3</v>
      </c>
      <c r="G36" s="10">
        <f t="shared" si="0"/>
        <v>0.6</v>
      </c>
      <c r="H36" s="9" t="str">
        <f t="shared" si="1"/>
        <v>مقبول</v>
      </c>
      <c r="I36" s="44"/>
      <c r="J36" s="45"/>
    </row>
    <row r="37" spans="1:10" ht="39.950000000000003" customHeight="1" x14ac:dyDescent="0.2">
      <c r="A37" s="13"/>
      <c r="B37" s="85" t="s">
        <v>209</v>
      </c>
      <c r="C37" s="86"/>
      <c r="D37" s="87"/>
      <c r="E37" s="11">
        <v>5</v>
      </c>
      <c r="F37" s="30">
        <v>3</v>
      </c>
      <c r="G37" s="10">
        <f t="shared" si="0"/>
        <v>0.6</v>
      </c>
      <c r="H37" s="9" t="str">
        <f t="shared" si="1"/>
        <v>مقبول</v>
      </c>
      <c r="I37" s="44"/>
      <c r="J37" s="45"/>
    </row>
    <row r="38" spans="1:10" ht="39.950000000000003" customHeight="1" x14ac:dyDescent="0.2">
      <c r="A38" s="13"/>
      <c r="B38" s="85" t="s">
        <v>210</v>
      </c>
      <c r="C38" s="86"/>
      <c r="D38" s="87"/>
      <c r="E38" s="11">
        <v>5</v>
      </c>
      <c r="F38" s="30">
        <v>4.25</v>
      </c>
      <c r="G38" s="10">
        <f t="shared" si="0"/>
        <v>0.85</v>
      </c>
      <c r="H38" s="9" t="str">
        <f t="shared" si="1"/>
        <v>جيد جداً</v>
      </c>
      <c r="I38" s="44"/>
      <c r="J38" s="45"/>
    </row>
    <row r="39" spans="1:10" ht="30" customHeight="1" x14ac:dyDescent="0.2">
      <c r="A39" s="13"/>
      <c r="B39" s="85" t="s">
        <v>211</v>
      </c>
      <c r="C39" s="86"/>
      <c r="D39" s="87"/>
      <c r="E39" s="11">
        <v>5</v>
      </c>
      <c r="F39" s="30">
        <v>3.5</v>
      </c>
      <c r="G39" s="10">
        <f t="shared" si="0"/>
        <v>0.7</v>
      </c>
      <c r="H39" s="9" t="str">
        <f t="shared" si="1"/>
        <v>جيد</v>
      </c>
      <c r="I39" s="44"/>
      <c r="J39" s="45"/>
    </row>
    <row r="40" spans="1:10" ht="30" customHeight="1" x14ac:dyDescent="0.2">
      <c r="A40" s="13"/>
      <c r="B40" s="85" t="s">
        <v>212</v>
      </c>
      <c r="C40" s="86"/>
      <c r="D40" s="87"/>
      <c r="E40" s="11">
        <v>5</v>
      </c>
      <c r="F40" s="30">
        <v>3.75</v>
      </c>
      <c r="G40" s="10">
        <f t="shared" si="0"/>
        <v>0.75</v>
      </c>
      <c r="H40" s="9" t="str">
        <f t="shared" si="1"/>
        <v>جيد</v>
      </c>
      <c r="I40" s="44"/>
      <c r="J40" s="45"/>
    </row>
    <row r="41" spans="1:10" ht="39.950000000000003" customHeight="1" x14ac:dyDescent="0.2">
      <c r="A41" s="13"/>
      <c r="B41" s="85" t="s">
        <v>213</v>
      </c>
      <c r="C41" s="86"/>
      <c r="D41" s="87"/>
      <c r="E41" s="11">
        <v>5</v>
      </c>
      <c r="F41" s="30">
        <v>4.25</v>
      </c>
      <c r="G41" s="10">
        <f t="shared" si="0"/>
        <v>0.85</v>
      </c>
      <c r="H41" s="9" t="str">
        <f t="shared" si="1"/>
        <v>جيد جداً</v>
      </c>
      <c r="I41" s="44"/>
      <c r="J41" s="45"/>
    </row>
    <row r="42" spans="1:10" ht="39.950000000000003" customHeight="1" x14ac:dyDescent="0.2">
      <c r="A42" s="13"/>
      <c r="B42" s="85" t="s">
        <v>214</v>
      </c>
      <c r="C42" s="86"/>
      <c r="D42" s="87"/>
      <c r="E42" s="11">
        <v>5</v>
      </c>
      <c r="F42" s="30">
        <v>3.75</v>
      </c>
      <c r="G42" s="10">
        <f t="shared" si="0"/>
        <v>0.75</v>
      </c>
      <c r="H42" s="9" t="str">
        <f t="shared" si="1"/>
        <v>جيد</v>
      </c>
      <c r="I42" s="44"/>
      <c r="J42" s="45"/>
    </row>
    <row r="43" spans="1:10" ht="30" customHeight="1" x14ac:dyDescent="0.2">
      <c r="A43" s="13"/>
      <c r="B43" s="85" t="s">
        <v>215</v>
      </c>
      <c r="C43" s="86"/>
      <c r="D43" s="87"/>
      <c r="E43" s="11">
        <v>5</v>
      </c>
      <c r="F43" s="30">
        <v>3.75</v>
      </c>
      <c r="G43" s="10">
        <f t="shared" si="0"/>
        <v>0.75</v>
      </c>
      <c r="H43" s="9" t="str">
        <f t="shared" si="1"/>
        <v>جيد</v>
      </c>
      <c r="I43" s="44"/>
      <c r="J43" s="45"/>
    </row>
    <row r="44" spans="1:10" ht="30" customHeight="1" x14ac:dyDescent="0.2">
      <c r="A44" s="13"/>
      <c r="B44" s="85" t="s">
        <v>216</v>
      </c>
      <c r="C44" s="86"/>
      <c r="D44" s="87"/>
      <c r="E44" s="11">
        <v>5</v>
      </c>
      <c r="F44" s="30">
        <v>4</v>
      </c>
      <c r="G44" s="10">
        <f t="shared" si="0"/>
        <v>0.8</v>
      </c>
      <c r="H44" s="9" t="str">
        <f t="shared" si="1"/>
        <v>جيد جداً</v>
      </c>
      <c r="I44" s="44"/>
      <c r="J44" s="45"/>
    </row>
    <row r="45" spans="1:10" ht="30" customHeight="1" x14ac:dyDescent="0.2">
      <c r="A45" s="13"/>
      <c r="B45" s="85" t="s">
        <v>217</v>
      </c>
      <c r="C45" s="86"/>
      <c r="D45" s="87"/>
      <c r="E45" s="11">
        <v>5</v>
      </c>
      <c r="F45" s="30">
        <v>3.5</v>
      </c>
      <c r="G45" s="10">
        <f t="shared" si="0"/>
        <v>0.7</v>
      </c>
      <c r="H45" s="9" t="str">
        <f t="shared" si="1"/>
        <v>جيد</v>
      </c>
      <c r="I45" s="44"/>
      <c r="J45" s="45"/>
    </row>
    <row r="46" spans="1:10" ht="30" customHeight="1" x14ac:dyDescent="0.2">
      <c r="A46" s="13"/>
      <c r="B46" s="85" t="s">
        <v>218</v>
      </c>
      <c r="C46" s="86"/>
      <c r="D46" s="87"/>
      <c r="E46" s="11">
        <v>5</v>
      </c>
      <c r="F46" s="30">
        <v>3.5</v>
      </c>
      <c r="G46" s="10">
        <f t="shared" si="0"/>
        <v>0.7</v>
      </c>
      <c r="H46" s="9" t="str">
        <f t="shared" si="1"/>
        <v>جيد</v>
      </c>
      <c r="I46" s="44"/>
      <c r="J46" s="45"/>
    </row>
    <row r="47" spans="1:10" ht="30" customHeight="1" x14ac:dyDescent="0.2">
      <c r="A47" s="13"/>
      <c r="B47" s="85" t="s">
        <v>219</v>
      </c>
      <c r="C47" s="86"/>
      <c r="D47" s="87"/>
      <c r="E47" s="11">
        <v>5</v>
      </c>
      <c r="F47" s="30">
        <v>3.75</v>
      </c>
      <c r="G47" s="10">
        <f t="shared" si="0"/>
        <v>0.75</v>
      </c>
      <c r="H47" s="9" t="str">
        <f t="shared" si="1"/>
        <v>جيد</v>
      </c>
      <c r="I47" s="44"/>
      <c r="J47" s="45"/>
    </row>
    <row r="48" spans="1:10" ht="30" customHeight="1" thickBot="1" x14ac:dyDescent="0.25">
      <c r="A48" s="13"/>
      <c r="B48" s="88" t="s">
        <v>220</v>
      </c>
      <c r="C48" s="89"/>
      <c r="D48" s="90"/>
      <c r="E48" s="32">
        <v>10</v>
      </c>
      <c r="F48" s="30">
        <v>6</v>
      </c>
      <c r="G48" s="38">
        <f t="shared" si="0"/>
        <v>0.6</v>
      </c>
      <c r="H48" s="39" t="str">
        <f t="shared" si="1"/>
        <v>مقبول</v>
      </c>
      <c r="I48" s="51"/>
      <c r="J48" s="52"/>
    </row>
    <row r="49" spans="1:10" ht="30" customHeight="1" x14ac:dyDescent="0.2">
      <c r="A49" s="13"/>
      <c r="B49" s="82" t="s">
        <v>221</v>
      </c>
      <c r="C49" s="83"/>
      <c r="D49" s="84"/>
      <c r="E49" s="33"/>
      <c r="F49" s="30"/>
      <c r="G49" s="35"/>
      <c r="H49" s="36"/>
      <c r="I49" s="42"/>
      <c r="J49" s="43"/>
    </row>
    <row r="50" spans="1:10" ht="39.950000000000003" customHeight="1" x14ac:dyDescent="0.2">
      <c r="A50" s="13"/>
      <c r="B50" s="85" t="s">
        <v>272</v>
      </c>
      <c r="C50" s="86"/>
      <c r="D50" s="87"/>
      <c r="E50" s="11">
        <v>5</v>
      </c>
      <c r="F50" s="30">
        <v>4.5</v>
      </c>
      <c r="G50" s="10">
        <f t="shared" si="0"/>
        <v>0.9</v>
      </c>
      <c r="H50" s="9" t="str">
        <f t="shared" si="1"/>
        <v>ممتاز</v>
      </c>
      <c r="I50" s="44"/>
      <c r="J50" s="45"/>
    </row>
    <row r="51" spans="1:10" ht="54.95" customHeight="1" x14ac:dyDescent="0.2">
      <c r="A51" s="13"/>
      <c r="B51" s="91" t="s">
        <v>222</v>
      </c>
      <c r="C51" s="92"/>
      <c r="D51" s="93"/>
      <c r="E51" s="11">
        <v>10</v>
      </c>
      <c r="F51" s="30">
        <v>8.25</v>
      </c>
      <c r="G51" s="10">
        <f t="shared" si="0"/>
        <v>0.82499999999999996</v>
      </c>
      <c r="H51" s="9" t="str">
        <f t="shared" si="1"/>
        <v>جيد جداً</v>
      </c>
      <c r="I51" s="44"/>
      <c r="J51" s="45"/>
    </row>
    <row r="52" spans="1:10" ht="39.950000000000003" customHeight="1" x14ac:dyDescent="0.2">
      <c r="A52" s="13"/>
      <c r="B52" s="91" t="s">
        <v>223</v>
      </c>
      <c r="C52" s="92"/>
      <c r="D52" s="93"/>
      <c r="E52" s="11">
        <v>5</v>
      </c>
      <c r="F52" s="30">
        <v>3.75</v>
      </c>
      <c r="G52" s="10">
        <f t="shared" si="0"/>
        <v>0.75</v>
      </c>
      <c r="H52" s="9" t="str">
        <f t="shared" si="1"/>
        <v>جيد</v>
      </c>
      <c r="I52" s="44"/>
      <c r="J52" s="45"/>
    </row>
    <row r="53" spans="1:10" ht="39.950000000000003" customHeight="1" x14ac:dyDescent="0.2">
      <c r="A53" s="13"/>
      <c r="B53" s="91" t="s">
        <v>224</v>
      </c>
      <c r="C53" s="92"/>
      <c r="D53" s="93"/>
      <c r="E53" s="11">
        <v>5</v>
      </c>
      <c r="F53" s="30">
        <v>3.25</v>
      </c>
      <c r="G53" s="10">
        <f t="shared" si="0"/>
        <v>0.65</v>
      </c>
      <c r="H53" s="9" t="str">
        <f t="shared" si="1"/>
        <v>مقبول</v>
      </c>
      <c r="I53" s="44"/>
      <c r="J53" s="45"/>
    </row>
    <row r="54" spans="1:10" ht="30" customHeight="1" x14ac:dyDescent="0.2">
      <c r="A54" s="13"/>
      <c r="B54" s="91" t="s">
        <v>225</v>
      </c>
      <c r="C54" s="92"/>
      <c r="D54" s="93"/>
      <c r="E54" s="11">
        <v>5</v>
      </c>
      <c r="F54" s="30">
        <v>3.75</v>
      </c>
      <c r="G54" s="10">
        <f t="shared" si="0"/>
        <v>0.75</v>
      </c>
      <c r="H54" s="9" t="str">
        <f t="shared" si="1"/>
        <v>جيد</v>
      </c>
      <c r="I54" s="44"/>
      <c r="J54" s="45"/>
    </row>
    <row r="55" spans="1:10" ht="30" customHeight="1" x14ac:dyDescent="0.2">
      <c r="A55" s="13"/>
      <c r="B55" s="91" t="s">
        <v>226</v>
      </c>
      <c r="C55" s="92"/>
      <c r="D55" s="93"/>
      <c r="E55" s="11">
        <v>5</v>
      </c>
      <c r="F55" s="30">
        <v>3.5</v>
      </c>
      <c r="G55" s="10">
        <f t="shared" si="0"/>
        <v>0.7</v>
      </c>
      <c r="H55" s="9" t="str">
        <f t="shared" si="1"/>
        <v>جيد</v>
      </c>
      <c r="I55" s="44"/>
      <c r="J55" s="45"/>
    </row>
    <row r="56" spans="1:10" ht="39.950000000000003" customHeight="1" x14ac:dyDescent="0.2">
      <c r="A56" s="13"/>
      <c r="B56" s="91" t="s">
        <v>227</v>
      </c>
      <c r="C56" s="92"/>
      <c r="D56" s="93"/>
      <c r="E56" s="11">
        <v>10</v>
      </c>
      <c r="F56" s="30">
        <v>6</v>
      </c>
      <c r="G56" s="10">
        <f t="shared" si="0"/>
        <v>0.6</v>
      </c>
      <c r="H56" s="9" t="str">
        <f t="shared" si="1"/>
        <v>مقبول</v>
      </c>
      <c r="I56" s="44"/>
      <c r="J56" s="45"/>
    </row>
    <row r="57" spans="1:10" ht="30" customHeight="1" x14ac:dyDescent="0.2">
      <c r="A57" s="13"/>
      <c r="B57" s="91" t="s">
        <v>228</v>
      </c>
      <c r="C57" s="92"/>
      <c r="D57" s="93"/>
      <c r="E57" s="11">
        <v>5</v>
      </c>
      <c r="F57" s="30">
        <v>3.75</v>
      </c>
      <c r="G57" s="10">
        <f t="shared" si="0"/>
        <v>0.75</v>
      </c>
      <c r="H57" s="9" t="str">
        <f t="shared" si="1"/>
        <v>جيد</v>
      </c>
      <c r="I57" s="44"/>
      <c r="J57" s="45"/>
    </row>
    <row r="58" spans="1:10" ht="30" customHeight="1" x14ac:dyDescent="0.2">
      <c r="A58" s="13"/>
      <c r="B58" s="91" t="s">
        <v>229</v>
      </c>
      <c r="C58" s="92"/>
      <c r="D58" s="93"/>
      <c r="E58" s="11">
        <v>5</v>
      </c>
      <c r="F58" s="30">
        <v>3.5</v>
      </c>
      <c r="G58" s="10">
        <f t="shared" si="0"/>
        <v>0.7</v>
      </c>
      <c r="H58" s="9" t="str">
        <f t="shared" si="1"/>
        <v>جيد</v>
      </c>
      <c r="I58" s="44"/>
      <c r="J58" s="45"/>
    </row>
    <row r="59" spans="1:10" ht="30" customHeight="1" x14ac:dyDescent="0.2">
      <c r="A59" s="13"/>
      <c r="B59" s="91" t="s">
        <v>230</v>
      </c>
      <c r="C59" s="92"/>
      <c r="D59" s="93"/>
      <c r="E59" s="11">
        <v>5</v>
      </c>
      <c r="F59" s="30">
        <v>3.5</v>
      </c>
      <c r="G59" s="10">
        <f t="shared" si="0"/>
        <v>0.7</v>
      </c>
      <c r="H59" s="9" t="str">
        <f t="shared" si="1"/>
        <v>جيد</v>
      </c>
      <c r="I59" s="44"/>
      <c r="J59" s="45"/>
    </row>
    <row r="60" spans="1:10" ht="30" customHeight="1" x14ac:dyDescent="0.2">
      <c r="A60" s="13"/>
      <c r="B60" s="91" t="s">
        <v>231</v>
      </c>
      <c r="C60" s="92"/>
      <c r="D60" s="93"/>
      <c r="E60" s="11">
        <v>5</v>
      </c>
      <c r="F60" s="30">
        <v>3.25</v>
      </c>
      <c r="G60" s="10">
        <f t="shared" si="0"/>
        <v>0.65</v>
      </c>
      <c r="H60" s="9" t="str">
        <f t="shared" si="1"/>
        <v>مقبول</v>
      </c>
      <c r="I60" s="44"/>
      <c r="J60" s="45"/>
    </row>
    <row r="61" spans="1:10" ht="30" customHeight="1" thickBot="1" x14ac:dyDescent="0.25">
      <c r="A61" s="13"/>
      <c r="B61" s="94" t="s">
        <v>232</v>
      </c>
      <c r="C61" s="95"/>
      <c r="D61" s="96"/>
      <c r="E61" s="32">
        <v>5</v>
      </c>
      <c r="F61" s="30">
        <v>3.5</v>
      </c>
      <c r="G61" s="38">
        <f t="shared" si="0"/>
        <v>0.7</v>
      </c>
      <c r="H61" s="39" t="str">
        <f t="shared" si="1"/>
        <v>جيد</v>
      </c>
      <c r="I61" s="51"/>
      <c r="J61" s="52"/>
    </row>
    <row r="62" spans="1:10" ht="30" customHeight="1" x14ac:dyDescent="0.2">
      <c r="A62" s="13"/>
      <c r="B62" s="82" t="s">
        <v>233</v>
      </c>
      <c r="C62" s="83"/>
      <c r="D62" s="84"/>
      <c r="E62" s="33"/>
      <c r="F62" s="34"/>
      <c r="G62" s="35"/>
      <c r="H62" s="36"/>
      <c r="I62" s="42"/>
      <c r="J62" s="43"/>
    </row>
    <row r="63" spans="1:10" ht="30" customHeight="1" x14ac:dyDescent="0.2">
      <c r="A63" s="13"/>
      <c r="B63" s="85" t="s">
        <v>234</v>
      </c>
      <c r="C63" s="86"/>
      <c r="D63" s="87"/>
      <c r="E63" s="11">
        <v>5</v>
      </c>
      <c r="F63" s="30">
        <v>3.75</v>
      </c>
      <c r="G63" s="10">
        <f t="shared" si="0"/>
        <v>0.75</v>
      </c>
      <c r="H63" s="9" t="str">
        <f t="shared" si="1"/>
        <v>جيد</v>
      </c>
      <c r="I63" s="44"/>
      <c r="J63" s="45"/>
    </row>
    <row r="64" spans="1:10" ht="30" customHeight="1" x14ac:dyDescent="0.2">
      <c r="A64" s="13"/>
      <c r="B64" s="85" t="s">
        <v>235</v>
      </c>
      <c r="C64" s="86"/>
      <c r="D64" s="87"/>
      <c r="E64" s="11">
        <v>5</v>
      </c>
      <c r="F64" s="30">
        <v>3.75</v>
      </c>
      <c r="G64" s="10">
        <f t="shared" si="0"/>
        <v>0.75</v>
      </c>
      <c r="H64" s="9" t="str">
        <f t="shared" si="1"/>
        <v>جيد</v>
      </c>
      <c r="I64" s="44"/>
      <c r="J64" s="45"/>
    </row>
    <row r="65" spans="1:10" ht="30" customHeight="1" x14ac:dyDescent="0.2">
      <c r="A65" s="13"/>
      <c r="B65" s="85" t="s">
        <v>236</v>
      </c>
      <c r="C65" s="86"/>
      <c r="D65" s="87"/>
      <c r="E65" s="11">
        <v>5</v>
      </c>
      <c r="F65" s="30">
        <v>3.75</v>
      </c>
      <c r="G65" s="10">
        <f t="shared" si="0"/>
        <v>0.75</v>
      </c>
      <c r="H65" s="9" t="str">
        <f t="shared" si="1"/>
        <v>جيد</v>
      </c>
      <c r="I65" s="44"/>
      <c r="J65" s="45"/>
    </row>
    <row r="66" spans="1:10" ht="30" customHeight="1" x14ac:dyDescent="0.2">
      <c r="A66" s="13"/>
      <c r="B66" s="85" t="s">
        <v>237</v>
      </c>
      <c r="C66" s="86"/>
      <c r="D66" s="87"/>
      <c r="E66" s="11">
        <v>5</v>
      </c>
      <c r="F66" s="30">
        <v>3.75</v>
      </c>
      <c r="G66" s="10">
        <f t="shared" si="0"/>
        <v>0.75</v>
      </c>
      <c r="H66" s="9" t="str">
        <f t="shared" si="1"/>
        <v>جيد</v>
      </c>
      <c r="I66" s="44"/>
      <c r="J66" s="45"/>
    </row>
    <row r="67" spans="1:10" ht="30" customHeight="1" x14ac:dyDescent="0.2">
      <c r="A67" s="13"/>
      <c r="B67" s="85" t="s">
        <v>238</v>
      </c>
      <c r="C67" s="86"/>
      <c r="D67" s="87"/>
      <c r="E67" s="11">
        <v>5</v>
      </c>
      <c r="F67" s="30">
        <v>3.75</v>
      </c>
      <c r="G67" s="10">
        <f t="shared" si="0"/>
        <v>0.75</v>
      </c>
      <c r="H67" s="9" t="str">
        <f t="shared" si="1"/>
        <v>جيد</v>
      </c>
      <c r="I67" s="44"/>
      <c r="J67" s="45"/>
    </row>
    <row r="68" spans="1:10" ht="30" customHeight="1" x14ac:dyDescent="0.2">
      <c r="A68" s="13"/>
      <c r="B68" s="85" t="s">
        <v>239</v>
      </c>
      <c r="C68" s="86"/>
      <c r="D68" s="87"/>
      <c r="E68" s="11">
        <v>5</v>
      </c>
      <c r="F68" s="30">
        <v>3.5</v>
      </c>
      <c r="G68" s="10">
        <f t="shared" si="0"/>
        <v>0.7</v>
      </c>
      <c r="H68" s="9" t="str">
        <f t="shared" si="1"/>
        <v>جيد</v>
      </c>
      <c r="I68" s="44"/>
      <c r="J68" s="45"/>
    </row>
    <row r="69" spans="1:10" ht="30" customHeight="1" x14ac:dyDescent="0.2">
      <c r="A69" s="13"/>
      <c r="B69" s="85" t="s">
        <v>240</v>
      </c>
      <c r="C69" s="86"/>
      <c r="D69" s="87"/>
      <c r="E69" s="11">
        <v>5</v>
      </c>
      <c r="F69" s="30">
        <v>3.75</v>
      </c>
      <c r="G69" s="10">
        <f t="shared" si="0"/>
        <v>0.75</v>
      </c>
      <c r="H69" s="9" t="str">
        <f t="shared" si="1"/>
        <v>جيد</v>
      </c>
      <c r="I69" s="44"/>
      <c r="J69" s="45"/>
    </row>
    <row r="70" spans="1:10" ht="30" customHeight="1" x14ac:dyDescent="0.2">
      <c r="A70" s="13"/>
      <c r="B70" s="85" t="s">
        <v>241</v>
      </c>
      <c r="C70" s="86"/>
      <c r="D70" s="87"/>
      <c r="E70" s="11">
        <v>5</v>
      </c>
      <c r="F70" s="30">
        <v>3.25</v>
      </c>
      <c r="G70" s="10">
        <f t="shared" si="0"/>
        <v>0.65</v>
      </c>
      <c r="H70" s="9" t="str">
        <f t="shared" si="1"/>
        <v>مقبول</v>
      </c>
      <c r="I70" s="44"/>
      <c r="J70" s="45"/>
    </row>
    <row r="71" spans="1:10" ht="30" customHeight="1" x14ac:dyDescent="0.2">
      <c r="A71" s="13"/>
      <c r="B71" s="85" t="s">
        <v>242</v>
      </c>
      <c r="C71" s="86"/>
      <c r="D71" s="87"/>
      <c r="E71" s="11">
        <v>5</v>
      </c>
      <c r="F71" s="30">
        <v>3.75</v>
      </c>
      <c r="G71" s="10">
        <f t="shared" si="0"/>
        <v>0.75</v>
      </c>
      <c r="H71" s="9" t="str">
        <f t="shared" si="1"/>
        <v>جيد</v>
      </c>
      <c r="I71" s="44"/>
      <c r="J71" s="45"/>
    </row>
    <row r="72" spans="1:10" ht="30" customHeight="1" x14ac:dyDescent="0.2">
      <c r="A72" s="13"/>
      <c r="B72" s="85" t="s">
        <v>243</v>
      </c>
      <c r="C72" s="86"/>
      <c r="D72" s="87"/>
      <c r="E72" s="11">
        <v>5</v>
      </c>
      <c r="F72" s="30">
        <v>3.75</v>
      </c>
      <c r="G72" s="10">
        <f t="shared" si="0"/>
        <v>0.75</v>
      </c>
      <c r="H72" s="9" t="str">
        <f t="shared" si="1"/>
        <v>جيد</v>
      </c>
      <c r="I72" s="44"/>
      <c r="J72" s="45"/>
    </row>
    <row r="73" spans="1:10" ht="30" customHeight="1" x14ac:dyDescent="0.2">
      <c r="A73" s="13"/>
      <c r="B73" s="85" t="s">
        <v>244</v>
      </c>
      <c r="C73" s="86"/>
      <c r="D73" s="87"/>
      <c r="E73" s="11">
        <v>5</v>
      </c>
      <c r="F73" s="30">
        <v>3.75</v>
      </c>
      <c r="G73" s="10">
        <f t="shared" si="0"/>
        <v>0.75</v>
      </c>
      <c r="H73" s="9" t="str">
        <f t="shared" si="1"/>
        <v>جيد</v>
      </c>
      <c r="I73" s="44"/>
      <c r="J73" s="45"/>
    </row>
    <row r="74" spans="1:10" ht="30" customHeight="1" x14ac:dyDescent="0.2">
      <c r="A74" s="13"/>
      <c r="B74" s="85" t="s">
        <v>245</v>
      </c>
      <c r="C74" s="86"/>
      <c r="D74" s="87"/>
      <c r="E74" s="11">
        <v>5</v>
      </c>
      <c r="F74" s="30">
        <v>3.75</v>
      </c>
      <c r="G74" s="10">
        <f t="shared" ref="G74:G99" si="2">IFERROR(F74/E74,"")</f>
        <v>0.75</v>
      </c>
      <c r="H74" s="9" t="str">
        <f t="shared" ref="H74:H99" si="3">_xlfn.IFS(F74="أدخل العلامة","",F74="لا ينطبق","تم الإلغاء",G74&gt;=90%,"ممتاز",G74&gt;=80%,"جيد جداً",G74&gt;=70%,"جيد",G74&gt;=60%,"مقبول",G74&lt;60%,"راسب")</f>
        <v>جيد</v>
      </c>
      <c r="I74" s="44"/>
      <c r="J74" s="45"/>
    </row>
    <row r="75" spans="1:10" ht="30" customHeight="1" x14ac:dyDescent="0.2">
      <c r="A75" s="13"/>
      <c r="B75" s="85" t="s">
        <v>246</v>
      </c>
      <c r="C75" s="86"/>
      <c r="D75" s="87"/>
      <c r="E75" s="11">
        <v>5</v>
      </c>
      <c r="F75" s="30">
        <v>3.75</v>
      </c>
      <c r="G75" s="10">
        <f t="shared" si="2"/>
        <v>0.75</v>
      </c>
      <c r="H75" s="9" t="str">
        <f t="shared" si="3"/>
        <v>جيد</v>
      </c>
      <c r="I75" s="44"/>
      <c r="J75" s="45"/>
    </row>
    <row r="76" spans="1:10" ht="30" customHeight="1" thickBot="1" x14ac:dyDescent="0.25">
      <c r="A76" s="13"/>
      <c r="B76" s="88" t="s">
        <v>247</v>
      </c>
      <c r="C76" s="89"/>
      <c r="D76" s="90"/>
      <c r="E76" s="32">
        <v>5</v>
      </c>
      <c r="F76" s="30">
        <v>4</v>
      </c>
      <c r="G76" s="38">
        <f t="shared" si="2"/>
        <v>0.8</v>
      </c>
      <c r="H76" s="39" t="str">
        <f t="shared" si="3"/>
        <v>جيد جداً</v>
      </c>
      <c r="I76" s="51"/>
      <c r="J76" s="52"/>
    </row>
    <row r="77" spans="1:10" ht="30" customHeight="1" x14ac:dyDescent="0.2">
      <c r="A77" s="13"/>
      <c r="B77" s="82" t="s">
        <v>248</v>
      </c>
      <c r="C77" s="83"/>
      <c r="D77" s="84"/>
      <c r="E77" s="33"/>
      <c r="F77" s="34"/>
      <c r="G77" s="35"/>
      <c r="H77" s="36"/>
      <c r="I77" s="42"/>
      <c r="J77" s="43"/>
    </row>
    <row r="78" spans="1:10" ht="30" customHeight="1" x14ac:dyDescent="0.2">
      <c r="A78" s="13"/>
      <c r="B78" s="85" t="s">
        <v>249</v>
      </c>
      <c r="C78" s="86"/>
      <c r="D78" s="87"/>
      <c r="E78" s="11">
        <v>5</v>
      </c>
      <c r="F78" s="30">
        <v>3.5</v>
      </c>
      <c r="G78" s="10">
        <f t="shared" si="2"/>
        <v>0.7</v>
      </c>
      <c r="H78" s="9" t="str">
        <f t="shared" si="3"/>
        <v>جيد</v>
      </c>
      <c r="I78" s="44"/>
      <c r="J78" s="45"/>
    </row>
    <row r="79" spans="1:10" ht="30" customHeight="1" x14ac:dyDescent="0.2">
      <c r="A79" s="13"/>
      <c r="B79" s="85" t="s">
        <v>250</v>
      </c>
      <c r="C79" s="86"/>
      <c r="D79" s="87"/>
      <c r="E79" s="11">
        <v>5</v>
      </c>
      <c r="F79" s="30">
        <v>3.5</v>
      </c>
      <c r="G79" s="10">
        <f t="shared" si="2"/>
        <v>0.7</v>
      </c>
      <c r="H79" s="9" t="str">
        <f t="shared" si="3"/>
        <v>جيد</v>
      </c>
      <c r="I79" s="44"/>
      <c r="J79" s="45"/>
    </row>
    <row r="80" spans="1:10" ht="30" customHeight="1" x14ac:dyDescent="0.2">
      <c r="A80" s="13"/>
      <c r="B80" s="85" t="s">
        <v>251</v>
      </c>
      <c r="C80" s="86"/>
      <c r="D80" s="87"/>
      <c r="E80" s="11">
        <v>5</v>
      </c>
      <c r="F80" s="30">
        <v>3.25</v>
      </c>
      <c r="G80" s="10">
        <f t="shared" si="2"/>
        <v>0.65</v>
      </c>
      <c r="H80" s="9" t="str">
        <f t="shared" si="3"/>
        <v>مقبول</v>
      </c>
      <c r="I80" s="44"/>
      <c r="J80" s="45"/>
    </row>
    <row r="81" spans="1:10" ht="30" customHeight="1" x14ac:dyDescent="0.2">
      <c r="A81" s="13"/>
      <c r="B81" s="85" t="s">
        <v>252</v>
      </c>
      <c r="C81" s="86"/>
      <c r="D81" s="87"/>
      <c r="E81" s="11">
        <v>5</v>
      </c>
      <c r="F81" s="30">
        <v>3.5</v>
      </c>
      <c r="G81" s="10">
        <f t="shared" si="2"/>
        <v>0.7</v>
      </c>
      <c r="H81" s="9" t="str">
        <f t="shared" si="3"/>
        <v>جيد</v>
      </c>
      <c r="I81" s="44"/>
      <c r="J81" s="45"/>
    </row>
    <row r="82" spans="1:10" ht="30" customHeight="1" x14ac:dyDescent="0.2">
      <c r="A82" s="13"/>
      <c r="B82" s="85" t="s">
        <v>253</v>
      </c>
      <c r="C82" s="86"/>
      <c r="D82" s="87"/>
      <c r="E82" s="11">
        <v>5</v>
      </c>
      <c r="F82" s="30">
        <v>3.5</v>
      </c>
      <c r="G82" s="10">
        <f t="shared" si="2"/>
        <v>0.7</v>
      </c>
      <c r="H82" s="9" t="str">
        <f t="shared" si="3"/>
        <v>جيد</v>
      </c>
      <c r="I82" s="44"/>
      <c r="J82" s="45"/>
    </row>
    <row r="83" spans="1:10" ht="30" customHeight="1" thickBot="1" x14ac:dyDescent="0.25">
      <c r="A83" s="13"/>
      <c r="B83" s="88" t="s">
        <v>254</v>
      </c>
      <c r="C83" s="89"/>
      <c r="D83" s="90"/>
      <c r="E83" s="32">
        <v>5</v>
      </c>
      <c r="F83" s="30">
        <v>4</v>
      </c>
      <c r="G83" s="38">
        <f t="shared" si="2"/>
        <v>0.8</v>
      </c>
      <c r="H83" s="39" t="str">
        <f t="shared" si="3"/>
        <v>جيد جداً</v>
      </c>
      <c r="I83" s="51"/>
      <c r="J83" s="52"/>
    </row>
    <row r="84" spans="1:10" ht="30" customHeight="1" x14ac:dyDescent="0.2">
      <c r="A84" s="13"/>
      <c r="B84" s="82" t="s">
        <v>255</v>
      </c>
      <c r="C84" s="83"/>
      <c r="D84" s="84"/>
      <c r="E84" s="33"/>
      <c r="F84" s="34"/>
      <c r="G84" s="35"/>
      <c r="H84" s="36"/>
      <c r="I84" s="42"/>
      <c r="J84" s="43"/>
    </row>
    <row r="85" spans="1:10" ht="30" customHeight="1" x14ac:dyDescent="0.2">
      <c r="A85" s="13"/>
      <c r="B85" s="85" t="s">
        <v>256</v>
      </c>
      <c r="C85" s="86"/>
      <c r="D85" s="87"/>
      <c r="E85" s="11">
        <v>5</v>
      </c>
      <c r="F85" s="30">
        <v>4</v>
      </c>
      <c r="G85" s="10">
        <f t="shared" si="2"/>
        <v>0.8</v>
      </c>
      <c r="H85" s="9" t="str">
        <f t="shared" si="3"/>
        <v>جيد جداً</v>
      </c>
      <c r="I85" s="44"/>
      <c r="J85" s="45"/>
    </row>
    <row r="86" spans="1:10" ht="30" customHeight="1" x14ac:dyDescent="0.2">
      <c r="A86" s="13"/>
      <c r="B86" s="85" t="s">
        <v>257</v>
      </c>
      <c r="C86" s="86"/>
      <c r="D86" s="87"/>
      <c r="E86" s="11">
        <v>5</v>
      </c>
      <c r="F86" s="30">
        <v>3.5</v>
      </c>
      <c r="G86" s="10">
        <f t="shared" si="2"/>
        <v>0.7</v>
      </c>
      <c r="H86" s="9" t="str">
        <f t="shared" si="3"/>
        <v>جيد</v>
      </c>
      <c r="I86" s="44"/>
      <c r="J86" s="45"/>
    </row>
    <row r="87" spans="1:10" ht="30" customHeight="1" x14ac:dyDescent="0.2">
      <c r="A87" s="13"/>
      <c r="B87" s="85" t="s">
        <v>258</v>
      </c>
      <c r="C87" s="86"/>
      <c r="D87" s="87"/>
      <c r="E87" s="11">
        <v>5</v>
      </c>
      <c r="F87" s="30">
        <v>4.25</v>
      </c>
      <c r="G87" s="10">
        <f t="shared" si="2"/>
        <v>0.85</v>
      </c>
      <c r="H87" s="9" t="str">
        <f t="shared" si="3"/>
        <v>جيد جداً</v>
      </c>
      <c r="I87" s="44"/>
      <c r="J87" s="45"/>
    </row>
    <row r="88" spans="1:10" ht="30" customHeight="1" x14ac:dyDescent="0.2">
      <c r="A88" s="13"/>
      <c r="B88" s="85" t="s">
        <v>259</v>
      </c>
      <c r="C88" s="86"/>
      <c r="D88" s="87"/>
      <c r="E88" s="11">
        <v>5</v>
      </c>
      <c r="F88" s="30">
        <v>3.75</v>
      </c>
      <c r="G88" s="10">
        <f t="shared" si="2"/>
        <v>0.75</v>
      </c>
      <c r="H88" s="9" t="str">
        <f t="shared" si="3"/>
        <v>جيد</v>
      </c>
      <c r="I88" s="44"/>
      <c r="J88" s="45"/>
    </row>
    <row r="89" spans="1:10" ht="30" customHeight="1" x14ac:dyDescent="0.2">
      <c r="A89" s="13"/>
      <c r="B89" s="85" t="s">
        <v>260</v>
      </c>
      <c r="C89" s="86"/>
      <c r="D89" s="87"/>
      <c r="E89" s="11">
        <v>5</v>
      </c>
      <c r="F89" s="30">
        <v>3.5</v>
      </c>
      <c r="G89" s="10">
        <f t="shared" si="2"/>
        <v>0.7</v>
      </c>
      <c r="H89" s="9" t="str">
        <f t="shared" si="3"/>
        <v>جيد</v>
      </c>
      <c r="I89" s="44"/>
      <c r="J89" s="45"/>
    </row>
    <row r="90" spans="1:10" ht="30" customHeight="1" x14ac:dyDescent="0.2">
      <c r="A90" s="13"/>
      <c r="B90" s="85" t="s">
        <v>261</v>
      </c>
      <c r="C90" s="86"/>
      <c r="D90" s="87"/>
      <c r="E90" s="11">
        <v>5</v>
      </c>
      <c r="F90" s="30">
        <v>4</v>
      </c>
      <c r="G90" s="10">
        <f t="shared" si="2"/>
        <v>0.8</v>
      </c>
      <c r="H90" s="9" t="str">
        <f t="shared" si="3"/>
        <v>جيد جداً</v>
      </c>
      <c r="I90" s="44"/>
      <c r="J90" s="45"/>
    </row>
    <row r="91" spans="1:10" ht="30" customHeight="1" x14ac:dyDescent="0.2">
      <c r="A91" s="13"/>
      <c r="B91" s="85" t="s">
        <v>262</v>
      </c>
      <c r="C91" s="86"/>
      <c r="D91" s="87"/>
      <c r="E91" s="11">
        <v>5</v>
      </c>
      <c r="F91" s="30">
        <v>4</v>
      </c>
      <c r="G91" s="10">
        <f t="shared" si="2"/>
        <v>0.8</v>
      </c>
      <c r="H91" s="9" t="str">
        <f t="shared" si="3"/>
        <v>جيد جداً</v>
      </c>
      <c r="I91" s="44"/>
      <c r="J91" s="45"/>
    </row>
    <row r="92" spans="1:10" ht="30" customHeight="1" x14ac:dyDescent="0.2">
      <c r="A92" s="13"/>
      <c r="B92" s="85" t="s">
        <v>263</v>
      </c>
      <c r="C92" s="86"/>
      <c r="D92" s="87"/>
      <c r="E92" s="11">
        <v>5</v>
      </c>
      <c r="F92" s="30">
        <v>4</v>
      </c>
      <c r="G92" s="10">
        <f t="shared" si="2"/>
        <v>0.8</v>
      </c>
      <c r="H92" s="9" t="str">
        <f t="shared" si="3"/>
        <v>جيد جداً</v>
      </c>
      <c r="I92" s="44"/>
      <c r="J92" s="45"/>
    </row>
    <row r="93" spans="1:10" ht="30" customHeight="1" x14ac:dyDescent="0.2">
      <c r="A93" s="13"/>
      <c r="B93" s="85" t="s">
        <v>264</v>
      </c>
      <c r="C93" s="86"/>
      <c r="D93" s="87"/>
      <c r="E93" s="11">
        <v>5</v>
      </c>
      <c r="F93" s="30">
        <v>4.5</v>
      </c>
      <c r="G93" s="10">
        <f t="shared" si="2"/>
        <v>0.9</v>
      </c>
      <c r="H93" s="9" t="str">
        <f t="shared" si="3"/>
        <v>ممتاز</v>
      </c>
      <c r="I93" s="44"/>
      <c r="J93" s="45"/>
    </row>
    <row r="94" spans="1:10" ht="30" customHeight="1" x14ac:dyDescent="0.2">
      <c r="A94" s="13"/>
      <c r="B94" s="85" t="s">
        <v>265</v>
      </c>
      <c r="C94" s="86"/>
      <c r="D94" s="87"/>
      <c r="E94" s="11">
        <v>5</v>
      </c>
      <c r="F94" s="30">
        <v>3.75</v>
      </c>
      <c r="G94" s="10">
        <f t="shared" si="2"/>
        <v>0.75</v>
      </c>
      <c r="H94" s="9" t="str">
        <f t="shared" si="3"/>
        <v>جيد</v>
      </c>
      <c r="I94" s="44"/>
      <c r="J94" s="45"/>
    </row>
    <row r="95" spans="1:10" ht="30" customHeight="1" thickBot="1" x14ac:dyDescent="0.25">
      <c r="A95" s="13"/>
      <c r="B95" s="88" t="s">
        <v>266</v>
      </c>
      <c r="C95" s="89"/>
      <c r="D95" s="90"/>
      <c r="E95" s="32">
        <v>5</v>
      </c>
      <c r="F95" s="30">
        <v>3.75</v>
      </c>
      <c r="G95" s="38">
        <f t="shared" si="2"/>
        <v>0.75</v>
      </c>
      <c r="H95" s="39" t="str">
        <f t="shared" si="3"/>
        <v>جيد</v>
      </c>
      <c r="I95" s="51"/>
      <c r="J95" s="52"/>
    </row>
    <row r="96" spans="1:10" ht="30" customHeight="1" x14ac:dyDescent="0.2">
      <c r="A96" s="13"/>
      <c r="B96" s="82" t="s">
        <v>267</v>
      </c>
      <c r="C96" s="83"/>
      <c r="D96" s="84"/>
      <c r="E96" s="33"/>
      <c r="F96" s="34"/>
      <c r="G96" s="35"/>
      <c r="H96" s="36"/>
      <c r="I96" s="42"/>
      <c r="J96" s="43"/>
    </row>
    <row r="97" spans="1:10" ht="30" customHeight="1" x14ac:dyDescent="0.2">
      <c r="A97" s="13"/>
      <c r="B97" s="85" t="s">
        <v>268</v>
      </c>
      <c r="C97" s="86"/>
      <c r="D97" s="87"/>
      <c r="E97" s="11">
        <v>5</v>
      </c>
      <c r="F97" s="30">
        <v>4.25</v>
      </c>
      <c r="G97" s="10">
        <f t="shared" si="2"/>
        <v>0.85</v>
      </c>
      <c r="H97" s="9" t="str">
        <f t="shared" si="3"/>
        <v>جيد جداً</v>
      </c>
      <c r="I97" s="44"/>
      <c r="J97" s="45"/>
    </row>
    <row r="98" spans="1:10" ht="30" customHeight="1" x14ac:dyDescent="0.2">
      <c r="A98" s="13"/>
      <c r="B98" s="85" t="s">
        <v>269</v>
      </c>
      <c r="C98" s="86"/>
      <c r="D98" s="87"/>
      <c r="E98" s="11">
        <v>5</v>
      </c>
      <c r="F98" s="30">
        <v>3.5</v>
      </c>
      <c r="G98" s="10">
        <f t="shared" si="2"/>
        <v>0.7</v>
      </c>
      <c r="H98" s="9" t="str">
        <f t="shared" si="3"/>
        <v>جيد</v>
      </c>
      <c r="I98" s="44"/>
      <c r="J98" s="45"/>
    </row>
    <row r="99" spans="1:10" ht="30" customHeight="1" thickBot="1" x14ac:dyDescent="0.25">
      <c r="A99" s="13"/>
      <c r="B99" s="88" t="s">
        <v>270</v>
      </c>
      <c r="C99" s="89"/>
      <c r="D99" s="90"/>
      <c r="E99" s="32">
        <v>5</v>
      </c>
      <c r="F99" s="37">
        <v>4</v>
      </c>
      <c r="G99" s="38">
        <f t="shared" si="2"/>
        <v>0.8</v>
      </c>
      <c r="H99" s="39" t="str">
        <f t="shared" si="3"/>
        <v>جيد جداً</v>
      </c>
      <c r="I99" s="51"/>
      <c r="J99" s="52"/>
    </row>
    <row r="100" spans="1:10" ht="30" customHeight="1" thickBot="1" x14ac:dyDescent="0.25">
      <c r="A100" s="4"/>
      <c r="B100" s="78" t="s">
        <v>5</v>
      </c>
      <c r="C100" s="68"/>
      <c r="D100" s="68"/>
      <c r="E100" s="12">
        <f>SUM(E8:E99)</f>
        <v>435</v>
      </c>
      <c r="F100" s="12">
        <f>SUM(F8:F99)</f>
        <v>317.25</v>
      </c>
      <c r="G100" s="48"/>
      <c r="H100" s="49"/>
      <c r="I100" s="49"/>
      <c r="J100" s="50"/>
    </row>
    <row r="101" spans="1:10" ht="30" customHeight="1" thickBot="1" x14ac:dyDescent="0.25">
      <c r="A101" s="4"/>
      <c r="B101" s="78" t="s">
        <v>54</v>
      </c>
      <c r="C101" s="68"/>
      <c r="D101" s="68"/>
      <c r="E101" s="60">
        <f>F100/E100/100*100</f>
        <v>0.72931034482758617</v>
      </c>
      <c r="F101" s="60"/>
      <c r="G101" s="60"/>
      <c r="H101" s="60"/>
      <c r="I101" s="60"/>
      <c r="J101" s="61"/>
    </row>
    <row r="102" spans="1:10" ht="30" customHeight="1" thickBot="1" x14ac:dyDescent="0.25">
      <c r="A102" s="4"/>
      <c r="B102" s="78" t="s">
        <v>55</v>
      </c>
      <c r="C102" s="68"/>
      <c r="D102" s="68"/>
      <c r="E102" s="74" t="str">
        <f>_xlfn.IFS(E101&gt;=90%,"ممتاز",E101&gt;=80%,"جيد جداً",E101&gt;=70%,"جيد",E101&gt;=60%,"مقبول",E101&lt;60%,"راسب")</f>
        <v>جيد</v>
      </c>
      <c r="F102" s="74"/>
      <c r="G102" s="74"/>
      <c r="H102" s="74"/>
      <c r="I102" s="74"/>
      <c r="J102" s="75"/>
    </row>
    <row r="103" spans="1:10" ht="42" customHeight="1" x14ac:dyDescent="0.2">
      <c r="B103" s="70" t="s">
        <v>174</v>
      </c>
      <c r="C103" s="70"/>
      <c r="D103" s="70"/>
      <c r="E103" s="46" t="s">
        <v>52</v>
      </c>
      <c r="F103" s="46"/>
      <c r="G103" s="72" t="s">
        <v>97</v>
      </c>
      <c r="H103" s="72"/>
      <c r="I103" s="72"/>
      <c r="J103" s="72"/>
    </row>
    <row r="104" spans="1:10" ht="51" customHeight="1" x14ac:dyDescent="0.2">
      <c r="A104" s="5"/>
      <c r="B104" s="71"/>
      <c r="C104" s="71"/>
      <c r="D104" s="71"/>
      <c r="E104" s="47" t="s">
        <v>53</v>
      </c>
      <c r="F104" s="47"/>
      <c r="G104" s="73"/>
      <c r="H104" s="73"/>
      <c r="I104" s="73"/>
      <c r="J104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05">
    <mergeCell ref="B85:D85"/>
    <mergeCell ref="B86:D86"/>
    <mergeCell ref="B87:D87"/>
    <mergeCell ref="B88:D88"/>
    <mergeCell ref="B98:D98"/>
    <mergeCell ref="B99:D99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100:D100"/>
    <mergeCell ref="B101:D101"/>
    <mergeCell ref="B102:D10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103:D104"/>
    <mergeCell ref="G103:J103"/>
    <mergeCell ref="G104:J104"/>
    <mergeCell ref="E102:J102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B1:J1"/>
    <mergeCell ref="F2:J2"/>
    <mergeCell ref="B5:D6"/>
    <mergeCell ref="C2:D2"/>
    <mergeCell ref="C3:D3"/>
    <mergeCell ref="F3:J3"/>
    <mergeCell ref="E101:J101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I48:J48"/>
    <mergeCell ref="I62:J62"/>
    <mergeCell ref="I63:J63"/>
    <mergeCell ref="I64:J64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I9:J9"/>
    <mergeCell ref="I69:J69"/>
    <mergeCell ref="I70:J70"/>
    <mergeCell ref="I71:J71"/>
    <mergeCell ref="E103:F103"/>
    <mergeCell ref="E104:F104"/>
    <mergeCell ref="G100:J100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96:J96"/>
    <mergeCell ref="I97:J97"/>
    <mergeCell ref="I98:J98"/>
    <mergeCell ref="I99:J99"/>
    <mergeCell ref="I47:J47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02">
    <cfRule type="expression" dxfId="14" priority="57">
      <formula>$E102="راسب"</formula>
    </cfRule>
  </conditionalFormatting>
  <conditionalFormatting sqref="E102:J102">
    <cfRule type="expression" dxfId="13" priority="58">
      <formula>$E102="مقبول"</formula>
    </cfRule>
    <cfRule type="expression" dxfId="12" priority="59">
      <formula>$E102="جيد"</formula>
    </cfRule>
    <cfRule type="expression" dxfId="11" priority="60">
      <formula>$E102="جيد جداً"</formula>
    </cfRule>
    <cfRule type="expression" dxfId="10" priority="61">
      <formula>$E102="ممتاز"</formula>
    </cfRule>
  </conditionalFormatting>
  <conditionalFormatting sqref="F8:F9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03:J103">
    <cfRule type="containsText" dxfId="6" priority="15" operator="containsText" text="أدخل اسم المحكم">
      <formula>NOT(ISERROR(SEARCH("أدخل اسم المحكم",G103)))</formula>
    </cfRule>
  </conditionalFormatting>
  <conditionalFormatting sqref="H8:H9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F97:F99 F85:F95 F78:F83 F63:F76 F10:F21 F52:F55 F31:F33 F23:F29 F35:F47 F57:F61 F50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G103:J103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4D763CCA-75F6-475C-B3FE-B1AD2F5E0C20}">
          <x14:formula1>
            <xm:f>'بيانات التقييم'!$A$111:$A$153</xm:f>
          </x14:formula1>
          <xm:sqref>F8 F48 F51 F56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7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3" t="s">
        <v>62</v>
      </c>
    </row>
    <row r="3" spans="1:3" ht="20.100000000000001" customHeight="1" thickBot="1" x14ac:dyDescent="0.3">
      <c r="A3" s="2" t="s">
        <v>26</v>
      </c>
      <c r="C3" s="23" t="s">
        <v>63</v>
      </c>
    </row>
    <row r="4" spans="1:3" ht="20.100000000000001" customHeight="1" thickBot="1" x14ac:dyDescent="0.3">
      <c r="A4" s="2" t="s">
        <v>36</v>
      </c>
      <c r="C4" s="23" t="s">
        <v>64</v>
      </c>
    </row>
    <row r="5" spans="1:3" ht="20.100000000000001" customHeight="1" thickBot="1" x14ac:dyDescent="0.3">
      <c r="A5" s="2" t="s">
        <v>37</v>
      </c>
      <c r="C5" s="23" t="s">
        <v>65</v>
      </c>
    </row>
    <row r="6" spans="1:3" ht="20.100000000000001" customHeight="1" thickBot="1" x14ac:dyDescent="0.3">
      <c r="A6" s="2" t="s">
        <v>38</v>
      </c>
      <c r="C6" s="23" t="s">
        <v>66</v>
      </c>
    </row>
    <row r="7" spans="1:3" ht="20.100000000000001" customHeight="1" thickBot="1" x14ac:dyDescent="0.3">
      <c r="A7" s="2" t="s">
        <v>39</v>
      </c>
      <c r="C7" s="23" t="s">
        <v>67</v>
      </c>
    </row>
    <row r="8" spans="1:3" ht="20.100000000000001" customHeight="1" thickBot="1" x14ac:dyDescent="0.3">
      <c r="A8" s="2" t="s">
        <v>40</v>
      </c>
      <c r="C8" s="23" t="s">
        <v>68</v>
      </c>
    </row>
    <row r="9" spans="1:3" ht="20.100000000000001" customHeight="1" thickBot="1" x14ac:dyDescent="0.3">
      <c r="A9" s="2" t="s">
        <v>41</v>
      </c>
      <c r="C9" s="23" t="s">
        <v>69</v>
      </c>
    </row>
    <row r="10" spans="1:3" ht="20.100000000000001" customHeight="1" thickBot="1" x14ac:dyDescent="0.3">
      <c r="A10" s="2" t="s">
        <v>42</v>
      </c>
      <c r="C10" s="23" t="s">
        <v>70</v>
      </c>
    </row>
    <row r="11" spans="1:3" ht="20.100000000000001" customHeight="1" thickBot="1" x14ac:dyDescent="0.3">
      <c r="A11" s="2" t="s">
        <v>43</v>
      </c>
      <c r="C11" s="23" t="s">
        <v>71</v>
      </c>
    </row>
    <row r="12" spans="1:3" ht="20.100000000000001" customHeight="1" thickBot="1" x14ac:dyDescent="0.3">
      <c r="A12" s="2" t="s">
        <v>44</v>
      </c>
      <c r="C12" s="23" t="s">
        <v>72</v>
      </c>
    </row>
    <row r="13" spans="1:3" ht="20.100000000000001" customHeight="1" thickBot="1" x14ac:dyDescent="0.3">
      <c r="A13" s="2" t="s">
        <v>45</v>
      </c>
      <c r="C13" s="23" t="s">
        <v>73</v>
      </c>
    </row>
    <row r="14" spans="1:3" ht="20.100000000000001" customHeight="1" thickBot="1" x14ac:dyDescent="0.3">
      <c r="A14" s="2" t="s">
        <v>46</v>
      </c>
      <c r="C14" s="23" t="s">
        <v>74</v>
      </c>
    </row>
    <row r="15" spans="1:3" ht="20.100000000000001" customHeight="1" thickBot="1" x14ac:dyDescent="0.3">
      <c r="A15" s="2" t="s">
        <v>47</v>
      </c>
      <c r="C15" s="23" t="s">
        <v>75</v>
      </c>
    </row>
    <row r="16" spans="1:3" ht="20.100000000000001" customHeight="1" thickBot="1" x14ac:dyDescent="0.3">
      <c r="A16" s="2" t="s">
        <v>10</v>
      </c>
      <c r="C16" s="23" t="s">
        <v>76</v>
      </c>
    </row>
    <row r="17" spans="1:3" ht="20.100000000000001" customHeight="1" thickBot="1" x14ac:dyDescent="0.3">
      <c r="A17" s="2" t="s">
        <v>27</v>
      </c>
      <c r="C17" s="23" t="s">
        <v>77</v>
      </c>
    </row>
    <row r="18" spans="1:3" ht="20.100000000000001" customHeight="1" thickBot="1" x14ac:dyDescent="0.3">
      <c r="A18" s="2" t="s">
        <v>48</v>
      </c>
      <c r="C18" s="23" t="s">
        <v>78</v>
      </c>
    </row>
    <row r="19" spans="1:3" ht="20.100000000000001" customHeight="1" thickBot="1" x14ac:dyDescent="0.3">
      <c r="A19" s="2" t="s">
        <v>49</v>
      </c>
      <c r="C19" s="23" t="s">
        <v>79</v>
      </c>
    </row>
    <row r="20" spans="1:3" ht="20.100000000000001" customHeight="1" thickBot="1" x14ac:dyDescent="0.3">
      <c r="A20" s="2" t="s">
        <v>50</v>
      </c>
      <c r="C20" s="23" t="s">
        <v>80</v>
      </c>
    </row>
    <row r="21" spans="1:3" ht="20.100000000000001" customHeight="1" thickBot="1" x14ac:dyDescent="0.3">
      <c r="A21" s="2" t="s">
        <v>51</v>
      </c>
      <c r="C21" s="23" t="s">
        <v>81</v>
      </c>
    </row>
    <row r="22" spans="1:3" ht="20.100000000000001" customHeight="1" thickBot="1" x14ac:dyDescent="0.3">
      <c r="A22" s="2" t="s">
        <v>11</v>
      </c>
      <c r="C22" s="23" t="s">
        <v>82</v>
      </c>
    </row>
    <row r="23" spans="1:3" ht="20.100000000000001" customHeight="1" thickBot="1" x14ac:dyDescent="0.3">
      <c r="A23" s="2" t="s">
        <v>12</v>
      </c>
      <c r="C23" s="23" t="s">
        <v>83</v>
      </c>
    </row>
    <row r="24" spans="1:3" ht="20.100000000000001" customHeight="1" thickBot="1" x14ac:dyDescent="0.3">
      <c r="A24" s="2" t="s">
        <v>15</v>
      </c>
      <c r="C24" s="23" t="s">
        <v>84</v>
      </c>
    </row>
    <row r="25" spans="1:3" ht="20.100000000000001" customHeight="1" thickBot="1" x14ac:dyDescent="0.3">
      <c r="A25" s="2" t="s">
        <v>28</v>
      </c>
      <c r="C25" s="23" t="s">
        <v>85</v>
      </c>
    </row>
    <row r="26" spans="1:3" ht="20.100000000000001" customHeight="1" thickBot="1" x14ac:dyDescent="0.3">
      <c r="A26" s="2" t="s">
        <v>29</v>
      </c>
      <c r="C26" s="23" t="s">
        <v>86</v>
      </c>
    </row>
    <row r="27" spans="1:3" ht="20.100000000000001" customHeight="1" thickBot="1" x14ac:dyDescent="0.3">
      <c r="A27" s="2" t="s">
        <v>13</v>
      </c>
      <c r="C27" s="23" t="s">
        <v>87</v>
      </c>
    </row>
    <row r="28" spans="1:3" ht="20.100000000000001" customHeight="1" thickBot="1" x14ac:dyDescent="0.3">
      <c r="A28" s="2" t="s">
        <v>30</v>
      </c>
      <c r="C28" s="23" t="s">
        <v>88</v>
      </c>
    </row>
    <row r="29" spans="1:3" ht="20.100000000000001" customHeight="1" thickBot="1" x14ac:dyDescent="0.3">
      <c r="A29" s="2" t="s">
        <v>31</v>
      </c>
      <c r="C29" s="23" t="s">
        <v>177</v>
      </c>
    </row>
    <row r="30" spans="1:3" ht="20.100000000000001" customHeight="1" thickBot="1" x14ac:dyDescent="0.3">
      <c r="A30" s="2" t="s">
        <v>32</v>
      </c>
      <c r="C30" s="23" t="s">
        <v>178</v>
      </c>
    </row>
    <row r="31" spans="1:3" ht="20.100000000000001" customHeight="1" thickBot="1" x14ac:dyDescent="0.3">
      <c r="A31" s="2" t="s">
        <v>33</v>
      </c>
      <c r="C31" s="23" t="s">
        <v>179</v>
      </c>
    </row>
    <row r="32" spans="1:3" ht="20.100000000000001" customHeight="1" thickBot="1" x14ac:dyDescent="0.3">
      <c r="A32" s="2" t="s">
        <v>16</v>
      </c>
      <c r="C32" s="23"/>
    </row>
    <row r="33" spans="1:9" ht="20.100000000000001" customHeight="1" thickBot="1" x14ac:dyDescent="0.3">
      <c r="A33" s="2" t="s">
        <v>14</v>
      </c>
      <c r="C33" s="23"/>
    </row>
    <row r="34" spans="1:9" ht="20.100000000000001" customHeight="1" thickBot="1" x14ac:dyDescent="0.3">
      <c r="A34" s="2" t="s">
        <v>34</v>
      </c>
      <c r="C34" s="23"/>
    </row>
    <row r="35" spans="1:9" ht="20.100000000000001" customHeight="1" x14ac:dyDescent="0.2">
      <c r="A35" s="22"/>
    </row>
    <row r="36" spans="1:9" s="21" customFormat="1" ht="20.100000000000001" customHeight="1" x14ac:dyDescent="0.2">
      <c r="A36" s="19"/>
      <c r="B36" s="20"/>
      <c r="C36" s="20"/>
      <c r="D36" s="20"/>
      <c r="E36" s="20"/>
      <c r="F36" s="20"/>
      <c r="G36" s="20"/>
      <c r="H36" s="20"/>
      <c r="I36" s="20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7">
        <v>45901</v>
      </c>
    </row>
    <row r="40" spans="1:9" ht="20.100000000000001" customHeight="1" thickBot="1" x14ac:dyDescent="0.3">
      <c r="A40" s="17">
        <v>45902</v>
      </c>
    </row>
    <row r="41" spans="1:9" ht="20.100000000000001" customHeight="1" thickBot="1" x14ac:dyDescent="0.3">
      <c r="A41" s="17">
        <v>45903</v>
      </c>
    </row>
    <row r="42" spans="1:9" ht="20.100000000000001" customHeight="1" thickBot="1" x14ac:dyDescent="0.3">
      <c r="A42" s="17">
        <v>45904</v>
      </c>
    </row>
    <row r="43" spans="1:9" ht="20.100000000000001" customHeight="1" thickBot="1" x14ac:dyDescent="0.3">
      <c r="A43" s="17">
        <v>45905</v>
      </c>
    </row>
    <row r="44" spans="1:9" ht="20.100000000000001" customHeight="1" thickBot="1" x14ac:dyDescent="0.3">
      <c r="A44" s="17">
        <v>45906</v>
      </c>
    </row>
    <row r="45" spans="1:9" ht="20.100000000000001" customHeight="1" thickBot="1" x14ac:dyDescent="0.3">
      <c r="A45" s="17">
        <v>45907</v>
      </c>
    </row>
    <row r="46" spans="1:9" ht="20.100000000000001" customHeight="1" thickBot="1" x14ac:dyDescent="0.3">
      <c r="A46" s="17">
        <v>45908</v>
      </c>
    </row>
    <row r="47" spans="1:9" ht="20.100000000000001" customHeight="1" thickBot="1" x14ac:dyDescent="0.3">
      <c r="A47" s="17">
        <v>45909</v>
      </c>
    </row>
    <row r="48" spans="1:9" ht="20.100000000000001" customHeight="1" thickBot="1" x14ac:dyDescent="0.3">
      <c r="A48" s="17">
        <v>45910</v>
      </c>
    </row>
    <row r="49" spans="1:1" ht="20.100000000000001" customHeight="1" thickBot="1" x14ac:dyDescent="0.3">
      <c r="A49" s="17">
        <v>45911</v>
      </c>
    </row>
    <row r="50" spans="1:1" ht="20.100000000000001" customHeight="1" thickBot="1" x14ac:dyDescent="0.3">
      <c r="A50" s="17">
        <v>45912</v>
      </c>
    </row>
    <row r="51" spans="1:1" ht="20.100000000000001" customHeight="1" thickBot="1" x14ac:dyDescent="0.3">
      <c r="A51" s="17">
        <v>45913</v>
      </c>
    </row>
    <row r="52" spans="1:1" ht="20.100000000000001" customHeight="1" thickBot="1" x14ac:dyDescent="0.3">
      <c r="A52" s="17">
        <v>45914</v>
      </c>
    </row>
    <row r="53" spans="1:1" ht="20.100000000000001" customHeight="1" thickBot="1" x14ac:dyDescent="0.3">
      <c r="A53" s="17">
        <v>45915</v>
      </c>
    </row>
    <row r="54" spans="1:1" ht="20.100000000000001" customHeight="1" thickBot="1" x14ac:dyDescent="0.3">
      <c r="A54" s="17">
        <v>45916</v>
      </c>
    </row>
    <row r="55" spans="1:1" ht="20.100000000000001" customHeight="1" thickBot="1" x14ac:dyDescent="0.3">
      <c r="A55" s="17">
        <v>45917</v>
      </c>
    </row>
    <row r="56" spans="1:1" ht="20.100000000000001" customHeight="1" thickBot="1" x14ac:dyDescent="0.3">
      <c r="A56" s="17">
        <v>45918</v>
      </c>
    </row>
    <row r="57" spans="1:1" ht="20.100000000000001" customHeight="1" thickBot="1" x14ac:dyDescent="0.3">
      <c r="A57" s="17">
        <v>45919</v>
      </c>
    </row>
    <row r="58" spans="1:1" ht="20.100000000000001" customHeight="1" thickBot="1" x14ac:dyDescent="0.3">
      <c r="A58" s="17">
        <v>45920</v>
      </c>
    </row>
    <row r="59" spans="1:1" ht="20.100000000000001" customHeight="1" thickBot="1" x14ac:dyDescent="0.3">
      <c r="A59" s="17">
        <v>45921</v>
      </c>
    </row>
    <row r="60" spans="1:1" ht="20.100000000000001" customHeight="1" thickBot="1" x14ac:dyDescent="0.3">
      <c r="A60" s="17">
        <v>45922</v>
      </c>
    </row>
    <row r="61" spans="1:1" ht="20.100000000000001" customHeight="1" thickBot="1" x14ac:dyDescent="0.3">
      <c r="A61" s="17">
        <v>45923</v>
      </c>
    </row>
    <row r="62" spans="1:1" ht="20.100000000000001" customHeight="1" thickBot="1" x14ac:dyDescent="0.3">
      <c r="A62" s="17">
        <v>45924</v>
      </c>
    </row>
    <row r="63" spans="1:1" ht="20.100000000000001" customHeight="1" thickBot="1" x14ac:dyDescent="0.3">
      <c r="A63" s="17">
        <v>45925</v>
      </c>
    </row>
    <row r="64" spans="1:1" ht="20.100000000000001" customHeight="1" thickBot="1" x14ac:dyDescent="0.3">
      <c r="A64" s="17">
        <v>45926</v>
      </c>
    </row>
    <row r="65" spans="1:1" ht="20.100000000000001" customHeight="1" thickBot="1" x14ac:dyDescent="0.3">
      <c r="A65" s="17">
        <v>45927</v>
      </c>
    </row>
    <row r="66" spans="1:1" ht="20.100000000000001" customHeight="1" thickBot="1" x14ac:dyDescent="0.3">
      <c r="A66" s="17">
        <v>45928</v>
      </c>
    </row>
    <row r="67" spans="1:1" ht="20.100000000000001" customHeight="1" thickBot="1" x14ac:dyDescent="0.3">
      <c r="A67" s="17">
        <v>45929</v>
      </c>
    </row>
    <row r="68" spans="1:1" ht="20.100000000000001" customHeight="1" thickBot="1" x14ac:dyDescent="0.3">
      <c r="A68" s="17">
        <v>45930</v>
      </c>
    </row>
    <row r="69" spans="1:1" ht="20.100000000000001" customHeight="1" thickBot="1" x14ac:dyDescent="0.3">
      <c r="A69" s="17">
        <v>45931</v>
      </c>
    </row>
    <row r="70" spans="1:1" ht="20.100000000000001" customHeight="1" thickBot="1" x14ac:dyDescent="0.3">
      <c r="A70" s="17">
        <v>45932</v>
      </c>
    </row>
    <row r="71" spans="1:1" ht="20.100000000000001" customHeight="1" thickBot="1" x14ac:dyDescent="0.3">
      <c r="A71" s="17">
        <v>45933</v>
      </c>
    </row>
    <row r="72" spans="1:1" ht="20.100000000000001" customHeight="1" thickBot="1" x14ac:dyDescent="0.3">
      <c r="A72" s="17">
        <v>45934</v>
      </c>
    </row>
    <row r="73" spans="1:1" ht="20.100000000000001" customHeight="1" thickBot="1" x14ac:dyDescent="0.3">
      <c r="A73" s="17">
        <v>45935</v>
      </c>
    </row>
    <row r="74" spans="1:1" ht="20.100000000000001" customHeight="1" thickBot="1" x14ac:dyDescent="0.3">
      <c r="A74" s="17">
        <v>45936</v>
      </c>
    </row>
    <row r="75" spans="1:1" ht="20.100000000000001" customHeight="1" thickBot="1" x14ac:dyDescent="0.3">
      <c r="A75" s="17">
        <v>45937</v>
      </c>
    </row>
    <row r="76" spans="1:1" ht="20.100000000000001" customHeight="1" thickBot="1" x14ac:dyDescent="0.3">
      <c r="A76" s="17">
        <v>45938</v>
      </c>
    </row>
    <row r="77" spans="1:1" ht="20.100000000000001" customHeight="1" thickBot="1" x14ac:dyDescent="0.3">
      <c r="A77" s="17">
        <v>45939</v>
      </c>
    </row>
    <row r="78" spans="1:1" ht="20.100000000000001" customHeight="1" thickBot="1" x14ac:dyDescent="0.3">
      <c r="A78" s="17">
        <v>45940</v>
      </c>
    </row>
    <row r="79" spans="1:1" ht="20.100000000000001" customHeight="1" thickBot="1" x14ac:dyDescent="0.3">
      <c r="A79" s="17">
        <v>45941</v>
      </c>
    </row>
    <row r="80" spans="1:1" ht="20.100000000000001" customHeight="1" thickBot="1" x14ac:dyDescent="0.3">
      <c r="A80" s="17">
        <v>45942</v>
      </c>
    </row>
    <row r="81" spans="1:1" ht="20.100000000000001" customHeight="1" thickBot="1" x14ac:dyDescent="0.3">
      <c r="A81" s="17">
        <v>45943</v>
      </c>
    </row>
    <row r="82" spans="1:1" ht="20.100000000000001" customHeight="1" thickBot="1" x14ac:dyDescent="0.3">
      <c r="A82" s="17">
        <v>45944</v>
      </c>
    </row>
    <row r="83" spans="1:1" ht="20.100000000000001" customHeight="1" thickBot="1" x14ac:dyDescent="0.3">
      <c r="A83" s="17">
        <v>45945</v>
      </c>
    </row>
    <row r="84" spans="1:1" ht="20.100000000000001" customHeight="1" thickBot="1" x14ac:dyDescent="0.3">
      <c r="A84" s="17">
        <v>45946</v>
      </c>
    </row>
    <row r="85" spans="1:1" ht="20.100000000000001" customHeight="1" thickBot="1" x14ac:dyDescent="0.3">
      <c r="A85" s="17">
        <v>45947</v>
      </c>
    </row>
    <row r="86" spans="1:1" ht="20.100000000000001" customHeight="1" thickBot="1" x14ac:dyDescent="0.3">
      <c r="A86" s="17">
        <v>45948</v>
      </c>
    </row>
    <row r="87" spans="1:1" ht="20.100000000000001" customHeight="1" thickBot="1" x14ac:dyDescent="0.3">
      <c r="A87" s="17">
        <v>45949</v>
      </c>
    </row>
    <row r="88" spans="1:1" ht="20.100000000000001" customHeight="1" thickBot="1" x14ac:dyDescent="0.3">
      <c r="A88" s="17">
        <v>45950</v>
      </c>
    </row>
    <row r="89" spans="1:1" ht="20.100000000000001" customHeight="1" thickBot="1" x14ac:dyDescent="0.3">
      <c r="A89" s="17">
        <v>45951</v>
      </c>
    </row>
    <row r="90" spans="1:1" ht="20.100000000000001" customHeight="1" thickBot="1" x14ac:dyDescent="0.3">
      <c r="A90" s="17">
        <v>45952</v>
      </c>
    </row>
    <row r="91" spans="1:1" ht="20.100000000000001" customHeight="1" thickBot="1" x14ac:dyDescent="0.3">
      <c r="A91" s="17">
        <v>45953</v>
      </c>
    </row>
    <row r="92" spans="1:1" ht="20.100000000000001" customHeight="1" thickBot="1" x14ac:dyDescent="0.3">
      <c r="A92" s="17">
        <v>45954</v>
      </c>
    </row>
    <row r="93" spans="1:1" ht="20.100000000000001" customHeight="1" thickBot="1" x14ac:dyDescent="0.3">
      <c r="A93" s="17">
        <v>45955</v>
      </c>
    </row>
    <row r="94" spans="1:1" ht="20.100000000000001" customHeight="1" thickBot="1" x14ac:dyDescent="0.3">
      <c r="A94" s="17">
        <v>45956</v>
      </c>
    </row>
    <row r="95" spans="1:1" ht="20.100000000000001" customHeight="1" thickBot="1" x14ac:dyDescent="0.3">
      <c r="A95" s="17">
        <v>45957</v>
      </c>
    </row>
    <row r="96" spans="1:1" ht="20.100000000000001" customHeight="1" thickBot="1" x14ac:dyDescent="0.3">
      <c r="A96" s="17">
        <v>45958</v>
      </c>
    </row>
    <row r="97" spans="1:9" ht="20.100000000000001" customHeight="1" thickBot="1" x14ac:dyDescent="0.3">
      <c r="A97" s="17">
        <v>45959</v>
      </c>
    </row>
    <row r="98" spans="1:9" ht="20.100000000000001" customHeight="1" thickBot="1" x14ac:dyDescent="0.3">
      <c r="A98" s="17">
        <v>45960</v>
      </c>
    </row>
    <row r="99" spans="1:9" ht="20.100000000000001" customHeight="1" thickBot="1" x14ac:dyDescent="0.3">
      <c r="A99" s="17">
        <v>45961</v>
      </c>
    </row>
    <row r="100" spans="1:9" ht="20.100000000000001" customHeight="1" thickBot="1" x14ac:dyDescent="0.3">
      <c r="A100" s="17">
        <v>45962</v>
      </c>
    </row>
    <row r="101" spans="1:9" ht="20.100000000000001" customHeight="1" thickBot="1" x14ac:dyDescent="0.3">
      <c r="A101" s="17">
        <v>45963</v>
      </c>
    </row>
    <row r="102" spans="1:9" ht="20.100000000000001" customHeight="1" thickBot="1" x14ac:dyDescent="0.3">
      <c r="A102" s="17">
        <v>45964</v>
      </c>
    </row>
    <row r="103" spans="1:9" ht="20.100000000000001" customHeight="1" thickBot="1" x14ac:dyDescent="0.3">
      <c r="A103" s="17">
        <v>45965</v>
      </c>
    </row>
    <row r="104" spans="1:9" ht="20.100000000000001" customHeight="1" thickBot="1" x14ac:dyDescent="0.3">
      <c r="A104" s="17">
        <v>45966</v>
      </c>
    </row>
    <row r="105" spans="1:9" ht="20.100000000000001" customHeight="1" thickBot="1" x14ac:dyDescent="0.3">
      <c r="A105" s="17">
        <v>45967</v>
      </c>
    </row>
    <row r="106" spans="1:9" ht="20.100000000000001" customHeight="1" thickBot="1" x14ac:dyDescent="0.3">
      <c r="A106" s="17">
        <v>45968</v>
      </c>
    </row>
    <row r="107" spans="1:9" ht="20.100000000000001" customHeight="1" x14ac:dyDescent="0.2">
      <c r="A107" s="18"/>
    </row>
    <row r="108" spans="1:9" ht="20.100000000000001" customHeight="1" x14ac:dyDescent="0.2">
      <c r="A108" s="18"/>
    </row>
    <row r="109" spans="1:9" s="21" customFormat="1" ht="20.100000000000001" customHeight="1" x14ac:dyDescent="0.2">
      <c r="A109" s="19"/>
      <c r="B109" s="20"/>
      <c r="C109" s="20"/>
      <c r="D109" s="20"/>
      <c r="E109" s="20"/>
      <c r="F109" s="20"/>
      <c r="G109" s="20"/>
      <c r="H109" s="20"/>
      <c r="I109" s="20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4" t="s">
        <v>89</v>
      </c>
    </row>
    <row r="200" spans="1:1" ht="20.100000000000001" customHeight="1" x14ac:dyDescent="0.2">
      <c r="A200" s="24" t="s">
        <v>90</v>
      </c>
    </row>
    <row r="201" spans="1:1" ht="20.100000000000001" customHeight="1" x14ac:dyDescent="0.2">
      <c r="A201" s="24" t="s">
        <v>91</v>
      </c>
    </row>
    <row r="202" spans="1:1" ht="20.100000000000001" customHeight="1" x14ac:dyDescent="0.2">
      <c r="A202" s="24" t="s">
        <v>92</v>
      </c>
    </row>
    <row r="203" spans="1:1" ht="20.100000000000001" customHeight="1" x14ac:dyDescent="0.2">
      <c r="A203" s="24" t="s">
        <v>93</v>
      </c>
    </row>
    <row r="204" spans="1:1" ht="20.100000000000001" customHeight="1" x14ac:dyDescent="0.2">
      <c r="A204" s="24" t="s">
        <v>94</v>
      </c>
    </row>
    <row r="205" spans="1:1" ht="20.100000000000001" customHeight="1" x14ac:dyDescent="0.2">
      <c r="A205" s="24" t="s">
        <v>95</v>
      </c>
    </row>
    <row r="206" spans="1:1" ht="20.100000000000001" customHeight="1" x14ac:dyDescent="0.2">
      <c r="A206" s="24" t="s">
        <v>96</v>
      </c>
    </row>
    <row r="207" spans="1:1" ht="20.100000000000001" customHeight="1" x14ac:dyDescent="0.2">
      <c r="A207" s="24" t="s">
        <v>97</v>
      </c>
    </row>
    <row r="208" spans="1:1" ht="20.100000000000001" customHeight="1" x14ac:dyDescent="0.2">
      <c r="A208" s="25" t="s">
        <v>98</v>
      </c>
    </row>
    <row r="209" spans="1:1" ht="20.100000000000001" customHeight="1" x14ac:dyDescent="0.2">
      <c r="A209" s="25" t="s">
        <v>99</v>
      </c>
    </row>
    <row r="210" spans="1:1" ht="20.100000000000001" customHeight="1" x14ac:dyDescent="0.2">
      <c r="A210" s="24" t="s">
        <v>100</v>
      </c>
    </row>
    <row r="211" spans="1:1" ht="20.100000000000001" customHeight="1" x14ac:dyDescent="0.2">
      <c r="A211" s="24" t="s">
        <v>101</v>
      </c>
    </row>
    <row r="212" spans="1:1" ht="20.100000000000001" customHeight="1" x14ac:dyDescent="0.2">
      <c r="A212" s="24" t="s">
        <v>175</v>
      </c>
    </row>
    <row r="213" spans="1:1" ht="20.100000000000001" customHeight="1" x14ac:dyDescent="0.2">
      <c r="A213" s="24" t="s">
        <v>102</v>
      </c>
    </row>
    <row r="214" spans="1:1" ht="20.100000000000001" customHeight="1" x14ac:dyDescent="0.2">
      <c r="A214" s="24" t="s">
        <v>103</v>
      </c>
    </row>
    <row r="215" spans="1:1" ht="20.100000000000001" customHeight="1" x14ac:dyDescent="0.2">
      <c r="A215" s="24" t="s">
        <v>104</v>
      </c>
    </row>
    <row r="216" spans="1:1" ht="20.100000000000001" customHeight="1" x14ac:dyDescent="0.2">
      <c r="A216" s="24" t="s">
        <v>105</v>
      </c>
    </row>
    <row r="217" spans="1:1" ht="20.100000000000001" customHeight="1" x14ac:dyDescent="0.2">
      <c r="A217" s="24" t="s">
        <v>106</v>
      </c>
    </row>
    <row r="218" spans="1:1" ht="20.100000000000001" customHeight="1" x14ac:dyDescent="0.2">
      <c r="A218" s="24" t="s">
        <v>107</v>
      </c>
    </row>
    <row r="219" spans="1:1" ht="20.100000000000001" customHeight="1" x14ac:dyDescent="0.2">
      <c r="A219" s="24" t="s">
        <v>108</v>
      </c>
    </row>
    <row r="220" spans="1:1" ht="20.100000000000001" customHeight="1" x14ac:dyDescent="0.2">
      <c r="A220" s="24" t="s">
        <v>109</v>
      </c>
    </row>
    <row r="221" spans="1:1" ht="20.100000000000001" customHeight="1" x14ac:dyDescent="0.2">
      <c r="A221" s="24" t="s">
        <v>110</v>
      </c>
    </row>
    <row r="222" spans="1:1" ht="20.100000000000001" customHeight="1" x14ac:dyDescent="0.2">
      <c r="A222" s="24" t="s">
        <v>111</v>
      </c>
    </row>
    <row r="223" spans="1:1" ht="20.100000000000001" customHeight="1" x14ac:dyDescent="0.2">
      <c r="A223" s="24" t="s">
        <v>112</v>
      </c>
    </row>
    <row r="224" spans="1:1" ht="20.100000000000001" customHeight="1" x14ac:dyDescent="0.2">
      <c r="A224" s="24" t="s">
        <v>176</v>
      </c>
    </row>
    <row r="225" spans="1:1" ht="20.100000000000001" customHeight="1" x14ac:dyDescent="0.2">
      <c r="A225" s="24" t="s">
        <v>113</v>
      </c>
    </row>
    <row r="226" spans="1:1" ht="20.100000000000001" customHeight="1" x14ac:dyDescent="0.2">
      <c r="A226" s="24" t="s">
        <v>114</v>
      </c>
    </row>
    <row r="227" spans="1:1" ht="20.100000000000001" customHeight="1" x14ac:dyDescent="0.2">
      <c r="A227" s="24" t="s">
        <v>115</v>
      </c>
    </row>
    <row r="228" spans="1:1" ht="20.100000000000001" customHeight="1" x14ac:dyDescent="0.2">
      <c r="A228" s="24" t="s">
        <v>116</v>
      </c>
    </row>
    <row r="229" spans="1:1" ht="20.100000000000001" customHeight="1" x14ac:dyDescent="0.2">
      <c r="A229" s="24" t="s">
        <v>117</v>
      </c>
    </row>
    <row r="230" spans="1:1" ht="20.100000000000001" customHeight="1" x14ac:dyDescent="0.2">
      <c r="A230" s="24" t="s">
        <v>118</v>
      </c>
    </row>
    <row r="231" spans="1:1" ht="20.100000000000001" customHeight="1" x14ac:dyDescent="0.2">
      <c r="A231" s="24" t="s">
        <v>119</v>
      </c>
    </row>
    <row r="232" spans="1:1" ht="20.100000000000001" customHeight="1" x14ac:dyDescent="0.2">
      <c r="A232" s="24" t="s">
        <v>120</v>
      </c>
    </row>
    <row r="233" spans="1:1" ht="20.100000000000001" customHeight="1" x14ac:dyDescent="0.2">
      <c r="A233" s="24" t="s">
        <v>121</v>
      </c>
    </row>
    <row r="234" spans="1:1" ht="20.100000000000001" customHeight="1" x14ac:dyDescent="0.2">
      <c r="A234" s="24" t="s">
        <v>122</v>
      </c>
    </row>
    <row r="235" spans="1:1" ht="20.100000000000001" customHeight="1" x14ac:dyDescent="0.2">
      <c r="A235" s="24" t="s">
        <v>123</v>
      </c>
    </row>
    <row r="236" spans="1:1" ht="20.100000000000001" customHeight="1" x14ac:dyDescent="0.2">
      <c r="A236" s="26" t="s">
        <v>124</v>
      </c>
    </row>
    <row r="237" spans="1:1" ht="20.100000000000001" customHeight="1" x14ac:dyDescent="0.2">
      <c r="A237" s="24" t="s">
        <v>125</v>
      </c>
    </row>
    <row r="238" spans="1:1" ht="20.100000000000001" customHeight="1" x14ac:dyDescent="0.2">
      <c r="A238" s="24" t="s">
        <v>126</v>
      </c>
    </row>
    <row r="239" spans="1:1" ht="20.100000000000001" customHeight="1" x14ac:dyDescent="0.2">
      <c r="A239" s="24" t="s">
        <v>127</v>
      </c>
    </row>
    <row r="240" spans="1:1" ht="20.100000000000001" customHeight="1" x14ac:dyDescent="0.2">
      <c r="A240" s="24" t="s">
        <v>128</v>
      </c>
    </row>
    <row r="241" spans="1:1" ht="20.100000000000001" customHeight="1" x14ac:dyDescent="0.2">
      <c r="A241" s="24" t="s">
        <v>129</v>
      </c>
    </row>
    <row r="242" spans="1:1" ht="20.100000000000001" customHeight="1" x14ac:dyDescent="0.2">
      <c r="A242" s="24" t="s">
        <v>130</v>
      </c>
    </row>
    <row r="243" spans="1:1" ht="20.100000000000001" customHeight="1" x14ac:dyDescent="0.2">
      <c r="A243" s="24" t="s">
        <v>131</v>
      </c>
    </row>
    <row r="244" spans="1:1" ht="20.100000000000001" customHeight="1" x14ac:dyDescent="0.2">
      <c r="A244" s="24" t="s">
        <v>132</v>
      </c>
    </row>
    <row r="245" spans="1:1" ht="20.100000000000001" customHeight="1" x14ac:dyDescent="0.2">
      <c r="A245" s="24" t="s">
        <v>133</v>
      </c>
    </row>
    <row r="246" spans="1:1" ht="20.100000000000001" customHeight="1" x14ac:dyDescent="0.2">
      <c r="A246" s="24" t="s">
        <v>134</v>
      </c>
    </row>
    <row r="247" spans="1:1" ht="20.100000000000001" customHeight="1" x14ac:dyDescent="0.2">
      <c r="A247" s="24" t="s">
        <v>135</v>
      </c>
    </row>
    <row r="248" spans="1:1" ht="20.100000000000001" customHeight="1" x14ac:dyDescent="0.2">
      <c r="A248" s="24" t="s">
        <v>126</v>
      </c>
    </row>
    <row r="249" spans="1:1" ht="20.100000000000001" customHeight="1" x14ac:dyDescent="0.2">
      <c r="A249" s="24" t="s">
        <v>136</v>
      </c>
    </row>
    <row r="250" spans="1:1" ht="20.100000000000001" customHeight="1" x14ac:dyDescent="0.2">
      <c r="A250" s="24" t="s">
        <v>137</v>
      </c>
    </row>
    <row r="251" spans="1:1" ht="20.100000000000001" customHeight="1" x14ac:dyDescent="0.2">
      <c r="A251" s="26" t="s">
        <v>138</v>
      </c>
    </row>
    <row r="252" spans="1:1" ht="20.100000000000001" customHeight="1" x14ac:dyDescent="0.2">
      <c r="A252" s="27" t="s">
        <v>139</v>
      </c>
    </row>
    <row r="253" spans="1:1" ht="20.100000000000001" customHeight="1" x14ac:dyDescent="0.2">
      <c r="A253" s="24" t="s">
        <v>140</v>
      </c>
    </row>
    <row r="254" spans="1:1" ht="20.100000000000001" customHeight="1" x14ac:dyDescent="0.2">
      <c r="A254" s="24" t="s">
        <v>141</v>
      </c>
    </row>
    <row r="255" spans="1:1" ht="20.100000000000001" customHeight="1" x14ac:dyDescent="0.2">
      <c r="A255" s="28" t="s">
        <v>142</v>
      </c>
    </row>
    <row r="256" spans="1:1" ht="20.100000000000001" customHeight="1" x14ac:dyDescent="0.2">
      <c r="A256" s="28" t="s">
        <v>143</v>
      </c>
    </row>
    <row r="257" spans="1:1" ht="20.100000000000001" customHeight="1" x14ac:dyDescent="0.2">
      <c r="A257" s="29" t="s">
        <v>144</v>
      </c>
    </row>
    <row r="258" spans="1:1" ht="20.100000000000001" customHeight="1" x14ac:dyDescent="0.2">
      <c r="A258" s="24" t="s">
        <v>145</v>
      </c>
    </row>
    <row r="259" spans="1:1" ht="20.100000000000001" customHeight="1" x14ac:dyDescent="0.2">
      <c r="A259" s="29" t="s">
        <v>146</v>
      </c>
    </row>
    <row r="260" spans="1:1" ht="20.100000000000001" customHeight="1" x14ac:dyDescent="0.2">
      <c r="A260" s="24" t="s">
        <v>147</v>
      </c>
    </row>
    <row r="261" spans="1:1" ht="20.100000000000001" customHeight="1" x14ac:dyDescent="0.2">
      <c r="A261" s="29" t="s">
        <v>148</v>
      </c>
    </row>
    <row r="262" spans="1:1" ht="20.100000000000001" customHeight="1" x14ac:dyDescent="0.2">
      <c r="A262" s="24" t="s">
        <v>149</v>
      </c>
    </row>
    <row r="263" spans="1:1" ht="20.100000000000001" customHeight="1" x14ac:dyDescent="0.2">
      <c r="A263" s="24" t="s">
        <v>150</v>
      </c>
    </row>
    <row r="264" spans="1:1" ht="20.100000000000001" customHeight="1" x14ac:dyDescent="0.2">
      <c r="A264" s="29" t="s">
        <v>151</v>
      </c>
    </row>
    <row r="265" spans="1:1" ht="20.100000000000001" customHeight="1" x14ac:dyDescent="0.2">
      <c r="A265" s="29" t="s">
        <v>152</v>
      </c>
    </row>
    <row r="266" spans="1:1" ht="20.100000000000001" customHeight="1" x14ac:dyDescent="0.2">
      <c r="A266" s="29" t="s">
        <v>153</v>
      </c>
    </row>
    <row r="267" spans="1:1" ht="20.100000000000001" customHeight="1" x14ac:dyDescent="0.2">
      <c r="A267" s="24" t="s">
        <v>154</v>
      </c>
    </row>
    <row r="268" spans="1:1" ht="20.100000000000001" customHeight="1" x14ac:dyDescent="0.2">
      <c r="A268" s="24" t="s">
        <v>155</v>
      </c>
    </row>
    <row r="269" spans="1:1" ht="20.100000000000001" customHeight="1" x14ac:dyDescent="0.2">
      <c r="A269" s="24" t="s">
        <v>156</v>
      </c>
    </row>
    <row r="270" spans="1:1" ht="20.100000000000001" customHeight="1" x14ac:dyDescent="0.2">
      <c r="A270" s="24" t="s">
        <v>157</v>
      </c>
    </row>
    <row r="271" spans="1:1" ht="20.100000000000001" customHeight="1" x14ac:dyDescent="0.2">
      <c r="A271" s="29" t="s">
        <v>158</v>
      </c>
    </row>
    <row r="272" spans="1:1" ht="20.100000000000001" customHeight="1" x14ac:dyDescent="0.2">
      <c r="A272" s="29" t="s">
        <v>159</v>
      </c>
    </row>
    <row r="273" spans="1:1" ht="20.100000000000001" customHeight="1" x14ac:dyDescent="0.2">
      <c r="A273" s="24" t="s">
        <v>160</v>
      </c>
    </row>
    <row r="274" spans="1:1" ht="20.100000000000001" customHeight="1" x14ac:dyDescent="0.2">
      <c r="A274" s="29" t="s">
        <v>161</v>
      </c>
    </row>
    <row r="275" spans="1:1" ht="20.100000000000001" customHeight="1" x14ac:dyDescent="0.2">
      <c r="A275" s="29" t="s">
        <v>162</v>
      </c>
    </row>
    <row r="276" spans="1:1" ht="20.100000000000001" customHeight="1" x14ac:dyDescent="0.2">
      <c r="A276" s="24" t="s">
        <v>163</v>
      </c>
    </row>
    <row r="277" spans="1:1" ht="20.100000000000001" customHeight="1" x14ac:dyDescent="0.2">
      <c r="A277" s="24" t="s">
        <v>164</v>
      </c>
    </row>
    <row r="278" spans="1:1" ht="20.100000000000001" customHeight="1" x14ac:dyDescent="0.2">
      <c r="A278" s="29" t="s">
        <v>165</v>
      </c>
    </row>
    <row r="279" spans="1:1" ht="20.100000000000001" customHeight="1" x14ac:dyDescent="0.2">
      <c r="A279" s="24" t="s">
        <v>166</v>
      </c>
    </row>
    <row r="280" spans="1:1" ht="20.100000000000001" customHeight="1" x14ac:dyDescent="0.2">
      <c r="A280" s="24" t="s">
        <v>167</v>
      </c>
    </row>
    <row r="281" spans="1:1" ht="20.100000000000001" customHeight="1" x14ac:dyDescent="0.2">
      <c r="A281" s="24" t="s">
        <v>168</v>
      </c>
    </row>
    <row r="282" spans="1:1" ht="20.100000000000001" customHeight="1" x14ac:dyDescent="0.2">
      <c r="A282" s="24" t="s">
        <v>169</v>
      </c>
    </row>
    <row r="283" spans="1:1" ht="20.100000000000001" customHeight="1" x14ac:dyDescent="0.2">
      <c r="A283" s="29" t="s">
        <v>170</v>
      </c>
    </row>
    <row r="284" spans="1:1" ht="20.100000000000001" customHeight="1" x14ac:dyDescent="0.2">
      <c r="A284" s="29" t="s">
        <v>171</v>
      </c>
    </row>
    <row r="285" spans="1:1" ht="20.100000000000001" customHeight="1" x14ac:dyDescent="0.2">
      <c r="A285" s="29" t="s">
        <v>172</v>
      </c>
    </row>
    <row r="286" spans="1:1" ht="20.100000000000001" customHeight="1" thickBot="1" x14ac:dyDescent="0.25">
      <c r="A286" s="24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2025-09-23T08:04:36Z</dcterms:modified>
</cp:coreProperties>
</file>