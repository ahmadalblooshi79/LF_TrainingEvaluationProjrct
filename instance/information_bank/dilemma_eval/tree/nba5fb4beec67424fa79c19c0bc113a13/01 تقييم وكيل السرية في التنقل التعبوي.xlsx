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D8DF4DD6-0F5A-4AA4-B628-F5AA06A4E4C4}"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5" i="2"/>
  <c r="H15" i="2"/>
  <c r="G16" i="2"/>
  <c r="H16" i="2"/>
  <c r="G17" i="2"/>
  <c r="H17" i="2"/>
  <c r="G18" i="2"/>
  <c r="H18" i="2"/>
  <c r="G19" i="2"/>
  <c r="H19" i="2"/>
  <c r="G20" i="2"/>
  <c r="H20" i="2"/>
  <c r="G21" i="2"/>
  <c r="H21" i="2"/>
  <c r="G22" i="2"/>
  <c r="H22" i="2"/>
  <c r="G24" i="2"/>
  <c r="H24" i="2"/>
  <c r="G25" i="2"/>
  <c r="H25" i="2"/>
  <c r="G26" i="2"/>
  <c r="H26" i="2"/>
  <c r="G27" i="2"/>
  <c r="H27" i="2"/>
  <c r="G28" i="2"/>
  <c r="H28" i="2" s="1"/>
  <c r="G29" i="2"/>
  <c r="H29" i="2"/>
  <c r="G31" i="2"/>
  <c r="H31" i="2"/>
  <c r="G32" i="2"/>
  <c r="H32" i="2"/>
  <c r="G33" i="2"/>
  <c r="H33" i="2"/>
  <c r="G34" i="2"/>
  <c r="H34" i="2"/>
  <c r="G35" i="2"/>
  <c r="H35" i="2"/>
  <c r="G36" i="2"/>
  <c r="H36" i="2"/>
  <c r="G37" i="2"/>
  <c r="H37" i="2"/>
  <c r="G38" i="2"/>
  <c r="H38" i="2"/>
  <c r="G39" i="2"/>
  <c r="H39" i="2"/>
  <c r="G40" i="2"/>
  <c r="H40" i="2"/>
  <c r="G41" i="2"/>
  <c r="H41" i="2"/>
  <c r="G42" i="2"/>
  <c r="H42" i="2"/>
  <c r="G43" i="2"/>
  <c r="H43" i="2"/>
  <c r="G44" i="2"/>
  <c r="H44" i="2"/>
  <c r="G45" i="2"/>
  <c r="H45" i="2"/>
  <c r="F46" i="2"/>
  <c r="E46" i="2"/>
  <c r="E47" i="2" s="1"/>
  <c r="E48" i="2" s="1"/>
</calcChain>
</file>

<file path=xl/sharedStrings.xml><?xml version="1.0" encoding="utf-8"?>
<sst xmlns="http://schemas.openxmlformats.org/spreadsheetml/2006/main" count="276" uniqueCount="221">
  <si>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</si>
  <si>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</si>
  <si>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</si>
  <si>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</si>
  <si>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</si>
  <si>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</si>
  <si>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</si>
  <si>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</si>
  <si>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</si>
  <si>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</si>
  <si>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</si>
  <si>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</si>
  <si>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</si>
  <si>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</si>
  <si>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</si>
  <si>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</si>
  <si>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</si>
  <si>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</si>
  <si>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</si>
  <si>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</si>
  <si>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</si>
  <si>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</si>
  <si>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</si>
  <si>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</si>
  <si>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</si>
  <si>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</si>
  <si>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</si>
  <si>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</si>
  <si>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</si>
  <si>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</si>
  <si>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</si>
  <si>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</si>
  <si>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</si>
  <si>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</si>
  <si>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</si>
  <si>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</si>
  <si>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</si>
  <si>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</si>
  <si>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</si>
  <si>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</si>
  <si>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</si>
  <si>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</si>
  <si>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</si>
  <si>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</si>
  <si>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</si>
  <si>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</si>
  <si>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</si>
  <si>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</si>
  <si>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</si>
  <si>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</si>
  <si>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</si>
  <si>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</si>
  <si>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</si>
  <si>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</si>
  <si>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</si>
  <si>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</si>
  <si>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</si>
  <si>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</si>
  <si>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</si>
  <si>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</si>
  <si>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</si>
  <si>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</si>
  <si>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</si>
  <si>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</si>
  <si>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</si>
  <si>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</si>
  <si>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</si>
  <si>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</si>
  <si>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</si>
  <si>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</si>
  <si>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</si>
  <si>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</si>
  <si>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</si>
  <si>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</si>
  <si>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</si>
  <si>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</si>
  <si>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</si>
  <si>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</si>
  <si>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</si>
  <si>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</si>
  <si>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</si>
  <si>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</si>
  <si>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</si>
  <si>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</si>
  <si>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</si>
  <si>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</si>
  <si>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</si>
  <si>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</si>
  <si>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</si>
  <si>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</si>
  <si>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</si>
  <si>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</si>
  <si>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</si>
  <si>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</si>
  <si>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</si>
  <si>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</si>
  <si>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</si>
  <si>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</si>
  <si>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</si>
  <si>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</si>
  <si>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</si>
  <si>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</si>
  <si>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</si>
  <si>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</si>
  <si>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</si>
  <si>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</si>
  <si>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</si>
  <si>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</si>
  <si>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</si>
  <si>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</si>
  <si>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</si>
  <si>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</si>
  <si>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</si>
  <si>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</si>
  <si>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</si>
  <si>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</si>
  <si>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</si>
  <si>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</si>
  <si>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</si>
  <si>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</si>
  <si>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</si>
  <si>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</si>
  <si>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</si>
  <si>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</si>
  <si>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</si>
  <si>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</si>
  <si>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</si>
  <si>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</si>
  <si>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</si>
  <si>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</si>
  <si>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</si>
  <si>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</si>
  <si>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</si>
  <si>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</si>
  <si>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</si>
  <si>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</si>
  <si>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</si>
  <si>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</si>
  <si>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</si>
  <si>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</si>
  <si>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</si>
  <si>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</si>
  <si>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</si>
  <si>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</si>
  <si>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</si>
  <si>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</si>
  <si>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</si>
  <si>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</si>
  <si>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</si>
  <si>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</si>
  <si>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</si>
  <si>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</si>
  <si>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</si>
  <si>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</si>
  <si>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</si>
  <si>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</si>
  <si>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</si>
  <si>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</si>
  <si>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</si>
  <si>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</si>
  <si>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</si>
  <si>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</si>
  <si>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</si>
  <si>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</si>
  <si>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</si>
  <si>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</si>
  <si>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</si>
  <si>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</si>
  <si>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</si>
  <si>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</si>
  <si>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</si>
  <si>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</si>
  <si>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</si>
  <si>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</si>
  <si>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</si>
  <si>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</si>
  <si>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</si>
  <si>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</si>
  <si>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</si>
  <si>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</si>
  <si>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r>
      <rPr>
        <b/>
        <sz val="14"/>
        <color rgb="FF000000"/>
        <rFont val="Arial"/>
        <family val="2"/>
      </rPr>
      <t>تقييم وكيل السرية في التنقل التعبوي</t>
    </r>
    <r>
      <rPr>
        <b/>
        <u/>
        <sz val="14"/>
        <color rgb="FF000000"/>
        <rFont val="Arial"/>
        <family val="2"/>
      </rPr>
      <t xml:space="preserve">
تمرين جاهزية مجموعة لواء الإمارات/1 (جندي الصحراء 2025/20)</t>
    </r>
  </si>
  <si>
    <t>التخطيط لتسلسلات حركة التنقل التعبوي.</t>
  </si>
  <si>
    <r>
      <t>1.</t>
    </r>
    <r>
      <rPr>
        <sz val="7"/>
        <color theme="1"/>
        <rFont val="Times New Roman"/>
        <family val="1"/>
      </rPr>
      <t xml:space="preserve">        </t>
    </r>
    <r>
      <rPr>
        <sz val="12"/>
        <color theme="1"/>
        <rFont val="Arial"/>
        <family val="2"/>
      </rPr>
      <t>التأكد من تفهم المرؤوسين للأمر الإنذاري.</t>
    </r>
  </si>
  <si>
    <r>
      <t>2.</t>
    </r>
    <r>
      <rPr>
        <sz val="7"/>
        <color theme="1"/>
        <rFont val="Times New Roman"/>
        <family val="1"/>
      </rPr>
      <t xml:space="preserve">        </t>
    </r>
    <r>
      <rPr>
        <sz val="12"/>
        <color theme="1"/>
        <rFont val="Arial"/>
        <family val="2"/>
      </rPr>
      <t>تحضير تقدير موقف.</t>
    </r>
  </si>
  <si>
    <r>
      <t>3.</t>
    </r>
    <r>
      <rPr>
        <sz val="7"/>
        <color theme="1"/>
        <rFont val="Times New Roman"/>
        <family val="1"/>
      </rPr>
      <t xml:space="preserve">        </t>
    </r>
    <r>
      <rPr>
        <sz val="12"/>
        <color theme="1"/>
        <rFont val="Arial"/>
        <family val="2"/>
      </rPr>
      <t>العمل على تنظيم وإرسال أقسام استطلاع ومقدمة حسب الأوامر المستديمة للوحدة.</t>
    </r>
  </si>
  <si>
    <r>
      <t>4.</t>
    </r>
    <r>
      <rPr>
        <sz val="7"/>
        <color theme="1"/>
        <rFont val="Times New Roman"/>
        <family val="1"/>
      </rPr>
      <t xml:space="preserve">        </t>
    </r>
    <r>
      <rPr>
        <sz val="12"/>
        <color theme="1"/>
        <rFont val="Arial"/>
        <family val="2"/>
      </rPr>
      <t>تحضير خطط مفصلة للتنقل تتضمن (نظم المسير - مراجعة معلومات الاستطلاع).</t>
    </r>
  </si>
  <si>
    <r>
      <t>5.</t>
    </r>
    <r>
      <rPr>
        <sz val="7"/>
        <color theme="1"/>
        <rFont val="Times New Roman"/>
        <family val="1"/>
      </rPr>
      <t xml:space="preserve">        </t>
    </r>
    <r>
      <rPr>
        <sz val="12"/>
        <color theme="1"/>
        <rFont val="Arial"/>
        <family val="2"/>
      </rPr>
      <t>المشاركة في تحضير وتعميم أمر التنقل التعبوي على المرؤوسين.</t>
    </r>
  </si>
  <si>
    <t>السيطرة على التنقل.</t>
  </si>
  <si>
    <r>
      <t>1.</t>
    </r>
    <r>
      <rPr>
        <sz val="7"/>
        <color theme="1"/>
        <rFont val="Times New Roman"/>
        <family val="1"/>
      </rPr>
      <t xml:space="preserve">        </t>
    </r>
    <r>
      <rPr>
        <sz val="12"/>
        <color theme="1"/>
        <rFont val="Arial"/>
        <family val="2"/>
      </rPr>
      <t>تنظيم رتل التسلسل (الرأس - الجسم الرئيسي  - المؤخرة).</t>
    </r>
  </si>
  <si>
    <r>
      <t>2.</t>
    </r>
    <r>
      <rPr>
        <sz val="7"/>
        <color theme="1"/>
        <rFont val="Times New Roman"/>
        <family val="1"/>
      </rPr>
      <t xml:space="preserve">        </t>
    </r>
    <r>
      <rPr>
        <sz val="12"/>
        <color theme="1"/>
        <rFont val="Arial"/>
        <family val="2"/>
      </rPr>
      <t>التأكد من أن قائد كل آلية قد عين قواطع مراقبة بحيث تكون هناك مراقبة بمقدار (360) درجة حول آلياتهم، والتأكد بأن كل قائد آلية قد عين حارساً للمراقبة الجوية لتوفير الحماية.</t>
    </r>
  </si>
  <si>
    <r>
      <t>3.</t>
    </r>
    <r>
      <rPr>
        <sz val="7"/>
        <color theme="1"/>
        <rFont val="Times New Roman"/>
        <family val="1"/>
      </rPr>
      <t xml:space="preserve">        </t>
    </r>
    <r>
      <rPr>
        <sz val="12"/>
        <color theme="1"/>
        <rFont val="Arial"/>
        <family val="2"/>
      </rPr>
      <t>دخول طريق التنقل عند نقطة البداية وفي الوقت المحدد.</t>
    </r>
  </si>
  <si>
    <r>
      <t>4.</t>
    </r>
    <r>
      <rPr>
        <sz val="7"/>
        <color theme="1"/>
        <rFont val="Times New Roman"/>
        <family val="1"/>
      </rPr>
      <t xml:space="preserve">        </t>
    </r>
    <r>
      <rPr>
        <sz val="12"/>
        <color theme="1"/>
        <rFont val="Arial"/>
        <family val="2"/>
      </rPr>
      <t>الالتزام بالطريق المحدد في أمر التنقل.</t>
    </r>
  </si>
  <si>
    <r>
      <t>5.</t>
    </r>
    <r>
      <rPr>
        <sz val="7"/>
        <color theme="1"/>
        <rFont val="Times New Roman"/>
        <family val="1"/>
      </rPr>
      <t xml:space="preserve">        </t>
    </r>
    <r>
      <rPr>
        <sz val="12"/>
        <color theme="1"/>
        <rFont val="Arial"/>
        <family val="2"/>
      </rPr>
      <t>التأكد من التزام جميع الآليات بالسرعات المحددة في الأمر.</t>
    </r>
  </si>
  <si>
    <r>
      <t>6.</t>
    </r>
    <r>
      <rPr>
        <sz val="7"/>
        <color theme="1"/>
        <rFont val="Times New Roman"/>
        <family val="1"/>
      </rPr>
      <t xml:space="preserve">        </t>
    </r>
    <r>
      <rPr>
        <sz val="12"/>
        <color theme="1"/>
        <rFont val="Arial"/>
        <family val="2"/>
      </rPr>
      <t>تعديل المسير في النقاط الهامة إذا كانت سرعة الحركة بطيئة أو صعبة أو فقدت الآليات اتجاهها.</t>
    </r>
  </si>
  <si>
    <r>
      <t>7.</t>
    </r>
    <r>
      <rPr>
        <sz val="7"/>
        <color theme="1"/>
        <rFont val="Times New Roman"/>
        <family val="1"/>
      </rPr>
      <t xml:space="preserve">        </t>
    </r>
    <r>
      <rPr>
        <sz val="12"/>
        <color theme="1"/>
        <rFont val="Arial"/>
        <family val="2"/>
      </rPr>
      <t>المحافظة على الفواصل بين الآليات.</t>
    </r>
  </si>
  <si>
    <r>
      <t>8.</t>
    </r>
    <r>
      <rPr>
        <sz val="7"/>
        <color theme="1"/>
        <rFont val="Times New Roman"/>
        <family val="1"/>
      </rPr>
      <t xml:space="preserve">        </t>
    </r>
    <r>
      <rPr>
        <sz val="12"/>
        <color theme="1"/>
        <rFont val="Arial"/>
        <family val="2"/>
      </rPr>
      <t>تقليل فواصل الرتل أثناء فترات ظروف الرؤية المحدودة وزيادة فواصل الرتل أثناء فترات ظروف الرؤية الجيدة.</t>
    </r>
  </si>
  <si>
    <t>السيطرة على الأعمال أثناء الوقفات.</t>
  </si>
  <si>
    <r>
      <t>1.</t>
    </r>
    <r>
      <rPr>
        <sz val="7"/>
        <color theme="1"/>
        <rFont val="Times New Roman"/>
        <family val="1"/>
      </rPr>
      <t xml:space="preserve">        </t>
    </r>
    <r>
      <rPr>
        <sz val="12"/>
        <color theme="1"/>
        <rFont val="Arial"/>
        <family val="2"/>
      </rPr>
      <t>إدامة المراقبة في جميع الجهات أثناء التوقف.</t>
    </r>
  </si>
  <si>
    <r>
      <t>2.</t>
    </r>
    <r>
      <rPr>
        <sz val="7"/>
        <color theme="1"/>
        <rFont val="Times New Roman"/>
        <family val="1"/>
      </rPr>
      <t xml:space="preserve">        </t>
    </r>
    <r>
      <rPr>
        <sz val="12"/>
        <color theme="1"/>
        <rFont val="Arial"/>
        <family val="2"/>
      </rPr>
      <t>إدامة المراقبة الجوية أثناء التوقف.</t>
    </r>
  </si>
  <si>
    <r>
      <t>3.</t>
    </r>
    <r>
      <rPr>
        <sz val="7"/>
        <color theme="1"/>
        <rFont val="Times New Roman"/>
        <family val="1"/>
      </rPr>
      <t xml:space="preserve">        </t>
    </r>
    <r>
      <rPr>
        <sz val="12"/>
        <color theme="1"/>
        <rFont val="Arial"/>
        <family val="2"/>
      </rPr>
      <t>توزيع الأدلاء للمساعدة في حركة المرور.</t>
    </r>
  </si>
  <si>
    <r>
      <t>4.</t>
    </r>
    <r>
      <rPr>
        <sz val="7"/>
        <color theme="1"/>
        <rFont val="Times New Roman"/>
        <family val="1"/>
      </rPr>
      <t xml:space="preserve">        </t>
    </r>
    <r>
      <rPr>
        <sz val="12"/>
        <color theme="1"/>
        <rFont val="Arial"/>
        <family val="2"/>
      </rPr>
      <t>تحديد أسباب الوقفات غير المبرمجة والعمل على حلها.</t>
    </r>
  </si>
  <si>
    <r>
      <t>5.</t>
    </r>
    <r>
      <rPr>
        <sz val="7"/>
        <color theme="1"/>
        <rFont val="Times New Roman"/>
        <family val="1"/>
      </rPr>
      <t xml:space="preserve">        </t>
    </r>
    <r>
      <rPr>
        <sz val="12"/>
        <color theme="1"/>
        <rFont val="Arial"/>
        <family val="2"/>
      </rPr>
      <t>رفع تقرير الموقف للقائد الأعلى.</t>
    </r>
  </si>
  <si>
    <r>
      <t>6.</t>
    </r>
    <r>
      <rPr>
        <sz val="7"/>
        <color theme="1"/>
        <rFont val="Times New Roman"/>
        <family val="1"/>
      </rPr>
      <t xml:space="preserve">        </t>
    </r>
    <r>
      <rPr>
        <sz val="12"/>
        <color theme="1"/>
        <rFont val="Arial"/>
        <family val="2"/>
      </rPr>
      <t>التأكد من إجراء الصيانة في الوقفات المخطط لها.</t>
    </r>
  </si>
  <si>
    <t>السيطرة على الأعمال في منطقة التجمع.</t>
  </si>
  <si>
    <r>
      <t>1.</t>
    </r>
    <r>
      <rPr>
        <sz val="7"/>
        <color theme="1"/>
        <rFont val="Times New Roman"/>
        <family val="1"/>
      </rPr>
      <t xml:space="preserve">        </t>
    </r>
    <r>
      <rPr>
        <sz val="12"/>
        <color theme="1"/>
        <rFont val="Arial"/>
        <family val="2"/>
      </rPr>
      <t>التأكد بأن ضابط صف المقدمة يقود الرتل إلى القطاع المحدد.</t>
    </r>
  </si>
  <si>
    <r>
      <t>2.</t>
    </r>
    <r>
      <rPr>
        <sz val="7"/>
        <color theme="1"/>
        <rFont val="Times New Roman"/>
        <family val="1"/>
      </rPr>
      <t xml:space="preserve">        </t>
    </r>
    <r>
      <rPr>
        <sz val="12"/>
        <color theme="1"/>
        <rFont val="Arial"/>
        <family val="2"/>
      </rPr>
      <t>التأكد من تعيين فرد واحد لكل آلية يعمل على السلاح الذي يشغله طاقم ويراقب جهاز الاتصال وقاطع رماية الآلية.</t>
    </r>
  </si>
  <si>
    <r>
      <t>3.</t>
    </r>
    <r>
      <rPr>
        <sz val="7"/>
        <color theme="1"/>
        <rFont val="Times New Roman"/>
        <family val="1"/>
      </rPr>
      <t xml:space="preserve">        </t>
    </r>
    <r>
      <rPr>
        <sz val="12"/>
        <color theme="1"/>
        <rFont val="Arial"/>
        <family val="2"/>
      </rPr>
      <t>تجهيز مواقع المراقبة.</t>
    </r>
  </si>
  <si>
    <r>
      <t>4.</t>
    </r>
    <r>
      <rPr>
        <sz val="7"/>
        <color theme="1"/>
        <rFont val="Times New Roman"/>
        <family val="1"/>
      </rPr>
      <t xml:space="preserve">        </t>
    </r>
    <r>
      <rPr>
        <sz val="12"/>
        <color theme="1"/>
        <rFont val="Arial"/>
        <family val="2"/>
      </rPr>
      <t>فحص المواقع والقواطع الأساسية، والتعديل عند الضرورة.</t>
    </r>
  </si>
  <si>
    <r>
      <t>5.</t>
    </r>
    <r>
      <rPr>
        <sz val="7"/>
        <color theme="1"/>
        <rFont val="Times New Roman"/>
        <family val="1"/>
      </rPr>
      <t xml:space="preserve">        </t>
    </r>
    <r>
      <rPr>
        <sz val="12"/>
        <color theme="1"/>
        <rFont val="Arial"/>
        <family val="2"/>
      </rPr>
      <t>العمل على تمويه المواقع.</t>
    </r>
  </si>
  <si>
    <r>
      <t>6.</t>
    </r>
    <r>
      <rPr>
        <sz val="7"/>
        <color theme="1"/>
        <rFont val="Times New Roman"/>
        <family val="1"/>
      </rPr>
      <t xml:space="preserve">        </t>
    </r>
    <r>
      <rPr>
        <sz val="12"/>
        <color theme="1"/>
        <rFont val="Arial"/>
        <family val="2"/>
      </rPr>
      <t>بدء خطة الاستراحة.</t>
    </r>
  </si>
  <si>
    <r>
      <t>7.</t>
    </r>
    <r>
      <rPr>
        <sz val="7"/>
        <color theme="1"/>
        <rFont val="Times New Roman"/>
        <family val="1"/>
      </rPr>
      <t xml:space="preserve">        </t>
    </r>
    <r>
      <rPr>
        <sz val="12"/>
        <color theme="1"/>
        <rFont val="Arial"/>
        <family val="2"/>
      </rPr>
      <t>التأكد من تجهيز الأفراد لبطاقات المدى.</t>
    </r>
  </si>
  <si>
    <r>
      <t>8.</t>
    </r>
    <r>
      <rPr>
        <sz val="7"/>
        <color theme="1"/>
        <rFont val="Times New Roman"/>
        <family val="1"/>
      </rPr>
      <t xml:space="preserve">        </t>
    </r>
    <r>
      <rPr>
        <sz val="12"/>
        <color theme="1"/>
        <rFont val="Arial"/>
        <family val="2"/>
      </rPr>
      <t>تحديد مكان موقع القيادة في منطقة التجمع.</t>
    </r>
  </si>
  <si>
    <r>
      <t>9.</t>
    </r>
    <r>
      <rPr>
        <sz val="7"/>
        <color theme="1"/>
        <rFont val="Times New Roman"/>
        <family val="1"/>
      </rPr>
      <t xml:space="preserve">        </t>
    </r>
    <r>
      <rPr>
        <sz val="12"/>
        <color theme="1"/>
        <rFont val="Arial"/>
        <family val="2"/>
      </rPr>
      <t>التنسيق مع الوحدات المجاورة / العناصر على الأجنحة.</t>
    </r>
  </si>
  <si>
    <r>
      <t>10.</t>
    </r>
    <r>
      <rPr>
        <sz val="7"/>
        <color theme="1"/>
        <rFont val="Times New Roman"/>
        <family val="1"/>
      </rPr>
      <t xml:space="preserve">   </t>
    </r>
    <r>
      <rPr>
        <sz val="12"/>
        <color theme="1"/>
        <rFont val="Arial"/>
        <family val="2"/>
      </rPr>
      <t>انتخاب وتحضير المواقع البديلة.</t>
    </r>
  </si>
  <si>
    <r>
      <t>11.</t>
    </r>
    <r>
      <rPr>
        <sz val="7"/>
        <color theme="1"/>
        <rFont val="Times New Roman"/>
        <family val="1"/>
      </rPr>
      <t xml:space="preserve">   </t>
    </r>
    <r>
      <rPr>
        <sz val="12"/>
        <color theme="1"/>
        <rFont val="Arial"/>
        <family val="2"/>
      </rPr>
      <t>تحضير خطة رماية الوحدة وإيجاز قادة الآليات وإرسال نسخة منها للقائد.</t>
    </r>
  </si>
  <si>
    <r>
      <t>12.</t>
    </r>
    <r>
      <rPr>
        <sz val="7"/>
        <color theme="1"/>
        <rFont val="Times New Roman"/>
        <family val="1"/>
      </rPr>
      <t xml:space="preserve">   </t>
    </r>
    <r>
      <rPr>
        <sz val="12"/>
        <color theme="1"/>
        <rFont val="Arial"/>
        <family val="2"/>
      </rPr>
      <t>التأكد من قيام أفراد الفصيل بإجراء الصيانة الضرورية.</t>
    </r>
  </si>
  <si>
    <r>
      <t>13.</t>
    </r>
    <r>
      <rPr>
        <sz val="7"/>
        <color theme="1"/>
        <rFont val="Times New Roman"/>
        <family val="1"/>
      </rPr>
      <t xml:space="preserve">   </t>
    </r>
    <r>
      <rPr>
        <sz val="12"/>
        <color theme="1"/>
        <rFont val="Arial"/>
        <family val="2"/>
      </rPr>
      <t>التأكد من حالة الأفراد والمعدات ورفع تقرير بذلك للقائد.</t>
    </r>
  </si>
  <si>
    <r>
      <t>14.</t>
    </r>
    <r>
      <rPr>
        <sz val="7"/>
        <color theme="1"/>
        <rFont val="Times New Roman"/>
        <family val="1"/>
      </rPr>
      <t xml:space="preserve">   </t>
    </r>
    <r>
      <rPr>
        <sz val="12"/>
        <color theme="1"/>
        <rFont val="Arial"/>
        <family val="2"/>
      </rPr>
      <t>العمل على إعادة التزويد.</t>
    </r>
  </si>
  <si>
    <r>
      <t>15.</t>
    </r>
    <r>
      <rPr>
        <sz val="7"/>
        <color theme="1"/>
        <rFont val="Times New Roman"/>
        <family val="1"/>
      </rPr>
      <t xml:space="preserve">   </t>
    </r>
    <r>
      <rPr>
        <sz val="12"/>
        <color theme="1"/>
        <rFont val="Arial"/>
        <family val="2"/>
      </rPr>
      <t>التأكد من الإجراءات الأمنية.</t>
    </r>
  </si>
  <si>
    <t>علي حسن البلوشي</t>
  </si>
  <si>
    <t>رقيب/1 إبراهيم جاسم الدرمكي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</si>
</sst>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0"/>
      <color theme="1"/>
      <name val="Calibri Light"/>
      <family val="2"/>
    </font>
    <font>
      <b/>
      <u/>
      <sz val="12"/>
      <color theme="1"/>
      <name val="Arial"/>
      <family val="2"/>
    </font>
    <font>
      <sz val="12"/>
      <color theme="1"/>
      <name val="Arial"/>
      <family val="2"/>
    </font>
    <font>
      <sz val="7"/>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3">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81">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3" xfId="0" applyFont="1" applyBorder="1" applyAlignment="1">
      <alignment horizontal="center" vertical="center" wrapText="1"/>
    </xf>
    <xf numFmtId="0" fontId="13" fillId="0" borderId="4" xfId="0" applyFont="1" applyBorder="1" applyAlignment="1">
      <alignment vertical="top" wrapText="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5" fillId="0" borderId="21" xfId="0" applyFont="1" applyBorder="1" applyAlignment="1">
      <alignment horizontal="right" vertical="center" wrapText="1" readingOrder="2"/>
    </xf>
    <xf numFmtId="0" fontId="15" fillId="0" borderId="3"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11" xfId="0" applyFont="1" applyBorder="1" applyAlignment="1">
      <alignment horizontal="right" vertical="center" wrapText="1" readingOrder="2"/>
    </xf>
    <xf numFmtId="0" fontId="15" fillId="0" borderId="12" xfId="0" applyFont="1" applyBorder="1" applyAlignment="1">
      <alignment horizontal="right" vertical="center" wrapText="1" readingOrder="2"/>
    </xf>
    <xf numFmtId="0" fontId="6" fillId="0" borderId="22" xfId="0" applyFont="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7</xdr:col>
      <xdr:colOff>29307</xdr:colOff>
      <xdr:row>49</xdr:row>
      <xdr:rowOff>29308</xdr:rowOff>
    </xdr:from>
    <xdr:to>
      <xdr:col>8</xdr:col>
      <xdr:colOff>391354</xdr:colOff>
      <xdr:row>49</xdr:row>
      <xdr:rowOff>486508</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2716D18E-D1BB-4893-9ABD-F467F1A0B891}"/>
                </a:ext>
              </a:extLst>
            </xdr14:cNvPr>
            <xdr14:cNvContentPartPr/>
          </xdr14:nvContentPartPr>
          <xdr14:nvPr macro=""/>
          <xdr14:xfrm>
            <a:off x="10078875723" y="19718216"/>
            <a:ext cx="1000954" cy="457200"/>
          </xdr14:xfrm>
        </xdr:contentPart>
      </mc:Choice>
      <mc:Fallback xmlns="">
        <xdr:pic>
          <xdr:nvPicPr>
            <xdr:cNvPr id="2" name="Ink 1">
              <a:extLst>
                <a:ext uri="{FF2B5EF4-FFF2-40B4-BE49-F238E27FC236}">
                  <a16:creationId xmlns:a16="http://schemas.microsoft.com/office/drawing/2014/main" id="{4A9B7EF8-7882-8060-B9E8-C2DC34B65183}"/>
                </a:ext>
              </a:extLst>
            </xdr:cNvPr>
            <xdr:cNvPicPr/>
          </xdr:nvPicPr>
          <xdr:blipFill>
            <a:blip xmlns:r="http://schemas.openxmlformats.org/officeDocument/2006/relationships" r:embed="rId2"/>
            <a:stretch>
              <a:fillRect/>
            </a:stretch>
          </xdr:blipFill>
          <xdr:spPr>
            <a:xfrm>
              <a:off x="10436304327" y="11159640"/>
              <a:ext cx="1051560" cy="3391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3T20:54:54.322"/>
    </inkml:context>
    <inkml:brush xml:id="br0">
      <inkml:brushProperty name="width" value="0.035" units="cm"/>
      <inkml:brushProperty name="height" value="0.035" units="cm"/>
    </inkml:brush>
  </inkml:definitions>
  <inkml:trace contextRef="#ctx0" brushRef="#br0">0 718,'0'0,"0"0,0 0,0 0,0 0,0 0,0 0,0 0,0 0,10 0,-10-14,4 14,0 0,6 0,-6 0,2 0,2 0,-3 0,0 0,13 0,-13 7,0 0,4 5,-4-5,-1 0,6 7,-2-3,2 5,-1 10,0-15,1 5,9 12,-15-17,0 4,16 12,-16-21,0 2,15 18,-15-26,0 0,15 14,-14-14,-1 0,6-14,-6 14,1 0,4-26,-4 19,0 0,4-20,-4 20,-1 0,5-19,-9 13,0-1,10 0,-6 7,-8 0,8 14,1 0,-5 3,0-6,9 9,-9-6,0 0,10 7,-10-9,0 2,9 20,-9-20,0 0,9 7,-9-8,0 1,10-7,-6 0,0 0,1 0,0 0,5-13,-10 6,0 0,8-20,-3 20,0 0,5-19,-6 19,0 0,-4-6,5 13,0 0,4-14,-9 21,0 0,9-7,-4 7,0-1,4 8,-4-7,-1 0,5 19,-4-19,0-1,4 8,-4-7,-1 0,6 6,-1-7,0 1,1 7,-6-14,0 0,6 0,-5-7,0 0,3-19,2 5,0 1,-2-47,2 32,-1 3,9-76,-13 66,-1 3,5-54,-4 51,0 2,4-27,-9 39,0 2,9-27,-9 39,0 0,0 1,0-1,0 1,9-15,-9 16,0-2,10-13,-10 20,0 0,9-5,-9 5,0 0,0-7,0 8,9-1,-6 3,-6 21,3-3,0-7,0 0,0 5,0 9,0-1,10 20,-10-5,0-2,8 74,-3-58,0-4,5 77,-6-73,0-5,6 38,-5-41,0-1,3 27,-8-46,0-2,10 8,-10-20,0 0,0 6,0-7,0 1,0 7,0-7,0-1,7-16,-5 7,-2-11,5 7,-1 1,-4-7,0 6,0 0,10 7,-10-7,0 0,9 7,-4 0,-1 0,-4 7,0 0,10 7,-5-7,-1-1,5 21,-4-20,-1-1,6 21,-5-20,-1 0,-4 7,5-7,-1-2,-4 9,5-7,0-1,-5 5,0-8,9-3,-5 0,1 0,5 0,-10-7,0 0,8-6,-3 13,0 0,5-26,-6 26,0 0,4-12,-6 10,8 2,-6 0,0 14,1 0,0-2,4 15,-9-13,0-2,9 2,-4 0,0-1,-5 27,5-26,-1-1,5 1,-4-7,-1 0,-4 6,6-13,-2 0,5-13,-5 6,0-27,1 13,0 2,4-115,1 62,-1 8,-1-83,2 98,0 3,8-62,-13 59,0 5,3-105,2 114,-1 3,-9-8,5 33,-1 0,-4-6,0 6,0 0,-9 7,9 7,0 0,0-21,0 28,0-1,0 1,0 14,0-2,-9 68,4-38,0-4,5 96,0-85,0-6,0 91,0-99,0-3,0 22,5-33,0-3,-15-20,10 2,0 0,-8-1,12-6,0 0,-12-21,12 14,0 0,6-27,-5 13,-1 2,5-29,-4 6,0 3,4-9,-4 14,-1 0,6-12,-10 16,0 5,9-36,-4 27,-10 41,10-21,-1 0,-4 21,0-7,0-1,0 48,0-33,0-1,9 33,-9-25,0-2,0 28,5-33,0-2,-5 8,0-20,0 0,9 19,-5-12,1-28,5 0,-2 2,2-2,4-7,0 1,14-47,-18 39,-2 3,11-30,-10 27,1 3,8-15,-18 33,0 0,0-3,0 7,9 3,-9 14,0-1,10-1,-1 4,0-4,19 15,-5-13,-1-2,62 2,-31-14,-3 0,61 0,-39-21,-6 2,74-8,-62 13,-8 0,51-25,-74 25,-2 0,29-26,-50 27,-2-1,16 1,-29 6,0 0,-2-2,-5 4,-20 5,-2 16,3-4,-77-12,27 14,6-1,-106 0,60 2,9-2,-133 27,101-26,10-1,-122 13,117-12,9-1,-115 15,118-21,13-2,-85 9,97 0,9-1,-14-13,58 7,5 0,-16-7,32 7,0-1,22-16,-6 7,-12 3,6 0,8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0"/>
  <sheetViews>
    <sheetView rightToLeft="1" tabSelected="1" view="pageBreakPreview" topLeftCell="A43" zoomScale="130" zoomScaleNormal="100" zoomScaleSheetLayoutView="130" workbookViewId="0">
      <selection activeCell="C3" sqref="C3:D3"/>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48" t="s">
        <v>180</v>
      </c>
      <c r="C1" s="48"/>
      <c r="D1" s="48"/>
      <c r="E1" s="48"/>
      <c r="F1" s="48"/>
      <c r="G1" s="48"/>
      <c r="H1" s="48"/>
      <c r="I1" s="48"/>
      <c r="J1" s="48"/>
    </row>
    <row r="2" spans="1:10" ht="30" customHeight="1" x14ac:dyDescent="0.3">
      <c r="B2" s="11" t="s">
        <v>178</v>
      </c>
      <c r="C2" s="54" t="s">
        <v>35</v>
      </c>
      <c r="D2" s="54"/>
      <c r="E2" s="11" t="s">
        <v>7</v>
      </c>
      <c r="F2" s="49">
        <v>45952</v>
      </c>
      <c r="G2" s="49"/>
      <c r="H2" s="49"/>
      <c r="I2" s="49"/>
      <c r="J2" s="49"/>
    </row>
    <row r="3" spans="1:10" ht="30" customHeight="1" x14ac:dyDescent="0.3">
      <c r="B3" s="11" t="s">
        <v>179</v>
      </c>
      <c r="C3" s="54" t="s">
        <v>219</v>
      </c>
      <c r="D3" s="54"/>
      <c r="E3" s="11" t="s">
        <v>6</v>
      </c>
      <c r="F3" s="54" t="s">
        <v>57</v>
      </c>
      <c r="G3" s="54"/>
      <c r="H3" s="54"/>
      <c r="I3" s="54"/>
      <c r="J3" s="54"/>
    </row>
    <row r="4" spans="1:10" ht="30" customHeight="1" thickBot="1" x14ac:dyDescent="0.35">
      <c r="B4" s="6"/>
      <c r="C4" s="7"/>
      <c r="D4" s="7"/>
      <c r="E4" s="6"/>
      <c r="F4" s="80" t="s">
        <v>220</v>
      </c>
      <c r="G4" s="80"/>
      <c r="H4" s="80"/>
      <c r="I4" s="80"/>
      <c r="J4" s="80"/>
    </row>
    <row r="5" spans="1:10" ht="24.9" customHeight="1" x14ac:dyDescent="0.3">
      <c r="A5" s="9"/>
      <c r="B5" s="50" t="s">
        <v>0</v>
      </c>
      <c r="C5" s="51"/>
      <c r="D5" s="51"/>
      <c r="E5" s="55" t="s">
        <v>1</v>
      </c>
      <c r="F5" s="55"/>
      <c r="G5" s="55"/>
      <c r="H5" s="55"/>
      <c r="I5" s="55" t="s">
        <v>2</v>
      </c>
      <c r="J5" s="56"/>
    </row>
    <row r="6" spans="1:10" ht="24.9" customHeight="1" thickBot="1" x14ac:dyDescent="0.35">
      <c r="A6" s="9"/>
      <c r="B6" s="52"/>
      <c r="C6" s="53"/>
      <c r="D6" s="53"/>
      <c r="E6" s="10" t="s">
        <v>3</v>
      </c>
      <c r="F6" s="10" t="s">
        <v>4</v>
      </c>
      <c r="G6" s="10" t="s">
        <v>21</v>
      </c>
      <c r="H6" s="10" t="s">
        <v>22</v>
      </c>
      <c r="I6" s="57"/>
      <c r="J6" s="58"/>
    </row>
    <row r="7" spans="1:10" ht="24.9" customHeight="1" thickBot="1" x14ac:dyDescent="0.35">
      <c r="A7" s="9"/>
      <c r="B7" s="38" t="s">
        <v>19</v>
      </c>
      <c r="C7" s="39"/>
      <c r="D7" s="39"/>
      <c r="E7" s="27" t="s">
        <v>16</v>
      </c>
      <c r="F7" s="27" t="s">
        <v>17</v>
      </c>
      <c r="G7" s="27" t="s">
        <v>20</v>
      </c>
      <c r="H7" s="27" t="s">
        <v>18</v>
      </c>
      <c r="I7" s="44" t="s">
        <v>23</v>
      </c>
      <c r="J7" s="45"/>
    </row>
    <row r="8" spans="1:10" ht="30" customHeight="1" x14ac:dyDescent="0.3">
      <c r="A8" s="9"/>
      <c r="B8" s="76" t="s">
        <v>181</v>
      </c>
      <c r="C8" s="77"/>
      <c r="D8" s="77"/>
      <c r="E8" s="31"/>
      <c r="F8" s="32"/>
      <c r="G8" s="33"/>
      <c r="H8" s="34"/>
      <c r="I8" s="42"/>
      <c r="J8" s="43"/>
    </row>
    <row r="9" spans="1:10" ht="30" customHeight="1" x14ac:dyDescent="0.3">
      <c r="A9" s="9"/>
      <c r="B9" s="74" t="s">
        <v>182</v>
      </c>
      <c r="C9" s="75"/>
      <c r="D9" s="75"/>
      <c r="E9" s="30">
        <v>5</v>
      </c>
      <c r="F9" s="25">
        <v>4</v>
      </c>
      <c r="G9" s="28">
        <f>IFERROR(F9/E9,"")</f>
        <v>0.8</v>
      </c>
      <c r="H9" s="29" t="str">
        <f>_xlfn.IFS(F9="أدخل العلامة","",F9="لا ينطبق","تم الإلغاء",G9&gt;=90%,"ممتاز",G9&gt;=80%,"جيد جداً",G9&gt;=70%,"جيد",G9&gt;=60%,"مقبول",G9&lt;60%,"راسب")</f>
        <v>جيد جداً</v>
      </c>
      <c r="I9" s="40"/>
      <c r="J9" s="41"/>
    </row>
    <row r="10" spans="1:10" ht="30" customHeight="1" x14ac:dyDescent="0.3">
      <c r="A10" s="9"/>
      <c r="B10" s="74" t="s">
        <v>183</v>
      </c>
      <c r="C10" s="75"/>
      <c r="D10" s="75"/>
      <c r="E10" s="30">
        <v>5</v>
      </c>
      <c r="F10" s="25">
        <v>3.75</v>
      </c>
      <c r="G10" s="28">
        <f t="shared" ref="G10:G45" si="0">IFERROR(F10/E10,"")</f>
        <v>0.75</v>
      </c>
      <c r="H10" s="29" t="str">
        <f t="shared" ref="H10:H45" si="1">_xlfn.IFS(F10="أدخل العلامة","",F10="لا ينطبق","تم الإلغاء",G10&gt;=90%,"ممتاز",G10&gt;=80%,"جيد جداً",G10&gt;=70%,"جيد",G10&gt;=60%,"مقبول",G10&lt;60%,"راسب")</f>
        <v>جيد</v>
      </c>
      <c r="I10" s="40"/>
      <c r="J10" s="41"/>
    </row>
    <row r="11" spans="1:10" ht="39.9" customHeight="1" x14ac:dyDescent="0.3">
      <c r="A11" s="9"/>
      <c r="B11" s="74" t="s">
        <v>184</v>
      </c>
      <c r="C11" s="75"/>
      <c r="D11" s="75"/>
      <c r="E11" s="30">
        <v>5</v>
      </c>
      <c r="F11" s="25">
        <v>3.5</v>
      </c>
      <c r="G11" s="28">
        <f t="shared" si="0"/>
        <v>0.7</v>
      </c>
      <c r="H11" s="29" t="str">
        <f t="shared" si="1"/>
        <v>جيد</v>
      </c>
      <c r="I11" s="40"/>
      <c r="J11" s="41"/>
    </row>
    <row r="12" spans="1:10" ht="39.9" customHeight="1" x14ac:dyDescent="0.3">
      <c r="A12" s="9"/>
      <c r="B12" s="74" t="s">
        <v>185</v>
      </c>
      <c r="C12" s="75"/>
      <c r="D12" s="75"/>
      <c r="E12" s="30">
        <v>5</v>
      </c>
      <c r="F12" s="25">
        <v>4</v>
      </c>
      <c r="G12" s="28">
        <f t="shared" si="0"/>
        <v>0.8</v>
      </c>
      <c r="H12" s="29" t="str">
        <f t="shared" si="1"/>
        <v>جيد جداً</v>
      </c>
      <c r="I12" s="40"/>
      <c r="J12" s="41"/>
    </row>
    <row r="13" spans="1:10" ht="30" customHeight="1" thickBot="1" x14ac:dyDescent="0.35">
      <c r="A13" s="9"/>
      <c r="B13" s="78" t="s">
        <v>186</v>
      </c>
      <c r="C13" s="79"/>
      <c r="D13" s="79"/>
      <c r="E13" s="35">
        <v>5</v>
      </c>
      <c r="F13" s="26">
        <v>4</v>
      </c>
      <c r="G13" s="36">
        <f t="shared" si="0"/>
        <v>0.8</v>
      </c>
      <c r="H13" s="37" t="str">
        <f t="shared" si="1"/>
        <v>جيد جداً</v>
      </c>
      <c r="I13" s="46"/>
      <c r="J13" s="47"/>
    </row>
    <row r="14" spans="1:10" ht="30" customHeight="1" x14ac:dyDescent="0.3">
      <c r="A14" s="9"/>
      <c r="B14" s="76" t="s">
        <v>187</v>
      </c>
      <c r="C14" s="77"/>
      <c r="D14" s="77"/>
      <c r="E14" s="31"/>
      <c r="F14" s="32"/>
      <c r="G14" s="33"/>
      <c r="H14" s="34"/>
      <c r="I14" s="42"/>
      <c r="J14" s="43"/>
    </row>
    <row r="15" spans="1:10" ht="30" customHeight="1" x14ac:dyDescent="0.3">
      <c r="A15" s="9"/>
      <c r="B15" s="74" t="s">
        <v>188</v>
      </c>
      <c r="C15" s="75"/>
      <c r="D15" s="75"/>
      <c r="E15" s="30">
        <v>5</v>
      </c>
      <c r="F15" s="25">
        <v>3.5</v>
      </c>
      <c r="G15" s="28">
        <f t="shared" si="0"/>
        <v>0.7</v>
      </c>
      <c r="H15" s="29" t="str">
        <f t="shared" si="1"/>
        <v>جيد</v>
      </c>
      <c r="I15" s="40"/>
      <c r="J15" s="41"/>
    </row>
    <row r="16" spans="1:10" ht="51" customHeight="1" x14ac:dyDescent="0.3">
      <c r="A16" s="9"/>
      <c r="B16" s="74" t="s">
        <v>189</v>
      </c>
      <c r="C16" s="75"/>
      <c r="D16" s="75"/>
      <c r="E16" s="30">
        <v>5</v>
      </c>
      <c r="F16" s="25">
        <v>3.5</v>
      </c>
      <c r="G16" s="28">
        <f t="shared" si="0"/>
        <v>0.7</v>
      </c>
      <c r="H16" s="29" t="str">
        <f t="shared" si="1"/>
        <v>جيد</v>
      </c>
      <c r="I16" s="40"/>
      <c r="J16" s="41"/>
    </row>
    <row r="17" spans="1:10" ht="30" customHeight="1" x14ac:dyDescent="0.3">
      <c r="A17" s="9"/>
      <c r="B17" s="74" t="s">
        <v>190</v>
      </c>
      <c r="C17" s="75"/>
      <c r="D17" s="75"/>
      <c r="E17" s="30">
        <v>5</v>
      </c>
      <c r="F17" s="25">
        <v>3.75</v>
      </c>
      <c r="G17" s="28">
        <f t="shared" si="0"/>
        <v>0.75</v>
      </c>
      <c r="H17" s="29" t="str">
        <f t="shared" si="1"/>
        <v>جيد</v>
      </c>
      <c r="I17" s="40"/>
      <c r="J17" s="41"/>
    </row>
    <row r="18" spans="1:10" ht="30" customHeight="1" x14ac:dyDescent="0.3">
      <c r="A18" s="9"/>
      <c r="B18" s="74" t="s">
        <v>191</v>
      </c>
      <c r="C18" s="75"/>
      <c r="D18" s="75"/>
      <c r="E18" s="30">
        <v>5</v>
      </c>
      <c r="F18" s="25">
        <v>3.75</v>
      </c>
      <c r="G18" s="28">
        <f t="shared" si="0"/>
        <v>0.75</v>
      </c>
      <c r="H18" s="29" t="str">
        <f t="shared" si="1"/>
        <v>جيد</v>
      </c>
      <c r="I18" s="40"/>
      <c r="J18" s="41"/>
    </row>
    <row r="19" spans="1:10" ht="30" customHeight="1" x14ac:dyDescent="0.3">
      <c r="A19" s="9"/>
      <c r="B19" s="74" t="s">
        <v>192</v>
      </c>
      <c r="C19" s="75"/>
      <c r="D19" s="75"/>
      <c r="E19" s="30">
        <v>5</v>
      </c>
      <c r="F19" s="25">
        <v>4</v>
      </c>
      <c r="G19" s="28">
        <f t="shared" si="0"/>
        <v>0.8</v>
      </c>
      <c r="H19" s="29" t="str">
        <f t="shared" si="1"/>
        <v>جيد جداً</v>
      </c>
      <c r="I19" s="40"/>
      <c r="J19" s="41"/>
    </row>
    <row r="20" spans="1:10" ht="39.9" customHeight="1" x14ac:dyDescent="0.3">
      <c r="A20" s="9"/>
      <c r="B20" s="74" t="s">
        <v>193</v>
      </c>
      <c r="C20" s="75"/>
      <c r="D20" s="75"/>
      <c r="E20" s="30">
        <v>5</v>
      </c>
      <c r="F20" s="25">
        <v>3.75</v>
      </c>
      <c r="G20" s="28">
        <f t="shared" si="0"/>
        <v>0.75</v>
      </c>
      <c r="H20" s="29" t="str">
        <f t="shared" si="1"/>
        <v>جيد</v>
      </c>
      <c r="I20" s="40"/>
      <c r="J20" s="41"/>
    </row>
    <row r="21" spans="1:10" ht="30" customHeight="1" x14ac:dyDescent="0.3">
      <c r="A21" s="9"/>
      <c r="B21" s="74" t="s">
        <v>194</v>
      </c>
      <c r="C21" s="75"/>
      <c r="D21" s="75"/>
      <c r="E21" s="30">
        <v>5</v>
      </c>
      <c r="F21" s="25">
        <v>3.75</v>
      </c>
      <c r="G21" s="28">
        <f t="shared" si="0"/>
        <v>0.75</v>
      </c>
      <c r="H21" s="29" t="str">
        <f t="shared" si="1"/>
        <v>جيد</v>
      </c>
      <c r="I21" s="40"/>
      <c r="J21" s="41"/>
    </row>
    <row r="22" spans="1:10" ht="39.9" customHeight="1" thickBot="1" x14ac:dyDescent="0.35">
      <c r="A22" s="9"/>
      <c r="B22" s="78" t="s">
        <v>195</v>
      </c>
      <c r="C22" s="79"/>
      <c r="D22" s="79"/>
      <c r="E22" s="35">
        <v>5</v>
      </c>
      <c r="F22" s="26">
        <v>3.75</v>
      </c>
      <c r="G22" s="36">
        <f t="shared" si="0"/>
        <v>0.75</v>
      </c>
      <c r="H22" s="37" t="str">
        <f t="shared" si="1"/>
        <v>جيد</v>
      </c>
      <c r="I22" s="46"/>
      <c r="J22" s="47"/>
    </row>
    <row r="23" spans="1:10" ht="30" customHeight="1" x14ac:dyDescent="0.3">
      <c r="A23" s="9"/>
      <c r="B23" s="76" t="s">
        <v>196</v>
      </c>
      <c r="C23" s="77"/>
      <c r="D23" s="77"/>
      <c r="E23" s="31"/>
      <c r="F23" s="32"/>
      <c r="G23" s="33"/>
      <c r="H23" s="34"/>
      <c r="I23" s="42"/>
      <c r="J23" s="43"/>
    </row>
    <row r="24" spans="1:10" ht="30" customHeight="1" x14ac:dyDescent="0.3">
      <c r="A24" s="9"/>
      <c r="B24" s="74" t="s">
        <v>197</v>
      </c>
      <c r="C24" s="75"/>
      <c r="D24" s="75"/>
      <c r="E24" s="30">
        <v>5</v>
      </c>
      <c r="F24" s="25">
        <v>3.75</v>
      </c>
      <c r="G24" s="28">
        <f t="shared" si="0"/>
        <v>0.75</v>
      </c>
      <c r="H24" s="29" t="str">
        <f t="shared" si="1"/>
        <v>جيد</v>
      </c>
      <c r="I24" s="40"/>
      <c r="J24" s="41"/>
    </row>
    <row r="25" spans="1:10" ht="30" customHeight="1" x14ac:dyDescent="0.3">
      <c r="A25" s="9"/>
      <c r="B25" s="74" t="s">
        <v>198</v>
      </c>
      <c r="C25" s="75"/>
      <c r="D25" s="75"/>
      <c r="E25" s="30">
        <v>5</v>
      </c>
      <c r="F25" s="25">
        <v>4</v>
      </c>
      <c r="G25" s="28">
        <f t="shared" si="0"/>
        <v>0.8</v>
      </c>
      <c r="H25" s="29" t="str">
        <f t="shared" si="1"/>
        <v>جيد جداً</v>
      </c>
      <c r="I25" s="40"/>
      <c r="J25" s="41"/>
    </row>
    <row r="26" spans="1:10" ht="30" customHeight="1" x14ac:dyDescent="0.3">
      <c r="A26" s="9"/>
      <c r="B26" s="74" t="s">
        <v>199</v>
      </c>
      <c r="C26" s="75"/>
      <c r="D26" s="75"/>
      <c r="E26" s="30">
        <v>5</v>
      </c>
      <c r="F26" s="25">
        <v>4</v>
      </c>
      <c r="G26" s="28">
        <f t="shared" si="0"/>
        <v>0.8</v>
      </c>
      <c r="H26" s="29" t="str">
        <f t="shared" si="1"/>
        <v>جيد جداً</v>
      </c>
      <c r="I26" s="40"/>
      <c r="J26" s="41"/>
    </row>
    <row r="27" spans="1:10" ht="30" customHeight="1" x14ac:dyDescent="0.3">
      <c r="A27" s="9"/>
      <c r="B27" s="74" t="s">
        <v>200</v>
      </c>
      <c r="C27" s="75"/>
      <c r="D27" s="75"/>
      <c r="E27" s="30">
        <v>5</v>
      </c>
      <c r="F27" s="25">
        <v>3.75</v>
      </c>
      <c r="G27" s="28">
        <f t="shared" si="0"/>
        <v>0.75</v>
      </c>
      <c r="H27" s="29" t="str">
        <f t="shared" si="1"/>
        <v>جيد</v>
      </c>
      <c r="I27" s="40"/>
      <c r="J27" s="41"/>
    </row>
    <row r="28" spans="1:10" ht="30" customHeight="1" x14ac:dyDescent="0.3">
      <c r="A28" s="9"/>
      <c r="B28" s="74" t="s">
        <v>201</v>
      </c>
      <c r="C28" s="75"/>
      <c r="D28" s="75"/>
      <c r="E28" s="30">
        <v>0</v>
      </c>
      <c r="F28" s="25" t="s">
        <v>15</v>
      </c>
      <c r="G28" s="28" t="str">
        <f t="shared" si="0"/>
        <v/>
      </c>
      <c r="H28" s="29" t="str">
        <f t="shared" si="1"/>
        <v>تم الإلغاء</v>
      </c>
      <c r="I28" s="40"/>
      <c r="J28" s="41"/>
    </row>
    <row r="29" spans="1:10" ht="30" customHeight="1" thickBot="1" x14ac:dyDescent="0.35">
      <c r="A29" s="9"/>
      <c r="B29" s="78" t="s">
        <v>202</v>
      </c>
      <c r="C29" s="79"/>
      <c r="D29" s="79"/>
      <c r="E29" s="35">
        <v>5</v>
      </c>
      <c r="F29" s="26">
        <v>3.75</v>
      </c>
      <c r="G29" s="36">
        <f t="shared" si="0"/>
        <v>0.75</v>
      </c>
      <c r="H29" s="37" t="str">
        <f t="shared" si="1"/>
        <v>جيد</v>
      </c>
      <c r="I29" s="46"/>
      <c r="J29" s="47"/>
    </row>
    <row r="30" spans="1:10" ht="30" customHeight="1" x14ac:dyDescent="0.3">
      <c r="A30" s="9"/>
      <c r="B30" s="76" t="s">
        <v>203</v>
      </c>
      <c r="C30" s="77"/>
      <c r="D30" s="77"/>
      <c r="E30" s="31"/>
      <c r="F30" s="32"/>
      <c r="G30" s="33"/>
      <c r="H30" s="34"/>
      <c r="I30" s="42"/>
      <c r="J30" s="43"/>
    </row>
    <row r="31" spans="1:10" ht="30" customHeight="1" x14ac:dyDescent="0.3">
      <c r="A31" s="9"/>
      <c r="B31" s="74" t="s">
        <v>204</v>
      </c>
      <c r="C31" s="75"/>
      <c r="D31" s="75"/>
      <c r="E31" s="30">
        <v>5</v>
      </c>
      <c r="F31" s="25">
        <v>3.75</v>
      </c>
      <c r="G31" s="28">
        <f t="shared" si="0"/>
        <v>0.75</v>
      </c>
      <c r="H31" s="29" t="str">
        <f t="shared" si="1"/>
        <v>جيد</v>
      </c>
      <c r="I31" s="40"/>
      <c r="J31" s="41"/>
    </row>
    <row r="32" spans="1:10" ht="39.9" customHeight="1" x14ac:dyDescent="0.3">
      <c r="A32" s="9"/>
      <c r="B32" s="74" t="s">
        <v>205</v>
      </c>
      <c r="C32" s="75"/>
      <c r="D32" s="75"/>
      <c r="E32" s="30">
        <v>5</v>
      </c>
      <c r="F32" s="25">
        <v>4</v>
      </c>
      <c r="G32" s="28">
        <f t="shared" si="0"/>
        <v>0.8</v>
      </c>
      <c r="H32" s="29" t="str">
        <f t="shared" si="1"/>
        <v>جيد جداً</v>
      </c>
      <c r="I32" s="40"/>
      <c r="J32" s="41"/>
    </row>
    <row r="33" spans="1:10" ht="30" customHeight="1" x14ac:dyDescent="0.3">
      <c r="A33" s="9"/>
      <c r="B33" s="74" t="s">
        <v>206</v>
      </c>
      <c r="C33" s="75"/>
      <c r="D33" s="75"/>
      <c r="E33" s="30">
        <v>5</v>
      </c>
      <c r="F33" s="25">
        <v>4</v>
      </c>
      <c r="G33" s="28">
        <f t="shared" si="0"/>
        <v>0.8</v>
      </c>
      <c r="H33" s="29" t="str">
        <f t="shared" si="1"/>
        <v>جيد جداً</v>
      </c>
      <c r="I33" s="40"/>
      <c r="J33" s="41"/>
    </row>
    <row r="34" spans="1:10" ht="30" customHeight="1" x14ac:dyDescent="0.3">
      <c r="A34" s="9"/>
      <c r="B34" s="74" t="s">
        <v>207</v>
      </c>
      <c r="C34" s="75"/>
      <c r="D34" s="75"/>
      <c r="E34" s="30">
        <v>5</v>
      </c>
      <c r="F34" s="25">
        <v>3.75</v>
      </c>
      <c r="G34" s="28">
        <f t="shared" si="0"/>
        <v>0.75</v>
      </c>
      <c r="H34" s="29" t="str">
        <f t="shared" si="1"/>
        <v>جيد</v>
      </c>
      <c r="I34" s="40"/>
      <c r="J34" s="41"/>
    </row>
    <row r="35" spans="1:10" ht="30" customHeight="1" x14ac:dyDescent="0.3">
      <c r="A35" s="9"/>
      <c r="B35" s="74" t="s">
        <v>208</v>
      </c>
      <c r="C35" s="75"/>
      <c r="D35" s="75"/>
      <c r="E35" s="30">
        <v>5</v>
      </c>
      <c r="F35" s="25">
        <v>3</v>
      </c>
      <c r="G35" s="28">
        <f t="shared" si="0"/>
        <v>0.6</v>
      </c>
      <c r="H35" s="29" t="str">
        <f t="shared" si="1"/>
        <v>مقبول</v>
      </c>
      <c r="I35" s="40"/>
      <c r="J35" s="41"/>
    </row>
    <row r="36" spans="1:10" ht="30" customHeight="1" x14ac:dyDescent="0.3">
      <c r="A36" s="9"/>
      <c r="B36" s="74" t="s">
        <v>209</v>
      </c>
      <c r="C36" s="75"/>
      <c r="D36" s="75"/>
      <c r="E36" s="30">
        <v>5</v>
      </c>
      <c r="F36" s="25">
        <v>3.5</v>
      </c>
      <c r="G36" s="28">
        <f t="shared" si="0"/>
        <v>0.7</v>
      </c>
      <c r="H36" s="29" t="str">
        <f t="shared" si="1"/>
        <v>جيد</v>
      </c>
      <c r="I36" s="40"/>
      <c r="J36" s="41"/>
    </row>
    <row r="37" spans="1:10" ht="30" customHeight="1" x14ac:dyDescent="0.3">
      <c r="A37" s="9"/>
      <c r="B37" s="74" t="s">
        <v>210</v>
      </c>
      <c r="C37" s="75"/>
      <c r="D37" s="75"/>
      <c r="E37" s="30">
        <v>5</v>
      </c>
      <c r="F37" s="25">
        <v>4</v>
      </c>
      <c r="G37" s="28">
        <f t="shared" si="0"/>
        <v>0.8</v>
      </c>
      <c r="H37" s="29" t="str">
        <f t="shared" si="1"/>
        <v>جيد جداً</v>
      </c>
      <c r="I37" s="40"/>
      <c r="J37" s="41"/>
    </row>
    <row r="38" spans="1:10" ht="30" customHeight="1" x14ac:dyDescent="0.3">
      <c r="A38" s="9"/>
      <c r="B38" s="74" t="s">
        <v>211</v>
      </c>
      <c r="C38" s="75"/>
      <c r="D38" s="75"/>
      <c r="E38" s="30">
        <v>5</v>
      </c>
      <c r="F38" s="25">
        <v>3.75</v>
      </c>
      <c r="G38" s="28">
        <f t="shared" si="0"/>
        <v>0.75</v>
      </c>
      <c r="H38" s="29" t="str">
        <f t="shared" si="1"/>
        <v>جيد</v>
      </c>
      <c r="I38" s="40"/>
      <c r="J38" s="41"/>
    </row>
    <row r="39" spans="1:10" ht="30" customHeight="1" x14ac:dyDescent="0.3">
      <c r="A39" s="9"/>
      <c r="B39" s="74" t="s">
        <v>212</v>
      </c>
      <c r="C39" s="75"/>
      <c r="D39" s="75"/>
      <c r="E39" s="30">
        <v>5</v>
      </c>
      <c r="F39" s="25">
        <v>3.75</v>
      </c>
      <c r="G39" s="28">
        <f t="shared" si="0"/>
        <v>0.75</v>
      </c>
      <c r="H39" s="29" t="str">
        <f t="shared" si="1"/>
        <v>جيد</v>
      </c>
      <c r="I39" s="40"/>
      <c r="J39" s="41"/>
    </row>
    <row r="40" spans="1:10" ht="30" customHeight="1" x14ac:dyDescent="0.3">
      <c r="A40" s="9"/>
      <c r="B40" s="74" t="s">
        <v>213</v>
      </c>
      <c r="C40" s="75"/>
      <c r="D40" s="75"/>
      <c r="E40" s="30">
        <v>5</v>
      </c>
      <c r="F40" s="25">
        <v>3.75</v>
      </c>
      <c r="G40" s="28">
        <f t="shared" si="0"/>
        <v>0.75</v>
      </c>
      <c r="H40" s="29" t="str">
        <f t="shared" si="1"/>
        <v>جيد</v>
      </c>
      <c r="I40" s="40"/>
      <c r="J40" s="41"/>
    </row>
    <row r="41" spans="1:10" ht="30" customHeight="1" x14ac:dyDescent="0.3">
      <c r="A41" s="9"/>
      <c r="B41" s="74" t="s">
        <v>214</v>
      </c>
      <c r="C41" s="75"/>
      <c r="D41" s="75"/>
      <c r="E41" s="30">
        <v>5</v>
      </c>
      <c r="F41" s="25">
        <v>3.5</v>
      </c>
      <c r="G41" s="28">
        <f t="shared" si="0"/>
        <v>0.7</v>
      </c>
      <c r="H41" s="29" t="str">
        <f t="shared" si="1"/>
        <v>جيد</v>
      </c>
      <c r="I41" s="40"/>
      <c r="J41" s="41"/>
    </row>
    <row r="42" spans="1:10" ht="30" customHeight="1" x14ac:dyDescent="0.3">
      <c r="A42" s="9"/>
      <c r="B42" s="74" t="s">
        <v>215</v>
      </c>
      <c r="C42" s="75"/>
      <c r="D42" s="75"/>
      <c r="E42" s="30">
        <v>5</v>
      </c>
      <c r="F42" s="25">
        <v>3.5</v>
      </c>
      <c r="G42" s="28">
        <f t="shared" si="0"/>
        <v>0.7</v>
      </c>
      <c r="H42" s="29" t="str">
        <f t="shared" si="1"/>
        <v>جيد</v>
      </c>
      <c r="I42" s="40"/>
      <c r="J42" s="41"/>
    </row>
    <row r="43" spans="1:10" ht="30" customHeight="1" x14ac:dyDescent="0.3">
      <c r="A43" s="9"/>
      <c r="B43" s="74" t="s">
        <v>216</v>
      </c>
      <c r="C43" s="75"/>
      <c r="D43" s="75"/>
      <c r="E43" s="30">
        <v>5</v>
      </c>
      <c r="F43" s="25">
        <v>3.75</v>
      </c>
      <c r="G43" s="28">
        <f t="shared" si="0"/>
        <v>0.75</v>
      </c>
      <c r="H43" s="29" t="str">
        <f t="shared" si="1"/>
        <v>جيد</v>
      </c>
      <c r="I43" s="40"/>
      <c r="J43" s="41"/>
    </row>
    <row r="44" spans="1:10" ht="30" customHeight="1" x14ac:dyDescent="0.3">
      <c r="A44" s="9"/>
      <c r="B44" s="74" t="s">
        <v>217</v>
      </c>
      <c r="C44" s="75"/>
      <c r="D44" s="75"/>
      <c r="E44" s="30">
        <v>5</v>
      </c>
      <c r="F44" s="25">
        <v>3.5</v>
      </c>
      <c r="G44" s="28">
        <f t="shared" si="0"/>
        <v>0.7</v>
      </c>
      <c r="H44" s="29" t="str">
        <f t="shared" si="1"/>
        <v>جيد</v>
      </c>
      <c r="I44" s="40"/>
      <c r="J44" s="41"/>
    </row>
    <row r="45" spans="1:10" ht="30" customHeight="1" thickBot="1" x14ac:dyDescent="0.35">
      <c r="A45" s="9"/>
      <c r="B45" s="78" t="s">
        <v>218</v>
      </c>
      <c r="C45" s="79"/>
      <c r="D45" s="79"/>
      <c r="E45" s="35">
        <v>5</v>
      </c>
      <c r="F45" s="26">
        <v>4</v>
      </c>
      <c r="G45" s="36">
        <f t="shared" si="0"/>
        <v>0.8</v>
      </c>
      <c r="H45" s="37" t="str">
        <f t="shared" si="1"/>
        <v>جيد جداً</v>
      </c>
      <c r="I45" s="46"/>
      <c r="J45" s="47"/>
    </row>
    <row r="46" spans="1:10" ht="30" customHeight="1" thickBot="1" x14ac:dyDescent="0.35">
      <c r="A46" s="4"/>
      <c r="B46" s="72" t="s">
        <v>5</v>
      </c>
      <c r="C46" s="73"/>
      <c r="D46" s="73"/>
      <c r="E46" s="8">
        <f>SUM(E8:E45)</f>
        <v>165</v>
      </c>
      <c r="F46" s="8">
        <f>SUM(F8:F45)</f>
        <v>123.75</v>
      </c>
      <c r="G46" s="69"/>
      <c r="H46" s="70"/>
      <c r="I46" s="70"/>
      <c r="J46" s="71"/>
    </row>
    <row r="47" spans="1:10" ht="30" customHeight="1" thickBot="1" x14ac:dyDescent="0.35">
      <c r="A47" s="4"/>
      <c r="B47" s="72" t="s">
        <v>52</v>
      </c>
      <c r="C47" s="73"/>
      <c r="D47" s="73"/>
      <c r="E47" s="65">
        <f>F46/E46/100*100</f>
        <v>0.75</v>
      </c>
      <c r="F47" s="65"/>
      <c r="G47" s="65"/>
      <c r="H47" s="65"/>
      <c r="I47" s="65"/>
      <c r="J47" s="66"/>
    </row>
    <row r="48" spans="1:10" ht="30" customHeight="1" thickBot="1" x14ac:dyDescent="0.35">
      <c r="A48" s="4"/>
      <c r="B48" s="72" t="s">
        <v>53</v>
      </c>
      <c r="C48" s="73"/>
      <c r="D48" s="73"/>
      <c r="E48" s="63" t="str">
        <f>_xlfn.IFS(E47&gt;=90%,"ممتاز",E47&gt;=80%,"جيد جداً",E47&gt;=70%,"جيد",E47&gt;=60%,"مقبول",E47&lt;60%,"راسب")</f>
        <v>جيد</v>
      </c>
      <c r="F48" s="63"/>
      <c r="G48" s="63"/>
      <c r="H48" s="63"/>
      <c r="I48" s="63"/>
      <c r="J48" s="64"/>
    </row>
    <row r="49" spans="1:10" ht="42" customHeight="1" x14ac:dyDescent="0.3">
      <c r="B49" s="59" t="s">
        <v>172</v>
      </c>
      <c r="C49" s="59"/>
      <c r="D49" s="59"/>
      <c r="E49" s="67" t="s">
        <v>50</v>
      </c>
      <c r="F49" s="67"/>
      <c r="G49" s="61"/>
      <c r="H49" s="61"/>
      <c r="I49" s="61"/>
      <c r="J49" s="61"/>
    </row>
    <row r="50" spans="1:10" ht="51" customHeight="1" x14ac:dyDescent="0.3">
      <c r="A50" s="5"/>
      <c r="B50" s="60"/>
      <c r="C50" s="60"/>
      <c r="D50" s="60"/>
      <c r="E50" s="68" t="s">
        <v>51</v>
      </c>
      <c r="F50" s="68"/>
      <c r="G50" s="62"/>
      <c r="H50" s="62"/>
      <c r="I50" s="62"/>
      <c r="J50" s="62"/>
    </row>
  </sheetData>
  <sheetProtection formatCells="0" formatColumns="0" formatRows="0" insertColumns="0" insertRows="0" insertHyperlinks="0" deleteColumns="0" deleteRows="0" selectLockedCells="1" sort="0" autoFilter="0" pivotTables="0"/>
  <mergeCells count="98">
    <mergeCell ref="B44:D44"/>
    <mergeCell ref="B45:D45"/>
    <mergeCell ref="B35:D35"/>
    <mergeCell ref="B36:D36"/>
    <mergeCell ref="B37:D37"/>
    <mergeCell ref="B38:D38"/>
    <mergeCell ref="B39:D39"/>
    <mergeCell ref="B40:D40"/>
    <mergeCell ref="B41:D41"/>
    <mergeCell ref="B42:D42"/>
    <mergeCell ref="B43:D43"/>
    <mergeCell ref="B33:D33"/>
    <mergeCell ref="B34:D34"/>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16:D16"/>
    <mergeCell ref="I32:J32"/>
    <mergeCell ref="B8:D8"/>
    <mergeCell ref="B9:D9"/>
    <mergeCell ref="B10:D10"/>
    <mergeCell ref="B11:D11"/>
    <mergeCell ref="B12:D12"/>
    <mergeCell ref="B31:D31"/>
    <mergeCell ref="B32:D32"/>
    <mergeCell ref="I8:J8"/>
    <mergeCell ref="I9:J9"/>
    <mergeCell ref="B13:D13"/>
    <mergeCell ref="B14:D14"/>
    <mergeCell ref="B15:D15"/>
    <mergeCell ref="B48:D48"/>
    <mergeCell ref="I11:J11"/>
    <mergeCell ref="I12:J12"/>
    <mergeCell ref="I13:J13"/>
    <mergeCell ref="I14:J14"/>
    <mergeCell ref="I15:J15"/>
    <mergeCell ref="I16:J16"/>
    <mergeCell ref="I17:J17"/>
    <mergeCell ref="I18:J18"/>
    <mergeCell ref="I28:J28"/>
    <mergeCell ref="I29:J29"/>
    <mergeCell ref="I27:J27"/>
    <mergeCell ref="I33:J33"/>
    <mergeCell ref="I34:J34"/>
    <mergeCell ref="I35:J35"/>
    <mergeCell ref="I36:J36"/>
    <mergeCell ref="B49:D50"/>
    <mergeCell ref="G49:J49"/>
    <mergeCell ref="G50:J50"/>
    <mergeCell ref="E48:J48"/>
    <mergeCell ref="I40:J40"/>
    <mergeCell ref="I41:J41"/>
    <mergeCell ref="I42:J42"/>
    <mergeCell ref="I43:J43"/>
    <mergeCell ref="I44:J44"/>
    <mergeCell ref="E47:J47"/>
    <mergeCell ref="I45:J45"/>
    <mergeCell ref="E49:F49"/>
    <mergeCell ref="E50:F50"/>
    <mergeCell ref="G46:J46"/>
    <mergeCell ref="B46:D46"/>
    <mergeCell ref="B47:D47"/>
    <mergeCell ref="B1:J1"/>
    <mergeCell ref="F2:J2"/>
    <mergeCell ref="B5:D6"/>
    <mergeCell ref="C2:D2"/>
    <mergeCell ref="C3:D3"/>
    <mergeCell ref="F3:J3"/>
    <mergeCell ref="E5:H5"/>
    <mergeCell ref="I5:J6"/>
    <mergeCell ref="F4:J4"/>
    <mergeCell ref="B7:D7"/>
    <mergeCell ref="I38:J38"/>
    <mergeCell ref="I39:J39"/>
    <mergeCell ref="I30:J30"/>
    <mergeCell ref="I31:J31"/>
    <mergeCell ref="I37:J37"/>
    <mergeCell ref="I7:J7"/>
    <mergeCell ref="I10:J10"/>
    <mergeCell ref="I19:J19"/>
    <mergeCell ref="I20:J20"/>
    <mergeCell ref="I21:J21"/>
    <mergeCell ref="I22:J22"/>
    <mergeCell ref="I23:J23"/>
    <mergeCell ref="I24:J24"/>
    <mergeCell ref="I25:J25"/>
    <mergeCell ref="I26:J26"/>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48">
    <cfRule type="expression" dxfId="14" priority="57">
      <formula>$E48="راسب"</formula>
    </cfRule>
  </conditionalFormatting>
  <conditionalFormatting sqref="E48:J48">
    <cfRule type="expression" dxfId="13" priority="58">
      <formula>$E48="مقبول"</formula>
    </cfRule>
    <cfRule type="expression" dxfId="12" priority="59">
      <formula>$E48="جيد"</formula>
    </cfRule>
    <cfRule type="expression" dxfId="11" priority="60">
      <formula>$E48="جيد جداً"</formula>
    </cfRule>
    <cfRule type="expression" dxfId="10" priority="61">
      <formula>$E48="ممتاز"</formula>
    </cfRule>
  </conditionalFormatting>
  <conditionalFormatting sqref="F8:F4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49:J49">
    <cfRule type="containsText" dxfId="6" priority="15" operator="containsText" text="أدخل اسم المحكم">
      <formula>NOT(ISERROR(SEARCH("أدخل اسم المحكم",G49)))</formula>
    </cfRule>
  </conditionalFormatting>
  <conditionalFormatting sqref="H8:H4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F31:F45 F24:F29 F15:F22 F9:F13</xm:sqref>
        </x14:dataValidation>
        <x14:dataValidation type="list" allowBlank="1" showInputMessage="1" showErrorMessage="1" xr:uid="{BD8CB5A2-5F32-4EAD-A63C-382D3B90B847}">
          <x14:formula1>
            <xm:f>'بيانات التقييم'!$A$198:$A$286</xm:f>
          </x14:formula1>
          <xm:sqref>G49:J49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18" t="s">
        <v>60</v>
      </c>
    </row>
    <row r="3" spans="1:3" ht="20.100000000000001" customHeight="1" thickBot="1" x14ac:dyDescent="0.35">
      <c r="A3" s="2" t="s">
        <v>24</v>
      </c>
      <c r="C3" s="18" t="s">
        <v>61</v>
      </c>
    </row>
    <row r="4" spans="1:3" ht="20.100000000000001" customHeight="1" thickBot="1" x14ac:dyDescent="0.35">
      <c r="A4" s="2" t="s">
        <v>34</v>
      </c>
      <c r="C4" s="18" t="s">
        <v>62</v>
      </c>
    </row>
    <row r="5" spans="1:3" ht="20.100000000000001" customHeight="1" thickBot="1" x14ac:dyDescent="0.35">
      <c r="A5" s="2" t="s">
        <v>35</v>
      </c>
      <c r="C5" s="18" t="s">
        <v>63</v>
      </c>
    </row>
    <row r="6" spans="1:3" ht="20.100000000000001" customHeight="1" thickBot="1" x14ac:dyDescent="0.35">
      <c r="A6" s="2" t="s">
        <v>36</v>
      </c>
      <c r="C6" s="18" t="s">
        <v>64</v>
      </c>
    </row>
    <row r="7" spans="1:3" ht="20.100000000000001" customHeight="1" thickBot="1" x14ac:dyDescent="0.35">
      <c r="A7" s="2" t="s">
        <v>37</v>
      </c>
      <c r="C7" s="18" t="s">
        <v>65</v>
      </c>
    </row>
    <row r="8" spans="1:3" ht="20.100000000000001" customHeight="1" thickBot="1" x14ac:dyDescent="0.35">
      <c r="A8" s="2" t="s">
        <v>38</v>
      </c>
      <c r="C8" s="18" t="s">
        <v>66</v>
      </c>
    </row>
    <row r="9" spans="1:3" ht="20.100000000000001" customHeight="1" thickBot="1" x14ac:dyDescent="0.35">
      <c r="A9" s="2" t="s">
        <v>39</v>
      </c>
      <c r="C9" s="18" t="s">
        <v>67</v>
      </c>
    </row>
    <row r="10" spans="1:3" ht="20.100000000000001" customHeight="1" thickBot="1" x14ac:dyDescent="0.35">
      <c r="A10" s="2" t="s">
        <v>40</v>
      </c>
      <c r="C10" s="18" t="s">
        <v>68</v>
      </c>
    </row>
    <row r="11" spans="1:3" ht="20.100000000000001" customHeight="1" thickBot="1" x14ac:dyDescent="0.35">
      <c r="A11" s="2" t="s">
        <v>41</v>
      </c>
      <c r="C11" s="18" t="s">
        <v>69</v>
      </c>
    </row>
    <row r="12" spans="1:3" ht="20.100000000000001" customHeight="1" thickBot="1" x14ac:dyDescent="0.35">
      <c r="A12" s="2" t="s">
        <v>42</v>
      </c>
      <c r="C12" s="18" t="s">
        <v>70</v>
      </c>
    </row>
    <row r="13" spans="1:3" ht="20.100000000000001" customHeight="1" thickBot="1" x14ac:dyDescent="0.35">
      <c r="A13" s="2" t="s">
        <v>43</v>
      </c>
      <c r="C13" s="18" t="s">
        <v>71</v>
      </c>
    </row>
    <row r="14" spans="1:3" ht="20.100000000000001" customHeight="1" thickBot="1" x14ac:dyDescent="0.35">
      <c r="A14" s="2" t="s">
        <v>44</v>
      </c>
      <c r="C14" s="18" t="s">
        <v>72</v>
      </c>
    </row>
    <row r="15" spans="1:3" ht="20.100000000000001" customHeight="1" thickBot="1" x14ac:dyDescent="0.35">
      <c r="A15" s="2" t="s">
        <v>45</v>
      </c>
      <c r="C15" s="18" t="s">
        <v>73</v>
      </c>
    </row>
    <row r="16" spans="1:3" ht="20.100000000000001" customHeight="1" thickBot="1" x14ac:dyDescent="0.35">
      <c r="A16" s="2" t="s">
        <v>8</v>
      </c>
      <c r="C16" s="18" t="s">
        <v>74</v>
      </c>
    </row>
    <row r="17" spans="1:3" ht="20.100000000000001" customHeight="1" thickBot="1" x14ac:dyDescent="0.35">
      <c r="A17" s="2" t="s">
        <v>25</v>
      </c>
      <c r="C17" s="18" t="s">
        <v>75</v>
      </c>
    </row>
    <row r="18" spans="1:3" ht="20.100000000000001" customHeight="1" thickBot="1" x14ac:dyDescent="0.35">
      <c r="A18" s="2" t="s">
        <v>46</v>
      </c>
      <c r="C18" s="18" t="s">
        <v>76</v>
      </c>
    </row>
    <row r="19" spans="1:3" ht="20.100000000000001" customHeight="1" thickBot="1" x14ac:dyDescent="0.35">
      <c r="A19" s="2" t="s">
        <v>47</v>
      </c>
      <c r="C19" s="18" t="s">
        <v>77</v>
      </c>
    </row>
    <row r="20" spans="1:3" ht="20.100000000000001" customHeight="1" thickBot="1" x14ac:dyDescent="0.35">
      <c r="A20" s="2" t="s">
        <v>48</v>
      </c>
      <c r="C20" s="18" t="s">
        <v>78</v>
      </c>
    </row>
    <row r="21" spans="1:3" ht="20.100000000000001" customHeight="1" thickBot="1" x14ac:dyDescent="0.35">
      <c r="A21" s="2" t="s">
        <v>49</v>
      </c>
      <c r="C21" s="18" t="s">
        <v>79</v>
      </c>
    </row>
    <row r="22" spans="1:3" ht="20.100000000000001" customHeight="1" thickBot="1" x14ac:dyDescent="0.35">
      <c r="A22" s="2" t="s">
        <v>9</v>
      </c>
      <c r="C22" s="18" t="s">
        <v>80</v>
      </c>
    </row>
    <row r="23" spans="1:3" ht="20.100000000000001" customHeight="1" thickBot="1" x14ac:dyDescent="0.35">
      <c r="A23" s="2" t="s">
        <v>10</v>
      </c>
      <c r="C23" s="18" t="s">
        <v>81</v>
      </c>
    </row>
    <row r="24" spans="1:3" ht="20.100000000000001" customHeight="1" thickBot="1" x14ac:dyDescent="0.35">
      <c r="A24" s="2" t="s">
        <v>13</v>
      </c>
      <c r="C24" s="18" t="s">
        <v>82</v>
      </c>
    </row>
    <row r="25" spans="1:3" ht="20.100000000000001" customHeight="1" thickBot="1" x14ac:dyDescent="0.35">
      <c r="A25" s="2" t="s">
        <v>26</v>
      </c>
      <c r="C25" s="18" t="s">
        <v>83</v>
      </c>
    </row>
    <row r="26" spans="1:3" ht="20.100000000000001" customHeight="1" thickBot="1" x14ac:dyDescent="0.35">
      <c r="A26" s="2" t="s">
        <v>27</v>
      </c>
      <c r="C26" s="18" t="s">
        <v>84</v>
      </c>
    </row>
    <row r="27" spans="1:3" ht="20.100000000000001" customHeight="1" thickBot="1" x14ac:dyDescent="0.35">
      <c r="A27" s="2" t="s">
        <v>11</v>
      </c>
      <c r="C27" s="18" t="s">
        <v>85</v>
      </c>
    </row>
    <row r="28" spans="1:3" ht="20.100000000000001" customHeight="1" thickBot="1" x14ac:dyDescent="0.35">
      <c r="A28" s="2" t="s">
        <v>28</v>
      </c>
      <c r="C28" s="18" t="s">
        <v>86</v>
      </c>
    </row>
    <row r="29" spans="1:3" ht="20.100000000000001" customHeight="1" thickBot="1" x14ac:dyDescent="0.35">
      <c r="A29" s="2" t="s">
        <v>29</v>
      </c>
      <c r="C29" s="18" t="s">
        <v>175</v>
      </c>
    </row>
    <row r="30" spans="1:3" ht="20.100000000000001" customHeight="1" thickBot="1" x14ac:dyDescent="0.35">
      <c r="A30" s="2" t="s">
        <v>30</v>
      </c>
      <c r="C30" s="18" t="s">
        <v>176</v>
      </c>
    </row>
    <row r="31" spans="1:3" ht="20.100000000000001" customHeight="1" thickBot="1" x14ac:dyDescent="0.35">
      <c r="A31" s="2" t="s">
        <v>31</v>
      </c>
      <c r="C31" s="18" t="s">
        <v>177</v>
      </c>
    </row>
    <row r="32" spans="1:3" ht="20.100000000000001" customHeight="1" thickBot="1" x14ac:dyDescent="0.35">
      <c r="A32" s="2" t="s">
        <v>14</v>
      </c>
      <c r="C32" s="18"/>
    </row>
    <row r="33" spans="1:9" ht="20.100000000000001" customHeight="1" thickBot="1" x14ac:dyDescent="0.35">
      <c r="A33" s="2" t="s">
        <v>12</v>
      </c>
      <c r="C33" s="18"/>
    </row>
    <row r="34" spans="1:9" ht="20.100000000000001" customHeight="1" thickBot="1" x14ac:dyDescent="0.35">
      <c r="A34" s="2" t="s">
        <v>32</v>
      </c>
      <c r="C34" s="18"/>
    </row>
    <row r="35" spans="1:9" ht="20.100000000000001" customHeight="1" x14ac:dyDescent="0.3">
      <c r="A35" s="17"/>
    </row>
    <row r="36" spans="1:9" s="16" customFormat="1" ht="20.100000000000001" customHeight="1" x14ac:dyDescent="0.3">
      <c r="A36" s="14"/>
      <c r="B36" s="15"/>
      <c r="C36" s="15"/>
      <c r="D36" s="15"/>
      <c r="E36" s="15"/>
      <c r="F36" s="15"/>
      <c r="G36" s="15"/>
      <c r="H36" s="15"/>
      <c r="I36" s="15"/>
    </row>
    <row r="37" spans="1:9" ht="20.100000000000001" customHeight="1" thickBot="1" x14ac:dyDescent="0.35"/>
    <row r="38" spans="1:9" ht="20.100000000000001" customHeight="1" thickBot="1" x14ac:dyDescent="0.35">
      <c r="A38" s="2" t="s">
        <v>54</v>
      </c>
    </row>
    <row r="39" spans="1:9" ht="20.100000000000001" customHeight="1" thickBot="1" x14ac:dyDescent="0.35">
      <c r="A39" s="12">
        <v>45931</v>
      </c>
    </row>
    <row r="40" spans="1:9" ht="20.100000000000001" customHeight="1" thickBot="1" x14ac:dyDescent="0.35">
      <c r="A40" s="12">
        <v>45932</v>
      </c>
    </row>
    <row r="41" spans="1:9" ht="20.100000000000001" customHeight="1" thickBot="1" x14ac:dyDescent="0.35">
      <c r="A41" s="12">
        <v>45933</v>
      </c>
    </row>
    <row r="42" spans="1:9" ht="20.100000000000001" customHeight="1" thickBot="1" x14ac:dyDescent="0.35">
      <c r="A42" s="12">
        <v>45934</v>
      </c>
    </row>
    <row r="43" spans="1:9" ht="20.100000000000001" customHeight="1" thickBot="1" x14ac:dyDescent="0.35">
      <c r="A43" s="12">
        <v>45935</v>
      </c>
    </row>
    <row r="44" spans="1:9" ht="20.100000000000001" customHeight="1" thickBot="1" x14ac:dyDescent="0.35">
      <c r="A44" s="12">
        <v>45936</v>
      </c>
    </row>
    <row r="45" spans="1:9" ht="20.100000000000001" customHeight="1" thickBot="1" x14ac:dyDescent="0.35">
      <c r="A45" s="12">
        <v>45937</v>
      </c>
    </row>
    <row r="46" spans="1:9" ht="20.100000000000001" customHeight="1" thickBot="1" x14ac:dyDescent="0.35">
      <c r="A46" s="12">
        <v>45938</v>
      </c>
    </row>
    <row r="47" spans="1:9" ht="20.100000000000001" customHeight="1" thickBot="1" x14ac:dyDescent="0.35">
      <c r="A47" s="12">
        <v>45939</v>
      </c>
    </row>
    <row r="48" spans="1:9" ht="20.100000000000001" customHeight="1" thickBot="1" x14ac:dyDescent="0.35">
      <c r="A48" s="12">
        <v>45940</v>
      </c>
    </row>
    <row r="49" spans="1:1" ht="20.100000000000001" customHeight="1" thickBot="1" x14ac:dyDescent="0.35">
      <c r="A49" s="12">
        <v>45941</v>
      </c>
    </row>
    <row r="50" spans="1:1" ht="20.100000000000001" customHeight="1" thickBot="1" x14ac:dyDescent="0.35">
      <c r="A50" s="12">
        <v>45942</v>
      </c>
    </row>
    <row r="51" spans="1:1" ht="20.100000000000001" customHeight="1" thickBot="1" x14ac:dyDescent="0.35">
      <c r="A51" s="12">
        <v>45943</v>
      </c>
    </row>
    <row r="52" spans="1:1" ht="20.100000000000001" customHeight="1" thickBot="1" x14ac:dyDescent="0.35">
      <c r="A52" s="12">
        <v>45944</v>
      </c>
    </row>
    <row r="53" spans="1:1" ht="20.100000000000001" customHeight="1" thickBot="1" x14ac:dyDescent="0.35">
      <c r="A53" s="12">
        <v>45945</v>
      </c>
    </row>
    <row r="54" spans="1:1" ht="20.100000000000001" customHeight="1" thickBot="1" x14ac:dyDescent="0.35">
      <c r="A54" s="12">
        <v>45946</v>
      </c>
    </row>
    <row r="55" spans="1:1" ht="20.100000000000001" customHeight="1" thickBot="1" x14ac:dyDescent="0.35">
      <c r="A55" s="12">
        <v>45947</v>
      </c>
    </row>
    <row r="56" spans="1:1" ht="20.100000000000001" customHeight="1" thickBot="1" x14ac:dyDescent="0.35">
      <c r="A56" s="12">
        <v>45948</v>
      </c>
    </row>
    <row r="57" spans="1:1" ht="20.100000000000001" customHeight="1" thickBot="1" x14ac:dyDescent="0.35">
      <c r="A57" s="12">
        <v>45949</v>
      </c>
    </row>
    <row r="58" spans="1:1" ht="20.100000000000001" customHeight="1" thickBot="1" x14ac:dyDescent="0.35">
      <c r="A58" s="12">
        <v>45950</v>
      </c>
    </row>
    <row r="59" spans="1:1" ht="20.100000000000001" customHeight="1" thickBot="1" x14ac:dyDescent="0.35">
      <c r="A59" s="12">
        <v>45951</v>
      </c>
    </row>
    <row r="60" spans="1:1" ht="20.100000000000001" customHeight="1" thickBot="1" x14ac:dyDescent="0.35">
      <c r="A60" s="12">
        <v>45952</v>
      </c>
    </row>
    <row r="61" spans="1:1" ht="20.100000000000001" customHeight="1" thickBot="1" x14ac:dyDescent="0.35">
      <c r="A61" s="12">
        <v>45953</v>
      </c>
    </row>
    <row r="62" spans="1:1" ht="20.100000000000001" customHeight="1" thickBot="1" x14ac:dyDescent="0.35">
      <c r="A62" s="12">
        <v>45954</v>
      </c>
    </row>
    <row r="63" spans="1:1" ht="20.100000000000001" customHeight="1" thickBot="1" x14ac:dyDescent="0.35">
      <c r="A63" s="12">
        <v>45955</v>
      </c>
    </row>
    <row r="64" spans="1:1" ht="20.100000000000001" customHeight="1" thickBot="1" x14ac:dyDescent="0.35">
      <c r="A64" s="12">
        <v>45956</v>
      </c>
    </row>
    <row r="65" spans="1:1" ht="20.100000000000001" customHeight="1" thickBot="1" x14ac:dyDescent="0.35">
      <c r="A65" s="12">
        <v>45957</v>
      </c>
    </row>
    <row r="66" spans="1:1" ht="20.100000000000001" customHeight="1" thickBot="1" x14ac:dyDescent="0.35">
      <c r="A66" s="12">
        <v>45958</v>
      </c>
    </row>
    <row r="67" spans="1:1" ht="20.100000000000001" customHeight="1" thickBot="1" x14ac:dyDescent="0.35">
      <c r="A67" s="12">
        <v>45959</v>
      </c>
    </row>
    <row r="68" spans="1:1" ht="20.100000000000001" customHeight="1" thickBot="1" x14ac:dyDescent="0.35">
      <c r="A68" s="12">
        <v>45960</v>
      </c>
    </row>
    <row r="69" spans="1:1" ht="20.100000000000001" customHeight="1" thickBot="1" x14ac:dyDescent="0.35">
      <c r="A69" s="12">
        <v>45961</v>
      </c>
    </row>
    <row r="70" spans="1:1" ht="20.100000000000001" customHeight="1" thickBot="1" x14ac:dyDescent="0.35">
      <c r="A70" s="12"/>
    </row>
    <row r="71" spans="1:1" ht="20.100000000000001" customHeight="1" thickBot="1" x14ac:dyDescent="0.35">
      <c r="A71" s="12"/>
    </row>
    <row r="72" spans="1:1" ht="20.100000000000001" customHeight="1" thickBot="1" x14ac:dyDescent="0.35">
      <c r="A72" s="12"/>
    </row>
    <row r="73" spans="1:1" ht="20.100000000000001" customHeight="1" thickBot="1" x14ac:dyDescent="0.35">
      <c r="A73" s="12"/>
    </row>
    <row r="74" spans="1:1" ht="20.100000000000001" customHeight="1" thickBot="1" x14ac:dyDescent="0.35">
      <c r="A74" s="12"/>
    </row>
    <row r="75" spans="1:1" ht="20.100000000000001" customHeight="1" thickBot="1" x14ac:dyDescent="0.35">
      <c r="A75" s="12"/>
    </row>
    <row r="76" spans="1:1" ht="20.100000000000001" customHeight="1" thickBot="1" x14ac:dyDescent="0.35">
      <c r="A76" s="12"/>
    </row>
    <row r="77" spans="1:1" ht="20.100000000000001" customHeight="1" thickBot="1" x14ac:dyDescent="0.35">
      <c r="A77" s="12"/>
    </row>
    <row r="78" spans="1:1" ht="20.100000000000001" customHeight="1" thickBot="1" x14ac:dyDescent="0.35">
      <c r="A78" s="12"/>
    </row>
    <row r="79" spans="1:1" ht="20.100000000000001" customHeight="1" thickBot="1" x14ac:dyDescent="0.35">
      <c r="A79" s="12"/>
    </row>
    <row r="80" spans="1:1" ht="20.100000000000001" customHeight="1" thickBot="1" x14ac:dyDescent="0.35">
      <c r="A80" s="12"/>
    </row>
    <row r="81" spans="1:1" ht="20.100000000000001" customHeight="1" thickBot="1" x14ac:dyDescent="0.35">
      <c r="A81" s="12"/>
    </row>
    <row r="82" spans="1:1" ht="20.100000000000001" customHeight="1" thickBot="1" x14ac:dyDescent="0.35">
      <c r="A82" s="12"/>
    </row>
    <row r="83" spans="1:1" ht="20.100000000000001" customHeight="1" thickBot="1" x14ac:dyDescent="0.35">
      <c r="A83" s="12"/>
    </row>
    <row r="84" spans="1:1" ht="20.100000000000001" customHeight="1" thickBot="1" x14ac:dyDescent="0.35">
      <c r="A84" s="12"/>
    </row>
    <row r="85" spans="1:1" ht="20.100000000000001" customHeight="1" thickBot="1" x14ac:dyDescent="0.35">
      <c r="A85" s="12"/>
    </row>
    <row r="86" spans="1:1" ht="20.100000000000001" customHeight="1" thickBot="1" x14ac:dyDescent="0.35">
      <c r="A86" s="12"/>
    </row>
    <row r="87" spans="1:1" ht="20.100000000000001" customHeight="1" thickBot="1" x14ac:dyDescent="0.35">
      <c r="A87" s="12"/>
    </row>
    <row r="88" spans="1:1" ht="20.100000000000001" customHeight="1" thickBot="1" x14ac:dyDescent="0.35">
      <c r="A88" s="12"/>
    </row>
    <row r="89" spans="1:1" ht="20.100000000000001" customHeight="1" thickBot="1" x14ac:dyDescent="0.35">
      <c r="A89" s="12"/>
    </row>
    <row r="90" spans="1:1" ht="20.100000000000001" customHeight="1" thickBot="1" x14ac:dyDescent="0.35">
      <c r="A90" s="12"/>
    </row>
    <row r="91" spans="1:1" ht="20.100000000000001" customHeight="1" thickBot="1" x14ac:dyDescent="0.35">
      <c r="A91" s="12"/>
    </row>
    <row r="92" spans="1:1" ht="20.100000000000001" customHeight="1" thickBot="1" x14ac:dyDescent="0.35">
      <c r="A92" s="12"/>
    </row>
    <row r="93" spans="1:1" ht="20.100000000000001" customHeight="1" thickBot="1" x14ac:dyDescent="0.35">
      <c r="A93" s="12"/>
    </row>
    <row r="94" spans="1:1" ht="20.100000000000001" customHeight="1" thickBot="1" x14ac:dyDescent="0.35">
      <c r="A94" s="12"/>
    </row>
    <row r="95" spans="1:1" ht="20.100000000000001" customHeight="1" thickBot="1" x14ac:dyDescent="0.35">
      <c r="A95" s="12"/>
    </row>
    <row r="96" spans="1:1" ht="20.100000000000001" customHeight="1" thickBot="1" x14ac:dyDescent="0.35">
      <c r="A96" s="12"/>
    </row>
    <row r="97" spans="1:9" ht="20.100000000000001" customHeight="1" thickBot="1" x14ac:dyDescent="0.35">
      <c r="A97" s="12"/>
    </row>
    <row r="98" spans="1:9" ht="20.100000000000001" customHeight="1" thickBot="1" x14ac:dyDescent="0.35">
      <c r="A98" s="12"/>
    </row>
    <row r="99" spans="1:9" ht="20.100000000000001" customHeight="1" thickBot="1" x14ac:dyDescent="0.35">
      <c r="A99" s="12"/>
    </row>
    <row r="100" spans="1:9" ht="20.100000000000001" customHeight="1" thickBot="1" x14ac:dyDescent="0.35">
      <c r="A100" s="12"/>
    </row>
    <row r="101" spans="1:9" ht="20.100000000000001" customHeight="1" thickBot="1" x14ac:dyDescent="0.35">
      <c r="A101" s="12"/>
    </row>
    <row r="102" spans="1:9" ht="20.100000000000001" customHeight="1" thickBot="1" x14ac:dyDescent="0.35">
      <c r="A102" s="12"/>
    </row>
    <row r="103" spans="1:9" ht="20.100000000000001" customHeight="1" thickBot="1" x14ac:dyDescent="0.35">
      <c r="A103" s="12"/>
    </row>
    <row r="104" spans="1:9" ht="20.100000000000001" customHeight="1" thickBot="1" x14ac:dyDescent="0.35">
      <c r="A104" s="12"/>
    </row>
    <row r="105" spans="1:9" ht="20.100000000000001" customHeight="1" thickBot="1" x14ac:dyDescent="0.35">
      <c r="A105" s="12"/>
    </row>
    <row r="106" spans="1:9" ht="20.100000000000001" customHeight="1" thickBot="1" x14ac:dyDescent="0.35">
      <c r="A106" s="12"/>
    </row>
    <row r="107" spans="1:9" ht="20.100000000000001" customHeight="1" x14ac:dyDescent="0.3">
      <c r="A107" s="13"/>
    </row>
    <row r="108" spans="1:9" ht="20.100000000000001" customHeight="1" x14ac:dyDescent="0.3">
      <c r="A108" s="13"/>
    </row>
    <row r="109" spans="1:9" s="16" customFormat="1" ht="20.100000000000001" customHeight="1" x14ac:dyDescent="0.3">
      <c r="A109" s="14"/>
      <c r="B109" s="15"/>
      <c r="C109" s="15"/>
      <c r="D109" s="15"/>
      <c r="E109" s="15"/>
      <c r="F109" s="15"/>
      <c r="G109" s="15"/>
      <c r="H109" s="15"/>
      <c r="I109" s="15"/>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19" t="s">
        <v>87</v>
      </c>
    </row>
    <row r="200" spans="1:1" ht="20.100000000000001" customHeight="1" x14ac:dyDescent="0.3">
      <c r="A200" s="19" t="s">
        <v>88</v>
      </c>
    </row>
    <row r="201" spans="1:1" ht="20.100000000000001" customHeight="1" x14ac:dyDescent="0.3">
      <c r="A201" s="19" t="s">
        <v>89</v>
      </c>
    </row>
    <row r="202" spans="1:1" ht="20.100000000000001" customHeight="1" x14ac:dyDescent="0.3">
      <c r="A202" s="19" t="s">
        <v>90</v>
      </c>
    </row>
    <row r="203" spans="1:1" ht="20.100000000000001" customHeight="1" x14ac:dyDescent="0.3">
      <c r="A203" s="19" t="s">
        <v>91</v>
      </c>
    </row>
    <row r="204" spans="1:1" ht="20.100000000000001" customHeight="1" x14ac:dyDescent="0.3">
      <c r="A204" s="19" t="s">
        <v>92</v>
      </c>
    </row>
    <row r="205" spans="1:1" ht="20.100000000000001" customHeight="1" x14ac:dyDescent="0.3">
      <c r="A205" s="19" t="s">
        <v>93</v>
      </c>
    </row>
    <row r="206" spans="1:1" ht="20.100000000000001" customHeight="1" x14ac:dyDescent="0.3">
      <c r="A206" s="19" t="s">
        <v>94</v>
      </c>
    </row>
    <row r="207" spans="1:1" ht="20.100000000000001" customHeight="1" x14ac:dyDescent="0.3">
      <c r="A207" s="19" t="s">
        <v>95</v>
      </c>
    </row>
    <row r="208" spans="1:1" ht="20.100000000000001" customHeight="1" x14ac:dyDescent="0.3">
      <c r="A208" s="20" t="s">
        <v>96</v>
      </c>
    </row>
    <row r="209" spans="1:1" ht="20.100000000000001" customHeight="1" x14ac:dyDescent="0.3">
      <c r="A209" s="20" t="s">
        <v>97</v>
      </c>
    </row>
    <row r="210" spans="1:1" ht="20.100000000000001" customHeight="1" x14ac:dyDescent="0.3">
      <c r="A210" s="19" t="s">
        <v>98</v>
      </c>
    </row>
    <row r="211" spans="1:1" ht="20.100000000000001" customHeight="1" x14ac:dyDescent="0.3">
      <c r="A211" s="19" t="s">
        <v>99</v>
      </c>
    </row>
    <row r="212" spans="1:1" ht="20.100000000000001" customHeight="1" x14ac:dyDescent="0.3">
      <c r="A212" s="19" t="s">
        <v>173</v>
      </c>
    </row>
    <row r="213" spans="1:1" ht="20.100000000000001" customHeight="1" x14ac:dyDescent="0.3">
      <c r="A213" s="19" t="s">
        <v>100</v>
      </c>
    </row>
    <row r="214" spans="1:1" ht="20.100000000000001" customHeight="1" x14ac:dyDescent="0.3">
      <c r="A214" s="19" t="s">
        <v>101</v>
      </c>
    </row>
    <row r="215" spans="1:1" ht="20.100000000000001" customHeight="1" x14ac:dyDescent="0.3">
      <c r="A215" s="19" t="s">
        <v>102</v>
      </c>
    </row>
    <row r="216" spans="1:1" ht="20.100000000000001" customHeight="1" x14ac:dyDescent="0.3">
      <c r="A216" s="19" t="s">
        <v>103</v>
      </c>
    </row>
    <row r="217" spans="1:1" ht="20.100000000000001" customHeight="1" x14ac:dyDescent="0.3">
      <c r="A217" s="19" t="s">
        <v>104</v>
      </c>
    </row>
    <row r="218" spans="1:1" ht="20.100000000000001" customHeight="1" x14ac:dyDescent="0.3">
      <c r="A218" s="19" t="s">
        <v>105</v>
      </c>
    </row>
    <row r="219" spans="1:1" ht="20.100000000000001" customHeight="1" x14ac:dyDescent="0.3">
      <c r="A219" s="19" t="s">
        <v>106</v>
      </c>
    </row>
    <row r="220" spans="1:1" ht="20.100000000000001" customHeight="1" x14ac:dyDescent="0.3">
      <c r="A220" s="19" t="s">
        <v>107</v>
      </c>
    </row>
    <row r="221" spans="1:1" ht="20.100000000000001" customHeight="1" x14ac:dyDescent="0.3">
      <c r="A221" s="19" t="s">
        <v>108</v>
      </c>
    </row>
    <row r="222" spans="1:1" ht="20.100000000000001" customHeight="1" x14ac:dyDescent="0.3">
      <c r="A222" s="19" t="s">
        <v>109</v>
      </c>
    </row>
    <row r="223" spans="1:1" ht="20.100000000000001" customHeight="1" x14ac:dyDescent="0.3">
      <c r="A223" s="19" t="s">
        <v>110</v>
      </c>
    </row>
    <row r="224" spans="1:1" ht="20.100000000000001" customHeight="1" x14ac:dyDescent="0.3">
      <c r="A224" s="19" t="s">
        <v>174</v>
      </c>
    </row>
    <row r="225" spans="1:1" ht="20.100000000000001" customHeight="1" x14ac:dyDescent="0.3">
      <c r="A225" s="19" t="s">
        <v>111</v>
      </c>
    </row>
    <row r="226" spans="1:1" ht="20.100000000000001" customHeight="1" x14ac:dyDescent="0.3">
      <c r="A226" s="19" t="s">
        <v>112</v>
      </c>
    </row>
    <row r="227" spans="1:1" ht="20.100000000000001" customHeight="1" x14ac:dyDescent="0.3">
      <c r="A227" s="19" t="s">
        <v>113</v>
      </c>
    </row>
    <row r="228" spans="1:1" ht="20.100000000000001" customHeight="1" x14ac:dyDescent="0.3">
      <c r="A228" s="19" t="s">
        <v>114</v>
      </c>
    </row>
    <row r="229" spans="1:1" ht="20.100000000000001" customHeight="1" x14ac:dyDescent="0.3">
      <c r="A229" s="19" t="s">
        <v>115</v>
      </c>
    </row>
    <row r="230" spans="1:1" ht="20.100000000000001" customHeight="1" x14ac:dyDescent="0.3">
      <c r="A230" s="19" t="s">
        <v>116</v>
      </c>
    </row>
    <row r="231" spans="1:1" ht="20.100000000000001" customHeight="1" x14ac:dyDescent="0.3">
      <c r="A231" s="19" t="s">
        <v>117</v>
      </c>
    </row>
    <row r="232" spans="1:1" ht="20.100000000000001" customHeight="1" x14ac:dyDescent="0.3">
      <c r="A232" s="19" t="s">
        <v>118</v>
      </c>
    </row>
    <row r="233" spans="1:1" ht="20.100000000000001" customHeight="1" x14ac:dyDescent="0.3">
      <c r="A233" s="19" t="s">
        <v>119</v>
      </c>
    </row>
    <row r="234" spans="1:1" ht="20.100000000000001" customHeight="1" x14ac:dyDescent="0.3">
      <c r="A234" s="19" t="s">
        <v>120</v>
      </c>
    </row>
    <row r="235" spans="1:1" ht="20.100000000000001" customHeight="1" x14ac:dyDescent="0.3">
      <c r="A235" s="19" t="s">
        <v>121</v>
      </c>
    </row>
    <row r="236" spans="1:1" ht="20.100000000000001" customHeight="1" x14ac:dyDescent="0.3">
      <c r="A236" s="21" t="s">
        <v>122</v>
      </c>
    </row>
    <row r="237" spans="1:1" ht="20.100000000000001" customHeight="1" x14ac:dyDescent="0.3">
      <c r="A237" s="19" t="s">
        <v>123</v>
      </c>
    </row>
    <row r="238" spans="1:1" ht="20.100000000000001" customHeight="1" x14ac:dyDescent="0.3">
      <c r="A238" s="19" t="s">
        <v>124</v>
      </c>
    </row>
    <row r="239" spans="1:1" ht="20.100000000000001" customHeight="1" x14ac:dyDescent="0.3">
      <c r="A239" s="19" t="s">
        <v>125</v>
      </c>
    </row>
    <row r="240" spans="1:1" ht="20.100000000000001" customHeight="1" x14ac:dyDescent="0.3">
      <c r="A240" s="19" t="s">
        <v>126</v>
      </c>
    </row>
    <row r="241" spans="1:1" ht="20.100000000000001" customHeight="1" x14ac:dyDescent="0.3">
      <c r="A241" s="19" t="s">
        <v>127</v>
      </c>
    </row>
    <row r="242" spans="1:1" ht="20.100000000000001" customHeight="1" x14ac:dyDescent="0.3">
      <c r="A242" s="19" t="s">
        <v>128</v>
      </c>
    </row>
    <row r="243" spans="1:1" ht="20.100000000000001" customHeight="1" x14ac:dyDescent="0.3">
      <c r="A243" s="19" t="s">
        <v>129</v>
      </c>
    </row>
    <row r="244" spans="1:1" ht="20.100000000000001" customHeight="1" x14ac:dyDescent="0.3">
      <c r="A244" s="19" t="s">
        <v>130</v>
      </c>
    </row>
    <row r="245" spans="1:1" ht="20.100000000000001" customHeight="1" x14ac:dyDescent="0.3">
      <c r="A245" s="19" t="s">
        <v>131</v>
      </c>
    </row>
    <row r="246" spans="1:1" ht="20.100000000000001" customHeight="1" x14ac:dyDescent="0.3">
      <c r="A246" s="19" t="s">
        <v>132</v>
      </c>
    </row>
    <row r="247" spans="1:1" ht="20.100000000000001" customHeight="1" x14ac:dyDescent="0.3">
      <c r="A247" s="19" t="s">
        <v>133</v>
      </c>
    </row>
    <row r="248" spans="1:1" ht="20.100000000000001" customHeight="1" x14ac:dyDescent="0.3">
      <c r="A248" s="19" t="s">
        <v>124</v>
      </c>
    </row>
    <row r="249" spans="1:1" ht="20.100000000000001" customHeight="1" x14ac:dyDescent="0.3">
      <c r="A249" s="19" t="s">
        <v>134</v>
      </c>
    </row>
    <row r="250" spans="1:1" ht="20.100000000000001" customHeight="1" x14ac:dyDescent="0.3">
      <c r="A250" s="19" t="s">
        <v>135</v>
      </c>
    </row>
    <row r="251" spans="1:1" ht="20.100000000000001" customHeight="1" x14ac:dyDescent="0.3">
      <c r="A251" s="21" t="s">
        <v>136</v>
      </c>
    </row>
    <row r="252" spans="1:1" ht="20.100000000000001" customHeight="1" x14ac:dyDescent="0.3">
      <c r="A252" s="22" t="s">
        <v>137</v>
      </c>
    </row>
    <row r="253" spans="1:1" ht="20.100000000000001" customHeight="1" x14ac:dyDescent="0.3">
      <c r="A253" s="19" t="s">
        <v>138</v>
      </c>
    </row>
    <row r="254" spans="1:1" ht="20.100000000000001" customHeight="1" x14ac:dyDescent="0.3">
      <c r="A254" s="19" t="s">
        <v>139</v>
      </c>
    </row>
    <row r="255" spans="1:1" ht="20.100000000000001" customHeight="1" x14ac:dyDescent="0.3">
      <c r="A255" s="23" t="s">
        <v>140</v>
      </c>
    </row>
    <row r="256" spans="1:1" ht="20.100000000000001" customHeight="1" x14ac:dyDescent="0.3">
      <c r="A256" s="23" t="s">
        <v>141</v>
      </c>
    </row>
    <row r="257" spans="1:1" ht="20.100000000000001" customHeight="1" x14ac:dyDescent="0.3">
      <c r="A257" s="24" t="s">
        <v>142</v>
      </c>
    </row>
    <row r="258" spans="1:1" ht="20.100000000000001" customHeight="1" x14ac:dyDescent="0.3">
      <c r="A258" s="19" t="s">
        <v>143</v>
      </c>
    </row>
    <row r="259" spans="1:1" ht="20.100000000000001" customHeight="1" x14ac:dyDescent="0.3">
      <c r="A259" s="24" t="s">
        <v>144</v>
      </c>
    </row>
    <row r="260" spans="1:1" ht="20.100000000000001" customHeight="1" x14ac:dyDescent="0.3">
      <c r="A260" s="19" t="s">
        <v>145</v>
      </c>
    </row>
    <row r="261" spans="1:1" ht="20.100000000000001" customHeight="1" x14ac:dyDescent="0.3">
      <c r="A261" s="24" t="s">
        <v>146</v>
      </c>
    </row>
    <row r="262" spans="1:1" ht="20.100000000000001" customHeight="1" x14ac:dyDescent="0.3">
      <c r="A262" s="19" t="s">
        <v>147</v>
      </c>
    </row>
    <row r="263" spans="1:1" ht="20.100000000000001" customHeight="1" x14ac:dyDescent="0.3">
      <c r="A263" s="19" t="s">
        <v>148</v>
      </c>
    </row>
    <row r="264" spans="1:1" ht="20.100000000000001" customHeight="1" x14ac:dyDescent="0.3">
      <c r="A264" s="24" t="s">
        <v>149</v>
      </c>
    </row>
    <row r="265" spans="1:1" ht="20.100000000000001" customHeight="1" x14ac:dyDescent="0.3">
      <c r="A265" s="24" t="s">
        <v>150</v>
      </c>
    </row>
    <row r="266" spans="1:1" ht="20.100000000000001" customHeight="1" x14ac:dyDescent="0.3">
      <c r="A266" s="24" t="s">
        <v>151</v>
      </c>
    </row>
    <row r="267" spans="1:1" ht="20.100000000000001" customHeight="1" x14ac:dyDescent="0.3">
      <c r="A267" s="19" t="s">
        <v>152</v>
      </c>
    </row>
    <row r="268" spans="1:1" ht="20.100000000000001" customHeight="1" x14ac:dyDescent="0.3">
      <c r="A268" s="19" t="s">
        <v>153</v>
      </c>
    </row>
    <row r="269" spans="1:1" ht="20.100000000000001" customHeight="1" x14ac:dyDescent="0.3">
      <c r="A269" s="19" t="s">
        <v>154</v>
      </c>
    </row>
    <row r="270" spans="1:1" ht="20.100000000000001" customHeight="1" x14ac:dyDescent="0.3">
      <c r="A270" s="19" t="s">
        <v>155</v>
      </c>
    </row>
    <row r="271" spans="1:1" ht="20.100000000000001" customHeight="1" x14ac:dyDescent="0.3">
      <c r="A271" s="24" t="s">
        <v>156</v>
      </c>
    </row>
    <row r="272" spans="1:1" ht="20.100000000000001" customHeight="1" x14ac:dyDescent="0.3">
      <c r="A272" s="24" t="s">
        <v>157</v>
      </c>
    </row>
    <row r="273" spans="1:1" ht="20.100000000000001" customHeight="1" x14ac:dyDescent="0.3">
      <c r="A273" s="19" t="s">
        <v>158</v>
      </c>
    </row>
    <row r="274" spans="1:1" ht="20.100000000000001" customHeight="1" x14ac:dyDescent="0.3">
      <c r="A274" s="24" t="s">
        <v>159</v>
      </c>
    </row>
    <row r="275" spans="1:1" ht="20.100000000000001" customHeight="1" x14ac:dyDescent="0.3">
      <c r="A275" s="24" t="s">
        <v>160</v>
      </c>
    </row>
    <row r="276" spans="1:1" ht="20.100000000000001" customHeight="1" x14ac:dyDescent="0.3">
      <c r="A276" s="19" t="s">
        <v>161</v>
      </c>
    </row>
    <row r="277" spans="1:1" ht="20.100000000000001" customHeight="1" x14ac:dyDescent="0.3">
      <c r="A277" s="19" t="s">
        <v>162</v>
      </c>
    </row>
    <row r="278" spans="1:1" ht="20.100000000000001" customHeight="1" x14ac:dyDescent="0.3">
      <c r="A278" s="24" t="s">
        <v>163</v>
      </c>
    </row>
    <row r="279" spans="1:1" ht="20.100000000000001" customHeight="1" x14ac:dyDescent="0.3">
      <c r="A279" s="19" t="s">
        <v>164</v>
      </c>
    </row>
    <row r="280" spans="1:1" ht="20.100000000000001" customHeight="1" x14ac:dyDescent="0.3">
      <c r="A280" s="19" t="s">
        <v>165</v>
      </c>
    </row>
    <row r="281" spans="1:1" ht="20.100000000000001" customHeight="1" x14ac:dyDescent="0.3">
      <c r="A281" s="19" t="s">
        <v>166</v>
      </c>
    </row>
    <row r="282" spans="1:1" ht="20.100000000000001" customHeight="1" x14ac:dyDescent="0.3">
      <c r="A282" s="19" t="s">
        <v>167</v>
      </c>
    </row>
    <row r="283" spans="1:1" ht="20.100000000000001" customHeight="1" x14ac:dyDescent="0.3">
      <c r="A283" s="24" t="s">
        <v>168</v>
      </c>
    </row>
    <row r="284" spans="1:1" ht="20.100000000000001" customHeight="1" x14ac:dyDescent="0.3">
      <c r="A284" s="24" t="s">
        <v>169</v>
      </c>
    </row>
    <row r="285" spans="1:1" ht="20.100000000000001" customHeight="1" x14ac:dyDescent="0.3">
      <c r="A285" s="24" t="s">
        <v>170</v>
      </c>
    </row>
    <row r="286" spans="1:1" ht="20.100000000000001" customHeight="1" thickBot="1" x14ac:dyDescent="0.35">
      <c r="A286" s="19"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2025-10-23T21:02:21Z</dcterms:modified>
</cp:coreProperties>
</file>