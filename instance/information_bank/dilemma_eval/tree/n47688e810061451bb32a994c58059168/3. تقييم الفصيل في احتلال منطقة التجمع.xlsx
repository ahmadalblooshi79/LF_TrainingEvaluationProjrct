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B13F1B2B-F59A-4BA6-BE05-7A6B42D653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8" i="2"/>
  <c r="H8" i="2"/>
  <c r="F34" i="2"/>
  <c r="E34" i="2"/>
  <c r="E35" i="2"/>
  <c r="E36" i="2"/>
</calcChain>
</file>

<file path=xl/sharedStrings.xml><?xml version="1.0" encoding="utf-8"?>
<sst xmlns="http://schemas.openxmlformats.org/spreadsheetml/2006/main" count="130" uniqueCount="127">
  <si>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</si>
  <si>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</si>
  <si>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</si>
  <si>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</si>
  <si>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</si>
  <si>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</si>
  <si>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</si>
  <si>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</si>
  <si>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</si>
  <si>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</si>
  <si>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</si>
  <si>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</si>
  <si>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</si>
  <si>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</si>
  <si>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</si>
  <si>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</si>
  <si>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</si>
  <si>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</si>
  <si>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</si>
  <si>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</si>
  <si>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</si>
  <si>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</si>
  <si>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</si>
  <si>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</si>
  <si>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</si>
  <si>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</si>
  <si>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</si>
  <si>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</si>
  <si>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</si>
  <si>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</si>
  <si>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</si>
  <si>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</si>
  <si>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</si>
  <si>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</si>
  <si>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</si>
  <si>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</si>
  <si>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</si>
  <si>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</si>
  <si>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</si>
  <si>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</si>
  <si>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</si>
  <si>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</si>
  <si>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</si>
  <si>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</si>
  <si>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</si>
  <si>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</si>
  <si>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</si>
  <si>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</si>
  <si>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</si>
  <si>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</si>
  <si>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</si>
  <si>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</si>
  <si>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</si>
  <si>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</si>
  <si>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</si>
  <si>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</si>
  <si>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</si>
  <si>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</si>
  <si>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</si>
  <si>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</si>
  <si>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</si>
  <si>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</si>
  <si>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كتيبة المشاة الآلية/12 - السرية/1 - الفصيل/1</t>
  </si>
  <si>
    <t>كتيبة المشاة الآلية/12 - السرية/1 - الفصيل/2</t>
  </si>
  <si>
    <t>كتيبة المشاة الآلية/12 - السرية/1 - الفصيل/3</t>
  </si>
  <si>
    <t>كتيبة المشاة الآلية/12 - السرية/2 - الفصيل/1</t>
  </si>
  <si>
    <t>كتيبة المشاة الآلية/12 - السرية/2 - الفصيل/2</t>
  </si>
  <si>
    <t>كتيبة المشاة الآلية/12 - السرية/2 - الفصيل/3</t>
  </si>
  <si>
    <t>كتيبة المشاة الآلية/12 - السرية/3 - الفصيل/1</t>
  </si>
  <si>
    <t>كتيبة المشاة الآلية/12 - السرية/3 - الفصيل/2</t>
  </si>
  <si>
    <t>كتيبة المشاة الآلية/12 - السرية/3 - الفصيل/3</t>
  </si>
  <si>
    <t>كتيبة المشاة الآلية/13 - السرية/1 - الفصيل/1</t>
  </si>
  <si>
    <t>كتيبة المشاة الآلية/13 - السرية/1 - الفصيل/2</t>
  </si>
  <si>
    <t>كتيبة المشاة الآلية/13 - السرية/1 - الفصيل/3</t>
  </si>
  <si>
    <t>كتيبة المشاة الآلية/13 - السرية/2 - الفصيل/1</t>
  </si>
  <si>
    <t>كتيبة المشاة الآلية/13 - السرية/2 - الفصيل/2</t>
  </si>
  <si>
    <t>كتيبة المشاة الآلية/13 - السرية/2 - الفصيل/3</t>
  </si>
  <si>
    <t>كتيبة المشاة الآلية/13 - السرية/3 - الفصيل/1</t>
  </si>
  <si>
    <t>كتيبة المشاة الآلية/13 - السرية/3 - الفصيل/2</t>
  </si>
  <si>
    <t>كتيبة المشاة الآلية/13 - السرية/3 - الفصيل/3</t>
  </si>
  <si>
    <t>كتيبة الدبابات/14 - السرية/1 - الفصيل/1</t>
  </si>
  <si>
    <t>كتيبة الدبابات/14 - السرية/1 - الفصيل/2</t>
  </si>
  <si>
    <t>كتيبة الدبابات/14 - السرية/1 - الفصيل/3</t>
  </si>
  <si>
    <t>كتيبة المشاة الآلية/12 - السرية/1 - الفصيل/4</t>
  </si>
  <si>
    <t>كتيبة المشاة الآلية/12 - السرية/2 - الفصيل/4</t>
  </si>
  <si>
    <t>كتيبة المشاة الآلية/12 - السرية/3 - الفصيل/4</t>
  </si>
  <si>
    <t>كتيبة المشاة الآلية/13 - السرية/1 - الفصيل/4</t>
  </si>
  <si>
    <t>كتيبة المشاة الآلية/13 - السرية/2 - الفصيل/4</t>
  </si>
  <si>
    <t>كتيبة المشاة الآلية/13 - السرية/3 - الفصيل/4</t>
  </si>
  <si>
    <t>كتيبة الدبابات/14 - السرية/1 - الفصيل/4</t>
  </si>
  <si>
    <t>كتيبة الدبابات/14 - السرية/2 - الفصيل/1</t>
  </si>
  <si>
    <t>كتيبة الدبابات/14 - السرية/2 - الفصيل/2</t>
  </si>
  <si>
    <t>كتيبة الدبابات/14 - السرية/2 - الفصيل/3</t>
  </si>
  <si>
    <t>كتيبة الدبابات/14 - السرية/2 - الفصيل/4</t>
  </si>
  <si>
    <t>كتيبة الدبابات/14 - السرية/3 - الفصيل/1</t>
  </si>
  <si>
    <t>كتيبة الدبابات/14 - السرية/3 - الفصيل/2</t>
  </si>
  <si>
    <t>كتيبة الدبابات/14 - السرية/3 - الفصيل/3</t>
  </si>
  <si>
    <t>كتيبة الدبابات/14 - السرية/3 - الفصيل/4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</si>
  <si>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إصدار الأوامر.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</si>
  <si>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يعمل القادة في الفصيل على فهم الموقف باستخدام كافة الوسائل المتوفرة.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</si>
  <si>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قائد الفصيل ونائبه ورقيب الفصيل بالاستطلاع من الخارطة.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</si>
  <si>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وضع الإشارات والعلامات لمنطقة تجمع الجماعات.</t>
    </r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</si>
  <si>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تحديد نظام المسير الذي يساعد على الاحتلال السريع لمنطقة التجمع وحسب أوامر المستوى الأعلى.</t>
    </r>
  </si>
  <si>
    <r>
      <t>6.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إعداد خطة للدفاع عن منطقة التجمع ضمن منطقة الفصيل وحسب أوامر المستوى الأعلى.</t>
    </r>
  </si>
  <si>
    <r>
      <t>7.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تحديد أولوية العمل وتنفيذ أعمال الصيانة وإعادة التزويد.</t>
    </r>
  </si>
  <si>
    <r>
      <t>8.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تأكد قائد الفصيل من تفهم قادة الجماعات للأوامر والقصد ومفهوم العمليات.</t>
    </r>
  </si>
  <si>
    <r>
      <t>9.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تنفيذ تفقدات وتفتيشات ما قبل المعركة.</t>
    </r>
  </si>
  <si>
    <r>
      <t>10.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تحرك الفصيل إلى منطقة الاصطفاف المخصصة (نقطة البدء) تمهيداً لبدء الحركة.</t>
    </r>
  </si>
  <si>
    <r>
      <t>11.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تغادر جماعة المأوى بالأمر نقطة الانتشار وتتحرك الى منطقة التجمع.</t>
    </r>
  </si>
  <si>
    <r>
      <t>12.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تحريك الجسم الرئيسي واحتلال منطقة التجمع حسب الخطة الموضوعة.</t>
    </r>
  </si>
  <si>
    <r>
      <t>13.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تنظيم الدخول لمنطقة التجمع بنظام الجماعات وحسب تسلسل بدء الحركة ونظام المسير لكل جماعة.</t>
    </r>
  </si>
  <si>
    <r>
      <t>14.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توجيه الأسلحة لتغطية قواطع المسؤولية.</t>
    </r>
  </si>
  <si>
    <r>
      <t>15.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إبلاغ قيادة المستوى الأعلى بالوصول إلى منطقة التجمع.</t>
    </r>
  </si>
  <si>
    <r>
      <t>16.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توضيع عناصر الإسناد القتالي  إن وجدت.</t>
    </r>
  </si>
  <si>
    <r>
      <t>17.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التنسيق مع الوحدات المجاورة في جميع الاتجاهات إن أمكن.</t>
    </r>
  </si>
  <si>
    <r>
      <t>18.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تعيين قواطع النيران المباشرة للجماعات.</t>
    </r>
  </si>
  <si>
    <r>
      <t>19.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الدفاع الدائري ودفع نقاط الحراسة والمراقبة والإنذار المبكر وحسب أوامر المستوى الأعلى.</t>
    </r>
  </si>
  <si>
    <r>
      <t>20.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إعادة تزويد الآليات في حال كانت المسافة بعيدة بين منطقة الحشد والتجمع أو كانت الأرض وعرة وساعات تشغيل الآليات طويلة.</t>
    </r>
  </si>
  <si>
    <r>
      <t>21.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تعيين قواطع المسؤولية للجماعات بحيث تتقاطع أقواس الرمي فيما بينها لضمان الإسناد المتبادل وتغطية الفجوات بين القواطع بالنار والمراقبة.</t>
    </r>
  </si>
  <si>
    <r>
      <t>22.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إخراج الدوريات لمنع تسلل قوات العدو، وتطهير نقاط مراقبة العدو المحتملة ضمن قاطع المسؤولية (حسب الحاجة).</t>
    </r>
  </si>
  <si>
    <r>
      <t>23.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تعيين نقطة مراقبة وتعيين الافراد المعنيين بإدامتها.</t>
    </r>
  </si>
  <si>
    <r>
      <t>24.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التأكد من الاتصالات بين نقاط المراقبة والفصيل.</t>
    </r>
  </si>
  <si>
    <r>
      <t>25.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السيطرة على الاضاءة، الضوضاء والتخلص من الفضلات.</t>
    </r>
  </si>
  <si>
    <r>
      <t>26.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استطلاع القادة لمواقع العدو للتأكيد على الخطة.</t>
    </r>
  </si>
  <si>
    <r>
      <rPr>
        <b/>
        <sz val="14"/>
        <color rgb="FF000000"/>
        <rFont val="Arial"/>
        <family val="2"/>
      </rPr>
      <t>تقييم فصيل مشاة راجل في احتلال منطقة التجمع التعبوية الأمامية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</si>
  <si>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مقدم ركن/ محمد عبدالله الشحي</t>
  </si>
  <si>
    <t>مقدم ركن/ سالم القرين العامري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</si>
</sst>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0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8" fillId="5" borderId="20" xfId="0" applyFont="1" applyFill="1" applyBorder="1" applyAlignment="1">
      <alignment horizontal="right" vertical="center" wrapText="1" readingOrder="2"/>
    </xf>
    <xf numFmtId="0" fontId="8" fillId="5" borderId="3" xfId="0" applyFont="1" applyFill="1" applyBorder="1" applyAlignment="1">
      <alignment horizontal="right" vertical="center" wrapText="1" readingOrder="2"/>
    </xf>
    <xf numFmtId="0" fontId="8" fillId="5" borderId="11" xfId="0" applyFont="1" applyFill="1" applyBorder="1" applyAlignment="1">
      <alignment horizontal="right" vertical="center" wrapText="1" readingOrder="2"/>
    </xf>
    <xf numFmtId="0" fontId="8" fillId="5" borderId="12" xfId="0" applyFont="1" applyFill="1" applyBorder="1" applyAlignment="1">
      <alignment horizontal="right" vertical="center" wrapText="1" readingOrder="2"/>
    </xf>
    <xf numFmtId="0" fontId="8" fillId="5" borderId="5" xfId="0" applyFont="1" applyFill="1" applyBorder="1" applyAlignment="1">
      <alignment horizontal="right" vertical="center" wrapText="1" readingOrder="2"/>
    </xf>
    <xf numFmtId="0" fontId="8" fillId="5" borderId="4" xfId="0" applyFont="1" applyFill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21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318587</xdr:colOff>
      <xdr:row>37</xdr:row>
      <xdr:rowOff>30948</xdr:rowOff>
    </xdr:from>
    <xdr:to>
      <xdr:col>9</xdr:col>
      <xdr:colOff>166646</xdr:colOff>
      <xdr:row>37</xdr:row>
      <xdr:rowOff>612708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CD4881D-2CD6-85E4-4299-9416599E6148}"/>
                </a:ext>
              </a:extLst>
            </xdr14:cNvPr>
            <xdr14:cNvContentPartPr/>
          </xdr14:nvContentPartPr>
          <xdr14:nvPr macro=""/>
          <xdr14:xfrm>
            <a:off x="10398420173" y="15548040"/>
            <a:ext cx="1164240" cy="5817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CD4881D-2CD6-85E4-4299-9416599E614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411173" y="15539400"/>
              <a:ext cx="1181880" cy="599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7:02:43.74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1987 1033 12810,'0'0'0,"-37"-27"1409,2-2-553,-6-6 24,41 35-880,-38-33 736,19 5-232,-2-2-176,5 1-128,16 29-200,-16-29 80,2 0 32,5 1-96,4-4 24,5 32-40,-11-29 24,6-4-64,-7 0 56,12 0-40,0 33 24,-5-32-16,3-2 8,-2 0-16,-1-2 0,5 36 24,-2-37-8,2 2 8,-5-2-40,2 2-32,3 35 72,-2-31-104,2 1-48,-5 2-32,0 2 16,5 26 168,-2-22-136,2-1-16,0 4 56,2 1 0,-2 18 96,5-16-112,0 1 16,7-1-40,-1 2-8,-11 14 144,12-12-120,1 7-8,2-7 32,1 11-8,-16 1 104,14-3-128,7 2-16,-7 1 24,5 0 32,-19 0 88,18 4-64,1 0 16,-1 9 16,1-10 8,-19-3 24,24 13-8,-1-11 0,0 10-24,5-9-24,-28-3 56,27 4-32,4 7 0,1-8 40,3 0-32,-35-3 24,38 3-16,1-3-8,-2 0-16,6 0 16,-43 0 24,38 0 0,5-4 0,-3-2-24,1-6 24,-41 12 0,37-5-16,1-8 0,-5 7 8,-8-6 0,-25 12 8,25-5 0,-4 0-24,-6 0 48,-11 1-24,-4 4 0,11-4 96,-11 4 344,-2 0 32,-9 3 24,11-3-496,-22 17 336,-6 1-456,-8 9-88,-11 7-80,47-34 288,-51 42-256,-10 0 96,-6 6-24,-5 1 8,72-49 176,-77 52-216,-4 1-72,-3-2-120,-4 2-81,88-53 489,-94 50-664,-11 4-120,-6 4-184,-1 4-296,112-62 1264,-121 66-1449,0 3 137,0 5 264,-6 2-8,127-76 1056,-133 84-1145,5 1 33,7-3 472,6-4 832,115-78-192,-94 63 1240,8-12 849,11-12 127,14-7-687,61-32-1529,-53 29 624,9-5-472,4-3-160,12-7-136,28-14 144,-19 12-256,6-9-160,10-3-257,3 0 105,0 0 568,15-2-448,5-12 184,8-2 272,10-5 40,-38 21-48,39-27 56,10-4 24,2-2 40,7-2 24,-58 35-144,68-37 184,1-3 96,9-3 32,8 0 241,-86 43-553,88-46 608,9 1-136,-1-1 128,4-4-232,-100 50-368,99-49 128,2-2 168,3 2-208,4 0-48,-108 49-40,114-48 48,-3 1-72,-2-1 24,1 2-8,-110 46 8,107-45 8,-4-1 24,-4 2-104,-1 1 88,-98 43-16,100-41 96,-7 0-112,0 3 16,-2-1-8,-91 39 8,81-35 8,-6 1 8,-7 4 48,-8 3-32,-60 27-32,53-23-32,-6 5 80,-8 2 24,-6 3 48,-33 13-120,26-4 168,-6 0-64,-17 2 392,-1 2 376,-2 0-872,0 3 1049,-21 11 39,-9 3-504,-10 7-576,40-24-8,-53 30-216,-8 6-56,-9 2 24,-9 5 184,79-43 64,-93 45 32,-5 1 56,-8 2-16,-8 3-32,114-51-40,-121 54 24,-5 6-216,-6 5 40,-8 2-536,140-67 688,-146 71-1096,-3 2-257,-2 1-327,4 3 304,147-77 1376,-147 75-833,5-3 1041,10-8 1057,8-11 807,124-53-2072,-106 41 2377,10-12-673,12-5-736,12-6-688,72-18-280,-63 16 16,12-12-224,10 9-168,6-13-128,35 0 504,-24 0-568,12 0 56,10-4-88,2-12-8,0 16 608,2-17-785,19-6-23,5-7 96,9-4 96,-35 34 616,40-40-424,8-2 88,3-4 40,7 1 56,-58 45 240,65-44-240,1 1-16,2 0 8,1 4 47,-69 39 201,70-39-144,0 4 64,-3 2 72,-4 3-16,-63 30 24,58-25-24,-5 3-16,-6 7 24,-3 3-16,-44 12 32,37-3-40,-4 2 0,-7 1-8,-10 4 16,-16-4 32,4 19 48,1 1 56,-5 5 40,-16 11-24,16-36-120,-19 40 80,-9 5-48,-2 2-24,-2 3 64,32-50-72,-33 49 129,6-3 103,3-3 64,3-6-56,21-37-240,-14 28 176,12-4-88,2-7-56,2-13 40,-2-4-72,19 5 120,1-2 48,8-3 32,7-5 8,-35 5-208,40-14 184,6-2-24,10-1-8,2-2 16,-58 19-168,63-22 232,5 1 232,3-2 248,7 0 297,-78 23-1009,81-25 1192,3-1 80,2-4-24,0-2-63,-86 32-1185,88-32 848,0-2-216,3 2-272,5 0-248,-96 32-112,95-30 64,1 2-112,1 1-96,-1 3-144,-96 24 288,93-21-1216,-7 2-1529,-3-1-1656,-5 5-3681,-78 15 8082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topLeftCell="A33" zoomScale="130" zoomScaleNormal="100" zoomScaleSheetLayoutView="130" workbookViewId="0">
      <selection activeCell="G37" sqref="G37:J37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5" t="s">
        <v>124</v>
      </c>
      <c r="C1" s="45"/>
      <c r="D1" s="45"/>
      <c r="E1" s="45"/>
      <c r="F1" s="45"/>
      <c r="G1" s="45"/>
      <c r="H1" s="45"/>
      <c r="I1" s="45"/>
      <c r="J1" s="45"/>
    </row>
    <row r="2" spans="1:10" ht="30" customHeight="1" x14ac:dyDescent="0.3">
      <c r="B2" s="11" t="s">
        <v>8</v>
      </c>
      <c r="C2" s="51" t="s">
        <v>40</v>
      </c>
      <c r="D2" s="51"/>
      <c r="E2" s="11" t="s">
        <v>7</v>
      </c>
      <c r="F2" s="46">
        <v>45939</v>
      </c>
      <c r="G2" s="46"/>
      <c r="H2" s="46"/>
      <c r="I2" s="46"/>
      <c r="J2" s="46"/>
    </row>
    <row r="3" spans="1:10" ht="30" customHeight="1" x14ac:dyDescent="0.3">
      <c r="B3" s="11" t="s">
        <v>9</v>
      </c>
      <c r="C3" s="51" t="s">
        <v>59</v>
      </c>
      <c r="D3" s="51"/>
      <c r="E3" s="11" t="s">
        <v>6</v>
      </c>
      <c r="F3" s="51" t="s">
        <v>58</v>
      </c>
      <c r="G3" s="51"/>
      <c r="H3" s="51"/>
      <c r="I3" s="51"/>
      <c r="J3" s="51"/>
    </row>
    <row r="4" spans="1:10" ht="30" customHeight="1" thickBot="1" x14ac:dyDescent="0.35">
      <c r="B4" s="6"/>
      <c r="C4" s="72" t="s">
        <v>125</v>
      </c>
      <c r="D4" s="72"/>
      <c r="E4" s="6"/>
      <c r="F4" s="72" t="s">
        <v>126</v>
      </c>
      <c r="G4" s="72"/>
      <c r="H4" s="72"/>
      <c r="I4" s="72"/>
      <c r="J4" s="72"/>
    </row>
    <row r="5" spans="1:10" ht="24.9" customHeight="1" x14ac:dyDescent="0.3">
      <c r="A5" s="9"/>
      <c r="B5" s="47" t="s">
        <v>0</v>
      </c>
      <c r="C5" s="48"/>
      <c r="D5" s="48"/>
      <c r="E5" s="54" t="s">
        <v>1</v>
      </c>
      <c r="F5" s="54"/>
      <c r="G5" s="54"/>
      <c r="H5" s="54"/>
      <c r="I5" s="54" t="s">
        <v>2</v>
      </c>
      <c r="J5" s="55"/>
    </row>
    <row r="6" spans="1:10" ht="24.9" customHeight="1" thickBot="1" x14ac:dyDescent="0.35">
      <c r="A6" s="9"/>
      <c r="B6" s="49"/>
      <c r="C6" s="50"/>
      <c r="D6" s="50"/>
      <c r="E6" s="10" t="s">
        <v>3</v>
      </c>
      <c r="F6" s="10" t="s">
        <v>4</v>
      </c>
      <c r="G6" s="10" t="s">
        <v>23</v>
      </c>
      <c r="H6" s="10" t="s">
        <v>24</v>
      </c>
      <c r="I6" s="56"/>
      <c r="J6" s="57"/>
    </row>
    <row r="7" spans="1:10" ht="24.9" customHeight="1" thickBot="1" x14ac:dyDescent="0.35">
      <c r="A7" s="9"/>
      <c r="B7" s="52" t="s">
        <v>21</v>
      </c>
      <c r="C7" s="53"/>
      <c r="D7" s="53"/>
      <c r="E7" s="20" t="s">
        <v>18</v>
      </c>
      <c r="F7" s="20" t="s">
        <v>19</v>
      </c>
      <c r="G7" s="20" t="s">
        <v>22</v>
      </c>
      <c r="H7" s="20" t="s">
        <v>20</v>
      </c>
      <c r="I7" s="58" t="s">
        <v>25</v>
      </c>
      <c r="J7" s="59"/>
    </row>
    <row r="8" spans="1:10" ht="30" customHeight="1" x14ac:dyDescent="0.3">
      <c r="A8" s="9"/>
      <c r="B8" s="34" t="s">
        <v>98</v>
      </c>
      <c r="C8" s="35"/>
      <c r="D8" s="35"/>
      <c r="E8" s="23">
        <v>5</v>
      </c>
      <c r="F8" s="24">
        <v>3</v>
      </c>
      <c r="G8" s="25">
        <f>IFERROR(F8/E8,"")</f>
        <v>0.6</v>
      </c>
      <c r="H8" s="26" t="str">
        <f>_xlfn.IFS(F8="أدخل العلامة","",F8="لا ينطبق","تم الإلغاء",G8&gt;=90%,"ممتاز",G8&gt;=80%,"جيد جداً",G8&gt;=70%,"جيد",G8&gt;=60%,"مقبول",G8&lt;60%,"راسب")</f>
        <v>مقبول</v>
      </c>
      <c r="I8" s="60"/>
      <c r="J8" s="61"/>
    </row>
    <row r="9" spans="1:10" ht="39.9" customHeight="1" x14ac:dyDescent="0.3">
      <c r="A9" s="9"/>
      <c r="B9" s="30" t="s">
        <v>99</v>
      </c>
      <c r="C9" s="31"/>
      <c r="D9" s="31"/>
      <c r="E9" s="7">
        <v>5</v>
      </c>
      <c r="F9" s="18">
        <v>3.75</v>
      </c>
      <c r="G9" s="21">
        <f>IFERROR(F9/E9,"")</f>
        <v>0.75</v>
      </c>
      <c r="H9" s="2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36"/>
      <c r="J9" s="37"/>
    </row>
    <row r="10" spans="1:10" ht="30" customHeight="1" x14ac:dyDescent="0.3">
      <c r="A10" s="9"/>
      <c r="B10" s="30" t="s">
        <v>100</v>
      </c>
      <c r="C10" s="31"/>
      <c r="D10" s="31"/>
      <c r="E10" s="7">
        <v>5</v>
      </c>
      <c r="F10" s="18">
        <v>4</v>
      </c>
      <c r="G10" s="21">
        <f t="shared" ref="G10:G33" si="0">IFERROR(F10/E10,"")</f>
        <v>0.8</v>
      </c>
      <c r="H10" s="22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36"/>
      <c r="J10" s="37"/>
    </row>
    <row r="11" spans="1:10" ht="30" customHeight="1" x14ac:dyDescent="0.3">
      <c r="A11" s="9"/>
      <c r="B11" s="30" t="s">
        <v>101</v>
      </c>
      <c r="C11" s="31"/>
      <c r="D11" s="31"/>
      <c r="E11" s="7">
        <v>5</v>
      </c>
      <c r="F11" s="18">
        <v>3.75</v>
      </c>
      <c r="G11" s="21">
        <f t="shared" si="0"/>
        <v>0.75</v>
      </c>
      <c r="H11" s="22" t="str">
        <f t="shared" si="1"/>
        <v>جيد</v>
      </c>
      <c r="I11" s="36"/>
      <c r="J11" s="37"/>
    </row>
    <row r="12" spans="1:10" ht="39.9" customHeight="1" x14ac:dyDescent="0.3">
      <c r="A12" s="9"/>
      <c r="B12" s="30" t="s">
        <v>102</v>
      </c>
      <c r="C12" s="31"/>
      <c r="D12" s="31"/>
      <c r="E12" s="7">
        <v>5</v>
      </c>
      <c r="F12" s="18">
        <v>3.75</v>
      </c>
      <c r="G12" s="21">
        <f t="shared" si="0"/>
        <v>0.75</v>
      </c>
      <c r="H12" s="22" t="str">
        <f t="shared" si="1"/>
        <v>جيد</v>
      </c>
      <c r="I12" s="36"/>
      <c r="J12" s="37"/>
    </row>
    <row r="13" spans="1:10" ht="39.9" customHeight="1" x14ac:dyDescent="0.3">
      <c r="A13" s="9"/>
      <c r="B13" s="30" t="s">
        <v>103</v>
      </c>
      <c r="C13" s="31"/>
      <c r="D13" s="31"/>
      <c r="E13" s="7">
        <v>5</v>
      </c>
      <c r="F13" s="18">
        <v>3.75</v>
      </c>
      <c r="G13" s="21">
        <f t="shared" si="0"/>
        <v>0.75</v>
      </c>
      <c r="H13" s="22" t="str">
        <f t="shared" si="1"/>
        <v>جيد</v>
      </c>
      <c r="I13" s="36"/>
      <c r="J13" s="37"/>
    </row>
    <row r="14" spans="1:10" ht="30" customHeight="1" x14ac:dyDescent="0.3">
      <c r="A14" s="9"/>
      <c r="B14" s="30" t="s">
        <v>104</v>
      </c>
      <c r="C14" s="31"/>
      <c r="D14" s="31"/>
      <c r="E14" s="7">
        <v>5</v>
      </c>
      <c r="F14" s="18">
        <v>3.5</v>
      </c>
      <c r="G14" s="21">
        <f t="shared" si="0"/>
        <v>0.7</v>
      </c>
      <c r="H14" s="22" t="str">
        <f t="shared" si="1"/>
        <v>جيد</v>
      </c>
      <c r="I14" s="36"/>
      <c r="J14" s="37"/>
    </row>
    <row r="15" spans="1:10" ht="39.9" customHeight="1" x14ac:dyDescent="0.3">
      <c r="A15" s="9"/>
      <c r="B15" s="30" t="s">
        <v>105</v>
      </c>
      <c r="C15" s="31"/>
      <c r="D15" s="31"/>
      <c r="E15" s="7">
        <v>5</v>
      </c>
      <c r="F15" s="18">
        <v>3.75</v>
      </c>
      <c r="G15" s="21">
        <f t="shared" si="0"/>
        <v>0.75</v>
      </c>
      <c r="H15" s="22" t="str">
        <f t="shared" si="1"/>
        <v>جيد</v>
      </c>
      <c r="I15" s="36"/>
      <c r="J15" s="37"/>
    </row>
    <row r="16" spans="1:10" ht="30" customHeight="1" x14ac:dyDescent="0.3">
      <c r="A16" s="9"/>
      <c r="B16" s="30" t="s">
        <v>106</v>
      </c>
      <c r="C16" s="31"/>
      <c r="D16" s="31"/>
      <c r="E16" s="7">
        <v>5</v>
      </c>
      <c r="F16" s="18">
        <v>3.75</v>
      </c>
      <c r="G16" s="21">
        <f t="shared" si="0"/>
        <v>0.75</v>
      </c>
      <c r="H16" s="22" t="str">
        <f t="shared" si="1"/>
        <v>جيد</v>
      </c>
      <c r="I16" s="36"/>
      <c r="J16" s="37"/>
    </row>
    <row r="17" spans="1:10" ht="39.9" customHeight="1" x14ac:dyDescent="0.3">
      <c r="A17" s="9"/>
      <c r="B17" s="30" t="s">
        <v>107</v>
      </c>
      <c r="C17" s="31"/>
      <c r="D17" s="31"/>
      <c r="E17" s="7">
        <v>5</v>
      </c>
      <c r="F17" s="18">
        <v>3.75</v>
      </c>
      <c r="G17" s="21">
        <f t="shared" si="0"/>
        <v>0.75</v>
      </c>
      <c r="H17" s="22" t="str">
        <f t="shared" si="1"/>
        <v>جيد</v>
      </c>
      <c r="I17" s="36"/>
      <c r="J17" s="37"/>
    </row>
    <row r="18" spans="1:10" ht="30" customHeight="1" x14ac:dyDescent="0.3">
      <c r="A18" s="9"/>
      <c r="B18" s="30" t="s">
        <v>108</v>
      </c>
      <c r="C18" s="31"/>
      <c r="D18" s="31"/>
      <c r="E18" s="7">
        <v>5</v>
      </c>
      <c r="F18" s="18">
        <v>3.75</v>
      </c>
      <c r="G18" s="21">
        <f t="shared" si="0"/>
        <v>0.75</v>
      </c>
      <c r="H18" s="22" t="str">
        <f t="shared" si="1"/>
        <v>جيد</v>
      </c>
      <c r="I18" s="36"/>
      <c r="J18" s="37"/>
    </row>
    <row r="19" spans="1:10" ht="30" customHeight="1" x14ac:dyDescent="0.3">
      <c r="A19" s="9"/>
      <c r="B19" s="30" t="s">
        <v>109</v>
      </c>
      <c r="C19" s="31"/>
      <c r="D19" s="31"/>
      <c r="E19" s="7">
        <v>5</v>
      </c>
      <c r="F19" s="18">
        <v>3.75</v>
      </c>
      <c r="G19" s="21">
        <f t="shared" si="0"/>
        <v>0.75</v>
      </c>
      <c r="H19" s="22" t="str">
        <f t="shared" si="1"/>
        <v>جيد</v>
      </c>
      <c r="I19" s="36"/>
      <c r="J19" s="37"/>
    </row>
    <row r="20" spans="1:10" ht="39.9" customHeight="1" x14ac:dyDescent="0.3">
      <c r="A20" s="9"/>
      <c r="B20" s="30" t="s">
        <v>110</v>
      </c>
      <c r="C20" s="31"/>
      <c r="D20" s="31"/>
      <c r="E20" s="7">
        <v>5</v>
      </c>
      <c r="F20" s="18">
        <v>4</v>
      </c>
      <c r="G20" s="21">
        <f t="shared" si="0"/>
        <v>0.8</v>
      </c>
      <c r="H20" s="22" t="str">
        <f t="shared" si="1"/>
        <v>جيد جداً</v>
      </c>
      <c r="I20" s="36"/>
      <c r="J20" s="37"/>
    </row>
    <row r="21" spans="1:10" ht="30" customHeight="1" x14ac:dyDescent="0.3">
      <c r="A21" s="9"/>
      <c r="B21" s="30" t="s">
        <v>111</v>
      </c>
      <c r="C21" s="31"/>
      <c r="D21" s="31"/>
      <c r="E21" s="7">
        <v>5</v>
      </c>
      <c r="F21" s="18">
        <v>3.75</v>
      </c>
      <c r="G21" s="21">
        <f t="shared" si="0"/>
        <v>0.75</v>
      </c>
      <c r="H21" s="22" t="str">
        <f t="shared" si="1"/>
        <v>جيد</v>
      </c>
      <c r="I21" s="36"/>
      <c r="J21" s="37"/>
    </row>
    <row r="22" spans="1:10" ht="30" customHeight="1" x14ac:dyDescent="0.3">
      <c r="A22" s="9"/>
      <c r="B22" s="30" t="s">
        <v>112</v>
      </c>
      <c r="C22" s="31"/>
      <c r="D22" s="31"/>
      <c r="E22" s="7">
        <v>5</v>
      </c>
      <c r="F22" s="18">
        <v>4</v>
      </c>
      <c r="G22" s="21">
        <f t="shared" si="0"/>
        <v>0.8</v>
      </c>
      <c r="H22" s="22" t="str">
        <f t="shared" si="1"/>
        <v>جيد جداً</v>
      </c>
      <c r="I22" s="36"/>
      <c r="J22" s="37"/>
    </row>
    <row r="23" spans="1:10" ht="30" customHeight="1" x14ac:dyDescent="0.3">
      <c r="A23" s="9"/>
      <c r="B23" s="30" t="s">
        <v>113</v>
      </c>
      <c r="C23" s="31"/>
      <c r="D23" s="31"/>
      <c r="E23" s="7">
        <v>5</v>
      </c>
      <c r="F23" s="18">
        <v>3.75</v>
      </c>
      <c r="G23" s="21">
        <f t="shared" si="0"/>
        <v>0.75</v>
      </c>
      <c r="H23" s="22" t="str">
        <f t="shared" si="1"/>
        <v>جيد</v>
      </c>
      <c r="I23" s="36"/>
      <c r="J23" s="37"/>
    </row>
    <row r="24" spans="1:10" ht="30" customHeight="1" x14ac:dyDescent="0.3">
      <c r="A24" s="9"/>
      <c r="B24" s="30" t="s">
        <v>114</v>
      </c>
      <c r="C24" s="31"/>
      <c r="D24" s="31"/>
      <c r="E24" s="7">
        <v>5</v>
      </c>
      <c r="F24" s="18">
        <v>3.25</v>
      </c>
      <c r="G24" s="21">
        <f t="shared" si="0"/>
        <v>0.65</v>
      </c>
      <c r="H24" s="22" t="str">
        <f t="shared" si="1"/>
        <v>مقبول</v>
      </c>
      <c r="I24" s="36"/>
      <c r="J24" s="37"/>
    </row>
    <row r="25" spans="1:10" ht="30" customHeight="1" x14ac:dyDescent="0.3">
      <c r="A25" s="9"/>
      <c r="B25" s="30" t="s">
        <v>115</v>
      </c>
      <c r="C25" s="31"/>
      <c r="D25" s="31"/>
      <c r="E25" s="7">
        <v>5</v>
      </c>
      <c r="F25" s="18">
        <v>3.75</v>
      </c>
      <c r="G25" s="21">
        <f t="shared" si="0"/>
        <v>0.75</v>
      </c>
      <c r="H25" s="22" t="str">
        <f t="shared" si="1"/>
        <v>جيد</v>
      </c>
      <c r="I25" s="36"/>
      <c r="J25" s="37"/>
    </row>
    <row r="26" spans="1:10" ht="39.9" customHeight="1" x14ac:dyDescent="0.3">
      <c r="A26" s="9"/>
      <c r="B26" s="30" t="s">
        <v>116</v>
      </c>
      <c r="C26" s="31"/>
      <c r="D26" s="31"/>
      <c r="E26" s="7">
        <v>5</v>
      </c>
      <c r="F26" s="18">
        <v>3.75</v>
      </c>
      <c r="G26" s="21">
        <f t="shared" si="0"/>
        <v>0.75</v>
      </c>
      <c r="H26" s="22" t="str">
        <f t="shared" si="1"/>
        <v>جيد</v>
      </c>
      <c r="I26" s="36"/>
      <c r="J26" s="37"/>
    </row>
    <row r="27" spans="1:10" ht="39.9" customHeight="1" x14ac:dyDescent="0.3">
      <c r="A27" s="9"/>
      <c r="B27" s="30" t="s">
        <v>117</v>
      </c>
      <c r="C27" s="31"/>
      <c r="D27" s="31"/>
      <c r="E27" s="7">
        <v>5</v>
      </c>
      <c r="F27" s="18">
        <v>3.75</v>
      </c>
      <c r="G27" s="21">
        <f t="shared" si="0"/>
        <v>0.75</v>
      </c>
      <c r="H27" s="22" t="str">
        <f t="shared" si="1"/>
        <v>جيد</v>
      </c>
      <c r="I27" s="36"/>
      <c r="J27" s="37"/>
    </row>
    <row r="28" spans="1:10" ht="39.9" customHeight="1" x14ac:dyDescent="0.3">
      <c r="A28" s="9"/>
      <c r="B28" s="30" t="s">
        <v>118</v>
      </c>
      <c r="C28" s="31"/>
      <c r="D28" s="31"/>
      <c r="E28" s="7">
        <v>5</v>
      </c>
      <c r="F28" s="18">
        <v>3.75</v>
      </c>
      <c r="G28" s="21">
        <f t="shared" si="0"/>
        <v>0.75</v>
      </c>
      <c r="H28" s="22" t="str">
        <f t="shared" si="1"/>
        <v>جيد</v>
      </c>
      <c r="I28" s="36"/>
      <c r="J28" s="37"/>
    </row>
    <row r="29" spans="1:10" ht="39.9" customHeight="1" x14ac:dyDescent="0.3">
      <c r="A29" s="9"/>
      <c r="B29" s="30" t="s">
        <v>119</v>
      </c>
      <c r="C29" s="31"/>
      <c r="D29" s="31"/>
      <c r="E29" s="7">
        <v>5</v>
      </c>
      <c r="F29" s="18">
        <v>3.75</v>
      </c>
      <c r="G29" s="21">
        <f t="shared" si="0"/>
        <v>0.75</v>
      </c>
      <c r="H29" s="22" t="str">
        <f t="shared" si="1"/>
        <v>جيد</v>
      </c>
      <c r="I29" s="36"/>
      <c r="J29" s="37"/>
    </row>
    <row r="30" spans="1:10" ht="30" customHeight="1" x14ac:dyDescent="0.3">
      <c r="A30" s="9"/>
      <c r="B30" s="30" t="s">
        <v>120</v>
      </c>
      <c r="C30" s="31"/>
      <c r="D30" s="31"/>
      <c r="E30" s="7">
        <v>5</v>
      </c>
      <c r="F30" s="18">
        <v>3.75</v>
      </c>
      <c r="G30" s="21">
        <f t="shared" si="0"/>
        <v>0.75</v>
      </c>
      <c r="H30" s="22" t="str">
        <f t="shared" si="1"/>
        <v>جيد</v>
      </c>
      <c r="I30" s="36"/>
      <c r="J30" s="37"/>
    </row>
    <row r="31" spans="1:10" ht="30" customHeight="1" x14ac:dyDescent="0.3">
      <c r="A31" s="9"/>
      <c r="B31" s="30" t="s">
        <v>121</v>
      </c>
      <c r="C31" s="31"/>
      <c r="D31" s="31"/>
      <c r="E31" s="7">
        <v>5</v>
      </c>
      <c r="F31" s="18">
        <v>3.75</v>
      </c>
      <c r="G31" s="21">
        <f t="shared" si="0"/>
        <v>0.75</v>
      </c>
      <c r="H31" s="22" t="str">
        <f t="shared" si="1"/>
        <v>جيد</v>
      </c>
      <c r="I31" s="36"/>
      <c r="J31" s="37"/>
    </row>
    <row r="32" spans="1:10" ht="30" customHeight="1" x14ac:dyDescent="0.3">
      <c r="A32" s="9"/>
      <c r="B32" s="30" t="s">
        <v>122</v>
      </c>
      <c r="C32" s="31"/>
      <c r="D32" s="31"/>
      <c r="E32" s="7">
        <v>5</v>
      </c>
      <c r="F32" s="18">
        <v>3.5</v>
      </c>
      <c r="G32" s="21">
        <f t="shared" si="0"/>
        <v>0.7</v>
      </c>
      <c r="H32" s="22" t="str">
        <f t="shared" si="1"/>
        <v>جيد</v>
      </c>
      <c r="I32" s="36"/>
      <c r="J32" s="37"/>
    </row>
    <row r="33" spans="1:10" ht="30" customHeight="1" thickBot="1" x14ac:dyDescent="0.35">
      <c r="A33" s="9"/>
      <c r="B33" s="32" t="s">
        <v>123</v>
      </c>
      <c r="C33" s="33"/>
      <c r="D33" s="33"/>
      <c r="E33" s="27">
        <v>5</v>
      </c>
      <c r="F33" s="19">
        <v>3.5</v>
      </c>
      <c r="G33" s="28">
        <f t="shared" si="0"/>
        <v>0.7</v>
      </c>
      <c r="H33" s="29" t="str">
        <f t="shared" si="1"/>
        <v>جيد</v>
      </c>
      <c r="I33" s="68"/>
      <c r="J33" s="69"/>
    </row>
    <row r="34" spans="1:10" ht="30" customHeight="1" thickBot="1" x14ac:dyDescent="0.35">
      <c r="A34" s="4"/>
      <c r="B34" s="70" t="s">
        <v>5</v>
      </c>
      <c r="C34" s="71"/>
      <c r="D34" s="71"/>
      <c r="E34" s="8">
        <f>SUM(E8:E33)</f>
        <v>130</v>
      </c>
      <c r="F34" s="8">
        <f>SUM(F8:F33)</f>
        <v>96.25</v>
      </c>
      <c r="G34" s="40"/>
      <c r="H34" s="41"/>
      <c r="I34" s="41"/>
      <c r="J34" s="42"/>
    </row>
    <row r="35" spans="1:10" ht="30" customHeight="1" thickBot="1" x14ac:dyDescent="0.35">
      <c r="A35" s="4"/>
      <c r="B35" s="70" t="s">
        <v>54</v>
      </c>
      <c r="C35" s="71"/>
      <c r="D35" s="71"/>
      <c r="E35" s="43">
        <f>F34/E34/100*100</f>
        <v>0.74038461538461542</v>
      </c>
      <c r="F35" s="43"/>
      <c r="G35" s="43"/>
      <c r="H35" s="43"/>
      <c r="I35" s="43"/>
      <c r="J35" s="44"/>
    </row>
    <row r="36" spans="1:10" ht="30" customHeight="1" thickBot="1" x14ac:dyDescent="0.35">
      <c r="A36" s="4"/>
      <c r="B36" s="70" t="s">
        <v>55</v>
      </c>
      <c r="C36" s="71"/>
      <c r="D36" s="71"/>
      <c r="E36" s="66" t="str">
        <f>_xlfn.IFS(E35&gt;=90%,"ممتاز",E35&gt;=80%,"جيد جداً",E35&gt;=70%,"جيد",E35&gt;=60%,"مقبول",E35&lt;60%,"راسب")</f>
        <v>جيد</v>
      </c>
      <c r="F36" s="66"/>
      <c r="G36" s="66"/>
      <c r="H36" s="66"/>
      <c r="I36" s="66"/>
      <c r="J36" s="67"/>
    </row>
    <row r="37" spans="1:10" ht="42" customHeight="1" x14ac:dyDescent="0.3">
      <c r="B37" s="62" t="s">
        <v>61</v>
      </c>
      <c r="C37" s="62"/>
      <c r="D37" s="62"/>
      <c r="E37" s="38" t="s">
        <v>52</v>
      </c>
      <c r="F37" s="38"/>
      <c r="G37" s="64" t="s">
        <v>58</v>
      </c>
      <c r="H37" s="64"/>
      <c r="I37" s="64"/>
      <c r="J37" s="64"/>
    </row>
    <row r="38" spans="1:10" ht="51" customHeight="1" x14ac:dyDescent="0.3">
      <c r="A38" s="5"/>
      <c r="B38" s="63"/>
      <c r="C38" s="63"/>
      <c r="D38" s="63"/>
      <c r="E38" s="39" t="s">
        <v>53</v>
      </c>
      <c r="F38" s="39"/>
      <c r="G38" s="65"/>
      <c r="H38" s="65"/>
      <c r="I38" s="65"/>
      <c r="J38" s="6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5">
    <mergeCell ref="B37:D38"/>
    <mergeCell ref="G37:J37"/>
    <mergeCell ref="G38:J38"/>
    <mergeCell ref="E36:J36"/>
    <mergeCell ref="I32:J32"/>
    <mergeCell ref="I33:J33"/>
    <mergeCell ref="B34:D34"/>
    <mergeCell ref="B35:D35"/>
    <mergeCell ref="B36:D36"/>
    <mergeCell ref="B7:D7"/>
    <mergeCell ref="I30:J30"/>
    <mergeCell ref="I31:J31"/>
    <mergeCell ref="E5:H5"/>
    <mergeCell ref="I5:J6"/>
    <mergeCell ref="I7:J7"/>
    <mergeCell ref="I10:J10"/>
    <mergeCell ref="I8:J8"/>
    <mergeCell ref="I11:J11"/>
    <mergeCell ref="I12:J12"/>
    <mergeCell ref="I13:J13"/>
    <mergeCell ref="I14:J14"/>
    <mergeCell ref="I15:J15"/>
    <mergeCell ref="I16:J16"/>
    <mergeCell ref="I17:J17"/>
    <mergeCell ref="I18:J18"/>
    <mergeCell ref="B1:J1"/>
    <mergeCell ref="F2:J2"/>
    <mergeCell ref="B5:D6"/>
    <mergeCell ref="C2:D2"/>
    <mergeCell ref="C3:D3"/>
    <mergeCell ref="F3:J3"/>
    <mergeCell ref="C4:D4"/>
    <mergeCell ref="F4:J4"/>
    <mergeCell ref="I9:J9"/>
    <mergeCell ref="E37:F37"/>
    <mergeCell ref="E38:F38"/>
    <mergeCell ref="G34:J34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5:J35"/>
    <mergeCell ref="I28:J28"/>
    <mergeCell ref="I29:J29"/>
    <mergeCell ref="B21:D21"/>
    <mergeCell ref="B22:D22"/>
    <mergeCell ref="B23:D23"/>
    <mergeCell ref="B24:D24"/>
    <mergeCell ref="B25:D25"/>
    <mergeCell ref="B31:D31"/>
    <mergeCell ref="B32:D32"/>
    <mergeCell ref="B33:D33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6:D26"/>
    <mergeCell ref="B27:D27"/>
    <mergeCell ref="B28:D28"/>
    <mergeCell ref="B29:D29"/>
    <mergeCell ref="B30:D30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58">
      <formula>$E36="مقبول"</formula>
    </cfRule>
    <cfRule type="expression" dxfId="12" priority="59">
      <formula>$E36="جيد"</formula>
    </cfRule>
    <cfRule type="expression" dxfId="11" priority="60">
      <formula>$E36="جيد جداً"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F63B6DE-AA59-4C03-B91E-0E4266CD5498}">
          <x14:formula1>
            <xm:f>'بيانات التقييم'!$A$110:$A$132</xm:f>
          </x14:formula1>
          <xm:sqref>F8:F33</xm:sqref>
        </x14:dataValidation>
        <x14:dataValidation type="list" allowBlank="1" showInputMessage="1" showErrorMessage="1" xr:uid="{44A70599-D520-475C-AC59-F3BB48DF1527}">
          <x14:formula1>
            <xm:f>'بيانات التقييم'!$A$1:$A$70</xm:f>
          </x14:formula1>
          <xm:sqref>C2:D2</xm:sqref>
        </x14:dataValidation>
        <x14:dataValidation type="list" allowBlank="1" showInputMessage="1" showErrorMessage="1" xr:uid="{752BAE0F-E3DD-4976-92E4-009EDD5C72FE}">
          <x14:formula1>
            <xm:f>'بيانات التقييم'!$A$74:$A$105</xm:f>
          </x14:formula1>
          <xm:sqref>F2:J2</xm:sqref>
        </x14:dataValidation>
        <x14:dataValidation type="list" allowBlank="1" showInputMessage="1" showErrorMessage="1" xr:uid="{B1A9A504-F7F9-4975-BDDF-3CE5BBED544A}">
          <x14:formula1>
            <xm:f>'بيانات التقييم'!$A$197:$A$197</xm:f>
          </x14:formula1>
          <xm:sqref>G37:J37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H197"/>
  <sheetViews>
    <sheetView rightToLeft="1" topLeftCell="A97" workbookViewId="0">
      <selection activeCell="A110" sqref="A110:XFD110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8" width="9" style="1"/>
  </cols>
  <sheetData>
    <row r="1" spans="1:1" ht="20.100000000000001" customHeight="1" thickBot="1" x14ac:dyDescent="0.35">
      <c r="A1" s="2" t="s">
        <v>57</v>
      </c>
    </row>
    <row r="2" spans="1:1" ht="20.100000000000001" customHeight="1" thickBot="1" x14ac:dyDescent="0.35">
      <c r="A2" s="2" t="s">
        <v>35</v>
      </c>
    </row>
    <row r="3" spans="1:1" ht="20.100000000000001" customHeight="1" thickBot="1" x14ac:dyDescent="0.35">
      <c r="A3" s="2" t="s">
        <v>26</v>
      </c>
    </row>
    <row r="4" spans="1:1" ht="20.100000000000001" customHeight="1" thickBot="1" x14ac:dyDescent="0.35">
      <c r="A4" s="2" t="s">
        <v>36</v>
      </c>
    </row>
    <row r="5" spans="1:1" ht="20.100000000000001" customHeight="1" thickBot="1" x14ac:dyDescent="0.35">
      <c r="A5" s="2" t="s">
        <v>37</v>
      </c>
    </row>
    <row r="6" spans="1:1" ht="20.100000000000001" customHeight="1" thickBot="1" x14ac:dyDescent="0.35">
      <c r="A6" s="2" t="s">
        <v>62</v>
      </c>
    </row>
    <row r="7" spans="1:1" ht="20.100000000000001" customHeight="1" thickBot="1" x14ac:dyDescent="0.35">
      <c r="A7" s="2" t="s">
        <v>63</v>
      </c>
    </row>
    <row r="8" spans="1:1" ht="20.100000000000001" customHeight="1" thickBot="1" x14ac:dyDescent="0.35">
      <c r="A8" s="2" t="s">
        <v>64</v>
      </c>
    </row>
    <row r="9" spans="1:1" ht="20.100000000000001" customHeight="1" thickBot="1" x14ac:dyDescent="0.35">
      <c r="A9" s="2" t="s">
        <v>83</v>
      </c>
    </row>
    <row r="10" spans="1:1" ht="20.100000000000001" customHeight="1" thickBot="1" x14ac:dyDescent="0.35">
      <c r="A10" s="2" t="s">
        <v>38</v>
      </c>
    </row>
    <row r="11" spans="1:1" ht="20.100000000000001" customHeight="1" thickBot="1" x14ac:dyDescent="0.35">
      <c r="A11" s="2" t="s">
        <v>65</v>
      </c>
    </row>
    <row r="12" spans="1:1" ht="20.100000000000001" customHeight="1" thickBot="1" x14ac:dyDescent="0.35">
      <c r="A12" s="2" t="s">
        <v>66</v>
      </c>
    </row>
    <row r="13" spans="1:1" ht="20.100000000000001" customHeight="1" thickBot="1" x14ac:dyDescent="0.35">
      <c r="A13" s="2" t="s">
        <v>67</v>
      </c>
    </row>
    <row r="14" spans="1:1" ht="20.100000000000001" customHeight="1" thickBot="1" x14ac:dyDescent="0.35">
      <c r="A14" s="2" t="s">
        <v>84</v>
      </c>
    </row>
    <row r="15" spans="1:1" ht="20.100000000000001" customHeight="1" thickBot="1" x14ac:dyDescent="0.35">
      <c r="A15" s="2" t="s">
        <v>39</v>
      </c>
    </row>
    <row r="16" spans="1:1" ht="20.100000000000001" customHeight="1" thickBot="1" x14ac:dyDescent="0.35">
      <c r="A16" s="2" t="s">
        <v>68</v>
      </c>
    </row>
    <row r="17" spans="1:1" ht="20.100000000000001" customHeight="1" thickBot="1" x14ac:dyDescent="0.35">
      <c r="A17" s="2" t="s">
        <v>69</v>
      </c>
    </row>
    <row r="18" spans="1:1" ht="20.100000000000001" customHeight="1" thickBot="1" x14ac:dyDescent="0.35">
      <c r="A18" s="2" t="s">
        <v>70</v>
      </c>
    </row>
    <row r="19" spans="1:1" ht="20.100000000000001" customHeight="1" thickBot="1" x14ac:dyDescent="0.35">
      <c r="A19" s="2" t="s">
        <v>85</v>
      </c>
    </row>
    <row r="20" spans="1:1" ht="20.100000000000001" customHeight="1" thickBot="1" x14ac:dyDescent="0.35">
      <c r="A20" s="2" t="s">
        <v>40</v>
      </c>
    </row>
    <row r="21" spans="1:1" ht="20.100000000000001" customHeight="1" thickBot="1" x14ac:dyDescent="0.35">
      <c r="A21" s="2" t="s">
        <v>41</v>
      </c>
    </row>
    <row r="22" spans="1:1" ht="20.100000000000001" customHeight="1" thickBot="1" x14ac:dyDescent="0.35">
      <c r="A22" s="2" t="s">
        <v>71</v>
      </c>
    </row>
    <row r="23" spans="1:1" ht="20.100000000000001" customHeight="1" thickBot="1" x14ac:dyDescent="0.35">
      <c r="A23" s="2" t="s">
        <v>72</v>
      </c>
    </row>
    <row r="24" spans="1:1" ht="20.100000000000001" customHeight="1" thickBot="1" x14ac:dyDescent="0.35">
      <c r="A24" s="2" t="s">
        <v>73</v>
      </c>
    </row>
    <row r="25" spans="1:1" ht="20.100000000000001" customHeight="1" thickBot="1" x14ac:dyDescent="0.35">
      <c r="A25" s="2" t="s">
        <v>86</v>
      </c>
    </row>
    <row r="26" spans="1:1" ht="20.100000000000001" customHeight="1" thickBot="1" x14ac:dyDescent="0.35">
      <c r="A26" s="2" t="s">
        <v>42</v>
      </c>
    </row>
    <row r="27" spans="1:1" ht="20.100000000000001" customHeight="1" thickBot="1" x14ac:dyDescent="0.35">
      <c r="A27" s="2" t="s">
        <v>74</v>
      </c>
    </row>
    <row r="28" spans="1:1" ht="20.100000000000001" customHeight="1" thickBot="1" x14ac:dyDescent="0.35">
      <c r="A28" s="2" t="s">
        <v>75</v>
      </c>
    </row>
    <row r="29" spans="1:1" ht="20.100000000000001" customHeight="1" thickBot="1" x14ac:dyDescent="0.35">
      <c r="A29" s="2" t="s">
        <v>76</v>
      </c>
    </row>
    <row r="30" spans="1:1" ht="20.100000000000001" customHeight="1" thickBot="1" x14ac:dyDescent="0.35">
      <c r="A30" s="2" t="s">
        <v>87</v>
      </c>
    </row>
    <row r="31" spans="1:1" ht="20.100000000000001" customHeight="1" thickBot="1" x14ac:dyDescent="0.35">
      <c r="A31" s="2" t="s">
        <v>43</v>
      </c>
    </row>
    <row r="32" spans="1:1" ht="20.100000000000001" customHeight="1" thickBot="1" x14ac:dyDescent="0.35">
      <c r="A32" s="2" t="s">
        <v>77</v>
      </c>
    </row>
    <row r="33" spans="1:1" ht="20.100000000000001" customHeight="1" thickBot="1" x14ac:dyDescent="0.35">
      <c r="A33" s="2" t="s">
        <v>78</v>
      </c>
    </row>
    <row r="34" spans="1:1" ht="20.100000000000001" customHeight="1" thickBot="1" x14ac:dyDescent="0.35">
      <c r="A34" s="2" t="s">
        <v>79</v>
      </c>
    </row>
    <row r="35" spans="1:1" ht="20.100000000000001" customHeight="1" thickBot="1" x14ac:dyDescent="0.35">
      <c r="A35" s="2" t="s">
        <v>88</v>
      </c>
    </row>
    <row r="36" spans="1:1" ht="20.100000000000001" customHeight="1" thickBot="1" x14ac:dyDescent="0.35">
      <c r="A36" s="2" t="s">
        <v>44</v>
      </c>
    </row>
    <row r="37" spans="1:1" ht="20.100000000000001" customHeight="1" thickBot="1" x14ac:dyDescent="0.35">
      <c r="A37" s="2" t="s">
        <v>45</v>
      </c>
    </row>
    <row r="38" spans="1:1" ht="20.100000000000001" customHeight="1" thickBot="1" x14ac:dyDescent="0.35">
      <c r="A38" s="2" t="s">
        <v>80</v>
      </c>
    </row>
    <row r="39" spans="1:1" ht="20.100000000000001" customHeight="1" thickBot="1" x14ac:dyDescent="0.35">
      <c r="A39" s="2" t="s">
        <v>81</v>
      </c>
    </row>
    <row r="40" spans="1:1" ht="20.100000000000001" customHeight="1" thickBot="1" x14ac:dyDescent="0.35">
      <c r="A40" s="2" t="s">
        <v>82</v>
      </c>
    </row>
    <row r="41" spans="1:1" ht="20.100000000000001" customHeight="1" thickBot="1" x14ac:dyDescent="0.35">
      <c r="A41" s="2" t="s">
        <v>89</v>
      </c>
    </row>
    <row r="42" spans="1:1" ht="20.100000000000001" customHeight="1" thickBot="1" x14ac:dyDescent="0.35">
      <c r="A42" s="2" t="s">
        <v>46</v>
      </c>
    </row>
    <row r="43" spans="1:1" ht="20.100000000000001" customHeight="1" thickBot="1" x14ac:dyDescent="0.35">
      <c r="A43" s="2" t="s">
        <v>90</v>
      </c>
    </row>
    <row r="44" spans="1:1" ht="20.100000000000001" customHeight="1" thickBot="1" x14ac:dyDescent="0.35">
      <c r="A44" s="2" t="s">
        <v>91</v>
      </c>
    </row>
    <row r="45" spans="1:1" ht="20.100000000000001" customHeight="1" thickBot="1" x14ac:dyDescent="0.35">
      <c r="A45" s="2" t="s">
        <v>92</v>
      </c>
    </row>
    <row r="46" spans="1:1" ht="20.100000000000001" customHeight="1" thickBot="1" x14ac:dyDescent="0.35">
      <c r="A46" s="2" t="s">
        <v>93</v>
      </c>
    </row>
    <row r="47" spans="1:1" ht="20.100000000000001" customHeight="1" thickBot="1" x14ac:dyDescent="0.35">
      <c r="A47" s="2" t="s">
        <v>47</v>
      </c>
    </row>
    <row r="48" spans="1:1" ht="20.100000000000001" customHeight="1" thickBot="1" x14ac:dyDescent="0.35">
      <c r="A48" s="2" t="s">
        <v>94</v>
      </c>
    </row>
    <row r="49" spans="1:1" ht="20.100000000000001" customHeight="1" thickBot="1" x14ac:dyDescent="0.35">
      <c r="A49" s="2" t="s">
        <v>95</v>
      </c>
    </row>
    <row r="50" spans="1:1" ht="20.100000000000001" customHeight="1" thickBot="1" x14ac:dyDescent="0.35">
      <c r="A50" s="2" t="s">
        <v>96</v>
      </c>
    </row>
    <row r="51" spans="1:1" ht="20.100000000000001" customHeight="1" thickBot="1" x14ac:dyDescent="0.35">
      <c r="A51" s="2" t="s">
        <v>97</v>
      </c>
    </row>
    <row r="52" spans="1:1" ht="20.100000000000001" customHeight="1" thickBot="1" x14ac:dyDescent="0.35">
      <c r="A52" s="2" t="s">
        <v>10</v>
      </c>
    </row>
    <row r="53" spans="1:1" ht="20.100000000000001" customHeight="1" thickBot="1" x14ac:dyDescent="0.35">
      <c r="A53" s="2" t="s">
        <v>27</v>
      </c>
    </row>
    <row r="54" spans="1:1" ht="20.100000000000001" customHeight="1" thickBot="1" x14ac:dyDescent="0.35">
      <c r="A54" s="2" t="s">
        <v>48</v>
      </c>
    </row>
    <row r="55" spans="1:1" ht="20.100000000000001" customHeight="1" thickBot="1" x14ac:dyDescent="0.35">
      <c r="A55" s="2" t="s">
        <v>49</v>
      </c>
    </row>
    <row r="56" spans="1:1" ht="20.100000000000001" customHeight="1" thickBot="1" x14ac:dyDescent="0.35">
      <c r="A56" s="2" t="s">
        <v>50</v>
      </c>
    </row>
    <row r="57" spans="1:1" ht="20.100000000000001" customHeight="1" thickBot="1" x14ac:dyDescent="0.35">
      <c r="A57" s="2" t="s">
        <v>51</v>
      </c>
    </row>
    <row r="58" spans="1:1" ht="20.100000000000001" customHeight="1" thickBot="1" x14ac:dyDescent="0.35">
      <c r="A58" s="2" t="s">
        <v>11</v>
      </c>
    </row>
    <row r="59" spans="1:1" ht="20.100000000000001" customHeight="1" thickBot="1" x14ac:dyDescent="0.35">
      <c r="A59" s="2" t="s">
        <v>12</v>
      </c>
    </row>
    <row r="60" spans="1:1" ht="20.100000000000001" customHeight="1" thickBot="1" x14ac:dyDescent="0.35">
      <c r="A60" s="2" t="s">
        <v>15</v>
      </c>
    </row>
    <row r="61" spans="1:1" ht="20.100000000000001" customHeight="1" thickBot="1" x14ac:dyDescent="0.35">
      <c r="A61" s="2" t="s">
        <v>28</v>
      </c>
    </row>
    <row r="62" spans="1:1" ht="20.100000000000001" customHeight="1" thickBot="1" x14ac:dyDescent="0.35">
      <c r="A62" s="2" t="s">
        <v>29</v>
      </c>
    </row>
    <row r="63" spans="1:1" ht="20.100000000000001" customHeight="1" thickBot="1" x14ac:dyDescent="0.35">
      <c r="A63" s="2" t="s">
        <v>13</v>
      </c>
    </row>
    <row r="64" spans="1:1" ht="20.100000000000001" customHeight="1" thickBot="1" x14ac:dyDescent="0.35">
      <c r="A64" s="2" t="s">
        <v>30</v>
      </c>
    </row>
    <row r="65" spans="1:8" ht="20.100000000000001" customHeight="1" thickBot="1" x14ac:dyDescent="0.35">
      <c r="A65" s="2" t="s">
        <v>31</v>
      </c>
    </row>
    <row r="66" spans="1:8" ht="20.100000000000001" customHeight="1" thickBot="1" x14ac:dyDescent="0.35">
      <c r="A66" s="2" t="s">
        <v>32</v>
      </c>
    </row>
    <row r="67" spans="1:8" ht="20.100000000000001" customHeight="1" thickBot="1" x14ac:dyDescent="0.35">
      <c r="A67" s="2" t="s">
        <v>33</v>
      </c>
    </row>
    <row r="68" spans="1:8" ht="20.100000000000001" customHeight="1" thickBot="1" x14ac:dyDescent="0.35">
      <c r="A68" s="2" t="s">
        <v>16</v>
      </c>
    </row>
    <row r="69" spans="1:8" ht="20.100000000000001" customHeight="1" thickBot="1" x14ac:dyDescent="0.35">
      <c r="A69" s="2" t="s">
        <v>14</v>
      </c>
    </row>
    <row r="70" spans="1:8" ht="20.100000000000001" customHeight="1" thickBot="1" x14ac:dyDescent="0.35">
      <c r="A70" s="2" t="s">
        <v>34</v>
      </c>
    </row>
    <row r="71" spans="1:8" ht="20.100000000000001" customHeight="1" x14ac:dyDescent="0.3">
      <c r="A71" s="17"/>
    </row>
    <row r="72" spans="1:8" s="16" customFormat="1" ht="20.100000000000001" customHeight="1" x14ac:dyDescent="0.3">
      <c r="A72" s="14"/>
      <c r="B72" s="15"/>
      <c r="C72" s="15"/>
      <c r="D72" s="15"/>
      <c r="E72" s="15"/>
      <c r="F72" s="15"/>
      <c r="G72" s="15"/>
      <c r="H72" s="15"/>
    </row>
    <row r="73" spans="1:8" ht="20.100000000000001" customHeight="1" thickBot="1" x14ac:dyDescent="0.35"/>
    <row r="74" spans="1:8" ht="20.100000000000001" customHeight="1" thickBot="1" x14ac:dyDescent="0.35">
      <c r="A74" s="2" t="s">
        <v>56</v>
      </c>
    </row>
    <row r="75" spans="1:8" ht="20.100000000000001" customHeight="1" thickBot="1" x14ac:dyDescent="0.35">
      <c r="A75" s="12">
        <v>45931</v>
      </c>
    </row>
    <row r="76" spans="1:8" ht="20.100000000000001" customHeight="1" thickBot="1" x14ac:dyDescent="0.35">
      <c r="A76" s="12">
        <v>45932</v>
      </c>
    </row>
    <row r="77" spans="1:8" ht="20.100000000000001" customHeight="1" thickBot="1" x14ac:dyDescent="0.35">
      <c r="A77" s="12">
        <v>45933</v>
      </c>
    </row>
    <row r="78" spans="1:8" ht="20.100000000000001" customHeight="1" thickBot="1" x14ac:dyDescent="0.35">
      <c r="A78" s="12">
        <v>45934</v>
      </c>
    </row>
    <row r="79" spans="1:8" ht="20.100000000000001" customHeight="1" thickBot="1" x14ac:dyDescent="0.35">
      <c r="A79" s="12">
        <v>45935</v>
      </c>
    </row>
    <row r="80" spans="1:8" ht="20.100000000000001" customHeight="1" thickBot="1" x14ac:dyDescent="0.35">
      <c r="A80" s="12">
        <v>45936</v>
      </c>
    </row>
    <row r="81" spans="1:1" ht="20.100000000000001" customHeight="1" thickBot="1" x14ac:dyDescent="0.35">
      <c r="A81" s="12">
        <v>45937</v>
      </c>
    </row>
    <row r="82" spans="1:1" ht="20.100000000000001" customHeight="1" thickBot="1" x14ac:dyDescent="0.35">
      <c r="A82" s="12">
        <v>45938</v>
      </c>
    </row>
    <row r="83" spans="1:1" ht="20.100000000000001" customHeight="1" thickBot="1" x14ac:dyDescent="0.35">
      <c r="A83" s="12">
        <v>45939</v>
      </c>
    </row>
    <row r="84" spans="1:1" ht="20.100000000000001" customHeight="1" thickBot="1" x14ac:dyDescent="0.35">
      <c r="A84" s="12">
        <v>45940</v>
      </c>
    </row>
    <row r="85" spans="1:1" ht="20.100000000000001" customHeight="1" thickBot="1" x14ac:dyDescent="0.35">
      <c r="A85" s="12">
        <v>45941</v>
      </c>
    </row>
    <row r="86" spans="1:1" ht="20.100000000000001" customHeight="1" thickBot="1" x14ac:dyDescent="0.35">
      <c r="A86" s="12">
        <v>45942</v>
      </c>
    </row>
    <row r="87" spans="1:1" ht="20.100000000000001" customHeight="1" thickBot="1" x14ac:dyDescent="0.35">
      <c r="A87" s="12">
        <v>45943</v>
      </c>
    </row>
    <row r="88" spans="1:1" ht="20.100000000000001" customHeight="1" thickBot="1" x14ac:dyDescent="0.35">
      <c r="A88" s="12">
        <v>45944</v>
      </c>
    </row>
    <row r="89" spans="1:1" ht="20.100000000000001" customHeight="1" thickBot="1" x14ac:dyDescent="0.35">
      <c r="A89" s="12">
        <v>45945</v>
      </c>
    </row>
    <row r="90" spans="1:1" ht="20.100000000000001" customHeight="1" thickBot="1" x14ac:dyDescent="0.35">
      <c r="A90" s="12">
        <v>45946</v>
      </c>
    </row>
    <row r="91" spans="1:1" ht="20.100000000000001" customHeight="1" thickBot="1" x14ac:dyDescent="0.35">
      <c r="A91" s="12">
        <v>45947</v>
      </c>
    </row>
    <row r="92" spans="1:1" ht="20.100000000000001" customHeight="1" thickBot="1" x14ac:dyDescent="0.35">
      <c r="A92" s="12">
        <v>45948</v>
      </c>
    </row>
    <row r="93" spans="1:1" ht="20.100000000000001" customHeight="1" thickBot="1" x14ac:dyDescent="0.35">
      <c r="A93" s="12">
        <v>45949</v>
      </c>
    </row>
    <row r="94" spans="1:1" ht="20.100000000000001" customHeight="1" thickBot="1" x14ac:dyDescent="0.35">
      <c r="A94" s="12">
        <v>45950</v>
      </c>
    </row>
    <row r="95" spans="1:1" ht="20.100000000000001" customHeight="1" thickBot="1" x14ac:dyDescent="0.35">
      <c r="A95" s="12">
        <v>45951</v>
      </c>
    </row>
    <row r="96" spans="1:1" ht="20.100000000000001" customHeight="1" thickBot="1" x14ac:dyDescent="0.35">
      <c r="A96" s="12">
        <v>45952</v>
      </c>
    </row>
    <row r="97" spans="1:8" ht="20.100000000000001" customHeight="1" thickBot="1" x14ac:dyDescent="0.35">
      <c r="A97" s="12">
        <v>45953</v>
      </c>
    </row>
    <row r="98" spans="1:8" ht="20.100000000000001" customHeight="1" thickBot="1" x14ac:dyDescent="0.35">
      <c r="A98" s="12">
        <v>45954</v>
      </c>
    </row>
    <row r="99" spans="1:8" ht="20.100000000000001" customHeight="1" thickBot="1" x14ac:dyDescent="0.35">
      <c r="A99" s="12">
        <v>45955</v>
      </c>
    </row>
    <row r="100" spans="1:8" ht="20.100000000000001" customHeight="1" thickBot="1" x14ac:dyDescent="0.35">
      <c r="A100" s="12">
        <v>45956</v>
      </c>
    </row>
    <row r="101" spans="1:8" ht="20.100000000000001" customHeight="1" thickBot="1" x14ac:dyDescent="0.35">
      <c r="A101" s="12">
        <v>45957</v>
      </c>
    </row>
    <row r="102" spans="1:8" ht="20.100000000000001" customHeight="1" thickBot="1" x14ac:dyDescent="0.35">
      <c r="A102" s="12">
        <v>45958</v>
      </c>
    </row>
    <row r="103" spans="1:8" ht="20.100000000000001" customHeight="1" thickBot="1" x14ac:dyDescent="0.35">
      <c r="A103" s="12">
        <v>45959</v>
      </c>
    </row>
    <row r="104" spans="1:8" ht="20.100000000000001" customHeight="1" thickBot="1" x14ac:dyDescent="0.35">
      <c r="A104" s="12">
        <v>45960</v>
      </c>
    </row>
    <row r="105" spans="1:8" ht="20.100000000000001" customHeight="1" thickBot="1" x14ac:dyDescent="0.35">
      <c r="A105" s="12">
        <v>45961</v>
      </c>
    </row>
    <row r="106" spans="1:8" ht="20.100000000000001" customHeight="1" x14ac:dyDescent="0.3">
      <c r="A106" s="13"/>
    </row>
    <row r="107" spans="1:8" ht="20.100000000000001" customHeight="1" x14ac:dyDescent="0.3">
      <c r="A107" s="13"/>
    </row>
    <row r="108" spans="1:8" s="16" customFormat="1" ht="20.100000000000001" customHeight="1" x14ac:dyDescent="0.3">
      <c r="A108" s="14"/>
      <c r="B108" s="15"/>
      <c r="C108" s="15"/>
      <c r="D108" s="15"/>
      <c r="E108" s="15"/>
      <c r="F108" s="15"/>
      <c r="G108" s="15"/>
      <c r="H108" s="15"/>
    </row>
    <row r="109" spans="1:8" ht="20.100000000000001" customHeight="1" thickBot="1" x14ac:dyDescent="0.35"/>
    <row r="110" spans="1:8" ht="20.100000000000001" customHeight="1" thickBot="1" x14ac:dyDescent="0.35">
      <c r="A110" s="2" t="s">
        <v>60</v>
      </c>
    </row>
    <row r="111" spans="1:8" ht="20.100000000000001" customHeight="1" thickBot="1" x14ac:dyDescent="0.35">
      <c r="A111" s="2" t="s">
        <v>17</v>
      </c>
    </row>
    <row r="112" spans="1:8" ht="20.100000000000001" customHeight="1" thickBot="1" x14ac:dyDescent="0.35">
      <c r="A112" s="2">
        <v>0</v>
      </c>
    </row>
    <row r="113" spans="1:1" ht="20.100000000000001" customHeight="1" thickBot="1" x14ac:dyDescent="0.35">
      <c r="A113" s="2">
        <v>0.25</v>
      </c>
    </row>
    <row r="114" spans="1:1" ht="20.100000000000001" customHeight="1" thickBot="1" x14ac:dyDescent="0.35">
      <c r="A114" s="2">
        <v>0.5</v>
      </c>
    </row>
    <row r="115" spans="1:1" ht="20.100000000000001" customHeight="1" thickBot="1" x14ac:dyDescent="0.35">
      <c r="A115" s="2">
        <v>0.75</v>
      </c>
    </row>
    <row r="116" spans="1:1" ht="20.100000000000001" customHeight="1" thickBot="1" x14ac:dyDescent="0.35">
      <c r="A116" s="2">
        <v>1</v>
      </c>
    </row>
    <row r="117" spans="1:1" ht="20.100000000000001" customHeight="1" thickBot="1" x14ac:dyDescent="0.35">
      <c r="A117" s="2">
        <v>1.25</v>
      </c>
    </row>
    <row r="118" spans="1:1" ht="20.100000000000001" customHeight="1" thickBot="1" x14ac:dyDescent="0.35">
      <c r="A118" s="2">
        <v>1.5</v>
      </c>
    </row>
    <row r="119" spans="1:1" ht="20.100000000000001" customHeight="1" thickBot="1" x14ac:dyDescent="0.35">
      <c r="A119" s="2">
        <v>1.75</v>
      </c>
    </row>
    <row r="120" spans="1:1" ht="20.100000000000001" customHeight="1" thickBot="1" x14ac:dyDescent="0.35">
      <c r="A120" s="2">
        <v>2</v>
      </c>
    </row>
    <row r="121" spans="1:1" ht="20.100000000000001" customHeight="1" thickBot="1" x14ac:dyDescent="0.35">
      <c r="A121" s="2">
        <v>2.25</v>
      </c>
    </row>
    <row r="122" spans="1:1" ht="20.100000000000001" customHeight="1" thickBot="1" x14ac:dyDescent="0.35">
      <c r="A122" s="2">
        <v>2.5</v>
      </c>
    </row>
    <row r="123" spans="1:1" ht="20.100000000000001" customHeight="1" thickBot="1" x14ac:dyDescent="0.35">
      <c r="A123" s="2">
        <v>2.75</v>
      </c>
    </row>
    <row r="124" spans="1:1" ht="20.100000000000001" customHeight="1" thickBot="1" x14ac:dyDescent="0.35">
      <c r="A124" s="2">
        <v>3</v>
      </c>
    </row>
    <row r="125" spans="1:1" ht="20.100000000000001" customHeight="1" thickBot="1" x14ac:dyDescent="0.35">
      <c r="A125" s="2">
        <v>3.25</v>
      </c>
    </row>
    <row r="126" spans="1:1" ht="20.100000000000001" customHeight="1" thickBot="1" x14ac:dyDescent="0.35">
      <c r="A126" s="2">
        <v>3.5</v>
      </c>
    </row>
    <row r="127" spans="1:1" ht="20.100000000000001" customHeight="1" thickBot="1" x14ac:dyDescent="0.35">
      <c r="A127" s="2">
        <v>3.75</v>
      </c>
    </row>
    <row r="128" spans="1:1" ht="20.100000000000001" customHeight="1" thickBot="1" x14ac:dyDescent="0.35">
      <c r="A128" s="2">
        <v>4</v>
      </c>
    </row>
    <row r="129" spans="1:1" ht="20.100000000000001" customHeight="1" thickBot="1" x14ac:dyDescent="0.35">
      <c r="A129" s="2">
        <v>4.25</v>
      </c>
    </row>
    <row r="130" spans="1:1" ht="20.100000000000001" customHeight="1" thickBot="1" x14ac:dyDescent="0.35">
      <c r="A130" s="2">
        <v>4.5</v>
      </c>
    </row>
    <row r="131" spans="1:1" ht="20.100000000000001" customHeight="1" thickBot="1" x14ac:dyDescent="0.35">
      <c r="A131" s="2">
        <v>4.75</v>
      </c>
    </row>
    <row r="132" spans="1:1" ht="20.100000000000001" customHeight="1" thickBot="1" x14ac:dyDescent="0.35">
      <c r="A132" s="2">
        <v>5</v>
      </c>
    </row>
    <row r="133" spans="1:1" ht="20.100000000000001" customHeight="1" thickBot="1" x14ac:dyDescent="0.35">
      <c r="A133" s="2">
        <v>5.25</v>
      </c>
    </row>
    <row r="134" spans="1:1" ht="20.100000000000001" customHeight="1" thickBot="1" x14ac:dyDescent="0.35">
      <c r="A134" s="2">
        <v>5.5</v>
      </c>
    </row>
    <row r="135" spans="1:1" ht="20.100000000000001" customHeight="1" thickBot="1" x14ac:dyDescent="0.35">
      <c r="A135" s="2">
        <v>5.75</v>
      </c>
    </row>
    <row r="136" spans="1:1" ht="20.100000000000001" customHeight="1" thickBot="1" x14ac:dyDescent="0.35">
      <c r="A136" s="2">
        <v>6</v>
      </c>
    </row>
    <row r="137" spans="1:1" ht="20.100000000000001" customHeight="1" thickBot="1" x14ac:dyDescent="0.35">
      <c r="A137" s="2">
        <v>6.25</v>
      </c>
    </row>
    <row r="138" spans="1:1" ht="20.100000000000001" customHeight="1" thickBot="1" x14ac:dyDescent="0.35">
      <c r="A138" s="2">
        <v>6.5</v>
      </c>
    </row>
    <row r="139" spans="1:1" ht="20.100000000000001" customHeight="1" thickBot="1" x14ac:dyDescent="0.35">
      <c r="A139" s="2">
        <v>6.75</v>
      </c>
    </row>
    <row r="140" spans="1:1" ht="20.100000000000001" customHeight="1" thickBot="1" x14ac:dyDescent="0.35">
      <c r="A140" s="2">
        <v>7</v>
      </c>
    </row>
    <row r="141" spans="1:1" ht="20.100000000000001" customHeight="1" thickBot="1" x14ac:dyDescent="0.35">
      <c r="A141" s="2">
        <v>7.25</v>
      </c>
    </row>
    <row r="142" spans="1:1" ht="20.100000000000001" customHeight="1" thickBot="1" x14ac:dyDescent="0.35">
      <c r="A142" s="2">
        <v>7.5</v>
      </c>
    </row>
    <row r="143" spans="1:1" ht="20.100000000000001" customHeight="1" thickBot="1" x14ac:dyDescent="0.35">
      <c r="A143" s="2">
        <v>7.75</v>
      </c>
    </row>
    <row r="144" spans="1:1" ht="20.100000000000001" customHeight="1" thickBot="1" x14ac:dyDescent="0.35">
      <c r="A144" s="2">
        <v>8</v>
      </c>
    </row>
    <row r="145" spans="1:1" ht="20.100000000000001" customHeight="1" thickBot="1" x14ac:dyDescent="0.35">
      <c r="A145" s="2">
        <v>8.25</v>
      </c>
    </row>
    <row r="146" spans="1:1" ht="20.100000000000001" customHeight="1" thickBot="1" x14ac:dyDescent="0.35">
      <c r="A146" s="2">
        <v>8.5</v>
      </c>
    </row>
    <row r="147" spans="1:1" ht="20.100000000000001" customHeight="1" thickBot="1" x14ac:dyDescent="0.35">
      <c r="A147" s="2">
        <v>8.75</v>
      </c>
    </row>
    <row r="148" spans="1:1" ht="20.100000000000001" customHeight="1" thickBot="1" x14ac:dyDescent="0.35">
      <c r="A148" s="2">
        <v>9</v>
      </c>
    </row>
    <row r="149" spans="1:1" ht="20.100000000000001" customHeight="1" thickBot="1" x14ac:dyDescent="0.35">
      <c r="A149" s="2">
        <v>9.25</v>
      </c>
    </row>
    <row r="150" spans="1:1" ht="20.100000000000001" customHeight="1" thickBot="1" x14ac:dyDescent="0.35">
      <c r="A150" s="2">
        <v>9.5</v>
      </c>
    </row>
    <row r="151" spans="1:1" ht="20.100000000000001" customHeight="1" thickBot="1" x14ac:dyDescent="0.35">
      <c r="A151" s="2">
        <v>9.75</v>
      </c>
    </row>
    <row r="152" spans="1:1" ht="20.100000000000001" customHeight="1" thickBot="1" x14ac:dyDescent="0.35">
      <c r="A152" s="2">
        <v>10</v>
      </c>
    </row>
    <row r="153" spans="1:1" ht="20.100000000000001" customHeight="1" thickBot="1" x14ac:dyDescent="0.35">
      <c r="A153" s="2">
        <v>10.25</v>
      </c>
    </row>
    <row r="154" spans="1:1" ht="20.100000000000001" customHeight="1" thickBot="1" x14ac:dyDescent="0.35">
      <c r="A154" s="2">
        <v>10.5</v>
      </c>
    </row>
    <row r="155" spans="1:1" ht="20.100000000000001" customHeight="1" thickBot="1" x14ac:dyDescent="0.35">
      <c r="A155" s="2">
        <v>10.75</v>
      </c>
    </row>
    <row r="156" spans="1:1" ht="20.100000000000001" customHeight="1" thickBot="1" x14ac:dyDescent="0.35">
      <c r="A156" s="2">
        <v>11</v>
      </c>
    </row>
    <row r="157" spans="1:1" ht="20.100000000000001" customHeight="1" thickBot="1" x14ac:dyDescent="0.35">
      <c r="A157" s="2">
        <v>11.25</v>
      </c>
    </row>
    <row r="158" spans="1:1" ht="20.100000000000001" customHeight="1" thickBot="1" x14ac:dyDescent="0.35">
      <c r="A158" s="2">
        <v>11.5</v>
      </c>
    </row>
    <row r="159" spans="1:1" ht="20.100000000000001" customHeight="1" thickBot="1" x14ac:dyDescent="0.35">
      <c r="A159" s="2">
        <v>11.75</v>
      </c>
    </row>
    <row r="160" spans="1:1" ht="20.100000000000001" customHeight="1" thickBot="1" x14ac:dyDescent="0.35">
      <c r="A160" s="2">
        <v>12</v>
      </c>
    </row>
    <row r="161" spans="1:1" ht="20.100000000000001" customHeight="1" thickBot="1" x14ac:dyDescent="0.35">
      <c r="A161" s="2">
        <v>12.25</v>
      </c>
    </row>
    <row r="162" spans="1:1" ht="20.100000000000001" customHeight="1" thickBot="1" x14ac:dyDescent="0.35">
      <c r="A162" s="2">
        <v>12.5</v>
      </c>
    </row>
    <row r="163" spans="1:1" ht="20.100000000000001" customHeight="1" thickBot="1" x14ac:dyDescent="0.35">
      <c r="A163" s="2">
        <v>12.75</v>
      </c>
    </row>
    <row r="164" spans="1:1" ht="20.100000000000001" customHeight="1" thickBot="1" x14ac:dyDescent="0.35">
      <c r="A164" s="2">
        <v>13</v>
      </c>
    </row>
    <row r="165" spans="1:1" ht="20.100000000000001" customHeight="1" thickBot="1" x14ac:dyDescent="0.35">
      <c r="A165" s="2">
        <v>13.25</v>
      </c>
    </row>
    <row r="166" spans="1:1" ht="20.100000000000001" customHeight="1" thickBot="1" x14ac:dyDescent="0.35">
      <c r="A166" s="2">
        <v>13.5</v>
      </c>
    </row>
    <row r="167" spans="1:1" ht="20.100000000000001" customHeight="1" thickBot="1" x14ac:dyDescent="0.35">
      <c r="A167" s="2">
        <v>13.75</v>
      </c>
    </row>
    <row r="168" spans="1:1" ht="20.100000000000001" customHeight="1" thickBot="1" x14ac:dyDescent="0.35">
      <c r="A168" s="2">
        <v>14</v>
      </c>
    </row>
    <row r="169" spans="1:1" ht="20.100000000000001" customHeight="1" thickBot="1" x14ac:dyDescent="0.35">
      <c r="A169" s="2">
        <v>14.25</v>
      </c>
    </row>
    <row r="170" spans="1:1" ht="20.100000000000001" customHeight="1" thickBot="1" x14ac:dyDescent="0.35">
      <c r="A170" s="2">
        <v>14.5</v>
      </c>
    </row>
    <row r="171" spans="1:1" ht="20.100000000000001" customHeight="1" thickBot="1" x14ac:dyDescent="0.35">
      <c r="A171" s="2">
        <v>14.75</v>
      </c>
    </row>
    <row r="172" spans="1:1" ht="20.100000000000001" customHeight="1" thickBot="1" x14ac:dyDescent="0.35">
      <c r="A172" s="2">
        <v>15</v>
      </c>
    </row>
    <row r="173" spans="1:1" ht="20.100000000000001" customHeight="1" thickBot="1" x14ac:dyDescent="0.35">
      <c r="A173" s="2">
        <v>15.25</v>
      </c>
    </row>
    <row r="174" spans="1:1" ht="20.100000000000001" customHeight="1" thickBot="1" x14ac:dyDescent="0.35">
      <c r="A174" s="2">
        <v>15.5</v>
      </c>
    </row>
    <row r="175" spans="1:1" ht="20.100000000000001" customHeight="1" thickBot="1" x14ac:dyDescent="0.35">
      <c r="A175" s="2">
        <v>15.75</v>
      </c>
    </row>
    <row r="176" spans="1:1" ht="20.100000000000001" customHeight="1" thickBot="1" x14ac:dyDescent="0.35">
      <c r="A176" s="2">
        <v>16</v>
      </c>
    </row>
    <row r="177" spans="1:1" ht="20.100000000000001" customHeight="1" thickBot="1" x14ac:dyDescent="0.35">
      <c r="A177" s="2">
        <v>16.25</v>
      </c>
    </row>
    <row r="178" spans="1:1" ht="20.100000000000001" customHeight="1" thickBot="1" x14ac:dyDescent="0.35">
      <c r="A178" s="2">
        <v>16.5</v>
      </c>
    </row>
    <row r="179" spans="1:1" ht="20.100000000000001" customHeight="1" thickBot="1" x14ac:dyDescent="0.35">
      <c r="A179" s="2">
        <v>16.75</v>
      </c>
    </row>
    <row r="180" spans="1:1" ht="20.100000000000001" customHeight="1" thickBot="1" x14ac:dyDescent="0.35">
      <c r="A180" s="2">
        <v>17</v>
      </c>
    </row>
    <row r="181" spans="1:1" ht="20.100000000000001" customHeight="1" thickBot="1" x14ac:dyDescent="0.35">
      <c r="A181" s="2">
        <v>17.25</v>
      </c>
    </row>
    <row r="182" spans="1:1" ht="20.100000000000001" customHeight="1" thickBot="1" x14ac:dyDescent="0.35">
      <c r="A182" s="2">
        <v>17.5</v>
      </c>
    </row>
    <row r="183" spans="1:1" ht="20.100000000000001" customHeight="1" thickBot="1" x14ac:dyDescent="0.35">
      <c r="A183" s="2">
        <v>17.75</v>
      </c>
    </row>
    <row r="184" spans="1:1" ht="20.100000000000001" customHeight="1" thickBot="1" x14ac:dyDescent="0.35">
      <c r="A184" s="2">
        <v>18</v>
      </c>
    </row>
    <row r="185" spans="1:1" ht="20.100000000000001" customHeight="1" thickBot="1" x14ac:dyDescent="0.35">
      <c r="A185" s="2">
        <v>18.25</v>
      </c>
    </row>
    <row r="186" spans="1:1" ht="20.100000000000001" customHeight="1" thickBot="1" x14ac:dyDescent="0.35">
      <c r="A186" s="2">
        <v>18.5</v>
      </c>
    </row>
    <row r="187" spans="1:1" ht="20.100000000000001" customHeight="1" thickBot="1" x14ac:dyDescent="0.35">
      <c r="A187" s="2">
        <v>18.75</v>
      </c>
    </row>
    <row r="188" spans="1:1" ht="20.100000000000001" customHeight="1" thickBot="1" x14ac:dyDescent="0.35">
      <c r="A188" s="2">
        <v>19</v>
      </c>
    </row>
    <row r="189" spans="1:1" ht="20.100000000000001" customHeight="1" thickBot="1" x14ac:dyDescent="0.35">
      <c r="A189" s="2">
        <v>19.25</v>
      </c>
    </row>
    <row r="190" spans="1:1" ht="20.100000000000001" customHeight="1" thickBot="1" x14ac:dyDescent="0.35">
      <c r="A190" s="2">
        <v>19.5</v>
      </c>
    </row>
    <row r="191" spans="1:1" ht="20.100000000000001" customHeight="1" thickBot="1" x14ac:dyDescent="0.35">
      <c r="A191" s="2">
        <v>19.75</v>
      </c>
    </row>
    <row r="192" spans="1:1" ht="20.100000000000001" customHeight="1" thickBot="1" x14ac:dyDescent="0.35">
      <c r="A192" s="2">
        <v>20</v>
      </c>
    </row>
    <row r="196" spans="1:1" ht="20.100000000000001" customHeight="1" thickBot="1" x14ac:dyDescent="0.35"/>
    <row r="197" spans="1:1" ht="20.100000000000001" customHeight="1" thickBot="1" x14ac:dyDescent="0.35">
      <c r="A19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2025-10-13T14:56:23Z</dcterms:modified>
</cp:coreProperties>
</file>