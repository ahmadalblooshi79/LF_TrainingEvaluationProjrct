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D5FD294C-47C2-CF48-8AFB-EFCB84D4236D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<sst xmlns="http://schemas.openxmlformats.org/spreadsheetml/2006/main" count="246" uniqueCount="190">
  <si>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</si>
  <si>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</si>
  <si>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</si>
  <si>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</si>
  <si>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</si>
  <si>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</si>
  <si>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</si>
  <si>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</si>
  <si>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</si>
  <si>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</si>
  <si>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</si>
  <si>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</si>
  <si>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</si>
  <si>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</si>
  <si>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</si>
  <si>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</si>
  <si>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</si>
  <si>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</si>
  <si>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</si>
  <si>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</si>
  <si>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</si>
  <si>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</si>
  <si>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</si>
  <si>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</si>
  <si>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</si>
  <si>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</si>
  <si>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</si>
  <si>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</si>
  <si>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</si>
  <si>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</si>
  <si>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</si>
  <si>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</si>
  <si>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</si>
  <si>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</si>
  <si>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</si>
  <si>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</si>
  <si>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</si>
  <si>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</si>
  <si>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</si>
  <si>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</si>
  <si>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</si>
  <si>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</si>
  <si>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</si>
  <si>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</si>
  <si>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</si>
  <si>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</si>
  <si>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</si>
  <si>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</si>
  <si>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</si>
  <si>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</si>
  <si>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</si>
  <si>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</si>
  <si>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</si>
  <si>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</si>
  <si>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</si>
  <si>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</si>
  <si>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</si>
  <si>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</si>
  <si>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</si>
  <si>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</si>
  <si>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</si>
  <si>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</si>
  <si>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</si>
  <si>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</si>
  <si>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</si>
  <si>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</si>
  <si>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</si>
  <si>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</si>
  <si>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</si>
  <si>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</si>
  <si>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</si>
  <si>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</si>
  <si>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</si>
  <si>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</si>
  <si>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</si>
  <si>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</si>
  <si>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</si>
  <si>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</si>
  <si>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</si>
  <si>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</si>
  <si>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</si>
  <si>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</si>
  <si>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</si>
  <si>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</si>
  <si>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</si>
  <si>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</si>
  <si>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</si>
  <si>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</si>
  <si>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</si>
  <si>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</si>
  <si>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</si>
  <si>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</si>
  <si>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</si>
  <si>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</si>
  <si>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</si>
  <si>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</si>
  <si>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</si>
  <si>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</si>
  <si>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</si>
  <si>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</si>
  <si>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</si>
  <si>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</si>
  <si>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</si>
  <si>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</si>
  <si>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</si>
  <si>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</si>
  <si>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</si>
  <si>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</si>
  <si>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</si>
  <si>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</si>
  <si>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</si>
  <si>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</si>
  <si>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</si>
  <si>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</si>
  <si>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</si>
  <si>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</si>
  <si>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</si>
  <si>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</si>
  <si>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</si>
  <si>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</si>
  <si>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</si>
  <si>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</si>
  <si>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</si>
  <si>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</si>
  <si>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</si>
  <si>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</si>
  <si>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</si>
  <si>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</si>
  <si>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</si>
  <si>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</si>
  <si>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</si>
  <si>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</si>
  <si>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</si>
  <si>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</si>
  <si>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</si>
  <si>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</si>
  <si>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</si>
  <si>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</si>
  <si>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</si>
  <si>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</si>
  <si>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</si>
  <si>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</si>
  <si>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</si>
  <si>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</si>
  <si>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</si>
  <si>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</si>
  <si>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</si>
  <si>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</si>
  <si>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</si>
  <si>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</si>
  <si>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</si>
  <si>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</si>
  <si>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</si>
  <si>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</si>
  <si>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</si>
  <si>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</si>
  <si>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</si>
  <si>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</si>
  <si>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</si>
  <si>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</si>
  <si>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</si>
  <si>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</si>
  <si>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</si>
  <si>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</si>
  <si>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</si>
  <si>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</si>
  <si>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</si>
  <si>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</si>
  <si>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</si>
  <si>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</si>
  <si>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</si>
  <si>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</si>
  <si>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</si>
  <si>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</si>
  <si>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</si>
  <si>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</si>
  <si>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</si>
  <si>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</si>
  <si>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</si>
  <si>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</si>
  <si>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الانتشار في وحدات المناورة - تمرين جاهزية مجموعة لواء الإمارات/1 (جندي الصحراء 2025/20)</t>
  </si>
  <si>
    <r>
      <rPr>
        <b/>
        <sz val="12"/>
        <color theme="1"/>
        <rFont val="Arial"/>
        <family val="2"/>
      </rPr>
      <t xml:space="preserve">1.   </t>
    </r>
    <r>
      <rPr>
        <b/>
        <u/>
        <sz val="12"/>
        <color theme="1"/>
        <rFont val="Arial"/>
        <family val="2"/>
      </rPr>
      <t>الخطة</t>
    </r>
    <r>
      <rPr>
        <b/>
        <sz val="12"/>
        <color theme="1"/>
        <rFont val="Arial"/>
        <family val="2"/>
      </rPr>
      <t xml:space="preserve"> (يتم التأكد من التالي): </t>
    </r>
  </si>
  <si>
    <t>أ.    وجود الخطة واعتمادها.</t>
  </si>
  <si>
    <t>ب.  التقيد بالإطار العام.</t>
  </si>
  <si>
    <t>جـ.  التقيد بواجبات الأركان الصغرى في إعداد الخطة.</t>
  </si>
  <si>
    <t>2.   التقيد بالتدريب على تنفيذ الخطة ومدى واقعيتها للتطبيق (التدريب على مهام العمليات).</t>
  </si>
  <si>
    <t>3.   مدى إلمام المرتب بالخطة ومتطلباتها والواجبات المحددة لكل منهم.</t>
  </si>
  <si>
    <t>4.   مدى توفر المهمات والمعدات المطلوبة لتنفيذ الخطة (آليات، معدات، إلخ...).</t>
  </si>
  <si>
    <t>5.   التأكد من التنسيق مع المعنيين لتنفيذ الخطة.</t>
  </si>
  <si>
    <t>6.   مدى تنفيذ المستوى الخاضع للتقييم لجميع الإجراءات المطلوبة منهم في تطبيق الخطة حسب المعاضل التي تفرض من قبل فريق التقييم.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</si>
</sst>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372846</xdr:colOff>
      <xdr:row>19</xdr:row>
      <xdr:rowOff>384720</xdr:rowOff>
    </xdr:from>
    <xdr:to>
      <xdr:col>9</xdr:col>
      <xdr:colOff>180935</xdr:colOff>
      <xdr:row>20</xdr:row>
      <xdr:rowOff>564628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B349453-5177-AA73-D6CA-5778C07E092B}"/>
                </a:ext>
              </a:extLst>
            </xdr14:cNvPr>
            <xdr14:cNvContentPartPr/>
          </xdr14:nvContentPartPr>
          <xdr14:nvPr macro=""/>
          <xdr14:xfrm>
            <a:off x="10398405884" y="8766720"/>
            <a:ext cx="1782360" cy="7110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B349453-5177-AA73-D6CA-5778C07E092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97244" y="8758080"/>
              <a:ext cx="1800000" cy="728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14:30:40.5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1807 1603 16699,'0'0'0,"-14"-6"1280,4-8-1136,3-3-96,7 17-48,-12-20 0,12-3-24,5-3 0,-1-6 64,-4 32-40,3-34 128,-3-6 40,7-4 40,-5 0-79,-2 44-129,3-49 64,-1-2 8,1-1 16,2-7 8,-5 59-96,2-64 56,0-7 32,3-3-16,7-1 16,-12 75-88,3-77 112,1 2-176,8-1 128,-9 4-64,-3 72 0,14-70 16,-11 9 80,11 9-72,-12 9-8,-2 43-16,5-36 0,0 7 32,-2 4 48,1 6 64,-4 19-144,5-16 200,-5 10 64,3-7 72,-3 9-112,0 4-224,4-4 224,-1-2-128,-1-5-168,1 7 48,-3 4 24,4-12-96,1 6 96,7-9 16,-5 2-56,-7 13 40,15-11-8,-13-2-48,20 7-8,-12-8-8,-10 14 72,14-4-80,-2-2 16,-10 2 0,18 0 40,-20 4 24,2 0-176,12 0-32,-1 2 24,-1 13 112,-12-15 72,14 12-32,0 5 64,1 3-32,-1 2-56,-14-22 56,15 21-88,2 0 8,2-2-24,-2 1 64,-17-20 40,19 18 40,5 1-104,-2-1-48,2-1-80,-24-17 192,21 17-152,1-1-16,2 0 48,2 1-16,-26-17 136,20 18-289,4 1 169,-3-2 16,-4 2-88,-17-19 192,19 20 8,1 3-168,-3 0 48,4 2 128,-21-25-16,15 25-80,1-1 32,-1-1-48,-1-2 24,-14-21 72,15 20-8,-1-2 16,5-1 64,-4-1-24,-15-16-48,12 16-72,0-4 128,0 1-56,0-9 88,-12-4-88,5 16 64,7-13-48,-7 10 16,4-10-32,-9-3 0,0 4 0,5 9-48,0-9 16,0 7-16,-5-11 48,2 3 0,-2 8-104,0-8-96,0 10-168,0-13 368,0 3-456,0 8 48,0-8 80,0 1 64,0-4 264,-2 5-120,-3-1 56,2 0 72,1-1 168,2-3-176,-5 3 288,0-3 72,1 0 72,-4 3-32,8-3-400,-12 0 296,10 0-80,-10 0-56,10-2-80,2 2-80,-13-1 48,6-2 24,-2-1-96,4 1 104,5 3-80,-12-4 120,7-1-56,-2 1-8,4 1-88,3 3 32,-4-1-64,1-2 40,1 0 96,2 2-32,0 1-40,-3-3 128,1 2-80,-3-1 24,3 1-8,2 1-64,0 0-64,-5 0 8,3 0-64,-1 0-112,3 0 232,0 0-312,-2 0-64,2 3-120,0 1-16,0-4 512,0 4-440,0 7 16,0-8 120,0 9 56,0-12 248,0 2-192,-3 3 104,3 8-40,-5-11 80,5-2 48,0 12-32,-4-9-64,1 8 136,-2-8-64,5-3 24,-4 11-8,-1-8 80,-2 8-208,4-8 168,3-3-32,-5 4 32,3-1-24,0 0 176,2-3-24,0 0-160,0 0 248,0 0 96,0 0 112,0 0-136,0 0-1688,0 0 3064,0 0-1520,0 0-112,0-1-88,0 1 24,0-2-192,0 1-72,0 1-128,0 0 8,0 0 384,0 0-392,0 0 72,-3 0 96,3 0 128,0 0 96,0 0 96,0 0 32,-2 3 24,-1-3-48,3 0-104,0 0 56,-4 0-56,1 0 16,-9 0 40,12 0-56,-7 0-120,-8 0 200,6 0-48,-6 0 0,15 0-32,-12 0 184,-4 3-40,-6-3 96,-5 2 56,27-2-296,-24 3 416,-7 2-40,-5-1 56,-2 10-48,38-14-384,-46 4 312,-2 12-64,-5-3-104,-7 2-24,60-15-120,-63 19 40,-2-1 8,-9 2-64,-3 0 64,77-20-48,-84 21 24,-5 1 16,-3 2 32,-4 0-16,96-24-56,-94 26 161,-2 1 119,2 1 168,0 2 136,94-30-584,-89 28 696,8 1 48,1-2-88,13-3-144,67-24-512,-68 21 360,8-2-104,5-2-136,2-4-47,53-13-73,-48 12 8,5-7-48,-1 12-145,-1-6-71,45-11 256,-34 13-376,-2 0 16,7 0 176,0-2-32,29-11 216,-24 4-104,7 10-40,5-11-88,7 0-16,5-3 248,-4 3-408,1-3-440,3 0-192,3 0-17,-3 0 1057,14 0-880,5-3 424,3-1 288,4-9 152,-26 13 16,37-6 56,3-11 0,6 2 0,2-4-16,-48 19-40,58-18 80,7-5 32,0-1 32,9-2 8,-74 26-152,75-28 176,2-2 56,5-1-16,4-2 72,-86 33-288,87-36 328,9 1 0,3-4-31,7 1-89,-106 38-208,113-41 208,0-5-160,2-1 16,3-2-40,-118 49-24,120-50-48,8 0 96,-1 2-48,1 2 24,-128 46-24,122-44-24,-1 3-160,-4 3-24,-3 4-129,-114 34 337,108-32-352,-2 8 16,-10 3 48,-5 4 112,-91 17 176,82-14-120,-3-1 136,-6 3-8,-6-4 24,-67 16-32,60-13 64,-7 0 48,-3 8 16,-4-8 32,-46 13-160,36-4 128,0-1-32,-9 1-72,-6 1 0,-21 3-24,15-1 0,-10 1 48,-1 0 392,-6 0 145,2 0-585,-12 3 656,-12 9-32,-10 3-376,-11 2-160,45-17-88,-53 22 112,-12 5-8,-5 3 24,-9 3 0,79-33-128,-85 36 256,1 2 192,-2 0-24,1 1 48,85-39-472,-89 39 336,0 1-264,0 2 8,-7 3 33,96-45-113,-101 47-16,-5 3 96,-7 2 40,-9 2-8,122-54-112,-128 54 0,-4 0 64,-3 2-32,-4 1 48,139-57-80,-145 56 96,-1 0-80,4-3-32,5-4-80,137-49 96,-133 46 80,13-5-32,-3-4 16,13-4-24,110-33-40,-104 28-8,8-2 32,14-6 56,5-5-80,77-15 0,-65 12 88,8-10-80,6 3 104,10-5-16,41 0-96,-36 0-64,3 0 128,6-2-184,3-2-8,24 4 128,-12-11 16,0 6-208,10-7-56,-3 6 40,5 6 208,0-19-489,2 5 33,13-4 72,-3 1 56,-12 17 328,14-19-272,8 1 136,-1 1 112,6-2-64,-27 19 88,26-16 40,10 1-104,-2 2-104,2 2 24,-36 11 144,39-5-168,-3 0 16,0 0 0,0 1-56,-36 4 208,36-1-216,-2 1 80,-1 0 32,-4 3 24,-29-3 80,31 4-64,-9 0 16,-5 8 48,-3-8 24,-14-4-24,3 11 24,11-7-24,-14 12 24,0-5 48,0-11-72,0 15 136,-5-1-8,-9 3-24,2 0 24,12-17-128,-5 17 48,-12 0 0,12 2-32,-7-1-32,12-18 16,-7 19-48,-5 0 32,10 1-32,-3-1 0,5-19 48,-5 20 0,5-2-64,0 1 8,0-1-40,0-18 96,12 20-88,3 0-16,9-3 48,9 0 104,-33-17-48,41 13 112,5-2 48,9-6 32,3 7-64,-58-12-128,60 3 72,5 0-8,7-3 64,12-4 80,-84 4-208,92-19 400,11-9 216,15-12 216,12-13-7,-130 53-825,137-62 760,10-12-176,16-8-64,11-8-96,-174 90-424,180-95 344,-5-3-144,1 1-152,4-1-136,-180 98 88,176-97-72,4 2 16,-9 1 72,-12 5-16,-159 89 0,159-86-32,-8 7 48,-2 6-216,-7 9-288,-142 64 488,133-55-832,-8 6-416,-10 10-529,-7 3-1840,-108 36 3617,109-35-4553,1-4 561,-11 5-3122,-99 34 7114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D9" zoomScale="130" zoomScaleNormal="100" zoomScaleSheetLayoutView="130" workbookViewId="0">
      <selection activeCell="G21" sqref="G21:J2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6" t="s">
        <v>180</v>
      </c>
      <c r="C1" s="66"/>
      <c r="D1" s="66"/>
      <c r="E1" s="66"/>
      <c r="F1" s="66"/>
      <c r="G1" s="66"/>
      <c r="H1" s="66"/>
      <c r="I1" s="66"/>
      <c r="J1" s="66"/>
    </row>
    <row r="2" spans="1:10" ht="30" customHeight="1" x14ac:dyDescent="0.2">
      <c r="B2" s="11" t="s">
        <v>8</v>
      </c>
      <c r="C2" s="72" t="s">
        <v>40</v>
      </c>
      <c r="D2" s="72"/>
      <c r="E2" s="11" t="s">
        <v>7</v>
      </c>
      <c r="F2" s="67">
        <v>45931</v>
      </c>
      <c r="G2" s="67"/>
      <c r="H2" s="67"/>
      <c r="I2" s="67"/>
      <c r="J2" s="67"/>
    </row>
    <row r="3" spans="1:10" ht="30" customHeight="1" x14ac:dyDescent="0.2">
      <c r="B3" s="11" t="s">
        <v>9</v>
      </c>
      <c r="C3" s="72" t="s">
        <v>81</v>
      </c>
      <c r="D3" s="72"/>
      <c r="E3" s="11" t="s">
        <v>6</v>
      </c>
      <c r="F3" s="72" t="s">
        <v>105</v>
      </c>
      <c r="G3" s="72"/>
      <c r="H3" s="72"/>
      <c r="I3" s="72"/>
      <c r="J3" s="72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68" t="s">
        <v>0</v>
      </c>
      <c r="C5" s="69"/>
      <c r="D5" s="69"/>
      <c r="E5" s="75" t="s">
        <v>1</v>
      </c>
      <c r="F5" s="75"/>
      <c r="G5" s="75"/>
      <c r="H5" s="75"/>
      <c r="I5" s="75" t="s">
        <v>2</v>
      </c>
      <c r="J5" s="76"/>
    </row>
    <row r="6" spans="1:10" ht="24.95" customHeight="1" thickBot="1" x14ac:dyDescent="0.25">
      <c r="A6" s="9"/>
      <c r="B6" s="70"/>
      <c r="C6" s="71"/>
      <c r="D6" s="71"/>
      <c r="E6" s="10" t="s">
        <v>3</v>
      </c>
      <c r="F6" s="10" t="s">
        <v>4</v>
      </c>
      <c r="G6" s="10" t="s">
        <v>23</v>
      </c>
      <c r="H6" s="10" t="s">
        <v>24</v>
      </c>
      <c r="I6" s="77"/>
      <c r="J6" s="78"/>
    </row>
    <row r="7" spans="1:10" ht="24.95" customHeight="1" thickBot="1" x14ac:dyDescent="0.25">
      <c r="A7" s="9"/>
      <c r="B7" s="73" t="s">
        <v>21</v>
      </c>
      <c r="C7" s="74"/>
      <c r="D7" s="74"/>
      <c r="E7" s="32" t="s">
        <v>18</v>
      </c>
      <c r="F7" s="32" t="s">
        <v>19</v>
      </c>
      <c r="G7" s="32" t="s">
        <v>22</v>
      </c>
      <c r="H7" s="32" t="s">
        <v>20</v>
      </c>
      <c r="I7" s="79" t="s">
        <v>25</v>
      </c>
      <c r="J7" s="80"/>
    </row>
    <row r="8" spans="1:10" ht="39.950000000000003" customHeight="1" x14ac:dyDescent="0.2">
      <c r="A8" s="9"/>
      <c r="B8" s="83" t="s">
        <v>181</v>
      </c>
      <c r="C8" s="84"/>
      <c r="D8" s="84"/>
      <c r="E8" s="28"/>
      <c r="F8" s="36"/>
      <c r="G8" s="37"/>
      <c r="H8" s="38"/>
      <c r="I8" s="81"/>
      <c r="J8" s="82"/>
    </row>
    <row r="9" spans="1:10" ht="39.950000000000003" customHeight="1" x14ac:dyDescent="0.2">
      <c r="A9" s="9"/>
      <c r="B9" s="85" t="s">
        <v>182</v>
      </c>
      <c r="C9" s="86"/>
      <c r="D9" s="86"/>
      <c r="E9" s="29">
        <v>10</v>
      </c>
      <c r="F9" s="25">
        <v>8</v>
      </c>
      <c r="G9" s="34">
        <f>IFERROR(F9/E9,"")</f>
        <v>0.8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8"/>
      <c r="J9" s="49"/>
    </row>
    <row r="10" spans="1:10" ht="39.950000000000003" customHeight="1" x14ac:dyDescent="0.2">
      <c r="A10" s="9"/>
      <c r="B10" s="85" t="s">
        <v>183</v>
      </c>
      <c r="C10" s="86"/>
      <c r="D10" s="86"/>
      <c r="E10" s="29">
        <v>5</v>
      </c>
      <c r="F10" s="25">
        <v>4</v>
      </c>
      <c r="G10" s="34">
        <f t="shared" ref="G10:G16" si="0">IFERROR(F10/E10,"")</f>
        <v>0.8</v>
      </c>
      <c r="H10" s="35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8"/>
      <c r="J10" s="49"/>
    </row>
    <row r="11" spans="1:10" ht="39.950000000000003" customHeight="1" thickBot="1" x14ac:dyDescent="0.25">
      <c r="A11" s="9"/>
      <c r="B11" s="87" t="s">
        <v>184</v>
      </c>
      <c r="C11" s="88"/>
      <c r="D11" s="88"/>
      <c r="E11" s="30">
        <v>5</v>
      </c>
      <c r="F11" s="27">
        <v>3.75</v>
      </c>
      <c r="G11" s="39">
        <f t="shared" si="0"/>
        <v>0.75</v>
      </c>
      <c r="H11" s="40" t="str">
        <f t="shared" si="1"/>
        <v>جيد</v>
      </c>
      <c r="I11" s="62"/>
      <c r="J11" s="63"/>
    </row>
    <row r="12" spans="1:10" ht="39.950000000000003" customHeight="1" thickBot="1" x14ac:dyDescent="0.25">
      <c r="A12" s="9"/>
      <c r="B12" s="89" t="s">
        <v>185</v>
      </c>
      <c r="C12" s="90"/>
      <c r="D12" s="90"/>
      <c r="E12" s="31">
        <v>20</v>
      </c>
      <c r="F12" s="41">
        <v>14</v>
      </c>
      <c r="G12" s="42">
        <f t="shared" si="0"/>
        <v>0.7</v>
      </c>
      <c r="H12" s="26" t="str">
        <f t="shared" si="1"/>
        <v>جيد</v>
      </c>
      <c r="I12" s="64"/>
      <c r="J12" s="65"/>
    </row>
    <row r="13" spans="1:10" ht="39.950000000000003" customHeight="1" thickBot="1" x14ac:dyDescent="0.25">
      <c r="A13" s="9"/>
      <c r="B13" s="89" t="s">
        <v>186</v>
      </c>
      <c r="C13" s="90"/>
      <c r="D13" s="90"/>
      <c r="E13" s="31">
        <v>10</v>
      </c>
      <c r="F13" s="41">
        <v>8</v>
      </c>
      <c r="G13" s="42">
        <f t="shared" si="0"/>
        <v>0.8</v>
      </c>
      <c r="H13" s="26" t="str">
        <f t="shared" si="1"/>
        <v>جيد جداً</v>
      </c>
      <c r="I13" s="64"/>
      <c r="J13" s="65"/>
    </row>
    <row r="14" spans="1:10" ht="39.950000000000003" customHeight="1" thickBot="1" x14ac:dyDescent="0.25">
      <c r="A14" s="9"/>
      <c r="B14" s="89" t="s">
        <v>187</v>
      </c>
      <c r="C14" s="90"/>
      <c r="D14" s="90"/>
      <c r="E14" s="31">
        <v>10</v>
      </c>
      <c r="F14" s="41">
        <v>8</v>
      </c>
      <c r="G14" s="42">
        <f t="shared" si="0"/>
        <v>0.8</v>
      </c>
      <c r="H14" s="26" t="str">
        <f t="shared" si="1"/>
        <v>جيد جداً</v>
      </c>
      <c r="I14" s="64"/>
      <c r="J14" s="65"/>
    </row>
    <row r="15" spans="1:10" ht="39.950000000000003" customHeight="1" thickBot="1" x14ac:dyDescent="0.25">
      <c r="A15" s="9"/>
      <c r="B15" s="89" t="s">
        <v>188</v>
      </c>
      <c r="C15" s="90"/>
      <c r="D15" s="90"/>
      <c r="E15" s="31">
        <v>5</v>
      </c>
      <c r="F15" s="41">
        <v>3.75</v>
      </c>
      <c r="G15" s="42">
        <f t="shared" si="0"/>
        <v>0.75</v>
      </c>
      <c r="H15" s="26" t="str">
        <f t="shared" si="1"/>
        <v>جيد</v>
      </c>
      <c r="I15" s="64"/>
      <c r="J15" s="65"/>
    </row>
    <row r="16" spans="1:10" ht="39.950000000000003" customHeight="1" thickBot="1" x14ac:dyDescent="0.25">
      <c r="A16" s="9"/>
      <c r="B16" s="89" t="s">
        <v>189</v>
      </c>
      <c r="C16" s="90"/>
      <c r="D16" s="90"/>
      <c r="E16" s="31">
        <v>5</v>
      </c>
      <c r="F16" s="41">
        <v>4.25</v>
      </c>
      <c r="G16" s="42">
        <f t="shared" si="0"/>
        <v>0.85</v>
      </c>
      <c r="H16" s="26" t="str">
        <f t="shared" si="1"/>
        <v>جيد جداً</v>
      </c>
      <c r="I16" s="64"/>
      <c r="J16" s="65"/>
    </row>
    <row r="17" spans="1:10" ht="30" customHeight="1" thickBot="1" x14ac:dyDescent="0.25">
      <c r="A17" s="4"/>
      <c r="B17" s="58" t="s">
        <v>5</v>
      </c>
      <c r="C17" s="59"/>
      <c r="D17" s="59"/>
      <c r="E17" s="33">
        <f>SUM(E8:E16)</f>
        <v>70</v>
      </c>
      <c r="F17" s="33">
        <f>SUM(F8:F16)</f>
        <v>53.75</v>
      </c>
      <c r="G17" s="45"/>
      <c r="H17" s="46"/>
      <c r="I17" s="46"/>
      <c r="J17" s="47"/>
    </row>
    <row r="18" spans="1:10" ht="30" customHeight="1" thickBot="1" x14ac:dyDescent="0.25">
      <c r="A18" s="4"/>
      <c r="B18" s="60" t="s">
        <v>54</v>
      </c>
      <c r="C18" s="61"/>
      <c r="D18" s="61"/>
      <c r="E18" s="56">
        <f>F17/E17/100*100</f>
        <v>0.7678571428571429</v>
      </c>
      <c r="F18" s="56"/>
      <c r="G18" s="56"/>
      <c r="H18" s="56"/>
      <c r="I18" s="56"/>
      <c r="J18" s="57"/>
    </row>
    <row r="19" spans="1:10" ht="30" customHeight="1" thickBot="1" x14ac:dyDescent="0.25">
      <c r="A19" s="4"/>
      <c r="B19" s="60" t="s">
        <v>55</v>
      </c>
      <c r="C19" s="61"/>
      <c r="D19" s="61"/>
      <c r="E19" s="54" t="str">
        <f>_xlfn.IFS(E18&gt;=90%,"ممتاز",E18&gt;=80%,"جيد جداً",E18&gt;=70%,"جيد",E18&gt;=60%,"مقبول",E18&lt;60%,"راسب")</f>
        <v>جيد</v>
      </c>
      <c r="F19" s="54"/>
      <c r="G19" s="54"/>
      <c r="H19" s="54"/>
      <c r="I19" s="54"/>
      <c r="J19" s="55"/>
    </row>
    <row r="20" spans="1:10" ht="42" customHeight="1" x14ac:dyDescent="0.2">
      <c r="B20" s="50" t="s">
        <v>174</v>
      </c>
      <c r="C20" s="50"/>
      <c r="D20" s="50"/>
      <c r="E20" s="43" t="s">
        <v>52</v>
      </c>
      <c r="F20" s="43"/>
      <c r="G20" s="52" t="s">
        <v>105</v>
      </c>
      <c r="H20" s="52"/>
      <c r="I20" s="52"/>
      <c r="J20" s="52"/>
    </row>
    <row r="21" spans="1:10" ht="51" customHeight="1" x14ac:dyDescent="0.2">
      <c r="A21" s="5"/>
      <c r="B21" s="51"/>
      <c r="C21" s="51"/>
      <c r="D21" s="51"/>
      <c r="E21" s="44" t="s">
        <v>53</v>
      </c>
      <c r="F21" s="44"/>
      <c r="G21" s="53"/>
      <c r="H21" s="53"/>
      <c r="I21" s="53"/>
      <c r="J21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18" t="s">
        <v>177</v>
      </c>
    </row>
    <row r="30" spans="1:3" ht="20.100000000000001" customHeight="1" thickBot="1" x14ac:dyDescent="0.3">
      <c r="A30" s="2" t="s">
        <v>32</v>
      </c>
      <c r="C30" s="18" t="s">
        <v>178</v>
      </c>
    </row>
    <row r="31" spans="1:3" ht="20.100000000000001" customHeight="1" thickBot="1" x14ac:dyDescent="0.3">
      <c r="A31" s="2" t="s">
        <v>33</v>
      </c>
      <c r="C31" s="18" t="s">
        <v>179</v>
      </c>
    </row>
    <row r="32" spans="1:3" ht="20.100000000000001" customHeight="1" thickBot="1" x14ac:dyDescent="0.3">
      <c r="A32" s="2" t="s">
        <v>16</v>
      </c>
      <c r="C32" s="18"/>
    </row>
    <row r="33" spans="1:9" ht="20.100000000000001" customHeight="1" thickBot="1" x14ac:dyDescent="0.3">
      <c r="A33" s="2" t="s">
        <v>14</v>
      </c>
      <c r="C33" s="18"/>
    </row>
    <row r="34" spans="1:9" ht="20.100000000000001" customHeight="1" thickBot="1" x14ac:dyDescent="0.3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175</v>
      </c>
    </row>
    <row r="213" spans="1:1" ht="20.100000000000001" customHeight="1" x14ac:dyDescent="0.2">
      <c r="A213" s="19" t="s">
        <v>102</v>
      </c>
    </row>
    <row r="214" spans="1:1" ht="20.100000000000001" customHeight="1" x14ac:dyDescent="0.2">
      <c r="A214" s="19" t="s">
        <v>103</v>
      </c>
    </row>
    <row r="215" spans="1:1" ht="20.100000000000001" customHeight="1" x14ac:dyDescent="0.2">
      <c r="A215" s="19" t="s">
        <v>104</v>
      </c>
    </row>
    <row r="216" spans="1:1" ht="20.100000000000001" customHeight="1" x14ac:dyDescent="0.2">
      <c r="A216" s="19" t="s">
        <v>105</v>
      </c>
    </row>
    <row r="217" spans="1:1" ht="20.100000000000001" customHeight="1" x14ac:dyDescent="0.2">
      <c r="A217" s="19" t="s">
        <v>106</v>
      </c>
    </row>
    <row r="218" spans="1:1" ht="20.100000000000001" customHeight="1" x14ac:dyDescent="0.2">
      <c r="A218" s="19" t="s">
        <v>107</v>
      </c>
    </row>
    <row r="219" spans="1:1" ht="20.100000000000001" customHeight="1" x14ac:dyDescent="0.2">
      <c r="A219" s="19" t="s">
        <v>108</v>
      </c>
    </row>
    <row r="220" spans="1:1" ht="20.100000000000001" customHeight="1" x14ac:dyDescent="0.2">
      <c r="A220" s="19" t="s">
        <v>109</v>
      </c>
    </row>
    <row r="221" spans="1:1" ht="20.100000000000001" customHeight="1" x14ac:dyDescent="0.2">
      <c r="A221" s="19" t="s">
        <v>110</v>
      </c>
    </row>
    <row r="222" spans="1:1" ht="20.100000000000001" customHeight="1" x14ac:dyDescent="0.2">
      <c r="A222" s="19" t="s">
        <v>111</v>
      </c>
    </row>
    <row r="223" spans="1:1" ht="20.100000000000001" customHeight="1" x14ac:dyDescent="0.2">
      <c r="A223" s="19" t="s">
        <v>112</v>
      </c>
    </row>
    <row r="224" spans="1:1" ht="20.100000000000001" customHeight="1" x14ac:dyDescent="0.2">
      <c r="A224" s="19" t="s">
        <v>176</v>
      </c>
    </row>
    <row r="225" spans="1:1" ht="20.100000000000001" customHeight="1" x14ac:dyDescent="0.2">
      <c r="A225" s="19" t="s">
        <v>113</v>
      </c>
    </row>
    <row r="226" spans="1:1" ht="20.100000000000001" customHeight="1" x14ac:dyDescent="0.2">
      <c r="A226" s="19" t="s">
        <v>114</v>
      </c>
    </row>
    <row r="227" spans="1:1" ht="20.100000000000001" customHeight="1" x14ac:dyDescent="0.2">
      <c r="A227" s="19" t="s">
        <v>115</v>
      </c>
    </row>
    <row r="228" spans="1:1" ht="20.100000000000001" customHeight="1" x14ac:dyDescent="0.2">
      <c r="A228" s="19" t="s">
        <v>116</v>
      </c>
    </row>
    <row r="229" spans="1:1" ht="20.100000000000001" customHeight="1" x14ac:dyDescent="0.2">
      <c r="A229" s="19" t="s">
        <v>117</v>
      </c>
    </row>
    <row r="230" spans="1:1" ht="20.100000000000001" customHeight="1" x14ac:dyDescent="0.2">
      <c r="A230" s="19" t="s">
        <v>118</v>
      </c>
    </row>
    <row r="231" spans="1:1" ht="20.100000000000001" customHeight="1" x14ac:dyDescent="0.2">
      <c r="A231" s="19" t="s">
        <v>119</v>
      </c>
    </row>
    <row r="232" spans="1:1" ht="20.100000000000001" customHeight="1" x14ac:dyDescent="0.2">
      <c r="A232" s="19" t="s">
        <v>120</v>
      </c>
    </row>
    <row r="233" spans="1:1" ht="20.100000000000001" customHeight="1" x14ac:dyDescent="0.2">
      <c r="A233" s="19" t="s">
        <v>121</v>
      </c>
    </row>
    <row r="234" spans="1:1" ht="20.100000000000001" customHeight="1" x14ac:dyDescent="0.2">
      <c r="A234" s="19" t="s">
        <v>122</v>
      </c>
    </row>
    <row r="235" spans="1:1" ht="20.100000000000001" customHeight="1" x14ac:dyDescent="0.2">
      <c r="A235" s="19" t="s">
        <v>123</v>
      </c>
    </row>
    <row r="236" spans="1:1" ht="20.100000000000001" customHeight="1" x14ac:dyDescent="0.2">
      <c r="A236" s="21" t="s">
        <v>124</v>
      </c>
    </row>
    <row r="237" spans="1:1" ht="20.100000000000001" customHeight="1" x14ac:dyDescent="0.2">
      <c r="A237" s="19" t="s">
        <v>125</v>
      </c>
    </row>
    <row r="238" spans="1:1" ht="20.100000000000001" customHeight="1" x14ac:dyDescent="0.2">
      <c r="A238" s="19" t="s">
        <v>126</v>
      </c>
    </row>
    <row r="239" spans="1:1" ht="20.100000000000001" customHeight="1" x14ac:dyDescent="0.2">
      <c r="A239" s="19" t="s">
        <v>127</v>
      </c>
    </row>
    <row r="240" spans="1:1" ht="20.100000000000001" customHeight="1" x14ac:dyDescent="0.2">
      <c r="A240" s="19" t="s">
        <v>128</v>
      </c>
    </row>
    <row r="241" spans="1:1" ht="20.100000000000001" customHeight="1" x14ac:dyDescent="0.2">
      <c r="A241" s="19" t="s">
        <v>129</v>
      </c>
    </row>
    <row r="242" spans="1:1" ht="20.100000000000001" customHeight="1" x14ac:dyDescent="0.2">
      <c r="A242" s="19" t="s">
        <v>130</v>
      </c>
    </row>
    <row r="243" spans="1:1" ht="20.100000000000001" customHeight="1" x14ac:dyDescent="0.2">
      <c r="A243" s="19" t="s">
        <v>131</v>
      </c>
    </row>
    <row r="244" spans="1:1" ht="20.100000000000001" customHeight="1" x14ac:dyDescent="0.2">
      <c r="A244" s="19" t="s">
        <v>132</v>
      </c>
    </row>
    <row r="245" spans="1:1" ht="20.100000000000001" customHeight="1" x14ac:dyDescent="0.2">
      <c r="A245" s="19" t="s">
        <v>133</v>
      </c>
    </row>
    <row r="246" spans="1:1" ht="20.100000000000001" customHeight="1" x14ac:dyDescent="0.2">
      <c r="A246" s="19" t="s">
        <v>134</v>
      </c>
    </row>
    <row r="247" spans="1:1" ht="20.100000000000001" customHeight="1" x14ac:dyDescent="0.2">
      <c r="A247" s="19" t="s">
        <v>135</v>
      </c>
    </row>
    <row r="248" spans="1:1" ht="20.100000000000001" customHeight="1" x14ac:dyDescent="0.2">
      <c r="A248" s="19" t="s">
        <v>126</v>
      </c>
    </row>
    <row r="249" spans="1:1" ht="20.100000000000001" customHeight="1" x14ac:dyDescent="0.2">
      <c r="A249" s="19" t="s">
        <v>136</v>
      </c>
    </row>
    <row r="250" spans="1:1" ht="20.100000000000001" customHeight="1" x14ac:dyDescent="0.2">
      <c r="A250" s="19" t="s">
        <v>137</v>
      </c>
    </row>
    <row r="251" spans="1:1" ht="20.100000000000001" customHeight="1" x14ac:dyDescent="0.2">
      <c r="A251" s="21" t="s">
        <v>138</v>
      </c>
    </row>
    <row r="252" spans="1:1" ht="20.100000000000001" customHeight="1" x14ac:dyDescent="0.2">
      <c r="A252" s="22" t="s">
        <v>139</v>
      </c>
    </row>
    <row r="253" spans="1:1" ht="20.100000000000001" customHeight="1" x14ac:dyDescent="0.2">
      <c r="A253" s="19" t="s">
        <v>140</v>
      </c>
    </row>
    <row r="254" spans="1:1" ht="20.100000000000001" customHeight="1" x14ac:dyDescent="0.2">
      <c r="A254" s="19" t="s">
        <v>141</v>
      </c>
    </row>
    <row r="255" spans="1:1" ht="20.100000000000001" customHeight="1" x14ac:dyDescent="0.2">
      <c r="A255" s="23" t="s">
        <v>142</v>
      </c>
    </row>
    <row r="256" spans="1:1" ht="20.100000000000001" customHeight="1" x14ac:dyDescent="0.2">
      <c r="A256" s="23" t="s">
        <v>143</v>
      </c>
    </row>
    <row r="257" spans="1:1" ht="20.100000000000001" customHeight="1" x14ac:dyDescent="0.2">
      <c r="A257" s="24" t="s">
        <v>144</v>
      </c>
    </row>
    <row r="258" spans="1:1" ht="20.100000000000001" customHeight="1" x14ac:dyDescent="0.2">
      <c r="A258" s="19" t="s">
        <v>145</v>
      </c>
    </row>
    <row r="259" spans="1:1" ht="20.100000000000001" customHeight="1" x14ac:dyDescent="0.2">
      <c r="A259" s="24" t="s">
        <v>146</v>
      </c>
    </row>
    <row r="260" spans="1:1" ht="20.100000000000001" customHeight="1" x14ac:dyDescent="0.2">
      <c r="A260" s="19" t="s">
        <v>147</v>
      </c>
    </row>
    <row r="261" spans="1:1" ht="20.100000000000001" customHeight="1" x14ac:dyDescent="0.2">
      <c r="A261" s="24" t="s">
        <v>148</v>
      </c>
    </row>
    <row r="262" spans="1:1" ht="20.100000000000001" customHeight="1" x14ac:dyDescent="0.2">
      <c r="A262" s="19" t="s">
        <v>149</v>
      </c>
    </row>
    <row r="263" spans="1:1" ht="20.100000000000001" customHeight="1" x14ac:dyDescent="0.2">
      <c r="A263" s="19" t="s">
        <v>150</v>
      </c>
    </row>
    <row r="264" spans="1:1" ht="20.100000000000001" customHeight="1" x14ac:dyDescent="0.2">
      <c r="A264" s="24" t="s">
        <v>151</v>
      </c>
    </row>
    <row r="265" spans="1:1" ht="20.100000000000001" customHeight="1" x14ac:dyDescent="0.2">
      <c r="A265" s="24" t="s">
        <v>152</v>
      </c>
    </row>
    <row r="266" spans="1:1" ht="20.100000000000001" customHeight="1" x14ac:dyDescent="0.2">
      <c r="A266" s="24" t="s">
        <v>153</v>
      </c>
    </row>
    <row r="267" spans="1:1" ht="20.100000000000001" customHeight="1" x14ac:dyDescent="0.2">
      <c r="A267" s="19" t="s">
        <v>154</v>
      </c>
    </row>
    <row r="268" spans="1:1" ht="20.100000000000001" customHeight="1" x14ac:dyDescent="0.2">
      <c r="A268" s="19" t="s">
        <v>155</v>
      </c>
    </row>
    <row r="269" spans="1:1" ht="20.100000000000001" customHeight="1" x14ac:dyDescent="0.2">
      <c r="A269" s="19" t="s">
        <v>156</v>
      </c>
    </row>
    <row r="270" spans="1:1" ht="20.100000000000001" customHeight="1" x14ac:dyDescent="0.2">
      <c r="A270" s="19" t="s">
        <v>157</v>
      </c>
    </row>
    <row r="271" spans="1:1" ht="20.100000000000001" customHeight="1" x14ac:dyDescent="0.2">
      <c r="A271" s="24" t="s">
        <v>158</v>
      </c>
    </row>
    <row r="272" spans="1:1" ht="20.100000000000001" customHeight="1" x14ac:dyDescent="0.2">
      <c r="A272" s="24" t="s">
        <v>159</v>
      </c>
    </row>
    <row r="273" spans="1:1" ht="20.100000000000001" customHeight="1" x14ac:dyDescent="0.2">
      <c r="A273" s="19" t="s">
        <v>160</v>
      </c>
    </row>
    <row r="274" spans="1:1" ht="20.100000000000001" customHeight="1" x14ac:dyDescent="0.2">
      <c r="A274" s="24" t="s">
        <v>161</v>
      </c>
    </row>
    <row r="275" spans="1:1" ht="20.100000000000001" customHeight="1" x14ac:dyDescent="0.2">
      <c r="A275" s="24" t="s">
        <v>162</v>
      </c>
    </row>
    <row r="276" spans="1:1" ht="20.100000000000001" customHeight="1" x14ac:dyDescent="0.2">
      <c r="A276" s="19" t="s">
        <v>163</v>
      </c>
    </row>
    <row r="277" spans="1:1" ht="20.100000000000001" customHeight="1" x14ac:dyDescent="0.2">
      <c r="A277" s="19" t="s">
        <v>164</v>
      </c>
    </row>
    <row r="278" spans="1:1" ht="20.100000000000001" customHeight="1" x14ac:dyDescent="0.2">
      <c r="A278" s="24" t="s">
        <v>165</v>
      </c>
    </row>
    <row r="279" spans="1:1" ht="20.100000000000001" customHeight="1" x14ac:dyDescent="0.2">
      <c r="A279" s="19" t="s">
        <v>166</v>
      </c>
    </row>
    <row r="280" spans="1:1" ht="20.100000000000001" customHeight="1" x14ac:dyDescent="0.2">
      <c r="A280" s="19" t="s">
        <v>167</v>
      </c>
    </row>
    <row r="281" spans="1:1" ht="20.100000000000001" customHeight="1" x14ac:dyDescent="0.2">
      <c r="A281" s="19" t="s">
        <v>168</v>
      </c>
    </row>
    <row r="282" spans="1:1" ht="20.100000000000001" customHeight="1" x14ac:dyDescent="0.2">
      <c r="A282" s="19" t="s">
        <v>169</v>
      </c>
    </row>
    <row r="283" spans="1:1" ht="20.100000000000001" customHeight="1" x14ac:dyDescent="0.2">
      <c r="A283" s="24" t="s">
        <v>170</v>
      </c>
    </row>
    <row r="284" spans="1:1" ht="20.100000000000001" customHeight="1" x14ac:dyDescent="0.2">
      <c r="A284" s="24" t="s">
        <v>171</v>
      </c>
    </row>
    <row r="285" spans="1:1" ht="20.100000000000001" customHeight="1" x14ac:dyDescent="0.2">
      <c r="A285" s="24" t="s">
        <v>172</v>
      </c>
    </row>
    <row r="286" spans="1:1" ht="20.100000000000001" customHeight="1" thickBot="1" x14ac:dyDescent="0.25">
      <c r="A286" s="19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2025-09-22T05:36:07Z</dcterms:modified>
</cp:coreProperties>
</file>