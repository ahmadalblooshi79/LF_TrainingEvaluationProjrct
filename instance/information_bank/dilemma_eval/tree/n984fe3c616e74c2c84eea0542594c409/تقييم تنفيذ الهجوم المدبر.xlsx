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E0295BD-CFCC-4CFA-8B37-A2840ABA51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<sst xmlns="http://schemas.openxmlformats.org/spreadsheetml/2006/main" count="294" uniqueCount="238">
  <si>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</si>
  <si>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</si>
  <si>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</si>
  <si>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</si>
  <si>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</si>
  <si>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</si>
  <si>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</si>
  <si>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</si>
  <si>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</si>
  <si>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</si>
  <si>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</si>
  <si>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</si>
  <si>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</si>
  <si>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</si>
  <si>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</si>
  <si>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</si>
  <si>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</si>
  <si>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</si>
  <si>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</si>
  <si>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</si>
  <si>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</si>
  <si>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</si>
  <si>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</si>
  <si>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</si>
  <si>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</si>
  <si>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</si>
  <si>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</si>
  <si>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</si>
  <si>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</si>
  <si>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</si>
  <si>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</si>
  <si>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</si>
  <si>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</si>
  <si>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</si>
  <si>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</si>
  <si>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</si>
  <si>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</si>
  <si>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</si>
  <si>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</si>
  <si>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</si>
  <si>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</si>
  <si>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</si>
  <si>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</si>
  <si>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</si>
  <si>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</si>
  <si>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</si>
  <si>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</si>
  <si>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</si>
  <si>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</si>
  <si>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</si>
  <si>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</si>
  <si>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</si>
  <si>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</si>
  <si>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</si>
  <si>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</si>
  <si>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</si>
  <si>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</si>
  <si>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</si>
  <si>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</si>
  <si>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</si>
  <si>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</si>
  <si>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</si>
  <si>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</si>
  <si>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</si>
  <si>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</si>
  <si>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</si>
  <si>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</si>
  <si>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</si>
  <si>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</si>
  <si>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</si>
  <si>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</si>
  <si>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</si>
  <si>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</si>
  <si>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</si>
  <si>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</si>
  <si>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</si>
  <si>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</si>
  <si>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</si>
  <si>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</si>
  <si>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</si>
  <si>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</si>
  <si>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</si>
  <si>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</si>
  <si>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</si>
  <si>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</si>
  <si>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</si>
  <si>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</si>
  <si>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</si>
  <si>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</si>
  <si>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</si>
  <si>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</si>
  <si>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</si>
  <si>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</si>
  <si>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</si>
  <si>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</si>
  <si>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</si>
  <si>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</si>
  <si>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</si>
  <si>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</si>
  <si>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</si>
  <si>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</si>
  <si>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</si>
  <si>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</si>
  <si>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</si>
  <si>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</si>
  <si>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</si>
  <si>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</si>
  <si>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</si>
  <si>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</si>
  <si>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</si>
  <si>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</si>
  <si>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</si>
  <si>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</si>
  <si>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</si>
  <si>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</si>
  <si>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</si>
  <si>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</si>
  <si>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</si>
  <si>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</si>
  <si>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</si>
  <si>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</si>
  <si>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</si>
  <si>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</si>
  <si>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</si>
  <si>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</si>
  <si>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</si>
  <si>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</si>
  <si>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</si>
  <si>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</si>
  <si>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</si>
  <si>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</si>
  <si>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</si>
  <si>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</si>
  <si>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</si>
  <si>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</si>
  <si>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</si>
  <si>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</si>
  <si>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</si>
  <si>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</si>
  <si>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</si>
  <si>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</si>
  <si>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</si>
  <si>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</si>
  <si>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</si>
  <si>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</si>
  <si>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</si>
  <si>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</si>
  <si>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</si>
  <si>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</si>
  <si>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</si>
  <si>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</si>
  <si>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</si>
  <si>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</si>
  <si>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</si>
  <si>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</si>
  <si>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</si>
  <si>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</si>
  <si>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</si>
  <si>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</si>
  <si>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</si>
  <si>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</si>
  <si>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</si>
  <si>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</si>
  <si>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</si>
  <si>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</si>
  <si>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</si>
  <si>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</si>
  <si>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</si>
  <si>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</si>
  <si>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</si>
  <si>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</si>
  <si>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</si>
  <si>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</si>
  <si>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</si>
  <si>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</si>
  <si>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</si>
  <si>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</si>
  <si>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</si>
  <si>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</si>
  <si>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</si>
  <si>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</si>
  <si>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</si>
  <si>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</si>
  <si>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</si>
  <si>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</si>
  <si>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</si>
  <si>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</si>
  <si>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</si>
  <si>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</si>
  <si>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</si>
  <si>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</si>
  <si>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</si>
  <si>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</si>
  <si>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</si>
  <si>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</si>
  <si>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</si>
  <si>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</si>
  <si>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</si>
  <si>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</si>
  <si>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</si>
  <si>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</si>
  <si>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</si>
  <si>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</si>
  <si>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</si>
  <si>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</si>
  <si>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</si>
  <si>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</si>
  <si>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</si>
  <si>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</si>
  <si>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</si>
  <si>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</si>
  <si>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</si>
  <si>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</si>
  <si>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</si>
  <si>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</si>
  <si>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</si>
  <si>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</si>
  <si>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</si>
  <si>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</si>
  <si>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</si>
  <si>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</si>
  <si>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</si>
  <si>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</si>
  <si>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</si>
  <si>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</si>
  <si>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</si>
  <si>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</si>
  <si>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</si>
  <si>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</si>
  <si>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</si>
  <si>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</si>
  <si>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</si>
  <si>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</si>
  <si>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</si>
  <si>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</si>
  <si>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</si>
  <si>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</si>
  <si>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 / حميد سعيد مسير الظاهري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</si>
</sst>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197925</xdr:colOff>
      <xdr:row>70</xdr:row>
      <xdr:rowOff>526080</xdr:rowOff>
    </xdr:from>
    <xdr:to>
      <xdr:col>8</xdr:col>
      <xdr:colOff>221663</xdr:colOff>
      <xdr:row>71</xdr:row>
      <xdr:rowOff>613320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14:cNvPr>
            <xdr14:cNvContentPartPr/>
          </xdr14:nvContentPartPr>
          <xdr14:nvPr macro=""/>
          <xdr14:xfrm>
            <a:off x="10436829993" y="36035280"/>
            <a:ext cx="1339920" cy="620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820993" y="36026280"/>
              <a:ext cx="135756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0:34.3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2973 846 7225,'0'0'0,"0"0"0,0 0 2609,-3-1-2177,1-1-176,2-3 184,0 5-440,0-7 456,5 0 56,0-6 32,-1 9-224,-4 4-320,16-5 296,-13-9-32,4 11-64,-2-2-8,-5 5-192,2-5 208,2 1-23,-4 3 63,0 1 40,0 0-288,0 0 344,0 0 96,0 0-24,0 3 24,0-3-440,0 3 424,0 3-72,-2-3-96,-5 2-56,7-5-200,-14 14 48,0-11-16,-3 16-56,-1-4-8,18-15 32,-21 19-16,-2 5-24,-3 1 96,-4 3-24,30-28-32,-29 27 72,-4 0 104,-2-3-24,0 0 80,35-24-232,-33 21 264,6-1-39,-1-1-17,2-2 48,26-17-256,-28 14 224,2-9-16,8 12-88,-4-14-40,22-3-80,-6 5 24,-13 0 72,14-5-56,-1 0-64,6 0 24,-5 0-88,0-1-208,0-4 88,3-1-16,2 6 224,-3-13-184,1 11-8,2-5 55,0 2-15,0 5 152,0-5-96,5 0 32,-3 0-88,-2 1 40,0 4 112,5-3-96,-3 0-40,-2 1 16,0 0 40,0 2 80,3 0-96,-3 0 64,0 0 40,0 0 24,0 0-32,0 4 16,-3-1-32,1 0 104,2-3-152,0 0 64,-2 4 40,-3-1-88,0 1-72,-2 1 8,7-5 112,-14 3-168,9 1 24,-9-1-8,8 0 64,6-3 88,-5 4-72,-2-4-112,2 0 48,-2 0-136,7 0 272,-3 0-424,1 0-152,2 0-168,0-2-17,0 2 761,0-2-632,0 2 264,5-1 88,-5 1 176,0 0 104,0 0-80,0 0 48,0 0 80,0 3 32,0-3-80,0 3 88,-3 3-8,-3 9 0,-11-1 0,17-14-80,-16 18 64,-3 1 48,-4 3 32,2-1 32,21-21-176,-24 20 296,1-1 16,2-4 40,3-1 25,18-14-377,-20 5 384,7 0 8,6 0-8,-8-1 24,15-4-408,-4 0 352,0 0 8,-1 0-96,2-2-24,3 2-240,-4-5 232,4 0-32,-3-9-96,3 9-40,0 5-64,0-15-16,0-1-40,0-2 8,5-5-8,-5 23 56,18-25-24,-3-6-24,3-6 48,4-4 8,-22 41-8,20-48-16,8-5 72,3-7-24,4-5 32,-35 65-64,37-66 64,3 5-16,-3 3-8,-2 5-56,-35 53 16,31-48 40,-1 5-56,-4 6-8,-3 4 24,-23 33 0,21-25-72,-4 4 40,-4 6 24,-10 10-32,-3 5 40,5-5 24,-1 3 48,-4 2 32,-2 3-80,2-3-24,-2 4-48,-6 9-56,-3-9-120,-3 15 40,14-19 184,-16 17-208,-3 5 56,-4 5 72,0 4 48,23-31 32,-29 32 16,-1 4-24,-6 3 0,4 1-16,32-40 24,-33 40 8,-2 1-8,-2 4 48,1-3 40,36-42-88,-41 43 176,6-2 104,-2-3-8,-3 1 80,40-39-352,-35 36 344,-3-2-32,8-4 65,2-4-129,28-26-248,-24 20 200,3-2-80,5-13-24,2 10-56,14-15-40,-2 3 24,-3 1-24,0-4-72,3 0-56,2 0 128,-3 0-240,3 0-104,0 0-57,0-4 17,0 4 384,5-5-312,-3-2 40,13-8 72,-10 8 24,-5 7 176,15-20-136,0 4 40,-2-4 16,7 1 16,-20 19 64,13-17-80,4 0-24,-5 10 0,-8-8 0,-4 15 104,5-3-80,-1-3-8,-1 5 56,-3 1 72,0 0-40,0 0 72,0 0 64,0 0-32,-5 0-24,5 0-80,-11 3 24,4 2-64,-10 0-40,1 9-24,16-14 104,-19 5-40,-2 10 40,2-1 80,-4-9-16,23-5-64,-18 21 72,-4-16-16,1 14-24,2-14 40,19-5-72,-13 13 48,-2-9-8,10-1-16,-8 1-48,13-4 24,-5 3-88,3-3-64,-1 0-48,-2 0-88,5 0 288,-2 0-280,0 0-16,-1 0 16,3 0 40,0 0 240,-4 0-224,0 0 40,-4 5 32,-4 0 40,12-5 112,-7 16-88,-11-11 32,4 13 16,-5 0 80,19-18-40,-18 20 32,-4 0 64,2 3 80,-2-1 32,22-22-208,-18 22 320,-8 0-16,5-1 16,0 1 0,21-22-320,-19 17 360,3-3 8,2-11 0,9 2 16,5-5-384,-6 3 392,1-3-8,2 0-23,1-1-73,2 1-288,0-5 224,0-9-80,0-1-72,5-9-48,-5 24-24,11-31-8,-4-10 32,17-10-40,-3-9 16,-21 60 0,25-70-48,5-8 16,3-9 32,5-9 0,-38 96 0,39-99 32,4-1-8,-6 1 0,3 7-8,-40 92-16,30-87-48,1 8 24,-6 14 24,-6 14-40,-19 51 40,14-36 16,-9 13-16,-1 7 24,-4 13 32,0 3-56,0-2 136,0 2 0,0 0 16,-2 3-40,2-3-112,-7 6 48,-7 7-80,7 1-8,-12 5-72,19-19 112,-16 30-128,-8 10 96,1 7-72,-5 10 72,28-57 32,-33 59-64,-2 4 24,-5 4 56,1 0 24,39-67-40,-36 68 104,1-3 0,3-4 32,1-1 0,31-60-136,-32 54 136,4-3 8,5-6-8,-1-6-112,24-39-24,-21 36 48,2-7 16,3-4-8,4-4 32,12-21-88,-6 14 48,-9-9-56,13 8-72,0-13-72,2 0 152,-3 0-264,3 0-288,0 0-88,5-1-33,-5 1 673,5-4-624,11-1 192,-2-9 72,7 1 56,-21 13 304,26-16-272,0-2 0,-1-1-72,3 2-48,-28 17 392,24-17-424,-1 1 32,-2 10 72,-4-10 63,-17 16 257,4-5-136,10 0 104,-14 3 64,0 1 193,0 1-225,0-2 296,0 2 64,0 0 72,-7 0-80,7 0-352,-4 0 296,-13 3-96,3 1-56,-2-1 16,16-3-160,-21 5 216,-10 9 48,3-9 88,-10 12 16,38-17-368,-41 14 400,1 1 88,-7 2 65,-1 2-17,48-19-536,-52 22 528,1-1-128,-6 1-200,4 3 48,53-25-248,-61 26 128,2 3 88,1 3-48,-3 2-40,61-34-128,-67 40 104,-1 1-56,3 0 96,4-4-48,61-37-96,-52 34 168,7-5-88,13-2 8,6-6-16,26-21-72,-18 19-56,11-6 8,2-8-176,3 16-128,2-21 352,0 5-496,16 16-112,7-16-48,10 0 16,-33-5 640,51 3-504,19-5 95,20-21 113,19-8 80,-109 31 216,124-46-104,19-12-24,23-12 88,20-15 64,-186 85-24,203-93-40,8-7 96,2-8 0,4 1 72,-217 107-128,210-113 272,3 1-32,-17 4 0,-23 6-31,-173 102-209,159-92 24,-21 10 0,-19 10-24,-23 13-16,-96 59 16,72-50 88,-18 11 56,-21 8 128,-15 9 208,-18 22-480,5-19 584,-5 6 168,-16-3 64,-13-1-144,29 17-672,-39-17 696,-17 2-191,-14 8-177,-14-7-136,84 14-192,-103 0 16,-12 4-8,-15 16-64,-18 7 8,148-27 48,-170 38 40,-14 5-112,-18 8 32,-8 7 152,210-58-112,-222 63 40,-5 5 288,0 0 80,3-1 56,224-67-464,-205 68 464,8 0-192,22-3-88,19-2-136,156-63-48,-127 57-1152,24-6 832,24-10 24,25-7-352,54-34 648,-37 29-72,16-7-1865,16-5-1055,5-12-961,0-5 3953,21 5-6602,5-1 761,-26-4 5841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38</v>
      </c>
      <c r="D2" s="60"/>
      <c r="E2" s="12" t="s">
        <v>7</v>
      </c>
      <c r="F2" s="55">
        <v>45957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80</v>
      </c>
      <c r="D3" s="60"/>
      <c r="E3" s="12" t="s">
        <v>6</v>
      </c>
      <c r="F3" s="60" t="s">
        <v>142</v>
      </c>
      <c r="G3" s="60"/>
      <c r="H3" s="60"/>
      <c r="I3" s="60"/>
      <c r="J3" s="60"/>
    </row>
    <row r="4" spans="1:10" ht="30" customHeight="1" thickBot="1" x14ac:dyDescent="0.35">
      <c r="B4" s="6"/>
      <c r="C4" s="99" t="s">
        <v>237</v>
      </c>
      <c r="D4" s="99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" customHeight="1" thickBot="1" x14ac:dyDescent="0.3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" customHeight="1" x14ac:dyDescent="0.3">
      <c r="A8" s="10"/>
      <c r="B8" s="81" t="s">
        <v>176</v>
      </c>
      <c r="C8" s="82"/>
      <c r="D8" s="82"/>
      <c r="E8" s="35"/>
      <c r="F8" s="36"/>
      <c r="G8" s="37"/>
      <c r="H8" s="38"/>
      <c r="I8" s="52"/>
      <c r="J8" s="53"/>
    </row>
    <row r="9" spans="1:10" ht="39.9" customHeight="1" x14ac:dyDescent="0.3">
      <c r="A9" s="10"/>
      <c r="B9" s="83" t="s">
        <v>177</v>
      </c>
      <c r="C9" s="84"/>
      <c r="D9" s="84"/>
      <c r="E9" s="9"/>
      <c r="F9" s="26"/>
      <c r="G9" s="31"/>
      <c r="H9" s="32"/>
      <c r="I9" s="43"/>
      <c r="J9" s="44"/>
    </row>
    <row r="10" spans="1:10" ht="39.9" customHeight="1" x14ac:dyDescent="0.3">
      <c r="A10" s="10"/>
      <c r="B10" s="85" t="s">
        <v>178</v>
      </c>
      <c r="C10" s="86"/>
      <c r="D10" s="86"/>
      <c r="E10" s="9">
        <v>5</v>
      </c>
      <c r="F10" s="26">
        <v>3.75</v>
      </c>
      <c r="G10" s="31">
        <f t="shared" ref="G10:G67" si="0">IFERROR(F10/E10,"")</f>
        <v>0.75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10"/>
      <c r="B11" s="87" t="s">
        <v>179</v>
      </c>
      <c r="C11" s="88"/>
      <c r="D11" s="88"/>
      <c r="E11" s="30"/>
      <c r="F11" s="26"/>
      <c r="G11" s="31"/>
      <c r="H11" s="32"/>
      <c r="I11" s="43"/>
      <c r="J11" s="44"/>
    </row>
    <row r="12" spans="1:10" ht="51" customHeight="1" x14ac:dyDescent="0.3">
      <c r="A12" s="10"/>
      <c r="B12" s="89" t="s">
        <v>180</v>
      </c>
      <c r="C12" s="90"/>
      <c r="D12" s="9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3"/>
      <c r="J12" s="44"/>
    </row>
    <row r="13" spans="1:10" ht="39.9" customHeight="1" x14ac:dyDescent="0.3">
      <c r="A13" s="10"/>
      <c r="B13" s="89" t="s">
        <v>181</v>
      </c>
      <c r="C13" s="90"/>
      <c r="D13" s="90"/>
      <c r="E13" s="30"/>
      <c r="F13" s="26"/>
      <c r="G13" s="31"/>
      <c r="H13" s="32"/>
      <c r="I13" s="43"/>
      <c r="J13" s="44"/>
    </row>
    <row r="14" spans="1:10" ht="39.9" customHeight="1" x14ac:dyDescent="0.3">
      <c r="A14" s="10"/>
      <c r="B14" s="91" t="s">
        <v>182</v>
      </c>
      <c r="C14" s="92"/>
      <c r="D14" s="92"/>
      <c r="E14" s="9">
        <v>5</v>
      </c>
      <c r="F14" s="26">
        <v>3.75</v>
      </c>
      <c r="G14" s="31">
        <f t="shared" si="0"/>
        <v>0.75</v>
      </c>
      <c r="H14" s="32" t="str">
        <f t="shared" si="1"/>
        <v>جيد</v>
      </c>
      <c r="I14" s="43"/>
      <c r="J14" s="44"/>
    </row>
    <row r="15" spans="1:10" ht="39.9" customHeight="1" x14ac:dyDescent="0.3">
      <c r="A15" s="10"/>
      <c r="B15" s="91" t="s">
        <v>183</v>
      </c>
      <c r="C15" s="92"/>
      <c r="D15" s="92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3"/>
      <c r="J15" s="44"/>
    </row>
    <row r="16" spans="1:10" ht="39.9" customHeight="1" x14ac:dyDescent="0.3">
      <c r="A16" s="10"/>
      <c r="B16" s="91" t="s">
        <v>184</v>
      </c>
      <c r="C16" s="92"/>
      <c r="D16" s="92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10"/>
      <c r="B17" s="91" t="s">
        <v>185</v>
      </c>
      <c r="C17" s="92"/>
      <c r="D17" s="92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10"/>
      <c r="B18" s="91" t="s">
        <v>186</v>
      </c>
      <c r="C18" s="92"/>
      <c r="D18" s="92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43"/>
      <c r="J18" s="44"/>
    </row>
    <row r="19" spans="1:10" ht="39.9" customHeight="1" x14ac:dyDescent="0.3">
      <c r="A19" s="10"/>
      <c r="B19" s="89" t="s">
        <v>187</v>
      </c>
      <c r="C19" s="90"/>
      <c r="D19" s="90"/>
      <c r="E19" s="9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43"/>
      <c r="J19" s="44"/>
    </row>
    <row r="20" spans="1:10" ht="39.9" customHeight="1" x14ac:dyDescent="0.3">
      <c r="A20" s="10"/>
      <c r="B20" s="89" t="s">
        <v>188</v>
      </c>
      <c r="C20" s="90"/>
      <c r="D20" s="90"/>
      <c r="E20" s="30"/>
      <c r="F20" s="26"/>
      <c r="G20" s="31"/>
      <c r="H20" s="32"/>
      <c r="I20" s="43"/>
      <c r="J20" s="44"/>
    </row>
    <row r="21" spans="1:10" ht="39.9" customHeight="1" x14ac:dyDescent="0.3">
      <c r="A21" s="10"/>
      <c r="B21" s="91" t="s">
        <v>189</v>
      </c>
      <c r="C21" s="92"/>
      <c r="D21" s="92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3"/>
      <c r="J21" s="44"/>
    </row>
    <row r="22" spans="1:10" ht="39.9" customHeight="1" x14ac:dyDescent="0.3">
      <c r="A22" s="10"/>
      <c r="B22" s="91" t="s">
        <v>190</v>
      </c>
      <c r="C22" s="92"/>
      <c r="D22" s="92"/>
      <c r="E22" s="9">
        <v>5</v>
      </c>
      <c r="F22" s="26">
        <v>3.5</v>
      </c>
      <c r="G22" s="31">
        <f t="shared" si="0"/>
        <v>0.7</v>
      </c>
      <c r="H22" s="32" t="str">
        <f t="shared" si="1"/>
        <v>جيد</v>
      </c>
      <c r="I22" s="43"/>
      <c r="J22" s="44"/>
    </row>
    <row r="23" spans="1:10" ht="39.9" customHeight="1" x14ac:dyDescent="0.3">
      <c r="A23" s="10"/>
      <c r="B23" s="91" t="s">
        <v>191</v>
      </c>
      <c r="C23" s="92"/>
      <c r="D23" s="92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3"/>
      <c r="J23" s="44"/>
    </row>
    <row r="24" spans="1:10" ht="39.9" customHeight="1" x14ac:dyDescent="0.3">
      <c r="A24" s="10"/>
      <c r="B24" s="91" t="s">
        <v>192</v>
      </c>
      <c r="C24" s="92"/>
      <c r="D24" s="92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3"/>
      <c r="J24" s="44"/>
    </row>
    <row r="25" spans="1:10" ht="39.9" customHeight="1" x14ac:dyDescent="0.3">
      <c r="A25" s="10"/>
      <c r="B25" s="89" t="s">
        <v>193</v>
      </c>
      <c r="C25" s="90"/>
      <c r="D25" s="90"/>
      <c r="E25" s="9"/>
      <c r="F25" s="26"/>
      <c r="G25" s="31"/>
      <c r="H25" s="32"/>
      <c r="I25" s="43"/>
      <c r="J25" s="44"/>
    </row>
    <row r="26" spans="1:10" ht="39.9" customHeight="1" x14ac:dyDescent="0.3">
      <c r="A26" s="10"/>
      <c r="B26" s="91" t="s">
        <v>194</v>
      </c>
      <c r="C26" s="92"/>
      <c r="D26" s="92"/>
      <c r="E26" s="30"/>
      <c r="F26" s="26"/>
      <c r="G26" s="31"/>
      <c r="H26" s="32"/>
      <c r="I26" s="43"/>
      <c r="J26" s="44"/>
    </row>
    <row r="27" spans="1:10" ht="39.9" customHeight="1" x14ac:dyDescent="0.3">
      <c r="A27" s="10"/>
      <c r="B27" s="93" t="s">
        <v>195</v>
      </c>
      <c r="C27" s="94"/>
      <c r="D27" s="94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43"/>
      <c r="J27" s="44"/>
    </row>
    <row r="28" spans="1:10" ht="39.9" customHeight="1" x14ac:dyDescent="0.3">
      <c r="A28" s="10"/>
      <c r="B28" s="93" t="s">
        <v>196</v>
      </c>
      <c r="C28" s="94"/>
      <c r="D28" s="94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3"/>
      <c r="J28" s="44"/>
    </row>
    <row r="29" spans="1:10" ht="39.9" customHeight="1" x14ac:dyDescent="0.3">
      <c r="A29" s="10"/>
      <c r="B29" s="93" t="s">
        <v>197</v>
      </c>
      <c r="C29" s="94"/>
      <c r="D29" s="94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3"/>
      <c r="J29" s="44"/>
    </row>
    <row r="30" spans="1:10" ht="39.9" customHeight="1" x14ac:dyDescent="0.3">
      <c r="A30" s="10"/>
      <c r="B30" s="93" t="s">
        <v>198</v>
      </c>
      <c r="C30" s="94"/>
      <c r="D30" s="94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3"/>
      <c r="J30" s="44"/>
    </row>
    <row r="31" spans="1:10" ht="51.75" customHeight="1" x14ac:dyDescent="0.3">
      <c r="A31" s="10"/>
      <c r="B31" s="93" t="s">
        <v>199</v>
      </c>
      <c r="C31" s="94"/>
      <c r="D31" s="94"/>
      <c r="E31" s="33">
        <v>5</v>
      </c>
      <c r="F31" s="26">
        <v>3.5</v>
      </c>
      <c r="G31" s="31">
        <f t="shared" si="0"/>
        <v>0.7</v>
      </c>
      <c r="H31" s="32" t="str">
        <f t="shared" si="1"/>
        <v>جيد</v>
      </c>
      <c r="I31" s="43"/>
      <c r="J31" s="44"/>
    </row>
    <row r="32" spans="1:10" ht="39.9" customHeight="1" x14ac:dyDescent="0.3">
      <c r="A32" s="10"/>
      <c r="B32" s="91" t="s">
        <v>200</v>
      </c>
      <c r="C32" s="92"/>
      <c r="D32" s="92"/>
      <c r="E32" s="34"/>
      <c r="F32" s="26"/>
      <c r="G32" s="31"/>
      <c r="H32" s="32"/>
      <c r="I32" s="43"/>
      <c r="J32" s="44"/>
    </row>
    <row r="33" spans="1:10" ht="50.25" customHeight="1" x14ac:dyDescent="0.3">
      <c r="A33" s="10"/>
      <c r="B33" s="93" t="s">
        <v>201</v>
      </c>
      <c r="C33" s="94"/>
      <c r="D33" s="94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43"/>
      <c r="J33" s="44"/>
    </row>
    <row r="34" spans="1:10" ht="39.9" customHeight="1" x14ac:dyDescent="0.3">
      <c r="A34" s="10"/>
      <c r="B34" s="93" t="s">
        <v>202</v>
      </c>
      <c r="C34" s="94"/>
      <c r="D34" s="94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43"/>
      <c r="J34" s="44"/>
    </row>
    <row r="35" spans="1:10" ht="54" customHeight="1" thickBot="1" x14ac:dyDescent="0.35">
      <c r="A35" s="10"/>
      <c r="B35" s="95" t="s">
        <v>203</v>
      </c>
      <c r="C35" s="96"/>
      <c r="D35" s="96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45"/>
      <c r="J35" s="46"/>
    </row>
    <row r="36" spans="1:10" ht="39.9" customHeight="1" x14ac:dyDescent="0.3">
      <c r="A36" s="10"/>
      <c r="B36" s="81" t="s">
        <v>204</v>
      </c>
      <c r="C36" s="82"/>
      <c r="D36" s="82"/>
      <c r="E36" s="35"/>
      <c r="F36" s="36"/>
      <c r="G36" s="37"/>
      <c r="H36" s="38"/>
      <c r="I36" s="52"/>
      <c r="J36" s="53"/>
    </row>
    <row r="37" spans="1:10" ht="52.5" customHeight="1" x14ac:dyDescent="0.3">
      <c r="A37" s="10"/>
      <c r="B37" s="83" t="s">
        <v>235</v>
      </c>
      <c r="C37" s="84"/>
      <c r="D37" s="84"/>
      <c r="E37" s="9"/>
      <c r="F37" s="26"/>
      <c r="G37" s="31"/>
      <c r="H37" s="32"/>
      <c r="I37" s="43"/>
      <c r="J37" s="44"/>
    </row>
    <row r="38" spans="1:10" ht="39.9" customHeight="1" x14ac:dyDescent="0.3">
      <c r="A38" s="10"/>
      <c r="B38" s="85" t="s">
        <v>205</v>
      </c>
      <c r="C38" s="86"/>
      <c r="D38" s="86"/>
      <c r="E38" s="9">
        <v>5</v>
      </c>
      <c r="F38" s="26">
        <v>3.75</v>
      </c>
      <c r="G38" s="31">
        <f t="shared" si="0"/>
        <v>0.75</v>
      </c>
      <c r="H38" s="32" t="str">
        <f t="shared" si="1"/>
        <v>جيد</v>
      </c>
      <c r="I38" s="43"/>
      <c r="J38" s="44"/>
    </row>
    <row r="39" spans="1:10" ht="39.9" customHeight="1" x14ac:dyDescent="0.3">
      <c r="A39" s="10"/>
      <c r="B39" s="85" t="s">
        <v>206</v>
      </c>
      <c r="C39" s="86"/>
      <c r="D39" s="86"/>
      <c r="E39" s="9">
        <v>5</v>
      </c>
      <c r="F39" s="26">
        <v>3.75</v>
      </c>
      <c r="G39" s="31">
        <f t="shared" si="0"/>
        <v>0.75</v>
      </c>
      <c r="H39" s="32" t="str">
        <f t="shared" si="1"/>
        <v>جيد</v>
      </c>
      <c r="I39" s="43"/>
      <c r="J39" s="44"/>
    </row>
    <row r="40" spans="1:10" ht="39.9" customHeight="1" x14ac:dyDescent="0.3">
      <c r="A40" s="10"/>
      <c r="B40" s="85" t="s">
        <v>207</v>
      </c>
      <c r="C40" s="86"/>
      <c r="D40" s="8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43"/>
      <c r="J40" s="44"/>
    </row>
    <row r="41" spans="1:10" ht="39.9" customHeight="1" x14ac:dyDescent="0.3">
      <c r="A41" s="10"/>
      <c r="B41" s="87" t="s">
        <v>208</v>
      </c>
      <c r="C41" s="88"/>
      <c r="D41" s="88"/>
      <c r="E41" s="30"/>
      <c r="F41" s="26"/>
      <c r="G41" s="31"/>
      <c r="H41" s="32"/>
      <c r="I41" s="43"/>
      <c r="J41" s="44"/>
    </row>
    <row r="42" spans="1:10" ht="39.9" customHeight="1" x14ac:dyDescent="0.3">
      <c r="A42" s="10"/>
      <c r="B42" s="89" t="s">
        <v>209</v>
      </c>
      <c r="C42" s="90"/>
      <c r="D42" s="90"/>
      <c r="E42" s="9">
        <v>5</v>
      </c>
      <c r="F42" s="26">
        <v>3.75</v>
      </c>
      <c r="G42" s="31">
        <f t="shared" si="0"/>
        <v>0.75</v>
      </c>
      <c r="H42" s="32" t="str">
        <f t="shared" si="1"/>
        <v>جيد</v>
      </c>
      <c r="I42" s="43"/>
      <c r="J42" s="44"/>
    </row>
    <row r="43" spans="1:10" ht="39.9" customHeight="1" x14ac:dyDescent="0.3">
      <c r="A43" s="10"/>
      <c r="B43" s="89" t="s">
        <v>210</v>
      </c>
      <c r="C43" s="90"/>
      <c r="D43" s="9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3"/>
      <c r="J43" s="44"/>
    </row>
    <row r="44" spans="1:10" ht="39.9" customHeight="1" x14ac:dyDescent="0.3">
      <c r="A44" s="10"/>
      <c r="B44" s="89" t="s">
        <v>211</v>
      </c>
      <c r="C44" s="90"/>
      <c r="D44" s="9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3"/>
      <c r="J44" s="44"/>
    </row>
    <row r="45" spans="1:10" ht="39.9" customHeight="1" x14ac:dyDescent="0.3">
      <c r="A45" s="10"/>
      <c r="B45" s="89" t="s">
        <v>212</v>
      </c>
      <c r="C45" s="90"/>
      <c r="D45" s="90"/>
      <c r="E45" s="9">
        <v>5</v>
      </c>
      <c r="F45" s="26">
        <v>3.75</v>
      </c>
      <c r="G45" s="31">
        <f t="shared" si="0"/>
        <v>0.75</v>
      </c>
      <c r="H45" s="32" t="str">
        <f t="shared" si="1"/>
        <v>جيد</v>
      </c>
      <c r="I45" s="43"/>
      <c r="J45" s="44"/>
    </row>
    <row r="46" spans="1:10" ht="39.9" customHeight="1" x14ac:dyDescent="0.3">
      <c r="A46" s="10"/>
      <c r="B46" s="87" t="s">
        <v>213</v>
      </c>
      <c r="C46" s="88"/>
      <c r="D46" s="88"/>
      <c r="E46" s="9">
        <v>5</v>
      </c>
      <c r="F46" s="26">
        <v>3.5</v>
      </c>
      <c r="G46" s="31">
        <f t="shared" si="0"/>
        <v>0.7</v>
      </c>
      <c r="H46" s="32" t="str">
        <f t="shared" si="1"/>
        <v>جيد</v>
      </c>
      <c r="I46" s="43"/>
      <c r="J46" s="44"/>
    </row>
    <row r="47" spans="1:10" ht="39.9" customHeight="1" thickBot="1" x14ac:dyDescent="0.35">
      <c r="A47" s="10"/>
      <c r="B47" s="95" t="s">
        <v>214</v>
      </c>
      <c r="C47" s="96"/>
      <c r="D47" s="96"/>
      <c r="E47" s="42">
        <v>5</v>
      </c>
      <c r="F47" s="27">
        <v>3.75</v>
      </c>
      <c r="G47" s="40">
        <f t="shared" si="0"/>
        <v>0.75</v>
      </c>
      <c r="H47" s="41" t="str">
        <f t="shared" si="1"/>
        <v>جيد</v>
      </c>
      <c r="I47" s="45"/>
      <c r="J47" s="46"/>
    </row>
    <row r="48" spans="1:10" ht="39.9" customHeight="1" x14ac:dyDescent="0.3">
      <c r="A48" s="10"/>
      <c r="B48" s="81" t="s">
        <v>215</v>
      </c>
      <c r="C48" s="82"/>
      <c r="D48" s="82"/>
      <c r="E48" s="35"/>
      <c r="F48" s="36"/>
      <c r="G48" s="37"/>
      <c r="H48" s="38"/>
      <c r="I48" s="52"/>
      <c r="J48" s="53"/>
    </row>
    <row r="49" spans="1:10" ht="39.9" customHeight="1" x14ac:dyDescent="0.3">
      <c r="A49" s="10"/>
      <c r="B49" s="85" t="s">
        <v>216</v>
      </c>
      <c r="C49" s="86"/>
      <c r="D49" s="8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43"/>
      <c r="J49" s="44"/>
    </row>
    <row r="50" spans="1:10" ht="53.25" customHeight="1" x14ac:dyDescent="0.3">
      <c r="A50" s="10"/>
      <c r="B50" s="85" t="s">
        <v>217</v>
      </c>
      <c r="C50" s="86"/>
      <c r="D50" s="86"/>
      <c r="E50" s="9">
        <v>5</v>
      </c>
      <c r="F50" s="26">
        <v>3.75</v>
      </c>
      <c r="G50" s="31">
        <f t="shared" si="0"/>
        <v>0.75</v>
      </c>
      <c r="H50" s="32" t="str">
        <f t="shared" si="1"/>
        <v>جيد</v>
      </c>
      <c r="I50" s="43"/>
      <c r="J50" s="44"/>
    </row>
    <row r="51" spans="1:10" ht="39.9" customHeight="1" x14ac:dyDescent="0.3">
      <c r="A51" s="10"/>
      <c r="B51" s="85" t="s">
        <v>218</v>
      </c>
      <c r="C51" s="86"/>
      <c r="D51" s="86"/>
      <c r="E51" s="9">
        <v>5</v>
      </c>
      <c r="F51" s="26">
        <v>3.5</v>
      </c>
      <c r="G51" s="31">
        <f t="shared" si="0"/>
        <v>0.7</v>
      </c>
      <c r="H51" s="32" t="str">
        <f t="shared" si="1"/>
        <v>جيد</v>
      </c>
      <c r="I51" s="43"/>
      <c r="J51" s="44"/>
    </row>
    <row r="52" spans="1:10" ht="71.25" customHeight="1" x14ac:dyDescent="0.3">
      <c r="A52" s="10"/>
      <c r="B52" s="85" t="s">
        <v>219</v>
      </c>
      <c r="C52" s="86"/>
      <c r="D52" s="8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43"/>
      <c r="J52" s="44"/>
    </row>
    <row r="53" spans="1:10" ht="39.9" customHeight="1" x14ac:dyDescent="0.3">
      <c r="A53" s="10"/>
      <c r="B53" s="85" t="s">
        <v>220</v>
      </c>
      <c r="C53" s="86"/>
      <c r="D53" s="8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3"/>
      <c r="J53" s="44"/>
    </row>
    <row r="54" spans="1:10" ht="39.9" customHeight="1" x14ac:dyDescent="0.3">
      <c r="A54" s="10"/>
      <c r="B54" s="85" t="s">
        <v>221</v>
      </c>
      <c r="C54" s="86"/>
      <c r="D54" s="8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3"/>
      <c r="J54" s="44"/>
    </row>
    <row r="55" spans="1:10" ht="39.9" customHeight="1" x14ac:dyDescent="0.3">
      <c r="A55" s="10"/>
      <c r="B55" s="85" t="s">
        <v>222</v>
      </c>
      <c r="C55" s="86"/>
      <c r="D55" s="8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43"/>
      <c r="J55" s="44"/>
    </row>
    <row r="56" spans="1:10" ht="39.9" customHeight="1" x14ac:dyDescent="0.3">
      <c r="A56" s="10"/>
      <c r="B56" s="85" t="s">
        <v>223</v>
      </c>
      <c r="C56" s="86"/>
      <c r="D56" s="86"/>
      <c r="E56" s="9">
        <v>5</v>
      </c>
      <c r="F56" s="26">
        <v>3.75</v>
      </c>
      <c r="G56" s="31">
        <f t="shared" si="0"/>
        <v>0.75</v>
      </c>
      <c r="H56" s="32" t="str">
        <f t="shared" si="1"/>
        <v>جيد</v>
      </c>
      <c r="I56" s="43"/>
      <c r="J56" s="44"/>
    </row>
    <row r="57" spans="1:10" ht="39.9" customHeight="1" x14ac:dyDescent="0.3">
      <c r="A57" s="10"/>
      <c r="B57" s="85" t="s">
        <v>224</v>
      </c>
      <c r="C57" s="86"/>
      <c r="D57" s="8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43"/>
      <c r="J57" s="44"/>
    </row>
    <row r="58" spans="1:10" ht="39.9" customHeight="1" x14ac:dyDescent="0.3">
      <c r="A58" s="10"/>
      <c r="B58" s="85" t="s">
        <v>225</v>
      </c>
      <c r="C58" s="86"/>
      <c r="D58" s="8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43"/>
      <c r="J58" s="44"/>
    </row>
    <row r="59" spans="1:10" ht="39.9" customHeight="1" x14ac:dyDescent="0.3">
      <c r="A59" s="10"/>
      <c r="B59" s="85" t="s">
        <v>226</v>
      </c>
      <c r="C59" s="86"/>
      <c r="D59" s="86"/>
      <c r="E59" s="9">
        <v>5</v>
      </c>
      <c r="F59" s="26">
        <v>3.75</v>
      </c>
      <c r="G59" s="31">
        <f t="shared" si="0"/>
        <v>0.75</v>
      </c>
      <c r="H59" s="32" t="str">
        <f t="shared" si="1"/>
        <v>جيد</v>
      </c>
      <c r="I59" s="43"/>
      <c r="J59" s="44"/>
    </row>
    <row r="60" spans="1:10" ht="39.9" customHeight="1" x14ac:dyDescent="0.3">
      <c r="A60" s="10"/>
      <c r="B60" s="85" t="s">
        <v>227</v>
      </c>
      <c r="C60" s="86"/>
      <c r="D60" s="8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43"/>
      <c r="J60" s="44"/>
    </row>
    <row r="61" spans="1:10" ht="39.9" customHeight="1" x14ac:dyDescent="0.3">
      <c r="A61" s="10"/>
      <c r="B61" s="85" t="s">
        <v>228</v>
      </c>
      <c r="C61" s="86"/>
      <c r="D61" s="86"/>
      <c r="E61" s="9">
        <v>5</v>
      </c>
      <c r="F61" s="26">
        <v>3.75</v>
      </c>
      <c r="G61" s="31">
        <f t="shared" si="0"/>
        <v>0.75</v>
      </c>
      <c r="H61" s="32" t="str">
        <f t="shared" si="1"/>
        <v>جيد</v>
      </c>
      <c r="I61" s="43"/>
      <c r="J61" s="44"/>
    </row>
    <row r="62" spans="1:10" ht="39.9" customHeight="1" x14ac:dyDescent="0.3">
      <c r="A62" s="10"/>
      <c r="B62" s="85" t="s">
        <v>229</v>
      </c>
      <c r="C62" s="86"/>
      <c r="D62" s="86"/>
      <c r="E62" s="9">
        <v>5</v>
      </c>
      <c r="F62" s="26">
        <v>3.75</v>
      </c>
      <c r="G62" s="31">
        <f t="shared" si="0"/>
        <v>0.75</v>
      </c>
      <c r="H62" s="32" t="str">
        <f t="shared" si="1"/>
        <v>جيد</v>
      </c>
      <c r="I62" s="43"/>
      <c r="J62" s="44"/>
    </row>
    <row r="63" spans="1:10" ht="39.9" customHeight="1" x14ac:dyDescent="0.3">
      <c r="A63" s="10"/>
      <c r="B63" s="85" t="s">
        <v>230</v>
      </c>
      <c r="C63" s="86"/>
      <c r="D63" s="86"/>
      <c r="E63" s="9">
        <v>5</v>
      </c>
      <c r="F63" s="26">
        <v>3.75</v>
      </c>
      <c r="G63" s="31">
        <f t="shared" si="0"/>
        <v>0.75</v>
      </c>
      <c r="H63" s="32" t="str">
        <f t="shared" si="1"/>
        <v>جيد</v>
      </c>
      <c r="I63" s="43"/>
      <c r="J63" s="44"/>
    </row>
    <row r="64" spans="1:10" ht="39.9" customHeight="1" x14ac:dyDescent="0.3">
      <c r="A64" s="10"/>
      <c r="B64" s="85" t="s">
        <v>231</v>
      </c>
      <c r="C64" s="86"/>
      <c r="D64" s="86"/>
      <c r="E64" s="9">
        <v>5</v>
      </c>
      <c r="F64" s="26">
        <v>3.75</v>
      </c>
      <c r="G64" s="31">
        <f t="shared" si="0"/>
        <v>0.75</v>
      </c>
      <c r="H64" s="32" t="str">
        <f t="shared" si="1"/>
        <v>جيد</v>
      </c>
      <c r="I64" s="43"/>
      <c r="J64" s="44"/>
    </row>
    <row r="65" spans="1:10" ht="39.9" customHeight="1" x14ac:dyDescent="0.3">
      <c r="A65" s="10"/>
      <c r="B65" s="85" t="s">
        <v>232</v>
      </c>
      <c r="C65" s="86"/>
      <c r="D65" s="86"/>
      <c r="E65" s="9">
        <v>5</v>
      </c>
      <c r="F65" s="26">
        <v>3.75</v>
      </c>
      <c r="G65" s="31">
        <f t="shared" si="0"/>
        <v>0.75</v>
      </c>
      <c r="H65" s="32" t="str">
        <f t="shared" si="1"/>
        <v>جيد</v>
      </c>
      <c r="I65" s="43"/>
      <c r="J65" s="44"/>
    </row>
    <row r="66" spans="1:10" ht="39.9" customHeight="1" x14ac:dyDescent="0.3">
      <c r="A66" s="10"/>
      <c r="B66" s="85" t="s">
        <v>233</v>
      </c>
      <c r="C66" s="86"/>
      <c r="D66" s="86"/>
      <c r="E66" s="9">
        <v>5</v>
      </c>
      <c r="F66" s="26">
        <v>3.75</v>
      </c>
      <c r="G66" s="31">
        <f t="shared" si="0"/>
        <v>0.75</v>
      </c>
      <c r="H66" s="32" t="str">
        <f t="shared" si="1"/>
        <v>جيد</v>
      </c>
      <c r="I66" s="43"/>
      <c r="J66" s="44"/>
    </row>
    <row r="67" spans="1:10" ht="39.9" customHeight="1" thickBot="1" x14ac:dyDescent="0.35">
      <c r="A67" s="10"/>
      <c r="B67" s="97" t="s">
        <v>234</v>
      </c>
      <c r="C67" s="98"/>
      <c r="D67" s="98"/>
      <c r="E67" s="42">
        <v>5</v>
      </c>
      <c r="F67" s="27">
        <v>3.75</v>
      </c>
      <c r="G67" s="40">
        <f t="shared" si="0"/>
        <v>0.75</v>
      </c>
      <c r="H67" s="41" t="str">
        <f t="shared" si="1"/>
        <v>جيد</v>
      </c>
      <c r="I67" s="45"/>
      <c r="J67" s="46"/>
    </row>
    <row r="68" spans="1:10" ht="30" customHeight="1" thickBot="1" x14ac:dyDescent="0.35">
      <c r="A68" s="4"/>
      <c r="B68" s="77" t="s">
        <v>5</v>
      </c>
      <c r="C68" s="78"/>
      <c r="D68" s="78"/>
      <c r="E68" s="29">
        <f>SUM(E8:E67)</f>
        <v>240</v>
      </c>
      <c r="F68" s="29">
        <f>SUM(F8:F67)</f>
        <v>178.5</v>
      </c>
      <c r="G68" s="49"/>
      <c r="H68" s="50"/>
      <c r="I68" s="50"/>
      <c r="J68" s="51"/>
    </row>
    <row r="69" spans="1:10" ht="30" customHeight="1" thickBot="1" x14ac:dyDescent="0.35">
      <c r="A69" s="4"/>
      <c r="B69" s="79" t="s">
        <v>54</v>
      </c>
      <c r="C69" s="80"/>
      <c r="D69" s="80"/>
      <c r="E69" s="61">
        <f>F68/E68/100*100</f>
        <v>0.74375000000000002</v>
      </c>
      <c r="F69" s="61"/>
      <c r="G69" s="61"/>
      <c r="H69" s="61"/>
      <c r="I69" s="61"/>
      <c r="J69" s="62"/>
    </row>
    <row r="70" spans="1:10" ht="30" customHeight="1" thickBot="1" x14ac:dyDescent="0.35">
      <c r="A70" s="4"/>
      <c r="B70" s="79" t="s">
        <v>55</v>
      </c>
      <c r="C70" s="80"/>
      <c r="D70" s="80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175</v>
      </c>
      <c r="C71" s="71"/>
      <c r="D71" s="71"/>
      <c r="E71" s="47" t="s">
        <v>52</v>
      </c>
      <c r="F71" s="47"/>
      <c r="G71" s="73" t="s">
        <v>142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48" t="s">
        <v>53</v>
      </c>
      <c r="F72" s="48"/>
      <c r="G72" s="74"/>
      <c r="H72" s="74"/>
      <c r="I72" s="74"/>
      <c r="J72" s="74"/>
    </row>
  </sheetData>
  <sheetProtection formatCells="0" formatColumns="0" formatRows="0" insertColumns="0" insertRows="0" insertHyperlinks="0" deleteColumns="0" deleteRows="0" selectLockedCells="1" sort="0" autoFilter="0" pivotTables="0"/>
  <mergeCells count="142">
    <mergeCell ref="C4:D4"/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2025-10-27T22:31:33Z</dcterms:modified>
</cp:coreProperties>
</file>