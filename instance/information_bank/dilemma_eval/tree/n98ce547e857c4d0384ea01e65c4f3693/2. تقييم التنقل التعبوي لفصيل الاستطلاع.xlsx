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445262E7-C092-4E08-90C1-E9F3583DF0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F51" i="2"/>
  <c r="E51" i="2"/>
  <c r="E52" i="2"/>
  <c r="E53" i="2"/>
</calcChain>
</file>

<file path=xl/sharedStrings.xml><?xml version="1.0" encoding="utf-8"?>
<sst xmlns="http://schemas.openxmlformats.org/spreadsheetml/2006/main" count="280" uniqueCount="224">
  <si>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</si>
  <si>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</si>
  <si>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</si>
  <si>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</si>
  <si>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</si>
  <si>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</si>
  <si>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</si>
  <si>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</si>
  <si>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</si>
  <si>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</si>
  <si>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</si>
  <si>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</si>
  <si>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</si>
  <si>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</si>
  <si>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</si>
  <si>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</si>
  <si>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</si>
  <si>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</si>
  <si>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</si>
  <si>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</si>
  <si>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</si>
  <si>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</si>
  <si>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</si>
  <si>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</si>
  <si>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</si>
  <si>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</si>
  <si>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</si>
  <si>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</si>
  <si>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</si>
  <si>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</si>
  <si>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</si>
  <si>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</si>
  <si>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</si>
  <si>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</si>
  <si>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</si>
  <si>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</si>
  <si>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</si>
  <si>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</si>
  <si>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</si>
  <si>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</si>
  <si>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</si>
  <si>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</si>
  <si>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</si>
  <si>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</si>
  <si>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</si>
  <si>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</si>
  <si>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</si>
  <si>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</si>
  <si>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</si>
  <si>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</si>
  <si>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</si>
  <si>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</si>
  <si>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</si>
  <si>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</si>
  <si>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</si>
  <si>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</si>
  <si>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</si>
  <si>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</si>
  <si>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</si>
  <si>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</si>
  <si>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</si>
  <si>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</si>
  <si>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</si>
  <si>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</si>
  <si>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</si>
  <si>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</si>
  <si>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</si>
  <si>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</si>
  <si>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</si>
  <si>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</si>
  <si>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</si>
  <si>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</si>
  <si>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</si>
  <si>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</si>
  <si>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</si>
  <si>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</si>
  <si>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</si>
  <si>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</si>
  <si>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</si>
  <si>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</si>
  <si>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</si>
  <si>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</si>
  <si>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</si>
  <si>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</si>
  <si>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</si>
  <si>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</si>
  <si>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</si>
  <si>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</si>
  <si>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</si>
  <si>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</si>
  <si>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</si>
  <si>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</si>
  <si>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</si>
  <si>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</si>
  <si>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</si>
  <si>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</si>
  <si>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</si>
  <si>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</si>
  <si>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</si>
  <si>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</si>
  <si>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</si>
  <si>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</si>
  <si>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</si>
  <si>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</si>
  <si>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</si>
  <si>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</si>
  <si>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</si>
  <si>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</si>
  <si>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</si>
  <si>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</si>
  <si>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</si>
  <si>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</si>
  <si>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</si>
  <si>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</si>
  <si>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</si>
  <si>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</si>
  <si>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</si>
  <si>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</si>
  <si>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</si>
  <si>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</si>
  <si>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</si>
  <si>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</si>
  <si>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</si>
  <si>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</si>
  <si>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</si>
  <si>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</si>
  <si>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</si>
  <si>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</si>
  <si>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</si>
  <si>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</si>
  <si>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</si>
  <si>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</si>
  <si>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</si>
  <si>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</si>
  <si>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</si>
  <si>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</si>
  <si>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</si>
  <si>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</si>
  <si>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</si>
  <si>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</si>
  <si>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</si>
  <si>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</si>
  <si>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</si>
  <si>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</si>
  <si>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</si>
  <si>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</si>
  <si>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</si>
  <si>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</si>
  <si>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</si>
  <si>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</si>
  <si>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</si>
  <si>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</si>
  <si>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</si>
  <si>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</si>
  <si>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</si>
  <si>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</si>
  <si>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</si>
  <si>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</si>
  <si>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</si>
  <si>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</si>
  <si>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</si>
  <si>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</si>
  <si>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</si>
  <si>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</si>
  <si>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</si>
  <si>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</si>
  <si>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</si>
  <si>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</si>
  <si>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</si>
  <si>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</si>
  <si>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</si>
  <si>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</si>
  <si>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</si>
  <si>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</si>
  <si>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</si>
  <si>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</si>
  <si>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</si>
  <si>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</si>
  <si>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</si>
  <si>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</si>
  <si>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</si>
  <si>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يعمل القادة في فصيل الاستطلاع على فهم الموقف باستخدام معدات الاتصال المتوفرة، والخرائط، وتقارير الموقف، ومصادر المعلومات المتوفرة الأخرى. 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</si>
  <si>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تستلم فصيل الاستطلاع أمر العمليات أو الأمر المجزأ لتنفيذ عملية التنقل التعبوي ويتم البدء بإجراءات التخطيط وكما يلي:</t>
    </r>
  </si>
  <si>
    <t>أ. تحديد متطلبات التنقل.</t>
  </si>
  <si>
    <t>ب. طلب المنتجات الاستخبارية المحدّثة من المستوى الأعلى في حالة عدم استلامها مع أمر العمليات.</t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</si>
  <si>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تنفيذ الاستطلاع من الخارطة لتحديد ما يلي:</t>
    </r>
  </si>
  <si>
    <t>أ. طريق/ طرق التنقل في حالة عدم تحديدها في أمر المستوى الأعلى.</t>
  </si>
  <si>
    <t>ب. مقتربات العدو الأكثر احتمالاً (في حال كان التماس مع العدو متوقعاً).</t>
  </si>
  <si>
    <t>جـ. انتخاب نقطة البدء ونقطة الانتشار.</t>
  </si>
  <si>
    <t>د. المناطق الحرجة، مثل المناطق الخطرة، الممرات الضيقة، الخوانق، نقاط السيطرة على المسير.</t>
  </si>
  <si>
    <t>هـ. منطقة التجمع ومنطقة المأوى.</t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</si>
  <si>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دفع عناصر الاستطلاع والمراقبة مبكراً للمساعدة في عملية التخطيط (حسب الحاجة).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</si>
  <si>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إجراءات الحماية التي سيتم تطبيقها قبل بدء التنقل، أثناء التنقل وبعد الوصول.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</si>
  <si>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إصدار الأوامر المرؤوسين، وتقديم إيجازات تأكيدية من القادة المرؤوسين فور استلامهم للأوامر للتأكد من فهمهم لقصد القائد ومفهوم عملياته.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</si>
  <si>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توفر الطرق والظروف المناسبة للتنقل إذا لم يتم تحديد الطرق من قبل المستوى الأعلى.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</si>
  <si>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ملائمة نقطة البدء ونقطة الانتشار.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</si>
  <si>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المسافة بين نقاط الضبط والسيطرة على الطرق والمسافة الكلية من نقطة البدء وحتى نقطة الانتشار.</t>
    </r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</si>
  <si>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التأكد من موقع منطقة التجمع أو المأوى.</t>
    </r>
  </si>
  <si>
    <r>
      <t>11.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التأكد من مواقع نقاط الضبط والسيطرة على الطريق.</t>
    </r>
  </si>
  <si>
    <r>
      <t>12.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تحديد وتأشير الموانع على الخارطة.</t>
    </r>
  </si>
  <si>
    <t>مرحلة التحضير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</si>
  <si>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يقوم فصيل الاستطلاع بالتحضير للتنقل التعبوي كما يلي:</t>
    </r>
  </si>
  <si>
    <t>أ. قيام الفصيل باستطلاع الطريق المؤدي إلى نقطة البدء وتحديد الوقت الدقيق للوصول إليها.</t>
  </si>
  <si>
    <t>ب. تنفيذ تفقدات وتفتيشات ما قبل المعركة.</t>
  </si>
  <si>
    <t>جـ. الإشراف على إجراءات التأكد من أن جهود التخطيط والتحضير تجري في الاتجاه الصحيح وتتوافق مع قصد القائد.</t>
  </si>
  <si>
    <t>د. إجراء التجارب خلال ساعات النهار وفي ظل ظروف الرؤية المحدودة إن أمكن.</t>
  </si>
  <si>
    <t>هـ. تحميل كافة الآليات وفقاً لخطة التحميل وخطة الإدامة.</t>
  </si>
  <si>
    <t>ز. فحص أجهزة الاتصالات في كافة الآليات قبل البدء بالحركة.</t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</si>
  <si>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توضيع عناصر الاستطلاع ضمن نظام المسير الصحيح.</t>
    </r>
  </si>
  <si>
    <t>مرحلة التنفيذ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</si>
  <si>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اجتياز نقطة البدء في الوقت المحدد في أمر العمليات أو الأمر المجزأ.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</si>
  <si>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التشكيلة المحددة، أسلوب التنقل ومعدل المسير والمحافظة على السرعة الملائمة للوصول إلى نقاط الضبط والسيطرة في الأوقات المحددة في الأمر.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</si>
  <si>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إشارات التعارف البصرية أو الأجهزة اللاسلكية للاتصال مع الوحدات وبما يتوافق مع أمر العمليات والأوامر التعبوية المستديمة.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</si>
  <si>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إدامة المراقبة لجميع الجهات بما في ذلك المراقبة الجوية أثناء الحركة والوقفات.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</si>
  <si>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تمرير المعلومات عند اجتياز نقاط الضبط والسيطرة بما يتوافق مع أمر العمليات والأوامر التعبوية المستديمة.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</si>
  <si>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تنفيذ الوقفات المبرمجة ضمن المسافات الاعتيادية وبما يتوافق مع أمر العمليات أو الأوامر التعبوية المستديمة في حالة سمح الموقف التعبوي بذلك، والقيام بإجراء الصيانة الوقائية وإعادة التزود بالوقود عند الضرورة.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</si>
  <si>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التعامل مع الموانع حسب الأوامر.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</si>
  <si>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تمرير مواقع الوحدات للمستوى الأعلى وحسب الطلب.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</si>
  <si>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تطبيق إجراءات التماس مع قوات العدو حسب أمر العمليات أو الأوامر التعبوية المستديمة.</t>
    </r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</si>
  <si>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الوصول إلى نقاط الانتشار واجتيازها حسب الوقت المحدد في أمر العمليات.</t>
    </r>
  </si>
  <si>
    <r>
      <t>11.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تمرير المعلومات الوصول إلى نقاط الانتشار واتمام اجتيازها دون توقف.</t>
    </r>
  </si>
  <si>
    <r>
      <t>12.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تعين الأدلاء منطقة التجمع المحددة.</t>
    </r>
  </si>
  <si>
    <r>
      <t>13.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تطبيق الانتشار وإجراءات التخفية والتمويه الملائمة.</t>
    </r>
  </si>
  <si>
    <r>
      <rPr>
        <b/>
        <sz val="14"/>
        <color rgb="FF000000"/>
        <rFont val="Arial"/>
        <family val="2"/>
      </rPr>
      <t>تقييم فصيل الاستطلاع في التنقل التعبوي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</si>
</sst>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5" borderId="12" xfId="0" applyFont="1" applyFill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9" fontId="3" fillId="0" borderId="14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13" fillId="5" borderId="23" xfId="0" applyFont="1" applyFill="1" applyBorder="1" applyAlignment="1">
      <alignment horizontal="right" vertical="center" wrapText="1" indent="2" readingOrder="2"/>
    </xf>
    <xf numFmtId="0" fontId="13" fillId="5" borderId="3" xfId="0" applyFont="1" applyFill="1" applyBorder="1" applyAlignment="1">
      <alignment horizontal="right" vertical="center" wrapText="1" indent="2" readingOrder="2"/>
    </xf>
    <xf numFmtId="0" fontId="3" fillId="6" borderId="26" xfId="0" applyFont="1" applyFill="1" applyBorder="1" applyAlignment="1">
      <alignment horizontal="right" vertical="center" wrapText="1" readingOrder="2"/>
    </xf>
    <xf numFmtId="0" fontId="3" fillId="6" borderId="27" xfId="0" applyFont="1" applyFill="1" applyBorder="1" applyAlignment="1">
      <alignment horizontal="right" vertical="center" wrapText="1" readingOrder="2"/>
    </xf>
    <xf numFmtId="0" fontId="3" fillId="6" borderId="28" xfId="0" applyFont="1" applyFill="1" applyBorder="1" applyAlignment="1">
      <alignment horizontal="right" vertical="center" wrapText="1" readingOrder="2"/>
    </xf>
    <xf numFmtId="0" fontId="13" fillId="5" borderId="24" xfId="0" applyFont="1" applyFill="1" applyBorder="1" applyAlignment="1">
      <alignment horizontal="right" vertical="center" wrapText="1" readingOrder="2"/>
    </xf>
    <xf numFmtId="0" fontId="13" fillId="5" borderId="14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167505</xdr:colOff>
      <xdr:row>53</xdr:row>
      <xdr:rowOff>520545</xdr:rowOff>
    </xdr:from>
    <xdr:to>
      <xdr:col>9</xdr:col>
      <xdr:colOff>30314</xdr:colOff>
      <xdr:row>54</xdr:row>
      <xdr:rowOff>556095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B24FE37-E2DF-B59B-6E59-22D33A1AE129}"/>
                </a:ext>
              </a:extLst>
            </xdr14:cNvPr>
            <xdr14:cNvContentPartPr/>
          </xdr14:nvContentPartPr>
          <xdr14:nvPr macro=""/>
          <xdr14:xfrm>
            <a:off x="10398556505" y="23877000"/>
            <a:ext cx="1837080" cy="5666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B24FE37-E2DF-B59B-6E59-22D33A1AE12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547865" y="23868000"/>
              <a:ext cx="1854720" cy="58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109535</xdr:colOff>
      <xdr:row>55</xdr:row>
      <xdr:rowOff>35548</xdr:rowOff>
    </xdr:from>
    <xdr:to>
      <xdr:col>7</xdr:col>
      <xdr:colOff>109895</xdr:colOff>
      <xdr:row>55</xdr:row>
      <xdr:rowOff>35908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FEC5634-9ECC-036A-2119-8F44FE80A775}"/>
                </a:ext>
              </a:extLst>
            </xdr14:cNvPr>
            <xdr14:cNvContentPartPr/>
          </xdr14:nvContentPartPr>
          <xdr14:nvPr macro=""/>
          <xdr14:xfrm>
            <a:off x="10399793105" y="2456964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FEC5634-9ECC-036A-2119-8F44FE80A77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784465" y="24561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06:22:57.8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4944 467,'0'0,"0"0,0 0,0 0,0 0,0 0,0 0,0 0,0 0,0 0,0 0,0 0,0 0,0 0,-16 0,1 0,13 0,-28 0,-1 0,27 0,-22 0,-20 0,36 0,-27 16,-9 1,36-15,-27 12,4 18,31-28,-42 8,14 37,25-42,-21 18,9 7,15-27,-26 38,28 5,0-40,-16 17,32 7,-13-27,-6 22,18 5,-14-27,30 22,-17-10,-12-15,28 12,1-14,-26 0,37 16,-12-16,-24 0,21 0,3 0,-26 0,22 0,-10 0,-13 0,24 0,-10 0,-15 0,12 0,-7 0,-14 16,-9-16,-1 16,17-13,-13 11,-20 18,31-28,-26 8,-19 20,40-27,-16 22,-24 5,38-27,-14 22,-7 5,25-26,-38 21,13-11,23-13,-32 26,6-13,31-13,-43 10,15 3,25-13,-20 10,-8-13,28 0,-36 17,11-17,25 0,-7-17,-18 17,25 0,-21-16,11 0,12 14,-25-28,11-2,15 27,-11-39,-2-4,13 41,-12-34,14-7,0 41,-17-67,17 26,0 40,0-49,0 9,0 41,0-51,0 10,0 41,0-34,17 9,-15 27,-4-22,2-5,0 27,0-6,0-22,0 27,16-4,-16-6,0 13,0-10,0-4,0 15,0 21,-16-3,-1 16,17-27,-14 23,-2 4,14-27,-12 22,-16 5,25-27,-21 38,-6-11,30-27,-26 22,-3 6,24-28,-18 6,-22 21,40-26,-16 20,-24 6,40-26,-33 5,-6 21,39-27,-33 22,-6-10,39-15,-49 28,-5-14,52-14,-45 28,8-14,38-14,-62 12,8 18,53-27,-29 6,-25 5,54-13,-28-6,-10 19,40-13,-47 10,7-13,39 0,-30 17,-25-17,54 0,-29 16,8-16,24 0,-34 0,7 0,31 0,-26 0,-2 0,22 0,-1 0,-22 0,28 0,-9 0,-19 16,24-13,-3-6,-20 3,26 0,-8 0,-4 0,16 0,-31 0,15 16,16-13,-30-6,0 3,25 0,-7 16,-18-16,26 0,-8 16,-18-16,22 0,-17 16,-5-16,25 0,-21 16,-6-16,29 0,-24 0,-4 0,26 0,-22 0,12 0,14 0,-30 0,0-16,27 14,-22 4,10-34,14 27,-12-22,0-5,11 27,6-55,-3 12,0 40,0-96,46-42,-39 124,33-69,6-21,-39 94,33-28,21-35,-49 68,8-39,27 4,-40 41,47-18,8-8,-52 28,27-6,9-5,-39 13,33-10,-9 13,-24 0,18-16,6 16,-27 0,38 0,5 16,-40-13,2-6,5 19,-12-13,12 10,-14 20,0-28,0 22,-30 21,26-40,-8 32,-35 25,40-55,-32 29,-24 25,53-54,-58 44,-8-6,64-40,-55 49,-10-9,62-39,-80 47,-29-8,101-40,-63 33,-37 7,104-41,-86 50,-21-9,106-40,-67 33,-7-9,79-27,-79 22,17 5,64-26,-53 4,-27 23,79-28,-32 6,-34 5,69-14,-39 12,-13 2,55-13,-30-6,-9 20,41-15,-34-4,-7 2,41 0,-18 16,-23-16,38 0,-14 0,-7 0,25 0,-7 0,-19 0,28 0,-9 0,-3 0,13 0,-12 0,12 0,20 0,-3 0,17 16,-29-14,55-4,68 18,-108-14,150-4,32 2,-169 0,187 0,62-16,-235 13,206-43,12-18,-220 53,178-75,28-11,-209 82,137-66,42-32,-186 96,104-63,3-16,-117 79,47-31,8-16,-67 54,40-28,-20-10,-25 40,20-17,-12-7,-12 26,29-21,-17-21,-12 41,-4-34,2-24,0 54,0-42,-14 5,11 40,6-48,-19 7,13 41,6-16,-20-9,17 28,0-6,-14 11,12 0,-12-16,-2 32,16-13,-31 27,0 2,25-27,-19 39,-6 4,27-41,-23 66,-19 24,36-81,-27 64,5 33,27-94,-37 75,12 35,25-108,-37 119,11 21,25-136,-34 159,-7 26,39-177,16-66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06:22:58.1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1,'0'0,"0"0,0 0,0 0,0 0,0 0,0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5"/>
  <sheetViews>
    <sheetView rightToLeft="1" tabSelected="1" view="pageBreakPreview" topLeftCell="B1" zoomScale="130" zoomScaleNormal="100" zoomScaleSheetLayoutView="130" workbookViewId="0">
      <selection activeCell="F2" sqref="F2:J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5" t="s">
        <v>223</v>
      </c>
      <c r="C1" s="45"/>
      <c r="D1" s="45"/>
      <c r="E1" s="45"/>
      <c r="F1" s="45"/>
      <c r="G1" s="45"/>
      <c r="H1" s="45"/>
      <c r="I1" s="45"/>
      <c r="J1" s="45"/>
    </row>
    <row r="2" spans="1:10" ht="30" customHeight="1" x14ac:dyDescent="0.3">
      <c r="B2" s="11" t="s">
        <v>8</v>
      </c>
      <c r="C2" s="51" t="s">
        <v>10</v>
      </c>
      <c r="D2" s="51"/>
      <c r="E2" s="11" t="s">
        <v>7</v>
      </c>
      <c r="F2" s="46">
        <v>45937</v>
      </c>
      <c r="G2" s="46"/>
      <c r="H2" s="46"/>
      <c r="I2" s="46"/>
      <c r="J2" s="46"/>
    </row>
    <row r="3" spans="1:10" ht="30" customHeight="1" x14ac:dyDescent="0.3">
      <c r="B3" s="11" t="s">
        <v>9</v>
      </c>
      <c r="C3" s="51" t="s">
        <v>65</v>
      </c>
      <c r="D3" s="51"/>
      <c r="E3" s="11" t="s">
        <v>6</v>
      </c>
      <c r="F3" s="51" t="s">
        <v>113</v>
      </c>
      <c r="G3" s="51"/>
      <c r="H3" s="51"/>
      <c r="I3" s="51"/>
      <c r="J3" s="51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47" t="s">
        <v>0</v>
      </c>
      <c r="C5" s="48"/>
      <c r="D5" s="48"/>
      <c r="E5" s="56" t="s">
        <v>1</v>
      </c>
      <c r="F5" s="56"/>
      <c r="G5" s="56"/>
      <c r="H5" s="56"/>
      <c r="I5" s="56" t="s">
        <v>2</v>
      </c>
      <c r="J5" s="57"/>
    </row>
    <row r="6" spans="1:10" ht="24.9" customHeight="1" thickBot="1" x14ac:dyDescent="0.35">
      <c r="A6" s="9"/>
      <c r="B6" s="49"/>
      <c r="C6" s="50"/>
      <c r="D6" s="50"/>
      <c r="E6" s="10" t="s">
        <v>3</v>
      </c>
      <c r="F6" s="10" t="s">
        <v>4</v>
      </c>
      <c r="G6" s="10" t="s">
        <v>23</v>
      </c>
      <c r="H6" s="10" t="s">
        <v>24</v>
      </c>
      <c r="I6" s="58"/>
      <c r="J6" s="59"/>
    </row>
    <row r="7" spans="1:10" ht="24.9" customHeight="1" thickBot="1" x14ac:dyDescent="0.35">
      <c r="A7" s="9"/>
      <c r="B7" s="54" t="s">
        <v>21</v>
      </c>
      <c r="C7" s="55"/>
      <c r="D7" s="55"/>
      <c r="E7" s="27" t="s">
        <v>18</v>
      </c>
      <c r="F7" s="27" t="s">
        <v>19</v>
      </c>
      <c r="G7" s="27" t="s">
        <v>22</v>
      </c>
      <c r="H7" s="27" t="s">
        <v>20</v>
      </c>
      <c r="I7" s="60" t="s">
        <v>25</v>
      </c>
      <c r="J7" s="61"/>
    </row>
    <row r="8" spans="1:10" ht="30" customHeight="1" x14ac:dyDescent="0.3">
      <c r="A8" s="9"/>
      <c r="B8" s="81" t="s">
        <v>180</v>
      </c>
      <c r="C8" s="82"/>
      <c r="D8" s="82"/>
      <c r="E8" s="82"/>
      <c r="F8" s="82"/>
      <c r="G8" s="82"/>
      <c r="H8" s="82"/>
      <c r="I8" s="82"/>
      <c r="J8" s="83"/>
    </row>
    <row r="9" spans="1:10" ht="51" customHeight="1" x14ac:dyDescent="0.3">
      <c r="A9" s="9"/>
      <c r="B9" s="43" t="s">
        <v>181</v>
      </c>
      <c r="C9" s="44"/>
      <c r="D9" s="44"/>
      <c r="E9" s="31">
        <v>5</v>
      </c>
      <c r="F9" s="25">
        <v>3.75</v>
      </c>
      <c r="G9" s="29">
        <f>IFERROR(F9/E9,"")</f>
        <v>0.75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9"/>
      <c r="J9" s="40"/>
    </row>
    <row r="10" spans="1:10" ht="39.9" customHeight="1" x14ac:dyDescent="0.3">
      <c r="A10" s="9"/>
      <c r="B10" s="43" t="s">
        <v>182</v>
      </c>
      <c r="C10" s="44"/>
      <c r="D10" s="44"/>
      <c r="E10" s="31"/>
      <c r="F10" s="25"/>
      <c r="G10" s="29"/>
      <c r="H10" s="30"/>
      <c r="I10" s="39"/>
      <c r="J10" s="40"/>
    </row>
    <row r="11" spans="1:10" ht="30" customHeight="1" x14ac:dyDescent="0.3">
      <c r="A11" s="9"/>
      <c r="B11" s="79" t="s">
        <v>183</v>
      </c>
      <c r="C11" s="80"/>
      <c r="D11" s="80"/>
      <c r="E11" s="31">
        <v>5</v>
      </c>
      <c r="F11" s="25">
        <v>4</v>
      </c>
      <c r="G11" s="29">
        <f t="shared" ref="G11:G50" si="0">IFERROR(F11/E11,"")</f>
        <v>0.8</v>
      </c>
      <c r="H11" s="30" t="str">
        <f t="shared" ref="H11:H50" si="1">_xlfn.IFS(F11="أدخل العلامة","",F11="لا ينطبق","تم الإلغاء",G11&gt;=90%,"ممتاز",G11&gt;=80%,"جيد جداً",G11&gt;=70%,"جيد",G11&gt;=60%,"مقبول",G11&lt;60%,"راسب")</f>
        <v>جيد جداً</v>
      </c>
      <c r="I11" s="39"/>
      <c r="J11" s="40"/>
    </row>
    <row r="12" spans="1:10" ht="39.9" customHeight="1" x14ac:dyDescent="0.3">
      <c r="A12" s="9"/>
      <c r="B12" s="79" t="s">
        <v>184</v>
      </c>
      <c r="C12" s="80"/>
      <c r="D12" s="80"/>
      <c r="E12" s="31">
        <v>5</v>
      </c>
      <c r="F12" s="25">
        <v>3.75</v>
      </c>
      <c r="G12" s="29">
        <f t="shared" si="0"/>
        <v>0.75</v>
      </c>
      <c r="H12" s="30" t="str">
        <f t="shared" si="1"/>
        <v>جيد</v>
      </c>
      <c r="I12" s="39"/>
      <c r="J12" s="40"/>
    </row>
    <row r="13" spans="1:10" ht="30" customHeight="1" x14ac:dyDescent="0.3">
      <c r="A13" s="9"/>
      <c r="B13" s="43" t="s">
        <v>185</v>
      </c>
      <c r="C13" s="44"/>
      <c r="D13" s="44"/>
      <c r="E13" s="31"/>
      <c r="F13" s="25"/>
      <c r="G13" s="29"/>
      <c r="H13" s="30"/>
      <c r="I13" s="39"/>
      <c r="J13" s="40"/>
    </row>
    <row r="14" spans="1:10" ht="30" customHeight="1" x14ac:dyDescent="0.3">
      <c r="A14" s="9"/>
      <c r="B14" s="79" t="s">
        <v>186</v>
      </c>
      <c r="C14" s="80"/>
      <c r="D14" s="80"/>
      <c r="E14" s="31">
        <v>5</v>
      </c>
      <c r="F14" s="25">
        <v>3.75</v>
      </c>
      <c r="G14" s="29">
        <f t="shared" si="0"/>
        <v>0.75</v>
      </c>
      <c r="H14" s="30" t="str">
        <f t="shared" si="1"/>
        <v>جيد</v>
      </c>
      <c r="I14" s="39"/>
      <c r="J14" s="40"/>
    </row>
    <row r="15" spans="1:10" ht="39.9" customHeight="1" x14ac:dyDescent="0.3">
      <c r="A15" s="9"/>
      <c r="B15" s="79" t="s">
        <v>187</v>
      </c>
      <c r="C15" s="80"/>
      <c r="D15" s="80"/>
      <c r="E15" s="31">
        <v>5</v>
      </c>
      <c r="F15" s="25">
        <v>3.75</v>
      </c>
      <c r="G15" s="29">
        <f t="shared" si="0"/>
        <v>0.75</v>
      </c>
      <c r="H15" s="30" t="str">
        <f t="shared" si="1"/>
        <v>جيد</v>
      </c>
      <c r="I15" s="39"/>
      <c r="J15" s="40"/>
    </row>
    <row r="16" spans="1:10" ht="30" customHeight="1" x14ac:dyDescent="0.3">
      <c r="A16" s="9"/>
      <c r="B16" s="79" t="s">
        <v>188</v>
      </c>
      <c r="C16" s="80"/>
      <c r="D16" s="80"/>
      <c r="E16" s="31">
        <v>5</v>
      </c>
      <c r="F16" s="25">
        <v>4</v>
      </c>
      <c r="G16" s="29">
        <f t="shared" si="0"/>
        <v>0.8</v>
      </c>
      <c r="H16" s="30" t="str">
        <f t="shared" si="1"/>
        <v>جيد جداً</v>
      </c>
      <c r="I16" s="39"/>
      <c r="J16" s="40"/>
    </row>
    <row r="17" spans="1:10" ht="39.9" customHeight="1" x14ac:dyDescent="0.3">
      <c r="A17" s="9"/>
      <c r="B17" s="79" t="s">
        <v>189</v>
      </c>
      <c r="C17" s="80"/>
      <c r="D17" s="80"/>
      <c r="E17" s="31">
        <v>5</v>
      </c>
      <c r="F17" s="25">
        <v>3.75</v>
      </c>
      <c r="G17" s="29">
        <f t="shared" si="0"/>
        <v>0.75</v>
      </c>
      <c r="H17" s="30" t="str">
        <f t="shared" si="1"/>
        <v>جيد</v>
      </c>
      <c r="I17" s="39"/>
      <c r="J17" s="40"/>
    </row>
    <row r="18" spans="1:10" ht="30" customHeight="1" x14ac:dyDescent="0.3">
      <c r="A18" s="9"/>
      <c r="B18" s="79" t="s">
        <v>190</v>
      </c>
      <c r="C18" s="80"/>
      <c r="D18" s="80"/>
      <c r="E18" s="31">
        <v>5</v>
      </c>
      <c r="F18" s="25">
        <v>4</v>
      </c>
      <c r="G18" s="29">
        <f t="shared" si="0"/>
        <v>0.8</v>
      </c>
      <c r="H18" s="30" t="str">
        <f t="shared" si="1"/>
        <v>جيد جداً</v>
      </c>
      <c r="I18" s="39"/>
      <c r="J18" s="40"/>
    </row>
    <row r="19" spans="1:10" ht="39.9" customHeight="1" x14ac:dyDescent="0.3">
      <c r="A19" s="9"/>
      <c r="B19" s="43" t="s">
        <v>191</v>
      </c>
      <c r="C19" s="44"/>
      <c r="D19" s="44"/>
      <c r="E19" s="31">
        <v>5</v>
      </c>
      <c r="F19" s="25">
        <v>3.75</v>
      </c>
      <c r="G19" s="29">
        <f t="shared" si="0"/>
        <v>0.75</v>
      </c>
      <c r="H19" s="30" t="str">
        <f t="shared" si="1"/>
        <v>جيد</v>
      </c>
      <c r="I19" s="39"/>
      <c r="J19" s="40"/>
    </row>
    <row r="20" spans="1:10" ht="39.9" customHeight="1" x14ac:dyDescent="0.3">
      <c r="A20" s="9"/>
      <c r="B20" s="43" t="s">
        <v>192</v>
      </c>
      <c r="C20" s="44"/>
      <c r="D20" s="44"/>
      <c r="E20" s="31">
        <v>5</v>
      </c>
      <c r="F20" s="25">
        <v>3.75</v>
      </c>
      <c r="G20" s="29">
        <f t="shared" si="0"/>
        <v>0.75</v>
      </c>
      <c r="H20" s="30" t="str">
        <f t="shared" si="1"/>
        <v>جيد</v>
      </c>
      <c r="I20" s="39"/>
      <c r="J20" s="40"/>
    </row>
    <row r="21" spans="1:10" ht="51" customHeight="1" x14ac:dyDescent="0.3">
      <c r="A21" s="9"/>
      <c r="B21" s="43" t="s">
        <v>193</v>
      </c>
      <c r="C21" s="44"/>
      <c r="D21" s="44"/>
      <c r="E21" s="31">
        <v>5</v>
      </c>
      <c r="F21" s="25">
        <v>4</v>
      </c>
      <c r="G21" s="29">
        <f t="shared" si="0"/>
        <v>0.8</v>
      </c>
      <c r="H21" s="30" t="str">
        <f t="shared" si="1"/>
        <v>جيد جداً</v>
      </c>
      <c r="I21" s="39"/>
      <c r="J21" s="40"/>
    </row>
    <row r="22" spans="1:10" ht="39.9" customHeight="1" x14ac:dyDescent="0.3">
      <c r="A22" s="9"/>
      <c r="B22" s="43" t="s">
        <v>194</v>
      </c>
      <c r="C22" s="44"/>
      <c r="D22" s="44"/>
      <c r="E22" s="31">
        <v>5</v>
      </c>
      <c r="F22" s="25">
        <v>3.75</v>
      </c>
      <c r="G22" s="29">
        <f t="shared" si="0"/>
        <v>0.75</v>
      </c>
      <c r="H22" s="30" t="str">
        <f t="shared" si="1"/>
        <v>جيد</v>
      </c>
      <c r="I22" s="39"/>
      <c r="J22" s="40"/>
    </row>
    <row r="23" spans="1:10" ht="30" customHeight="1" x14ac:dyDescent="0.3">
      <c r="A23" s="9"/>
      <c r="B23" s="43" t="s">
        <v>195</v>
      </c>
      <c r="C23" s="44"/>
      <c r="D23" s="44"/>
      <c r="E23" s="31">
        <v>5</v>
      </c>
      <c r="F23" s="25">
        <v>4</v>
      </c>
      <c r="G23" s="29">
        <f t="shared" si="0"/>
        <v>0.8</v>
      </c>
      <c r="H23" s="30" t="str">
        <f t="shared" si="1"/>
        <v>جيد جداً</v>
      </c>
      <c r="I23" s="39"/>
      <c r="J23" s="40"/>
    </row>
    <row r="24" spans="1:10" ht="39.9" customHeight="1" x14ac:dyDescent="0.3">
      <c r="A24" s="9"/>
      <c r="B24" s="43" t="s">
        <v>196</v>
      </c>
      <c r="C24" s="44"/>
      <c r="D24" s="44"/>
      <c r="E24" s="31">
        <v>5</v>
      </c>
      <c r="F24" s="25">
        <v>3.75</v>
      </c>
      <c r="G24" s="29">
        <f t="shared" si="0"/>
        <v>0.75</v>
      </c>
      <c r="H24" s="30" t="str">
        <f t="shared" si="1"/>
        <v>جيد</v>
      </c>
      <c r="I24" s="39"/>
      <c r="J24" s="40"/>
    </row>
    <row r="25" spans="1:10" ht="30" customHeight="1" x14ac:dyDescent="0.3">
      <c r="A25" s="9"/>
      <c r="B25" s="43" t="s">
        <v>197</v>
      </c>
      <c r="C25" s="44"/>
      <c r="D25" s="44"/>
      <c r="E25" s="31">
        <v>5</v>
      </c>
      <c r="F25" s="25">
        <v>3.75</v>
      </c>
      <c r="G25" s="29">
        <f t="shared" si="0"/>
        <v>0.75</v>
      </c>
      <c r="H25" s="30" t="str">
        <f t="shared" si="1"/>
        <v>جيد</v>
      </c>
      <c r="I25" s="39"/>
      <c r="J25" s="40"/>
    </row>
    <row r="26" spans="1:10" ht="30" customHeight="1" x14ac:dyDescent="0.3">
      <c r="A26" s="9"/>
      <c r="B26" s="43" t="s">
        <v>198</v>
      </c>
      <c r="C26" s="44"/>
      <c r="D26" s="44"/>
      <c r="E26" s="31">
        <v>5</v>
      </c>
      <c r="F26" s="25">
        <v>4</v>
      </c>
      <c r="G26" s="29">
        <f t="shared" si="0"/>
        <v>0.8</v>
      </c>
      <c r="H26" s="30" t="str">
        <f t="shared" si="1"/>
        <v>جيد جداً</v>
      </c>
      <c r="I26" s="39"/>
      <c r="J26" s="40"/>
    </row>
    <row r="27" spans="1:10" ht="30" customHeight="1" thickBot="1" x14ac:dyDescent="0.35">
      <c r="A27" s="9"/>
      <c r="B27" s="84" t="s">
        <v>199</v>
      </c>
      <c r="C27" s="85"/>
      <c r="D27" s="85"/>
      <c r="E27" s="35">
        <v>5</v>
      </c>
      <c r="F27" s="36">
        <v>3.75</v>
      </c>
      <c r="G27" s="37">
        <f t="shared" si="0"/>
        <v>0.75</v>
      </c>
      <c r="H27" s="38" t="str">
        <f t="shared" si="1"/>
        <v>جيد</v>
      </c>
      <c r="I27" s="62"/>
      <c r="J27" s="63"/>
    </row>
    <row r="28" spans="1:10" ht="30" customHeight="1" x14ac:dyDescent="0.3">
      <c r="A28" s="9"/>
      <c r="B28" s="81" t="s">
        <v>200</v>
      </c>
      <c r="C28" s="82"/>
      <c r="D28" s="82"/>
      <c r="E28" s="82"/>
      <c r="F28" s="82"/>
      <c r="G28" s="82"/>
      <c r="H28" s="82"/>
      <c r="I28" s="82"/>
      <c r="J28" s="83"/>
    </row>
    <row r="29" spans="1:10" ht="30" customHeight="1" x14ac:dyDescent="0.3">
      <c r="A29" s="9"/>
      <c r="B29" s="43" t="s">
        <v>201</v>
      </c>
      <c r="C29" s="44"/>
      <c r="D29" s="44"/>
      <c r="E29" s="31"/>
      <c r="F29" s="25"/>
      <c r="G29" s="29"/>
      <c r="H29" s="30"/>
      <c r="I29" s="39"/>
      <c r="J29" s="40"/>
    </row>
    <row r="30" spans="1:10" ht="39.9" customHeight="1" x14ac:dyDescent="0.3">
      <c r="A30" s="9"/>
      <c r="B30" s="79" t="s">
        <v>202</v>
      </c>
      <c r="C30" s="80"/>
      <c r="D30" s="80"/>
      <c r="E30" s="31">
        <v>5</v>
      </c>
      <c r="F30" s="25">
        <v>3.75</v>
      </c>
      <c r="G30" s="29">
        <f t="shared" si="0"/>
        <v>0.75</v>
      </c>
      <c r="H30" s="30" t="str">
        <f t="shared" si="1"/>
        <v>جيد</v>
      </c>
      <c r="I30" s="39"/>
      <c r="J30" s="40"/>
    </row>
    <row r="31" spans="1:10" ht="30" customHeight="1" x14ac:dyDescent="0.3">
      <c r="A31" s="9"/>
      <c r="B31" s="79" t="s">
        <v>203</v>
      </c>
      <c r="C31" s="80"/>
      <c r="D31" s="80"/>
      <c r="E31" s="31">
        <v>5</v>
      </c>
      <c r="F31" s="25">
        <v>4.25</v>
      </c>
      <c r="G31" s="29">
        <f t="shared" si="0"/>
        <v>0.85</v>
      </c>
      <c r="H31" s="30" t="str">
        <f t="shared" si="1"/>
        <v>جيد جداً</v>
      </c>
      <c r="I31" s="39"/>
      <c r="J31" s="40"/>
    </row>
    <row r="32" spans="1:10" ht="39.9" customHeight="1" x14ac:dyDescent="0.3">
      <c r="A32" s="9"/>
      <c r="B32" s="79" t="s">
        <v>204</v>
      </c>
      <c r="C32" s="80"/>
      <c r="D32" s="80"/>
      <c r="E32" s="31">
        <v>5</v>
      </c>
      <c r="F32" s="25">
        <v>3.75</v>
      </c>
      <c r="G32" s="29">
        <f t="shared" si="0"/>
        <v>0.75</v>
      </c>
      <c r="H32" s="30" t="str">
        <f t="shared" si="1"/>
        <v>جيد</v>
      </c>
      <c r="I32" s="39"/>
      <c r="J32" s="40"/>
    </row>
    <row r="33" spans="1:10" ht="39.9" customHeight="1" x14ac:dyDescent="0.3">
      <c r="A33" s="9"/>
      <c r="B33" s="79" t="s">
        <v>205</v>
      </c>
      <c r="C33" s="80"/>
      <c r="D33" s="80"/>
      <c r="E33" s="31">
        <v>5</v>
      </c>
      <c r="F33" s="25">
        <v>4</v>
      </c>
      <c r="G33" s="29">
        <f t="shared" si="0"/>
        <v>0.8</v>
      </c>
      <c r="H33" s="30" t="str">
        <f t="shared" si="1"/>
        <v>جيد جداً</v>
      </c>
      <c r="I33" s="39"/>
      <c r="J33" s="40"/>
    </row>
    <row r="34" spans="1:10" ht="30" customHeight="1" x14ac:dyDescent="0.3">
      <c r="A34" s="9"/>
      <c r="B34" s="79" t="s">
        <v>206</v>
      </c>
      <c r="C34" s="80"/>
      <c r="D34" s="80"/>
      <c r="E34" s="31">
        <v>5</v>
      </c>
      <c r="F34" s="25">
        <v>4</v>
      </c>
      <c r="G34" s="29">
        <f t="shared" si="0"/>
        <v>0.8</v>
      </c>
      <c r="H34" s="30" t="str">
        <f t="shared" si="1"/>
        <v>جيد جداً</v>
      </c>
      <c r="I34" s="39"/>
      <c r="J34" s="40"/>
    </row>
    <row r="35" spans="1:10" ht="30" customHeight="1" x14ac:dyDescent="0.3">
      <c r="A35" s="9"/>
      <c r="B35" s="79" t="s">
        <v>207</v>
      </c>
      <c r="C35" s="80"/>
      <c r="D35" s="80"/>
      <c r="E35" s="31">
        <v>5</v>
      </c>
      <c r="F35" s="25">
        <v>3.75</v>
      </c>
      <c r="G35" s="29">
        <f t="shared" si="0"/>
        <v>0.75</v>
      </c>
      <c r="H35" s="30" t="str">
        <f t="shared" si="1"/>
        <v>جيد</v>
      </c>
      <c r="I35" s="39"/>
      <c r="J35" s="40"/>
    </row>
    <row r="36" spans="1:10" ht="30" customHeight="1" thickBot="1" x14ac:dyDescent="0.35">
      <c r="A36" s="9"/>
      <c r="B36" s="86" t="s">
        <v>208</v>
      </c>
      <c r="C36" s="87"/>
      <c r="D36" s="87"/>
      <c r="E36" s="32">
        <v>5</v>
      </c>
      <c r="F36" s="26">
        <v>3.75</v>
      </c>
      <c r="G36" s="33">
        <f t="shared" si="0"/>
        <v>0.75</v>
      </c>
      <c r="H36" s="34" t="str">
        <f t="shared" si="1"/>
        <v>جيد</v>
      </c>
      <c r="I36" s="70"/>
      <c r="J36" s="71"/>
    </row>
    <row r="37" spans="1:10" ht="30" customHeight="1" x14ac:dyDescent="0.3">
      <c r="A37" s="9"/>
      <c r="B37" s="81" t="s">
        <v>209</v>
      </c>
      <c r="C37" s="82"/>
      <c r="D37" s="82"/>
      <c r="E37" s="82"/>
      <c r="F37" s="82"/>
      <c r="G37" s="82"/>
      <c r="H37" s="82"/>
      <c r="I37" s="82"/>
      <c r="J37" s="83"/>
    </row>
    <row r="38" spans="1:10" ht="30" customHeight="1" x14ac:dyDescent="0.3">
      <c r="A38" s="9"/>
      <c r="B38" s="43" t="s">
        <v>210</v>
      </c>
      <c r="C38" s="44"/>
      <c r="D38" s="44"/>
      <c r="E38" s="31">
        <v>5</v>
      </c>
      <c r="F38" s="25">
        <v>3.75</v>
      </c>
      <c r="G38" s="29">
        <f t="shared" si="0"/>
        <v>0.75</v>
      </c>
      <c r="H38" s="30" t="str">
        <f t="shared" si="1"/>
        <v>جيد</v>
      </c>
      <c r="I38" s="39"/>
      <c r="J38" s="40"/>
    </row>
    <row r="39" spans="1:10" ht="53.25" customHeight="1" x14ac:dyDescent="0.3">
      <c r="A39" s="9"/>
      <c r="B39" s="43" t="s">
        <v>211</v>
      </c>
      <c r="C39" s="44"/>
      <c r="D39" s="44"/>
      <c r="E39" s="31">
        <v>5</v>
      </c>
      <c r="F39" s="25">
        <v>3.75</v>
      </c>
      <c r="G39" s="29">
        <f t="shared" si="0"/>
        <v>0.75</v>
      </c>
      <c r="H39" s="30" t="str">
        <f t="shared" si="1"/>
        <v>جيد</v>
      </c>
      <c r="I39" s="39"/>
      <c r="J39" s="40"/>
    </row>
    <row r="40" spans="1:10" ht="39.9" customHeight="1" x14ac:dyDescent="0.3">
      <c r="A40" s="9"/>
      <c r="B40" s="43" t="s">
        <v>212</v>
      </c>
      <c r="C40" s="44"/>
      <c r="D40" s="44"/>
      <c r="E40" s="31">
        <v>5</v>
      </c>
      <c r="F40" s="25">
        <v>3.75</v>
      </c>
      <c r="G40" s="29">
        <f t="shared" si="0"/>
        <v>0.75</v>
      </c>
      <c r="H40" s="30" t="str">
        <f t="shared" si="1"/>
        <v>جيد</v>
      </c>
      <c r="I40" s="39"/>
      <c r="J40" s="40"/>
    </row>
    <row r="41" spans="1:10" ht="39.9" customHeight="1" x14ac:dyDescent="0.3">
      <c r="A41" s="9"/>
      <c r="B41" s="43" t="s">
        <v>213</v>
      </c>
      <c r="C41" s="44"/>
      <c r="D41" s="44"/>
      <c r="E41" s="31">
        <v>5</v>
      </c>
      <c r="F41" s="25">
        <v>3.75</v>
      </c>
      <c r="G41" s="29">
        <f t="shared" si="0"/>
        <v>0.75</v>
      </c>
      <c r="H41" s="30" t="str">
        <f t="shared" si="1"/>
        <v>جيد</v>
      </c>
      <c r="I41" s="39"/>
      <c r="J41" s="40"/>
    </row>
    <row r="42" spans="1:10" ht="39.9" customHeight="1" x14ac:dyDescent="0.3">
      <c r="A42" s="9"/>
      <c r="B42" s="43" t="s">
        <v>214</v>
      </c>
      <c r="C42" s="44"/>
      <c r="D42" s="44"/>
      <c r="E42" s="31">
        <v>5</v>
      </c>
      <c r="F42" s="25">
        <v>4.25</v>
      </c>
      <c r="G42" s="29">
        <f t="shared" si="0"/>
        <v>0.85</v>
      </c>
      <c r="H42" s="30" t="str">
        <f t="shared" si="1"/>
        <v>جيد جداً</v>
      </c>
      <c r="I42" s="39"/>
      <c r="J42" s="40"/>
    </row>
    <row r="43" spans="1:10" ht="54" customHeight="1" x14ac:dyDescent="0.3">
      <c r="A43" s="9"/>
      <c r="B43" s="43" t="s">
        <v>215</v>
      </c>
      <c r="C43" s="44"/>
      <c r="D43" s="44"/>
      <c r="E43" s="31">
        <v>5</v>
      </c>
      <c r="F43" s="25">
        <v>3.75</v>
      </c>
      <c r="G43" s="29">
        <f t="shared" si="0"/>
        <v>0.75</v>
      </c>
      <c r="H43" s="30" t="str">
        <f t="shared" si="1"/>
        <v>جيد</v>
      </c>
      <c r="I43" s="39"/>
      <c r="J43" s="40"/>
    </row>
    <row r="44" spans="1:10" ht="30" customHeight="1" x14ac:dyDescent="0.3">
      <c r="A44" s="9"/>
      <c r="B44" s="43" t="s">
        <v>216</v>
      </c>
      <c r="C44" s="44"/>
      <c r="D44" s="44"/>
      <c r="E44" s="31">
        <v>5</v>
      </c>
      <c r="F44" s="25">
        <v>3.75</v>
      </c>
      <c r="G44" s="29">
        <f t="shared" si="0"/>
        <v>0.75</v>
      </c>
      <c r="H44" s="30" t="str">
        <f t="shared" si="1"/>
        <v>جيد</v>
      </c>
      <c r="I44" s="39"/>
      <c r="J44" s="40"/>
    </row>
    <row r="45" spans="1:10" ht="30" customHeight="1" x14ac:dyDescent="0.3">
      <c r="A45" s="9"/>
      <c r="B45" s="43" t="s">
        <v>217</v>
      </c>
      <c r="C45" s="44"/>
      <c r="D45" s="44"/>
      <c r="E45" s="31">
        <v>5</v>
      </c>
      <c r="F45" s="25">
        <v>4.25</v>
      </c>
      <c r="G45" s="29">
        <f t="shared" si="0"/>
        <v>0.85</v>
      </c>
      <c r="H45" s="30" t="str">
        <f t="shared" si="1"/>
        <v>جيد جداً</v>
      </c>
      <c r="I45" s="39"/>
      <c r="J45" s="40"/>
    </row>
    <row r="46" spans="1:10" ht="39.9" customHeight="1" x14ac:dyDescent="0.3">
      <c r="A46" s="9"/>
      <c r="B46" s="43" t="s">
        <v>218</v>
      </c>
      <c r="C46" s="44"/>
      <c r="D46" s="44"/>
      <c r="E46" s="31">
        <v>5</v>
      </c>
      <c r="F46" s="25">
        <v>3.75</v>
      </c>
      <c r="G46" s="29">
        <f t="shared" si="0"/>
        <v>0.75</v>
      </c>
      <c r="H46" s="30" t="str">
        <f t="shared" si="1"/>
        <v>جيد</v>
      </c>
      <c r="I46" s="39"/>
      <c r="J46" s="40"/>
    </row>
    <row r="47" spans="1:10" ht="39.9" customHeight="1" x14ac:dyDescent="0.3">
      <c r="A47" s="9"/>
      <c r="B47" s="43" t="s">
        <v>219</v>
      </c>
      <c r="C47" s="44"/>
      <c r="D47" s="44"/>
      <c r="E47" s="31">
        <v>5</v>
      </c>
      <c r="F47" s="25">
        <v>3.75</v>
      </c>
      <c r="G47" s="29">
        <f t="shared" si="0"/>
        <v>0.75</v>
      </c>
      <c r="H47" s="30" t="str">
        <f t="shared" si="1"/>
        <v>جيد</v>
      </c>
      <c r="I47" s="39"/>
      <c r="J47" s="40"/>
    </row>
    <row r="48" spans="1:10" ht="30" customHeight="1" x14ac:dyDescent="0.3">
      <c r="A48" s="9"/>
      <c r="B48" s="43" t="s">
        <v>220</v>
      </c>
      <c r="C48" s="44"/>
      <c r="D48" s="44"/>
      <c r="E48" s="31">
        <v>5</v>
      </c>
      <c r="F48" s="25">
        <v>4</v>
      </c>
      <c r="G48" s="29">
        <f t="shared" si="0"/>
        <v>0.8</v>
      </c>
      <c r="H48" s="30" t="str">
        <f t="shared" si="1"/>
        <v>جيد جداً</v>
      </c>
      <c r="I48" s="39"/>
      <c r="J48" s="40"/>
    </row>
    <row r="49" spans="1:10" ht="30" customHeight="1" x14ac:dyDescent="0.3">
      <c r="A49" s="9"/>
      <c r="B49" s="43" t="s">
        <v>221</v>
      </c>
      <c r="C49" s="44"/>
      <c r="D49" s="44"/>
      <c r="E49" s="31">
        <v>5</v>
      </c>
      <c r="F49" s="25">
        <v>3.75</v>
      </c>
      <c r="G49" s="29">
        <f t="shared" si="0"/>
        <v>0.75</v>
      </c>
      <c r="H49" s="30" t="str">
        <f t="shared" si="1"/>
        <v>جيد</v>
      </c>
      <c r="I49" s="39"/>
      <c r="J49" s="40"/>
    </row>
    <row r="50" spans="1:10" ht="30" customHeight="1" thickBot="1" x14ac:dyDescent="0.35">
      <c r="A50" s="9"/>
      <c r="B50" s="86" t="s">
        <v>222</v>
      </c>
      <c r="C50" s="87"/>
      <c r="D50" s="87"/>
      <c r="E50" s="32">
        <v>5</v>
      </c>
      <c r="F50" s="26">
        <v>3.75</v>
      </c>
      <c r="G50" s="33">
        <f t="shared" si="0"/>
        <v>0.75</v>
      </c>
      <c r="H50" s="34" t="str">
        <f t="shared" si="1"/>
        <v>جيد</v>
      </c>
      <c r="I50" s="70"/>
      <c r="J50" s="71"/>
    </row>
    <row r="51" spans="1:10" ht="30" customHeight="1" thickBot="1" x14ac:dyDescent="0.35">
      <c r="A51" s="4"/>
      <c r="B51" s="77" t="s">
        <v>5</v>
      </c>
      <c r="C51" s="78"/>
      <c r="D51" s="78"/>
      <c r="E51" s="28">
        <f>SUM(E8:E50)</f>
        <v>185</v>
      </c>
      <c r="F51" s="28">
        <f>SUM(F8:F50)</f>
        <v>142.5</v>
      </c>
      <c r="G51" s="74"/>
      <c r="H51" s="75"/>
      <c r="I51" s="75"/>
      <c r="J51" s="76"/>
    </row>
    <row r="52" spans="1:10" ht="30" customHeight="1" thickBot="1" x14ac:dyDescent="0.35">
      <c r="A52" s="4"/>
      <c r="B52" s="41" t="s">
        <v>54</v>
      </c>
      <c r="C52" s="42"/>
      <c r="D52" s="42"/>
      <c r="E52" s="52">
        <f>F51/E51/100*100</f>
        <v>0.77027027027027029</v>
      </c>
      <c r="F52" s="52"/>
      <c r="G52" s="52"/>
      <c r="H52" s="52"/>
      <c r="I52" s="52"/>
      <c r="J52" s="53"/>
    </row>
    <row r="53" spans="1:10" ht="30" customHeight="1" thickBot="1" x14ac:dyDescent="0.35">
      <c r="A53" s="4"/>
      <c r="B53" s="41" t="s">
        <v>55</v>
      </c>
      <c r="C53" s="42"/>
      <c r="D53" s="42"/>
      <c r="E53" s="68" t="str">
        <f>_xlfn.IFS(E52&gt;=90%,"ممتاز",E52&gt;=80%,"جيد جداً",E52&gt;=70%,"جيد",E52&gt;=60%,"مقبول",E52&lt;60%,"راسب")</f>
        <v>جيد</v>
      </c>
      <c r="F53" s="68"/>
      <c r="G53" s="68"/>
      <c r="H53" s="68"/>
      <c r="I53" s="68"/>
      <c r="J53" s="69"/>
    </row>
    <row r="54" spans="1:10" ht="42" customHeight="1" x14ac:dyDescent="0.3">
      <c r="B54" s="64" t="s">
        <v>174</v>
      </c>
      <c r="C54" s="64"/>
      <c r="D54" s="64"/>
      <c r="E54" s="72" t="s">
        <v>52</v>
      </c>
      <c r="F54" s="72"/>
      <c r="G54" s="66" t="s">
        <v>113</v>
      </c>
      <c r="H54" s="66"/>
      <c r="I54" s="66"/>
      <c r="J54" s="66"/>
    </row>
    <row r="55" spans="1:10" ht="51" customHeight="1" x14ac:dyDescent="0.3">
      <c r="A55" s="5"/>
      <c r="B55" s="65"/>
      <c r="C55" s="65"/>
      <c r="D55" s="65"/>
      <c r="E55" s="73" t="s">
        <v>53</v>
      </c>
      <c r="F55" s="73"/>
      <c r="G55" s="67"/>
      <c r="H55" s="67"/>
      <c r="I55" s="67"/>
      <c r="J55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4">
    <mergeCell ref="B28:J28"/>
    <mergeCell ref="B35:D35"/>
    <mergeCell ref="B36:D36"/>
    <mergeCell ref="B38:D38"/>
    <mergeCell ref="B39:D39"/>
    <mergeCell ref="B40:D40"/>
    <mergeCell ref="B41:D41"/>
    <mergeCell ref="B42:D42"/>
    <mergeCell ref="B43:D43"/>
    <mergeCell ref="I32:J32"/>
    <mergeCell ref="I33:J33"/>
    <mergeCell ref="I34:J34"/>
    <mergeCell ref="I35:J35"/>
    <mergeCell ref="I36:J36"/>
    <mergeCell ref="B8:J8"/>
    <mergeCell ref="I9:J9"/>
    <mergeCell ref="I11:J11"/>
    <mergeCell ref="I12:J12"/>
    <mergeCell ref="I13:J13"/>
    <mergeCell ref="I14:J14"/>
    <mergeCell ref="I15:J15"/>
    <mergeCell ref="I16:J16"/>
    <mergeCell ref="B26:D2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E55:F55"/>
    <mergeCell ref="G51:J51"/>
    <mergeCell ref="B51:D51"/>
    <mergeCell ref="B52:D52"/>
    <mergeCell ref="B9:D9"/>
    <mergeCell ref="B10:D10"/>
    <mergeCell ref="B11:D11"/>
    <mergeCell ref="B12:D12"/>
    <mergeCell ref="B13:D13"/>
    <mergeCell ref="B14:D14"/>
    <mergeCell ref="B15:D15"/>
    <mergeCell ref="B16:D16"/>
    <mergeCell ref="B27:D27"/>
    <mergeCell ref="B29:D29"/>
    <mergeCell ref="B30:D30"/>
    <mergeCell ref="B31:D31"/>
    <mergeCell ref="B32:D32"/>
    <mergeCell ref="B33:D33"/>
    <mergeCell ref="B34:D34"/>
    <mergeCell ref="B47:D47"/>
    <mergeCell ref="B48:D48"/>
    <mergeCell ref="B49:D49"/>
    <mergeCell ref="B50:D50"/>
    <mergeCell ref="B37:J37"/>
    <mergeCell ref="I19:J19"/>
    <mergeCell ref="I20:J20"/>
    <mergeCell ref="I21:J21"/>
    <mergeCell ref="I22:J22"/>
    <mergeCell ref="I17:J17"/>
    <mergeCell ref="I18:J18"/>
    <mergeCell ref="I29:J29"/>
    <mergeCell ref="I27:J27"/>
    <mergeCell ref="B54:D55"/>
    <mergeCell ref="G54:J54"/>
    <mergeCell ref="G55:J55"/>
    <mergeCell ref="E53:J53"/>
    <mergeCell ref="I40:J40"/>
    <mergeCell ref="I41:J41"/>
    <mergeCell ref="I42:J42"/>
    <mergeCell ref="I43:J43"/>
    <mergeCell ref="I44:J44"/>
    <mergeCell ref="I49:J49"/>
    <mergeCell ref="I50:J50"/>
    <mergeCell ref="I45:J45"/>
    <mergeCell ref="I46:J46"/>
    <mergeCell ref="I47:J47"/>
    <mergeCell ref="I48:J48"/>
    <mergeCell ref="E54:F54"/>
    <mergeCell ref="I23:J23"/>
    <mergeCell ref="I24:J24"/>
    <mergeCell ref="I25:J25"/>
    <mergeCell ref="I26:J26"/>
    <mergeCell ref="B53:D53"/>
    <mergeCell ref="B44:D44"/>
    <mergeCell ref="B45:D45"/>
    <mergeCell ref="B46:D46"/>
    <mergeCell ref="B1:J1"/>
    <mergeCell ref="F2:J2"/>
    <mergeCell ref="B5:D6"/>
    <mergeCell ref="C2:D2"/>
    <mergeCell ref="C3:D3"/>
    <mergeCell ref="F3:J3"/>
    <mergeCell ref="E52:J52"/>
    <mergeCell ref="B7:D7"/>
    <mergeCell ref="I38:J38"/>
    <mergeCell ref="I39:J39"/>
    <mergeCell ref="I30:J30"/>
    <mergeCell ref="I31:J31"/>
    <mergeCell ref="E5:H5"/>
    <mergeCell ref="I5:J6"/>
    <mergeCell ref="I7:J7"/>
    <mergeCell ref="I10:J10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3">
    <cfRule type="expression" dxfId="21" priority="57">
      <formula>$E53="راسب"</formula>
    </cfRule>
  </conditionalFormatting>
  <conditionalFormatting sqref="E53:J53">
    <cfRule type="expression" dxfId="20" priority="60">
      <formula>$E53="جيد جداً"</formula>
    </cfRule>
    <cfRule type="expression" dxfId="19" priority="59">
      <formula>$E53="جيد"</formula>
    </cfRule>
    <cfRule type="expression" dxfId="18" priority="58">
      <formula>$E53="مقبول"</formula>
    </cfRule>
    <cfRule type="expression" dxfId="17" priority="61">
      <formula>$E53="ممتاز"</formula>
    </cfRule>
  </conditionalFormatting>
  <conditionalFormatting sqref="F9:F27">
    <cfRule type="containsText" dxfId="16" priority="4" operator="containsText" text="أدخل العلامة">
      <formula>NOT(ISERROR(SEARCH("أدخل العلامة",F9)))</formula>
    </cfRule>
  </conditionalFormatting>
  <conditionalFormatting sqref="F29:F36 F38:F50">
    <cfRule type="containsText" dxfId="15" priority="14" operator="containsText" text="أدخل العلامة">
      <formula>NOT(ISERROR(SEARCH("أدخل العلامة",F29)))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4:J54">
    <cfRule type="containsText" dxfId="12" priority="15" operator="containsText" text="أدخل اسم المحكم">
      <formula>NOT(ISERROR(SEARCH("أدخل اسم المحكم",G54)))</formula>
    </cfRule>
  </conditionalFormatting>
  <conditionalFormatting sqref="H9:H27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9:H36 H38:H50">
    <cfRule type="containsText" dxfId="5" priority="38" operator="containsText" text="أدخل العلامة">
      <formula>NOT(ISERROR(SEARCH("أدخل العلامة",H29)))</formula>
    </cfRule>
    <cfRule type="containsText" dxfId="4" priority="39" operator="containsText" text="ممتاز">
      <formula>NOT(ISERROR(SEARCH("ممتاز",H29)))</formula>
    </cfRule>
    <cfRule type="containsText" dxfId="3" priority="40" operator="containsText" text="جيد جداً">
      <formula>NOT(ISERROR(SEARCH("جيد جداً",H29)))</formula>
    </cfRule>
    <cfRule type="containsText" dxfId="2" priority="41" operator="containsText" text="جيد">
      <formula>NOT(ISERROR(SEARCH("جيد",H29)))</formula>
    </cfRule>
    <cfRule type="containsText" dxfId="1" priority="42" operator="containsText" text="مقبول">
      <formula>NOT(ISERROR(SEARCH("مقبول",H29)))</formula>
    </cfRule>
    <cfRule type="containsText" dxfId="0" priority="43" operator="containsText" text="راسب">
      <formula>NOT(ISERROR(SEARCH("راسب",H29)))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F38:F50 F30:F36 F14:F27 F11:F12 F9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G54:J54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2025-10-13T19:36:53Z</dcterms:modified>
</cp:coreProperties>
</file>