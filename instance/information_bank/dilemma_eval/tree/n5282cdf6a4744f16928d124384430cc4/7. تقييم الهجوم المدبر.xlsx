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988EBADD-E9DD-418D-B03B-C27D71508F90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التقييم'!$A$1:$J$72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2" i="2"/>
  <c r="H12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1" i="2"/>
  <c r="H21" i="2" s="1"/>
  <c r="G22" i="2"/>
  <c r="H22" i="2" s="1"/>
  <c r="G23" i="2"/>
  <c r="H23" i="2" s="1"/>
  <c r="G24" i="2"/>
  <c r="H24" i="2" s="1"/>
  <c r="G27" i="2"/>
  <c r="H27" i="2" s="1"/>
  <c r="G28" i="2"/>
  <c r="H28" i="2" s="1"/>
  <c r="G29" i="2"/>
  <c r="H29" i="2" s="1"/>
  <c r="G30" i="2"/>
  <c r="H30" i="2" s="1"/>
  <c r="G31" i="2"/>
  <c r="H31" i="2" s="1"/>
  <c r="G33" i="2"/>
  <c r="H33" i="2" s="1"/>
  <c r="G34" i="2"/>
  <c r="H34" i="2" s="1"/>
  <c r="G35" i="2"/>
  <c r="H35" i="2" s="1"/>
  <c r="G38" i="2"/>
  <c r="H38" i="2" s="1"/>
  <c r="G39" i="2"/>
  <c r="H39" i="2" s="1"/>
  <c r="G40" i="2"/>
  <c r="H40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F68" i="2" l="1"/>
  <c r="E68" i="2" l="1"/>
  <c r="E69" i="2" l="1"/>
  <c r="E70" i="2" s="1"/>
</calcChain>
</file>

<file path=xl/sharedStrings.xml><?xml version="1.0" encoding="utf-8"?>
<sst xmlns="http://schemas.openxmlformats.org/spreadsheetml/2006/main" count="342" uniqueCount="237">
  <si>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</si>
  <si>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</si>
  <si>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</si>
  <si>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</si>
  <si>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</si>
  <si>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</si>
  <si>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</si>
  <si>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</si>
  <si>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</si>
  <si>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</si>
  <si>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</si>
  <si>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</si>
  <si>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</si>
  <si>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</si>
  <si>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</si>
  <si>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</si>
  <si>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</si>
  <si>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</si>
  <si>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</si>
  <si>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</si>
  <si>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</si>
  <si>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</si>
  <si>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</si>
  <si>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</si>
  <si>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</si>
  <si>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</si>
  <si>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</si>
  <si>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</si>
  <si>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</si>
  <si>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</si>
  <si>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</si>
  <si>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</si>
  <si>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</si>
  <si>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</si>
  <si>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</si>
  <si>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</si>
  <si>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</si>
  <si>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</si>
  <si>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</si>
  <si>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</si>
  <si>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</si>
  <si>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</si>
  <si>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</si>
  <si>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</si>
  <si>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</si>
  <si>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</si>
  <si>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</si>
  <si>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</si>
  <si>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</si>
  <si>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</si>
  <si>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</si>
  <si>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</si>
  <si>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</si>
  <si>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</si>
  <si>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</si>
  <si>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</si>
  <si>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</si>
  <si>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</si>
  <si>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</si>
  <si>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</si>
  <si>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</si>
  <si>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</si>
  <si>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</si>
  <si>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</si>
  <si>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</si>
  <si>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</si>
  <si>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</si>
  <si>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</si>
  <si>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</si>
  <si>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</si>
  <si>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</si>
  <si>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</si>
  <si>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</si>
  <si>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</si>
  <si>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</si>
  <si>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</si>
  <si>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</si>
  <si>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</si>
  <si>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</si>
  <si>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</si>
  <si>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</si>
  <si>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</si>
  <si>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</si>
  <si>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</si>
  <si>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</si>
  <si>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</si>
  <si>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</si>
  <si>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</si>
  <si>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</si>
  <si>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</si>
  <si>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</si>
  <si>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</si>
  <si>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</si>
  <si>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</si>
  <si>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</si>
  <si>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</si>
  <si>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</si>
  <si>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</si>
  <si>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</si>
  <si>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</si>
  <si>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</si>
  <si>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</si>
  <si>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</si>
  <si>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</si>
  <si>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</si>
  <si>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</si>
  <si>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</si>
  <si>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</si>
  <si>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</si>
  <si>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</si>
  <si>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</si>
  <si>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</si>
  <si>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</si>
  <si>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</si>
  <si>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</si>
  <si>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</si>
  <si>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</si>
  <si>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</si>
  <si>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</si>
  <si>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</si>
  <si>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</si>
  <si>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</si>
  <si>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</si>
  <si>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</si>
  <si>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</si>
  <si>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</si>
  <si>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</si>
  <si>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</si>
  <si>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</si>
  <si>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</si>
  <si>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</si>
  <si>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</si>
  <si>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</si>
  <si>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</si>
  <si>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</si>
  <si>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</si>
  <si>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</si>
  <si>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</si>
  <si>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</si>
  <si>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</si>
  <si>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</si>
  <si>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</si>
  <si>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</si>
  <si>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</si>
  <si>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</si>
  <si>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</si>
  <si>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</si>
  <si>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</si>
  <si>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</si>
  <si>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</si>
  <si>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</si>
  <si>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</si>
  <si>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</si>
  <si>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</si>
  <si>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</si>
  <si>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</si>
  <si>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</si>
  <si>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</si>
  <si>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</si>
  <si>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</si>
  <si>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</si>
  <si>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</si>
  <si>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</si>
  <si>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</si>
  <si>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</si>
  <si>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</si>
  <si>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</si>
  <si>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</si>
  <si>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</si>
  <si>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</si>
  <si>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</si>
  <si>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</si>
  <si>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</si>
  <si>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</si>
  <si>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</si>
  <si>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</si>
  <si>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</si>
  <si>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ملاحظة: يتم تنفيذ مرحلة التخطيط في منطقة الحشد إذا توفر الوقت لذلك، أو يتم تنفيذها كاملة أو جزء منها في منطقة التجمع.</t>
  </si>
  <si>
    <r>
      <t>1.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 يعمل القادة في السرية على فهم الموقف باستخدام كافة الوسائل المتوفرة.</t>
    </r>
  </si>
  <si>
    <r>
      <t>2.</t>
    </r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 تستلم قيادة السرية أمر العمليات من المستوى الأعلى ويتم القيام بما يلي:</t>
    </r>
  </si>
  <si>
    <r>
      <t>أ‌.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</si>
  <si>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r>
      <t>ب‌.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</si>
  <si>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مناطق التجمع للفصائل والوحدات المساندة للسرايا.</t>
    </r>
  </si>
  <si>
    <r>
      <t>(2)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</si>
  <si>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t>(3)   ممرات الحركة من منطقة التجمع وحتى الأهداف.</t>
  </si>
  <si>
    <t>(4)   خط البدء وخط الانفتاح المحتمل.</t>
  </si>
  <si>
    <t>(5)   الأماكن المحتملة لكمائن العدو على طول طرق الحركة.</t>
  </si>
  <si>
    <t>جـ.   الحصول على المعلومات الاستخبارية من المستوى الأعلى.</t>
  </si>
  <si>
    <r>
      <t>د.    تنظيم القوات المتوفرة وتجميعها لإنجاز المهمة وتخصيص الواجبات الرئيسة وكما يلي:</t>
    </r>
    <r>
      <rPr>
        <sz val="14"/>
        <color theme="1"/>
        <rFont val="Calibri Light"/>
        <family val="2"/>
      </rPr>
      <t xml:space="preserve">  </t>
    </r>
  </si>
  <si>
    <t>(1)   قوة الإسناد. (في حال وجود فصيل إسناد في تنظيم السرية/ الفريق، يقوم الفصيل بدور الإسناد في جميع المراحل).</t>
  </si>
  <si>
    <t>(2)   قوة فتح الثغرة (تقديم الإسناد لعناصر الهندسة في فتح الثغرة).</t>
  </si>
  <si>
    <t>(3)   قوة الاقتحام.</t>
  </si>
  <si>
    <t xml:space="preserve">(4)   واجبات عناصر الإسناد القتالي.  </t>
  </si>
  <si>
    <t>هـ.   توحيد وتنسيق الوظائف القتالية كما يلي:</t>
  </si>
  <si>
    <r>
      <t>(1)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النيران غير المباشرة:</t>
    </r>
  </si>
  <si>
    <t>(أ)    تخطيط النيران على جميع مواقع العدو المعروفة والمحتملة ولعزل الهدف.</t>
  </si>
  <si>
    <t>(ب)   تخطيط نيران الإعماء/ الحجب عند الضرورة.</t>
  </si>
  <si>
    <t>(جـ)  تخطيط نيران لإسناد قوات فتح الثغرة في الموانع.</t>
  </si>
  <si>
    <t>(د)   تخطيط الأهداف لحماية القوات المقتحمة بواسطة إسكات وتحييد وتدمير أسلحة نيران العدو المباشرة.</t>
  </si>
  <si>
    <t>(هـ)   تخطيط النيران ضد تعزيزات العدو أثناء الهجوم ولإسناد التثبت وإعادة التنظيم للسرية فور احتلال الهدف والاستيلاء عليه والتخطيط للنيران لما بعد الأهداف.</t>
  </si>
  <si>
    <t>(2)   الإسناد الهندسي:</t>
  </si>
  <si>
    <t>(ب)   تحديد مكان مواقع فتح الثغرة.</t>
  </si>
  <si>
    <r>
      <t>3.</t>
    </r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قائد السرية ومفهوم عملياته.</t>
    </r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</si>
  <si>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</si>
  <si>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تنقيح الخطة بناءً على الاستخبارات المحدثة باستمرار. </t>
    </r>
  </si>
  <si>
    <r>
      <t>2.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</si>
  <si>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الإشراف على إجراءات المعركة للفصائل لضمان أن إجراءات التخطيط والتحضير تتم بطريقة صحيحة وتتفق مع قصد القائد.</t>
    </r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</si>
  <si>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تنفيذ التجارب على تنفيذ الهجوم مع التركيز على ما يلي:  </t>
    </r>
  </si>
  <si>
    <t>أ.  الأعمال التي تُنفَذ عند خط الاقتحام.</t>
  </si>
  <si>
    <t>ب.  فتح الثغرة واختراق الموانع.</t>
  </si>
  <si>
    <r>
      <t>جـ.  الأعمال التي تُنفذ على الهدف (الاقتحام والتثبت وإعادة التنظيم)</t>
    </r>
    <r>
      <rPr>
        <b/>
        <sz val="12"/>
        <color rgb="FF000000"/>
        <rFont val="Arial"/>
        <family val="2"/>
      </rPr>
      <t xml:space="preserve"> .</t>
    </r>
  </si>
  <si>
    <t>د.  العمل عند التماس مع العدو أثناء الحركة مثل (الكمائن، الهجمات التخريبية، القصف المدفعي، الهجوم الجوي، ... إلخ).</t>
  </si>
  <si>
    <r>
      <t>5.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إجراء التعديلات على الخطة بناءً على التجارب وحسب الحاجة.</t>
    </r>
  </si>
  <si>
    <r>
      <t>6.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توضيع القوات للحركة.</t>
    </r>
  </si>
  <si>
    <t>إجراءات التنفيذ.</t>
  </si>
  <si>
    <r>
      <t>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يسيطر قائد السرية على الحركة على طول الطريق ويعدل التشكيلة وأسلوب الحركة والسرعة والمسافة بين الوحدات حسب طبيعة الأرض والموقف.</t>
    </r>
  </si>
  <si>
    <r>
      <t>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تطبيق إجراءات التماس إذا حصل أثناء الحركة.</t>
    </r>
  </si>
  <si>
    <r>
      <t>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إذا كانت السرية تنفذ الهجوم كجزء من الكتيبة/ مجموعة القتال، فإنها تبدأ بالتحول من تشكيل المسير إلى تشكيل ما قبل المعركة (خط الفتح التعبوي) على مسافة (6 – 8) كم من الحد الأمامي لمنطقة معركة العدو (التحول من تشكيل ارتال كتائب الى ارتال سرايا).</t>
    </r>
  </si>
  <si>
    <r>
      <t>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تقوم الفصائل بالانفتاح على مسافة (4 – 6) كم من الحد الأمامي لمنطقة معركة العدو والتحول من تشكيل ارتال سرايا الى ارتال فصائل. </t>
    </r>
  </si>
  <si>
    <r>
      <t>6.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عند الوصول إلى منطقة التشكيل تنفتح قوات الاقتحام وأسلحة الإسناد حسب التشكيلة النهائية للاقتحام.</t>
    </r>
  </si>
  <si>
    <r>
      <t>7.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تقوم القوات المقتحمة وأسلحة الإسناد بإكمال التحضيرات النهائية للهجوم.</t>
    </r>
  </si>
  <si>
    <r>
      <t>8.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يقوم فصيل الإسناد أو أحد الفصائل بتأسيس قاعدة الاسناد بالنيران.</t>
    </r>
  </si>
  <si>
    <r>
      <t>9.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القيام بإجراءات فتح الثغرة في موانع العدو عند الضرورة.  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</si>
  <si>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خطة الإسناد الناري غير المباشر.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</si>
  <si>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يتأكد قائد السرية أن عناصر الهندسة المخصصة نجحت في فتح ثغرات في حقول الألغام وموانع العدو.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</si>
  <si>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التحرك من منطقة التشكيل إلى خط البدء.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</si>
  <si>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التحرك من خط البدء إلى منطقة ترجل الأفراد بأسلوب النار والحركة. (يتم تحديد أماكن ترجل عناصر المشاة بناءً على متغيرات المهمة.)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</si>
  <si>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الحركة من خط الترجل إلى خط الاقتحام.</t>
    </r>
  </si>
  <si>
    <r>
      <t>15.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نقل النيران والدخان لإسكات قوات العدو وحجب قواتنا الصديقة.</t>
    </r>
  </si>
  <si>
    <r>
      <t>16.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الاقتحام النهائي من خط الاقتحام إلى الأهداف.   </t>
    </r>
  </si>
  <si>
    <r>
      <t>17.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استدعاء مصادر الإدامة للأمام عند الحاجة.</t>
    </r>
  </si>
  <si>
    <r>
      <t>18.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التثبت وإعادة التنظيم على الهدف.</t>
    </r>
  </si>
  <si>
    <r>
      <t>19.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الاستعداد للعمليات المستقبلية.</t>
    </r>
  </si>
  <si>
    <t>ملاحظة: يتم التحضير للهجوم في منطقة الحشد قبل الحركة إلى منطقة التجمع ويشمل التحضير الأفراد والمعدات والأسلحة والآليات ويتم تنفيذ الإجراءات التالية:</t>
  </si>
  <si>
    <r>
      <rPr>
        <b/>
        <sz val="14"/>
        <color rgb="FF000000"/>
        <rFont val="Arial"/>
        <family val="2"/>
      </rPr>
      <t>تقييم سرية مشاة راجلة في تنفيذ الهجوم المدبر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</si>
  <si>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(أ)   تحديد واجبات قابلية الحركة الضرورية في منطقة العمليات وعلى طول ممرات الحركة وحتى الأهداف.</t>
  </si>
  <si>
    <r>
      <t>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 بالأمر أو حسب التوقيتات الموضوعة في أمر العمليات، تتحرك السرية من موقعها إلى منطقة التشكيل بأسلوب حركة وتشكيلة مناسبة.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</si>
</sst>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2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0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7"/>
      <color rgb="FF000000"/>
      <name val="Times New Roman"/>
      <family val="1"/>
    </font>
    <font>
      <sz val="14"/>
      <color theme="1"/>
      <name val="Times New Roman"/>
      <family val="1"/>
    </font>
    <font>
      <sz val="7"/>
      <color theme="1"/>
      <name val="Times New Roman"/>
      <family val="1"/>
    </font>
    <font>
      <sz val="12"/>
      <color theme="1"/>
      <name val="Arial"/>
      <family val="2"/>
    </font>
    <font>
      <sz val="14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8" fillId="0" borderId="23" xfId="0" applyFont="1" applyBorder="1" applyAlignment="1">
      <alignment horizontal="right" vertical="center" wrapText="1" readingOrder="2"/>
    </xf>
    <xf numFmtId="0" fontId="18" fillId="0" borderId="3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indent="2" readingOrder="2"/>
    </xf>
    <xf numFmtId="0" fontId="15" fillId="0" borderId="3" xfId="0" applyFont="1" applyBorder="1" applyAlignment="1">
      <alignment horizontal="right" vertical="center" wrapText="1" indent="2" readingOrder="2"/>
    </xf>
    <xf numFmtId="0" fontId="15" fillId="0" borderId="23" xfId="0" applyFont="1" applyBorder="1" applyAlignment="1">
      <alignment horizontal="right" vertical="center" wrapText="1" indent="4" readingOrder="2"/>
    </xf>
    <xf numFmtId="0" fontId="15" fillId="0" borderId="3" xfId="0" applyFont="1" applyBorder="1" applyAlignment="1">
      <alignment horizontal="right" vertical="center" wrapText="1" indent="4" readingOrder="2"/>
    </xf>
    <xf numFmtId="0" fontId="15" fillId="0" borderId="23" xfId="0" applyFont="1" applyBorder="1" applyAlignment="1">
      <alignment horizontal="right" vertical="center" wrapText="1" indent="6" readingOrder="2"/>
    </xf>
    <xf numFmtId="0" fontId="15" fillId="0" borderId="3" xfId="0" applyFont="1" applyBorder="1" applyAlignment="1">
      <alignment horizontal="right" vertical="center" wrapText="1" indent="6" readingOrder="2"/>
    </xf>
    <xf numFmtId="0" fontId="18" fillId="0" borderId="11" xfId="0" applyFont="1" applyBorder="1" applyAlignment="1">
      <alignment horizontal="right" vertical="center" wrapText="1" readingOrder="2"/>
    </xf>
    <xf numFmtId="0" fontId="18" fillId="0" borderId="12" xfId="0" applyFont="1" applyBorder="1" applyAlignment="1">
      <alignment horizontal="right" vertical="center" wrapText="1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2"/>
  <sheetViews>
    <sheetView rightToLeft="1" tabSelected="1" view="pageBreakPreview" zoomScale="130" zoomScaleNormal="100" zoomScaleSheetLayoutView="130" workbookViewId="0">
      <selection activeCell="A59" sqref="A59:XFD59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52" t="s">
        <v>234</v>
      </c>
      <c r="C1" s="52"/>
      <c r="D1" s="52"/>
      <c r="E1" s="52"/>
      <c r="F1" s="52"/>
      <c r="G1" s="52"/>
      <c r="H1" s="52"/>
      <c r="I1" s="52"/>
      <c r="J1" s="52"/>
    </row>
    <row r="2" spans="1:10" ht="30" customHeight="1" x14ac:dyDescent="0.2">
      <c r="B2" s="12" t="s">
        <v>8</v>
      </c>
      <c r="C2" s="58" t="s">
        <v>57</v>
      </c>
      <c r="D2" s="58"/>
      <c r="E2" s="12" t="s">
        <v>7</v>
      </c>
      <c r="F2" s="53" t="s">
        <v>56</v>
      </c>
      <c r="G2" s="53"/>
      <c r="H2" s="53"/>
      <c r="I2" s="53"/>
      <c r="J2" s="53"/>
    </row>
    <row r="3" spans="1:10" ht="30" customHeight="1" x14ac:dyDescent="0.2">
      <c r="B3" s="12" t="s">
        <v>9</v>
      </c>
      <c r="C3" s="58" t="s">
        <v>60</v>
      </c>
      <c r="D3" s="58"/>
      <c r="E3" s="12" t="s">
        <v>6</v>
      </c>
      <c r="F3" s="58" t="s">
        <v>59</v>
      </c>
      <c r="G3" s="58"/>
      <c r="H3" s="58"/>
      <c r="I3" s="58"/>
      <c r="J3" s="58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4" t="s">
        <v>0</v>
      </c>
      <c r="C5" s="55"/>
      <c r="D5" s="55"/>
      <c r="E5" s="63" t="s">
        <v>1</v>
      </c>
      <c r="F5" s="63"/>
      <c r="G5" s="63"/>
      <c r="H5" s="63"/>
      <c r="I5" s="63" t="s">
        <v>2</v>
      </c>
      <c r="J5" s="64"/>
    </row>
    <row r="6" spans="1:10" ht="24.95" customHeight="1" thickBot="1" x14ac:dyDescent="0.25">
      <c r="A6" s="10"/>
      <c r="B6" s="56"/>
      <c r="C6" s="57"/>
      <c r="D6" s="57"/>
      <c r="E6" s="11" t="s">
        <v>3</v>
      </c>
      <c r="F6" s="11" t="s">
        <v>4</v>
      </c>
      <c r="G6" s="11" t="s">
        <v>23</v>
      </c>
      <c r="H6" s="11" t="s">
        <v>24</v>
      </c>
      <c r="I6" s="65"/>
      <c r="J6" s="66"/>
    </row>
    <row r="7" spans="1:10" ht="24.95" customHeight="1" thickBot="1" x14ac:dyDescent="0.25">
      <c r="A7" s="10"/>
      <c r="B7" s="61" t="s">
        <v>21</v>
      </c>
      <c r="C7" s="62"/>
      <c r="D7" s="62"/>
      <c r="E7" s="28" t="s">
        <v>18</v>
      </c>
      <c r="F7" s="28" t="s">
        <v>19</v>
      </c>
      <c r="G7" s="28" t="s">
        <v>22</v>
      </c>
      <c r="H7" s="28" t="s">
        <v>20</v>
      </c>
      <c r="I7" s="67" t="s">
        <v>25</v>
      </c>
      <c r="J7" s="68"/>
    </row>
    <row r="8" spans="1:10" ht="39.950000000000003" customHeight="1" x14ac:dyDescent="0.2">
      <c r="A8" s="10"/>
      <c r="B8" s="81" t="s">
        <v>176</v>
      </c>
      <c r="C8" s="82"/>
      <c r="D8" s="82"/>
      <c r="E8" s="35"/>
      <c r="F8" s="36"/>
      <c r="G8" s="37"/>
      <c r="H8" s="38"/>
      <c r="I8" s="75"/>
      <c r="J8" s="76"/>
    </row>
    <row r="9" spans="1:10" ht="39.950000000000003" customHeight="1" x14ac:dyDescent="0.2">
      <c r="A9" s="10"/>
      <c r="B9" s="83" t="s">
        <v>177</v>
      </c>
      <c r="C9" s="84"/>
      <c r="D9" s="84"/>
      <c r="E9" s="9"/>
      <c r="F9" s="26"/>
      <c r="G9" s="31"/>
      <c r="H9" s="32"/>
      <c r="I9" s="43"/>
      <c r="J9" s="44"/>
    </row>
    <row r="10" spans="1:10" ht="39.950000000000003" customHeight="1" x14ac:dyDescent="0.2">
      <c r="A10" s="10"/>
      <c r="B10" s="85" t="s">
        <v>178</v>
      </c>
      <c r="C10" s="86"/>
      <c r="D10" s="86"/>
      <c r="E10" s="9">
        <v>5</v>
      </c>
      <c r="F10" s="26" t="s">
        <v>61</v>
      </c>
      <c r="G10" s="31" t="str">
        <f t="shared" ref="G10:G67" si="0">IFERROR(F10/E10,"")</f>
        <v/>
      </c>
      <c r="H10" s="32" t="str">
        <f t="shared" ref="H10:H67" si="1">_xlfn.IFS(F10="أدخل العلامة","",F10="لا ينطبق","تم الإلغاء",G10&gt;=90%,"ممتاز",G10&gt;=80%,"جيد جداً",G10&gt;=70%,"جيد",G10&gt;=60%,"مقبول",G10&lt;60%,"راسب")</f>
        <v/>
      </c>
      <c r="I10" s="43"/>
      <c r="J10" s="44"/>
    </row>
    <row r="11" spans="1:10" ht="39.950000000000003" customHeight="1" x14ac:dyDescent="0.2">
      <c r="A11" s="10"/>
      <c r="B11" s="87" t="s">
        <v>179</v>
      </c>
      <c r="C11" s="88"/>
      <c r="D11" s="88"/>
      <c r="E11" s="30"/>
      <c r="F11" s="26"/>
      <c r="G11" s="31"/>
      <c r="H11" s="32"/>
      <c r="I11" s="43"/>
      <c r="J11" s="44"/>
    </row>
    <row r="12" spans="1:10" ht="51" customHeight="1" x14ac:dyDescent="0.2">
      <c r="A12" s="10"/>
      <c r="B12" s="89" t="s">
        <v>180</v>
      </c>
      <c r="C12" s="90"/>
      <c r="D12" s="90"/>
      <c r="E12" s="9">
        <v>5</v>
      </c>
      <c r="F12" s="26" t="s">
        <v>61</v>
      </c>
      <c r="G12" s="31" t="str">
        <f t="shared" si="0"/>
        <v/>
      </c>
      <c r="H12" s="32" t="str">
        <f t="shared" si="1"/>
        <v/>
      </c>
      <c r="I12" s="43"/>
      <c r="J12" s="44"/>
    </row>
    <row r="13" spans="1:10" ht="39.950000000000003" customHeight="1" x14ac:dyDescent="0.2">
      <c r="A13" s="10"/>
      <c r="B13" s="89" t="s">
        <v>181</v>
      </c>
      <c r="C13" s="90"/>
      <c r="D13" s="90"/>
      <c r="E13" s="30"/>
      <c r="F13" s="26"/>
      <c r="G13" s="31"/>
      <c r="H13" s="32"/>
      <c r="I13" s="43"/>
      <c r="J13" s="44"/>
    </row>
    <row r="14" spans="1:10" ht="39.950000000000003" customHeight="1" x14ac:dyDescent="0.2">
      <c r="A14" s="10"/>
      <c r="B14" s="91" t="s">
        <v>182</v>
      </c>
      <c r="C14" s="92"/>
      <c r="D14" s="92"/>
      <c r="E14" s="9">
        <v>5</v>
      </c>
      <c r="F14" s="26" t="s">
        <v>61</v>
      </c>
      <c r="G14" s="31" t="str">
        <f t="shared" si="0"/>
        <v/>
      </c>
      <c r="H14" s="32" t="str">
        <f t="shared" si="1"/>
        <v/>
      </c>
      <c r="I14" s="43"/>
      <c r="J14" s="44"/>
    </row>
    <row r="15" spans="1:10" ht="39.950000000000003" customHeight="1" x14ac:dyDescent="0.2">
      <c r="A15" s="10"/>
      <c r="B15" s="91" t="s">
        <v>183</v>
      </c>
      <c r="C15" s="92"/>
      <c r="D15" s="92"/>
      <c r="E15" s="9">
        <v>5</v>
      </c>
      <c r="F15" s="26" t="s">
        <v>61</v>
      </c>
      <c r="G15" s="31" t="str">
        <f t="shared" si="0"/>
        <v/>
      </c>
      <c r="H15" s="32" t="str">
        <f t="shared" si="1"/>
        <v/>
      </c>
      <c r="I15" s="43"/>
      <c r="J15" s="44"/>
    </row>
    <row r="16" spans="1:10" ht="39.950000000000003" customHeight="1" x14ac:dyDescent="0.2">
      <c r="A16" s="10"/>
      <c r="B16" s="91" t="s">
        <v>184</v>
      </c>
      <c r="C16" s="92"/>
      <c r="D16" s="92"/>
      <c r="E16" s="9">
        <v>5</v>
      </c>
      <c r="F16" s="26" t="s">
        <v>61</v>
      </c>
      <c r="G16" s="31" t="str">
        <f t="shared" si="0"/>
        <v/>
      </c>
      <c r="H16" s="32" t="str">
        <f t="shared" si="1"/>
        <v/>
      </c>
      <c r="I16" s="43"/>
      <c r="J16" s="44"/>
    </row>
    <row r="17" spans="1:10" ht="39.950000000000003" customHeight="1" x14ac:dyDescent="0.2">
      <c r="A17" s="10"/>
      <c r="B17" s="91" t="s">
        <v>185</v>
      </c>
      <c r="C17" s="92"/>
      <c r="D17" s="92"/>
      <c r="E17" s="9">
        <v>5</v>
      </c>
      <c r="F17" s="26" t="s">
        <v>61</v>
      </c>
      <c r="G17" s="31" t="str">
        <f t="shared" si="0"/>
        <v/>
      </c>
      <c r="H17" s="32" t="str">
        <f t="shared" si="1"/>
        <v/>
      </c>
      <c r="I17" s="43"/>
      <c r="J17" s="44"/>
    </row>
    <row r="18" spans="1:10" ht="39.950000000000003" customHeight="1" x14ac:dyDescent="0.2">
      <c r="A18" s="10"/>
      <c r="B18" s="91" t="s">
        <v>186</v>
      </c>
      <c r="C18" s="92"/>
      <c r="D18" s="92"/>
      <c r="E18" s="9">
        <v>5</v>
      </c>
      <c r="F18" s="26" t="s">
        <v>61</v>
      </c>
      <c r="G18" s="31" t="str">
        <f t="shared" si="0"/>
        <v/>
      </c>
      <c r="H18" s="32" t="str">
        <f t="shared" si="1"/>
        <v/>
      </c>
      <c r="I18" s="43"/>
      <c r="J18" s="44"/>
    </row>
    <row r="19" spans="1:10" ht="39.950000000000003" customHeight="1" x14ac:dyDescent="0.2">
      <c r="A19" s="10"/>
      <c r="B19" s="89" t="s">
        <v>187</v>
      </c>
      <c r="C19" s="90"/>
      <c r="D19" s="90"/>
      <c r="E19" s="9">
        <v>5</v>
      </c>
      <c r="F19" s="26" t="s">
        <v>61</v>
      </c>
      <c r="G19" s="31" t="str">
        <f t="shared" si="0"/>
        <v/>
      </c>
      <c r="H19" s="32" t="str">
        <f t="shared" si="1"/>
        <v/>
      </c>
      <c r="I19" s="43"/>
      <c r="J19" s="44"/>
    </row>
    <row r="20" spans="1:10" ht="39.950000000000003" customHeight="1" x14ac:dyDescent="0.2">
      <c r="A20" s="10"/>
      <c r="B20" s="89" t="s">
        <v>188</v>
      </c>
      <c r="C20" s="90"/>
      <c r="D20" s="90"/>
      <c r="E20" s="30"/>
      <c r="F20" s="26"/>
      <c r="G20" s="31"/>
      <c r="H20" s="32"/>
      <c r="I20" s="43"/>
      <c r="J20" s="44"/>
    </row>
    <row r="21" spans="1:10" ht="39.950000000000003" customHeight="1" x14ac:dyDescent="0.2">
      <c r="A21" s="10"/>
      <c r="B21" s="91" t="s">
        <v>189</v>
      </c>
      <c r="C21" s="92"/>
      <c r="D21" s="92"/>
      <c r="E21" s="9">
        <v>5</v>
      </c>
      <c r="F21" s="26" t="s">
        <v>61</v>
      </c>
      <c r="G21" s="31" t="str">
        <f t="shared" si="0"/>
        <v/>
      </c>
      <c r="H21" s="32" t="str">
        <f t="shared" si="1"/>
        <v/>
      </c>
      <c r="I21" s="43"/>
      <c r="J21" s="44"/>
    </row>
    <row r="22" spans="1:10" ht="39.950000000000003" customHeight="1" x14ac:dyDescent="0.2">
      <c r="A22" s="10"/>
      <c r="B22" s="91" t="s">
        <v>190</v>
      </c>
      <c r="C22" s="92"/>
      <c r="D22" s="92"/>
      <c r="E22" s="9">
        <v>5</v>
      </c>
      <c r="F22" s="26" t="s">
        <v>61</v>
      </c>
      <c r="G22" s="31" t="str">
        <f t="shared" si="0"/>
        <v/>
      </c>
      <c r="H22" s="32" t="str">
        <f t="shared" si="1"/>
        <v/>
      </c>
      <c r="I22" s="43"/>
      <c r="J22" s="44"/>
    </row>
    <row r="23" spans="1:10" ht="39.950000000000003" customHeight="1" x14ac:dyDescent="0.2">
      <c r="A23" s="10"/>
      <c r="B23" s="91" t="s">
        <v>191</v>
      </c>
      <c r="C23" s="92"/>
      <c r="D23" s="92"/>
      <c r="E23" s="9">
        <v>5</v>
      </c>
      <c r="F23" s="26" t="s">
        <v>61</v>
      </c>
      <c r="G23" s="31" t="str">
        <f t="shared" si="0"/>
        <v/>
      </c>
      <c r="H23" s="32" t="str">
        <f t="shared" si="1"/>
        <v/>
      </c>
      <c r="I23" s="43"/>
      <c r="J23" s="44"/>
    </row>
    <row r="24" spans="1:10" ht="39.950000000000003" customHeight="1" x14ac:dyDescent="0.2">
      <c r="A24" s="10"/>
      <c r="B24" s="91" t="s">
        <v>192</v>
      </c>
      <c r="C24" s="92"/>
      <c r="D24" s="92"/>
      <c r="E24" s="9">
        <v>5</v>
      </c>
      <c r="F24" s="26" t="s">
        <v>61</v>
      </c>
      <c r="G24" s="31" t="str">
        <f t="shared" si="0"/>
        <v/>
      </c>
      <c r="H24" s="32" t="str">
        <f t="shared" si="1"/>
        <v/>
      </c>
      <c r="I24" s="43"/>
      <c r="J24" s="44"/>
    </row>
    <row r="25" spans="1:10" ht="39.950000000000003" customHeight="1" x14ac:dyDescent="0.2">
      <c r="A25" s="10"/>
      <c r="B25" s="89" t="s">
        <v>193</v>
      </c>
      <c r="C25" s="90"/>
      <c r="D25" s="90"/>
      <c r="E25" s="9"/>
      <c r="F25" s="26"/>
      <c r="G25" s="31"/>
      <c r="H25" s="32"/>
      <c r="I25" s="43"/>
      <c r="J25" s="44"/>
    </row>
    <row r="26" spans="1:10" ht="39.950000000000003" customHeight="1" x14ac:dyDescent="0.2">
      <c r="A26" s="10"/>
      <c r="B26" s="91" t="s">
        <v>194</v>
      </c>
      <c r="C26" s="92"/>
      <c r="D26" s="92"/>
      <c r="E26" s="30"/>
      <c r="F26" s="26"/>
      <c r="G26" s="31"/>
      <c r="H26" s="32"/>
      <c r="I26" s="43"/>
      <c r="J26" s="44"/>
    </row>
    <row r="27" spans="1:10" ht="39.950000000000003" customHeight="1" x14ac:dyDescent="0.2">
      <c r="A27" s="10"/>
      <c r="B27" s="93" t="s">
        <v>195</v>
      </c>
      <c r="C27" s="94"/>
      <c r="D27" s="94"/>
      <c r="E27" s="9">
        <v>5</v>
      </c>
      <c r="F27" s="26" t="s">
        <v>61</v>
      </c>
      <c r="G27" s="31" t="str">
        <f t="shared" si="0"/>
        <v/>
      </c>
      <c r="H27" s="32" t="str">
        <f t="shared" si="1"/>
        <v/>
      </c>
      <c r="I27" s="43"/>
      <c r="J27" s="44"/>
    </row>
    <row r="28" spans="1:10" ht="39.950000000000003" customHeight="1" x14ac:dyDescent="0.2">
      <c r="A28" s="10"/>
      <c r="B28" s="93" t="s">
        <v>196</v>
      </c>
      <c r="C28" s="94"/>
      <c r="D28" s="94"/>
      <c r="E28" s="9">
        <v>5</v>
      </c>
      <c r="F28" s="26" t="s">
        <v>61</v>
      </c>
      <c r="G28" s="31" t="str">
        <f t="shared" si="0"/>
        <v/>
      </c>
      <c r="H28" s="32" t="str">
        <f t="shared" si="1"/>
        <v/>
      </c>
      <c r="I28" s="43"/>
      <c r="J28" s="44"/>
    </row>
    <row r="29" spans="1:10" ht="39.950000000000003" customHeight="1" x14ac:dyDescent="0.2">
      <c r="A29" s="10"/>
      <c r="B29" s="93" t="s">
        <v>197</v>
      </c>
      <c r="C29" s="94"/>
      <c r="D29" s="94"/>
      <c r="E29" s="33">
        <v>5</v>
      </c>
      <c r="F29" s="26" t="s">
        <v>61</v>
      </c>
      <c r="G29" s="31" t="str">
        <f t="shared" si="0"/>
        <v/>
      </c>
      <c r="H29" s="32" t="str">
        <f t="shared" si="1"/>
        <v/>
      </c>
      <c r="I29" s="43"/>
      <c r="J29" s="44"/>
    </row>
    <row r="30" spans="1:10" ht="39.950000000000003" customHeight="1" x14ac:dyDescent="0.2">
      <c r="A30" s="10"/>
      <c r="B30" s="93" t="s">
        <v>198</v>
      </c>
      <c r="C30" s="94"/>
      <c r="D30" s="94"/>
      <c r="E30" s="33">
        <v>5</v>
      </c>
      <c r="F30" s="26" t="s">
        <v>61</v>
      </c>
      <c r="G30" s="31" t="str">
        <f t="shared" si="0"/>
        <v/>
      </c>
      <c r="H30" s="32" t="str">
        <f t="shared" si="1"/>
        <v/>
      </c>
      <c r="I30" s="43"/>
      <c r="J30" s="44"/>
    </row>
    <row r="31" spans="1:10" ht="51.75" customHeight="1" x14ac:dyDescent="0.2">
      <c r="A31" s="10"/>
      <c r="B31" s="93" t="s">
        <v>199</v>
      </c>
      <c r="C31" s="94"/>
      <c r="D31" s="94"/>
      <c r="E31" s="33">
        <v>5</v>
      </c>
      <c r="F31" s="26" t="s">
        <v>61</v>
      </c>
      <c r="G31" s="31" t="str">
        <f t="shared" si="0"/>
        <v/>
      </c>
      <c r="H31" s="32" t="str">
        <f t="shared" si="1"/>
        <v/>
      </c>
      <c r="I31" s="43"/>
      <c r="J31" s="44"/>
    </row>
    <row r="32" spans="1:10" ht="39.950000000000003" customHeight="1" x14ac:dyDescent="0.2">
      <c r="A32" s="10"/>
      <c r="B32" s="91" t="s">
        <v>200</v>
      </c>
      <c r="C32" s="92"/>
      <c r="D32" s="92"/>
      <c r="E32" s="34"/>
      <c r="F32" s="26"/>
      <c r="G32" s="31"/>
      <c r="H32" s="32"/>
      <c r="I32" s="43"/>
      <c r="J32" s="44"/>
    </row>
    <row r="33" spans="1:10" ht="50.25" customHeight="1" x14ac:dyDescent="0.2">
      <c r="A33" s="10"/>
      <c r="B33" s="93" t="s">
        <v>235</v>
      </c>
      <c r="C33" s="94"/>
      <c r="D33" s="94"/>
      <c r="E33" s="33">
        <v>5</v>
      </c>
      <c r="F33" s="26" t="s">
        <v>61</v>
      </c>
      <c r="G33" s="31" t="str">
        <f t="shared" si="0"/>
        <v/>
      </c>
      <c r="H33" s="32" t="str">
        <f t="shared" si="1"/>
        <v/>
      </c>
      <c r="I33" s="43"/>
      <c r="J33" s="44"/>
    </row>
    <row r="34" spans="1:10" ht="39.950000000000003" customHeight="1" x14ac:dyDescent="0.2">
      <c r="A34" s="10"/>
      <c r="B34" s="93" t="s">
        <v>201</v>
      </c>
      <c r="C34" s="94"/>
      <c r="D34" s="94"/>
      <c r="E34" s="33">
        <v>5</v>
      </c>
      <c r="F34" s="26" t="s">
        <v>61</v>
      </c>
      <c r="G34" s="31" t="str">
        <f t="shared" si="0"/>
        <v/>
      </c>
      <c r="H34" s="32" t="str">
        <f t="shared" si="1"/>
        <v/>
      </c>
      <c r="I34" s="43"/>
      <c r="J34" s="44"/>
    </row>
    <row r="35" spans="1:10" ht="54" customHeight="1" thickBot="1" x14ac:dyDescent="0.25">
      <c r="A35" s="10"/>
      <c r="B35" s="95" t="s">
        <v>202</v>
      </c>
      <c r="C35" s="96"/>
      <c r="D35" s="96"/>
      <c r="E35" s="39">
        <v>5</v>
      </c>
      <c r="F35" s="27" t="s">
        <v>61</v>
      </c>
      <c r="G35" s="40" t="str">
        <f t="shared" si="0"/>
        <v/>
      </c>
      <c r="H35" s="41" t="str">
        <f t="shared" si="1"/>
        <v/>
      </c>
      <c r="I35" s="45"/>
      <c r="J35" s="46"/>
    </row>
    <row r="36" spans="1:10" ht="39.950000000000003" customHeight="1" x14ac:dyDescent="0.2">
      <c r="A36" s="10"/>
      <c r="B36" s="81" t="s">
        <v>203</v>
      </c>
      <c r="C36" s="82"/>
      <c r="D36" s="82"/>
      <c r="E36" s="35"/>
      <c r="F36" s="36"/>
      <c r="G36" s="37"/>
      <c r="H36" s="38"/>
      <c r="I36" s="75"/>
      <c r="J36" s="76"/>
    </row>
    <row r="37" spans="1:10" ht="52.5" customHeight="1" x14ac:dyDescent="0.2">
      <c r="A37" s="10"/>
      <c r="B37" s="83" t="s">
        <v>233</v>
      </c>
      <c r="C37" s="84"/>
      <c r="D37" s="84"/>
      <c r="E37" s="9"/>
      <c r="F37" s="26"/>
      <c r="G37" s="31"/>
      <c r="H37" s="32"/>
      <c r="I37" s="43"/>
      <c r="J37" s="44"/>
    </row>
    <row r="38" spans="1:10" ht="39.950000000000003" customHeight="1" x14ac:dyDescent="0.2">
      <c r="A38" s="10"/>
      <c r="B38" s="85" t="s">
        <v>204</v>
      </c>
      <c r="C38" s="86"/>
      <c r="D38" s="86"/>
      <c r="E38" s="9">
        <v>5</v>
      </c>
      <c r="F38" s="26" t="s">
        <v>61</v>
      </c>
      <c r="G38" s="31" t="str">
        <f t="shared" si="0"/>
        <v/>
      </c>
      <c r="H38" s="32" t="str">
        <f t="shared" si="1"/>
        <v/>
      </c>
      <c r="I38" s="43"/>
      <c r="J38" s="44"/>
    </row>
    <row r="39" spans="1:10" ht="39.950000000000003" customHeight="1" x14ac:dyDescent="0.2">
      <c r="A39" s="10"/>
      <c r="B39" s="85" t="s">
        <v>205</v>
      </c>
      <c r="C39" s="86"/>
      <c r="D39" s="86"/>
      <c r="E39" s="9">
        <v>5</v>
      </c>
      <c r="F39" s="26" t="s">
        <v>61</v>
      </c>
      <c r="G39" s="31" t="str">
        <f t="shared" si="0"/>
        <v/>
      </c>
      <c r="H39" s="32" t="str">
        <f t="shared" si="1"/>
        <v/>
      </c>
      <c r="I39" s="43"/>
      <c r="J39" s="44"/>
    </row>
    <row r="40" spans="1:10" ht="39.950000000000003" customHeight="1" x14ac:dyDescent="0.2">
      <c r="A40" s="10"/>
      <c r="B40" s="85" t="s">
        <v>206</v>
      </c>
      <c r="C40" s="86"/>
      <c r="D40" s="86"/>
      <c r="E40" s="9">
        <v>5</v>
      </c>
      <c r="F40" s="26" t="s">
        <v>61</v>
      </c>
      <c r="G40" s="31" t="str">
        <f t="shared" si="0"/>
        <v/>
      </c>
      <c r="H40" s="32" t="str">
        <f t="shared" si="1"/>
        <v/>
      </c>
      <c r="I40" s="43"/>
      <c r="J40" s="44"/>
    </row>
    <row r="41" spans="1:10" ht="39.950000000000003" customHeight="1" x14ac:dyDescent="0.2">
      <c r="A41" s="10"/>
      <c r="B41" s="87" t="s">
        <v>207</v>
      </c>
      <c r="C41" s="88"/>
      <c r="D41" s="88"/>
      <c r="E41" s="30"/>
      <c r="F41" s="26"/>
      <c r="G41" s="31"/>
      <c r="H41" s="32"/>
      <c r="I41" s="43"/>
      <c r="J41" s="44"/>
    </row>
    <row r="42" spans="1:10" ht="39.950000000000003" customHeight="1" x14ac:dyDescent="0.2">
      <c r="A42" s="10"/>
      <c r="B42" s="89" t="s">
        <v>208</v>
      </c>
      <c r="C42" s="90"/>
      <c r="D42" s="90"/>
      <c r="E42" s="9">
        <v>5</v>
      </c>
      <c r="F42" s="26" t="s">
        <v>61</v>
      </c>
      <c r="G42" s="31" t="str">
        <f t="shared" si="0"/>
        <v/>
      </c>
      <c r="H42" s="32" t="str">
        <f t="shared" si="1"/>
        <v/>
      </c>
      <c r="I42" s="43"/>
      <c r="J42" s="44"/>
    </row>
    <row r="43" spans="1:10" ht="39.950000000000003" customHeight="1" x14ac:dyDescent="0.2">
      <c r="A43" s="10"/>
      <c r="B43" s="89" t="s">
        <v>209</v>
      </c>
      <c r="C43" s="90"/>
      <c r="D43" s="90"/>
      <c r="E43" s="9">
        <v>5</v>
      </c>
      <c r="F43" s="26" t="s">
        <v>61</v>
      </c>
      <c r="G43" s="31" t="str">
        <f t="shared" si="0"/>
        <v/>
      </c>
      <c r="H43" s="32" t="str">
        <f t="shared" si="1"/>
        <v/>
      </c>
      <c r="I43" s="43"/>
      <c r="J43" s="44"/>
    </row>
    <row r="44" spans="1:10" ht="39.950000000000003" customHeight="1" x14ac:dyDescent="0.2">
      <c r="A44" s="10"/>
      <c r="B44" s="89" t="s">
        <v>210</v>
      </c>
      <c r="C44" s="90"/>
      <c r="D44" s="90"/>
      <c r="E44" s="9">
        <v>5</v>
      </c>
      <c r="F44" s="26" t="s">
        <v>61</v>
      </c>
      <c r="G44" s="31" t="str">
        <f t="shared" si="0"/>
        <v/>
      </c>
      <c r="H44" s="32" t="str">
        <f t="shared" si="1"/>
        <v/>
      </c>
      <c r="I44" s="43"/>
      <c r="J44" s="44"/>
    </row>
    <row r="45" spans="1:10" ht="39.950000000000003" customHeight="1" x14ac:dyDescent="0.2">
      <c r="A45" s="10"/>
      <c r="B45" s="89" t="s">
        <v>211</v>
      </c>
      <c r="C45" s="90"/>
      <c r="D45" s="90"/>
      <c r="E45" s="9">
        <v>5</v>
      </c>
      <c r="F45" s="26" t="s">
        <v>61</v>
      </c>
      <c r="G45" s="31" t="str">
        <f t="shared" si="0"/>
        <v/>
      </c>
      <c r="H45" s="32" t="str">
        <f t="shared" si="1"/>
        <v/>
      </c>
      <c r="I45" s="43"/>
      <c r="J45" s="44"/>
    </row>
    <row r="46" spans="1:10" ht="39.950000000000003" customHeight="1" x14ac:dyDescent="0.2">
      <c r="A46" s="10"/>
      <c r="B46" s="87" t="s">
        <v>212</v>
      </c>
      <c r="C46" s="88"/>
      <c r="D46" s="88"/>
      <c r="E46" s="9">
        <v>5</v>
      </c>
      <c r="F46" s="26" t="s">
        <v>61</v>
      </c>
      <c r="G46" s="31" t="str">
        <f t="shared" si="0"/>
        <v/>
      </c>
      <c r="H46" s="32" t="str">
        <f t="shared" si="1"/>
        <v/>
      </c>
      <c r="I46" s="43"/>
      <c r="J46" s="44"/>
    </row>
    <row r="47" spans="1:10" ht="39.950000000000003" customHeight="1" thickBot="1" x14ac:dyDescent="0.25">
      <c r="A47" s="10"/>
      <c r="B47" s="95" t="s">
        <v>213</v>
      </c>
      <c r="C47" s="96"/>
      <c r="D47" s="96"/>
      <c r="E47" s="42">
        <v>5</v>
      </c>
      <c r="F47" s="27" t="s">
        <v>61</v>
      </c>
      <c r="G47" s="40" t="str">
        <f t="shared" si="0"/>
        <v/>
      </c>
      <c r="H47" s="41" t="str">
        <f t="shared" si="1"/>
        <v/>
      </c>
      <c r="I47" s="45"/>
      <c r="J47" s="46"/>
    </row>
    <row r="48" spans="1:10" ht="39.950000000000003" customHeight="1" x14ac:dyDescent="0.2">
      <c r="A48" s="10"/>
      <c r="B48" s="81" t="s">
        <v>214</v>
      </c>
      <c r="C48" s="82"/>
      <c r="D48" s="82"/>
      <c r="E48" s="35"/>
      <c r="F48" s="36"/>
      <c r="G48" s="37"/>
      <c r="H48" s="38"/>
      <c r="I48" s="75"/>
      <c r="J48" s="76"/>
    </row>
    <row r="49" spans="1:10" ht="39.950000000000003" customHeight="1" x14ac:dyDescent="0.2">
      <c r="A49" s="10"/>
      <c r="B49" s="85" t="s">
        <v>236</v>
      </c>
      <c r="C49" s="86"/>
      <c r="D49" s="86"/>
      <c r="E49" s="9">
        <v>5</v>
      </c>
      <c r="F49" s="26" t="s">
        <v>61</v>
      </c>
      <c r="G49" s="31" t="str">
        <f t="shared" si="0"/>
        <v/>
      </c>
      <c r="H49" s="32" t="str">
        <f t="shared" si="1"/>
        <v/>
      </c>
      <c r="I49" s="43"/>
      <c r="J49" s="44"/>
    </row>
    <row r="50" spans="1:10" ht="53.25" customHeight="1" x14ac:dyDescent="0.2">
      <c r="A50" s="10"/>
      <c r="B50" s="85" t="s">
        <v>215</v>
      </c>
      <c r="C50" s="86"/>
      <c r="D50" s="86"/>
      <c r="E50" s="9">
        <v>5</v>
      </c>
      <c r="F50" s="26" t="s">
        <v>61</v>
      </c>
      <c r="G50" s="31" t="str">
        <f t="shared" si="0"/>
        <v/>
      </c>
      <c r="H50" s="32" t="str">
        <f t="shared" si="1"/>
        <v/>
      </c>
      <c r="I50" s="43"/>
      <c r="J50" s="44"/>
    </row>
    <row r="51" spans="1:10" ht="39.950000000000003" customHeight="1" x14ac:dyDescent="0.2">
      <c r="A51" s="10"/>
      <c r="B51" s="85" t="s">
        <v>216</v>
      </c>
      <c r="C51" s="86"/>
      <c r="D51" s="86"/>
      <c r="E51" s="9">
        <v>5</v>
      </c>
      <c r="F51" s="26" t="s">
        <v>61</v>
      </c>
      <c r="G51" s="31" t="str">
        <f t="shared" si="0"/>
        <v/>
      </c>
      <c r="H51" s="32" t="str">
        <f t="shared" si="1"/>
        <v/>
      </c>
      <c r="I51" s="43"/>
      <c r="J51" s="44"/>
    </row>
    <row r="52" spans="1:10" ht="71.25" customHeight="1" x14ac:dyDescent="0.2">
      <c r="A52" s="10"/>
      <c r="B52" s="85" t="s">
        <v>217</v>
      </c>
      <c r="C52" s="86"/>
      <c r="D52" s="86"/>
      <c r="E52" s="9">
        <v>5</v>
      </c>
      <c r="F52" s="26" t="s">
        <v>61</v>
      </c>
      <c r="G52" s="31" t="str">
        <f t="shared" si="0"/>
        <v/>
      </c>
      <c r="H52" s="32" t="str">
        <f t="shared" si="1"/>
        <v/>
      </c>
      <c r="I52" s="43"/>
      <c r="J52" s="44"/>
    </row>
    <row r="53" spans="1:10" ht="39.950000000000003" customHeight="1" x14ac:dyDescent="0.2">
      <c r="A53" s="10"/>
      <c r="B53" s="85" t="s">
        <v>218</v>
      </c>
      <c r="C53" s="86"/>
      <c r="D53" s="86"/>
      <c r="E53" s="9">
        <v>5</v>
      </c>
      <c r="F53" s="26" t="s">
        <v>61</v>
      </c>
      <c r="G53" s="31" t="str">
        <f t="shared" si="0"/>
        <v/>
      </c>
      <c r="H53" s="32" t="str">
        <f t="shared" si="1"/>
        <v/>
      </c>
      <c r="I53" s="43"/>
      <c r="J53" s="44"/>
    </row>
    <row r="54" spans="1:10" ht="39.950000000000003" customHeight="1" x14ac:dyDescent="0.2">
      <c r="A54" s="10"/>
      <c r="B54" s="85" t="s">
        <v>219</v>
      </c>
      <c r="C54" s="86"/>
      <c r="D54" s="86"/>
      <c r="E54" s="9">
        <v>5</v>
      </c>
      <c r="F54" s="26" t="s">
        <v>61</v>
      </c>
      <c r="G54" s="31" t="str">
        <f t="shared" si="0"/>
        <v/>
      </c>
      <c r="H54" s="32" t="str">
        <f t="shared" si="1"/>
        <v/>
      </c>
      <c r="I54" s="43"/>
      <c r="J54" s="44"/>
    </row>
    <row r="55" spans="1:10" ht="39.950000000000003" customHeight="1" x14ac:dyDescent="0.2">
      <c r="A55" s="10"/>
      <c r="B55" s="85" t="s">
        <v>220</v>
      </c>
      <c r="C55" s="86"/>
      <c r="D55" s="86"/>
      <c r="E55" s="9">
        <v>5</v>
      </c>
      <c r="F55" s="26" t="s">
        <v>61</v>
      </c>
      <c r="G55" s="31" t="str">
        <f t="shared" si="0"/>
        <v/>
      </c>
      <c r="H55" s="32" t="str">
        <f t="shared" si="1"/>
        <v/>
      </c>
      <c r="I55" s="43"/>
      <c r="J55" s="44"/>
    </row>
    <row r="56" spans="1:10" ht="39.950000000000003" customHeight="1" x14ac:dyDescent="0.2">
      <c r="A56" s="10"/>
      <c r="B56" s="85" t="s">
        <v>221</v>
      </c>
      <c r="C56" s="86"/>
      <c r="D56" s="86"/>
      <c r="E56" s="9">
        <v>5</v>
      </c>
      <c r="F56" s="26" t="s">
        <v>61</v>
      </c>
      <c r="G56" s="31" t="str">
        <f t="shared" si="0"/>
        <v/>
      </c>
      <c r="H56" s="32" t="str">
        <f t="shared" si="1"/>
        <v/>
      </c>
      <c r="I56" s="43"/>
      <c r="J56" s="44"/>
    </row>
    <row r="57" spans="1:10" ht="39.950000000000003" customHeight="1" x14ac:dyDescent="0.2">
      <c r="A57" s="10"/>
      <c r="B57" s="85" t="s">
        <v>222</v>
      </c>
      <c r="C57" s="86"/>
      <c r="D57" s="86"/>
      <c r="E57" s="9">
        <v>5</v>
      </c>
      <c r="F57" s="26" t="s">
        <v>61</v>
      </c>
      <c r="G57" s="31" t="str">
        <f t="shared" si="0"/>
        <v/>
      </c>
      <c r="H57" s="32" t="str">
        <f t="shared" si="1"/>
        <v/>
      </c>
      <c r="I57" s="43"/>
      <c r="J57" s="44"/>
    </row>
    <row r="58" spans="1:10" ht="39.950000000000003" customHeight="1" x14ac:dyDescent="0.2">
      <c r="A58" s="10"/>
      <c r="B58" s="85" t="s">
        <v>223</v>
      </c>
      <c r="C58" s="86"/>
      <c r="D58" s="86"/>
      <c r="E58" s="9">
        <v>5</v>
      </c>
      <c r="F58" s="26" t="s">
        <v>61</v>
      </c>
      <c r="G58" s="31" t="str">
        <f t="shared" si="0"/>
        <v/>
      </c>
      <c r="H58" s="32" t="str">
        <f t="shared" si="1"/>
        <v/>
      </c>
      <c r="I58" s="43"/>
      <c r="J58" s="44"/>
    </row>
    <row r="59" spans="1:10" ht="39.950000000000003" customHeight="1" x14ac:dyDescent="0.2">
      <c r="A59" s="10"/>
      <c r="B59" s="85" t="s">
        <v>224</v>
      </c>
      <c r="C59" s="86"/>
      <c r="D59" s="86"/>
      <c r="E59" s="9">
        <v>5</v>
      </c>
      <c r="F59" s="26" t="s">
        <v>61</v>
      </c>
      <c r="G59" s="31" t="str">
        <f t="shared" si="0"/>
        <v/>
      </c>
      <c r="H59" s="32" t="str">
        <f t="shared" si="1"/>
        <v/>
      </c>
      <c r="I59" s="43"/>
      <c r="J59" s="44"/>
    </row>
    <row r="60" spans="1:10" ht="39.950000000000003" customHeight="1" x14ac:dyDescent="0.2">
      <c r="A60" s="10"/>
      <c r="B60" s="85" t="s">
        <v>225</v>
      </c>
      <c r="C60" s="86"/>
      <c r="D60" s="86"/>
      <c r="E60" s="9">
        <v>5</v>
      </c>
      <c r="F60" s="26" t="s">
        <v>61</v>
      </c>
      <c r="G60" s="31" t="str">
        <f t="shared" si="0"/>
        <v/>
      </c>
      <c r="H60" s="32" t="str">
        <f t="shared" si="1"/>
        <v/>
      </c>
      <c r="I60" s="43"/>
      <c r="J60" s="44"/>
    </row>
    <row r="61" spans="1:10" ht="39.950000000000003" customHeight="1" x14ac:dyDescent="0.2">
      <c r="A61" s="10"/>
      <c r="B61" s="85" t="s">
        <v>226</v>
      </c>
      <c r="C61" s="86"/>
      <c r="D61" s="86"/>
      <c r="E61" s="9">
        <v>5</v>
      </c>
      <c r="F61" s="26" t="s">
        <v>61</v>
      </c>
      <c r="G61" s="31" t="str">
        <f t="shared" si="0"/>
        <v/>
      </c>
      <c r="H61" s="32" t="str">
        <f t="shared" si="1"/>
        <v/>
      </c>
      <c r="I61" s="43"/>
      <c r="J61" s="44"/>
    </row>
    <row r="62" spans="1:10" ht="39.950000000000003" customHeight="1" x14ac:dyDescent="0.2">
      <c r="A62" s="10"/>
      <c r="B62" s="85" t="s">
        <v>227</v>
      </c>
      <c r="C62" s="86"/>
      <c r="D62" s="86"/>
      <c r="E62" s="9">
        <v>5</v>
      </c>
      <c r="F62" s="26" t="s">
        <v>61</v>
      </c>
      <c r="G62" s="31" t="str">
        <f t="shared" si="0"/>
        <v/>
      </c>
      <c r="H62" s="32" t="str">
        <f t="shared" si="1"/>
        <v/>
      </c>
      <c r="I62" s="43"/>
      <c r="J62" s="44"/>
    </row>
    <row r="63" spans="1:10" ht="39.950000000000003" customHeight="1" x14ac:dyDescent="0.2">
      <c r="A63" s="10"/>
      <c r="B63" s="85" t="s">
        <v>228</v>
      </c>
      <c r="C63" s="86"/>
      <c r="D63" s="86"/>
      <c r="E63" s="9">
        <v>5</v>
      </c>
      <c r="F63" s="26" t="s">
        <v>61</v>
      </c>
      <c r="G63" s="31" t="str">
        <f t="shared" si="0"/>
        <v/>
      </c>
      <c r="H63" s="32" t="str">
        <f t="shared" si="1"/>
        <v/>
      </c>
      <c r="I63" s="43"/>
      <c r="J63" s="44"/>
    </row>
    <row r="64" spans="1:10" ht="39.950000000000003" customHeight="1" x14ac:dyDescent="0.2">
      <c r="A64" s="10"/>
      <c r="B64" s="85" t="s">
        <v>229</v>
      </c>
      <c r="C64" s="86"/>
      <c r="D64" s="86"/>
      <c r="E64" s="9">
        <v>5</v>
      </c>
      <c r="F64" s="26" t="s">
        <v>61</v>
      </c>
      <c r="G64" s="31" t="str">
        <f t="shared" si="0"/>
        <v/>
      </c>
      <c r="H64" s="32" t="str">
        <f t="shared" si="1"/>
        <v/>
      </c>
      <c r="I64" s="43"/>
      <c r="J64" s="44"/>
    </row>
    <row r="65" spans="1:10" ht="39.950000000000003" customHeight="1" x14ac:dyDescent="0.2">
      <c r="A65" s="10"/>
      <c r="B65" s="85" t="s">
        <v>230</v>
      </c>
      <c r="C65" s="86"/>
      <c r="D65" s="86"/>
      <c r="E65" s="9">
        <v>5</v>
      </c>
      <c r="F65" s="26" t="s">
        <v>61</v>
      </c>
      <c r="G65" s="31" t="str">
        <f t="shared" si="0"/>
        <v/>
      </c>
      <c r="H65" s="32" t="str">
        <f t="shared" si="1"/>
        <v/>
      </c>
      <c r="I65" s="43"/>
      <c r="J65" s="44"/>
    </row>
    <row r="66" spans="1:10" ht="39.950000000000003" customHeight="1" x14ac:dyDescent="0.2">
      <c r="A66" s="10"/>
      <c r="B66" s="85" t="s">
        <v>231</v>
      </c>
      <c r="C66" s="86"/>
      <c r="D66" s="86"/>
      <c r="E66" s="9">
        <v>5</v>
      </c>
      <c r="F66" s="26" t="s">
        <v>61</v>
      </c>
      <c r="G66" s="31" t="str">
        <f t="shared" si="0"/>
        <v/>
      </c>
      <c r="H66" s="32" t="str">
        <f t="shared" si="1"/>
        <v/>
      </c>
      <c r="I66" s="43"/>
      <c r="J66" s="44"/>
    </row>
    <row r="67" spans="1:10" ht="39.950000000000003" customHeight="1" thickBot="1" x14ac:dyDescent="0.25">
      <c r="A67" s="10"/>
      <c r="B67" s="97" t="s">
        <v>232</v>
      </c>
      <c r="C67" s="98"/>
      <c r="D67" s="98"/>
      <c r="E67" s="42">
        <v>5</v>
      </c>
      <c r="F67" s="27" t="s">
        <v>61</v>
      </c>
      <c r="G67" s="40" t="str">
        <f t="shared" si="0"/>
        <v/>
      </c>
      <c r="H67" s="41" t="str">
        <f t="shared" si="1"/>
        <v/>
      </c>
      <c r="I67" s="45"/>
      <c r="J67" s="46"/>
    </row>
    <row r="68" spans="1:10" ht="30" customHeight="1" thickBot="1" x14ac:dyDescent="0.25">
      <c r="A68" s="4"/>
      <c r="B68" s="77" t="s">
        <v>5</v>
      </c>
      <c r="C68" s="78"/>
      <c r="D68" s="78"/>
      <c r="E68" s="29">
        <f>SUM(E8:E67)</f>
        <v>240</v>
      </c>
      <c r="F68" s="29">
        <f>SUM(F8:F67)</f>
        <v>0</v>
      </c>
      <c r="G68" s="49"/>
      <c r="H68" s="50"/>
      <c r="I68" s="50"/>
      <c r="J68" s="51"/>
    </row>
    <row r="69" spans="1:10" ht="30" customHeight="1" thickBot="1" x14ac:dyDescent="0.25">
      <c r="A69" s="4"/>
      <c r="B69" s="79" t="s">
        <v>54</v>
      </c>
      <c r="C69" s="80"/>
      <c r="D69" s="80"/>
      <c r="E69" s="59">
        <f>F68/E68/100*100</f>
        <v>0</v>
      </c>
      <c r="F69" s="59"/>
      <c r="G69" s="59"/>
      <c r="H69" s="59"/>
      <c r="I69" s="59"/>
      <c r="J69" s="60"/>
    </row>
    <row r="70" spans="1:10" ht="30" customHeight="1" thickBot="1" x14ac:dyDescent="0.25">
      <c r="A70" s="4"/>
      <c r="B70" s="79" t="s">
        <v>55</v>
      </c>
      <c r="C70" s="80"/>
      <c r="D70" s="80"/>
      <c r="E70" s="73" t="str">
        <f>_xlfn.IFS(E69&gt;=90%,"ممتاز",E69&gt;=80%,"جيد جداً",E69&gt;=70%,"جيد",E69&gt;=60%,"مقبول",E69&lt;60%,"راسب")</f>
        <v>راسب</v>
      </c>
      <c r="F70" s="73"/>
      <c r="G70" s="73"/>
      <c r="H70" s="73"/>
      <c r="I70" s="73"/>
      <c r="J70" s="74"/>
    </row>
    <row r="71" spans="1:10" ht="42" customHeight="1" x14ac:dyDescent="0.2">
      <c r="B71" s="69" t="s">
        <v>175</v>
      </c>
      <c r="C71" s="69"/>
      <c r="D71" s="69"/>
      <c r="E71" s="47" t="s">
        <v>52</v>
      </c>
      <c r="F71" s="47"/>
      <c r="G71" s="71" t="s">
        <v>59</v>
      </c>
      <c r="H71" s="71"/>
      <c r="I71" s="71"/>
      <c r="J71" s="71"/>
    </row>
    <row r="72" spans="1:10" ht="51" customHeight="1" x14ac:dyDescent="0.2">
      <c r="A72" s="5"/>
      <c r="B72" s="70"/>
      <c r="C72" s="70"/>
      <c r="D72" s="70"/>
      <c r="E72" s="48" t="s">
        <v>53</v>
      </c>
      <c r="F72" s="48"/>
      <c r="G72" s="72"/>
      <c r="H72" s="72"/>
      <c r="I72" s="72"/>
      <c r="J72" s="7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1">
    <mergeCell ref="B67:D67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9:D49"/>
    <mergeCell ref="B50:D50"/>
    <mergeCell ref="B51:D51"/>
    <mergeCell ref="B52:D52"/>
    <mergeCell ref="B62:D62"/>
    <mergeCell ref="B63:D63"/>
    <mergeCell ref="B64:D64"/>
    <mergeCell ref="B65:D65"/>
    <mergeCell ref="B66:D66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I8:J8"/>
    <mergeCell ref="B68:D68"/>
    <mergeCell ref="B69:D69"/>
    <mergeCell ref="B70:D7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B8:D8"/>
    <mergeCell ref="B9:D9"/>
    <mergeCell ref="B10:D10"/>
    <mergeCell ref="B11:D11"/>
    <mergeCell ref="B12:D12"/>
    <mergeCell ref="B71:D72"/>
    <mergeCell ref="G71:J71"/>
    <mergeCell ref="G72:J72"/>
    <mergeCell ref="E70:J70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B1:J1"/>
    <mergeCell ref="F2:J2"/>
    <mergeCell ref="B5:D6"/>
    <mergeCell ref="C2:D2"/>
    <mergeCell ref="C3:D3"/>
    <mergeCell ref="F3:J3"/>
    <mergeCell ref="E69:J69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63:J63"/>
    <mergeCell ref="I64:J64"/>
    <mergeCell ref="I65:J65"/>
    <mergeCell ref="I66:J66"/>
    <mergeCell ref="I67:J67"/>
    <mergeCell ref="E71:F71"/>
    <mergeCell ref="E72:F72"/>
    <mergeCell ref="G68:J68"/>
    <mergeCell ref="I9:J9"/>
    <mergeCell ref="I32:J32"/>
    <mergeCell ref="I33:J33"/>
    <mergeCell ref="I34:J34"/>
    <mergeCell ref="I35:J35"/>
    <mergeCell ref="I36:J36"/>
  </mergeCells>
  <conditionalFormatting sqref="E70">
    <cfRule type="expression" dxfId="23" priority="57">
      <formula>$E70="راسب"</formula>
    </cfRule>
  </conditionalFormatting>
  <conditionalFormatting sqref="E70:J70">
    <cfRule type="expression" dxfId="22" priority="58">
      <formula>$E70="مقبول"</formula>
    </cfRule>
    <cfRule type="expression" dxfId="21" priority="59">
      <formula>$E70="جيد"</formula>
    </cfRule>
    <cfRule type="expression" dxfId="20" priority="60">
      <formula>$E70="جيد جداً"</formula>
    </cfRule>
    <cfRule type="expression" dxfId="19" priority="61">
      <formula>$E70="ممتاز"</formula>
    </cfRule>
  </conditionalFormatting>
  <conditionalFormatting sqref="H8 H10:H67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67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71:J71">
    <cfRule type="containsText" dxfId="8" priority="15" operator="containsText" text="أدخل اسم المحكم">
      <formula>NOT(ISERROR(SEARCH("أدخل اسم المحكم",G71)))</formula>
    </cfRule>
  </conditionalFormatting>
  <conditionalFormatting sqref="F8 F10:F67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F49:F67 F42:F47 F38:F40 F33:F35 F27:F31 F21:F24 F14:F19 F12 F10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G71:J71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9" t="s">
        <v>62</v>
      </c>
    </row>
    <row r="3" spans="1:3" ht="20.100000000000001" customHeight="1" thickBot="1" x14ac:dyDescent="0.25">
      <c r="A3" s="2" t="s">
        <v>26</v>
      </c>
      <c r="C3" s="19" t="s">
        <v>63</v>
      </c>
    </row>
    <row r="4" spans="1:3" ht="20.100000000000001" customHeight="1" thickBot="1" x14ac:dyDescent="0.25">
      <c r="A4" s="2" t="s">
        <v>36</v>
      </c>
      <c r="C4" s="19" t="s">
        <v>64</v>
      </c>
    </row>
    <row r="5" spans="1:3" ht="20.100000000000001" customHeight="1" thickBot="1" x14ac:dyDescent="0.25">
      <c r="A5" s="2" t="s">
        <v>37</v>
      </c>
      <c r="C5" s="19" t="s">
        <v>65</v>
      </c>
    </row>
    <row r="6" spans="1:3" ht="20.100000000000001" customHeight="1" thickBot="1" x14ac:dyDescent="0.25">
      <c r="A6" s="2" t="s">
        <v>38</v>
      </c>
      <c r="C6" s="19" t="s">
        <v>66</v>
      </c>
    </row>
    <row r="7" spans="1:3" ht="20.100000000000001" customHeight="1" thickBot="1" x14ac:dyDescent="0.25">
      <c r="A7" s="2" t="s">
        <v>39</v>
      </c>
      <c r="C7" s="19" t="s">
        <v>67</v>
      </c>
    </row>
    <row r="8" spans="1:3" ht="20.100000000000001" customHeight="1" thickBot="1" x14ac:dyDescent="0.25">
      <c r="A8" s="2" t="s">
        <v>40</v>
      </c>
      <c r="C8" s="19" t="s">
        <v>68</v>
      </c>
    </row>
    <row r="9" spans="1:3" ht="20.100000000000001" customHeight="1" thickBot="1" x14ac:dyDescent="0.25">
      <c r="A9" s="2" t="s">
        <v>41</v>
      </c>
      <c r="C9" s="19" t="s">
        <v>69</v>
      </c>
    </row>
    <row r="10" spans="1:3" ht="20.100000000000001" customHeight="1" thickBot="1" x14ac:dyDescent="0.25">
      <c r="A10" s="2" t="s">
        <v>42</v>
      </c>
      <c r="C10" s="19" t="s">
        <v>70</v>
      </c>
    </row>
    <row r="11" spans="1:3" ht="20.100000000000001" customHeight="1" thickBot="1" x14ac:dyDescent="0.25">
      <c r="A11" s="2" t="s">
        <v>43</v>
      </c>
      <c r="C11" s="19" t="s">
        <v>71</v>
      </c>
    </row>
    <row r="12" spans="1:3" ht="20.100000000000001" customHeight="1" thickBot="1" x14ac:dyDescent="0.25">
      <c r="A12" s="2" t="s">
        <v>44</v>
      </c>
      <c r="C12" s="19" t="s">
        <v>72</v>
      </c>
    </row>
    <row r="13" spans="1:3" ht="20.100000000000001" customHeight="1" thickBot="1" x14ac:dyDescent="0.25">
      <c r="A13" s="2" t="s">
        <v>45</v>
      </c>
      <c r="C13" s="19" t="s">
        <v>73</v>
      </c>
    </row>
    <row r="14" spans="1:3" ht="20.100000000000001" customHeight="1" thickBot="1" x14ac:dyDescent="0.25">
      <c r="A14" s="2" t="s">
        <v>46</v>
      </c>
      <c r="C14" s="19" t="s">
        <v>74</v>
      </c>
    </row>
    <row r="15" spans="1:3" ht="20.100000000000001" customHeight="1" thickBot="1" x14ac:dyDescent="0.25">
      <c r="A15" s="2" t="s">
        <v>47</v>
      </c>
      <c r="C15" s="19" t="s">
        <v>75</v>
      </c>
    </row>
    <row r="16" spans="1:3" ht="20.100000000000001" customHeight="1" thickBot="1" x14ac:dyDescent="0.25">
      <c r="A16" s="2" t="s">
        <v>10</v>
      </c>
      <c r="C16" s="19" t="s">
        <v>76</v>
      </c>
    </row>
    <row r="17" spans="1:3" ht="20.100000000000001" customHeight="1" thickBot="1" x14ac:dyDescent="0.25">
      <c r="A17" s="2" t="s">
        <v>27</v>
      </c>
      <c r="C17" s="19" t="s">
        <v>77</v>
      </c>
    </row>
    <row r="18" spans="1:3" ht="20.100000000000001" customHeight="1" thickBot="1" x14ac:dyDescent="0.25">
      <c r="A18" s="2" t="s">
        <v>48</v>
      </c>
      <c r="C18" s="19" t="s">
        <v>78</v>
      </c>
    </row>
    <row r="19" spans="1:3" ht="20.100000000000001" customHeight="1" thickBot="1" x14ac:dyDescent="0.25">
      <c r="A19" s="2" t="s">
        <v>49</v>
      </c>
      <c r="C19" s="19" t="s">
        <v>79</v>
      </c>
    </row>
    <row r="20" spans="1:3" ht="20.100000000000001" customHeight="1" thickBot="1" x14ac:dyDescent="0.25">
      <c r="A20" s="2" t="s">
        <v>50</v>
      </c>
      <c r="C20" s="19" t="s">
        <v>80</v>
      </c>
    </row>
    <row r="21" spans="1:3" ht="20.100000000000001" customHeight="1" thickBot="1" x14ac:dyDescent="0.25">
      <c r="A21" s="2" t="s">
        <v>51</v>
      </c>
      <c r="C21" s="19" t="s">
        <v>81</v>
      </c>
    </row>
    <row r="22" spans="1:3" ht="20.100000000000001" customHeight="1" thickBot="1" x14ac:dyDescent="0.25">
      <c r="A22" s="2" t="s">
        <v>11</v>
      </c>
      <c r="C22" s="19" t="s">
        <v>82</v>
      </c>
    </row>
    <row r="23" spans="1:3" ht="20.100000000000001" customHeight="1" thickBot="1" x14ac:dyDescent="0.25">
      <c r="A23" s="2" t="s">
        <v>12</v>
      </c>
      <c r="C23" s="19" t="s">
        <v>83</v>
      </c>
    </row>
    <row r="24" spans="1:3" ht="20.100000000000001" customHeight="1" thickBot="1" x14ac:dyDescent="0.25">
      <c r="A24" s="2" t="s">
        <v>15</v>
      </c>
      <c r="C24" s="19" t="s">
        <v>84</v>
      </c>
    </row>
    <row r="25" spans="1:3" ht="20.100000000000001" customHeight="1" thickBot="1" x14ac:dyDescent="0.25">
      <c r="A25" s="2" t="s">
        <v>28</v>
      </c>
      <c r="C25" s="19" t="s">
        <v>85</v>
      </c>
    </row>
    <row r="26" spans="1:3" ht="20.100000000000001" customHeight="1" thickBot="1" x14ac:dyDescent="0.25">
      <c r="A26" s="2" t="s">
        <v>29</v>
      </c>
      <c r="C26" s="19" t="s">
        <v>86</v>
      </c>
    </row>
    <row r="27" spans="1:3" ht="20.100000000000001" customHeight="1" thickBot="1" x14ac:dyDescent="0.25">
      <c r="A27" s="2" t="s">
        <v>13</v>
      </c>
      <c r="C27" s="19" t="s">
        <v>87</v>
      </c>
    </row>
    <row r="28" spans="1:3" ht="20.100000000000001" customHeight="1" thickBot="1" x14ac:dyDescent="0.25">
      <c r="A28" s="2" t="s">
        <v>30</v>
      </c>
      <c r="C28" s="19" t="s">
        <v>88</v>
      </c>
    </row>
    <row r="29" spans="1:3" ht="20.100000000000001" customHeight="1" thickBot="1" x14ac:dyDescent="0.25">
      <c r="A29" s="2" t="s">
        <v>31</v>
      </c>
      <c r="C29" s="2"/>
    </row>
    <row r="30" spans="1:3" ht="20.100000000000001" customHeight="1" thickBot="1" x14ac:dyDescent="0.25">
      <c r="A30" s="2" t="s">
        <v>32</v>
      </c>
      <c r="C30" s="2"/>
    </row>
    <row r="31" spans="1:3" ht="20.100000000000001" customHeight="1" thickBot="1" x14ac:dyDescent="0.25">
      <c r="A31" s="2" t="s">
        <v>33</v>
      </c>
      <c r="C31" s="2"/>
    </row>
    <row r="32" spans="1:3" ht="20.100000000000001" customHeight="1" thickBot="1" x14ac:dyDescent="0.25">
      <c r="A32" s="2" t="s">
        <v>16</v>
      </c>
      <c r="C32" s="2"/>
    </row>
    <row r="33" spans="1:9" ht="20.100000000000001" customHeight="1" thickBot="1" x14ac:dyDescent="0.25">
      <c r="A33" s="2" t="s">
        <v>14</v>
      </c>
      <c r="C33" s="2"/>
    </row>
    <row r="34" spans="1:9" ht="20.100000000000001" customHeight="1" thickBot="1" x14ac:dyDescent="0.25">
      <c r="A34" s="2" t="s">
        <v>34</v>
      </c>
      <c r="C34" s="2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3">
        <v>45901</v>
      </c>
    </row>
    <row r="40" spans="1:9" ht="20.100000000000001" customHeight="1" thickBot="1" x14ac:dyDescent="0.25">
      <c r="A40" s="13">
        <v>45902</v>
      </c>
    </row>
    <row r="41" spans="1:9" ht="20.100000000000001" customHeight="1" thickBot="1" x14ac:dyDescent="0.25">
      <c r="A41" s="13">
        <v>45903</v>
      </c>
    </row>
    <row r="42" spans="1:9" ht="20.100000000000001" customHeight="1" thickBot="1" x14ac:dyDescent="0.25">
      <c r="A42" s="13">
        <v>45904</v>
      </c>
    </row>
    <row r="43" spans="1:9" ht="20.100000000000001" customHeight="1" thickBot="1" x14ac:dyDescent="0.25">
      <c r="A43" s="13">
        <v>45905</v>
      </c>
    </row>
    <row r="44" spans="1:9" ht="20.100000000000001" customHeight="1" thickBot="1" x14ac:dyDescent="0.25">
      <c r="A44" s="13">
        <v>45906</v>
      </c>
    </row>
    <row r="45" spans="1:9" ht="20.100000000000001" customHeight="1" thickBot="1" x14ac:dyDescent="0.25">
      <c r="A45" s="13">
        <v>45907</v>
      </c>
    </row>
    <row r="46" spans="1:9" ht="20.100000000000001" customHeight="1" thickBot="1" x14ac:dyDescent="0.25">
      <c r="A46" s="13">
        <v>45908</v>
      </c>
    </row>
    <row r="47" spans="1:9" ht="20.100000000000001" customHeight="1" thickBot="1" x14ac:dyDescent="0.25">
      <c r="A47" s="13">
        <v>45909</v>
      </c>
    </row>
    <row r="48" spans="1:9" ht="20.100000000000001" customHeight="1" thickBot="1" x14ac:dyDescent="0.25">
      <c r="A48" s="13">
        <v>45910</v>
      </c>
    </row>
    <row r="49" spans="1:1" ht="20.100000000000001" customHeight="1" thickBot="1" x14ac:dyDescent="0.25">
      <c r="A49" s="13">
        <v>45911</v>
      </c>
    </row>
    <row r="50" spans="1:1" ht="20.100000000000001" customHeight="1" thickBot="1" x14ac:dyDescent="0.25">
      <c r="A50" s="13">
        <v>45912</v>
      </c>
    </row>
    <row r="51" spans="1:1" ht="20.100000000000001" customHeight="1" thickBot="1" x14ac:dyDescent="0.25">
      <c r="A51" s="13">
        <v>45913</v>
      </c>
    </row>
    <row r="52" spans="1:1" ht="20.100000000000001" customHeight="1" thickBot="1" x14ac:dyDescent="0.25">
      <c r="A52" s="13">
        <v>45914</v>
      </c>
    </row>
    <row r="53" spans="1:1" ht="20.100000000000001" customHeight="1" thickBot="1" x14ac:dyDescent="0.25">
      <c r="A53" s="13">
        <v>45915</v>
      </c>
    </row>
    <row r="54" spans="1:1" ht="20.100000000000001" customHeight="1" thickBot="1" x14ac:dyDescent="0.25">
      <c r="A54" s="13">
        <v>45916</v>
      </c>
    </row>
    <row r="55" spans="1:1" ht="20.100000000000001" customHeight="1" thickBot="1" x14ac:dyDescent="0.25">
      <c r="A55" s="13">
        <v>45917</v>
      </c>
    </row>
    <row r="56" spans="1:1" ht="20.100000000000001" customHeight="1" thickBot="1" x14ac:dyDescent="0.25">
      <c r="A56" s="13">
        <v>45918</v>
      </c>
    </row>
    <row r="57" spans="1:1" ht="20.100000000000001" customHeight="1" thickBot="1" x14ac:dyDescent="0.25">
      <c r="A57" s="13">
        <v>45919</v>
      </c>
    </row>
    <row r="58" spans="1:1" ht="20.100000000000001" customHeight="1" thickBot="1" x14ac:dyDescent="0.25">
      <c r="A58" s="13">
        <v>45920</v>
      </c>
    </row>
    <row r="59" spans="1:1" ht="20.100000000000001" customHeight="1" thickBot="1" x14ac:dyDescent="0.25">
      <c r="A59" s="13">
        <v>45921</v>
      </c>
    </row>
    <row r="60" spans="1:1" ht="20.100000000000001" customHeight="1" thickBot="1" x14ac:dyDescent="0.25">
      <c r="A60" s="13">
        <v>45922</v>
      </c>
    </row>
    <row r="61" spans="1:1" ht="20.100000000000001" customHeight="1" thickBot="1" x14ac:dyDescent="0.25">
      <c r="A61" s="13">
        <v>45923</v>
      </c>
    </row>
    <row r="62" spans="1:1" ht="20.100000000000001" customHeight="1" thickBot="1" x14ac:dyDescent="0.25">
      <c r="A62" s="13">
        <v>45924</v>
      </c>
    </row>
    <row r="63" spans="1:1" ht="20.100000000000001" customHeight="1" thickBot="1" x14ac:dyDescent="0.25">
      <c r="A63" s="13">
        <v>45925</v>
      </c>
    </row>
    <row r="64" spans="1:1" ht="20.100000000000001" customHeight="1" thickBot="1" x14ac:dyDescent="0.25">
      <c r="A64" s="13">
        <v>45926</v>
      </c>
    </row>
    <row r="65" spans="1:1" ht="20.100000000000001" customHeight="1" thickBot="1" x14ac:dyDescent="0.25">
      <c r="A65" s="13">
        <v>45927</v>
      </c>
    </row>
    <row r="66" spans="1:1" ht="20.100000000000001" customHeight="1" thickBot="1" x14ac:dyDescent="0.25">
      <c r="A66" s="13">
        <v>45928</v>
      </c>
    </row>
    <row r="67" spans="1:1" ht="20.100000000000001" customHeight="1" thickBot="1" x14ac:dyDescent="0.25">
      <c r="A67" s="13">
        <v>45929</v>
      </c>
    </row>
    <row r="68" spans="1:1" ht="20.100000000000001" customHeight="1" thickBot="1" x14ac:dyDescent="0.25">
      <c r="A68" s="13">
        <v>45930</v>
      </c>
    </row>
    <row r="69" spans="1:1" ht="20.100000000000001" customHeight="1" thickBot="1" x14ac:dyDescent="0.25">
      <c r="A69" s="13">
        <v>45931</v>
      </c>
    </row>
    <row r="70" spans="1:1" ht="20.100000000000001" customHeight="1" thickBot="1" x14ac:dyDescent="0.25">
      <c r="A70" s="13">
        <v>45932</v>
      </c>
    </row>
    <row r="71" spans="1:1" ht="20.100000000000001" customHeight="1" thickBot="1" x14ac:dyDescent="0.25">
      <c r="A71" s="13">
        <v>45933</v>
      </c>
    </row>
    <row r="72" spans="1:1" ht="20.100000000000001" customHeight="1" thickBot="1" x14ac:dyDescent="0.25">
      <c r="A72" s="13">
        <v>45934</v>
      </c>
    </row>
    <row r="73" spans="1:1" ht="20.100000000000001" customHeight="1" thickBot="1" x14ac:dyDescent="0.25">
      <c r="A73" s="13">
        <v>45935</v>
      </c>
    </row>
    <row r="74" spans="1:1" ht="20.100000000000001" customHeight="1" thickBot="1" x14ac:dyDescent="0.25">
      <c r="A74" s="13">
        <v>45936</v>
      </c>
    </row>
    <row r="75" spans="1:1" ht="20.100000000000001" customHeight="1" thickBot="1" x14ac:dyDescent="0.25">
      <c r="A75" s="13">
        <v>45937</v>
      </c>
    </row>
    <row r="76" spans="1:1" ht="20.100000000000001" customHeight="1" thickBot="1" x14ac:dyDescent="0.25">
      <c r="A76" s="13">
        <v>45938</v>
      </c>
    </row>
    <row r="77" spans="1:1" ht="20.100000000000001" customHeight="1" thickBot="1" x14ac:dyDescent="0.25">
      <c r="A77" s="13">
        <v>45939</v>
      </c>
    </row>
    <row r="78" spans="1:1" ht="20.100000000000001" customHeight="1" thickBot="1" x14ac:dyDescent="0.25">
      <c r="A78" s="13">
        <v>45940</v>
      </c>
    </row>
    <row r="79" spans="1:1" ht="20.100000000000001" customHeight="1" thickBot="1" x14ac:dyDescent="0.25">
      <c r="A79" s="13">
        <v>45941</v>
      </c>
    </row>
    <row r="80" spans="1:1" ht="20.100000000000001" customHeight="1" thickBot="1" x14ac:dyDescent="0.25">
      <c r="A80" s="13">
        <v>45942</v>
      </c>
    </row>
    <row r="81" spans="1:1" ht="20.100000000000001" customHeight="1" thickBot="1" x14ac:dyDescent="0.25">
      <c r="A81" s="13">
        <v>45943</v>
      </c>
    </row>
    <row r="82" spans="1:1" ht="20.100000000000001" customHeight="1" thickBot="1" x14ac:dyDescent="0.25">
      <c r="A82" s="13">
        <v>45944</v>
      </c>
    </row>
    <row r="83" spans="1:1" ht="20.100000000000001" customHeight="1" thickBot="1" x14ac:dyDescent="0.25">
      <c r="A83" s="13">
        <v>45945</v>
      </c>
    </row>
    <row r="84" spans="1:1" ht="20.100000000000001" customHeight="1" thickBot="1" x14ac:dyDescent="0.25">
      <c r="A84" s="13">
        <v>45946</v>
      </c>
    </row>
    <row r="85" spans="1:1" ht="20.100000000000001" customHeight="1" thickBot="1" x14ac:dyDescent="0.25">
      <c r="A85" s="13">
        <v>45947</v>
      </c>
    </row>
    <row r="86" spans="1:1" ht="20.100000000000001" customHeight="1" thickBot="1" x14ac:dyDescent="0.25">
      <c r="A86" s="13">
        <v>45948</v>
      </c>
    </row>
    <row r="87" spans="1:1" ht="20.100000000000001" customHeight="1" thickBot="1" x14ac:dyDescent="0.25">
      <c r="A87" s="13">
        <v>45949</v>
      </c>
    </row>
    <row r="88" spans="1:1" ht="20.100000000000001" customHeight="1" thickBot="1" x14ac:dyDescent="0.25">
      <c r="A88" s="13">
        <v>45950</v>
      </c>
    </row>
    <row r="89" spans="1:1" ht="20.100000000000001" customHeight="1" thickBot="1" x14ac:dyDescent="0.25">
      <c r="A89" s="13">
        <v>45951</v>
      </c>
    </row>
    <row r="90" spans="1:1" ht="20.100000000000001" customHeight="1" thickBot="1" x14ac:dyDescent="0.25">
      <c r="A90" s="13">
        <v>45952</v>
      </c>
    </row>
    <row r="91" spans="1:1" ht="20.100000000000001" customHeight="1" thickBot="1" x14ac:dyDescent="0.25">
      <c r="A91" s="13">
        <v>45953</v>
      </c>
    </row>
    <row r="92" spans="1:1" ht="20.100000000000001" customHeight="1" thickBot="1" x14ac:dyDescent="0.25">
      <c r="A92" s="13">
        <v>45954</v>
      </c>
    </row>
    <row r="93" spans="1:1" ht="20.100000000000001" customHeight="1" thickBot="1" x14ac:dyDescent="0.25">
      <c r="A93" s="13">
        <v>45955</v>
      </c>
    </row>
    <row r="94" spans="1:1" ht="20.100000000000001" customHeight="1" thickBot="1" x14ac:dyDescent="0.25">
      <c r="A94" s="13">
        <v>45956</v>
      </c>
    </row>
    <row r="95" spans="1:1" ht="20.100000000000001" customHeight="1" thickBot="1" x14ac:dyDescent="0.25">
      <c r="A95" s="13">
        <v>45957</v>
      </c>
    </row>
    <row r="96" spans="1:1" ht="20.100000000000001" customHeight="1" thickBot="1" x14ac:dyDescent="0.25">
      <c r="A96" s="13">
        <v>45958</v>
      </c>
    </row>
    <row r="97" spans="1:9" ht="20.100000000000001" customHeight="1" thickBot="1" x14ac:dyDescent="0.25">
      <c r="A97" s="13">
        <v>45959</v>
      </c>
    </row>
    <row r="98" spans="1:9" ht="20.100000000000001" customHeight="1" thickBot="1" x14ac:dyDescent="0.25">
      <c r="A98" s="13">
        <v>45960</v>
      </c>
    </row>
    <row r="99" spans="1:9" ht="20.100000000000001" customHeight="1" thickBot="1" x14ac:dyDescent="0.25">
      <c r="A99" s="13">
        <v>45961</v>
      </c>
    </row>
    <row r="100" spans="1:9" ht="20.100000000000001" customHeight="1" thickBot="1" x14ac:dyDescent="0.25">
      <c r="A100" s="13">
        <v>45962</v>
      </c>
    </row>
    <row r="101" spans="1:9" ht="20.100000000000001" customHeight="1" thickBot="1" x14ac:dyDescent="0.25">
      <c r="A101" s="13">
        <v>45963</v>
      </c>
    </row>
    <row r="102" spans="1:9" ht="20.100000000000001" customHeight="1" thickBot="1" x14ac:dyDescent="0.25">
      <c r="A102" s="13">
        <v>45964</v>
      </c>
    </row>
    <row r="103" spans="1:9" ht="20.100000000000001" customHeight="1" thickBot="1" x14ac:dyDescent="0.25">
      <c r="A103" s="13">
        <v>45965</v>
      </c>
    </row>
    <row r="104" spans="1:9" ht="20.100000000000001" customHeight="1" thickBot="1" x14ac:dyDescent="0.25">
      <c r="A104" s="13">
        <v>45966</v>
      </c>
    </row>
    <row r="105" spans="1:9" ht="20.100000000000001" customHeight="1" thickBot="1" x14ac:dyDescent="0.25">
      <c r="A105" s="13">
        <v>45967</v>
      </c>
    </row>
    <row r="106" spans="1:9" ht="20.100000000000001" customHeight="1" thickBot="1" x14ac:dyDescent="0.25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25">
      <c r="A111" s="2" t="s">
        <v>61</v>
      </c>
    </row>
    <row r="112" spans="1:9" ht="20.100000000000001" customHeight="1" thickBot="1" x14ac:dyDescent="0.25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25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102</v>
      </c>
    </row>
    <row r="213" spans="1:1" ht="20.100000000000001" customHeight="1" x14ac:dyDescent="0.2">
      <c r="A213" s="20" t="s">
        <v>103</v>
      </c>
    </row>
    <row r="214" spans="1:1" ht="20.100000000000001" customHeight="1" x14ac:dyDescent="0.2">
      <c r="A214" s="20" t="s">
        <v>104</v>
      </c>
    </row>
    <row r="215" spans="1:1" ht="20.100000000000001" customHeight="1" x14ac:dyDescent="0.2">
      <c r="A215" s="20" t="s">
        <v>105</v>
      </c>
    </row>
    <row r="216" spans="1:1" ht="20.100000000000001" customHeight="1" x14ac:dyDescent="0.2">
      <c r="A216" s="20" t="s">
        <v>106</v>
      </c>
    </row>
    <row r="217" spans="1:1" ht="20.100000000000001" customHeight="1" x14ac:dyDescent="0.2">
      <c r="A217" s="20" t="s">
        <v>107</v>
      </c>
    </row>
    <row r="218" spans="1:1" ht="20.100000000000001" customHeight="1" x14ac:dyDescent="0.2">
      <c r="A218" s="20" t="s">
        <v>108</v>
      </c>
    </row>
    <row r="219" spans="1:1" ht="20.100000000000001" customHeight="1" x14ac:dyDescent="0.2">
      <c r="A219" s="20" t="s">
        <v>109</v>
      </c>
    </row>
    <row r="220" spans="1:1" ht="20.100000000000001" customHeight="1" x14ac:dyDescent="0.2">
      <c r="A220" s="20" t="s">
        <v>110</v>
      </c>
    </row>
    <row r="221" spans="1:1" ht="20.100000000000001" customHeight="1" x14ac:dyDescent="0.2">
      <c r="A221" s="20" t="s">
        <v>111</v>
      </c>
    </row>
    <row r="222" spans="1:1" ht="20.100000000000001" customHeight="1" x14ac:dyDescent="0.2">
      <c r="A222" s="20" t="s">
        <v>112</v>
      </c>
    </row>
    <row r="223" spans="1:1" ht="20.100000000000001" customHeight="1" x14ac:dyDescent="0.2">
      <c r="A223" s="20" t="s">
        <v>113</v>
      </c>
    </row>
    <row r="224" spans="1:1" ht="20.100000000000001" customHeight="1" x14ac:dyDescent="0.2">
      <c r="A224" s="20" t="s">
        <v>114</v>
      </c>
    </row>
    <row r="225" spans="1:1" ht="20.100000000000001" customHeight="1" x14ac:dyDescent="0.2">
      <c r="A225" s="20" t="s">
        <v>115</v>
      </c>
    </row>
    <row r="226" spans="1:1" ht="20.100000000000001" customHeight="1" x14ac:dyDescent="0.2">
      <c r="A226" s="20" t="s">
        <v>116</v>
      </c>
    </row>
    <row r="227" spans="1:1" ht="20.100000000000001" customHeight="1" x14ac:dyDescent="0.2">
      <c r="A227" s="20" t="s">
        <v>117</v>
      </c>
    </row>
    <row r="228" spans="1:1" ht="20.100000000000001" customHeight="1" x14ac:dyDescent="0.2">
      <c r="A228" s="20" t="s">
        <v>118</v>
      </c>
    </row>
    <row r="229" spans="1:1" ht="20.100000000000001" customHeight="1" x14ac:dyDescent="0.2">
      <c r="A229" s="20" t="s">
        <v>119</v>
      </c>
    </row>
    <row r="230" spans="1:1" ht="20.100000000000001" customHeight="1" x14ac:dyDescent="0.2">
      <c r="A230" s="20" t="s">
        <v>120</v>
      </c>
    </row>
    <row r="231" spans="1:1" ht="20.100000000000001" customHeight="1" x14ac:dyDescent="0.2">
      <c r="A231" s="20" t="s">
        <v>121</v>
      </c>
    </row>
    <row r="232" spans="1:1" ht="20.100000000000001" customHeight="1" x14ac:dyDescent="0.2">
      <c r="A232" s="20" t="s">
        <v>122</v>
      </c>
    </row>
    <row r="233" spans="1:1" ht="20.100000000000001" customHeight="1" x14ac:dyDescent="0.2">
      <c r="A233" s="20" t="s">
        <v>123</v>
      </c>
    </row>
    <row r="234" spans="1:1" ht="20.100000000000001" customHeight="1" x14ac:dyDescent="0.2">
      <c r="A234" s="20" t="s">
        <v>124</v>
      </c>
    </row>
    <row r="235" spans="1:1" ht="20.100000000000001" customHeight="1" x14ac:dyDescent="0.2">
      <c r="A235" s="22" t="s">
        <v>125</v>
      </c>
    </row>
    <row r="236" spans="1:1" ht="20.100000000000001" customHeight="1" x14ac:dyDescent="0.2">
      <c r="A236" s="20" t="s">
        <v>126</v>
      </c>
    </row>
    <row r="237" spans="1:1" ht="20.100000000000001" customHeight="1" x14ac:dyDescent="0.2">
      <c r="A237" s="20" t="s">
        <v>127</v>
      </c>
    </row>
    <row r="238" spans="1:1" ht="20.100000000000001" customHeight="1" x14ac:dyDescent="0.2">
      <c r="A238" s="20" t="s">
        <v>128</v>
      </c>
    </row>
    <row r="239" spans="1:1" ht="20.100000000000001" customHeight="1" x14ac:dyDescent="0.2">
      <c r="A239" s="20" t="s">
        <v>129</v>
      </c>
    </row>
    <row r="240" spans="1:1" ht="20.100000000000001" customHeight="1" x14ac:dyDescent="0.2">
      <c r="A240" s="20" t="s">
        <v>130</v>
      </c>
    </row>
    <row r="241" spans="1:1" ht="20.100000000000001" customHeight="1" x14ac:dyDescent="0.2">
      <c r="A241" s="20" t="s">
        <v>131</v>
      </c>
    </row>
    <row r="242" spans="1:1" ht="20.100000000000001" customHeight="1" x14ac:dyDescent="0.2">
      <c r="A242" s="20" t="s">
        <v>132</v>
      </c>
    </row>
    <row r="243" spans="1:1" ht="20.100000000000001" customHeight="1" x14ac:dyDescent="0.2">
      <c r="A243" s="20" t="s">
        <v>133</v>
      </c>
    </row>
    <row r="244" spans="1:1" ht="20.100000000000001" customHeight="1" x14ac:dyDescent="0.2">
      <c r="A244" s="20" t="s">
        <v>134</v>
      </c>
    </row>
    <row r="245" spans="1:1" ht="20.100000000000001" customHeight="1" x14ac:dyDescent="0.2">
      <c r="A245" s="20" t="s">
        <v>135</v>
      </c>
    </row>
    <row r="246" spans="1:1" ht="20.100000000000001" customHeight="1" x14ac:dyDescent="0.2">
      <c r="A246" s="20" t="s">
        <v>136</v>
      </c>
    </row>
    <row r="247" spans="1:1" ht="20.100000000000001" customHeight="1" x14ac:dyDescent="0.2">
      <c r="A247" s="20" t="s">
        <v>127</v>
      </c>
    </row>
    <row r="248" spans="1:1" ht="20.100000000000001" customHeight="1" x14ac:dyDescent="0.2">
      <c r="A248" s="20" t="s">
        <v>137</v>
      </c>
    </row>
    <row r="249" spans="1:1" ht="20.100000000000001" customHeight="1" x14ac:dyDescent="0.2">
      <c r="A249" s="20" t="s">
        <v>138</v>
      </c>
    </row>
    <row r="250" spans="1:1" ht="20.100000000000001" customHeight="1" x14ac:dyDescent="0.2">
      <c r="A250" s="22" t="s">
        <v>139</v>
      </c>
    </row>
    <row r="251" spans="1:1" ht="20.100000000000001" customHeight="1" x14ac:dyDescent="0.2">
      <c r="A251" s="23" t="s">
        <v>140</v>
      </c>
    </row>
    <row r="252" spans="1:1" ht="20.100000000000001" customHeight="1" x14ac:dyDescent="0.2">
      <c r="A252" s="20" t="s">
        <v>141</v>
      </c>
    </row>
    <row r="253" spans="1:1" ht="20.100000000000001" customHeight="1" x14ac:dyDescent="0.2">
      <c r="A253" s="20" t="s">
        <v>142</v>
      </c>
    </row>
    <row r="254" spans="1:1" ht="20.100000000000001" customHeight="1" x14ac:dyDescent="0.2">
      <c r="A254" s="24" t="s">
        <v>143</v>
      </c>
    </row>
    <row r="255" spans="1:1" ht="20.100000000000001" customHeight="1" x14ac:dyDescent="0.2">
      <c r="A255" s="24" t="s">
        <v>144</v>
      </c>
    </row>
    <row r="256" spans="1:1" ht="20.100000000000001" customHeight="1" x14ac:dyDescent="0.2">
      <c r="A256" s="25" t="s">
        <v>145</v>
      </c>
    </row>
    <row r="257" spans="1:1" ht="20.100000000000001" customHeight="1" x14ac:dyDescent="0.2">
      <c r="A257" s="20" t="s">
        <v>146</v>
      </c>
    </row>
    <row r="258" spans="1:1" ht="20.100000000000001" customHeight="1" x14ac:dyDescent="0.2">
      <c r="A258" s="25" t="s">
        <v>147</v>
      </c>
    </row>
    <row r="259" spans="1:1" ht="20.100000000000001" customHeight="1" x14ac:dyDescent="0.2">
      <c r="A259" s="20" t="s">
        <v>148</v>
      </c>
    </row>
    <row r="260" spans="1:1" ht="20.100000000000001" customHeight="1" x14ac:dyDescent="0.2">
      <c r="A260" s="25" t="s">
        <v>149</v>
      </c>
    </row>
    <row r="261" spans="1:1" ht="20.100000000000001" customHeight="1" x14ac:dyDescent="0.2">
      <c r="A261" s="20" t="s">
        <v>150</v>
      </c>
    </row>
    <row r="262" spans="1:1" ht="20.100000000000001" customHeight="1" x14ac:dyDescent="0.2">
      <c r="A262" s="20" t="s">
        <v>151</v>
      </c>
    </row>
    <row r="263" spans="1:1" ht="20.100000000000001" customHeight="1" x14ac:dyDescent="0.2">
      <c r="A263" s="25" t="s">
        <v>152</v>
      </c>
    </row>
    <row r="264" spans="1:1" ht="20.100000000000001" customHeight="1" x14ac:dyDescent="0.2">
      <c r="A264" s="25" t="s">
        <v>153</v>
      </c>
    </row>
    <row r="265" spans="1:1" ht="20.100000000000001" customHeight="1" x14ac:dyDescent="0.2">
      <c r="A265" s="25" t="s">
        <v>154</v>
      </c>
    </row>
    <row r="266" spans="1:1" ht="20.100000000000001" customHeight="1" x14ac:dyDescent="0.2">
      <c r="A266" s="20" t="s">
        <v>155</v>
      </c>
    </row>
    <row r="267" spans="1:1" ht="20.100000000000001" customHeight="1" x14ac:dyDescent="0.2">
      <c r="A267" s="20" t="s">
        <v>156</v>
      </c>
    </row>
    <row r="268" spans="1:1" ht="20.100000000000001" customHeight="1" x14ac:dyDescent="0.2">
      <c r="A268" s="20" t="s">
        <v>157</v>
      </c>
    </row>
    <row r="269" spans="1:1" ht="20.100000000000001" customHeight="1" x14ac:dyDescent="0.2">
      <c r="A269" s="20" t="s">
        <v>158</v>
      </c>
    </row>
    <row r="270" spans="1:1" ht="20.100000000000001" customHeight="1" x14ac:dyDescent="0.2">
      <c r="A270" s="25" t="s">
        <v>159</v>
      </c>
    </row>
    <row r="271" spans="1:1" ht="20.100000000000001" customHeight="1" x14ac:dyDescent="0.2">
      <c r="A271" s="25" t="s">
        <v>160</v>
      </c>
    </row>
    <row r="272" spans="1:1" ht="20.100000000000001" customHeight="1" x14ac:dyDescent="0.2">
      <c r="A272" s="20" t="s">
        <v>161</v>
      </c>
    </row>
    <row r="273" spans="1:1" ht="20.100000000000001" customHeight="1" x14ac:dyDescent="0.2">
      <c r="A273" s="25" t="s">
        <v>162</v>
      </c>
    </row>
    <row r="274" spans="1:1" ht="20.100000000000001" customHeight="1" x14ac:dyDescent="0.2">
      <c r="A274" s="25" t="s">
        <v>163</v>
      </c>
    </row>
    <row r="275" spans="1:1" ht="20.100000000000001" customHeight="1" x14ac:dyDescent="0.2">
      <c r="A275" s="20" t="s">
        <v>164</v>
      </c>
    </row>
    <row r="276" spans="1:1" ht="20.100000000000001" customHeight="1" x14ac:dyDescent="0.2">
      <c r="A276" s="20" t="s">
        <v>165</v>
      </c>
    </row>
    <row r="277" spans="1:1" ht="20.100000000000001" customHeight="1" x14ac:dyDescent="0.2">
      <c r="A277" s="25" t="s">
        <v>166</v>
      </c>
    </row>
    <row r="278" spans="1:1" ht="20.100000000000001" customHeight="1" x14ac:dyDescent="0.2">
      <c r="A278" s="20" t="s">
        <v>167</v>
      </c>
    </row>
    <row r="279" spans="1:1" ht="20.100000000000001" customHeight="1" x14ac:dyDescent="0.2">
      <c r="A279" s="20" t="s">
        <v>168</v>
      </c>
    </row>
    <row r="280" spans="1:1" ht="20.100000000000001" customHeight="1" x14ac:dyDescent="0.2">
      <c r="A280" s="20" t="s">
        <v>169</v>
      </c>
    </row>
    <row r="281" spans="1:1" ht="20.100000000000001" customHeight="1" x14ac:dyDescent="0.2">
      <c r="A281" s="20" t="s">
        <v>170</v>
      </c>
    </row>
    <row r="282" spans="1:1" ht="20.100000000000001" customHeight="1" x14ac:dyDescent="0.2">
      <c r="A282" s="25" t="s">
        <v>171</v>
      </c>
    </row>
    <row r="283" spans="1:1" ht="20.100000000000001" customHeight="1" x14ac:dyDescent="0.2">
      <c r="A283" s="25" t="s">
        <v>172</v>
      </c>
    </row>
    <row r="284" spans="1:1" ht="20.100000000000001" customHeight="1" x14ac:dyDescent="0.2">
      <c r="A284" s="25" t="s">
        <v>173</v>
      </c>
    </row>
    <row r="285" spans="1:1" ht="20.100000000000001" customHeight="1" thickBot="1" x14ac:dyDescent="0.25">
      <c r="A285" s="20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2025-10-08T15:36:50Z</dcterms:modified>
</cp:coreProperties>
</file>