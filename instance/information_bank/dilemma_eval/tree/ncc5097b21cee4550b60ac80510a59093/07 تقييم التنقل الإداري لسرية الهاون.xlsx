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37A6614-ACE3-C143-A7A2-6970C42787DA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التقييم'!$A$1:$J$42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G28" i="2"/>
  <c r="H28" i="2"/>
  <c r="G29" i="2"/>
  <c r="H29" i="2"/>
  <c r="G31" i="2"/>
  <c r="H31" i="2"/>
  <c r="G32" i="2"/>
  <c r="H32" i="2"/>
  <c r="G34" i="2"/>
  <c r="H34" i="2"/>
  <c r="G35" i="2"/>
  <c r="H35" i="2"/>
  <c r="G36" i="2"/>
  <c r="H36" i="2"/>
  <c r="G37" i="2"/>
  <c r="H37" i="2"/>
  <c r="F38" i="2"/>
  <c r="E38" i="2"/>
  <c r="E39" i="2"/>
  <c r="E40" i="2"/>
</calcChain>
</file>

<file path=xl/sharedStrings.xml><?xml version="1.0" encoding="utf-8"?>
<sst xmlns="http://schemas.openxmlformats.org/spreadsheetml/2006/main" count="267" uniqueCount="211">
  <si>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</si>
  <si>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</si>
  <si>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</si>
  <si>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</si>
  <si>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</si>
  <si>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</si>
  <si>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</si>
  <si>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</si>
  <si>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</si>
  <si>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</si>
  <si>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</si>
  <si>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</si>
  <si>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</si>
  <si>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</si>
  <si>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</si>
  <si>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</si>
  <si>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</si>
  <si>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</si>
  <si>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</si>
  <si>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</si>
  <si>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</si>
  <si>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</si>
  <si>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</si>
  <si>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</si>
  <si>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</si>
  <si>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</si>
  <si>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</si>
  <si>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</si>
  <si>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</si>
  <si>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</si>
  <si>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</si>
  <si>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</si>
  <si>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</si>
  <si>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</si>
  <si>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</si>
  <si>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</si>
  <si>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</si>
  <si>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</si>
  <si>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</si>
  <si>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</si>
  <si>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</si>
  <si>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</si>
  <si>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</si>
  <si>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</si>
  <si>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</si>
  <si>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</si>
  <si>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</si>
  <si>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</si>
  <si>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</si>
  <si>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</si>
  <si>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</si>
  <si>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</si>
  <si>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</si>
  <si>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</si>
  <si>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</si>
  <si>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</si>
  <si>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</si>
  <si>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</si>
  <si>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</si>
  <si>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</si>
  <si>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</si>
  <si>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</si>
  <si>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</si>
  <si>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</si>
  <si>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</si>
  <si>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</si>
  <si>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</si>
  <si>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</si>
  <si>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</si>
  <si>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</si>
  <si>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</si>
  <si>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</si>
  <si>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</si>
  <si>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</si>
  <si>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</si>
  <si>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</si>
  <si>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</si>
  <si>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</si>
  <si>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</si>
  <si>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</si>
  <si>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</si>
  <si>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</si>
  <si>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</si>
  <si>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</si>
  <si>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</si>
  <si>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</si>
  <si>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</si>
  <si>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</si>
  <si>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</si>
  <si>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</si>
  <si>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</si>
  <si>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</si>
  <si>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</si>
  <si>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</si>
  <si>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</si>
  <si>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</si>
  <si>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</si>
  <si>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</si>
  <si>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</si>
  <si>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</si>
  <si>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</si>
  <si>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</si>
  <si>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</si>
  <si>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</si>
  <si>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</si>
  <si>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</si>
  <si>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</si>
  <si>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</si>
  <si>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</si>
  <si>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</si>
  <si>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</si>
  <si>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</si>
  <si>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</si>
  <si>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</si>
  <si>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</si>
  <si>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</si>
  <si>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</si>
  <si>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</si>
  <si>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</si>
  <si>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</si>
  <si>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</si>
  <si>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</si>
  <si>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</si>
  <si>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</si>
  <si>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</si>
  <si>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</si>
  <si>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</si>
  <si>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</si>
  <si>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</si>
  <si>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</si>
  <si>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</si>
  <si>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</si>
  <si>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</si>
  <si>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</si>
  <si>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</si>
  <si>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</si>
  <si>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</si>
  <si>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</si>
  <si>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</si>
  <si>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</si>
  <si>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</si>
  <si>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</si>
  <si>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</si>
  <si>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</si>
  <si>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</si>
  <si>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</si>
  <si>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</si>
  <si>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</si>
  <si>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</si>
  <si>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</si>
  <si>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</si>
  <si>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</si>
  <si>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</si>
  <si>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</si>
  <si>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</si>
  <si>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</si>
  <si>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</si>
  <si>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</si>
  <si>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</si>
  <si>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</si>
  <si>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</si>
  <si>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</si>
  <si>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</si>
  <si>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</si>
  <si>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</si>
  <si>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</si>
  <si>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</si>
  <si>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</si>
  <si>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</si>
  <si>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</si>
  <si>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</si>
  <si>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</si>
  <si>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</si>
  <si>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</si>
  <si>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</si>
  <si>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</si>
  <si>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</si>
  <si>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</si>
  <si>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</si>
  <si>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</si>
  <si>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التنقل الإداري لسرية الهاون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</si>
  <si>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توفر التعليمات والأوامر الضرورية للتنقـل مع قائـد القافلة، وتشمل:</t>
    </r>
  </si>
  <si>
    <r>
      <t xml:space="preserve">أ. </t>
    </r>
    <r>
      <rPr>
        <sz val="12"/>
        <color rgb="FF000000"/>
        <rFont val="Arial"/>
        <family val="2"/>
      </rPr>
      <t xml:space="preserve">وجود </t>
    </r>
    <r>
      <rPr>
        <sz val="12"/>
        <color theme="1"/>
        <rFont val="Arial"/>
        <family val="2"/>
      </rPr>
      <t>الأمر / برقية إعطاء الموافقة بالتحرك من المستوى الأعلـى.</t>
    </r>
  </si>
  <si>
    <t>ب. وجود أمـر التنقل ودقة البيانات الواردة به.</t>
  </si>
  <si>
    <t>جـ. وجود جدول التنقل ودقة البيانات الواردة به.</t>
  </si>
  <si>
    <t>د. وجود يومية التحرك ودقة البيانات الواردة بها.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</si>
  <si>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التقيد بالتوقيتات، الوقفات، السرعة، الكثافة، الطرق ونقاط السيطرة).</t>
    </r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</si>
  <si>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مدى إلمام قائد القافلة (بالأوامر الصادرة في أمر / جدول / يومية التحرك مخطط / التنقل، المواقف الطارئة مثل إلغاء أو تأخير حركة القافلة).</t>
    </r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</si>
  <si>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جاهزيـة الضباط والأفــراد من حيث. (الأسلحـة الشخصيـة، اللبـاس، البطاقة والرخـص العسكرية، بطاقة الطريق لكل قائد آلية، وسيلة إضاءة مع كل سائق، القلادة المعدنيـة).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</si>
  <si>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وجود أفراد حراسة مع القافلة حسب التعليمات.</t>
    </r>
  </si>
  <si>
    <r>
      <t>6.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التنسيـق مـع الشرطـة العسكرية.</t>
    </r>
  </si>
  <si>
    <r>
      <t>7.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الشـرطة العسكرية</t>
    </r>
    <r>
      <rPr>
        <b/>
        <sz val="12"/>
        <color theme="1"/>
        <rFont val="Arial"/>
        <family val="2"/>
      </rPr>
      <t>.</t>
    </r>
  </si>
  <si>
    <t>أ. وجود برقية إخطار الشرطة العسكرية بالتحرك صادرة من المستوى الأعلى.</t>
  </si>
  <si>
    <t>ب. التأكد من التنسيق مع الشرطة المدينة حول التحرك من قبل الشرطة العسكرية.</t>
  </si>
  <si>
    <t>جـ. التأكد من عدم السماح للسيارة المدينة بالدخول بين آليات القافلة العسكرية.</t>
  </si>
  <si>
    <t>د. التأكد من جاهزية الأفراد والآليات من حيث (عدد الأفراد / الآليات، التسليح، الاتصالات، اللباس).</t>
  </si>
  <si>
    <r>
      <t>8.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جاهزية آليات القافلة</t>
    </r>
    <r>
      <rPr>
        <b/>
        <sz val="12"/>
        <color theme="1"/>
        <rFont val="Arial"/>
        <family val="2"/>
      </rPr>
      <t>.</t>
    </r>
  </si>
  <si>
    <t>أ. وجود الأعلام الضرورية (علم أزرق في بداية ونهاية كل مجموعة، علم أصفر في حالة عطل الآليـة، عدم وضع أعلام حمراء على الآليات التي تحمل ذخائر أو متفجرات).</t>
  </si>
  <si>
    <t>ب. وجود عدة الآلية، جدول التحميل / الركوب لكل آلية.</t>
  </si>
  <si>
    <t>جـ. مدى صلاحية وجاهزية الآليات من حيث (الوقود، المياه، الإطار الاحتياطي، غطاء التمويه مع الركائز).</t>
  </si>
  <si>
    <t>د. التأكد من عدم تحميل الآليات أكثر من حمولتها أو وضع حمولة غير مرتبة بحيث توحي بأنها محملة أكثر من حمولتها.</t>
  </si>
  <si>
    <t>هـ. التأكد من تحميل ثلث ذخيرة الخط الأول لجميع الأصناف في صناديق (أثناء التنقل لتنفيذ التمارين الخارجية) مع وجود سند صرف لاستلام الذخائر.</t>
  </si>
  <si>
    <t>و. التأكد من تغطية حمولة الآليات (الأسلحة، الذخائر، معدات عسكرية) ومدى صلاحية الأغطية وتثبيتها.</t>
  </si>
  <si>
    <r>
      <t>9.</t>
    </r>
    <r>
      <rPr>
        <b/>
        <sz val="7"/>
        <color theme="1"/>
        <rFont val="Times New Roman"/>
        <family val="1"/>
      </rPr>
      <t xml:space="preserve">        </t>
    </r>
    <r>
      <rPr>
        <b/>
        <u/>
        <sz val="12"/>
        <color theme="1"/>
        <rFont val="Arial"/>
        <family val="2"/>
      </rPr>
      <t>عند تحميل أي ذخيرة في القافلة.</t>
    </r>
  </si>
  <si>
    <t>أ. وجود سيارة إطفاء والتأكد من جاهزيتها وصلاحيتها وكفاءة طاقمها.</t>
  </si>
  <si>
    <t>ب. وجود أفراد حراسة مع السلاح الشخصي والذخيرة المقررة للحراسة وملمين بواجباتهم وموزعين على القافلة.</t>
  </si>
  <si>
    <r>
      <t>10.</t>
    </r>
    <r>
      <rPr>
        <b/>
        <sz val="7"/>
        <color rgb="FF000000"/>
        <rFont val="Times New Roman"/>
        <family val="1"/>
      </rPr>
      <t xml:space="preserve">    </t>
    </r>
    <r>
      <rPr>
        <b/>
        <u/>
        <sz val="12"/>
        <color rgb="FF000000"/>
        <rFont val="Arial"/>
        <family val="2"/>
      </rPr>
      <t>الشؤون الإدارية</t>
    </r>
    <r>
      <rPr>
        <b/>
        <sz val="12"/>
        <color rgb="FF000000"/>
        <rFont val="Arial"/>
        <family val="2"/>
      </rPr>
      <t>.</t>
    </r>
  </si>
  <si>
    <t>أ. توفر الإعاشة أثناء التنقـل.</t>
  </si>
  <si>
    <t>ب. وجود سيارة إسعاف مع طبيب / ممرض قانوني بكامل التجهيزات.</t>
  </si>
  <si>
    <t>جـ. وجود آلية إنقاذ مع فريق (ميكانيكي، كهربائي حسب نوع الآليات المتنقلة) وإلمام الفريق بتشغيل وسيلة الإنقـاذ.</t>
  </si>
  <si>
    <t>د. وجود آلية قطر احتياط لأليات النقل الثقيلة.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</si>
</sst>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sz val="12"/>
      <color theme="1"/>
      <name val="Arial"/>
      <family val="2"/>
    </font>
    <font>
      <b/>
      <sz val="7"/>
      <color theme="1"/>
      <name val="Times New Roman"/>
      <family val="1"/>
    </font>
    <font>
      <b/>
      <u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3" fillId="0" borderId="4" xfId="0" applyFont="1" applyBorder="1" applyAlignment="1">
      <alignment horizontal="center" vertical="center" wrapText="1" readingOrder="2"/>
    </xf>
    <xf numFmtId="0" fontId="15" fillId="0" borderId="21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  <xf numFmtId="0" fontId="3" fillId="0" borderId="5" xfId="0" applyFont="1" applyBorder="1" applyAlignment="1">
      <alignment horizontal="right" vertical="center" wrapText="1" readingOrder="2"/>
    </xf>
    <xf numFmtId="0" fontId="3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210188</xdr:colOff>
      <xdr:row>40</xdr:row>
      <xdr:rowOff>408421</xdr:rowOff>
    </xdr:from>
    <xdr:to>
      <xdr:col>8</xdr:col>
      <xdr:colOff>173411</xdr:colOff>
      <xdr:row>41</xdr:row>
      <xdr:rowOff>464385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2AF0722-91F0-5D87-BA8A-2C82C4D29AF2}"/>
                </a:ext>
              </a:extLst>
            </xdr14:cNvPr>
            <xdr14:cNvContentPartPr/>
          </xdr14:nvContentPartPr>
          <xdr14:nvPr macro=""/>
          <xdr14:xfrm>
            <a:off x="10432825047" y="19897560"/>
            <a:ext cx="618840" cy="587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2AF0722-91F0-5D87-BA8A-2C82C4D29AF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2818927" y="19891440"/>
              <a:ext cx="631080" cy="60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531725</xdr:colOff>
      <xdr:row>41</xdr:row>
      <xdr:rowOff>593985</xdr:rowOff>
    </xdr:from>
    <xdr:to>
      <xdr:col>6</xdr:col>
      <xdr:colOff>532085</xdr:colOff>
      <xdr:row>41</xdr:row>
      <xdr:rowOff>594345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32F6F035-46E0-A68B-BE9F-62FB95AC7BD1}"/>
                </a:ext>
              </a:extLst>
            </xdr14:cNvPr>
            <xdr14:cNvContentPartPr/>
          </xdr14:nvContentPartPr>
          <xdr14:nvPr macro=""/>
          <xdr14:xfrm>
            <a:off x="10433777607" y="20615040"/>
            <a:ext cx="36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2F6F035-46E0-A68B-BE9F-62FB95AC7BD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33771487" y="206089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4:13:48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1186 1581,'0'0,"0"0,0 0,0 0,0 0,0 0,0 0,0 0,0 0,0 0,0 0,0 0,0 0,0 0,0 0,0 0,0 0,0 0,0 0,0 0,0 0,0 0,0 0,0 0,0 0,-17 0,8 0,-1 0,-7 0,-2 0,5 0,-20 18,5-18,5 0,-10 0,15 9,5-1,-22-8,16 0,6 0,-3 0,-2 0,5 0,-3 0,7 9,0-1,-6-25,8 17,-1 0,2 0,-3 0,0 0,3 0,7-17,-10 17,3 0,-29-18,29 18,-3 0,-7 0,10-9,-2 1,-8 8,-2 0,4 0,-4 0,0 0,4 0,-2 0,-2 0,5 0,-22 0,16 0,6 0,-20 0,25 0,1 0,-28 0,17 0,5 0,-3 0,-2 0,4 0,-21 17,17-17,4 0,-1 0,-4 10,6-2,-3-8,-2 0,2 0,0 0,10 9,-3-1,1 0,1-16,25 8,-5 0,-7 0,12-17,12 17,-5 0,26-18,-21 0,-5 2,77-18,-24 6,-14 4,57-27,-57 32,-6 3,97-35,-79 14,-13 5,59-2,-85 15,-3 3,52-18,-37 15,-10 4,13-3,-22 0,-5 2,26-1,-31-2,-2 3,17-1,-15 8,-4 1,1-9,-6 8,-36 1,18 8,-1 0,-25 0,15 0,2 0,-50 0,38 0,5 0,-44 17,32-17,3 0,-52 17,47-8,7-1,-39 9,34-7,5-2,-39 9,34-8,5-1,-22 9,26-7,3-3,-29-7,34 10,4-2,-18-8,23 9,3-1,-10-8,8 0,-1 0,3 0,33 0,-14 0,-7 0,29 0,-15 0,-5 0,22 0,-16-10,-6 3,20 7,-5-10,-5 2,9-9,-13 8,-6 1,20-9,-25 17,1 0,7-17,-10 17,3 0,2 0,-8 0,-4-14,0 10,-12 4,8 0,-8 0,7 0,-31 0,16 0,6 0,-20 0,5 10,5-2,-26 9,21-8,7-1,-31 9,27-8,2-1,-29 10,27 0,2-2,-10-16,15 9,2-1,0 9,10-17,-3 0,-7 17,8-17,1 0,-1 0,35 0,-6 0,-6 0,39-17,-27 8,-2 1,63-26,-22 6,-10 4,99-45,-79 32,-13 6,75-55,-60 48,-17 7,44-38,-56 41,-9 5,11-29,-21 34,-5 2,10-36,-15 34,-5 2,22-35,-28 32,1 3,-9-35,0 23,0 4,-17-10,-2 6,2 4,-33-10,14 6,2 4,-50-10,7 15,17 4,-80-20,58 26,10 1,-82-9,80 17,11 0,-74 17,72 1,10-2,-32 2,51 0,3-2,-35 18,39-15,5-3,-26 18,40-16,3-2,-29 36,29-25,-3-3,10 45,0-41,0-4,36 62,-17-39,-4-9,35 48,-11-29,-8-11,36 40,-28-39,-8-8,56 13,-42-24,-6-5,47 29,-30-33,-8-4,55 20,-47-17,-8-2,72 1,-65-7,-7-3,37 11,-37-9,-10-1,49-8,-61 0,-2 0,46 0,-43 0,-3 0,9 0,-13 0,-4 0,18 0,-17 0,-34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06T04:13:48.9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1,'0'0,"0"0,0 0,0 0,0 0,0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42"/>
  <sheetViews>
    <sheetView rightToLeft="1" tabSelected="1" view="pageBreakPreview" topLeftCell="C29" zoomScale="130" zoomScaleNormal="100" zoomScaleSheetLayoutView="130" workbookViewId="0">
      <selection activeCell="G42" sqref="G42:J42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70" t="s">
        <v>180</v>
      </c>
      <c r="C1" s="70"/>
      <c r="D1" s="70"/>
      <c r="E1" s="70"/>
      <c r="F1" s="70"/>
      <c r="G1" s="70"/>
      <c r="H1" s="70"/>
      <c r="I1" s="70"/>
      <c r="J1" s="70"/>
    </row>
    <row r="2" spans="1:10" ht="30" customHeight="1" x14ac:dyDescent="0.2">
      <c r="B2" s="12" t="s">
        <v>8</v>
      </c>
      <c r="C2" s="76" t="s">
        <v>11</v>
      </c>
      <c r="D2" s="76"/>
      <c r="E2" s="12" t="s">
        <v>7</v>
      </c>
      <c r="F2" s="71">
        <v>45931</v>
      </c>
      <c r="G2" s="71"/>
      <c r="H2" s="71"/>
      <c r="I2" s="71"/>
      <c r="J2" s="71"/>
    </row>
    <row r="3" spans="1:10" ht="30" customHeight="1" x14ac:dyDescent="0.2">
      <c r="B3" s="12" t="s">
        <v>9</v>
      </c>
      <c r="C3" s="76" t="s">
        <v>69</v>
      </c>
      <c r="D3" s="76"/>
      <c r="E3" s="12" t="s">
        <v>6</v>
      </c>
      <c r="F3" s="76" t="s">
        <v>134</v>
      </c>
      <c r="G3" s="76"/>
      <c r="H3" s="76"/>
      <c r="I3" s="76"/>
      <c r="J3" s="7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72" t="s">
        <v>0</v>
      </c>
      <c r="C5" s="73"/>
      <c r="D5" s="73"/>
      <c r="E5" s="81" t="s">
        <v>1</v>
      </c>
      <c r="F5" s="81"/>
      <c r="G5" s="81"/>
      <c r="H5" s="81"/>
      <c r="I5" s="81" t="s">
        <v>2</v>
      </c>
      <c r="J5" s="82"/>
    </row>
    <row r="6" spans="1:10" ht="24.95" customHeight="1" thickBot="1" x14ac:dyDescent="0.25">
      <c r="A6" s="10"/>
      <c r="B6" s="74"/>
      <c r="C6" s="75"/>
      <c r="D6" s="75"/>
      <c r="E6" s="11" t="s">
        <v>3</v>
      </c>
      <c r="F6" s="11" t="s">
        <v>4</v>
      </c>
      <c r="G6" s="11" t="s">
        <v>23</v>
      </c>
      <c r="H6" s="11" t="s">
        <v>24</v>
      </c>
      <c r="I6" s="83"/>
      <c r="J6" s="84"/>
    </row>
    <row r="7" spans="1:10" ht="24.95" customHeight="1" thickBot="1" x14ac:dyDescent="0.25">
      <c r="A7" s="10"/>
      <c r="B7" s="79" t="s">
        <v>21</v>
      </c>
      <c r="C7" s="80"/>
      <c r="D7" s="80"/>
      <c r="E7" s="29" t="s">
        <v>18</v>
      </c>
      <c r="F7" s="29" t="s">
        <v>19</v>
      </c>
      <c r="G7" s="29" t="s">
        <v>22</v>
      </c>
      <c r="H7" s="29" t="s">
        <v>20</v>
      </c>
      <c r="I7" s="85" t="s">
        <v>25</v>
      </c>
      <c r="J7" s="86"/>
    </row>
    <row r="8" spans="1:10" ht="39.950000000000003" customHeight="1" x14ac:dyDescent="0.2">
      <c r="A8" s="10"/>
      <c r="B8" s="50" t="s">
        <v>181</v>
      </c>
      <c r="C8" s="51"/>
      <c r="D8" s="51"/>
      <c r="E8" s="33"/>
      <c r="F8" s="34"/>
      <c r="G8" s="35"/>
      <c r="H8" s="36"/>
      <c r="I8" s="62"/>
      <c r="J8" s="63"/>
    </row>
    <row r="9" spans="1:10" ht="39.950000000000003" customHeight="1" x14ac:dyDescent="0.2">
      <c r="A9" s="10"/>
      <c r="B9" s="44" t="s">
        <v>182</v>
      </c>
      <c r="C9" s="45"/>
      <c r="D9" s="45"/>
      <c r="E9" s="32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6"/>
      <c r="J9" s="57"/>
    </row>
    <row r="10" spans="1:10" ht="39.950000000000003" customHeight="1" x14ac:dyDescent="0.2">
      <c r="A10" s="10"/>
      <c r="B10" s="44" t="s">
        <v>183</v>
      </c>
      <c r="C10" s="45"/>
      <c r="D10" s="45"/>
      <c r="E10" s="32">
        <v>5</v>
      </c>
      <c r="F10" s="26">
        <v>3.5</v>
      </c>
      <c r="G10" s="30">
        <f t="shared" ref="G10:G37" si="0">IFERROR(F10/E10,"")</f>
        <v>0.7</v>
      </c>
      <c r="H10" s="31" t="str">
        <f t="shared" ref="H10:H37" si="1">_xlfn.IFS(F10="أدخل العلامة","",F10="لا ينطبق","تم الإلغاء",G10&gt;=90%,"ممتاز",G10&gt;=80%,"جيد جداً",G10&gt;=70%,"جيد",G10&gt;=60%,"مقبول",G10&lt;60%,"راسب")</f>
        <v>جيد</v>
      </c>
      <c r="I10" s="56"/>
      <c r="J10" s="57"/>
    </row>
    <row r="11" spans="1:10" ht="39.950000000000003" customHeight="1" x14ac:dyDescent="0.2">
      <c r="A11" s="10"/>
      <c r="B11" s="44" t="s">
        <v>184</v>
      </c>
      <c r="C11" s="45"/>
      <c r="D11" s="45"/>
      <c r="E11" s="32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56"/>
      <c r="J11" s="57"/>
    </row>
    <row r="12" spans="1:10" ht="39.950000000000003" customHeight="1" thickBot="1" x14ac:dyDescent="0.25">
      <c r="A12" s="10"/>
      <c r="B12" s="46" t="s">
        <v>185</v>
      </c>
      <c r="C12" s="47"/>
      <c r="D12" s="47"/>
      <c r="E12" s="37">
        <v>5</v>
      </c>
      <c r="F12" s="28">
        <v>3.75</v>
      </c>
      <c r="G12" s="38">
        <f t="shared" si="0"/>
        <v>0.75</v>
      </c>
      <c r="H12" s="39" t="str">
        <f t="shared" si="1"/>
        <v>جيد</v>
      </c>
      <c r="I12" s="58"/>
      <c r="J12" s="59"/>
    </row>
    <row r="13" spans="1:10" ht="39.950000000000003" customHeight="1" thickBot="1" x14ac:dyDescent="0.25">
      <c r="A13" s="10"/>
      <c r="B13" s="52" t="s">
        <v>186</v>
      </c>
      <c r="C13" s="53"/>
      <c r="D13" s="53"/>
      <c r="E13" s="40">
        <v>5</v>
      </c>
      <c r="F13" s="41">
        <v>3.75</v>
      </c>
      <c r="G13" s="42">
        <f t="shared" si="0"/>
        <v>0.75</v>
      </c>
      <c r="H13" s="27" t="str">
        <f t="shared" si="1"/>
        <v>جيد</v>
      </c>
      <c r="I13" s="60"/>
      <c r="J13" s="61"/>
    </row>
    <row r="14" spans="1:10" ht="51.75" customHeight="1" thickBot="1" x14ac:dyDescent="0.25">
      <c r="A14" s="10"/>
      <c r="B14" s="52" t="s">
        <v>187</v>
      </c>
      <c r="C14" s="53"/>
      <c r="D14" s="53"/>
      <c r="E14" s="40">
        <v>5</v>
      </c>
      <c r="F14" s="41">
        <v>3.5</v>
      </c>
      <c r="G14" s="42">
        <f t="shared" si="0"/>
        <v>0.7</v>
      </c>
      <c r="H14" s="27" t="str">
        <f t="shared" si="1"/>
        <v>جيد</v>
      </c>
      <c r="I14" s="60"/>
      <c r="J14" s="61"/>
    </row>
    <row r="15" spans="1:10" ht="51.75" customHeight="1" thickBot="1" x14ac:dyDescent="0.25">
      <c r="A15" s="10"/>
      <c r="B15" s="52" t="s">
        <v>188</v>
      </c>
      <c r="C15" s="53"/>
      <c r="D15" s="53"/>
      <c r="E15" s="40">
        <v>5</v>
      </c>
      <c r="F15" s="41">
        <v>3.75</v>
      </c>
      <c r="G15" s="42">
        <f t="shared" si="0"/>
        <v>0.75</v>
      </c>
      <c r="H15" s="27" t="str">
        <f t="shared" si="1"/>
        <v>جيد</v>
      </c>
      <c r="I15" s="60"/>
      <c r="J15" s="61"/>
    </row>
    <row r="16" spans="1:10" ht="39.950000000000003" customHeight="1" thickBot="1" x14ac:dyDescent="0.25">
      <c r="A16" s="10"/>
      <c r="B16" s="52" t="s">
        <v>189</v>
      </c>
      <c r="C16" s="53"/>
      <c r="D16" s="53"/>
      <c r="E16" s="40">
        <v>5</v>
      </c>
      <c r="F16" s="41">
        <v>3.5</v>
      </c>
      <c r="G16" s="42">
        <f t="shared" si="0"/>
        <v>0.7</v>
      </c>
      <c r="H16" s="27" t="str">
        <f t="shared" si="1"/>
        <v>جيد</v>
      </c>
      <c r="I16" s="60"/>
      <c r="J16" s="61"/>
    </row>
    <row r="17" spans="1:10" ht="39.950000000000003" customHeight="1" thickBot="1" x14ac:dyDescent="0.25">
      <c r="A17" s="10"/>
      <c r="B17" s="52" t="s">
        <v>190</v>
      </c>
      <c r="C17" s="53"/>
      <c r="D17" s="53"/>
      <c r="E17" s="40">
        <v>5</v>
      </c>
      <c r="F17" s="41">
        <v>3.5</v>
      </c>
      <c r="G17" s="42">
        <f t="shared" si="0"/>
        <v>0.7</v>
      </c>
      <c r="H17" s="27" t="str">
        <f t="shared" si="1"/>
        <v>جيد</v>
      </c>
      <c r="I17" s="60"/>
      <c r="J17" s="61"/>
    </row>
    <row r="18" spans="1:10" ht="39.950000000000003" customHeight="1" x14ac:dyDescent="0.2">
      <c r="A18" s="10"/>
      <c r="B18" s="48" t="s">
        <v>191</v>
      </c>
      <c r="C18" s="49"/>
      <c r="D18" s="49"/>
      <c r="E18" s="43"/>
      <c r="F18" s="34"/>
      <c r="G18" s="35"/>
      <c r="H18" s="36"/>
      <c r="I18" s="62"/>
      <c r="J18" s="63"/>
    </row>
    <row r="19" spans="1:10" ht="39.950000000000003" customHeight="1" x14ac:dyDescent="0.2">
      <c r="A19" s="10"/>
      <c r="B19" s="44" t="s">
        <v>192</v>
      </c>
      <c r="C19" s="45"/>
      <c r="D19" s="45"/>
      <c r="E19" s="32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6"/>
      <c r="J19" s="57"/>
    </row>
    <row r="20" spans="1:10" ht="39.950000000000003" customHeight="1" x14ac:dyDescent="0.2">
      <c r="A20" s="10"/>
      <c r="B20" s="44" t="s">
        <v>193</v>
      </c>
      <c r="C20" s="45"/>
      <c r="D20" s="45"/>
      <c r="E20" s="32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56"/>
      <c r="J20" s="57"/>
    </row>
    <row r="21" spans="1:10" ht="39.950000000000003" customHeight="1" x14ac:dyDescent="0.2">
      <c r="A21" s="10"/>
      <c r="B21" s="44" t="s">
        <v>194</v>
      </c>
      <c r="C21" s="45"/>
      <c r="D21" s="45"/>
      <c r="E21" s="32">
        <v>5</v>
      </c>
      <c r="F21" s="26">
        <v>3.25</v>
      </c>
      <c r="G21" s="30">
        <f t="shared" si="0"/>
        <v>0.65</v>
      </c>
      <c r="H21" s="31" t="str">
        <f t="shared" si="1"/>
        <v>مقبول</v>
      </c>
      <c r="I21" s="56"/>
      <c r="J21" s="57"/>
    </row>
    <row r="22" spans="1:10" ht="39.950000000000003" customHeight="1" thickBot="1" x14ac:dyDescent="0.25">
      <c r="A22" s="10"/>
      <c r="B22" s="46" t="s">
        <v>195</v>
      </c>
      <c r="C22" s="47"/>
      <c r="D22" s="47"/>
      <c r="E22" s="37">
        <v>5</v>
      </c>
      <c r="F22" s="28">
        <v>3.75</v>
      </c>
      <c r="G22" s="38">
        <f t="shared" si="0"/>
        <v>0.75</v>
      </c>
      <c r="H22" s="39" t="str">
        <f t="shared" si="1"/>
        <v>جيد</v>
      </c>
      <c r="I22" s="58"/>
      <c r="J22" s="59"/>
    </row>
    <row r="23" spans="1:10" ht="39.950000000000003" customHeight="1" x14ac:dyDescent="0.2">
      <c r="A23" s="10"/>
      <c r="B23" s="48" t="s">
        <v>196</v>
      </c>
      <c r="C23" s="49"/>
      <c r="D23" s="49"/>
      <c r="E23" s="43"/>
      <c r="F23" s="34"/>
      <c r="G23" s="35"/>
      <c r="H23" s="36"/>
      <c r="I23" s="62"/>
      <c r="J23" s="63"/>
    </row>
    <row r="24" spans="1:10" ht="52.5" customHeight="1" x14ac:dyDescent="0.2">
      <c r="A24" s="10"/>
      <c r="B24" s="44" t="s">
        <v>197</v>
      </c>
      <c r="C24" s="45"/>
      <c r="D24" s="45"/>
      <c r="E24" s="32">
        <v>5</v>
      </c>
      <c r="F24" s="26">
        <v>3.75</v>
      </c>
      <c r="G24" s="30">
        <f t="shared" si="0"/>
        <v>0.75</v>
      </c>
      <c r="H24" s="31" t="str">
        <f t="shared" si="1"/>
        <v>جيد</v>
      </c>
      <c r="I24" s="56"/>
      <c r="J24" s="57"/>
    </row>
    <row r="25" spans="1:10" ht="39.950000000000003" customHeight="1" x14ac:dyDescent="0.2">
      <c r="A25" s="10"/>
      <c r="B25" s="44" t="s">
        <v>198</v>
      </c>
      <c r="C25" s="45"/>
      <c r="D25" s="45"/>
      <c r="E25" s="32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56"/>
      <c r="J25" s="57"/>
    </row>
    <row r="26" spans="1:10" ht="39.950000000000003" customHeight="1" x14ac:dyDescent="0.2">
      <c r="A26" s="10"/>
      <c r="B26" s="44" t="s">
        <v>199</v>
      </c>
      <c r="C26" s="45"/>
      <c r="D26" s="45"/>
      <c r="E26" s="32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56"/>
      <c r="J26" s="57"/>
    </row>
    <row r="27" spans="1:10" ht="39.950000000000003" customHeight="1" x14ac:dyDescent="0.2">
      <c r="A27" s="10"/>
      <c r="B27" s="44" t="s">
        <v>200</v>
      </c>
      <c r="C27" s="45"/>
      <c r="D27" s="45"/>
      <c r="E27" s="32">
        <v>5</v>
      </c>
      <c r="F27" s="26">
        <v>3.5</v>
      </c>
      <c r="G27" s="30">
        <f t="shared" si="0"/>
        <v>0.7</v>
      </c>
      <c r="H27" s="31" t="str">
        <f t="shared" si="1"/>
        <v>جيد</v>
      </c>
      <c r="I27" s="56"/>
      <c r="J27" s="57"/>
    </row>
    <row r="28" spans="1:10" ht="39.950000000000003" customHeight="1" x14ac:dyDescent="0.2">
      <c r="A28" s="10"/>
      <c r="B28" s="44" t="s">
        <v>201</v>
      </c>
      <c r="C28" s="45"/>
      <c r="D28" s="45"/>
      <c r="E28" s="32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56"/>
      <c r="J28" s="57"/>
    </row>
    <row r="29" spans="1:10" ht="39.950000000000003" customHeight="1" thickBot="1" x14ac:dyDescent="0.25">
      <c r="A29" s="10"/>
      <c r="B29" s="46" t="s">
        <v>202</v>
      </c>
      <c r="C29" s="47"/>
      <c r="D29" s="47"/>
      <c r="E29" s="37">
        <v>5</v>
      </c>
      <c r="F29" s="28">
        <v>3.5</v>
      </c>
      <c r="G29" s="38">
        <f t="shared" si="0"/>
        <v>0.7</v>
      </c>
      <c r="H29" s="39" t="str">
        <f t="shared" si="1"/>
        <v>جيد</v>
      </c>
      <c r="I29" s="58"/>
      <c r="J29" s="59"/>
    </row>
    <row r="30" spans="1:10" ht="39.950000000000003" customHeight="1" x14ac:dyDescent="0.2">
      <c r="A30" s="10"/>
      <c r="B30" s="48" t="s">
        <v>203</v>
      </c>
      <c r="C30" s="49"/>
      <c r="D30" s="49"/>
      <c r="E30" s="43"/>
      <c r="F30" s="34"/>
      <c r="G30" s="35"/>
      <c r="H30" s="36"/>
      <c r="I30" s="62"/>
      <c r="J30" s="63"/>
    </row>
    <row r="31" spans="1:10" ht="39.950000000000003" customHeight="1" x14ac:dyDescent="0.2">
      <c r="A31" s="10"/>
      <c r="B31" s="44" t="s">
        <v>204</v>
      </c>
      <c r="C31" s="45"/>
      <c r="D31" s="45"/>
      <c r="E31" s="32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56"/>
      <c r="J31" s="57"/>
    </row>
    <row r="32" spans="1:10" ht="39.950000000000003" customHeight="1" thickBot="1" x14ac:dyDescent="0.25">
      <c r="A32" s="10"/>
      <c r="B32" s="46" t="s">
        <v>205</v>
      </c>
      <c r="C32" s="47"/>
      <c r="D32" s="47"/>
      <c r="E32" s="37">
        <v>5</v>
      </c>
      <c r="F32" s="28">
        <v>3.5</v>
      </c>
      <c r="G32" s="38">
        <f t="shared" si="0"/>
        <v>0.7</v>
      </c>
      <c r="H32" s="39" t="str">
        <f t="shared" si="1"/>
        <v>جيد</v>
      </c>
      <c r="I32" s="58"/>
      <c r="J32" s="59"/>
    </row>
    <row r="33" spans="1:10" ht="39.950000000000003" customHeight="1" x14ac:dyDescent="0.2">
      <c r="A33" s="10"/>
      <c r="B33" s="50" t="s">
        <v>206</v>
      </c>
      <c r="C33" s="51"/>
      <c r="D33" s="51"/>
      <c r="E33" s="43"/>
      <c r="F33" s="34"/>
      <c r="G33" s="35"/>
      <c r="H33" s="36"/>
      <c r="I33" s="62"/>
      <c r="J33" s="63"/>
    </row>
    <row r="34" spans="1:10" ht="39.950000000000003" customHeight="1" x14ac:dyDescent="0.2">
      <c r="A34" s="10"/>
      <c r="B34" s="44" t="s">
        <v>207</v>
      </c>
      <c r="C34" s="45"/>
      <c r="D34" s="45"/>
      <c r="E34" s="32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56"/>
      <c r="J34" s="57"/>
    </row>
    <row r="35" spans="1:10" ht="39.950000000000003" customHeight="1" x14ac:dyDescent="0.2">
      <c r="A35" s="10"/>
      <c r="B35" s="44" t="s">
        <v>208</v>
      </c>
      <c r="C35" s="45"/>
      <c r="D35" s="45"/>
      <c r="E35" s="32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56"/>
      <c r="J35" s="57"/>
    </row>
    <row r="36" spans="1:10" ht="39.950000000000003" customHeight="1" x14ac:dyDescent="0.2">
      <c r="A36" s="10"/>
      <c r="B36" s="44" t="s">
        <v>209</v>
      </c>
      <c r="C36" s="45"/>
      <c r="D36" s="45"/>
      <c r="E36" s="32">
        <v>5</v>
      </c>
      <c r="F36" s="26">
        <v>3.75</v>
      </c>
      <c r="G36" s="30">
        <f t="shared" si="0"/>
        <v>0.75</v>
      </c>
      <c r="H36" s="31" t="str">
        <f t="shared" si="1"/>
        <v>جيد</v>
      </c>
      <c r="I36" s="56"/>
      <c r="J36" s="57"/>
    </row>
    <row r="37" spans="1:10" ht="39.950000000000003" customHeight="1" thickBot="1" x14ac:dyDescent="0.25">
      <c r="A37" s="10"/>
      <c r="B37" s="46" t="s">
        <v>210</v>
      </c>
      <c r="C37" s="47"/>
      <c r="D37" s="47"/>
      <c r="E37" s="37">
        <v>5</v>
      </c>
      <c r="F37" s="28">
        <v>3.5</v>
      </c>
      <c r="G37" s="38">
        <f t="shared" si="0"/>
        <v>0.7</v>
      </c>
      <c r="H37" s="39" t="str">
        <f t="shared" si="1"/>
        <v>جيد</v>
      </c>
      <c r="I37" s="58"/>
      <c r="J37" s="59"/>
    </row>
    <row r="38" spans="1:10" ht="30" customHeight="1" thickBot="1" x14ac:dyDescent="0.25">
      <c r="A38" s="4"/>
      <c r="B38" s="54" t="s">
        <v>5</v>
      </c>
      <c r="C38" s="55"/>
      <c r="D38" s="55"/>
      <c r="E38" s="9">
        <f>SUM(E8:E37)</f>
        <v>125</v>
      </c>
      <c r="F38" s="9">
        <f>SUM(F8:F37)</f>
        <v>88.75</v>
      </c>
      <c r="G38" s="89"/>
      <c r="H38" s="90"/>
      <c r="I38" s="90"/>
      <c r="J38" s="91"/>
    </row>
    <row r="39" spans="1:10" ht="30" customHeight="1" thickBot="1" x14ac:dyDescent="0.25">
      <c r="A39" s="4"/>
      <c r="B39" s="54" t="s">
        <v>54</v>
      </c>
      <c r="C39" s="55"/>
      <c r="D39" s="55"/>
      <c r="E39" s="77">
        <f>F38/E38/100*100</f>
        <v>0.71</v>
      </c>
      <c r="F39" s="77"/>
      <c r="G39" s="77"/>
      <c r="H39" s="77"/>
      <c r="I39" s="77"/>
      <c r="J39" s="78"/>
    </row>
    <row r="40" spans="1:10" ht="30" customHeight="1" thickBot="1" x14ac:dyDescent="0.25">
      <c r="A40" s="4"/>
      <c r="B40" s="54" t="s">
        <v>55</v>
      </c>
      <c r="C40" s="55"/>
      <c r="D40" s="55"/>
      <c r="E40" s="68" t="str">
        <f>_xlfn.IFS(E39&gt;=90%,"ممتاز",E39&gt;=80%,"جيد جداً",E39&gt;=70%,"جيد",E39&gt;=60%,"مقبول",E39&lt;60%,"راسب")</f>
        <v>جيد</v>
      </c>
      <c r="F40" s="68"/>
      <c r="G40" s="68"/>
      <c r="H40" s="68"/>
      <c r="I40" s="68"/>
      <c r="J40" s="69"/>
    </row>
    <row r="41" spans="1:10" ht="42" customHeight="1" x14ac:dyDescent="0.2">
      <c r="B41" s="64" t="s">
        <v>174</v>
      </c>
      <c r="C41" s="64"/>
      <c r="D41" s="64"/>
      <c r="E41" s="87" t="s">
        <v>52</v>
      </c>
      <c r="F41" s="87"/>
      <c r="G41" s="66" t="s">
        <v>134</v>
      </c>
      <c r="H41" s="66"/>
      <c r="I41" s="66"/>
      <c r="J41" s="66"/>
    </row>
    <row r="42" spans="1:10" ht="51" customHeight="1" x14ac:dyDescent="0.2">
      <c r="A42" s="5"/>
      <c r="B42" s="65"/>
      <c r="C42" s="65"/>
      <c r="D42" s="65"/>
      <c r="E42" s="88" t="s">
        <v>53</v>
      </c>
      <c r="F42" s="88"/>
      <c r="G42" s="67"/>
      <c r="H42" s="67"/>
      <c r="I42" s="67"/>
      <c r="J42" s="6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81">
    <mergeCell ref="E41:F41"/>
    <mergeCell ref="E42:F42"/>
    <mergeCell ref="G38:J38"/>
    <mergeCell ref="I9:J9"/>
    <mergeCell ref="I23:J23"/>
    <mergeCell ref="I24:J24"/>
    <mergeCell ref="I25:J25"/>
    <mergeCell ref="I26:J26"/>
    <mergeCell ref="I27:J27"/>
    <mergeCell ref="I33:J33"/>
    <mergeCell ref="I34:J34"/>
    <mergeCell ref="I35:J35"/>
    <mergeCell ref="I36:J36"/>
    <mergeCell ref="I5:J6"/>
    <mergeCell ref="I7:J7"/>
    <mergeCell ref="I10:J10"/>
    <mergeCell ref="I19:J19"/>
    <mergeCell ref="I20:J20"/>
    <mergeCell ref="I8:J8"/>
    <mergeCell ref="B41:D42"/>
    <mergeCell ref="G41:J41"/>
    <mergeCell ref="G42:J42"/>
    <mergeCell ref="E40:J40"/>
    <mergeCell ref="B1:J1"/>
    <mergeCell ref="F2:J2"/>
    <mergeCell ref="B5:D6"/>
    <mergeCell ref="C2:D2"/>
    <mergeCell ref="C3:D3"/>
    <mergeCell ref="F3:J3"/>
    <mergeCell ref="E39:J39"/>
    <mergeCell ref="B7:D7"/>
    <mergeCell ref="I30:J30"/>
    <mergeCell ref="I31:J31"/>
    <mergeCell ref="E5:H5"/>
    <mergeCell ref="I37:J37"/>
    <mergeCell ref="B38:D38"/>
    <mergeCell ref="B39:D39"/>
    <mergeCell ref="B40:D40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1:J21"/>
    <mergeCell ref="I22:J22"/>
    <mergeCell ref="I32:J32"/>
    <mergeCell ref="B24:D24"/>
    <mergeCell ref="B25:D2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35:D35"/>
    <mergeCell ref="B36:D36"/>
    <mergeCell ref="B37:D37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22:D22"/>
    <mergeCell ref="B23:D23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40">
    <cfRule type="expression" dxfId="14" priority="57">
      <formula>$E40="راسب"</formula>
    </cfRule>
  </conditionalFormatting>
  <conditionalFormatting sqref="E40:J40">
    <cfRule type="expression" dxfId="13" priority="58">
      <formula>$E40="مقبول"</formula>
    </cfRule>
    <cfRule type="expression" dxfId="12" priority="59">
      <formula>$E40="جيد"</formula>
    </cfRule>
    <cfRule type="expression" dxfId="11" priority="60">
      <formula>$E40="جيد جداً"</formula>
    </cfRule>
    <cfRule type="expression" dxfId="10" priority="61">
      <formula>$E40="ممتاز"</formula>
    </cfRule>
  </conditionalFormatting>
  <conditionalFormatting sqref="F8:F3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41:J41">
    <cfRule type="containsText" dxfId="6" priority="15" operator="containsText" text="أدخل اسم المحكم">
      <formula>NOT(ISERROR(SEARCH("أدخل اسم المحكم",G41)))</formula>
    </cfRule>
  </conditionalFormatting>
  <conditionalFormatting sqref="H8:H3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F34:F37 F31:F32 F24:F29 F19:F22 F9:F17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G41:J41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2025-09-25T09:10:50Z</dcterms:modified>
</cp:coreProperties>
</file>