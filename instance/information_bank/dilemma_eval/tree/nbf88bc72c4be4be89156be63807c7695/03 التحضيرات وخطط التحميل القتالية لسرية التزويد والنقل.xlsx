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CCA3D7B7-8A95-4EFD-B985-F235F3AB50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8" i="2"/>
  <c r="H48" i="2"/>
  <c r="G49" i="2"/>
  <c r="H49" i="2"/>
  <c r="G50" i="2"/>
  <c r="H50" i="2"/>
  <c r="G51" i="2"/>
  <c r="H51" i="2"/>
  <c r="F52" i="2"/>
  <c r="E52" i="2"/>
  <c r="E53" i="2"/>
  <c r="E54" i="2"/>
</calcChain>
</file>

<file path=xl/sharedStrings.xml><?xml version="1.0" encoding="utf-8"?>
<sst xmlns="http://schemas.openxmlformats.org/spreadsheetml/2006/main" count="282" uniqueCount="226">
  <si>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</si>
  <si>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</si>
  <si>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</si>
  <si>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</si>
  <si>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</si>
  <si>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</si>
  <si>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</si>
  <si>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</si>
  <si>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</si>
  <si>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</si>
  <si>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</si>
  <si>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</si>
  <si>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</si>
  <si>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</si>
  <si>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</si>
  <si>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</si>
  <si>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</si>
  <si>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</si>
  <si>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</si>
  <si>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</si>
  <si>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</si>
  <si>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</si>
  <si>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</si>
  <si>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</si>
  <si>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</si>
  <si>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</si>
  <si>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</si>
  <si>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</si>
  <si>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</si>
  <si>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</si>
  <si>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</si>
  <si>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</si>
  <si>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</si>
  <si>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</si>
  <si>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</si>
  <si>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</si>
  <si>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</si>
  <si>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</si>
  <si>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</si>
  <si>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</si>
  <si>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</si>
  <si>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</si>
  <si>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</si>
  <si>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</si>
  <si>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</si>
  <si>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</si>
  <si>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</si>
  <si>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</si>
  <si>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</si>
  <si>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</si>
  <si>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</si>
  <si>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</si>
  <si>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</si>
  <si>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</si>
  <si>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</si>
  <si>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</si>
  <si>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</si>
  <si>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</si>
  <si>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</si>
  <si>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</si>
  <si>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</si>
  <si>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</si>
  <si>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</si>
  <si>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</si>
  <si>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</si>
  <si>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</si>
  <si>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</si>
  <si>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</si>
  <si>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</si>
  <si>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</si>
  <si>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</si>
  <si>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</si>
  <si>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</si>
  <si>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</si>
  <si>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</si>
  <si>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</si>
  <si>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</si>
  <si>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</si>
  <si>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</si>
  <si>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</si>
  <si>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</si>
  <si>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</si>
  <si>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</si>
  <si>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</si>
  <si>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</si>
  <si>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</si>
  <si>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</si>
  <si>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</si>
  <si>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</si>
  <si>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</si>
  <si>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</si>
  <si>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</si>
  <si>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</si>
  <si>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</si>
  <si>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</si>
  <si>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</si>
  <si>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</si>
  <si>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</si>
  <si>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</si>
  <si>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</si>
  <si>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</si>
  <si>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</si>
  <si>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</si>
  <si>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</si>
  <si>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</si>
  <si>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</si>
  <si>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</si>
  <si>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</si>
  <si>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</si>
  <si>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</si>
  <si>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</si>
  <si>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</si>
  <si>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</si>
  <si>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</si>
  <si>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</si>
  <si>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</si>
  <si>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</si>
  <si>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</si>
  <si>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</si>
  <si>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</si>
  <si>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</si>
  <si>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</si>
  <si>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</si>
  <si>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</si>
  <si>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</si>
  <si>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</si>
  <si>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</si>
  <si>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</si>
  <si>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</si>
  <si>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</si>
  <si>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</si>
  <si>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</si>
  <si>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</si>
  <si>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</si>
  <si>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</si>
  <si>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</si>
  <si>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</si>
  <si>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</si>
  <si>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</si>
  <si>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</si>
  <si>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</si>
  <si>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</si>
  <si>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</si>
  <si>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</si>
  <si>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</si>
  <si>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</si>
  <si>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</si>
  <si>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</si>
  <si>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</si>
  <si>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</si>
  <si>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</si>
  <si>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</si>
  <si>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</si>
  <si>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</si>
  <si>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</si>
  <si>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</si>
  <si>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</si>
  <si>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</si>
  <si>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</si>
  <si>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</si>
  <si>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</si>
  <si>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</si>
  <si>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</si>
  <si>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</si>
  <si>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</si>
  <si>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</si>
  <si>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</si>
  <si>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</si>
  <si>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</si>
  <si>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</si>
  <si>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</si>
  <si>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</si>
  <si>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</si>
  <si>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</si>
  <si>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</si>
  <si>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</si>
  <si>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</si>
  <si>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</si>
  <si>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</si>
  <si>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</si>
  <si>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التحضيرات وخطط التحميل القتالية لسرية التزويد والنقل</t>
    </r>
    <r>
      <rPr>
        <b/>
        <u/>
        <sz val="14"/>
        <color rgb="FF000000"/>
        <rFont val="Arial"/>
        <family val="2"/>
      </rPr>
      <t xml:space="preserve">
 تمرين جاهزية مجموعة لواء الإمارات/1 (جندي الصحراء 2025/20)</t>
    </r>
  </si>
  <si>
    <r>
      <t>1.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التجهيزات.</t>
    </r>
  </si>
  <si>
    <t>أ. تجهيز الآليات.</t>
  </si>
  <si>
    <t>ب. تجهيز أنظمة الآليات.</t>
  </si>
  <si>
    <t>جـ. تجهيز أجهزة الاتصال.</t>
  </si>
  <si>
    <t>د. تجهيز الأسلحة.</t>
  </si>
  <si>
    <r>
      <t>2.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معدات متفرقة.</t>
    </r>
  </si>
  <si>
    <t>أ. تفقد المناظير.</t>
  </si>
  <si>
    <t>ب. تفقد شبكة التمويه والتخفية وأنظمة الإسناد.</t>
  </si>
  <si>
    <t>جـ. تفقد أجهزة الرؤية الليلية.</t>
  </si>
  <si>
    <t>د. التأكد من وجود البطاريات وصلاحيتها.</t>
  </si>
  <si>
    <t>هـ. توفر معدات التخييم.</t>
  </si>
  <si>
    <t>و. توفر أنظمة تحديد المواقع العالمية والأنظمة الرقمية الأخرى.</t>
  </si>
  <si>
    <t>ز. توفر قوائم التحميل.</t>
  </si>
  <si>
    <t>ح. توفر خرائط الطرق (مع الشفافات).</t>
  </si>
  <si>
    <t>ط. توفر جميع المعدات في الآلية.</t>
  </si>
  <si>
    <t>ي. توفر السجلات وتحديثها.</t>
  </si>
  <si>
    <t>ك. جميع السائقين مرخص لهم بالقيادة.</t>
  </si>
  <si>
    <r>
      <t>3.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معدات الاتصالات.</t>
    </r>
  </si>
  <si>
    <t>أ. استكمال جميع المتطلبات من الأجهزة اللاسلكية وصلاحيتها للعمل.</t>
  </si>
  <si>
    <t>ب. معدات الاتصالات الطبية متوفرة وصالحة.</t>
  </si>
  <si>
    <t>جـ. صلاحية معدات الاتصالات وعلى الترددات الصحيحة.</t>
  </si>
  <si>
    <t>د. تثبيت الهوائيات بطريقة صحيحة.</t>
  </si>
  <si>
    <t>هـ. نظافة وصلاحية الموصلات.</t>
  </si>
  <si>
    <t>و. توفر الهواتف الميدانية وصلاحيتها.</t>
  </si>
  <si>
    <t>ز. توفر البطاريات وصلاحيتها.</t>
  </si>
  <si>
    <t>ح. توفر مجموعات الأجهزة اللاسلكية كاملة.</t>
  </si>
  <si>
    <t>ط. توفر لوحات المفاتيح وصلاحيتها.</t>
  </si>
  <si>
    <t>ي. توفر أسلاك الاتصالات وصلاحيتها.</t>
  </si>
  <si>
    <t>ك. تجهيز تعليمات تشغيل الإشارة وحمايتها.</t>
  </si>
  <si>
    <t>ل. إطلاع السرية على النداءات والترددات وكلمات التحدي.</t>
  </si>
  <si>
    <t>م. اختبار الاتصالات.</t>
  </si>
  <si>
    <r>
      <t>4.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الآليـــــات.</t>
    </r>
  </si>
  <si>
    <t>أ. تحميل الآليات حسب خطة التحميل وتثبيت نسخة من الخطة في الآلية.</t>
  </si>
  <si>
    <t>ب. تخزين المواد الخطرة حسب تعليمات السلامة ووضعها في مؤخرة الآلية لسهولة الوصول والتفتيش.</t>
  </si>
  <si>
    <t>جـ. الذخيرة مصروفة ومخزنة بشكل صحيح.</t>
  </si>
  <si>
    <t>د. تعبئة خزانات الوقود.</t>
  </si>
  <si>
    <t>هـ. مطرات المياه معبأة.</t>
  </si>
  <si>
    <t>و. صرف الوجبات.</t>
  </si>
  <si>
    <t>ز. توفر صناديق الإسعافات الأولية وصلاحيتها.</t>
  </si>
  <si>
    <r>
      <t>5.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الأسلحة الفردية.</t>
    </r>
  </si>
  <si>
    <t>أ. نظافة وصلاحية الأسلحة وتوفر أدوات وعدة التنظيف.</t>
  </si>
  <si>
    <t>جـ. توفر بطاقات المدى.</t>
  </si>
  <si>
    <t>هـ. صرف المخازن والذخائر وحمايتها.</t>
  </si>
  <si>
    <t>و. تركيب حاصرة الغاز.</t>
  </si>
  <si>
    <t>رائد/ محمد خليفة النعيمي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</si>
</sst>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12" fillId="0" borderId="11" xfId="0" applyFont="1" applyBorder="1" applyAlignment="1">
      <alignment horizontal="right" vertical="center" wrapText="1" indent="2"/>
    </xf>
    <xf numFmtId="0" fontId="12" fillId="0" borderId="12" xfId="0" applyFont="1" applyBorder="1" applyAlignment="1">
      <alignment horizontal="right" vertical="center" wrapText="1" indent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12" fillId="0" borderId="21" xfId="0" applyFont="1" applyBorder="1" applyAlignment="1">
      <alignment horizontal="right" vertical="center" wrapText="1" indent="2"/>
    </xf>
    <xf numFmtId="0" fontId="12" fillId="0" borderId="3" xfId="0" applyFont="1" applyBorder="1" applyAlignment="1">
      <alignment horizontal="right" vertical="center" wrapText="1" indent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156335</xdr:colOff>
      <xdr:row>55</xdr:row>
      <xdr:rowOff>84868</xdr:rowOff>
    </xdr:from>
    <xdr:to>
      <xdr:col>7</xdr:col>
      <xdr:colOff>584375</xdr:colOff>
      <xdr:row>55</xdr:row>
      <xdr:rowOff>351268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E3675AB-95C2-BBFD-EAC1-40AD637D31E4}"/>
                </a:ext>
              </a:extLst>
            </xdr14:cNvPr>
            <xdr14:cNvContentPartPr/>
          </xdr14:nvContentPartPr>
          <xdr14:nvPr macro=""/>
          <xdr14:xfrm>
            <a:off x="10399318625" y="21189960"/>
            <a:ext cx="428040" cy="266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E3675AB-95C2-BBFD-EAC1-40AD637D31E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312505" y="21183840"/>
              <a:ext cx="440280" cy="27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365865</xdr:colOff>
      <xdr:row>55</xdr:row>
      <xdr:rowOff>213388</xdr:rowOff>
    </xdr:from>
    <xdr:to>
      <xdr:col>8</xdr:col>
      <xdr:colOff>312564</xdr:colOff>
      <xdr:row>56</xdr:row>
      <xdr:rowOff>5323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141910C6-537C-B65F-0343-9F51281C2820}"/>
                </a:ext>
              </a:extLst>
            </xdr14:cNvPr>
            <xdr14:cNvContentPartPr/>
          </xdr14:nvContentPartPr>
          <xdr14:nvPr macro=""/>
          <xdr14:xfrm>
            <a:off x="10398932345" y="21318480"/>
            <a:ext cx="1262880" cy="4384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41910C6-537C-B65F-0343-9F51281C282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926225" y="21312360"/>
              <a:ext cx="1275120" cy="450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42:18.4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773 591 1880,'0'0'0,"0"0"0,-5-2 728,-7 1-80,9-3-224,-9 2 8,12 2-432,-4-4 424,-8 1 41,7 0-105,-7-2-40,12 5-320,-3-5 264,-9-7-40,7 7-40,-4-6-24,9 11-160,-5-6 152,0-9 48,-7 9 48,10-12 0,2 18-248,-3-15 248,-1 0-24,-1-2-16,2 0-8,3 17-200,-4-19 208,4 1-64,0-2-24,2-3-32,-2 23-88,5-23 16,9 0 8,-2-1-8,0 4-40,-12 20 24,15-21-40,2 0-16,2-1 8,0 0 0,-19 22 48,22-22-64,-1 2 64,1 2-24,0 1-8,-22 17 32,21-17-32,6 1-8,-3 2 24,2 1 16,-26 13 0,27-11 48,-1 7-56,3-2-32,-3 0 8,-26 6 32,32-3-32,-8 2-8,0 1-16,-5 3-16,-19-3 72,15 13-112,-1-9-48,-9 16-112,7-2-168,-12-18 440,0 19-504,0 2 16,0 0 184,-7 5 24,7-26 280,-15 26-152,1 2 16,-6 0 16,1-2 64,19-26 56,-21 27-88,-6-3 32,-2 2-56,3-5 80,26-21 32,-27 19-32,1-2 16,-3-6 24,0 0 16,29-11-24,-24 3 48,2 1-24,6-1 8,1-3-16,15 0-16,-14 0-16,9-4 24,-2-9 72,2 9 16,5 4-96,-5-16 152,3 5 48,2 0-40,0-2 24,0 13-184,0-14 176,12-1 0,-12 1-40,5 1-48,-5 13-88,12-11 40,-10 5-16,3 1-32,4-1-8,-9 6 16,0-3 48,5 2-72,-2 1-24,-1 0-8,-2 0 56,2 11-56,1-7-56,-3 16 48,0-3-40,0-17 104,0 20-192,-3 1 80,-9 1-8,-2-4 0,14-18 120,-12 19-72,-5-2 32,0-2 8,-2 1 32,19-16 0,-22 13-8,-2-9 8,0 12-24,-2-13 16,26-3 8,-29 2 56,2 1-56,3-3 16,5-3 24,19 3-40,-21-5 8,4-7 16,2 8 32,3-10-24,12 14-32,-7-6 8,-5-9 48,7 9-8,3-7-16,2 13-32,-7-4 24,4-9 16,-2 12 16,1-4-24,4 5-32,-3-2 24,3 0 8,0 1-96,-2 1 72,2 0-8,0 0 24,0 0-32,-5 11-8,0 2 24,5-13-8,-12 17 16,7 4-40,-9 3 8,-3 3 16,17-27 0,-14 27-16,-8 2 8,3-4 16,-3 0-32,22-25 24,-22 21-48,-2-1 32,3 0-16,1-5 16,20-15 16,-19 16-32,2-3 32,1-9-16,-1 10 8,17-14 8,-15 0 0,1 3-32,2-3 16,0 0-16,12 0 32,-12-3-56,0-8-16,-3 7 24,3-9-80,12 13 128,-12-12-384,0 7-825,-9 1-1039,21 4 2248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42:19.0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922 210 2264,'0'0'0,"-5"0"1688,1 0-1264,-8 0-192,12 0-232,0 12 48,0-12-56,0 11-16,7 2-16,-7-13 40,3 15-16,-3 5-24,0 3 16,5-1-8,-5-22 32,0 27-48,0 1 16,-5 4-16,-12 2 8,17-34 40,-18 39-48,-10 5-16,-7 3 8,-7 3-8,42-50 64,-54 52-24,2 0 8,-11 3 16,-2-2 32,65-53-32,-65 52 32,-1-5-32,1-1 16,4-3-32,61-43 16,-60 40-8,4-1 24,11-5-24,8-4-8,37-30 16,-33 25 8,8-7-16,11-7 0,10-8 32,4-3-24,-5 3 16,5-3 56,7-2 56,9-11 32,-16 13-160,25-14 128,8-11-39,14-11-57,11-8-16,-58 44-16,68-55 0,16-4 0,10-8-8,10-5-8,-104 72 16,120-79 8,3 1-8,8-3 16,13 2 8,-144 79-24,151-73 24,6 6 16,6 3-32,0 4 8,-163 60-16,161-55-32,3 7 0,-8 6 24,1 8-64,-157 34 72,149-27-8,-7 4-17,-9 6-31,-14 13 24,-119 4 32,112-11-104,-9 11-80,-10 3-296,-12 8-112,-81-11 592,73 11-1040,-3-8-624,-70-3 1664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6"/>
  <sheetViews>
    <sheetView rightToLeft="1" tabSelected="1" view="pageBreakPreview" zoomScale="130" zoomScaleNormal="100" zoomScaleSheetLayoutView="130" workbookViewId="0">
      <selection activeCell="B5" sqref="B5:D6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39" t="s">
        <v>180</v>
      </c>
      <c r="C1" s="39"/>
      <c r="D1" s="39"/>
      <c r="E1" s="39"/>
      <c r="F1" s="39"/>
      <c r="G1" s="39"/>
      <c r="H1" s="39"/>
      <c r="I1" s="39"/>
      <c r="J1" s="39"/>
    </row>
    <row r="2" spans="1:10" ht="30" customHeight="1" x14ac:dyDescent="0.3">
      <c r="B2" s="12" t="s">
        <v>8</v>
      </c>
      <c r="C2" s="45" t="s">
        <v>33</v>
      </c>
      <c r="D2" s="45"/>
      <c r="E2" s="12" t="s">
        <v>7</v>
      </c>
      <c r="F2" s="40">
        <v>45931</v>
      </c>
      <c r="G2" s="40"/>
      <c r="H2" s="40"/>
      <c r="I2" s="40"/>
      <c r="J2" s="40"/>
    </row>
    <row r="3" spans="1:10" ht="30" customHeight="1" x14ac:dyDescent="0.3">
      <c r="B3" s="12" t="s">
        <v>9</v>
      </c>
      <c r="C3" s="45" t="s">
        <v>60</v>
      </c>
      <c r="D3" s="45"/>
      <c r="E3" s="12" t="s">
        <v>6</v>
      </c>
      <c r="F3" s="45" t="s">
        <v>120</v>
      </c>
      <c r="G3" s="45"/>
      <c r="H3" s="45"/>
      <c r="I3" s="45"/>
      <c r="J3" s="45"/>
    </row>
    <row r="4" spans="1:10" ht="30" customHeight="1" thickBot="1" x14ac:dyDescent="0.35">
      <c r="B4" s="6"/>
      <c r="C4" s="7"/>
      <c r="D4" s="7" t="s">
        <v>225</v>
      </c>
      <c r="E4" s="6"/>
      <c r="F4" s="7"/>
      <c r="G4" s="7"/>
      <c r="H4" s="8"/>
      <c r="I4" s="7"/>
      <c r="J4" s="7"/>
    </row>
    <row r="5" spans="1:10" ht="24.9" customHeight="1" x14ac:dyDescent="0.3">
      <c r="A5" s="10"/>
      <c r="B5" s="41" t="s">
        <v>0</v>
      </c>
      <c r="C5" s="42"/>
      <c r="D5" s="42"/>
      <c r="E5" s="56" t="s">
        <v>1</v>
      </c>
      <c r="F5" s="56"/>
      <c r="G5" s="56"/>
      <c r="H5" s="56"/>
      <c r="I5" s="56" t="s">
        <v>2</v>
      </c>
      <c r="J5" s="57"/>
    </row>
    <row r="6" spans="1:10" ht="24.9" customHeight="1" thickBot="1" x14ac:dyDescent="0.35">
      <c r="A6" s="10"/>
      <c r="B6" s="43"/>
      <c r="C6" s="44"/>
      <c r="D6" s="44"/>
      <c r="E6" s="11" t="s">
        <v>3</v>
      </c>
      <c r="F6" s="11" t="s">
        <v>4</v>
      </c>
      <c r="G6" s="11" t="s">
        <v>23</v>
      </c>
      <c r="H6" s="11" t="s">
        <v>24</v>
      </c>
      <c r="I6" s="58"/>
      <c r="J6" s="59"/>
    </row>
    <row r="7" spans="1:10" ht="24.9" customHeight="1" thickBot="1" x14ac:dyDescent="0.35">
      <c r="A7" s="10"/>
      <c r="B7" s="48" t="s">
        <v>21</v>
      </c>
      <c r="C7" s="49"/>
      <c r="D7" s="49"/>
      <c r="E7" s="28" t="s">
        <v>18</v>
      </c>
      <c r="F7" s="28" t="s">
        <v>19</v>
      </c>
      <c r="G7" s="28" t="s">
        <v>22</v>
      </c>
      <c r="H7" s="28" t="s">
        <v>20</v>
      </c>
      <c r="I7" s="60" t="s">
        <v>25</v>
      </c>
      <c r="J7" s="61"/>
    </row>
    <row r="8" spans="1:10" ht="30" customHeight="1" x14ac:dyDescent="0.3">
      <c r="A8" s="10"/>
      <c r="B8" s="75" t="s">
        <v>181</v>
      </c>
      <c r="C8" s="76"/>
      <c r="D8" s="76"/>
      <c r="E8" s="32"/>
      <c r="F8" s="33"/>
      <c r="G8" s="34"/>
      <c r="H8" s="35"/>
      <c r="I8" s="52"/>
      <c r="J8" s="53"/>
    </row>
    <row r="9" spans="1:10" ht="30" customHeight="1" x14ac:dyDescent="0.3">
      <c r="A9" s="10"/>
      <c r="B9" s="77" t="s">
        <v>182</v>
      </c>
      <c r="C9" s="78"/>
      <c r="D9" s="78"/>
      <c r="E9" s="29">
        <v>5</v>
      </c>
      <c r="F9" s="26">
        <v>3.5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4"/>
      <c r="J9" s="55"/>
    </row>
    <row r="10" spans="1:10" ht="30" customHeight="1" x14ac:dyDescent="0.3">
      <c r="A10" s="10"/>
      <c r="B10" s="77" t="s">
        <v>183</v>
      </c>
      <c r="C10" s="78"/>
      <c r="D10" s="78"/>
      <c r="E10" s="29">
        <v>5</v>
      </c>
      <c r="F10" s="26">
        <v>3.75</v>
      </c>
      <c r="G10" s="30">
        <f t="shared" ref="G10:G51" si="0">IFERROR(F10/E10,"")</f>
        <v>0.75</v>
      </c>
      <c r="H10" s="31" t="str">
        <f t="shared" ref="H10:H51" si="1">_xlfn.IFS(F10="أدخل العلامة","",F10="لا ينطبق","تم الإلغاء",G10&gt;=90%,"ممتاز",G10&gt;=80%,"جيد جداً",G10&gt;=70%,"جيد",G10&gt;=60%,"مقبول",G10&lt;60%,"راسب")</f>
        <v>جيد</v>
      </c>
      <c r="I10" s="54"/>
      <c r="J10" s="55"/>
    </row>
    <row r="11" spans="1:10" ht="30" customHeight="1" x14ac:dyDescent="0.3">
      <c r="A11" s="10"/>
      <c r="B11" s="77" t="s">
        <v>184</v>
      </c>
      <c r="C11" s="78"/>
      <c r="D11" s="78"/>
      <c r="E11" s="29">
        <v>5</v>
      </c>
      <c r="F11" s="26">
        <v>3.5</v>
      </c>
      <c r="G11" s="30">
        <f t="shared" si="0"/>
        <v>0.7</v>
      </c>
      <c r="H11" s="31" t="str">
        <f t="shared" si="1"/>
        <v>جيد</v>
      </c>
      <c r="I11" s="54"/>
      <c r="J11" s="55"/>
    </row>
    <row r="12" spans="1:10" ht="30" customHeight="1" thickBot="1" x14ac:dyDescent="0.35">
      <c r="A12" s="10"/>
      <c r="B12" s="73" t="s">
        <v>185</v>
      </c>
      <c r="C12" s="74"/>
      <c r="D12" s="74"/>
      <c r="E12" s="36">
        <v>5</v>
      </c>
      <c r="F12" s="27">
        <v>3.5</v>
      </c>
      <c r="G12" s="37">
        <f t="shared" si="0"/>
        <v>0.7</v>
      </c>
      <c r="H12" s="38" t="str">
        <f t="shared" si="1"/>
        <v>جيد</v>
      </c>
      <c r="I12" s="50"/>
      <c r="J12" s="51"/>
    </row>
    <row r="13" spans="1:10" ht="30" customHeight="1" x14ac:dyDescent="0.3">
      <c r="A13" s="10"/>
      <c r="B13" s="75" t="s">
        <v>186</v>
      </c>
      <c r="C13" s="76"/>
      <c r="D13" s="76"/>
      <c r="E13" s="32"/>
      <c r="F13" s="33"/>
      <c r="G13" s="34"/>
      <c r="H13" s="35"/>
      <c r="I13" s="52"/>
      <c r="J13" s="53"/>
    </row>
    <row r="14" spans="1:10" ht="30" customHeight="1" x14ac:dyDescent="0.3">
      <c r="A14" s="10"/>
      <c r="B14" s="77" t="s">
        <v>187</v>
      </c>
      <c r="C14" s="78"/>
      <c r="D14" s="78"/>
      <c r="E14" s="29">
        <v>5</v>
      </c>
      <c r="F14" s="26">
        <v>3.75</v>
      </c>
      <c r="G14" s="30">
        <f t="shared" si="0"/>
        <v>0.75</v>
      </c>
      <c r="H14" s="31" t="str">
        <f t="shared" si="1"/>
        <v>جيد</v>
      </c>
      <c r="I14" s="54"/>
      <c r="J14" s="55"/>
    </row>
    <row r="15" spans="1:10" ht="30" customHeight="1" x14ac:dyDescent="0.3">
      <c r="A15" s="10"/>
      <c r="B15" s="77" t="s">
        <v>188</v>
      </c>
      <c r="C15" s="78"/>
      <c r="D15" s="78"/>
      <c r="E15" s="29">
        <v>5</v>
      </c>
      <c r="F15" s="26">
        <v>3.5</v>
      </c>
      <c r="G15" s="30">
        <f t="shared" si="0"/>
        <v>0.7</v>
      </c>
      <c r="H15" s="31" t="str">
        <f t="shared" si="1"/>
        <v>جيد</v>
      </c>
      <c r="I15" s="54"/>
      <c r="J15" s="55"/>
    </row>
    <row r="16" spans="1:10" ht="30" customHeight="1" x14ac:dyDescent="0.3">
      <c r="A16" s="10"/>
      <c r="B16" s="77" t="s">
        <v>189</v>
      </c>
      <c r="C16" s="78"/>
      <c r="D16" s="78"/>
      <c r="E16" s="29">
        <v>5</v>
      </c>
      <c r="F16" s="26">
        <v>3.75</v>
      </c>
      <c r="G16" s="30">
        <f t="shared" si="0"/>
        <v>0.75</v>
      </c>
      <c r="H16" s="31" t="str">
        <f t="shared" si="1"/>
        <v>جيد</v>
      </c>
      <c r="I16" s="54"/>
      <c r="J16" s="55"/>
    </row>
    <row r="17" spans="1:10" ht="30" customHeight="1" x14ac:dyDescent="0.3">
      <c r="A17" s="10"/>
      <c r="B17" s="77" t="s">
        <v>190</v>
      </c>
      <c r="C17" s="78"/>
      <c r="D17" s="78"/>
      <c r="E17" s="29">
        <v>5</v>
      </c>
      <c r="F17" s="26">
        <v>3.5</v>
      </c>
      <c r="G17" s="30">
        <f t="shared" si="0"/>
        <v>0.7</v>
      </c>
      <c r="H17" s="31" t="str">
        <f t="shared" si="1"/>
        <v>جيد</v>
      </c>
      <c r="I17" s="54"/>
      <c r="J17" s="55"/>
    </row>
    <row r="18" spans="1:10" ht="30" customHeight="1" x14ac:dyDescent="0.3">
      <c r="A18" s="10"/>
      <c r="B18" s="77" t="s">
        <v>191</v>
      </c>
      <c r="C18" s="78"/>
      <c r="D18" s="78"/>
      <c r="E18" s="29">
        <v>5</v>
      </c>
      <c r="F18" s="26">
        <v>3.75</v>
      </c>
      <c r="G18" s="30">
        <f t="shared" si="0"/>
        <v>0.75</v>
      </c>
      <c r="H18" s="31" t="str">
        <f t="shared" si="1"/>
        <v>جيد</v>
      </c>
      <c r="I18" s="54"/>
      <c r="J18" s="55"/>
    </row>
    <row r="19" spans="1:10" ht="30" customHeight="1" x14ac:dyDescent="0.3">
      <c r="A19" s="10"/>
      <c r="B19" s="77" t="s">
        <v>192</v>
      </c>
      <c r="C19" s="78"/>
      <c r="D19" s="78"/>
      <c r="E19" s="29">
        <v>5</v>
      </c>
      <c r="F19" s="26">
        <v>3.5</v>
      </c>
      <c r="G19" s="30">
        <f t="shared" si="0"/>
        <v>0.7</v>
      </c>
      <c r="H19" s="31" t="str">
        <f t="shared" si="1"/>
        <v>جيد</v>
      </c>
      <c r="I19" s="54"/>
      <c r="J19" s="55"/>
    </row>
    <row r="20" spans="1:10" ht="30" customHeight="1" x14ac:dyDescent="0.3">
      <c r="A20" s="10"/>
      <c r="B20" s="77" t="s">
        <v>193</v>
      </c>
      <c r="C20" s="78"/>
      <c r="D20" s="78"/>
      <c r="E20" s="29">
        <v>5</v>
      </c>
      <c r="F20" s="26">
        <v>3.75</v>
      </c>
      <c r="G20" s="30">
        <f t="shared" si="0"/>
        <v>0.75</v>
      </c>
      <c r="H20" s="31" t="str">
        <f t="shared" si="1"/>
        <v>جيد</v>
      </c>
      <c r="I20" s="54"/>
      <c r="J20" s="55"/>
    </row>
    <row r="21" spans="1:10" ht="30" customHeight="1" x14ac:dyDescent="0.3">
      <c r="A21" s="10"/>
      <c r="B21" s="77" t="s">
        <v>194</v>
      </c>
      <c r="C21" s="78"/>
      <c r="D21" s="78"/>
      <c r="E21" s="29">
        <v>5</v>
      </c>
      <c r="F21" s="26">
        <v>3.5</v>
      </c>
      <c r="G21" s="30">
        <f t="shared" si="0"/>
        <v>0.7</v>
      </c>
      <c r="H21" s="31" t="str">
        <f t="shared" si="1"/>
        <v>جيد</v>
      </c>
      <c r="I21" s="54"/>
      <c r="J21" s="55"/>
    </row>
    <row r="22" spans="1:10" ht="30" customHeight="1" x14ac:dyDescent="0.3">
      <c r="A22" s="10"/>
      <c r="B22" s="77" t="s">
        <v>195</v>
      </c>
      <c r="C22" s="78"/>
      <c r="D22" s="78"/>
      <c r="E22" s="29">
        <v>5</v>
      </c>
      <c r="F22" s="26">
        <v>3.5</v>
      </c>
      <c r="G22" s="30">
        <f t="shared" si="0"/>
        <v>0.7</v>
      </c>
      <c r="H22" s="31" t="str">
        <f t="shared" si="1"/>
        <v>جيد</v>
      </c>
      <c r="I22" s="54"/>
      <c r="J22" s="55"/>
    </row>
    <row r="23" spans="1:10" ht="30" customHeight="1" x14ac:dyDescent="0.3">
      <c r="A23" s="10"/>
      <c r="B23" s="77" t="s">
        <v>196</v>
      </c>
      <c r="C23" s="78"/>
      <c r="D23" s="78"/>
      <c r="E23" s="29">
        <v>5</v>
      </c>
      <c r="F23" s="26">
        <v>3.75</v>
      </c>
      <c r="G23" s="30">
        <f t="shared" si="0"/>
        <v>0.75</v>
      </c>
      <c r="H23" s="31" t="str">
        <f t="shared" si="1"/>
        <v>جيد</v>
      </c>
      <c r="I23" s="54"/>
      <c r="J23" s="55"/>
    </row>
    <row r="24" spans="1:10" ht="30" customHeight="1" thickBot="1" x14ac:dyDescent="0.35">
      <c r="A24" s="10"/>
      <c r="B24" s="73" t="s">
        <v>197</v>
      </c>
      <c r="C24" s="74"/>
      <c r="D24" s="74"/>
      <c r="E24" s="36">
        <v>5</v>
      </c>
      <c r="F24" s="27">
        <v>3.5</v>
      </c>
      <c r="G24" s="37">
        <f t="shared" si="0"/>
        <v>0.7</v>
      </c>
      <c r="H24" s="38" t="str">
        <f t="shared" si="1"/>
        <v>جيد</v>
      </c>
      <c r="I24" s="50"/>
      <c r="J24" s="51"/>
    </row>
    <row r="25" spans="1:10" ht="30" customHeight="1" x14ac:dyDescent="0.3">
      <c r="A25" s="10"/>
      <c r="B25" s="75" t="s">
        <v>198</v>
      </c>
      <c r="C25" s="76"/>
      <c r="D25" s="76"/>
      <c r="E25" s="32"/>
      <c r="F25" s="33"/>
      <c r="G25" s="34"/>
      <c r="H25" s="35"/>
      <c r="I25" s="52"/>
      <c r="J25" s="53"/>
    </row>
    <row r="26" spans="1:10" ht="30" customHeight="1" x14ac:dyDescent="0.3">
      <c r="A26" s="10"/>
      <c r="B26" s="77" t="s">
        <v>199</v>
      </c>
      <c r="C26" s="78"/>
      <c r="D26" s="78"/>
      <c r="E26" s="29">
        <v>5</v>
      </c>
      <c r="F26" s="26">
        <v>3.75</v>
      </c>
      <c r="G26" s="30">
        <f t="shared" si="0"/>
        <v>0.75</v>
      </c>
      <c r="H26" s="31" t="str">
        <f t="shared" si="1"/>
        <v>جيد</v>
      </c>
      <c r="I26" s="54"/>
      <c r="J26" s="55"/>
    </row>
    <row r="27" spans="1:10" ht="30" customHeight="1" x14ac:dyDescent="0.3">
      <c r="A27" s="10"/>
      <c r="B27" s="77" t="s">
        <v>200</v>
      </c>
      <c r="C27" s="78"/>
      <c r="D27" s="78"/>
      <c r="E27" s="29">
        <v>5</v>
      </c>
      <c r="F27" s="26">
        <v>3.5</v>
      </c>
      <c r="G27" s="30">
        <f t="shared" si="0"/>
        <v>0.7</v>
      </c>
      <c r="H27" s="31" t="str">
        <f t="shared" si="1"/>
        <v>جيد</v>
      </c>
      <c r="I27" s="54"/>
      <c r="J27" s="55"/>
    </row>
    <row r="28" spans="1:10" ht="30" customHeight="1" x14ac:dyDescent="0.3">
      <c r="A28" s="10"/>
      <c r="B28" s="77" t="s">
        <v>201</v>
      </c>
      <c r="C28" s="78"/>
      <c r="D28" s="78"/>
      <c r="E28" s="29">
        <v>5</v>
      </c>
      <c r="F28" s="26">
        <v>3.75</v>
      </c>
      <c r="G28" s="30">
        <f t="shared" si="0"/>
        <v>0.75</v>
      </c>
      <c r="H28" s="31" t="str">
        <f t="shared" si="1"/>
        <v>جيد</v>
      </c>
      <c r="I28" s="54"/>
      <c r="J28" s="55"/>
    </row>
    <row r="29" spans="1:10" ht="30" customHeight="1" x14ac:dyDescent="0.3">
      <c r="A29" s="10"/>
      <c r="B29" s="77" t="s">
        <v>202</v>
      </c>
      <c r="C29" s="78"/>
      <c r="D29" s="78"/>
      <c r="E29" s="29">
        <v>5</v>
      </c>
      <c r="F29" s="26">
        <v>3.75</v>
      </c>
      <c r="G29" s="30">
        <f t="shared" si="0"/>
        <v>0.75</v>
      </c>
      <c r="H29" s="31" t="str">
        <f t="shared" si="1"/>
        <v>جيد</v>
      </c>
      <c r="I29" s="54"/>
      <c r="J29" s="55"/>
    </row>
    <row r="30" spans="1:10" ht="30" customHeight="1" x14ac:dyDescent="0.3">
      <c r="A30" s="10"/>
      <c r="B30" s="77" t="s">
        <v>203</v>
      </c>
      <c r="C30" s="78"/>
      <c r="D30" s="78"/>
      <c r="E30" s="29">
        <v>5</v>
      </c>
      <c r="F30" s="26">
        <v>3.5</v>
      </c>
      <c r="G30" s="30">
        <f t="shared" si="0"/>
        <v>0.7</v>
      </c>
      <c r="H30" s="31" t="str">
        <f t="shared" si="1"/>
        <v>جيد</v>
      </c>
      <c r="I30" s="54"/>
      <c r="J30" s="55"/>
    </row>
    <row r="31" spans="1:10" ht="30" customHeight="1" x14ac:dyDescent="0.3">
      <c r="A31" s="10"/>
      <c r="B31" s="77" t="s">
        <v>204</v>
      </c>
      <c r="C31" s="78"/>
      <c r="D31" s="78"/>
      <c r="E31" s="29">
        <v>5</v>
      </c>
      <c r="F31" s="26">
        <v>3.75</v>
      </c>
      <c r="G31" s="30">
        <f t="shared" si="0"/>
        <v>0.75</v>
      </c>
      <c r="H31" s="31" t="str">
        <f t="shared" si="1"/>
        <v>جيد</v>
      </c>
      <c r="I31" s="54"/>
      <c r="J31" s="55"/>
    </row>
    <row r="32" spans="1:10" ht="30" customHeight="1" x14ac:dyDescent="0.3">
      <c r="A32" s="10"/>
      <c r="B32" s="77" t="s">
        <v>205</v>
      </c>
      <c r="C32" s="78"/>
      <c r="D32" s="78"/>
      <c r="E32" s="29">
        <v>5</v>
      </c>
      <c r="F32" s="26">
        <v>3.75</v>
      </c>
      <c r="G32" s="30">
        <f t="shared" si="0"/>
        <v>0.75</v>
      </c>
      <c r="H32" s="31" t="str">
        <f t="shared" si="1"/>
        <v>جيد</v>
      </c>
      <c r="I32" s="54"/>
      <c r="J32" s="55"/>
    </row>
    <row r="33" spans="1:10" ht="30" customHeight="1" x14ac:dyDescent="0.3">
      <c r="A33" s="10"/>
      <c r="B33" s="77" t="s">
        <v>206</v>
      </c>
      <c r="C33" s="78"/>
      <c r="D33" s="78"/>
      <c r="E33" s="29">
        <v>5</v>
      </c>
      <c r="F33" s="26">
        <v>3.75</v>
      </c>
      <c r="G33" s="30">
        <f t="shared" si="0"/>
        <v>0.75</v>
      </c>
      <c r="H33" s="31" t="str">
        <f t="shared" si="1"/>
        <v>جيد</v>
      </c>
      <c r="I33" s="54"/>
      <c r="J33" s="55"/>
    </row>
    <row r="34" spans="1:10" ht="30" customHeight="1" x14ac:dyDescent="0.3">
      <c r="A34" s="10"/>
      <c r="B34" s="77" t="s">
        <v>207</v>
      </c>
      <c r="C34" s="78"/>
      <c r="D34" s="78"/>
      <c r="E34" s="29">
        <v>5</v>
      </c>
      <c r="F34" s="26">
        <v>3.5</v>
      </c>
      <c r="G34" s="30">
        <f t="shared" si="0"/>
        <v>0.7</v>
      </c>
      <c r="H34" s="31" t="str">
        <f t="shared" si="1"/>
        <v>جيد</v>
      </c>
      <c r="I34" s="54"/>
      <c r="J34" s="55"/>
    </row>
    <row r="35" spans="1:10" ht="30" customHeight="1" x14ac:dyDescent="0.3">
      <c r="A35" s="10"/>
      <c r="B35" s="77" t="s">
        <v>208</v>
      </c>
      <c r="C35" s="78"/>
      <c r="D35" s="78"/>
      <c r="E35" s="29">
        <v>5</v>
      </c>
      <c r="F35" s="26">
        <v>3.5</v>
      </c>
      <c r="G35" s="30">
        <f t="shared" si="0"/>
        <v>0.7</v>
      </c>
      <c r="H35" s="31" t="str">
        <f t="shared" si="1"/>
        <v>جيد</v>
      </c>
      <c r="I35" s="54"/>
      <c r="J35" s="55"/>
    </row>
    <row r="36" spans="1:10" ht="30" customHeight="1" x14ac:dyDescent="0.3">
      <c r="A36" s="10"/>
      <c r="B36" s="77" t="s">
        <v>209</v>
      </c>
      <c r="C36" s="78"/>
      <c r="D36" s="78"/>
      <c r="E36" s="29">
        <v>5</v>
      </c>
      <c r="F36" s="26">
        <v>3.5</v>
      </c>
      <c r="G36" s="30">
        <f t="shared" si="0"/>
        <v>0.7</v>
      </c>
      <c r="H36" s="31" t="str">
        <f t="shared" si="1"/>
        <v>جيد</v>
      </c>
      <c r="I36" s="54"/>
      <c r="J36" s="55"/>
    </row>
    <row r="37" spans="1:10" ht="30" customHeight="1" x14ac:dyDescent="0.3">
      <c r="A37" s="10"/>
      <c r="B37" s="77" t="s">
        <v>210</v>
      </c>
      <c r="C37" s="78"/>
      <c r="D37" s="78"/>
      <c r="E37" s="29">
        <v>5</v>
      </c>
      <c r="F37" s="26">
        <v>3.5</v>
      </c>
      <c r="G37" s="30">
        <f t="shared" si="0"/>
        <v>0.7</v>
      </c>
      <c r="H37" s="31" t="str">
        <f t="shared" si="1"/>
        <v>جيد</v>
      </c>
      <c r="I37" s="54"/>
      <c r="J37" s="55"/>
    </row>
    <row r="38" spans="1:10" ht="30" customHeight="1" thickBot="1" x14ac:dyDescent="0.35">
      <c r="A38" s="10"/>
      <c r="B38" s="73" t="s">
        <v>211</v>
      </c>
      <c r="C38" s="74"/>
      <c r="D38" s="74"/>
      <c r="E38" s="36">
        <v>5</v>
      </c>
      <c r="F38" s="27">
        <v>3.75</v>
      </c>
      <c r="G38" s="37">
        <f t="shared" si="0"/>
        <v>0.75</v>
      </c>
      <c r="H38" s="38" t="str">
        <f t="shared" si="1"/>
        <v>جيد</v>
      </c>
      <c r="I38" s="50"/>
      <c r="J38" s="51"/>
    </row>
    <row r="39" spans="1:10" ht="30" customHeight="1" x14ac:dyDescent="0.3">
      <c r="A39" s="10"/>
      <c r="B39" s="75" t="s">
        <v>212</v>
      </c>
      <c r="C39" s="76"/>
      <c r="D39" s="76"/>
      <c r="E39" s="32"/>
      <c r="F39" s="33"/>
      <c r="G39" s="34"/>
      <c r="H39" s="35"/>
      <c r="I39" s="52"/>
      <c r="J39" s="53"/>
    </row>
    <row r="40" spans="1:10" ht="30" customHeight="1" x14ac:dyDescent="0.3">
      <c r="A40" s="10"/>
      <c r="B40" s="77" t="s">
        <v>213</v>
      </c>
      <c r="C40" s="78"/>
      <c r="D40" s="78"/>
      <c r="E40" s="29">
        <v>5</v>
      </c>
      <c r="F40" s="26">
        <v>3.5</v>
      </c>
      <c r="G40" s="30">
        <f t="shared" si="0"/>
        <v>0.7</v>
      </c>
      <c r="H40" s="31" t="str">
        <f t="shared" si="1"/>
        <v>جيد</v>
      </c>
      <c r="I40" s="54"/>
      <c r="J40" s="55"/>
    </row>
    <row r="41" spans="1:10" ht="30" customHeight="1" x14ac:dyDescent="0.3">
      <c r="A41" s="10"/>
      <c r="B41" s="77" t="s">
        <v>214</v>
      </c>
      <c r="C41" s="78"/>
      <c r="D41" s="78"/>
      <c r="E41" s="29">
        <v>5</v>
      </c>
      <c r="F41" s="26">
        <v>3.75</v>
      </c>
      <c r="G41" s="30">
        <f t="shared" si="0"/>
        <v>0.75</v>
      </c>
      <c r="H41" s="31" t="str">
        <f t="shared" si="1"/>
        <v>جيد</v>
      </c>
      <c r="I41" s="54"/>
      <c r="J41" s="55"/>
    </row>
    <row r="42" spans="1:10" ht="30" customHeight="1" x14ac:dyDescent="0.3">
      <c r="A42" s="10"/>
      <c r="B42" s="77" t="s">
        <v>215</v>
      </c>
      <c r="C42" s="78"/>
      <c r="D42" s="78"/>
      <c r="E42" s="29">
        <v>5</v>
      </c>
      <c r="F42" s="26">
        <v>3.5</v>
      </c>
      <c r="G42" s="30">
        <f t="shared" si="0"/>
        <v>0.7</v>
      </c>
      <c r="H42" s="31" t="str">
        <f t="shared" si="1"/>
        <v>جيد</v>
      </c>
      <c r="I42" s="54"/>
      <c r="J42" s="55"/>
    </row>
    <row r="43" spans="1:10" ht="30" customHeight="1" x14ac:dyDescent="0.3">
      <c r="A43" s="10"/>
      <c r="B43" s="77" t="s">
        <v>216</v>
      </c>
      <c r="C43" s="78"/>
      <c r="D43" s="78"/>
      <c r="E43" s="29">
        <v>5</v>
      </c>
      <c r="F43" s="26">
        <v>3.5</v>
      </c>
      <c r="G43" s="30">
        <f t="shared" si="0"/>
        <v>0.7</v>
      </c>
      <c r="H43" s="31" t="str">
        <f t="shared" si="1"/>
        <v>جيد</v>
      </c>
      <c r="I43" s="54"/>
      <c r="J43" s="55"/>
    </row>
    <row r="44" spans="1:10" ht="30" customHeight="1" x14ac:dyDescent="0.3">
      <c r="A44" s="10"/>
      <c r="B44" s="77" t="s">
        <v>217</v>
      </c>
      <c r="C44" s="78"/>
      <c r="D44" s="78"/>
      <c r="E44" s="29">
        <v>5</v>
      </c>
      <c r="F44" s="26">
        <v>3.5</v>
      </c>
      <c r="G44" s="30">
        <f t="shared" si="0"/>
        <v>0.7</v>
      </c>
      <c r="H44" s="31" t="str">
        <f t="shared" si="1"/>
        <v>جيد</v>
      </c>
      <c r="I44" s="54"/>
      <c r="J44" s="55"/>
    </row>
    <row r="45" spans="1:10" ht="30" customHeight="1" x14ac:dyDescent="0.3">
      <c r="A45" s="10"/>
      <c r="B45" s="77" t="s">
        <v>218</v>
      </c>
      <c r="C45" s="78"/>
      <c r="D45" s="78"/>
      <c r="E45" s="29">
        <v>5</v>
      </c>
      <c r="F45" s="26">
        <v>3.75</v>
      </c>
      <c r="G45" s="30">
        <f t="shared" si="0"/>
        <v>0.75</v>
      </c>
      <c r="H45" s="31" t="str">
        <f t="shared" si="1"/>
        <v>جيد</v>
      </c>
      <c r="I45" s="54"/>
      <c r="J45" s="55"/>
    </row>
    <row r="46" spans="1:10" ht="30" customHeight="1" thickBot="1" x14ac:dyDescent="0.35">
      <c r="A46" s="10"/>
      <c r="B46" s="73" t="s">
        <v>219</v>
      </c>
      <c r="C46" s="74"/>
      <c r="D46" s="74"/>
      <c r="E46" s="36">
        <v>5</v>
      </c>
      <c r="F46" s="27">
        <v>3.75</v>
      </c>
      <c r="G46" s="37">
        <f t="shared" si="0"/>
        <v>0.75</v>
      </c>
      <c r="H46" s="38" t="str">
        <f t="shared" si="1"/>
        <v>جيد</v>
      </c>
      <c r="I46" s="50"/>
      <c r="J46" s="51"/>
    </row>
    <row r="47" spans="1:10" ht="30" customHeight="1" x14ac:dyDescent="0.3">
      <c r="A47" s="10"/>
      <c r="B47" s="75" t="s">
        <v>220</v>
      </c>
      <c r="C47" s="76"/>
      <c r="D47" s="76"/>
      <c r="E47" s="32"/>
      <c r="F47" s="33"/>
      <c r="G47" s="34"/>
      <c r="H47" s="35"/>
      <c r="I47" s="52"/>
      <c r="J47" s="53"/>
    </row>
    <row r="48" spans="1:10" ht="30" customHeight="1" x14ac:dyDescent="0.3">
      <c r="A48" s="10"/>
      <c r="B48" s="77" t="s">
        <v>221</v>
      </c>
      <c r="C48" s="78"/>
      <c r="D48" s="78"/>
      <c r="E48" s="29">
        <v>5</v>
      </c>
      <c r="F48" s="26">
        <v>3.75</v>
      </c>
      <c r="G48" s="30">
        <f t="shared" si="0"/>
        <v>0.75</v>
      </c>
      <c r="H48" s="31" t="str">
        <f t="shared" si="1"/>
        <v>جيد</v>
      </c>
      <c r="I48" s="54"/>
      <c r="J48" s="55"/>
    </row>
    <row r="49" spans="1:10" ht="30" customHeight="1" x14ac:dyDescent="0.3">
      <c r="A49" s="10"/>
      <c r="B49" s="77" t="s">
        <v>222</v>
      </c>
      <c r="C49" s="78"/>
      <c r="D49" s="78"/>
      <c r="E49" s="29">
        <v>5</v>
      </c>
      <c r="F49" s="26">
        <v>3.75</v>
      </c>
      <c r="G49" s="30">
        <f t="shared" si="0"/>
        <v>0.75</v>
      </c>
      <c r="H49" s="31" t="str">
        <f t="shared" si="1"/>
        <v>جيد</v>
      </c>
      <c r="I49" s="54"/>
      <c r="J49" s="55"/>
    </row>
    <row r="50" spans="1:10" ht="30" customHeight="1" x14ac:dyDescent="0.3">
      <c r="A50" s="10"/>
      <c r="B50" s="77" t="s">
        <v>223</v>
      </c>
      <c r="C50" s="78"/>
      <c r="D50" s="78"/>
      <c r="E50" s="29">
        <v>5</v>
      </c>
      <c r="F50" s="26">
        <v>3.5</v>
      </c>
      <c r="G50" s="30">
        <f t="shared" si="0"/>
        <v>0.7</v>
      </c>
      <c r="H50" s="31" t="str">
        <f t="shared" si="1"/>
        <v>جيد</v>
      </c>
      <c r="I50" s="54"/>
      <c r="J50" s="55"/>
    </row>
    <row r="51" spans="1:10" ht="30" customHeight="1" thickBot="1" x14ac:dyDescent="0.35">
      <c r="A51" s="10"/>
      <c r="B51" s="73" t="s">
        <v>224</v>
      </c>
      <c r="C51" s="74"/>
      <c r="D51" s="74"/>
      <c r="E51" s="36">
        <v>5</v>
      </c>
      <c r="F51" s="27">
        <v>3.5</v>
      </c>
      <c r="G51" s="37">
        <f t="shared" si="0"/>
        <v>0.7</v>
      </c>
      <c r="H51" s="38" t="str">
        <f t="shared" si="1"/>
        <v>جيد</v>
      </c>
      <c r="I51" s="50"/>
      <c r="J51" s="51"/>
    </row>
    <row r="52" spans="1:10" ht="30" customHeight="1" thickBot="1" x14ac:dyDescent="0.35">
      <c r="A52" s="4"/>
      <c r="B52" s="79" t="s">
        <v>5</v>
      </c>
      <c r="C52" s="80"/>
      <c r="D52" s="80"/>
      <c r="E52" s="9">
        <f>SUM(E8:E51)</f>
        <v>195</v>
      </c>
      <c r="F52" s="9">
        <f>SUM(F8:F51)</f>
        <v>141</v>
      </c>
      <c r="G52" s="70"/>
      <c r="H52" s="71"/>
      <c r="I52" s="71"/>
      <c r="J52" s="72"/>
    </row>
    <row r="53" spans="1:10" ht="30" customHeight="1" thickBot="1" x14ac:dyDescent="0.35">
      <c r="A53" s="4"/>
      <c r="B53" s="79" t="s">
        <v>54</v>
      </c>
      <c r="C53" s="80"/>
      <c r="D53" s="80"/>
      <c r="E53" s="46">
        <f>F52/E52/100*100</f>
        <v>0.72307692307692306</v>
      </c>
      <c r="F53" s="46"/>
      <c r="G53" s="46"/>
      <c r="H53" s="46"/>
      <c r="I53" s="46"/>
      <c r="J53" s="47"/>
    </row>
    <row r="54" spans="1:10" ht="30" customHeight="1" thickBot="1" x14ac:dyDescent="0.35">
      <c r="A54" s="4"/>
      <c r="B54" s="79" t="s">
        <v>55</v>
      </c>
      <c r="C54" s="80"/>
      <c r="D54" s="80"/>
      <c r="E54" s="66" t="str">
        <f>_xlfn.IFS(E53&gt;=90%,"ممتاز",E53&gt;=80%,"جيد جداً",E53&gt;=70%,"جيد",E53&gt;=60%,"مقبول",E53&lt;60%,"راسب")</f>
        <v>جيد</v>
      </c>
      <c r="F54" s="66"/>
      <c r="G54" s="66"/>
      <c r="H54" s="66"/>
      <c r="I54" s="66"/>
      <c r="J54" s="67"/>
    </row>
    <row r="55" spans="1:10" ht="42" customHeight="1" x14ac:dyDescent="0.3">
      <c r="B55" s="62" t="s">
        <v>174</v>
      </c>
      <c r="C55" s="62"/>
      <c r="D55" s="62"/>
      <c r="E55" s="68" t="s">
        <v>52</v>
      </c>
      <c r="F55" s="68"/>
      <c r="G55" s="64" t="s">
        <v>120</v>
      </c>
      <c r="H55" s="64"/>
      <c r="I55" s="64"/>
      <c r="J55" s="64"/>
    </row>
    <row r="56" spans="1:10" ht="51" customHeight="1" x14ac:dyDescent="0.3">
      <c r="A56" s="5"/>
      <c r="B56" s="63"/>
      <c r="C56" s="63"/>
      <c r="D56" s="63"/>
      <c r="E56" s="69" t="s">
        <v>53</v>
      </c>
      <c r="F56" s="69"/>
      <c r="G56" s="65"/>
      <c r="H56" s="65"/>
      <c r="I56" s="65"/>
      <c r="J56" s="6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9">
    <mergeCell ref="B51:D51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28:D28"/>
    <mergeCell ref="B29:D29"/>
    <mergeCell ref="B30:D30"/>
    <mergeCell ref="B31:D31"/>
    <mergeCell ref="B32:D32"/>
    <mergeCell ref="B33:D33"/>
    <mergeCell ref="B34:D34"/>
    <mergeCell ref="B44:D44"/>
    <mergeCell ref="B45:D45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I32:J32"/>
    <mergeCell ref="I33:J33"/>
    <mergeCell ref="I34:J34"/>
    <mergeCell ref="I35:J35"/>
    <mergeCell ref="I36:J36"/>
    <mergeCell ref="I8:J8"/>
    <mergeCell ref="B52:D52"/>
    <mergeCell ref="B53:D53"/>
    <mergeCell ref="B54:D54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55:D56"/>
    <mergeCell ref="G55:J55"/>
    <mergeCell ref="G56:J56"/>
    <mergeCell ref="E54:J54"/>
    <mergeCell ref="I40:J40"/>
    <mergeCell ref="I41:J41"/>
    <mergeCell ref="I42:J42"/>
    <mergeCell ref="I43:J43"/>
    <mergeCell ref="I44:J44"/>
    <mergeCell ref="I49:J49"/>
    <mergeCell ref="I50:J50"/>
    <mergeCell ref="I51:J51"/>
    <mergeCell ref="I45:J45"/>
    <mergeCell ref="I46:J46"/>
    <mergeCell ref="I47:J47"/>
    <mergeCell ref="I48:J48"/>
    <mergeCell ref="E55:F55"/>
    <mergeCell ref="E56:F56"/>
    <mergeCell ref="G52:J52"/>
    <mergeCell ref="B46:D46"/>
    <mergeCell ref="B47:D47"/>
    <mergeCell ref="B48:D48"/>
    <mergeCell ref="B49:D49"/>
    <mergeCell ref="B50:D50"/>
    <mergeCell ref="B1:J1"/>
    <mergeCell ref="F2:J2"/>
    <mergeCell ref="B5:D6"/>
    <mergeCell ref="C2:D2"/>
    <mergeCell ref="C3:D3"/>
    <mergeCell ref="F3:J3"/>
    <mergeCell ref="E53:J53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4">
    <cfRule type="expression" dxfId="14" priority="57">
      <formula>$E54="راسب"</formula>
    </cfRule>
  </conditionalFormatting>
  <conditionalFormatting sqref="E54:J54">
    <cfRule type="expression" dxfId="13" priority="58">
      <formula>$E54="مقبول"</formula>
    </cfRule>
    <cfRule type="expression" dxfId="12" priority="59">
      <formula>$E54="جيد"</formula>
    </cfRule>
    <cfRule type="expression" dxfId="11" priority="60">
      <formula>$E54="جيد جداً"</formula>
    </cfRule>
    <cfRule type="expression" dxfId="10" priority="61">
      <formula>$E54="ممتاز"</formula>
    </cfRule>
  </conditionalFormatting>
  <conditionalFormatting sqref="F8:F51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55:J55">
    <cfRule type="containsText" dxfId="6" priority="15" operator="containsText" text="أدخل اسم المحكم">
      <formula>NOT(ISERROR(SEARCH("أدخل اسم المحكم",G55)))</formula>
    </cfRule>
  </conditionalFormatting>
  <conditionalFormatting sqref="H8:H5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F48:F51 F40:F46 F26:F38 F14:F24 F9:F12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G55:J55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2025-10-07T15:52:04Z</dcterms:modified>
</cp:coreProperties>
</file>