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05" yWindow="-105" windowWidth="23250" windowHeight="12570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التقييم'!$A$1:$J$56</definedName>
    <definedName name="_xlnm.Print_Titles" localSheetId="0">'قائمة التقييم'!$7:$7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2" l="1"/>
  <c r="H10" i="2" s="1"/>
  <c r="G11" i="2"/>
  <c r="H11" i="2" s="1"/>
  <c r="G12" i="2"/>
  <c r="H12" i="2" s="1"/>
  <c r="G14" i="2"/>
  <c r="H14" i="2" s="1"/>
  <c r="G15" i="2"/>
  <c r="H15" i="2" s="1"/>
  <c r="G16" i="2"/>
  <c r="H16" i="2" s="1"/>
  <c r="G17" i="2"/>
  <c r="H17" i="2" s="1"/>
  <c r="G19" i="2"/>
  <c r="H19" i="2" s="1"/>
  <c r="G20" i="2"/>
  <c r="H20" i="2" s="1"/>
  <c r="G21" i="2"/>
  <c r="H21" i="2" s="1"/>
  <c r="G23" i="2"/>
  <c r="H23" i="2" s="1"/>
  <c r="G24" i="2"/>
  <c r="H24" i="2" s="1"/>
  <c r="G25" i="2"/>
  <c r="H25" i="2" s="1"/>
  <c r="G26" i="2"/>
  <c r="H26" i="2" s="1"/>
  <c r="G27" i="2"/>
  <c r="H27" i="2" s="1"/>
  <c r="G28" i="2"/>
  <c r="H28" i="2" s="1"/>
  <c r="G29" i="2"/>
  <c r="H29" i="2" s="1"/>
  <c r="G30" i="2"/>
  <c r="H30" i="2" s="1"/>
  <c r="G31" i="2"/>
  <c r="H31" i="2" s="1"/>
  <c r="G33" i="2"/>
  <c r="H33" i="2" s="1"/>
  <c r="G34" i="2"/>
  <c r="H34" i="2" s="1"/>
  <c r="G35" i="2"/>
  <c r="H35" i="2" s="1"/>
  <c r="G36" i="2"/>
  <c r="H36" i="2" s="1"/>
  <c r="G37" i="2"/>
  <c r="H37" i="2" s="1"/>
  <c r="G38" i="2"/>
  <c r="H38" i="2" s="1"/>
  <c r="G39" i="2"/>
  <c r="H39" i="2" s="1"/>
  <c r="G40" i="2"/>
  <c r="H40" i="2" s="1"/>
  <c r="G42" i="2"/>
  <c r="H42" i="2" s="1"/>
  <c r="G43" i="2"/>
  <c r="H43" i="2" s="1"/>
  <c r="G44" i="2"/>
  <c r="H44" i="2" s="1"/>
  <c r="G45" i="2"/>
  <c r="H45" i="2" s="1"/>
  <c r="G47" i="2"/>
  <c r="H47" i="2" s="1"/>
  <c r="G48" i="2"/>
  <c r="H48" i="2" s="1"/>
  <c r="G49" i="2"/>
  <c r="H49" i="2" s="1"/>
  <c r="G50" i="2"/>
  <c r="H50" i="2" s="1"/>
  <c r="G51" i="2"/>
  <c r="H51" i="2" s="1"/>
  <c r="F52" i="2" l="1"/>
  <c r="E52" i="2" l="1"/>
  <c r="E53" i="2" l="1"/>
  <c r="E54" i="2" s="1"/>
</calcChain>
</file>

<file path=xl/sharedStrings.xml><?xml version="1.0" encoding="utf-8"?>
<sst xmlns="http://schemas.openxmlformats.org/spreadsheetml/2006/main" count="109" uniqueCount="73">
  <si>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</si>
  <si>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</si>
  <si>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</si>
  <si>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</si>
  <si>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</si>
  <si>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</si>
  <si>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</si>
  <si>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</si>
  <si>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</si>
  <si>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</si>
  <si>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</si>
  <si>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</si>
  <si>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</si>
  <si>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</si>
  <si>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</si>
  <si>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</si>
  <si>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</si>
  <si>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</si>
  <si>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</si>
  <si>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</si>
  <si>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</si>
  <si>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</si>
  <si>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</si>
  <si>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</si>
  <si>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</si>
  <si>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</si>
  <si>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</si>
  <si>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 xml:space="preserve">ملاحظـــات: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</si>
  <si>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مرحلة التحضير.</t>
  </si>
  <si>
    <r>
      <t>1.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تقوم السرية بالتحضير لاحتلال منطقة التجمع كما يلي:</t>
    </r>
  </si>
  <si>
    <t>ب. إجراء التجارب خلال ساعات النهار وفي ظل ظروف الرؤية المحدودة إن أمكن.</t>
  </si>
  <si>
    <t>جـ. يصدر قائد السرية الأوامر لمعالجة أية تعديلات تطرأ على الخطة خلال التجارب وحسب الضرورة.</t>
  </si>
  <si>
    <r>
      <t>2.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تنفيذ التجارب بحيث يشمل:</t>
    </r>
  </si>
  <si>
    <t>ب. إجراءات التماس مع العدو أثناء الحركة.</t>
  </si>
  <si>
    <r>
      <t>3.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يصدر قائد السريَّة الأوامر لمعالجة أية تعديلات تطرأ على الخطة خلال التجارب وحسب الضرورة.</t>
    </r>
  </si>
  <si>
    <r>
      <t>4.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تحريك السريَّة إلى منطقة الاصطفاف المخصصة (نقطة البدء) تمهيدًا لبدء الحركة.</t>
    </r>
  </si>
  <si>
    <t>مرحلة التخطيط.</t>
  </si>
  <si>
    <r>
      <t>1.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يعمل القادة في السريَّة على فهم الموقف باستخدام كافة الوسائل المتوفرة.</t>
    </r>
  </si>
  <si>
    <r>
      <t>2.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تستلم السريَّة أمر العمليات ويتم البدء بالتخطيط للعملية.</t>
    </r>
  </si>
  <si>
    <r>
      <t>3.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يقوم قائد السريَّة ونائبه ووكيل السريَّة بالاستطلاع من الخارطة وتأشير نقاط الترجل.</t>
    </r>
  </si>
  <si>
    <r>
      <t>4.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تنفيذ الاستطلاع من الأرض إن أمكن للتأكد من أن منطقة التجمع المخصصة للسريَّة تكون كما يلي:</t>
    </r>
  </si>
  <si>
    <t>ب. واسعة بحيث تساعد الوحدات المرؤوسة على الانفتاح والانتشار وبما يتوافق مع الموقف التعبوي لقوات العدو والقوات الصديقة.</t>
  </si>
  <si>
    <r>
      <t>5.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وضع الإشارات والعلامات لمنطقة تجمع السريَّة.</t>
    </r>
  </si>
  <si>
    <r>
      <t>6.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تقوم قيادة السريَّة بتحديد موقع لكل فصيل ضمن منطقة التجمع.</t>
    </r>
  </si>
  <si>
    <r>
      <t>7.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تحديد الأفراد الذين سيعملون ضمن جماعة المأوى.</t>
    </r>
  </si>
  <si>
    <r>
      <t>8.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تحديد نظام المسير الذي يساعد على الاحتلال السريع لمنطقة التجمع وحسب أوامر مجموعة اللواء.</t>
    </r>
  </si>
  <si>
    <r>
      <t>9.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إعداد خطة للدفاع عن منطقة التجمع ضمن منطقة السريَّة وحسب أوامر مجموعة اللواء.</t>
    </r>
  </si>
  <si>
    <r>
      <t>10.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Arial"/>
        <family val="2"/>
      </rPr>
      <t>تحديد أولوية العمل وتنفيذ أعمال الصيانة وإعادة التزويد.</t>
    </r>
  </si>
  <si>
    <r>
      <t>11.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Arial"/>
        <family val="2"/>
      </rPr>
      <t>إصدار الأوامر للفصائل المرؤوسة.</t>
    </r>
  </si>
  <si>
    <t>مرحلة التنفيذ</t>
  </si>
  <si>
    <r>
      <t>1.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تحريك السرية إلى منطقة الاصطفاف المخصصة (نقطة البدء) تمهيدًا لبدء الحركة.</t>
    </r>
  </si>
  <si>
    <r>
      <t>2.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بالأمر تغادر جماعة المأوى نقطة الانتشار وتتحرك إلى منطقة التجمع.</t>
    </r>
  </si>
  <si>
    <r>
      <t>3.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تحريك الجسم الرئيسي واحتلال منطقة التجمع حسب الخطة الموضوعة.</t>
    </r>
  </si>
  <si>
    <r>
      <t>4.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تطبق إجراءات حماية القوات أثناء الحركة.</t>
    </r>
  </si>
  <si>
    <r>
      <t>5.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 xml:space="preserve">تنظيم الدخول لمنطقة التجمع بنظام الفصائل وحسب تسلسل بدء الحركة ونظام المسير لكل فصيل ويأخذ كل فصيل قطاع محدد. </t>
    </r>
  </si>
  <si>
    <r>
      <t>6.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توجيه الأسلحة لتغطية قواطع المسؤولية.</t>
    </r>
  </si>
  <si>
    <r>
      <t>7.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إبلاغ قيادة مجموعة اللواء بالوصول إلى منطقة التجمع.</t>
    </r>
  </si>
  <si>
    <r>
      <t>8.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توضيع مركز القيادة والنقليات في منتصف منطقة التجمع للسرية.</t>
    </r>
  </si>
  <si>
    <r>
      <t>9.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تنفيذ الأعمال في منطقة التجمع حسب الأولوية والأوامر التعبوية المستديمة وكما يلي:</t>
    </r>
  </si>
  <si>
    <t>ب. الدفاع الدائري ودفع نقاط الحراسة والمراقبة والإنذار المبكر وحسب أوامر مجموعة اللواء.</t>
  </si>
  <si>
    <t>جـ. تأكيد تفهم الأوامر وخطة العملية القادمة.</t>
  </si>
  <si>
    <r>
      <t>10.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Arial"/>
        <family val="2"/>
      </rPr>
      <t>تنفيذ إجراءات الحماية على مستوى السرية وكما يلي:</t>
    </r>
  </si>
  <si>
    <t>ب. إخراج الدوريات لمنع تسلل قوات العدو، وتطهير نقاط مراقبة العدو المحتملة ضمن قاطع المسؤولية (حسب الحاجة).</t>
  </si>
  <si>
    <t>جـ. تعيين نقطة مراقبة وتعيين الأفراد المعنيين بإدامتها وتأسيس الاتصال مع السرية.</t>
  </si>
  <si>
    <t>د. السيطرة على الإضاءة والضوضاء والتخلص من الفضلات.</t>
  </si>
  <si>
    <r>
      <t>11.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Arial"/>
        <family val="2"/>
      </rPr>
      <t>تغادر السرية منطقة التجمع في الوقت المحدد في أمر العمليات أو حسب أوامر مجموعة اللواء.</t>
    </r>
  </si>
  <si>
    <t>أ.  تعيين قواطع المسؤولية للفصائل بحيث تتقاطع أقواس الرمي فيما بينها لضمان الإسناد المتبادل وتغطية الفجوات بين القواطع بالنار والمراقبة.</t>
  </si>
  <si>
    <t>أ.   تعيين قواطع النيران المباشرة للفصائل.</t>
  </si>
  <si>
    <t>د.  إعادة تزويد الآليات في حال كانت المسافة بعيدة بين منطقة الحشد والتجمع أو كانت الأرض وعرة وساعات تشغيل الآليات طويلة.</t>
  </si>
  <si>
    <t>أ.   محمية ومستورة.</t>
  </si>
  <si>
    <t>أ.   أسلوب الحركة من الموقع الحالي لمنطقة التجمع.</t>
  </si>
  <si>
    <t>أ.   الإشراف على إجراءات الفصائل المرؤوسة للتأكد من أن جهود التخطيط والتحضير تنفذ بما يتوافق مع قصد القائد.</t>
  </si>
  <si>
    <t>تقييم سرية الهندسة في احتلال منطقة التجمع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</si>
</sst>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C0000]d\ mmmm\ yyyy;@"/>
  </numFmts>
  <fonts count="11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center" wrapText="1" readingOrder="2"/>
      <protection locked="0"/>
    </xf>
    <xf numFmtId="0" fontId="5" fillId="0" borderId="0" xfId="0" applyFont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2"/>
    </xf>
    <xf numFmtId="0" fontId="3" fillId="0" borderId="11" xfId="0" applyFont="1" applyBorder="1" applyAlignment="1">
      <alignment horizontal="center" vertical="center" wrapText="1" readingOrder="2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1"/>
    </xf>
    <xf numFmtId="0" fontId="9" fillId="0" borderId="21" xfId="0" applyFont="1" applyBorder="1" applyAlignment="1">
      <alignment horizontal="right" vertical="center" wrapText="1" indent="3" readingOrder="2"/>
    </xf>
    <xf numFmtId="0" fontId="9" fillId="0" borderId="2" xfId="0" applyFont="1" applyBorder="1" applyAlignment="1">
      <alignment horizontal="right" vertical="center" wrapText="1" indent="3" readingOrder="2"/>
    </xf>
    <xf numFmtId="0" fontId="9" fillId="0" borderId="21" xfId="0" applyFont="1" applyBorder="1" applyAlignment="1">
      <alignment horizontal="right" vertical="center" wrapText="1" indent="1" readingOrder="2"/>
    </xf>
    <xf numFmtId="0" fontId="9" fillId="0" borderId="2" xfId="0" applyFont="1" applyBorder="1" applyAlignment="1">
      <alignment horizontal="right" vertical="center" wrapText="1" indent="1" readingOrder="2"/>
    </xf>
    <xf numFmtId="0" fontId="9" fillId="0" borderId="10" xfId="0" applyFont="1" applyBorder="1" applyAlignment="1">
      <alignment horizontal="right" vertical="center" wrapText="1" indent="1" readingOrder="2"/>
    </xf>
    <xf numFmtId="0" fontId="9" fillId="0" borderId="11" xfId="0" applyFont="1" applyBorder="1" applyAlignment="1">
      <alignment horizontal="right" vertical="center" wrapText="1" indent="1" readingOrder="2"/>
    </xf>
    <xf numFmtId="0" fontId="8" fillId="4" borderId="22" xfId="0" applyFont="1" applyFill="1" applyBorder="1" applyAlignment="1">
      <alignment horizontal="right" vertical="center" wrapText="1" indent="1" readingOrder="2"/>
    </xf>
    <xf numFmtId="0" fontId="8" fillId="4" borderId="23" xfId="0" applyFont="1" applyFill="1" applyBorder="1" applyAlignment="1">
      <alignment horizontal="right" vertical="center" wrapText="1" indent="1" readingOrder="2"/>
    </xf>
    <xf numFmtId="0" fontId="8" fillId="4" borderId="24" xfId="0" applyFont="1" applyFill="1" applyBorder="1" applyAlignment="1">
      <alignment horizontal="right" vertical="center" wrapText="1" indent="1" readingOrder="2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5" fillId="3" borderId="17" xfId="0" applyFont="1" applyFill="1" applyBorder="1" applyAlignment="1" applyProtection="1">
      <alignment horizontal="center" vertical="center" wrapText="1" readingOrder="2"/>
      <protection locked="0"/>
    </xf>
    <xf numFmtId="0" fontId="5" fillId="3" borderId="18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4" fillId="0" borderId="1" xfId="0" applyFont="1" applyBorder="1" applyAlignment="1" applyProtection="1">
      <alignment vertical="top" wrapText="1" readingOrder="2"/>
      <protection locked="0"/>
    </xf>
    <xf numFmtId="0" fontId="4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10" xfId="0" applyFont="1" applyFill="1" applyBorder="1" applyAlignment="1" applyProtection="1">
      <alignment horizontal="center" vertical="center" wrapText="1" readingOrder="2"/>
      <protection locked="0"/>
    </xf>
    <xf numFmtId="0" fontId="6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6" fillId="3" borderId="14" xfId="0" applyFont="1" applyFill="1" applyBorder="1" applyAlignment="1" applyProtection="1">
      <alignment horizontal="center" vertical="center" wrapText="1" readingOrder="2"/>
      <protection locked="0"/>
    </xf>
    <xf numFmtId="0" fontId="6" fillId="3" borderId="15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5" fillId="3" borderId="16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horizontal="left" vertical="center" wrapText="1" readingOrder="2"/>
      <protection locked="0"/>
    </xf>
    <xf numFmtId="0" fontId="5" fillId="0" borderId="0" xfId="0" applyFont="1" applyAlignment="1" applyProtection="1">
      <alignment horizontal="left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13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49" fontId="4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56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5" x14ac:dyDescent="0.25"/>
  <cols>
    <col min="1" max="1" width="5.140625" style="1" customWidth="1"/>
    <col min="2" max="2" width="12.140625" style="1" customWidth="1"/>
    <col min="3" max="3" width="9" style="1"/>
    <col min="4" max="4" width="28.140625" style="1" customWidth="1"/>
    <col min="5" max="7" width="9.28515625" style="1" customWidth="1"/>
    <col min="8" max="8" width="9.28515625" style="2" customWidth="1"/>
    <col min="9" max="9" width="9.28515625" style="1" customWidth="1"/>
    <col min="10" max="10" width="15.42578125" style="1" customWidth="1"/>
    <col min="11" max="16384" width="9" style="1"/>
  </cols>
  <sheetData>
    <row r="1" spans="1:10" ht="45" customHeight="1" x14ac:dyDescent="0.25">
      <c r="B1" s="65" t="s">
        <v>72</v>
      </c>
      <c r="C1" s="65"/>
      <c r="D1" s="65"/>
      <c r="E1" s="65"/>
      <c r="F1" s="65"/>
      <c r="G1" s="65"/>
      <c r="H1" s="65"/>
      <c r="I1" s="65"/>
      <c r="J1" s="65"/>
    </row>
    <row r="2" spans="1:10" ht="30" customHeight="1" x14ac:dyDescent="0.25">
      <c r="B2" s="10" t="s">
        <v>8</v>
      </c>
      <c r="C2" s="49" t="s">
        <v>23</v>
      </c>
      <c r="D2" s="49"/>
      <c r="E2" s="10" t="s">
        <v>7</v>
      </c>
      <c r="F2" s="44" t="s">
        <v>22</v>
      </c>
      <c r="G2" s="44"/>
      <c r="H2" s="44"/>
      <c r="I2" s="44"/>
      <c r="J2" s="44"/>
    </row>
    <row r="3" spans="1:10" ht="30" customHeight="1" x14ac:dyDescent="0.25">
      <c r="B3" s="10" t="s">
        <v>9</v>
      </c>
      <c r="C3" s="49" t="s">
        <v>25</v>
      </c>
      <c r="D3" s="49"/>
      <c r="E3" s="10" t="s">
        <v>6</v>
      </c>
      <c r="F3" s="49" t="s">
        <v>24</v>
      </c>
      <c r="G3" s="49"/>
      <c r="H3" s="49"/>
      <c r="I3" s="49"/>
      <c r="J3" s="49"/>
    </row>
    <row r="4" spans="1:10" ht="30" customHeight="1" thickBot="1" x14ac:dyDescent="0.3">
      <c r="B4" s="5"/>
      <c r="C4" s="6"/>
      <c r="D4" s="6"/>
      <c r="E4" s="5"/>
      <c r="F4" s="6"/>
      <c r="G4" s="6"/>
      <c r="H4" s="7"/>
      <c r="I4" s="6"/>
      <c r="J4" s="6"/>
    </row>
    <row r="5" spans="1:10" ht="24.95" customHeight="1" x14ac:dyDescent="0.25">
      <c r="A5" s="8"/>
      <c r="B5" s="45" t="s">
        <v>0</v>
      </c>
      <c r="C5" s="46"/>
      <c r="D5" s="46"/>
      <c r="E5" s="54" t="s">
        <v>1</v>
      </c>
      <c r="F5" s="54"/>
      <c r="G5" s="54"/>
      <c r="H5" s="54"/>
      <c r="I5" s="54" t="s">
        <v>2</v>
      </c>
      <c r="J5" s="55"/>
    </row>
    <row r="6" spans="1:10" ht="24.95" customHeight="1" thickBot="1" x14ac:dyDescent="0.3">
      <c r="A6" s="8"/>
      <c r="B6" s="47"/>
      <c r="C6" s="48"/>
      <c r="D6" s="48"/>
      <c r="E6" s="9" t="s">
        <v>3</v>
      </c>
      <c r="F6" s="9" t="s">
        <v>4</v>
      </c>
      <c r="G6" s="9" t="s">
        <v>15</v>
      </c>
      <c r="H6" s="9" t="s">
        <v>16</v>
      </c>
      <c r="I6" s="56"/>
      <c r="J6" s="57"/>
    </row>
    <row r="7" spans="1:10" ht="24.95" customHeight="1" thickBot="1" x14ac:dyDescent="0.3">
      <c r="A7" s="8"/>
      <c r="B7" s="52" t="s">
        <v>13</v>
      </c>
      <c r="C7" s="53"/>
      <c r="D7" s="53"/>
      <c r="E7" s="13" t="s">
        <v>10</v>
      </c>
      <c r="F7" s="13" t="s">
        <v>11</v>
      </c>
      <c r="G7" s="13" t="s">
        <v>14</v>
      </c>
      <c r="H7" s="13" t="s">
        <v>12</v>
      </c>
      <c r="I7" s="58" t="s">
        <v>17</v>
      </c>
      <c r="J7" s="59"/>
    </row>
    <row r="8" spans="1:10" ht="30" customHeight="1" x14ac:dyDescent="0.25">
      <c r="A8" s="8"/>
      <c r="B8" s="27" t="s">
        <v>28</v>
      </c>
      <c r="C8" s="28"/>
      <c r="D8" s="28"/>
      <c r="E8" s="28"/>
      <c r="F8" s="28"/>
      <c r="G8" s="28"/>
      <c r="H8" s="28"/>
      <c r="I8" s="28"/>
      <c r="J8" s="29"/>
    </row>
    <row r="9" spans="1:10" ht="30" customHeight="1" x14ac:dyDescent="0.25">
      <c r="A9" s="8"/>
      <c r="B9" s="23" t="s">
        <v>29</v>
      </c>
      <c r="C9" s="24"/>
      <c r="D9" s="24"/>
      <c r="E9" s="17"/>
      <c r="F9" s="11"/>
      <c r="G9" s="15"/>
      <c r="H9" s="16"/>
      <c r="I9" s="30"/>
      <c r="J9" s="31"/>
    </row>
    <row r="10" spans="1:10" ht="39.950000000000003" customHeight="1" x14ac:dyDescent="0.25">
      <c r="A10" s="8"/>
      <c r="B10" s="21" t="s">
        <v>71</v>
      </c>
      <c r="C10" s="22"/>
      <c r="D10" s="22"/>
      <c r="E10" s="17">
        <v>5</v>
      </c>
      <c r="F10" s="11" t="s">
        <v>26</v>
      </c>
      <c r="G10" s="15" t="str">
        <f t="shared" ref="G10:G51" si="0">IFERROR(F10/E10,"")</f>
        <v/>
      </c>
      <c r="H10" s="16" t="str">
        <f t="shared" ref="H10:H51" si="1">_xlfn.IFS(F10="أدخل العلامة","",F10="لا ينطبق","تم الإلغاء",G10&gt;=90%,"ممتاز",G10&gt;=80%,"جيد جداً",G10&gt;=70%,"جيد",G10&gt;=60%,"مقبول",G10&lt;60%,"راسب")</f>
        <v/>
      </c>
      <c r="I10" s="30"/>
      <c r="J10" s="31"/>
    </row>
    <row r="11" spans="1:10" ht="39.950000000000003" customHeight="1" x14ac:dyDescent="0.25">
      <c r="A11" s="8"/>
      <c r="B11" s="21" t="s">
        <v>30</v>
      </c>
      <c r="C11" s="22"/>
      <c r="D11" s="22"/>
      <c r="E11" s="17">
        <v>5</v>
      </c>
      <c r="F11" s="11" t="s">
        <v>26</v>
      </c>
      <c r="G11" s="15" t="str">
        <f t="shared" si="0"/>
        <v/>
      </c>
      <c r="H11" s="16" t="str">
        <f t="shared" si="1"/>
        <v/>
      </c>
      <c r="I11" s="30"/>
      <c r="J11" s="31"/>
    </row>
    <row r="12" spans="1:10" ht="39.950000000000003" customHeight="1" x14ac:dyDescent="0.25">
      <c r="A12" s="8"/>
      <c r="B12" s="21" t="s">
        <v>31</v>
      </c>
      <c r="C12" s="22"/>
      <c r="D12" s="22"/>
      <c r="E12" s="17">
        <v>5</v>
      </c>
      <c r="F12" s="11" t="s">
        <v>26</v>
      </c>
      <c r="G12" s="15" t="str">
        <f t="shared" si="0"/>
        <v/>
      </c>
      <c r="H12" s="16" t="str">
        <f t="shared" si="1"/>
        <v/>
      </c>
      <c r="I12" s="30"/>
      <c r="J12" s="31"/>
    </row>
    <row r="13" spans="1:10" ht="30" customHeight="1" x14ac:dyDescent="0.25">
      <c r="A13" s="8"/>
      <c r="B13" s="23" t="s">
        <v>32</v>
      </c>
      <c r="C13" s="24"/>
      <c r="D13" s="24"/>
      <c r="E13" s="17"/>
      <c r="F13" s="11"/>
      <c r="G13" s="15"/>
      <c r="H13" s="16"/>
      <c r="I13" s="30"/>
      <c r="J13" s="31"/>
    </row>
    <row r="14" spans="1:10" ht="30" customHeight="1" x14ac:dyDescent="0.25">
      <c r="A14" s="8"/>
      <c r="B14" s="21" t="s">
        <v>70</v>
      </c>
      <c r="C14" s="22"/>
      <c r="D14" s="22"/>
      <c r="E14" s="17">
        <v>5</v>
      </c>
      <c r="F14" s="11" t="s">
        <v>26</v>
      </c>
      <c r="G14" s="15" t="str">
        <f t="shared" si="0"/>
        <v/>
      </c>
      <c r="H14" s="16" t="str">
        <f t="shared" si="1"/>
        <v/>
      </c>
      <c r="I14" s="30"/>
      <c r="J14" s="31"/>
    </row>
    <row r="15" spans="1:10" ht="30" customHeight="1" x14ac:dyDescent="0.25">
      <c r="A15" s="8"/>
      <c r="B15" s="21" t="s">
        <v>33</v>
      </c>
      <c r="C15" s="22"/>
      <c r="D15" s="22"/>
      <c r="E15" s="17">
        <v>5</v>
      </c>
      <c r="F15" s="11" t="s">
        <v>26</v>
      </c>
      <c r="G15" s="15" t="str">
        <f t="shared" si="0"/>
        <v/>
      </c>
      <c r="H15" s="16" t="str">
        <f t="shared" si="1"/>
        <v/>
      </c>
      <c r="I15" s="30"/>
      <c r="J15" s="31"/>
    </row>
    <row r="16" spans="1:10" ht="39.950000000000003" customHeight="1" x14ac:dyDescent="0.25">
      <c r="A16" s="8"/>
      <c r="B16" s="23" t="s">
        <v>34</v>
      </c>
      <c r="C16" s="24"/>
      <c r="D16" s="24"/>
      <c r="E16" s="17">
        <v>5</v>
      </c>
      <c r="F16" s="11" t="s">
        <v>26</v>
      </c>
      <c r="G16" s="15" t="str">
        <f t="shared" si="0"/>
        <v/>
      </c>
      <c r="H16" s="16" t="str">
        <f t="shared" si="1"/>
        <v/>
      </c>
      <c r="I16" s="30"/>
      <c r="J16" s="31"/>
    </row>
    <row r="17" spans="1:10" ht="39.950000000000003" customHeight="1" thickBot="1" x14ac:dyDescent="0.3">
      <c r="A17" s="8"/>
      <c r="B17" s="25" t="s">
        <v>35</v>
      </c>
      <c r="C17" s="26"/>
      <c r="D17" s="26"/>
      <c r="E17" s="18">
        <v>5</v>
      </c>
      <c r="F17" s="12" t="s">
        <v>26</v>
      </c>
      <c r="G17" s="19" t="str">
        <f t="shared" si="0"/>
        <v/>
      </c>
      <c r="H17" s="20" t="str">
        <f t="shared" si="1"/>
        <v/>
      </c>
      <c r="I17" s="36"/>
      <c r="J17" s="37"/>
    </row>
    <row r="18" spans="1:10" ht="30" customHeight="1" x14ac:dyDescent="0.25">
      <c r="A18" s="8"/>
      <c r="B18" s="27" t="s">
        <v>36</v>
      </c>
      <c r="C18" s="28"/>
      <c r="D18" s="28"/>
      <c r="E18" s="28"/>
      <c r="F18" s="28"/>
      <c r="G18" s="28"/>
      <c r="H18" s="28"/>
      <c r="I18" s="28"/>
      <c r="J18" s="29"/>
    </row>
    <row r="19" spans="1:10" ht="30" customHeight="1" x14ac:dyDescent="0.25">
      <c r="A19" s="8"/>
      <c r="B19" s="23" t="s">
        <v>37</v>
      </c>
      <c r="C19" s="24"/>
      <c r="D19" s="24"/>
      <c r="E19" s="17">
        <v>5</v>
      </c>
      <c r="F19" s="11" t="s">
        <v>26</v>
      </c>
      <c r="G19" s="15" t="str">
        <f t="shared" si="0"/>
        <v/>
      </c>
      <c r="H19" s="16" t="str">
        <f t="shared" si="1"/>
        <v/>
      </c>
      <c r="I19" s="30"/>
      <c r="J19" s="31"/>
    </row>
    <row r="20" spans="1:10" ht="30" customHeight="1" x14ac:dyDescent="0.25">
      <c r="A20" s="8"/>
      <c r="B20" s="23" t="s">
        <v>38</v>
      </c>
      <c r="C20" s="24"/>
      <c r="D20" s="24"/>
      <c r="E20" s="17">
        <v>5</v>
      </c>
      <c r="F20" s="11" t="s">
        <v>26</v>
      </c>
      <c r="G20" s="15" t="str">
        <f t="shared" si="0"/>
        <v/>
      </c>
      <c r="H20" s="16" t="str">
        <f t="shared" si="1"/>
        <v/>
      </c>
      <c r="I20" s="30"/>
      <c r="J20" s="31"/>
    </row>
    <row r="21" spans="1:10" ht="39.950000000000003" customHeight="1" x14ac:dyDescent="0.25">
      <c r="A21" s="8"/>
      <c r="B21" s="23" t="s">
        <v>39</v>
      </c>
      <c r="C21" s="24"/>
      <c r="D21" s="24"/>
      <c r="E21" s="17">
        <v>5</v>
      </c>
      <c r="F21" s="11" t="s">
        <v>26</v>
      </c>
      <c r="G21" s="15" t="str">
        <f t="shared" si="0"/>
        <v/>
      </c>
      <c r="H21" s="16" t="str">
        <f t="shared" si="1"/>
        <v/>
      </c>
      <c r="I21" s="30"/>
      <c r="J21" s="31"/>
    </row>
    <row r="22" spans="1:10" ht="39.950000000000003" customHeight="1" x14ac:dyDescent="0.25">
      <c r="A22" s="8"/>
      <c r="B22" s="23" t="s">
        <v>40</v>
      </c>
      <c r="C22" s="24"/>
      <c r="D22" s="24"/>
      <c r="E22" s="17"/>
      <c r="F22" s="11"/>
      <c r="G22" s="15"/>
      <c r="H22" s="16"/>
      <c r="I22" s="30"/>
      <c r="J22" s="31"/>
    </row>
    <row r="23" spans="1:10" ht="30" customHeight="1" x14ac:dyDescent="0.25">
      <c r="A23" s="8"/>
      <c r="B23" s="21" t="s">
        <v>69</v>
      </c>
      <c r="C23" s="22"/>
      <c r="D23" s="22"/>
      <c r="E23" s="17">
        <v>5</v>
      </c>
      <c r="F23" s="11" t="s">
        <v>26</v>
      </c>
      <c r="G23" s="15" t="str">
        <f t="shared" si="0"/>
        <v/>
      </c>
      <c r="H23" s="16" t="str">
        <f t="shared" si="1"/>
        <v/>
      </c>
      <c r="I23" s="30"/>
      <c r="J23" s="31"/>
    </row>
    <row r="24" spans="1:10" ht="39.950000000000003" customHeight="1" x14ac:dyDescent="0.25">
      <c r="A24" s="8"/>
      <c r="B24" s="21" t="s">
        <v>41</v>
      </c>
      <c r="C24" s="22"/>
      <c r="D24" s="22"/>
      <c r="E24" s="17">
        <v>5</v>
      </c>
      <c r="F24" s="11" t="s">
        <v>26</v>
      </c>
      <c r="G24" s="15" t="str">
        <f t="shared" si="0"/>
        <v/>
      </c>
      <c r="H24" s="16" t="str">
        <f t="shared" si="1"/>
        <v/>
      </c>
      <c r="I24" s="30"/>
      <c r="J24" s="31"/>
    </row>
    <row r="25" spans="1:10" ht="30" customHeight="1" x14ac:dyDescent="0.25">
      <c r="A25" s="8"/>
      <c r="B25" s="23" t="s">
        <v>42</v>
      </c>
      <c r="C25" s="24"/>
      <c r="D25" s="24"/>
      <c r="E25" s="17">
        <v>5</v>
      </c>
      <c r="F25" s="11" t="s">
        <v>26</v>
      </c>
      <c r="G25" s="15" t="str">
        <f t="shared" si="0"/>
        <v/>
      </c>
      <c r="H25" s="16" t="str">
        <f t="shared" si="1"/>
        <v/>
      </c>
      <c r="I25" s="30"/>
      <c r="J25" s="31"/>
    </row>
    <row r="26" spans="1:10" ht="30" customHeight="1" x14ac:dyDescent="0.25">
      <c r="A26" s="8"/>
      <c r="B26" s="23" t="s">
        <v>43</v>
      </c>
      <c r="C26" s="24"/>
      <c r="D26" s="24"/>
      <c r="E26" s="17">
        <v>5</v>
      </c>
      <c r="F26" s="11" t="s">
        <v>26</v>
      </c>
      <c r="G26" s="15" t="str">
        <f t="shared" si="0"/>
        <v/>
      </c>
      <c r="H26" s="16" t="str">
        <f t="shared" si="1"/>
        <v/>
      </c>
      <c r="I26" s="30"/>
      <c r="J26" s="31"/>
    </row>
    <row r="27" spans="1:10" ht="30" customHeight="1" x14ac:dyDescent="0.25">
      <c r="A27" s="8"/>
      <c r="B27" s="23" t="s">
        <v>44</v>
      </c>
      <c r="C27" s="24"/>
      <c r="D27" s="24"/>
      <c r="E27" s="17">
        <v>5</v>
      </c>
      <c r="F27" s="11" t="s">
        <v>26</v>
      </c>
      <c r="G27" s="15" t="str">
        <f t="shared" si="0"/>
        <v/>
      </c>
      <c r="H27" s="16" t="str">
        <f t="shared" si="1"/>
        <v/>
      </c>
      <c r="I27" s="30"/>
      <c r="J27" s="31"/>
    </row>
    <row r="28" spans="1:10" ht="39.950000000000003" customHeight="1" x14ac:dyDescent="0.25">
      <c r="A28" s="8"/>
      <c r="B28" s="23" t="s">
        <v>45</v>
      </c>
      <c r="C28" s="24"/>
      <c r="D28" s="24"/>
      <c r="E28" s="17">
        <v>5</v>
      </c>
      <c r="F28" s="11" t="s">
        <v>26</v>
      </c>
      <c r="G28" s="15" t="str">
        <f t="shared" si="0"/>
        <v/>
      </c>
      <c r="H28" s="16" t="str">
        <f t="shared" si="1"/>
        <v/>
      </c>
      <c r="I28" s="30"/>
      <c r="J28" s="31"/>
    </row>
    <row r="29" spans="1:10" ht="39.950000000000003" customHeight="1" x14ac:dyDescent="0.25">
      <c r="A29" s="8"/>
      <c r="B29" s="23" t="s">
        <v>46</v>
      </c>
      <c r="C29" s="24"/>
      <c r="D29" s="24"/>
      <c r="E29" s="17">
        <v>5</v>
      </c>
      <c r="F29" s="11" t="s">
        <v>26</v>
      </c>
      <c r="G29" s="15" t="str">
        <f t="shared" si="0"/>
        <v/>
      </c>
      <c r="H29" s="16" t="str">
        <f t="shared" si="1"/>
        <v/>
      </c>
      <c r="I29" s="30"/>
      <c r="J29" s="31"/>
    </row>
    <row r="30" spans="1:10" ht="30" customHeight="1" x14ac:dyDescent="0.25">
      <c r="A30" s="8"/>
      <c r="B30" s="23" t="s">
        <v>47</v>
      </c>
      <c r="C30" s="24"/>
      <c r="D30" s="24"/>
      <c r="E30" s="17">
        <v>5</v>
      </c>
      <c r="F30" s="11" t="s">
        <v>26</v>
      </c>
      <c r="G30" s="15" t="str">
        <f t="shared" si="0"/>
        <v/>
      </c>
      <c r="H30" s="16" t="str">
        <f t="shared" si="1"/>
        <v/>
      </c>
      <c r="I30" s="30"/>
      <c r="J30" s="31"/>
    </row>
    <row r="31" spans="1:10" ht="30" customHeight="1" thickBot="1" x14ac:dyDescent="0.3">
      <c r="A31" s="8"/>
      <c r="B31" s="25" t="s">
        <v>48</v>
      </c>
      <c r="C31" s="26"/>
      <c r="D31" s="26"/>
      <c r="E31" s="18">
        <v>5</v>
      </c>
      <c r="F31" s="12" t="s">
        <v>26</v>
      </c>
      <c r="G31" s="19" t="str">
        <f t="shared" si="0"/>
        <v/>
      </c>
      <c r="H31" s="20" t="str">
        <f t="shared" si="1"/>
        <v/>
      </c>
      <c r="I31" s="36"/>
      <c r="J31" s="37"/>
    </row>
    <row r="32" spans="1:10" ht="30" customHeight="1" x14ac:dyDescent="0.25">
      <c r="A32" s="8"/>
      <c r="B32" s="27" t="s">
        <v>49</v>
      </c>
      <c r="C32" s="28"/>
      <c r="D32" s="28"/>
      <c r="E32" s="28"/>
      <c r="F32" s="28"/>
      <c r="G32" s="28"/>
      <c r="H32" s="28"/>
      <c r="I32" s="28"/>
      <c r="J32" s="29"/>
    </row>
    <row r="33" spans="1:10" ht="39.950000000000003" customHeight="1" x14ac:dyDescent="0.25">
      <c r="A33" s="8"/>
      <c r="B33" s="23" t="s">
        <v>50</v>
      </c>
      <c r="C33" s="24"/>
      <c r="D33" s="24"/>
      <c r="E33" s="17">
        <v>5</v>
      </c>
      <c r="F33" s="11" t="s">
        <v>26</v>
      </c>
      <c r="G33" s="15" t="str">
        <f t="shared" si="0"/>
        <v/>
      </c>
      <c r="H33" s="16" t="str">
        <f t="shared" si="1"/>
        <v/>
      </c>
      <c r="I33" s="30"/>
      <c r="J33" s="31"/>
    </row>
    <row r="34" spans="1:10" ht="39.950000000000003" customHeight="1" x14ac:dyDescent="0.25">
      <c r="A34" s="8"/>
      <c r="B34" s="23" t="s">
        <v>51</v>
      </c>
      <c r="C34" s="24"/>
      <c r="D34" s="24"/>
      <c r="E34" s="17">
        <v>5</v>
      </c>
      <c r="F34" s="11" t="s">
        <v>26</v>
      </c>
      <c r="G34" s="15" t="str">
        <f t="shared" si="0"/>
        <v/>
      </c>
      <c r="H34" s="16" t="str">
        <f t="shared" si="1"/>
        <v/>
      </c>
      <c r="I34" s="30"/>
      <c r="J34" s="31"/>
    </row>
    <row r="35" spans="1:10" ht="39.950000000000003" customHeight="1" x14ac:dyDescent="0.25">
      <c r="A35" s="8"/>
      <c r="B35" s="23" t="s">
        <v>52</v>
      </c>
      <c r="C35" s="24"/>
      <c r="D35" s="24"/>
      <c r="E35" s="17">
        <v>5</v>
      </c>
      <c r="F35" s="11" t="s">
        <v>26</v>
      </c>
      <c r="G35" s="15" t="str">
        <f t="shared" si="0"/>
        <v/>
      </c>
      <c r="H35" s="16" t="str">
        <f t="shared" si="1"/>
        <v/>
      </c>
      <c r="I35" s="30"/>
      <c r="J35" s="31"/>
    </row>
    <row r="36" spans="1:10" ht="30" customHeight="1" x14ac:dyDescent="0.25">
      <c r="A36" s="8"/>
      <c r="B36" s="23" t="s">
        <v>53</v>
      </c>
      <c r="C36" s="24"/>
      <c r="D36" s="24"/>
      <c r="E36" s="17">
        <v>5</v>
      </c>
      <c r="F36" s="11" t="s">
        <v>26</v>
      </c>
      <c r="G36" s="15" t="str">
        <f t="shared" si="0"/>
        <v/>
      </c>
      <c r="H36" s="16" t="str">
        <f t="shared" si="1"/>
        <v/>
      </c>
      <c r="I36" s="30"/>
      <c r="J36" s="31"/>
    </row>
    <row r="37" spans="1:10" ht="39.950000000000003" customHeight="1" x14ac:dyDescent="0.25">
      <c r="A37" s="8"/>
      <c r="B37" s="23" t="s">
        <v>54</v>
      </c>
      <c r="C37" s="24"/>
      <c r="D37" s="24"/>
      <c r="E37" s="17">
        <v>5</v>
      </c>
      <c r="F37" s="11" t="s">
        <v>26</v>
      </c>
      <c r="G37" s="15" t="str">
        <f t="shared" si="0"/>
        <v/>
      </c>
      <c r="H37" s="16" t="str">
        <f t="shared" si="1"/>
        <v/>
      </c>
      <c r="I37" s="30"/>
      <c r="J37" s="31"/>
    </row>
    <row r="38" spans="1:10" ht="30" customHeight="1" x14ac:dyDescent="0.25">
      <c r="A38" s="8"/>
      <c r="B38" s="23" t="s">
        <v>55</v>
      </c>
      <c r="C38" s="24"/>
      <c r="D38" s="24"/>
      <c r="E38" s="17">
        <v>5</v>
      </c>
      <c r="F38" s="11" t="s">
        <v>26</v>
      </c>
      <c r="G38" s="15" t="str">
        <f t="shared" si="0"/>
        <v/>
      </c>
      <c r="H38" s="16" t="str">
        <f t="shared" si="1"/>
        <v/>
      </c>
      <c r="I38" s="30"/>
      <c r="J38" s="31"/>
    </row>
    <row r="39" spans="1:10" ht="30" customHeight="1" x14ac:dyDescent="0.25">
      <c r="A39" s="8"/>
      <c r="B39" s="23" t="s">
        <v>56</v>
      </c>
      <c r="C39" s="24"/>
      <c r="D39" s="24"/>
      <c r="E39" s="17">
        <v>5</v>
      </c>
      <c r="F39" s="11" t="s">
        <v>26</v>
      </c>
      <c r="G39" s="15" t="str">
        <f t="shared" si="0"/>
        <v/>
      </c>
      <c r="H39" s="16" t="str">
        <f t="shared" si="1"/>
        <v/>
      </c>
      <c r="I39" s="30"/>
      <c r="J39" s="31"/>
    </row>
    <row r="40" spans="1:10" ht="30" customHeight="1" x14ac:dyDescent="0.25">
      <c r="A40" s="8"/>
      <c r="B40" s="23" t="s">
        <v>57</v>
      </c>
      <c r="C40" s="24"/>
      <c r="D40" s="24"/>
      <c r="E40" s="17">
        <v>5</v>
      </c>
      <c r="F40" s="11" t="s">
        <v>26</v>
      </c>
      <c r="G40" s="15" t="str">
        <f t="shared" si="0"/>
        <v/>
      </c>
      <c r="H40" s="16" t="str">
        <f t="shared" si="1"/>
        <v/>
      </c>
      <c r="I40" s="30"/>
      <c r="J40" s="31"/>
    </row>
    <row r="41" spans="1:10" ht="39.950000000000003" customHeight="1" x14ac:dyDescent="0.25">
      <c r="A41" s="8"/>
      <c r="B41" s="23" t="s">
        <v>58</v>
      </c>
      <c r="C41" s="24"/>
      <c r="D41" s="24"/>
      <c r="E41" s="17"/>
      <c r="F41" s="11"/>
      <c r="G41" s="15"/>
      <c r="H41" s="16"/>
      <c r="I41" s="30"/>
      <c r="J41" s="31"/>
    </row>
    <row r="42" spans="1:10" ht="30" customHeight="1" x14ac:dyDescent="0.25">
      <c r="A42" s="8"/>
      <c r="B42" s="21" t="s">
        <v>67</v>
      </c>
      <c r="C42" s="22"/>
      <c r="D42" s="22"/>
      <c r="E42" s="17">
        <v>5</v>
      </c>
      <c r="F42" s="11" t="s">
        <v>26</v>
      </c>
      <c r="G42" s="15" t="str">
        <f t="shared" si="0"/>
        <v/>
      </c>
      <c r="H42" s="16" t="str">
        <f t="shared" si="1"/>
        <v/>
      </c>
      <c r="I42" s="30"/>
      <c r="J42" s="31"/>
    </row>
    <row r="43" spans="1:10" ht="39.950000000000003" customHeight="1" x14ac:dyDescent="0.25">
      <c r="A43" s="8"/>
      <c r="B43" s="21" t="s">
        <v>59</v>
      </c>
      <c r="C43" s="22"/>
      <c r="D43" s="22"/>
      <c r="E43" s="17">
        <v>5</v>
      </c>
      <c r="F43" s="11" t="s">
        <v>26</v>
      </c>
      <c r="G43" s="15" t="str">
        <f t="shared" si="0"/>
        <v/>
      </c>
      <c r="H43" s="16" t="str">
        <f t="shared" si="1"/>
        <v/>
      </c>
      <c r="I43" s="30"/>
      <c r="J43" s="31"/>
    </row>
    <row r="44" spans="1:10" ht="30" customHeight="1" x14ac:dyDescent="0.25">
      <c r="A44" s="8"/>
      <c r="B44" s="21" t="s">
        <v>60</v>
      </c>
      <c r="C44" s="22"/>
      <c r="D44" s="22"/>
      <c r="E44" s="17">
        <v>5</v>
      </c>
      <c r="F44" s="11" t="s">
        <v>26</v>
      </c>
      <c r="G44" s="15" t="str">
        <f t="shared" si="0"/>
        <v/>
      </c>
      <c r="H44" s="16" t="str">
        <f t="shared" si="1"/>
        <v/>
      </c>
      <c r="I44" s="30"/>
      <c r="J44" s="31"/>
    </row>
    <row r="45" spans="1:10" ht="39.950000000000003" customHeight="1" x14ac:dyDescent="0.25">
      <c r="A45" s="8"/>
      <c r="B45" s="21" t="s">
        <v>68</v>
      </c>
      <c r="C45" s="22"/>
      <c r="D45" s="22"/>
      <c r="E45" s="17">
        <v>5</v>
      </c>
      <c r="F45" s="11" t="s">
        <v>26</v>
      </c>
      <c r="G45" s="15" t="str">
        <f t="shared" si="0"/>
        <v/>
      </c>
      <c r="H45" s="16" t="str">
        <f t="shared" si="1"/>
        <v/>
      </c>
      <c r="I45" s="30"/>
      <c r="J45" s="31"/>
    </row>
    <row r="46" spans="1:10" ht="30" customHeight="1" x14ac:dyDescent="0.25">
      <c r="A46" s="8"/>
      <c r="B46" s="23" t="s">
        <v>61</v>
      </c>
      <c r="C46" s="24"/>
      <c r="D46" s="24"/>
      <c r="E46" s="17"/>
      <c r="F46" s="11"/>
      <c r="G46" s="15"/>
      <c r="H46" s="16"/>
      <c r="I46" s="30"/>
      <c r="J46" s="31"/>
    </row>
    <row r="47" spans="1:10" ht="56.25" customHeight="1" x14ac:dyDescent="0.25">
      <c r="A47" s="8"/>
      <c r="B47" s="21" t="s">
        <v>66</v>
      </c>
      <c r="C47" s="22"/>
      <c r="D47" s="22"/>
      <c r="E47" s="17">
        <v>5</v>
      </c>
      <c r="F47" s="11" t="s">
        <v>26</v>
      </c>
      <c r="G47" s="15" t="str">
        <f t="shared" si="0"/>
        <v/>
      </c>
      <c r="H47" s="16" t="str">
        <f t="shared" si="1"/>
        <v/>
      </c>
      <c r="I47" s="30"/>
      <c r="J47" s="31"/>
    </row>
    <row r="48" spans="1:10" ht="39.950000000000003" customHeight="1" x14ac:dyDescent="0.25">
      <c r="A48" s="8"/>
      <c r="B48" s="21" t="s">
        <v>62</v>
      </c>
      <c r="C48" s="22"/>
      <c r="D48" s="22"/>
      <c r="E48" s="17">
        <v>5</v>
      </c>
      <c r="F48" s="11" t="s">
        <v>26</v>
      </c>
      <c r="G48" s="15" t="str">
        <f t="shared" si="0"/>
        <v/>
      </c>
      <c r="H48" s="16" t="str">
        <f t="shared" si="1"/>
        <v/>
      </c>
      <c r="I48" s="30"/>
      <c r="J48" s="31"/>
    </row>
    <row r="49" spans="1:10" ht="39.950000000000003" customHeight="1" x14ac:dyDescent="0.25">
      <c r="A49" s="8"/>
      <c r="B49" s="21" t="s">
        <v>63</v>
      </c>
      <c r="C49" s="22"/>
      <c r="D49" s="22"/>
      <c r="E49" s="17">
        <v>5</v>
      </c>
      <c r="F49" s="11" t="s">
        <v>26</v>
      </c>
      <c r="G49" s="15" t="str">
        <f t="shared" si="0"/>
        <v/>
      </c>
      <c r="H49" s="16" t="str">
        <f t="shared" si="1"/>
        <v/>
      </c>
      <c r="I49" s="30"/>
      <c r="J49" s="31"/>
    </row>
    <row r="50" spans="1:10" ht="30" customHeight="1" x14ac:dyDescent="0.25">
      <c r="A50" s="8"/>
      <c r="B50" s="21" t="s">
        <v>64</v>
      </c>
      <c r="C50" s="22"/>
      <c r="D50" s="22"/>
      <c r="E50" s="17">
        <v>5</v>
      </c>
      <c r="F50" s="11" t="s">
        <v>26</v>
      </c>
      <c r="G50" s="15" t="str">
        <f t="shared" si="0"/>
        <v/>
      </c>
      <c r="H50" s="16" t="str">
        <f t="shared" si="1"/>
        <v/>
      </c>
      <c r="I50" s="30"/>
      <c r="J50" s="31"/>
    </row>
    <row r="51" spans="1:10" ht="39.950000000000003" customHeight="1" thickBot="1" x14ac:dyDescent="0.3">
      <c r="A51" s="8"/>
      <c r="B51" s="25" t="s">
        <v>65</v>
      </c>
      <c r="C51" s="26"/>
      <c r="D51" s="26"/>
      <c r="E51" s="18">
        <v>5</v>
      </c>
      <c r="F51" s="12" t="s">
        <v>26</v>
      </c>
      <c r="G51" s="19" t="str">
        <f t="shared" si="0"/>
        <v/>
      </c>
      <c r="H51" s="20" t="str">
        <f t="shared" si="1"/>
        <v/>
      </c>
      <c r="I51" s="36"/>
      <c r="J51" s="37"/>
    </row>
    <row r="52" spans="1:10" ht="30" customHeight="1" thickBot="1" x14ac:dyDescent="0.3">
      <c r="A52" s="3"/>
      <c r="B52" s="32" t="s">
        <v>5</v>
      </c>
      <c r="C52" s="33"/>
      <c r="D52" s="33"/>
      <c r="E52" s="14">
        <f>SUM(E8:E51)</f>
        <v>180</v>
      </c>
      <c r="F52" s="14">
        <f>SUM(F8:F51)</f>
        <v>0</v>
      </c>
      <c r="G52" s="62"/>
      <c r="H52" s="63"/>
      <c r="I52" s="63"/>
      <c r="J52" s="64"/>
    </row>
    <row r="53" spans="1:10" ht="30" customHeight="1" thickBot="1" x14ac:dyDescent="0.3">
      <c r="A53" s="3"/>
      <c r="B53" s="34" t="s">
        <v>20</v>
      </c>
      <c r="C53" s="35"/>
      <c r="D53" s="35"/>
      <c r="E53" s="50">
        <f>F52/E52/100*100</f>
        <v>0</v>
      </c>
      <c r="F53" s="50"/>
      <c r="G53" s="50"/>
      <c r="H53" s="50"/>
      <c r="I53" s="50"/>
      <c r="J53" s="51"/>
    </row>
    <row r="54" spans="1:10" ht="30" customHeight="1" thickBot="1" x14ac:dyDescent="0.3">
      <c r="A54" s="3"/>
      <c r="B54" s="34" t="s">
        <v>21</v>
      </c>
      <c r="C54" s="35"/>
      <c r="D54" s="35"/>
      <c r="E54" s="42" t="str">
        <f>_xlfn.IFS(E53&gt;=90%,"ممتاز",E53&gt;=80%,"جيد جداً",E53&gt;=70%,"جيد",E53&gt;=60%,"مقبول",E53&lt;60%,"راسب")</f>
        <v>راسب</v>
      </c>
      <c r="F54" s="42"/>
      <c r="G54" s="42"/>
      <c r="H54" s="42"/>
      <c r="I54" s="42"/>
      <c r="J54" s="43"/>
    </row>
    <row r="55" spans="1:10" ht="42" customHeight="1" x14ac:dyDescent="0.25">
      <c r="B55" s="38" t="s">
        <v>27</v>
      </c>
      <c r="C55" s="38"/>
      <c r="D55" s="38"/>
      <c r="E55" s="60" t="s">
        <v>18</v>
      </c>
      <c r="F55" s="60"/>
      <c r="G55" s="40" t="s">
        <v>24</v>
      </c>
      <c r="H55" s="40"/>
      <c r="I55" s="40"/>
      <c r="J55" s="40"/>
    </row>
    <row r="56" spans="1:10" ht="51" customHeight="1" x14ac:dyDescent="0.25">
      <c r="A56" s="4"/>
      <c r="B56" s="39"/>
      <c r="C56" s="39"/>
      <c r="D56" s="39"/>
      <c r="E56" s="61" t="s">
        <v>19</v>
      </c>
      <c r="F56" s="61"/>
      <c r="G56" s="41"/>
      <c r="H56" s="41"/>
      <c r="I56" s="41"/>
      <c r="J56" s="41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06">
    <mergeCell ref="B1:J1"/>
    <mergeCell ref="F2:J2"/>
    <mergeCell ref="B5:D6"/>
    <mergeCell ref="C2:D2"/>
    <mergeCell ref="C3:D3"/>
    <mergeCell ref="F3:J3"/>
    <mergeCell ref="E53:J53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B55:D56"/>
    <mergeCell ref="G55:J55"/>
    <mergeCell ref="G56:J56"/>
    <mergeCell ref="E54:J54"/>
    <mergeCell ref="I40:J40"/>
    <mergeCell ref="I41:J41"/>
    <mergeCell ref="I42:J42"/>
    <mergeCell ref="I43:J43"/>
    <mergeCell ref="I44:J44"/>
    <mergeCell ref="I49:J49"/>
    <mergeCell ref="I50:J50"/>
    <mergeCell ref="I51:J51"/>
    <mergeCell ref="I45:J45"/>
    <mergeCell ref="I46:J46"/>
    <mergeCell ref="I47:J47"/>
    <mergeCell ref="I48:J48"/>
    <mergeCell ref="E55:F55"/>
    <mergeCell ref="E56:F56"/>
    <mergeCell ref="G52:J52"/>
    <mergeCell ref="I34:J34"/>
    <mergeCell ref="I35:J35"/>
    <mergeCell ref="I36:J36"/>
    <mergeCell ref="B52:D52"/>
    <mergeCell ref="B53:D53"/>
    <mergeCell ref="B54:D54"/>
    <mergeCell ref="I11:J11"/>
    <mergeCell ref="I12:J12"/>
    <mergeCell ref="I13:J13"/>
    <mergeCell ref="I14:J14"/>
    <mergeCell ref="I15:J15"/>
    <mergeCell ref="I16:J16"/>
    <mergeCell ref="I17:J17"/>
    <mergeCell ref="I28:J28"/>
    <mergeCell ref="I29:J29"/>
    <mergeCell ref="I26:J26"/>
    <mergeCell ref="I27:J27"/>
    <mergeCell ref="B9:D9"/>
    <mergeCell ref="B10:D10"/>
    <mergeCell ref="B11:D11"/>
    <mergeCell ref="B12:D12"/>
    <mergeCell ref="B13:D13"/>
    <mergeCell ref="B14:D14"/>
    <mergeCell ref="B15:D15"/>
    <mergeCell ref="B16:D16"/>
    <mergeCell ref="I33:J33"/>
    <mergeCell ref="I9:J9"/>
    <mergeCell ref="B30:D30"/>
    <mergeCell ref="B31:D31"/>
    <mergeCell ref="B33:D33"/>
    <mergeCell ref="B34:D34"/>
    <mergeCell ref="B17:D17"/>
    <mergeCell ref="B19:D19"/>
    <mergeCell ref="B20:D20"/>
    <mergeCell ref="B21:D21"/>
    <mergeCell ref="B22:D22"/>
    <mergeCell ref="B23:D23"/>
    <mergeCell ref="B24:D24"/>
    <mergeCell ref="B25:D25"/>
    <mergeCell ref="B44:D44"/>
    <mergeCell ref="B45:D45"/>
    <mergeCell ref="B46:D46"/>
    <mergeCell ref="B47:D47"/>
    <mergeCell ref="B48:D48"/>
    <mergeCell ref="B49:D49"/>
    <mergeCell ref="B50:D50"/>
    <mergeCell ref="B51:D51"/>
    <mergeCell ref="B8:J8"/>
    <mergeCell ref="B18:J18"/>
    <mergeCell ref="B32:J32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26:D26"/>
    <mergeCell ref="B27:D27"/>
    <mergeCell ref="B28:D28"/>
    <mergeCell ref="B29:D29"/>
  </mergeCells>
  <conditionalFormatting sqref="E54">
    <cfRule type="expression" dxfId="23" priority="57">
      <formula>$E54="راسب"</formula>
    </cfRule>
  </conditionalFormatting>
  <conditionalFormatting sqref="E54:J54">
    <cfRule type="expression" dxfId="22" priority="58">
      <formula>$E54="مقبول"</formula>
    </cfRule>
    <cfRule type="expression" dxfId="21" priority="59">
      <formula>$E54="جيد"</formula>
    </cfRule>
    <cfRule type="expression" dxfId="20" priority="60">
      <formula>$E54="جيد جداً"</formula>
    </cfRule>
    <cfRule type="expression" dxfId="19" priority="61">
      <formula>$E54="ممتاز"</formula>
    </cfRule>
  </conditionalFormatting>
  <conditionalFormatting sqref="H10:H17 H19:H31 H33:H51">
    <cfRule type="containsText" dxfId="18" priority="39" operator="containsText" text="ممتاز">
      <formula>NOT(ISERROR(SEARCH("ممتاز",H10)))</formula>
    </cfRule>
    <cfRule type="containsText" dxfId="17" priority="40" operator="containsText" text="جيد جداً">
      <formula>NOT(ISERROR(SEARCH("جيد جداً",H10)))</formula>
    </cfRule>
    <cfRule type="containsText" dxfId="16" priority="41" operator="containsText" text="جيد">
      <formula>NOT(ISERROR(SEARCH("جيد",H10)))</formula>
    </cfRule>
    <cfRule type="containsText" dxfId="15" priority="42" operator="containsText" text="مقبول">
      <formula>NOT(ISERROR(SEARCH("مقبول",H10)))</formula>
    </cfRule>
    <cfRule type="containsText" dxfId="14" priority="43" operator="containsText" text="راسب">
      <formula>NOT(ISERROR(SEARCH("راسب",H10)))</formula>
    </cfRule>
  </conditionalFormatting>
  <conditionalFormatting sqref="H10:H17 H19:H31 H33:H51">
    <cfRule type="containsText" dxfId="13" priority="38" operator="containsText" text="أدخل العلامة">
      <formula>NOT(ISERROR(SEARCH("أدخل العلامة",H10)))</formula>
    </cfRule>
  </conditionalFormatting>
  <conditionalFormatting sqref="F2:J2">
    <cfRule type="containsText" dxfId="12" priority="19" operator="containsText" text="أدخل التاريخ">
      <formula>NOT(ISERROR(SEARCH("أدخل التاريخ",F2)))</formula>
    </cfRule>
  </conditionalFormatting>
  <conditionalFormatting sqref="C2:D2">
    <cfRule type="containsText" dxfId="11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0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F3:J3">
    <cfRule type="containsText" dxfId="9" priority="16" operator="containsText" text="أدخل أسم المحكم">
      <formula>NOT(ISERROR(SEARCH("أدخل أسم المحكم",F3)))</formula>
    </cfRule>
  </conditionalFormatting>
  <conditionalFormatting sqref="G55:J55">
    <cfRule type="containsText" dxfId="8" priority="15" operator="containsText" text="أدخل اسم المحكم">
      <formula>NOT(ISERROR(SEARCH("أدخل اسم المحكم",G55)))</formula>
    </cfRule>
  </conditionalFormatting>
  <conditionalFormatting sqref="F10:F17 F19:F31 F33:F51">
    <cfRule type="containsText" dxfId="7" priority="14" operator="containsText" text="أدخل العلامة">
      <formula>NOT(ISERROR(SEARCH("أدخل العلامة",F10)))</formula>
    </cfRule>
  </conditionalFormatting>
  <conditionalFormatting sqref="H9">
    <cfRule type="containsText" dxfId="6" priority="6" operator="containsText" text="ممتاز">
      <formula>NOT(ISERROR(SEARCH("ممتاز",H9)))</formula>
    </cfRule>
    <cfRule type="containsText" dxfId="5" priority="7" operator="containsText" text="جيد جداً">
      <formula>NOT(ISERROR(SEARCH("جيد جداً",H9)))</formula>
    </cfRule>
    <cfRule type="containsText" dxfId="4" priority="8" operator="containsText" text="جيد">
      <formula>NOT(ISERROR(SEARCH("جيد",H9)))</formula>
    </cfRule>
    <cfRule type="containsText" dxfId="3" priority="9" operator="containsText" text="مقبول">
      <formula>NOT(ISERROR(SEARCH("مقبول",H9)))</formula>
    </cfRule>
    <cfRule type="containsText" dxfId="2" priority="10" operator="containsText" text="راسب">
      <formula>NOT(ISERROR(SEARCH("راسب",H9)))</formula>
    </cfRule>
  </conditionalFormatting>
  <conditionalFormatting sqref="H9">
    <cfRule type="containsText" dxfId="1" priority="5" operator="containsText" text="أدخل العلامة">
      <formula>NOT(ISERROR(SEARCH("أدخل العلامة",H9)))</formula>
    </cfRule>
  </conditionalFormatting>
  <conditionalFormatting sqref="F9">
    <cfRule type="containsText" dxfId="0" priority="4" operator="containsText" text="أدخل العلامة">
      <formula>NOT(ISERROR(SEARCH("أدخل العلامة",F9)))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#REF!</xm:f>
          </x14:formula1>
          <xm:sqref>F2:J2</xm:sqref>
        </x14:dataValidation>
        <x14:dataValidation type="list" allowBlank="1" showInputMessage="1" showErrorMessage="1">
          <x14:formula1>
            <xm:f>#REF!</xm:f>
          </x14:formula1>
          <xm:sqref>C2:D2</xm:sqref>
        </x14:dataValidation>
        <x14:dataValidation type="list" allowBlank="1" showInputMessage="1" showErrorMessage="1">
          <x14:formula1>
            <xm:f>#REF!</xm:f>
          </x14:formula1>
          <xm:sqref>F47:F51 F42:F45 F33:F40 F23:F31 F19:F21 F14:F17 F10:F12</xm:sqref>
        </x14:dataValidation>
        <x14:dataValidation type="list" allowBlank="1" showInputMessage="1" showErrorMessage="1">
          <x14:formula1>
            <xm:f>#REF!</xm:f>
          </x14:formula1>
          <xm:sqref>G55:J55 F3:J3</xm:sqref>
        </x14:dataValidation>
        <x14:dataValidation type="list" allowBlank="1" showInputMessage="1" showErrorMessage="1">
          <x14:formula1>
            <xm:f>#REF!</xm:f>
          </x14:formula1>
          <xm:sqref>C3:D3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10C62D-2AA3-4AC1-A028-DC77614855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قائمة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2026-08-30T05:06:09Z</dcterms:modified>
</cp:coreProperties>
</file>