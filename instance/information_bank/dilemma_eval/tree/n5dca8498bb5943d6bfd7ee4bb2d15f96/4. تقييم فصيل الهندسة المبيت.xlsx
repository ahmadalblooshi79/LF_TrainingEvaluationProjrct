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59F195B-A2BE-461A-B75E-11629C2CBA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8" i="2"/>
  <c r="H8" i="2"/>
  <c r="F15" i="2"/>
  <c r="E15" i="2"/>
  <c r="E16" i="2"/>
  <c r="E17" i="2"/>
</calcChain>
</file>

<file path=xl/sharedStrings.xml><?xml version="1.0" encoding="utf-8"?>
<sst xmlns="http://schemas.openxmlformats.org/spreadsheetml/2006/main" count="245" uniqueCount="189">
  <si>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</si>
  <si>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</si>
  <si>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</si>
  <si>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</si>
  <si>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</si>
  <si>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</si>
  <si>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</si>
  <si>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</si>
  <si>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</si>
  <si>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</si>
  <si>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</si>
  <si>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</si>
  <si>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</si>
  <si>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</si>
  <si>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</si>
  <si>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</si>
  <si>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</si>
  <si>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</si>
  <si>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</si>
  <si>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</si>
  <si>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</si>
  <si>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</si>
  <si>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</si>
  <si>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</si>
  <si>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</si>
  <si>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</si>
  <si>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</si>
  <si>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</si>
  <si>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</si>
  <si>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</si>
  <si>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</si>
  <si>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</si>
  <si>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</si>
  <si>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</si>
  <si>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</si>
  <si>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</si>
  <si>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</si>
  <si>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</si>
  <si>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</si>
  <si>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</si>
  <si>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</si>
  <si>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</si>
  <si>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</si>
  <si>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</si>
  <si>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</si>
  <si>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</si>
  <si>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</si>
  <si>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</si>
  <si>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</si>
  <si>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</si>
  <si>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</si>
  <si>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</si>
  <si>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</si>
  <si>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</si>
  <si>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</si>
  <si>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</si>
  <si>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</si>
  <si>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</si>
  <si>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</si>
  <si>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</si>
  <si>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</si>
  <si>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</si>
  <si>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</si>
  <si>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</si>
  <si>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</si>
  <si>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</si>
  <si>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</si>
  <si>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</si>
  <si>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</si>
  <si>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</si>
  <si>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</si>
  <si>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</si>
  <si>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</si>
  <si>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</si>
  <si>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</si>
  <si>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</si>
  <si>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</si>
  <si>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</si>
  <si>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</si>
  <si>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</si>
  <si>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</si>
  <si>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</si>
  <si>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</si>
  <si>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</si>
  <si>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</si>
  <si>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</si>
  <si>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</si>
  <si>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</si>
  <si>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</si>
  <si>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</si>
  <si>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</si>
  <si>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</si>
  <si>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</si>
  <si>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</si>
  <si>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</si>
  <si>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</si>
  <si>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</si>
  <si>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</si>
  <si>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</si>
  <si>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</si>
  <si>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</si>
  <si>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</si>
  <si>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</si>
  <si>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</si>
  <si>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</si>
  <si>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</si>
  <si>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</si>
  <si>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</si>
  <si>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</si>
  <si>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</si>
  <si>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</si>
  <si>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</si>
  <si>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</si>
  <si>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</si>
  <si>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</si>
  <si>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</si>
  <si>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</si>
  <si>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</si>
  <si>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</si>
  <si>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</si>
  <si>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</si>
  <si>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</si>
  <si>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</si>
  <si>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</si>
  <si>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</si>
  <si>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</si>
  <si>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</si>
  <si>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</si>
  <si>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</si>
  <si>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</si>
  <si>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</si>
  <si>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</si>
  <si>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</si>
  <si>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</si>
  <si>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</si>
  <si>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</si>
  <si>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</si>
  <si>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</si>
  <si>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</si>
  <si>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</si>
  <si>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</si>
  <si>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</si>
  <si>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</si>
  <si>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</si>
  <si>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</si>
  <si>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</si>
  <si>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</si>
  <si>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</si>
  <si>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</si>
  <si>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</si>
  <si>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</si>
  <si>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</si>
  <si>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</si>
  <si>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</si>
  <si>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</si>
  <si>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</si>
  <si>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</si>
  <si>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</si>
  <si>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</si>
  <si>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</si>
  <si>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</si>
  <si>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</si>
  <si>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</si>
  <si>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</si>
  <si>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</si>
  <si>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</si>
  <si>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</si>
  <si>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</si>
  <si>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</si>
  <si>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</si>
  <si>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</si>
  <si>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</si>
  <si>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</si>
  <si>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</si>
  <si>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</si>
  <si>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</si>
  <si>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</si>
  <si>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</si>
  <si>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</si>
  <si>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</si>
  <si>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7.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صلاحية مكان المبيت.</t>
    </r>
  </si>
  <si>
    <r>
      <t>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مكان قائد الفصيلة (في الوسط).</t>
    </r>
  </si>
  <si>
    <r>
      <t>5.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أقواس الرمي.</t>
    </r>
  </si>
  <si>
    <r>
      <t>4.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توزيع الفصيلة على شكل دائري.</t>
    </r>
  </si>
  <si>
    <r>
      <t>3.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كلمة السر.</t>
    </r>
  </si>
  <si>
    <r>
      <t>2.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الخفارة وإجراءات الخفير.</t>
    </r>
  </si>
  <si>
    <r>
      <t>1.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الضبط والسيطرة.</t>
    </r>
  </si>
  <si>
    <r>
      <rPr>
        <b/>
        <sz val="14"/>
        <color rgb="FF000000"/>
        <rFont val="Arial"/>
        <family val="2"/>
      </rPr>
      <t>تقييم فصيل الهندسة في المبيت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</si>
  <si>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عادل راشد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</si>
</sst>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216070</xdr:colOff>
      <xdr:row>17</xdr:row>
      <xdr:rowOff>474960</xdr:rowOff>
    </xdr:from>
    <xdr:to>
      <xdr:col>9</xdr:col>
      <xdr:colOff>117039</xdr:colOff>
      <xdr:row>18</xdr:row>
      <xdr:rowOff>590068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4B9935D-C3ED-9668-AA24-C62F7F26658A}"/>
                </a:ext>
              </a:extLst>
            </xdr14:cNvPr>
            <xdr14:cNvContentPartPr/>
          </xdr14:nvContentPartPr>
          <xdr14:nvPr macro=""/>
          <xdr14:xfrm>
            <a:off x="10398469780" y="6951960"/>
            <a:ext cx="1875240" cy="646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4B9935D-C3ED-9668-AA24-C62F7F2665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63660" y="6945840"/>
              <a:ext cx="1887480" cy="65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2:24:19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4881 940 4552,'0'0'0,"2"-5"577,-2 5-577,12-12 328,-9 8-40,12-9-56,-10 8-56,-5 5-176,15-12 128,-4 8-56,-6-1-24,9 0-40,-14 5-8,5-4 40,6 0-56,-6 1 8,7 0 48,-12 3-40,4-1 0,7-2 0,-8 1 16,2 0-72,-5 2 56,4-2 8,-1-1 16,2 0 8,-1 1 8,-4 2-40,2-3 24,3 0 16,-3-1-24,3-1 48,-5 5-64,0-4 24,0 0 8,0 0 8,0 1 8,0 3-48,0-3 72,0 0 0,-2 2-8,-1-1 24,3 2-88,-2 0 32,-3 0 8,-6 4-40,6 12-24,5-16 24,-17 13 24,4 3-32,-8 2 8,0 3-8,21-21 8,-28 26-32,0 2 32,-2 2-24,-8 2 56,38-32-32,-37 35-16,-5 0 32,-2 2-48,-4 1-32,48-38 64,-46 40-8,-3-3-56,3-2 72,3-3 48,43-32-56,-43 29 32,0-4 8,6-5-8,-5-3-32,42-17 0,-31 12 56,1-7-8,7-1 40,7-1-32,16-3-56,-14 0 104,9-4-16,5-9-24,0 0-40,0 13-24,0-13 0,12-4 40,-1-3-24,3-3 32,-14 23-48,21-24 0,3-1-56,-1-2 72,3 0 16,-26 27-32,25-26 16,3-1 40,-2 3-24,-2 0-56,-24 24 24,23-23 32,0 1-48,1 0-56,-4 1 72,-20 21 0,21-20-8,1 2 48,-4 2 0,-6 3-32,-12 13-8,11-5-8,-6-7 16,0 11-40,-3-2 72,-2 3-40,0 0 8,0 0-32,-12 3 56,1 11-32,11-14 0,-19 13 24,0 4 0,-4 1-24,-3 4 16,26-22-16,-26 21-8,-1 2 24,-4 1-64,1 3 40,30-27 8,-35 25 8,-3 2-32,-3-1 40,-4-4-56,45-22 40,-42 25-24,1-3 8,-4 1 56,8-3-16,37-20-24,-38 20 32,-1-5-32,4 0-8,5-11 40,30-4-32,-24 4 8,3-1 24,8-3-32,6-4-16,7 4 16,-12-13 0,12-1-16,0-3-8,2-5 32,-2 22-8,14-22-24,-5-3 56,5-2 48,0 0 8,-14 27-88,14-27 64,1-2 0,3 2-72,-4 3-40,-14 24 48,14-23-16,-2 0-16,-7 5 8,-1 1 56,-4 17-32,2-16 32,3 5-32,-5 5 48,-3-5-56,3 11 8,-4-3 32,-7 0-16,1 2-72,-6 1 96,16 0-40,-19 4-24,-4 10-8,0 0 72,-4 2-112,27-16 72,-30 18-56,0 2 80,-5 0-40,3 2 16,32-22 0,-35 21-40,2-1-8,3 0 40,0-1-24,30-19 32,-24 17 0,1-1-32,-1-3-56,3-9 88,21-4 0,-14 11 32,2-11 0,10 3 8,-4-3-32,6 0-8,-3 0 0,1-4 16,2-8 32,0 7-48,0 5 0,2-20-24,12 4 40,-2-3 8,1-3-16,-13 22-8,17-21 16,-3-2-16,2 1-16,3-1 16,-19 23 0,14-23 32,4 0-48,-3 2 8,1 3 24,-16 18-16,12-16 24,-5 0-24,4 4 8,-11 5-16,0 7 8,0-14 0,0 9-16,-3 0 24,-5-1 8,8 6-16,-12-4 8,-4 2 24,-1 2-24,-1 0 16,18 0-24,-19 5 24,-4-1 0,-1 9 0,1-9 8,23-4-32,-31 18-8,3-7 32,-9 5 0,-2 1-24,39-17 0,-42 20 40,-4 6-32,-4-1 16,-3 4-48,53-29 24,-58 29 16,-3 1 0,-3 2-56,1 0 32,63-32 8,-69 32-48,-1-2 16,2 0 40,-4 0 32,72-30-40,-74 28 16,-11 2 24,-1-1 0,-7-1-8,93-28-32,-91 30-8,0-5 48,0-1 0,-3-1 8,94-23-48,-93 21 80,-3 2-48,-2-1-32,-4 0-24,102-22 24,-100 23 0,-5 1 48,0-3 8,5 0 48,100-21-104,-100 20 40,4-3-72,0 2-8,1-4-48,95-15 88,-93 13-40,2-1-16,48-12 104,-7 4-8,50-4-40,-48 3 64,-5 1 0,4-1-128,-7-3 48,56 0 16,-49 0 8,-5 0 16,6-2 40,8-2-32,40 4-32,-35-11 40,12-1-16,-1-2-32,24 14 8,-12-17-8,12 17 8,0-23-32,0-1 40,15-7 16,6-1 0,-21 32-24,27-39 64,11-2-40,10-3 8,18-11-80,-66 55 48,126-98-96,7 7 64,0 6 0,-17 14 88,-116 71-56,121-71 64,7-2-80,8-2 56,9 0-56,-145 75 16,156-77-8,-2 1 0,0-2-40,0 7-8,-154 71 56,153-68-32,-1 3 48,5 6 24,-11 8 8,-146 51-48,138-45 48,-6 8-48,-10 5-64,-1 6 8,-121 26 56,119-21-8,2 2-24,-6 1 8,-1 2-8,-114 16 32,108-14-48,-4 1 0,1 7 32,-2-7 0,-103 13 16,96-2-64,-3-3 64,-5 4 8,-6 1-16,-82 0 8,72 0 32,-12 3-56,-10 8-56,-10-7 32,-40-4 48,28 17-120,-5-2 0,-10 0 8,-10 4 16,-3-19 96,0 20-32,0 2 56,-14 5-24,-3 0 72,17-27-72,-20 30 56,-6 0-40,-6 0 24,-4-1 32,36-29-72,-37 29 32,-5-2 24,3-2 40,-6-1 8,45-24-104,-40 22 56,-1-4 16,3-1-40,1-1-80,37-16 48,-35 12 56,5 1-8,2-8-32,0 9 8,28-14-24,-23 3 24,-1 8 8,5-11 40,3 3 104,16-3-176,-14 3 96,12-3-8,-3 0 49,3 0-25,2 0-112,-3 0 88,3-3-32,0-1-72,5-8-112,-5 12 128,12-4-16,-10-7-16,2 8-8,-1 0 64,-3 3-24,4-2-64,-4 1-57,3 1-39,-3 0-32,0 0 192,0 3-144,0 1 88,-5 12 16,0-3 128,5-13-88,-11 11 0,9 2 8,-5-2 32,-3 0-136,10-11 96,-11 12 16,-1-8-8,2 13-16,-3-5 24,13-12-16,-10 14 40,-3 1-48,-2-1 16,6 0 8,9-14-16,-11 13-16,-1 0 40,7-2-48,-9 1 64,14-12-40,-9 4 8,2 10-16,-7-10 40,12 8-120,2-12 88,-17 3-8,8 0 8,-3-3-24,7 0 56,5 0-32,-12 0-8,9 0 24,-9 0 8,9-5-40,3 5 16,-5-11 32,3 5-40,0-9 40,2 9 0,0 6-32,0-16-8,4 5 8,1 5-32,-2-8-32,-3 14 64,12-4-32,-9-8-16,-3 9-48,5 1 8,-5 2 88,3-2-104,-3 2-8,0 0 64,-3 0-8,3 0 56,-5 4-48,-8 12 16,-1-3-32,3 1 32,11-14 32,-17 16-56,-2 4 24,-4 0 40,-1-1-24,24-19 16,-20 20 24,1-3-24,-2-1-24,3 1 40,18-17-16,-17 16-24,-4-1 48,9-2-32,1 1-48,11-14 56,-2 4 8,-3 9-8,2-10 16,1 1 16,2-4-32,0 3 48,0 0-56,0-3 32,0 0-24,2-2 16,3 0 0,0-3 0,-1 0 0,-4 5-16,2-6 8,-2 0 8,0 2 16,0 0-32,0 4 0,0-4-32,0 2-104,0 1-136,5-3-304,-5 4 576,0-5-4721,0 5 4721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C1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187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2" t="s">
        <v>8</v>
      </c>
      <c r="C2" s="54" t="s">
        <v>12</v>
      </c>
      <c r="D2" s="54"/>
      <c r="E2" s="12" t="s">
        <v>7</v>
      </c>
      <c r="F2" s="49">
        <v>45937</v>
      </c>
      <c r="G2" s="49"/>
      <c r="H2" s="49"/>
      <c r="I2" s="49"/>
      <c r="J2" s="49"/>
    </row>
    <row r="3" spans="1:10" ht="30" customHeight="1" x14ac:dyDescent="0.3">
      <c r="B3" s="12" t="s">
        <v>9</v>
      </c>
      <c r="C3" s="54" t="s">
        <v>60</v>
      </c>
      <c r="D3" s="54"/>
      <c r="E3" s="12" t="s">
        <v>6</v>
      </c>
      <c r="F3" s="54" t="s">
        <v>119</v>
      </c>
      <c r="G3" s="54"/>
      <c r="H3" s="54"/>
      <c r="I3" s="54"/>
      <c r="J3" s="54"/>
    </row>
    <row r="4" spans="1:10" ht="30" customHeight="1" thickBot="1" x14ac:dyDescent="0.35">
      <c r="B4" s="6"/>
      <c r="C4" s="7"/>
      <c r="D4" s="7" t="s">
        <v>188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0" t="s">
        <v>0</v>
      </c>
      <c r="C5" s="51"/>
      <c r="D5" s="51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59"/>
      <c r="J6" s="60"/>
    </row>
    <row r="7" spans="1:10" ht="24.9" customHeight="1" x14ac:dyDescent="0.3">
      <c r="A7" s="10"/>
      <c r="B7" s="55" t="s">
        <v>21</v>
      </c>
      <c r="C7" s="56"/>
      <c r="D7" s="56"/>
      <c r="E7" s="27" t="s">
        <v>18</v>
      </c>
      <c r="F7" s="27" t="s">
        <v>19</v>
      </c>
      <c r="G7" s="27" t="s">
        <v>22</v>
      </c>
      <c r="H7" s="27" t="s">
        <v>20</v>
      </c>
      <c r="I7" s="61" t="s">
        <v>25</v>
      </c>
      <c r="J7" s="62"/>
    </row>
    <row r="8" spans="1:10" ht="30" customHeight="1" x14ac:dyDescent="0.3">
      <c r="A8" s="10"/>
      <c r="B8" s="47" t="s">
        <v>186</v>
      </c>
      <c r="C8" s="47"/>
      <c r="D8" s="47"/>
      <c r="E8" s="9">
        <v>5</v>
      </c>
      <c r="F8" s="26">
        <v>3.5</v>
      </c>
      <c r="G8" s="29">
        <f>IFERROR(F8/E8,"")</f>
        <v>0.7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36"/>
      <c r="J8" s="36"/>
    </row>
    <row r="9" spans="1:10" ht="30" customHeight="1" x14ac:dyDescent="0.3">
      <c r="A9" s="10"/>
      <c r="B9" s="47" t="s">
        <v>185</v>
      </c>
      <c r="C9" s="47"/>
      <c r="D9" s="47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6"/>
      <c r="J9" s="36"/>
    </row>
    <row r="10" spans="1:10" ht="30" customHeight="1" x14ac:dyDescent="0.3">
      <c r="A10" s="10"/>
      <c r="B10" s="47" t="s">
        <v>184</v>
      </c>
      <c r="C10" s="47"/>
      <c r="D10" s="47"/>
      <c r="E10" s="9">
        <v>5</v>
      </c>
      <c r="F10" s="26">
        <v>3.75</v>
      </c>
      <c r="G10" s="29">
        <f t="shared" ref="G10:G14" si="0">IFERROR(F10/E10,"")</f>
        <v>0.75</v>
      </c>
      <c r="H10" s="30" t="str">
        <f t="shared" ref="H10:H14" si="1">_xlfn.IFS(F10="أدخل العلامة","",F10="لا ينطبق","تم الإلغاء",G10&gt;=90%,"ممتاز",G10&gt;=80%,"جيد جداً",G10&gt;=70%,"جيد",G10&gt;=60%,"مقبول",G10&lt;60%,"راسب")</f>
        <v>جيد</v>
      </c>
      <c r="I10" s="36"/>
      <c r="J10" s="36"/>
    </row>
    <row r="11" spans="1:10" ht="30" customHeight="1" x14ac:dyDescent="0.3">
      <c r="A11" s="10"/>
      <c r="B11" s="47" t="s">
        <v>183</v>
      </c>
      <c r="C11" s="47"/>
      <c r="D11" s="47"/>
      <c r="E11" s="9">
        <v>5</v>
      </c>
      <c r="F11" s="26">
        <v>4</v>
      </c>
      <c r="G11" s="29">
        <f t="shared" si="0"/>
        <v>0.8</v>
      </c>
      <c r="H11" s="30" t="str">
        <f t="shared" si="1"/>
        <v>جيد جداً</v>
      </c>
      <c r="I11" s="36"/>
      <c r="J11" s="36"/>
    </row>
    <row r="12" spans="1:10" ht="30" customHeight="1" x14ac:dyDescent="0.3">
      <c r="A12" s="10"/>
      <c r="B12" s="47" t="s">
        <v>182</v>
      </c>
      <c r="C12" s="47"/>
      <c r="D12" s="47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36"/>
      <c r="J12" s="36"/>
    </row>
    <row r="13" spans="1:10" ht="30" customHeight="1" x14ac:dyDescent="0.3">
      <c r="A13" s="10"/>
      <c r="B13" s="47" t="s">
        <v>181</v>
      </c>
      <c r="C13" s="47"/>
      <c r="D13" s="47"/>
      <c r="E13" s="9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36"/>
      <c r="J13" s="36"/>
    </row>
    <row r="14" spans="1:10" ht="30" customHeight="1" x14ac:dyDescent="0.3">
      <c r="A14" s="10"/>
      <c r="B14" s="47" t="s">
        <v>180</v>
      </c>
      <c r="C14" s="47"/>
      <c r="D14" s="47"/>
      <c r="E14" s="9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36"/>
      <c r="J14" s="36"/>
    </row>
    <row r="15" spans="1:10" ht="30" customHeight="1" thickBot="1" x14ac:dyDescent="0.35">
      <c r="A15" s="4"/>
      <c r="B15" s="63" t="s">
        <v>5</v>
      </c>
      <c r="C15" s="64"/>
      <c r="D15" s="64"/>
      <c r="E15" s="28">
        <f>SUM(E8:E14)</f>
        <v>35</v>
      </c>
      <c r="F15" s="28">
        <f>SUM(F8:F14)</f>
        <v>25.5</v>
      </c>
      <c r="G15" s="33"/>
      <c r="H15" s="34"/>
      <c r="I15" s="34"/>
      <c r="J15" s="35"/>
    </row>
    <row r="16" spans="1:10" ht="30" customHeight="1" thickBot="1" x14ac:dyDescent="0.35">
      <c r="A16" s="4"/>
      <c r="B16" s="45" t="s">
        <v>54</v>
      </c>
      <c r="C16" s="46"/>
      <c r="D16" s="46"/>
      <c r="E16" s="43">
        <f>F15/E15/100*100</f>
        <v>0.72857142857142854</v>
      </c>
      <c r="F16" s="43"/>
      <c r="G16" s="43"/>
      <c r="H16" s="43"/>
      <c r="I16" s="43"/>
      <c r="J16" s="44"/>
    </row>
    <row r="17" spans="1:10" ht="30" customHeight="1" thickBot="1" x14ac:dyDescent="0.35">
      <c r="A17" s="4"/>
      <c r="B17" s="45" t="s">
        <v>55</v>
      </c>
      <c r="C17" s="46"/>
      <c r="D17" s="46"/>
      <c r="E17" s="41" t="str">
        <f>_xlfn.IFS(E16&gt;=90%,"ممتاز",E16&gt;=80%,"جيد جداً",E16&gt;=70%,"جيد",E16&gt;=60%,"مقبول",E16&lt;60%,"راسب")</f>
        <v>جيد</v>
      </c>
      <c r="F17" s="41"/>
      <c r="G17" s="41"/>
      <c r="H17" s="41"/>
      <c r="I17" s="41"/>
      <c r="J17" s="42"/>
    </row>
    <row r="18" spans="1:10" ht="42" customHeight="1" x14ac:dyDescent="0.3">
      <c r="B18" s="37" t="s">
        <v>174</v>
      </c>
      <c r="C18" s="37"/>
      <c r="D18" s="37"/>
      <c r="E18" s="31" t="s">
        <v>52</v>
      </c>
      <c r="F18" s="31"/>
      <c r="G18" s="39" t="s">
        <v>119</v>
      </c>
      <c r="H18" s="39"/>
      <c r="I18" s="39"/>
      <c r="J18" s="39"/>
    </row>
    <row r="19" spans="1:10" ht="51" customHeight="1" x14ac:dyDescent="0.3">
      <c r="A19" s="5"/>
      <c r="B19" s="38"/>
      <c r="C19" s="38"/>
      <c r="D19" s="38"/>
      <c r="E19" s="32" t="s">
        <v>53</v>
      </c>
      <c r="F19" s="32"/>
      <c r="G19" s="40"/>
      <c r="H19" s="40"/>
      <c r="I19" s="40"/>
      <c r="J19" s="4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5:D15"/>
    <mergeCell ref="B16:D16"/>
    <mergeCell ref="B8:D8"/>
    <mergeCell ref="B9:D9"/>
    <mergeCell ref="B10:D10"/>
    <mergeCell ref="B11:D11"/>
    <mergeCell ref="B12:D12"/>
    <mergeCell ref="B7:D7"/>
    <mergeCell ref="E5:H5"/>
    <mergeCell ref="I5:J6"/>
    <mergeCell ref="I7:J7"/>
    <mergeCell ref="I10:J10"/>
    <mergeCell ref="I8:J8"/>
    <mergeCell ref="B1:J1"/>
    <mergeCell ref="F2:J2"/>
    <mergeCell ref="B5:D6"/>
    <mergeCell ref="C2:D2"/>
    <mergeCell ref="C3:D3"/>
    <mergeCell ref="F3:J3"/>
    <mergeCell ref="E18:F18"/>
    <mergeCell ref="E19:F19"/>
    <mergeCell ref="G15:J15"/>
    <mergeCell ref="I9:J9"/>
    <mergeCell ref="B18:D19"/>
    <mergeCell ref="G18:J18"/>
    <mergeCell ref="G19:J19"/>
    <mergeCell ref="E17:J17"/>
    <mergeCell ref="E16:J16"/>
    <mergeCell ref="B17:D17"/>
    <mergeCell ref="I11:J11"/>
    <mergeCell ref="I12:J12"/>
    <mergeCell ref="I13:J13"/>
    <mergeCell ref="I14:J14"/>
    <mergeCell ref="B13:D13"/>
    <mergeCell ref="B14:D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57">
      <formula>$E17="راسب"</formula>
    </cfRule>
  </conditionalFormatting>
  <conditionalFormatting sqref="E17:J17">
    <cfRule type="expression" dxfId="13" priority="58">
      <formula>$E17="مقبول"</formula>
    </cfRule>
    <cfRule type="expression" dxfId="12" priority="59">
      <formula>$E17="جيد"</formula>
    </cfRule>
    <cfRule type="expression" dxfId="11" priority="60">
      <formula>$E17="جيد جداً"</formula>
    </cfRule>
    <cfRule type="expression" dxfId="10" priority="61">
      <formula>$E17="ممتاز"</formula>
    </cfRule>
  </conditionalFormatting>
  <conditionalFormatting sqref="F8:F14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8:J18">
    <cfRule type="containsText" dxfId="6" priority="15" operator="containsText" text="أدخل اسم المحكم">
      <formula>NOT(ISERROR(SEARCH("أدخل اسم المحكم",G18)))</formula>
    </cfRule>
  </conditionalFormatting>
  <conditionalFormatting sqref="H8:H14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G18:J18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2025-10-08T19:54:40Z</dcterms:modified>
</cp:coreProperties>
</file>