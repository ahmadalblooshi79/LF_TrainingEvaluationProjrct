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AA05F3F-DF2B-5C49-BAB3-9B8559D8C4F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6" i="2"/>
  <c r="H56" i="2"/>
  <c r="G57" i="2"/>
  <c r="H57" i="2"/>
  <c r="G58" i="2"/>
  <c r="H58" i="2"/>
  <c r="F59" i="2"/>
  <c r="E59" i="2"/>
  <c r="E60" i="2"/>
  <c r="E61" i="2"/>
</calcChain>
</file>

<file path=xl/sharedStrings.xml><?xml version="1.0" encoding="utf-8"?>
<sst xmlns="http://schemas.openxmlformats.org/spreadsheetml/2006/main" count="290" uniqueCount="233">
  <si>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</si>
  <si>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</si>
  <si>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</si>
  <si>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</si>
  <si>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</si>
  <si>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</si>
  <si>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</si>
  <si>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</si>
  <si>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</si>
  <si>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</si>
  <si>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</si>
  <si>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</si>
  <si>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</si>
  <si>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</si>
  <si>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</si>
  <si>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</si>
  <si>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</si>
  <si>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</si>
  <si>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</si>
  <si>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</si>
  <si>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</si>
  <si>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</si>
  <si>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</si>
  <si>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</si>
  <si>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</si>
  <si>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</si>
  <si>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</si>
  <si>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</si>
  <si>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</si>
  <si>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</si>
  <si>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</si>
  <si>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</si>
  <si>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</si>
  <si>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</si>
  <si>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</si>
  <si>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</si>
  <si>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</si>
  <si>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</si>
  <si>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</si>
  <si>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</si>
  <si>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</si>
  <si>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</si>
  <si>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</si>
  <si>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</si>
  <si>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</si>
  <si>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</si>
  <si>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</si>
  <si>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</si>
  <si>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</si>
  <si>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</si>
  <si>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</si>
  <si>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</si>
  <si>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</si>
  <si>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</si>
  <si>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</si>
  <si>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</si>
  <si>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</si>
  <si>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</si>
  <si>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</si>
  <si>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</si>
  <si>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</si>
  <si>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</si>
  <si>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</si>
  <si>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</si>
  <si>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</si>
  <si>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</si>
  <si>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</si>
  <si>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</si>
  <si>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</si>
  <si>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</si>
  <si>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</si>
  <si>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</si>
  <si>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</si>
  <si>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</si>
  <si>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</si>
  <si>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</si>
  <si>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</si>
  <si>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</si>
  <si>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</si>
  <si>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</si>
  <si>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</si>
  <si>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</si>
  <si>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</si>
  <si>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</si>
  <si>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</si>
  <si>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</si>
  <si>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</si>
  <si>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</si>
  <si>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</si>
  <si>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</si>
  <si>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</si>
  <si>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</si>
  <si>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</si>
  <si>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</si>
  <si>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</si>
  <si>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</si>
  <si>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</si>
  <si>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</si>
  <si>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</si>
  <si>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</si>
  <si>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</si>
  <si>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</si>
  <si>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</si>
  <si>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</si>
  <si>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</si>
  <si>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</si>
  <si>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</si>
  <si>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</si>
  <si>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</si>
  <si>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</si>
  <si>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</si>
  <si>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</si>
  <si>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</si>
  <si>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</si>
  <si>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</si>
  <si>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</si>
  <si>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</si>
  <si>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</si>
  <si>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</si>
  <si>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</si>
  <si>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</si>
  <si>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</si>
  <si>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</si>
  <si>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</si>
  <si>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</si>
  <si>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</si>
  <si>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</si>
  <si>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</si>
  <si>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</si>
  <si>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</si>
  <si>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</si>
  <si>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</si>
  <si>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</si>
  <si>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</si>
  <si>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</si>
  <si>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</si>
  <si>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</si>
  <si>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</si>
  <si>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</si>
  <si>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</si>
  <si>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</si>
  <si>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</si>
  <si>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</si>
  <si>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</si>
  <si>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</si>
  <si>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</si>
  <si>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</si>
  <si>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</si>
  <si>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</si>
  <si>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</si>
  <si>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</si>
  <si>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</si>
  <si>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</si>
  <si>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</si>
  <si>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</si>
  <si>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</si>
  <si>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</si>
  <si>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</si>
  <si>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</si>
  <si>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</si>
  <si>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</si>
  <si>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</si>
  <si>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</si>
  <si>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</si>
  <si>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</si>
  <si>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</si>
  <si>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</si>
  <si>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</si>
  <si>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</si>
  <si>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</si>
  <si>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</si>
  <si>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</si>
  <si>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</si>
  <si>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</si>
  <si>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</si>
  <si>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</si>
  <si>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</si>
  <si>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</si>
  <si>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</si>
  <si>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</si>
  <si>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التحضيرات وخطط التحميل القتالية لسرية الــ م  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</si>
  <si>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</si>
  <si>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</si>
  <si>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إجراء الاختبار الذاتي للمنظومة.</t>
  </si>
  <si>
    <t>جـ. تجهيز أجهزة الاتصال.</t>
  </si>
  <si>
    <t>د.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</si>
  <si>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</si>
  <si>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المناظير.</t>
  </si>
  <si>
    <t>ب. تفقد شبكة التمويه والتخفية.</t>
  </si>
  <si>
    <t>جـ. تفقد أجهزة الرؤية الليلية بالمنظومة.</t>
  </si>
  <si>
    <t>د. التأكد من وجود البطاريات وصلاحيتها.</t>
  </si>
  <si>
    <t>هـ. توفر معدات التخييم.</t>
  </si>
  <si>
    <t>و. توفر أنظمة تحديد المواقع.</t>
  </si>
  <si>
    <t>ز. قوائم تمويه الآلية.</t>
  </si>
  <si>
    <t>ح. توفر خرائط الطرق (مع الشفافات).</t>
  </si>
  <si>
    <t>ط. توفر المعدات في الآلية (كيبل فحص النظام).</t>
  </si>
  <si>
    <t xml:space="preserve">ي. إدامة سجلات الآليات. </t>
  </si>
  <si>
    <t>ك. جميع السائقين مرخص لهم بالقيادة.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</si>
  <si>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</si>
  <si>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استكمال جميع المتطلبات من الأجهزة اللاسلكية وصلاحيتها للعمل.</t>
  </si>
  <si>
    <t>ب. معدات الاتصالات الطبية متوفرة وصالحة.</t>
  </si>
  <si>
    <t>جـ. صلاحية معدات الاتصالات وعلى الترددات الصحيحة.</t>
  </si>
  <si>
    <t>د. تثبيت الهوائيات بطريقة صحيحة.</t>
  </si>
  <si>
    <t>هـ. نظافة وصلاحية الموصلات.</t>
  </si>
  <si>
    <t>و. توفر الهواتف الميدانية وصلاحيتها.</t>
  </si>
  <si>
    <t>ز. توفر البطاريات وصلاحيتها.</t>
  </si>
  <si>
    <t>ح. توفر مجموعات الأجهزة اللاسلكية كاملة.</t>
  </si>
  <si>
    <t>ط. توفر لوحات المفاتيح وصلاحيتها.</t>
  </si>
  <si>
    <t>ي. توفر أسلاك الاتصالات وصلاحيتها.</t>
  </si>
  <si>
    <t>ك. تجهيز تعليمات تشغيل الإشارة وحمايتها.</t>
  </si>
  <si>
    <t>ل. إطلاع السرية على النداءات والترددات وكلمات التحدي.</t>
  </si>
  <si>
    <t>م. اختبار الاتصالات.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</si>
  <si>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</si>
  <si>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أن تكون الحمولات وفقاً لخطة التحميل، وخطة التحميل ملصقة في الآلية.</t>
  </si>
  <si>
    <t>ب. توفير جراكن الوقود وبثبته بالشكل الصحيح.</t>
  </si>
  <si>
    <t>جـ. توفير جراكن المياه وبثبته بالشكل الصحيح.</t>
  </si>
  <si>
    <t>د. خزانات الوقود للآليات معبأة.</t>
  </si>
  <si>
    <t>هـ. زيت الأسلحة الخفيفة تكون موجودة ومتوفرة.</t>
  </si>
  <si>
    <t>و. مطرات المياه معبأة.</t>
  </si>
  <si>
    <t>ز. توفر واستكمال صناديق الإسعافات الأولية.</t>
  </si>
  <si>
    <t>ح. دليل العمل وأوامر التزييت موجودة للآليات والأجهزة اللاسلكية والمعدات ذات العلاقة.</t>
  </si>
  <si>
    <t>ط. المعدات الأساسية داخل الآلية والمواد المصروفة الأساسية موجودة.</t>
  </si>
  <si>
    <t>ي. معدات الآليات كاملة مع الأعلام.</t>
  </si>
  <si>
    <t>ك. لا يوجد نواقص في مواعيد الآليات النهائي (لا يوجد مشاكل رئيسية بالآليات).</t>
  </si>
  <si>
    <t>ل. الصيانة الدورية للآلية.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</si>
  <si>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</si>
  <si>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 xml:space="preserve">أ. نظافة وصلاحية الأسلحة. </t>
  </si>
  <si>
    <t>ب. توفر أدوات وعدة التنظيف، ومسامير التثبيت، ونتّاش ظرف الطلقات موجودة.</t>
  </si>
  <si>
    <t>جـ. توفر بطاقات المدى.</t>
  </si>
  <si>
    <t>د. صرف وحصر وحماية الذخيرة.</t>
  </si>
  <si>
    <t>هـ. صرف مخازن الأسلحة.</t>
  </si>
  <si>
    <t>و. تركيب حاصرة الغاز.</t>
  </si>
  <si>
    <t xml:space="preserve">انتهاء اغلبية صناديق اسعافات الاولية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</si>
</sst>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154467</xdr:colOff>
      <xdr:row>61</xdr:row>
      <xdr:rowOff>316280</xdr:rowOff>
    </xdr:from>
    <xdr:to>
      <xdr:col>9</xdr:col>
      <xdr:colOff>336893</xdr:colOff>
      <xdr:row>62</xdr:row>
      <xdr:rowOff>645588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66C8F35C-C1A5-DF70-D9A7-2A5946E37D76}"/>
                </a:ext>
              </a:extLst>
            </xdr14:cNvPr>
            <xdr14:cNvContentPartPr/>
          </xdr14:nvContentPartPr>
          <xdr14:nvPr macro=""/>
          <xdr14:xfrm>
            <a:off x="11438102833" y="24065280"/>
            <a:ext cx="2347200" cy="86040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66C8F35C-C1A5-DF70-D9A7-2A5946E37D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093833" y="24056280"/>
              <a:ext cx="2364840" cy="87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9:16:00.2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1131 1203,'0'0,"0"0,0 0,0 0,0 0,-17 16,0 0,17-14,-31 28,0 2,23-27,-49 70,-8 5,55-66,-43 53,5-3,38-54,-14 44,-7-6,26-40,-38 64,12-8,23-53,-1 10,26 11,-15-27,27-10,19 5,-41 0,114-32,-57 32,-54 0,221-64,123-80,-304 122,188-84,99-39,-287 123,203-116,69-38,-271 148,218-121,68-27,-287 149,205-123,34-10,-246 136,169-96,-34 7,-152 96,59-30,-4-1,-69 41,8-2,-37 9,17 0,-63 32,-67 32,111-53,-106 75,-67 26,163-95,-183 94,-11 33,189-121,-173 115,46-26,137-94,-80 44,25-14,67-41,-24 34,2-25,29-13,27-6,-20 3,13 0,33 0,-41 0,49-16,8 0,-54 14,45 4,-7-18,-40 14,16 20,-7-2,-15-13,-4 10,2 20,0-28,-34 22,19 21,13-40,-29 16,16 8,13-27,-12 22,14-11,0-13,16-6,-1 3,-13 0,13 0,16 0,-24 0,3 0,7 0,-15 0,10 0,-12 16,0-13,0 10,0-12,0 14,0-14,17-2,-15 1,-4-16,19 0,-15 14,27-12,-12-2,-15 13,10-10,-2 5,-20 0,-4 24,11-14,-28 12,0 2,26-14,-21 28,-8 2,32-27,-27 22,-3 5,28-27,8 6,-4-3,32-32,47-24,-67 40,120-48,61-40,-160 80,160-80,47-17,-201 96,211-94,39-17,-244 107,165-54,47-6,-216 69,159-56,-39 20,-135 40,58-16,-2 8,-67 13,1 6,1-3,-65 16,31 0,15-13,-61 26,-81 35,120-53,-144 58,-73 44,205-96,-183 62,-70 17,246-82,-202 68,-29 15,230-82,-215 50,-30-1,243-54,-230 60,-27 10,254-67,-225 70,-14-2,244-69,-167 72,-47-4,217-67,-141 70,-11-19,164-54,-134 44,-15 11,151-55,-105 44,-12 10,120-54,-82 44,-5-6,94-41,-48 34,3-9,52-27,-45 6,7 5,41-13,-18 10,-8-13,28 0,-21 16,9-16,17 0,-15 0,6 0,1 0,1 0,31 0,8-16,-1 0,-26 14,55-28,84-34,-125 56,138-64,52-8,-178 67,195-86,63-14,-246 96,234-94,-5-17,-229 108,219-105,44-3,-261 109,198-106,46-19,-243 121,180-83,14-22,-204 109,137-74,-45 13,-109 67,58-23,3-12,-68 41,24-18,-36 9,0 14,0-12,0-2,0 14,-15-28,-18 14,28 13,-39-10,-18-19,52 27,-45-6,-10-21,55 27,-43-22,5-5,39 26,-30-20,6 10,28 13,-39-10,30-4,12 15,-30-12,18 14,12 0,-13 0,15 16,0-13,0 11,-17 18,17-27,0 22,0 21,0-40,-14 48,-3 40,15-80,4 80,-19 17,17-95,0 60,0 34,0-94,17 76,0-13,-15-68,58 70,22-3,-70-68,72 72,61-4,-121-66,96 52,39-1,-133-55,61 12,26-6,-96-14,62 12,-16-14,-51 0,24 16,29-16,-56 0,30 16,-8 0,-26-14,7-4,-12 18,0-14,-31 12,-51 18,70-27,-104 38,-45 5,137-40,-144 16,-8 24,147-40,-103 16,21-8,92-13,-43-6,13-13,45 14,-6-12,10-2,0 14,14-28,20-18,-29 41,86-82,68-23,-135 95,161-95,73-32,-220 121,212-98,53 9,-254 95,191-79,34 0,-233 81,190-66,10 17,-203 54,99-28,8-10,-121 40,48 0,9 8,-71 0,12 0,-5 0,-17 16,-49-16,40 0,-63 32,-87 32,135-54,-178 44,-53 42,212-80,-236 80,-73 17,295-95,-239 108,-58-14,299-94,-226 92,-56 19,284-109,-214 72,-39 20,258-94,-175 76,-18 3,205-83,-89 36,14-2,92-40,-44 16,32-8,26-13,10-22,26 3,-23 13,-16 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D47" zoomScale="130" zoomScaleNormal="100" zoomScaleSheetLayoutView="130" workbookViewId="0">
      <selection activeCell="G63" sqref="G63:J63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31640625" style="1" customWidth="1"/>
    <col min="8" max="8" width="9.31640625" style="3" customWidth="1"/>
    <col min="9" max="9" width="9.31640625" style="1" customWidth="1"/>
    <col min="10" max="10" width="15.4453125" style="1" customWidth="1"/>
    <col min="11" max="16384" width="8.94921875" style="1"/>
  </cols>
  <sheetData>
    <row r="1" spans="1:10" ht="45" customHeight="1">
      <c r="B1" s="45" t="s">
        <v>180</v>
      </c>
      <c r="C1" s="45"/>
      <c r="D1" s="45"/>
      <c r="E1" s="45"/>
      <c r="F1" s="45"/>
      <c r="G1" s="45"/>
      <c r="H1" s="45"/>
      <c r="I1" s="45"/>
      <c r="J1" s="45"/>
    </row>
    <row r="2" spans="1:10" ht="30" customHeight="1">
      <c r="B2" s="13" t="s">
        <v>8</v>
      </c>
      <c r="C2" s="51" t="s">
        <v>27</v>
      </c>
      <c r="D2" s="51"/>
      <c r="E2" s="13" t="s">
        <v>7</v>
      </c>
      <c r="F2" s="46">
        <v>45929</v>
      </c>
      <c r="G2" s="46"/>
      <c r="H2" s="46"/>
      <c r="I2" s="46"/>
      <c r="J2" s="46"/>
    </row>
    <row r="3" spans="1:10" ht="30" customHeight="1">
      <c r="B3" s="13" t="s">
        <v>9</v>
      </c>
      <c r="C3" s="51" t="s">
        <v>70</v>
      </c>
      <c r="D3" s="51"/>
      <c r="E3" s="13" t="s">
        <v>6</v>
      </c>
      <c r="F3" s="51" t="s">
        <v>115</v>
      </c>
      <c r="G3" s="51"/>
      <c r="H3" s="51"/>
      <c r="I3" s="51"/>
      <c r="J3" s="51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47" t="s">
        <v>0</v>
      </c>
      <c r="C5" s="48"/>
      <c r="D5" s="48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>
      <c r="A6" s="11"/>
      <c r="B6" s="49"/>
      <c r="C6" s="50"/>
      <c r="D6" s="50"/>
      <c r="E6" s="12" t="s">
        <v>3</v>
      </c>
      <c r="F6" s="12" t="s">
        <v>4</v>
      </c>
      <c r="G6" s="12" t="s">
        <v>23</v>
      </c>
      <c r="H6" s="12" t="s">
        <v>24</v>
      </c>
      <c r="I6" s="62"/>
      <c r="J6" s="63"/>
    </row>
    <row r="7" spans="1:10" ht="24.95" customHeight="1" thickBot="1">
      <c r="A7" s="11"/>
      <c r="B7" s="54" t="s">
        <v>21</v>
      </c>
      <c r="C7" s="55"/>
      <c r="D7" s="55"/>
      <c r="E7" s="29" t="s">
        <v>18</v>
      </c>
      <c r="F7" s="29" t="s">
        <v>19</v>
      </c>
      <c r="G7" s="29" t="s">
        <v>22</v>
      </c>
      <c r="H7" s="29" t="s">
        <v>20</v>
      </c>
      <c r="I7" s="64" t="s">
        <v>25</v>
      </c>
      <c r="J7" s="65"/>
    </row>
    <row r="8" spans="1:10" ht="30" customHeight="1">
      <c r="A8" s="11"/>
      <c r="B8" s="75" t="s">
        <v>181</v>
      </c>
      <c r="C8" s="76"/>
      <c r="D8" s="76"/>
      <c r="E8" s="32"/>
      <c r="F8" s="33"/>
      <c r="G8" s="34"/>
      <c r="H8" s="35"/>
      <c r="I8" s="58"/>
      <c r="J8" s="59"/>
    </row>
    <row r="9" spans="1:10" ht="30" customHeight="1">
      <c r="A9" s="11"/>
      <c r="B9" s="77" t="s">
        <v>182</v>
      </c>
      <c r="C9" s="78"/>
      <c r="D9" s="78"/>
      <c r="E9" s="9">
        <v>5</v>
      </c>
      <c r="F9" s="27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0" customHeight="1">
      <c r="A10" s="11"/>
      <c r="B10" s="77" t="s">
        <v>183</v>
      </c>
      <c r="C10" s="78"/>
      <c r="D10" s="78"/>
      <c r="E10" s="9">
        <v>5</v>
      </c>
      <c r="F10" s="27">
        <v>3.75</v>
      </c>
      <c r="G10" s="30">
        <f t="shared" ref="G10:G58" si="0">IFERROR(F10/E10,"")</f>
        <v>0.75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0" customHeight="1">
      <c r="A11" s="11"/>
      <c r="B11" s="77" t="s">
        <v>184</v>
      </c>
      <c r="C11" s="78"/>
      <c r="D11" s="78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43"/>
      <c r="J11" s="44"/>
    </row>
    <row r="12" spans="1:10" ht="30" customHeight="1" thickBot="1">
      <c r="A12" s="11"/>
      <c r="B12" s="79" t="s">
        <v>185</v>
      </c>
      <c r="C12" s="80"/>
      <c r="D12" s="80"/>
      <c r="E12" s="36">
        <v>5</v>
      </c>
      <c r="F12" s="28">
        <v>3.75</v>
      </c>
      <c r="G12" s="37">
        <f t="shared" si="0"/>
        <v>0.75</v>
      </c>
      <c r="H12" s="38" t="str">
        <f t="shared" si="1"/>
        <v>جيد</v>
      </c>
      <c r="I12" s="56"/>
      <c r="J12" s="57"/>
    </row>
    <row r="13" spans="1:10" ht="30" customHeight="1">
      <c r="A13" s="11"/>
      <c r="B13" s="75" t="s">
        <v>186</v>
      </c>
      <c r="C13" s="76"/>
      <c r="D13" s="76"/>
      <c r="E13" s="32"/>
      <c r="F13" s="33"/>
      <c r="G13" s="34"/>
      <c r="H13" s="35"/>
      <c r="I13" s="58"/>
      <c r="J13" s="59"/>
    </row>
    <row r="14" spans="1:10" ht="30" customHeight="1">
      <c r="A14" s="11"/>
      <c r="B14" s="77" t="s">
        <v>187</v>
      </c>
      <c r="C14" s="78"/>
      <c r="D14" s="78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43"/>
      <c r="J14" s="44"/>
    </row>
    <row r="15" spans="1:10" ht="30" customHeight="1">
      <c r="A15" s="11"/>
      <c r="B15" s="77" t="s">
        <v>188</v>
      </c>
      <c r="C15" s="78"/>
      <c r="D15" s="78"/>
      <c r="E15" s="9">
        <v>5</v>
      </c>
      <c r="F15" s="27">
        <v>4</v>
      </c>
      <c r="G15" s="30">
        <f t="shared" si="0"/>
        <v>0.8</v>
      </c>
      <c r="H15" s="31" t="str">
        <f t="shared" si="1"/>
        <v>جيد جداً</v>
      </c>
      <c r="I15" s="43"/>
      <c r="J15" s="44"/>
    </row>
    <row r="16" spans="1:10" ht="30" customHeight="1">
      <c r="A16" s="11"/>
      <c r="B16" s="77" t="s">
        <v>189</v>
      </c>
      <c r="C16" s="78"/>
      <c r="D16" s="78"/>
      <c r="E16" s="9">
        <v>5</v>
      </c>
      <c r="F16" s="27">
        <v>4</v>
      </c>
      <c r="G16" s="30">
        <f t="shared" si="0"/>
        <v>0.8</v>
      </c>
      <c r="H16" s="31" t="str">
        <f t="shared" si="1"/>
        <v>جيد جداً</v>
      </c>
      <c r="I16" s="43"/>
      <c r="J16" s="44"/>
    </row>
    <row r="17" spans="1:10" ht="30" customHeight="1">
      <c r="A17" s="11"/>
      <c r="B17" s="77" t="s">
        <v>190</v>
      </c>
      <c r="C17" s="78"/>
      <c r="D17" s="78"/>
      <c r="E17" s="9">
        <v>5</v>
      </c>
      <c r="F17" s="27">
        <v>4</v>
      </c>
      <c r="G17" s="30">
        <f t="shared" si="0"/>
        <v>0.8</v>
      </c>
      <c r="H17" s="31" t="str">
        <f t="shared" si="1"/>
        <v>جيد جداً</v>
      </c>
      <c r="I17" s="43"/>
      <c r="J17" s="44"/>
    </row>
    <row r="18" spans="1:10" ht="30" customHeight="1">
      <c r="A18" s="11"/>
      <c r="B18" s="77" t="s">
        <v>191</v>
      </c>
      <c r="C18" s="78"/>
      <c r="D18" s="78"/>
      <c r="E18" s="9">
        <v>5</v>
      </c>
      <c r="F18" s="27">
        <v>3.5</v>
      </c>
      <c r="G18" s="30">
        <f t="shared" si="0"/>
        <v>0.7</v>
      </c>
      <c r="H18" s="31" t="str">
        <f t="shared" si="1"/>
        <v>جيد</v>
      </c>
      <c r="I18" s="43"/>
      <c r="J18" s="44"/>
    </row>
    <row r="19" spans="1:10" ht="30" customHeight="1">
      <c r="A19" s="11"/>
      <c r="B19" s="77" t="s">
        <v>192</v>
      </c>
      <c r="C19" s="78"/>
      <c r="D19" s="78"/>
      <c r="E19" s="9">
        <v>5</v>
      </c>
      <c r="F19" s="27">
        <v>3.5</v>
      </c>
      <c r="G19" s="30">
        <f t="shared" si="0"/>
        <v>0.7</v>
      </c>
      <c r="H19" s="31" t="str">
        <f t="shared" si="1"/>
        <v>جيد</v>
      </c>
      <c r="I19" s="43"/>
      <c r="J19" s="44"/>
    </row>
    <row r="20" spans="1:10" ht="30" customHeight="1">
      <c r="A20" s="11"/>
      <c r="B20" s="77" t="s">
        <v>193</v>
      </c>
      <c r="C20" s="78"/>
      <c r="D20" s="78"/>
      <c r="E20" s="9">
        <v>5</v>
      </c>
      <c r="F20" s="27">
        <v>4</v>
      </c>
      <c r="G20" s="30">
        <f t="shared" si="0"/>
        <v>0.8</v>
      </c>
      <c r="H20" s="31" t="str">
        <f t="shared" si="1"/>
        <v>جيد جداً</v>
      </c>
      <c r="I20" s="43"/>
      <c r="J20" s="44"/>
    </row>
    <row r="21" spans="1:10" ht="30" customHeight="1">
      <c r="A21" s="11"/>
      <c r="B21" s="77" t="s">
        <v>194</v>
      </c>
      <c r="C21" s="78"/>
      <c r="D21" s="78"/>
      <c r="E21" s="9">
        <v>5</v>
      </c>
      <c r="F21" s="27">
        <v>3.5</v>
      </c>
      <c r="G21" s="30">
        <f t="shared" si="0"/>
        <v>0.7</v>
      </c>
      <c r="H21" s="31" t="str">
        <f t="shared" si="1"/>
        <v>جيد</v>
      </c>
      <c r="I21" s="43"/>
      <c r="J21" s="44"/>
    </row>
    <row r="22" spans="1:10" ht="30" customHeight="1">
      <c r="A22" s="11"/>
      <c r="B22" s="77" t="s">
        <v>195</v>
      </c>
      <c r="C22" s="78"/>
      <c r="D22" s="78"/>
      <c r="E22" s="9">
        <v>5</v>
      </c>
      <c r="F22" s="27">
        <v>3.75</v>
      </c>
      <c r="G22" s="30">
        <f t="shared" si="0"/>
        <v>0.75</v>
      </c>
      <c r="H22" s="31" t="str">
        <f t="shared" si="1"/>
        <v>جيد</v>
      </c>
      <c r="I22" s="43"/>
      <c r="J22" s="44"/>
    </row>
    <row r="23" spans="1:10" ht="30" customHeight="1">
      <c r="A23" s="11"/>
      <c r="B23" s="77" t="s">
        <v>196</v>
      </c>
      <c r="C23" s="78"/>
      <c r="D23" s="78"/>
      <c r="E23" s="9">
        <v>5</v>
      </c>
      <c r="F23" s="27">
        <v>3.75</v>
      </c>
      <c r="G23" s="30">
        <f t="shared" si="0"/>
        <v>0.75</v>
      </c>
      <c r="H23" s="31" t="str">
        <f t="shared" si="1"/>
        <v>جيد</v>
      </c>
      <c r="I23" s="43"/>
      <c r="J23" s="44"/>
    </row>
    <row r="24" spans="1:10" ht="30" customHeight="1" thickBot="1">
      <c r="A24" s="11"/>
      <c r="B24" s="79" t="s">
        <v>197</v>
      </c>
      <c r="C24" s="80"/>
      <c r="D24" s="80"/>
      <c r="E24" s="36">
        <v>5</v>
      </c>
      <c r="F24" s="28">
        <v>3.75</v>
      </c>
      <c r="G24" s="37">
        <f t="shared" si="0"/>
        <v>0.75</v>
      </c>
      <c r="H24" s="38" t="str">
        <f t="shared" si="1"/>
        <v>جيد</v>
      </c>
      <c r="I24" s="56"/>
      <c r="J24" s="57"/>
    </row>
    <row r="25" spans="1:10" ht="30" customHeight="1">
      <c r="A25" s="11"/>
      <c r="B25" s="75" t="s">
        <v>198</v>
      </c>
      <c r="C25" s="76"/>
      <c r="D25" s="76"/>
      <c r="E25" s="32"/>
      <c r="F25" s="33"/>
      <c r="G25" s="34"/>
      <c r="H25" s="35"/>
      <c r="I25" s="58"/>
      <c r="J25" s="59"/>
    </row>
    <row r="26" spans="1:10" ht="30" customHeight="1">
      <c r="A26" s="11"/>
      <c r="B26" s="77" t="s">
        <v>199</v>
      </c>
      <c r="C26" s="78"/>
      <c r="D26" s="78"/>
      <c r="E26" s="9">
        <v>5</v>
      </c>
      <c r="F26" s="27">
        <v>3.75</v>
      </c>
      <c r="G26" s="30">
        <f t="shared" si="0"/>
        <v>0.75</v>
      </c>
      <c r="H26" s="31" t="str">
        <f t="shared" si="1"/>
        <v>جيد</v>
      </c>
      <c r="I26" s="43"/>
      <c r="J26" s="44"/>
    </row>
    <row r="27" spans="1:10" ht="30" customHeight="1">
      <c r="A27" s="11"/>
      <c r="B27" s="77" t="s">
        <v>200</v>
      </c>
      <c r="C27" s="78"/>
      <c r="D27" s="78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43"/>
      <c r="J27" s="44"/>
    </row>
    <row r="28" spans="1:10" ht="30" customHeight="1">
      <c r="A28" s="11"/>
      <c r="B28" s="77" t="s">
        <v>201</v>
      </c>
      <c r="C28" s="78"/>
      <c r="D28" s="78"/>
      <c r="E28" s="9">
        <v>5</v>
      </c>
      <c r="F28" s="27">
        <v>3.75</v>
      </c>
      <c r="G28" s="30">
        <f t="shared" si="0"/>
        <v>0.75</v>
      </c>
      <c r="H28" s="31" t="str">
        <f t="shared" si="1"/>
        <v>جيد</v>
      </c>
      <c r="I28" s="43"/>
      <c r="J28" s="44"/>
    </row>
    <row r="29" spans="1:10" ht="30" customHeight="1">
      <c r="A29" s="11"/>
      <c r="B29" s="77" t="s">
        <v>202</v>
      </c>
      <c r="C29" s="78"/>
      <c r="D29" s="78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3"/>
      <c r="J29" s="44"/>
    </row>
    <row r="30" spans="1:10" ht="30" customHeight="1">
      <c r="A30" s="11"/>
      <c r="B30" s="77" t="s">
        <v>203</v>
      </c>
      <c r="C30" s="78"/>
      <c r="D30" s="78"/>
      <c r="E30" s="9">
        <v>5</v>
      </c>
      <c r="F30" s="27">
        <v>3.5</v>
      </c>
      <c r="G30" s="30">
        <f t="shared" si="0"/>
        <v>0.7</v>
      </c>
      <c r="H30" s="31" t="str">
        <f t="shared" si="1"/>
        <v>جيد</v>
      </c>
      <c r="I30" s="43"/>
      <c r="J30" s="44"/>
    </row>
    <row r="31" spans="1:10" ht="30" customHeight="1">
      <c r="A31" s="11"/>
      <c r="B31" s="77" t="s">
        <v>204</v>
      </c>
      <c r="C31" s="78"/>
      <c r="D31" s="78"/>
      <c r="E31" s="9">
        <v>5</v>
      </c>
      <c r="F31" s="27" t="s">
        <v>17</v>
      </c>
      <c r="G31" s="30" t="str">
        <f t="shared" si="0"/>
        <v/>
      </c>
      <c r="H31" s="31" t="str">
        <f t="shared" si="1"/>
        <v>تم الإلغاء</v>
      </c>
      <c r="I31" s="43"/>
      <c r="J31" s="44"/>
    </row>
    <row r="32" spans="1:10" ht="30" customHeight="1">
      <c r="A32" s="11"/>
      <c r="B32" s="77" t="s">
        <v>205</v>
      </c>
      <c r="C32" s="78"/>
      <c r="D32" s="78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43"/>
      <c r="J32" s="44"/>
    </row>
    <row r="33" spans="1:10" ht="30" customHeight="1">
      <c r="A33" s="11"/>
      <c r="B33" s="77" t="s">
        <v>206</v>
      </c>
      <c r="C33" s="78"/>
      <c r="D33" s="78"/>
      <c r="E33" s="9">
        <v>5</v>
      </c>
      <c r="F33" s="27">
        <v>3.75</v>
      </c>
      <c r="G33" s="30">
        <f t="shared" si="0"/>
        <v>0.75</v>
      </c>
      <c r="H33" s="31" t="str">
        <f t="shared" si="1"/>
        <v>جيد</v>
      </c>
      <c r="I33" s="43"/>
      <c r="J33" s="44"/>
    </row>
    <row r="34" spans="1:10" ht="30" customHeight="1">
      <c r="A34" s="11"/>
      <c r="B34" s="77" t="s">
        <v>207</v>
      </c>
      <c r="C34" s="78"/>
      <c r="D34" s="78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43"/>
      <c r="J34" s="44"/>
    </row>
    <row r="35" spans="1:10" ht="30" customHeight="1">
      <c r="A35" s="11"/>
      <c r="B35" s="77" t="s">
        <v>208</v>
      </c>
      <c r="C35" s="78"/>
      <c r="D35" s="78"/>
      <c r="E35" s="9">
        <v>5</v>
      </c>
      <c r="F35" s="27">
        <v>3.75</v>
      </c>
      <c r="G35" s="30">
        <f t="shared" si="0"/>
        <v>0.75</v>
      </c>
      <c r="H35" s="31" t="str">
        <f t="shared" si="1"/>
        <v>جيد</v>
      </c>
      <c r="I35" s="43"/>
      <c r="J35" s="44"/>
    </row>
    <row r="36" spans="1:10" ht="30" customHeight="1">
      <c r="A36" s="11"/>
      <c r="B36" s="77" t="s">
        <v>209</v>
      </c>
      <c r="C36" s="78"/>
      <c r="D36" s="78"/>
      <c r="E36" s="9">
        <v>5</v>
      </c>
      <c r="F36" s="27">
        <v>3.5</v>
      </c>
      <c r="G36" s="30">
        <f t="shared" si="0"/>
        <v>0.7</v>
      </c>
      <c r="H36" s="31" t="str">
        <f t="shared" si="1"/>
        <v>جيد</v>
      </c>
      <c r="I36" s="43"/>
      <c r="J36" s="44"/>
    </row>
    <row r="37" spans="1:10" ht="30" customHeight="1">
      <c r="A37" s="11"/>
      <c r="B37" s="77" t="s">
        <v>210</v>
      </c>
      <c r="C37" s="78"/>
      <c r="D37" s="78"/>
      <c r="E37" s="9">
        <v>5</v>
      </c>
      <c r="F37" s="27">
        <v>3.5</v>
      </c>
      <c r="G37" s="30">
        <f t="shared" si="0"/>
        <v>0.7</v>
      </c>
      <c r="H37" s="31" t="str">
        <f t="shared" si="1"/>
        <v>جيد</v>
      </c>
      <c r="I37" s="43"/>
      <c r="J37" s="44"/>
    </row>
    <row r="38" spans="1:10" ht="30" customHeight="1" thickBot="1">
      <c r="A38" s="11"/>
      <c r="B38" s="79" t="s">
        <v>211</v>
      </c>
      <c r="C38" s="80"/>
      <c r="D38" s="80"/>
      <c r="E38" s="36">
        <v>5</v>
      </c>
      <c r="F38" s="28">
        <v>3.5</v>
      </c>
      <c r="G38" s="37">
        <f t="shared" si="0"/>
        <v>0.7</v>
      </c>
      <c r="H38" s="38" t="str">
        <f t="shared" si="1"/>
        <v>جيد</v>
      </c>
      <c r="I38" s="56"/>
      <c r="J38" s="57"/>
    </row>
    <row r="39" spans="1:10" ht="30" customHeight="1">
      <c r="A39" s="11"/>
      <c r="B39" s="75" t="s">
        <v>212</v>
      </c>
      <c r="C39" s="76"/>
      <c r="D39" s="76"/>
      <c r="E39" s="32"/>
      <c r="F39" s="33"/>
      <c r="G39" s="34"/>
      <c r="H39" s="35"/>
      <c r="I39" s="58"/>
      <c r="J39" s="59"/>
    </row>
    <row r="40" spans="1:10" ht="39.950000000000003" customHeight="1">
      <c r="A40" s="11"/>
      <c r="B40" s="77" t="s">
        <v>213</v>
      </c>
      <c r="C40" s="78"/>
      <c r="D40" s="78"/>
      <c r="E40" s="9">
        <v>5</v>
      </c>
      <c r="F40" s="27">
        <v>3.75</v>
      </c>
      <c r="G40" s="30">
        <f t="shared" si="0"/>
        <v>0.75</v>
      </c>
      <c r="H40" s="31" t="str">
        <f t="shared" si="1"/>
        <v>جيد</v>
      </c>
      <c r="I40" s="43"/>
      <c r="J40" s="44"/>
    </row>
    <row r="41" spans="1:10" ht="30" customHeight="1">
      <c r="A41" s="11"/>
      <c r="B41" s="77" t="s">
        <v>214</v>
      </c>
      <c r="C41" s="78"/>
      <c r="D41" s="78"/>
      <c r="E41" s="9">
        <v>5</v>
      </c>
      <c r="F41" s="27">
        <v>3.75</v>
      </c>
      <c r="G41" s="30">
        <f t="shared" si="0"/>
        <v>0.75</v>
      </c>
      <c r="H41" s="31" t="str">
        <f t="shared" si="1"/>
        <v>جيد</v>
      </c>
      <c r="I41" s="43"/>
      <c r="J41" s="44"/>
    </row>
    <row r="42" spans="1:10" ht="30" customHeight="1">
      <c r="A42" s="11"/>
      <c r="B42" s="77" t="s">
        <v>215</v>
      </c>
      <c r="C42" s="78"/>
      <c r="D42" s="78"/>
      <c r="E42" s="9">
        <v>5</v>
      </c>
      <c r="F42" s="27">
        <v>3.75</v>
      </c>
      <c r="G42" s="30">
        <f t="shared" si="0"/>
        <v>0.75</v>
      </c>
      <c r="H42" s="31" t="str">
        <f t="shared" si="1"/>
        <v>جيد</v>
      </c>
      <c r="I42" s="43"/>
      <c r="J42" s="44"/>
    </row>
    <row r="43" spans="1:10" ht="30" customHeight="1">
      <c r="A43" s="11"/>
      <c r="B43" s="77" t="s">
        <v>216</v>
      </c>
      <c r="C43" s="78"/>
      <c r="D43" s="78"/>
      <c r="E43" s="9">
        <v>5</v>
      </c>
      <c r="F43" s="27">
        <v>4</v>
      </c>
      <c r="G43" s="30">
        <f t="shared" si="0"/>
        <v>0.8</v>
      </c>
      <c r="H43" s="31" t="str">
        <f t="shared" si="1"/>
        <v>جيد جداً</v>
      </c>
      <c r="I43" s="43"/>
      <c r="J43" s="44"/>
    </row>
    <row r="44" spans="1:10" ht="30" customHeight="1">
      <c r="A44" s="11"/>
      <c r="B44" s="77" t="s">
        <v>217</v>
      </c>
      <c r="C44" s="78"/>
      <c r="D44" s="78"/>
      <c r="E44" s="9">
        <v>5</v>
      </c>
      <c r="F44" s="27">
        <v>3.5</v>
      </c>
      <c r="G44" s="30">
        <f t="shared" si="0"/>
        <v>0.7</v>
      </c>
      <c r="H44" s="31" t="str">
        <f t="shared" si="1"/>
        <v>جيد</v>
      </c>
      <c r="I44" s="43"/>
      <c r="J44" s="44"/>
    </row>
    <row r="45" spans="1:10" ht="30" customHeight="1">
      <c r="A45" s="11"/>
      <c r="B45" s="77" t="s">
        <v>218</v>
      </c>
      <c r="C45" s="78"/>
      <c r="D45" s="78"/>
      <c r="E45" s="9">
        <v>5</v>
      </c>
      <c r="F45" s="27">
        <v>3.5</v>
      </c>
      <c r="G45" s="30">
        <f t="shared" si="0"/>
        <v>0.7</v>
      </c>
      <c r="H45" s="31" t="str">
        <f t="shared" si="1"/>
        <v>جيد</v>
      </c>
      <c r="I45" s="43"/>
      <c r="J45" s="44"/>
    </row>
    <row r="46" spans="1:10" ht="30" customHeight="1">
      <c r="A46" s="11"/>
      <c r="B46" s="77" t="s">
        <v>219</v>
      </c>
      <c r="C46" s="78"/>
      <c r="D46" s="78"/>
      <c r="E46" s="9">
        <v>5</v>
      </c>
      <c r="F46" s="27">
        <v>3.5</v>
      </c>
      <c r="G46" s="30">
        <f t="shared" si="0"/>
        <v>0.7</v>
      </c>
      <c r="H46" s="31" t="str">
        <f t="shared" si="1"/>
        <v>جيد</v>
      </c>
      <c r="I46" s="43" t="s">
        <v>232</v>
      </c>
      <c r="J46" s="44"/>
    </row>
    <row r="47" spans="1:10" ht="39.950000000000003" customHeight="1">
      <c r="A47" s="11"/>
      <c r="B47" s="77" t="s">
        <v>220</v>
      </c>
      <c r="C47" s="78"/>
      <c r="D47" s="78"/>
      <c r="E47" s="9">
        <v>5</v>
      </c>
      <c r="F47" s="27">
        <v>3.5</v>
      </c>
      <c r="G47" s="30">
        <f t="shared" si="0"/>
        <v>0.7</v>
      </c>
      <c r="H47" s="31" t="str">
        <f t="shared" si="1"/>
        <v>جيد</v>
      </c>
      <c r="I47" s="43"/>
      <c r="J47" s="44"/>
    </row>
    <row r="48" spans="1:10" ht="30" customHeight="1">
      <c r="A48" s="11"/>
      <c r="B48" s="77" t="s">
        <v>221</v>
      </c>
      <c r="C48" s="78"/>
      <c r="D48" s="78"/>
      <c r="E48" s="9">
        <v>5</v>
      </c>
      <c r="F48" s="27">
        <v>3.75</v>
      </c>
      <c r="G48" s="30">
        <f t="shared" si="0"/>
        <v>0.75</v>
      </c>
      <c r="H48" s="31" t="str">
        <f t="shared" si="1"/>
        <v>جيد</v>
      </c>
      <c r="I48" s="43"/>
      <c r="J48" s="44"/>
    </row>
    <row r="49" spans="1:10" ht="30" customHeight="1">
      <c r="A49" s="11"/>
      <c r="B49" s="77" t="s">
        <v>222</v>
      </c>
      <c r="C49" s="78"/>
      <c r="D49" s="78"/>
      <c r="E49" s="9">
        <v>5</v>
      </c>
      <c r="F49" s="27">
        <v>3.75</v>
      </c>
      <c r="G49" s="30">
        <f t="shared" si="0"/>
        <v>0.75</v>
      </c>
      <c r="H49" s="31" t="str">
        <f t="shared" si="1"/>
        <v>جيد</v>
      </c>
      <c r="I49" s="43"/>
      <c r="J49" s="44"/>
    </row>
    <row r="50" spans="1:10" ht="39.950000000000003" customHeight="1">
      <c r="A50" s="11"/>
      <c r="B50" s="77" t="s">
        <v>223</v>
      </c>
      <c r="C50" s="78"/>
      <c r="D50" s="78"/>
      <c r="E50" s="9">
        <v>5</v>
      </c>
      <c r="F50" s="27">
        <v>4</v>
      </c>
      <c r="G50" s="30">
        <f t="shared" si="0"/>
        <v>0.8</v>
      </c>
      <c r="H50" s="31" t="str">
        <f t="shared" si="1"/>
        <v>جيد جداً</v>
      </c>
      <c r="I50" s="43"/>
      <c r="J50" s="44"/>
    </row>
    <row r="51" spans="1:10" ht="30" customHeight="1" thickBot="1">
      <c r="A51" s="11"/>
      <c r="B51" s="79" t="s">
        <v>224</v>
      </c>
      <c r="C51" s="80"/>
      <c r="D51" s="80"/>
      <c r="E51" s="36">
        <v>5</v>
      </c>
      <c r="F51" s="28">
        <v>3.75</v>
      </c>
      <c r="G51" s="37">
        <f t="shared" si="0"/>
        <v>0.75</v>
      </c>
      <c r="H51" s="38" t="str">
        <f t="shared" si="1"/>
        <v>جيد</v>
      </c>
      <c r="I51" s="56"/>
      <c r="J51" s="57"/>
    </row>
    <row r="52" spans="1:10" ht="30" customHeight="1">
      <c r="A52" s="11"/>
      <c r="B52" s="75" t="s">
        <v>225</v>
      </c>
      <c r="C52" s="76"/>
      <c r="D52" s="76"/>
      <c r="E52" s="32"/>
      <c r="F52" s="33"/>
      <c r="G52" s="34"/>
      <c r="H52" s="35"/>
      <c r="I52" s="58"/>
      <c r="J52" s="59"/>
    </row>
    <row r="53" spans="1:10" ht="30" customHeight="1">
      <c r="A53" s="11"/>
      <c r="B53" s="77" t="s">
        <v>226</v>
      </c>
      <c r="C53" s="78"/>
      <c r="D53" s="78"/>
      <c r="E53" s="9">
        <v>5</v>
      </c>
      <c r="F53" s="27">
        <v>3.75</v>
      </c>
      <c r="G53" s="30">
        <f t="shared" si="0"/>
        <v>0.75</v>
      </c>
      <c r="H53" s="31" t="str">
        <f t="shared" si="1"/>
        <v>جيد</v>
      </c>
      <c r="I53" s="43"/>
      <c r="J53" s="44"/>
    </row>
    <row r="54" spans="1:10" ht="39.950000000000003" customHeight="1">
      <c r="A54" s="11"/>
      <c r="B54" s="77" t="s">
        <v>227</v>
      </c>
      <c r="C54" s="78"/>
      <c r="D54" s="78"/>
      <c r="E54" s="9">
        <v>5</v>
      </c>
      <c r="F54" s="27">
        <v>4</v>
      </c>
      <c r="G54" s="30">
        <f t="shared" si="0"/>
        <v>0.8</v>
      </c>
      <c r="H54" s="31" t="str">
        <f t="shared" si="1"/>
        <v>جيد جداً</v>
      </c>
      <c r="I54" s="43"/>
      <c r="J54" s="44"/>
    </row>
    <row r="55" spans="1:10" ht="30" customHeight="1">
      <c r="A55" s="11"/>
      <c r="B55" s="77" t="s">
        <v>228</v>
      </c>
      <c r="C55" s="78"/>
      <c r="D55" s="78"/>
      <c r="E55" s="9">
        <v>5</v>
      </c>
      <c r="F55" s="27">
        <v>3.75</v>
      </c>
      <c r="G55" s="30">
        <f t="shared" si="0"/>
        <v>0.75</v>
      </c>
      <c r="H55" s="31" t="str">
        <f t="shared" si="1"/>
        <v>جيد</v>
      </c>
      <c r="I55" s="43"/>
      <c r="J55" s="44"/>
    </row>
    <row r="56" spans="1:10" ht="30" customHeight="1">
      <c r="A56" s="11"/>
      <c r="B56" s="77" t="s">
        <v>229</v>
      </c>
      <c r="C56" s="78"/>
      <c r="D56" s="78"/>
      <c r="E56" s="9">
        <v>5</v>
      </c>
      <c r="F56" s="27">
        <v>3.5</v>
      </c>
      <c r="G56" s="30">
        <f t="shared" si="0"/>
        <v>0.7</v>
      </c>
      <c r="H56" s="31" t="str">
        <f t="shared" si="1"/>
        <v>جيد</v>
      </c>
      <c r="I56" s="43"/>
      <c r="J56" s="44"/>
    </row>
    <row r="57" spans="1:10" ht="30" customHeight="1">
      <c r="A57" s="11"/>
      <c r="B57" s="77" t="s">
        <v>230</v>
      </c>
      <c r="C57" s="78"/>
      <c r="D57" s="78"/>
      <c r="E57" s="9">
        <v>5</v>
      </c>
      <c r="F57" s="27">
        <v>3.75</v>
      </c>
      <c r="G57" s="30">
        <f t="shared" si="0"/>
        <v>0.75</v>
      </c>
      <c r="H57" s="31" t="str">
        <f t="shared" si="1"/>
        <v>جيد</v>
      </c>
      <c r="I57" s="43"/>
      <c r="J57" s="44"/>
    </row>
    <row r="58" spans="1:10" ht="30" customHeight="1" thickBot="1">
      <c r="A58" s="11"/>
      <c r="B58" s="79" t="s">
        <v>231</v>
      </c>
      <c r="C58" s="80"/>
      <c r="D58" s="80"/>
      <c r="E58" s="36">
        <v>5</v>
      </c>
      <c r="F58" s="28">
        <v>3.5</v>
      </c>
      <c r="G58" s="37">
        <f t="shared" si="0"/>
        <v>0.7</v>
      </c>
      <c r="H58" s="38" t="str">
        <f t="shared" si="1"/>
        <v>جيد</v>
      </c>
      <c r="I58" s="56"/>
      <c r="J58" s="57"/>
    </row>
    <row r="59" spans="1:10" ht="30" customHeight="1" thickBot="1">
      <c r="A59" s="4"/>
      <c r="B59" s="73" t="s">
        <v>5</v>
      </c>
      <c r="C59" s="74"/>
      <c r="D59" s="74"/>
      <c r="E59" s="10">
        <f>SUM(E8:E58)</f>
        <v>230</v>
      </c>
      <c r="F59" s="10">
        <f>SUM(F8:F58)</f>
        <v>167</v>
      </c>
      <c r="G59" s="40"/>
      <c r="H59" s="41"/>
      <c r="I59" s="41"/>
      <c r="J59" s="42"/>
    </row>
    <row r="60" spans="1:10" ht="30" customHeight="1" thickBot="1">
      <c r="A60" s="4"/>
      <c r="B60" s="73" t="s">
        <v>54</v>
      </c>
      <c r="C60" s="74"/>
      <c r="D60" s="74"/>
      <c r="E60" s="52">
        <f>F59/E59/100*100</f>
        <v>0.72608695652173916</v>
      </c>
      <c r="F60" s="52"/>
      <c r="G60" s="52"/>
      <c r="H60" s="52"/>
      <c r="I60" s="52"/>
      <c r="J60" s="53"/>
    </row>
    <row r="61" spans="1:10" ht="30" customHeight="1" thickBot="1">
      <c r="A61" s="4"/>
      <c r="B61" s="73" t="s">
        <v>55</v>
      </c>
      <c r="C61" s="74"/>
      <c r="D61" s="74"/>
      <c r="E61" s="70" t="str">
        <f>_xlfn.IFS(E60&gt;=90%,"ممتاز",E60&gt;=80%,"جيد جداً",E60&gt;=70%,"جيد",E60&gt;=60%,"مقبول",E60&lt;60%,"راسب")</f>
        <v>جيد</v>
      </c>
      <c r="F61" s="70"/>
      <c r="G61" s="70"/>
      <c r="H61" s="70"/>
      <c r="I61" s="70"/>
      <c r="J61" s="71"/>
    </row>
    <row r="62" spans="1:10" ht="42" customHeight="1">
      <c r="B62" s="66" t="s">
        <v>174</v>
      </c>
      <c r="C62" s="66"/>
      <c r="D62" s="66"/>
      <c r="E62" s="72" t="s">
        <v>52</v>
      </c>
      <c r="F62" s="72"/>
      <c r="G62" s="68" t="s">
        <v>115</v>
      </c>
      <c r="H62" s="68"/>
      <c r="I62" s="68"/>
      <c r="J62" s="68"/>
    </row>
    <row r="63" spans="1:10" ht="51" customHeight="1">
      <c r="A63" s="5"/>
      <c r="B63" s="67"/>
      <c r="C63" s="67"/>
      <c r="D63" s="67"/>
      <c r="E63" s="39" t="s">
        <v>53</v>
      </c>
      <c r="F63" s="39"/>
      <c r="G63" s="69"/>
      <c r="H63" s="69"/>
      <c r="I63" s="69"/>
      <c r="J63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3">
    <mergeCell ref="B53:D53"/>
    <mergeCell ref="B54:D54"/>
    <mergeCell ref="B55:D55"/>
    <mergeCell ref="B56:D56"/>
    <mergeCell ref="B57:D57"/>
    <mergeCell ref="B58:D58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59:D59"/>
    <mergeCell ref="B60:D60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47:J47"/>
    <mergeCell ref="I48:J48"/>
    <mergeCell ref="E62:F62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3:F63"/>
    <mergeCell ref="G59:J59"/>
    <mergeCell ref="I9:J9"/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7">
      <formula>$E61="راسب"</formula>
    </cfRule>
  </conditionalFormatting>
  <conditionalFormatting sqref="E61:J61">
    <cfRule type="expression" dxfId="13" priority="58">
      <formula>$E61="مقبول"</formula>
    </cfRule>
    <cfRule type="expression" dxfId="12" priority="59">
      <formula>$E61="جيد"</formula>
    </cfRule>
    <cfRule type="expression" dxfId="11" priority="60">
      <formula>$E61="جيد جداً"</formula>
    </cfRule>
    <cfRule type="expression" dxfId="10" priority="61">
      <formula>$E61="ممتاز"</formula>
    </cfRule>
  </conditionalFormatting>
  <conditionalFormatting sqref="F8:F5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5" operator="containsText" text="أدخل اسم المحكم">
      <formula>NOT(ISERROR(SEARCH("أدخل اسم المحكم",G62)))</formula>
    </cfRule>
  </conditionalFormatting>
  <conditionalFormatting sqref="H8:H5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F9:F12 F14:F24 F26:F38 F40:F51 F53:F58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2025-09-23T06:57:10Z</dcterms:modified>
</cp:coreProperties>
</file>