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55914D71-155C-7D42-AB25-202867B64784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21" i="2"/>
  <c r="H21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G30" i="2"/>
  <c r="H30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F74" i="2"/>
  <c r="E74" i="2"/>
  <c r="E75" i="2"/>
  <c r="E76" i="2"/>
</calcChain>
</file>

<file path=xl/sharedStrings.xml><?xml version="1.0" encoding="utf-8"?>
<sst xmlns="http://schemas.openxmlformats.org/spreadsheetml/2006/main" count="305" uniqueCount="249">
  <si>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</si>
  <si>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</si>
  <si>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</si>
  <si>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</si>
  <si>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</si>
  <si>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</si>
  <si>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</si>
  <si>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</si>
  <si>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</si>
  <si>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</si>
  <si>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</si>
  <si>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</si>
  <si>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</si>
  <si>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</si>
  <si>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</si>
  <si>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</si>
  <si>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</si>
  <si>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</si>
  <si>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</si>
  <si>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</si>
  <si>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</si>
  <si>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</si>
  <si>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</si>
  <si>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</si>
  <si>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</si>
  <si>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</si>
  <si>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</si>
  <si>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</si>
  <si>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</si>
  <si>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</si>
  <si>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</si>
  <si>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</si>
  <si>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</si>
  <si>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</si>
  <si>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</si>
  <si>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</si>
  <si>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</si>
  <si>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</si>
  <si>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</si>
  <si>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</si>
  <si>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</si>
  <si>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</si>
  <si>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</si>
  <si>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</si>
  <si>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</si>
  <si>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</si>
  <si>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</si>
  <si>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</si>
  <si>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</si>
  <si>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</si>
  <si>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</si>
  <si>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</si>
  <si>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</si>
  <si>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</si>
  <si>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</si>
  <si>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</si>
  <si>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</si>
  <si>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</si>
  <si>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</si>
  <si>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</si>
  <si>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</si>
  <si>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</si>
  <si>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</si>
  <si>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</si>
  <si>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</si>
  <si>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</si>
  <si>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</si>
  <si>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</si>
  <si>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</si>
  <si>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</si>
  <si>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</si>
  <si>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</si>
  <si>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</si>
  <si>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</si>
  <si>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</si>
  <si>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</si>
  <si>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</si>
  <si>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</si>
  <si>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</si>
  <si>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</si>
  <si>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</si>
  <si>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</si>
  <si>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</si>
  <si>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</si>
  <si>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</si>
  <si>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</si>
  <si>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</si>
  <si>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</si>
  <si>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</si>
  <si>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</si>
  <si>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</si>
  <si>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</si>
  <si>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</si>
  <si>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</si>
  <si>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</si>
  <si>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</si>
  <si>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</si>
  <si>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</si>
  <si>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</si>
  <si>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</si>
  <si>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</si>
  <si>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</si>
  <si>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</si>
  <si>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</si>
  <si>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</si>
  <si>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</si>
  <si>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</si>
  <si>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</si>
  <si>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</si>
  <si>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</si>
  <si>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</si>
  <si>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</si>
  <si>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</si>
  <si>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</si>
  <si>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</si>
  <si>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</si>
  <si>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</si>
  <si>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</si>
  <si>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</si>
  <si>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</si>
  <si>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</si>
  <si>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</si>
  <si>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</si>
  <si>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</si>
  <si>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</si>
  <si>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</si>
  <si>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</si>
  <si>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</si>
  <si>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</si>
  <si>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</si>
  <si>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</si>
  <si>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</si>
  <si>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</si>
  <si>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</si>
  <si>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</si>
  <si>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</si>
  <si>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</si>
  <si>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</si>
  <si>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</si>
  <si>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</si>
  <si>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</si>
  <si>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</si>
  <si>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</si>
  <si>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</si>
  <si>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</si>
  <si>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</si>
  <si>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</si>
  <si>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</si>
  <si>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</si>
  <si>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</si>
  <si>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</si>
  <si>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</si>
  <si>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</si>
  <si>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</si>
  <si>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</si>
  <si>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</si>
  <si>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</si>
  <si>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</si>
  <si>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</si>
  <si>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</si>
  <si>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</si>
  <si>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</si>
  <si>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</si>
  <si>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</si>
  <si>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</si>
  <si>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</si>
  <si>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</si>
  <si>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</si>
  <si>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</si>
  <si>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</si>
  <si>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</si>
  <si>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</si>
  <si>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</si>
  <si>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</si>
  <si>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</si>
  <si>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</si>
  <si>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</si>
  <si>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</si>
  <si>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</si>
  <si>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</si>
  <si>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جاهزية مواقع نظام البانزر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</si>
  <si>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احتياطات أمان الأفراد والمعدات.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</si>
  <si>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وجود وصلاحية طفاية الحريق (داخل العربة أو خارجها).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</si>
  <si>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وجود رخصة سواقة لدى قائد العربة.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</si>
  <si>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مدى اتباع الخطوات الصحيحة للصعود والنزول من العربة.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</si>
  <si>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وجود عدد (2) فرد أثناء تشغيل العربة أو الصيانة.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</si>
  <si>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عدم وجود أي شخص حول العربة قبل التشغيل.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</si>
  <si>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وجود وصلاحية جميع مهمات العربة قبل الحركة (قواعد التثبيت للروافع، عتلة رفع الممرات، جميع المفاتيح، كرة الرافعة عدد 2، خطاف الرافعة، مفتاح لوحة التحكم بالرافعة، العدة الكاملة للعربة).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</si>
  <si>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وضعية مفتاح الطوارئ عند تنزيل الروافع.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</si>
  <si>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وضعية الروافع قبل الحركة.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</si>
  <si>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مستوى زيت الرافعة.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</si>
  <si>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عدم وجود أي شخص حول العربة أثناء العمل.</t>
    </r>
  </si>
  <si>
    <r>
      <t>تشغيل العربة القتالية</t>
    </r>
    <r>
      <rPr>
        <b/>
        <sz val="12"/>
        <color theme="1"/>
        <rFont val="Arial"/>
        <family val="2"/>
      </rPr>
      <t>.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</si>
  <si>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إجراءات الدخول في العمل.</t>
    </r>
  </si>
  <si>
    <t>أ.    التحرك الى الموقع.</t>
  </si>
  <si>
    <t>ب.  وضع قواعد الروافع في حالة الرماية من الثبات.</t>
  </si>
  <si>
    <t>جـ.  تنزيل الروافع في حالة الثبات.</t>
  </si>
  <si>
    <t>د.   تشغيل منظومة التغذية.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</si>
  <si>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العمل بالطاقة الداخلية.</t>
    </r>
  </si>
  <si>
    <t>أ.    وضع المفتاح على تشغيل (ON).</t>
  </si>
  <si>
    <t>ب.  الانتظار لحين إضاءة مؤشر البطارية (Battery Light).</t>
  </si>
  <si>
    <t>جـ.  الضغـط علـى زر التشغيل (START) والتأكد من منسوب الديزل.</t>
  </si>
  <si>
    <t>د.   الانتظار لحين إضاءة عداد التحمل (Load Permeted).</t>
  </si>
  <si>
    <t>هـ.  تشغيل أنماط التغذية بالتسلسل (28.5 فولت، 220 فولت، 380 فولت).</t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</si>
  <si>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الاتصالات</t>
    </r>
    <r>
      <rPr>
        <b/>
        <sz val="12"/>
        <color theme="1"/>
        <rFont val="Arial"/>
        <family val="2"/>
      </rPr>
      <t>.</t>
    </r>
  </si>
  <si>
    <t>أ.    التأكد من فعالية الاتصال بين المعدات في حالة العمل المشترك.</t>
  </si>
  <si>
    <t>ب.  التأكد من فعالية الاتصال بين المعدة ومركز العمليات بواسطة جهاز (PR4G).</t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</si>
  <si>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إجراءات الخروج من العمل.</t>
    </r>
  </si>
  <si>
    <t>أ.    الضغط على زر (FS).</t>
  </si>
  <si>
    <t>ب.  الانتقال من العمل القتالي (CO) الى الابتدائي (INI) والانتظار لمدة 180 ثانية.</t>
  </si>
  <si>
    <t>جـ.  إطفاء الشاشة.</t>
  </si>
  <si>
    <t>د.   إطفاء منظومة الملاحة.</t>
  </si>
  <si>
    <t>هـ. إطفاء جهاز التكييف.</t>
  </si>
  <si>
    <t>و.  إطفاء مفاتيح الإضاءة بالعربة.</t>
  </si>
  <si>
    <t>ز.  إطفاء الطاقة بالتسلسل (380 فولت، 220 فولت، 28.5 فولت).</t>
  </si>
  <si>
    <t>ح.  الضغط على زر الإغلاق (OFF).</t>
  </si>
  <si>
    <t xml:space="preserve">ط.  فحص الحالة العامة للعربة القتالية. </t>
  </si>
  <si>
    <t>تشغيل عربة التعمير.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</si>
  <si>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بعد وقوف العربة يتم الضغـط علـى دواسـة مبدل الحركة وبعدها يتم الضغـط على زر (PTO) مع الرفع عن الدواسة ببطء.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</si>
  <si>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رفع مستوى سرعة المحرك من 1100 الى 1300.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</si>
  <si>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تنزيل الرافعات الجانبية مع وضع الغطاء تحت سندات الرافعة.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</si>
  <si>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أخذ مفتاح تشغيل لوحة التحكم بالرافعة من داخل الكابينة مع الريموت.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</si>
  <si>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تنزيل الرافعة لتركيب عدة الرافعة.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</si>
  <si>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سلامة توصيل الخطاف وبكرة الرافعة.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</si>
  <si>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فتح الممرات الجانبية للعربة.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</si>
  <si>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فتح مسامير الهيكل.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</si>
  <si>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تحريك الرافعة بواسطة جهاز التحكم وتوصيله بالهيكل.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</si>
  <si>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فصل هيكل العربة عن عربة التعمير وتنزيله بمكان مناسب للعربة.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</si>
  <si>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فتح قواعد تثبيت الصاروخ وفتح صندوق العدة الموجود على سطح العربة.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</si>
  <si>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توصيل الحمالة بالرافعة وإنزالها لتحميل الصاروخ مع توصيل الحمالة بالصاروخ ورفعه بحذر.</t>
    </r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</si>
  <si>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فتح طاولة العمل الخلفية والسلم الخلفي.</t>
    </r>
  </si>
  <si>
    <r>
      <t>الوثائــــق.</t>
    </r>
    <r>
      <rPr>
        <sz val="12"/>
        <color theme="1"/>
        <rFont val="Arial"/>
        <family val="2"/>
      </rPr>
      <t xml:space="preserve"> يتم التأكد من وجود الوثائق التالية مع ضابط الموقع.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</si>
  <si>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تعليمات رفع حالات الاستعداد القتالي.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</si>
  <si>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كراسة الرموز والمصطلحات الادارية.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</si>
  <si>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كشف الكلمات الرمزية لحالات الاستعداد القتالي.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</si>
  <si>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كشف الكلمات الرمزية لأوضاع الاستعداد القتالي.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</si>
  <si>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كشف الكلمات الرمزية للمصطلحات الادارية.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</si>
  <si>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كشف رموز التعارف (IFF).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</si>
  <si>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كشف مناوبة المواقع القتالية.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</si>
  <si>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التعليمات الإشارية وقائمة النداءات.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</si>
  <si>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كشـف بالقـوة المناوبـة التـي تحـت قيادتـه (أفــراد، أسلحــة، ذخائــر، معــدات، مهام كيميائية، الخ...).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</si>
  <si>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خارطة موضح بها الموقع الحالي والتبادلي.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</si>
  <si>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تعليمات وخطط التحرك للموقع التبادلي.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</si>
  <si>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كراسة قواعد الاشتباك.</t>
    </r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</si>
  <si>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ادامة سجلات الاستلام والتسليم بين الطاقم القتالي.</t>
    </r>
  </si>
  <si>
    <r>
      <t>14.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ادامة سجلات استلام وتسليم المعدات .</t>
    </r>
  </si>
  <si>
    <r>
      <t>15.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 xml:space="preserve">مدى معرفة الضابط والمشغلين إجراءات التحول. </t>
    </r>
  </si>
  <si>
    <t>رائد حمد الشامسي</t>
  </si>
  <si>
    <t>نقيب سلطان حسن الطنيجي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</si>
</sst>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4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4" fillId="0" borderId="24" xfId="0" applyFont="1" applyBorder="1" applyAlignment="1">
      <alignment horizontal="right" vertical="center" wrapText="1" indent="3" readingOrder="2"/>
    </xf>
    <xf numFmtId="0" fontId="14" fillId="0" borderId="3" xfId="0" applyFont="1" applyBorder="1" applyAlignment="1">
      <alignment horizontal="right" vertical="center" wrapText="1" indent="3" readingOrder="2"/>
    </xf>
    <xf numFmtId="0" fontId="14" fillId="0" borderId="11" xfId="0" applyFont="1" applyBorder="1" applyAlignment="1">
      <alignment horizontal="right" vertical="center" wrapText="1" indent="3" readingOrder="2"/>
    </xf>
    <xf numFmtId="0" fontId="14" fillId="0" borderId="12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216825</xdr:colOff>
      <xdr:row>76</xdr:row>
      <xdr:rowOff>342438</xdr:rowOff>
    </xdr:from>
    <xdr:to>
      <xdr:col>7</xdr:col>
      <xdr:colOff>357575</xdr:colOff>
      <xdr:row>77</xdr:row>
      <xdr:rowOff>532787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9E80990-2D40-6FBA-9A6D-A28D990F38A2}"/>
                </a:ext>
              </a:extLst>
            </xdr14:cNvPr>
            <xdr14:cNvContentPartPr/>
          </xdr14:nvContentPartPr>
          <xdr14:nvPr macro=""/>
          <xdr14:xfrm>
            <a:off x="10399545425" y="30678120"/>
            <a:ext cx="798840" cy="7214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9E80990-2D40-6FBA-9A6D-A28D990F38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539305" y="30672000"/>
              <a:ext cx="811080" cy="73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487905</xdr:colOff>
      <xdr:row>76</xdr:row>
      <xdr:rowOff>492198</xdr:rowOff>
    </xdr:from>
    <xdr:to>
      <xdr:col>9</xdr:col>
      <xdr:colOff>584354</xdr:colOff>
      <xdr:row>77</xdr:row>
      <xdr:rowOff>547907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186F1FB-F448-03EA-5CC9-AB2DC30603ED}"/>
                </a:ext>
              </a:extLst>
            </xdr14:cNvPr>
            <xdr14:cNvContentPartPr/>
          </xdr14:nvContentPartPr>
          <xdr14:nvPr macro=""/>
          <xdr14:xfrm>
            <a:off x="10398002465" y="30827880"/>
            <a:ext cx="2070720" cy="5868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186F1FB-F448-03EA-5CC9-AB2DC30603E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996345" y="30821760"/>
              <a:ext cx="2082960" cy="59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485354</xdr:colOff>
      <xdr:row>77</xdr:row>
      <xdr:rowOff>10427</xdr:rowOff>
    </xdr:from>
    <xdr:to>
      <xdr:col>9</xdr:col>
      <xdr:colOff>547994</xdr:colOff>
      <xdr:row>77</xdr:row>
      <xdr:rowOff>328667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3B5487C-039E-B72C-9465-BB574AD4EAE3}"/>
                </a:ext>
              </a:extLst>
            </xdr14:cNvPr>
            <xdr14:cNvContentPartPr/>
          </xdr14:nvContentPartPr>
          <xdr14:nvPr macro=""/>
          <xdr14:xfrm>
            <a:off x="10398038825" y="30877200"/>
            <a:ext cx="62640" cy="3182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3B5487C-039E-B72C-9465-BB574AD4EA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032705" y="30871080"/>
              <a:ext cx="74880" cy="330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9:17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1694 1529 8,'0'0'0,"0"0"0,0 11 0,0 0 16,2 1-8,15-9 16,-17-3-24,12 2 16,0-2-24,3 0 8,-3 0 8,-12 0-8,17 0 0,0-1 0,-1 0 0,4-2 0,-20 3 0,12-3 0,2 1 8,3 1 0,-12 1 0,-5 0-8,14-1 16,-9-2-8,-3 0-8,1-1 8,-3 4-8,5-5 0,-3 1 0,3-7 8,-3 6 8,-2 5-16,5-5 8,5-1 0,-6 2 8,11 0-8,-15 4-8,7-3 8,10 1 0,-3 1-8,-2-1 0,-12 2 0,15-1 0,-3 0 0,0-1 0,0-2 16,-12 4-16,5-4 16,12-1 0,-13-6 8,8 7-8,-12 4-16,5-14 24,7 8 8,-9-11 8,11 5 16,-14 12-56,5-12 56,9-3-8,-9 0 16,12-1 8,-17 16-72,2-18 64,3 1 16,5 1-16,-5-1 104,-5 17-168,2-13 888,0 2 808,-2 6 1025,0 1 960,0 4-3681,3-4 2960,-1 0-623,-2 2-409,5-1-335,-5 3-1593,2-1 1296,1-2-224,2 2-200,-5-2-400,0 3-472,4-2 176,-4 2 104,0 0-24,0 0-79,0 0-177,-2 3 208,-10 9-208,2 3-128,-9 9 88,19-24 40,-24 33 0,2 7 0,-4 4 56,4 0 40,22-44-96,-19 47 16,0-4 32,4-5-88,6-7 40,9-31 0,-5 26-24,0-8-72,0-2 112,3-5-72,2-11 56,-2 3-120,2 2 87,0-3-399,0-2-424,0 0 856,2 0-1232,-2 0-392,12-1-353,-12-12-319,0 13 2296,17-13-2617,-5-4 177,2-5 463,1-5 545,-15 27 1432,12-30-672,0-2 792,-10 3 928,1 6 936,-3 23-1984,0-17 2641,-3 4-80,-9 7-553,0-7-736,12 13-1272,-7-4 624,-10 0-312,15 0-272,-10 1-16,12 3-24,-3-3 32,-2 0-8,1 2-8,-1-1 80,5 2-96,-5-1 193,5-1 167,-5 0 48,5-1 8,0 3-416,-5-4 488,3-1-232,-3 1-16,0 0-64,5 4-176,-2-5 96,-3 3-24,-2 0-72,5 1 16,2 1-16,-8 0-88,6 0 32,-10 0-32,0 3 0,12-3 88,-12 4-88,-5 9 56,0-10 0,3 9 0,14-12 32,-15 3 16,1 0 8,2 0 56,0-3-8,12 0-72,-15-2 104,11-2-24,-8-2 88,7-8-24,5 14-144,-12-11 88,9-1-24,-9 0-104,0 0-128,12 12 168,0-5-424,-14-7-248,2 11-128,0-1 64,12 2 736,-20 0-521,-4 0 209,3 12 88,-1-8 72,22-4 152,-19 16-80,2-13 80,12 1 256,-4-1 256,9-3-512,-5 0 729,0-2 135,5-11-48,-5-4-240,5 17-576,-2-25 376,2-6-104,0-6-152,5-5-24,-5 42-96,14-45 40,-12-2-72,20-3-56,0-1-88,-22 51 176,21-53-312,8 2-152,-5 4-24,-4 3 96,-20 44 392,19-35-248,0 3 184,-5 5 80,-2 5 24,-12 22-40,5-24 80,15-2 24,-8 2 152,-10 2 112,-2 22-368,12-18 432,-10 7 32,-2 6-56,5 3-280,-5 2-128,0-2 216,0 2-112,-2 0-104,-10 16 144,12-16-144,-17 24-40,-10 13 176,-4 13 144,-12 12 169,43-62-449,-48 73 488,-8 11-104,4 8-48,-4 5-296,56-97-40,-50 93 56,2-6 0,7-9-56,2-7 72,39-71-72,-36 66 128,3-7-32,-1-3 32,0-5-64,34-51-64,-26 47 48,-8 3-24,5-1-24,-2 0 104,31-49-104,-29 44-120,0-10 80,5-6-72,5-6-56,19-22 168,-19 17 56,7-13-112,4 0 16,-6-4 40,14 0 0,-5-1-224,-4-13-96,6-6-120,1-10-40,2 30 480,-3-40-569,1-5 9,-1-7 104,3 3 112,0 49 344,0-50-48,-4 6 120,-11 1 112,10 3-16,5 40-168,-12-38 120,5 3 40,-7 0 64,9 3-104,5 32-120,-12-30 104,7 0 112,0 0-64,3 2 72,2 28-224,0-33 209,0 0-105,12-2-32,0-5-128,-12 40 56,19-38 96,5-1-40,3 2-72,9 2 0,-36 35 16,41-36-64,-3 5 24,8 4 48,-3 4 8,-43 23-16,34-18 16,-3 3-16,-7 10 8,-7-7 160,-17 12-168,10-1 56,-6 0 160,-1-1 32,-3 2 216,0 0-464,0 0 400,-7 0-112,-8 4-80,3 12-288,12-16 80,-21 14 8,1 5 8,-1 1-32,-1 4-40,22-24 56,-22 24 48,-2 3-136,-2-1 128,-5-1 120,31-25-160,-39 24 16,-11 2 64,-3 0-120,-8 1 8,61-27 32,-60 27-200,0-2-400,-7 1-288,-3 1-225,70-27 1113,-74 25-1104,-3 1 328,7 2 56,2 1-288,68-29 1008,-57 30-1081,6-2-263,10 0-464,0 2-817,41-30 2625,-28 30-3857,4-1 401,19-5 1111,5-4 1081,0-20 1264,9 11-408,13-11 224,12 0 40,7-13 24,-41 13 120,43-18-104,7-6 24,-4-6 8,-3-7 16,-43 37 56,39-43-56,-5-4 8,-10-5 16,-8-2-16,-16 54 48,12-56-16,-12 2 16,0 2 0,-14 2 24,14 50-24,-19-47 32,0 0 16,-1 4 24,1 1 24,19 42-96,-19-42 104,2-2 16,0-2 16,5-6 48,12 52-184,-2-59 1448,-3-7 761,2-6 487,3-5 561,0 77-3257,17-78 664,7 0-104,5 5 352,0 8-40,-29 65-872,27-53 737,-6 13-177,-6 15-56,-13 9 40,-2 16-544,2-4 512,3 2-136,-5 2-288,3 13-152,-3-13 64,4 19-48,-1 11 56,2 12 40,-3 12-24,-2-54-24,3 63-8,9 6-16,-8 7-16,6 2 8,-10-78 32,5 81-24,9-3-80,1-3-376,-1-3-640,-14-72 1120,22 65-2041,-3-1-1143,3-3-1,4 2 752,-26-63 2433,24 56-1656,0 0 880,0-9 408,3-10 128,-27-37 240,24 28-160,-5-11 8,-2-12-32,-5-5 8,-12 0 176,2-5-160,-2-17 8,0-4 32,0-4 8,0 30 112,0-33-96,0 33 96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9:18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2909 480 216,'0'0'0,"4"-4"104,1-11 40,-5 15-144,15-15 184,-3-5 104,-10-1 1296,17-4 384,-19 25-1968,15-27 2129,11-1-17,17-2-2688,18-7 424,-61 37 152,74-40 240,20-4 336,9 2 401,10 5 303,-113 37-1280,116-30 1320,7 6-264,2 8-279,2 3-537,-127 13-240,123-4 48,-3 0 0,-2 1-96,-3 3 48,-115 0 0,118 0-48,0 14-32,-2-2-401,1 0-239,-117-12 720,121 13-880,-4-2 32,-3-6 248,-6-1 352,-108-4 248,94 3 296,-8-3 216,-18 3 344,-13 0 72,-55-3-928,38 4 800,-21 7 177,-14-8 439,-3 1 88,0-4-1504,-29 16 1449,-22 0-393,-21 9-672,-22 5-168,94-30-216,-108 36 80,-12 2 120,-15 2-352,-7 2-192,142-42 344,-144 43-520,-1 0-280,-6-1-49,-3 1-63,154-43 912,-164 43-824,-9-2-32,-2 0 208,-11-3 192,186-38 456,-187 39-328,-3-2 176,5-3 80,-1 0 80,186-34-8,-185 33 8,5-2-16,-8 0-56,13-2 88,175-29-24,-176 25 8,15-3 32,7-5 56,10-6 120,144-11-216,-130 3 416,12-3 200,67 0 400,-6 0 56,57 0-1072,-53-3 1041,-5-1 31,12-9-304,-4 9-232,50 4-536,-39-16 400,1 3-152,4-1-112,12-3-88,22 17-48,-14-20-24,14-3-136,-2-4-24,2-4-64,0 31 248,14-35-192,-2-5-8,10-3 8,-3 0 88,-19 43 104,19-41-64,5 3-80,0 4 48,0 5-144,-24 29 240,22-20-400,-3 8-32,1 12 256,-11 2 152,-9-2 24,3 25 136,-3 4 200,0 11-168,-12 10 0,12-50-168,-15 57 208,-7 5-104,3 5-96,-5 1 8,24-68-16,-21 66-24,-1-5 48,-2-4 40,0-6-80,24-51 16,-24 44 176,0-6 32,0-6 48,-3-7 40,27-25-296,-26 19 168,-1-5-120,1-10-96,-1 1-96,27-5 144,-29 2-152,1-3-8,-4-10-80,1-4-168,31 15 408,-34-18-512,-2-2 136,-5 1 304,-2 1 432,43 18-360,-46-16 616,22 15 240,-5-2-184,1 2-104,28 1-568,-32 0 424,-1 4-384,-1 12 56,5 1-568,29-17 472,-34 20-1048,6 4-1120,-4 4-1561,8 5-2128,24-33 5857,-24 34-4681,7 3 1832,-2-2 1449,10 0 1136,9-35 264,-3 34-112,-4-3 16,4-4 16,3-3 8,0-24 72,5 19-80,12-8 8,0-11 8,-17 0 64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9:18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3 48,'0'0'0,"-22"-1"64,22 1-64,-14-2 16,9 2 8,-10 0-16,6 0-8,9 0 0,-15 5 0,3 6-16,0-7-16,-5 11-16,17-15 48,-9 11-16,-3 3-24,12-14 40</inkml:trace>
  <inkml:trace contextRef="#ctx0" brushRef="#br0" timeOffset="1">70 883 8,'0'0'0,"0"0"0,92-24 0,-104 21 24,0-10 2576,-8 2 2721,20 11-5321,-16-16 6394,-1 1-1553,2 0-13147,-2 0 2705,17 15 5601,-12-16-3305,-2-1 1865,0 0 1256,2-1-24,12 18 208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8"/>
  <sheetViews>
    <sheetView rightToLeft="1" tabSelected="1" view="pageBreakPreview" topLeftCell="C61" zoomScale="130" zoomScaleNormal="100" zoomScaleSheetLayoutView="130" workbookViewId="0">
      <selection activeCell="G78" sqref="G78:J78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4" t="s">
        <v>180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>
      <c r="B2" s="9" t="s">
        <v>8</v>
      </c>
      <c r="C2" s="60" t="s">
        <v>29</v>
      </c>
      <c r="D2" s="60"/>
      <c r="E2" s="9" t="s">
        <v>7</v>
      </c>
      <c r="F2" s="55">
        <v>45952</v>
      </c>
      <c r="G2" s="55"/>
      <c r="H2" s="55"/>
      <c r="I2" s="55"/>
      <c r="J2" s="55"/>
    </row>
    <row r="3" spans="1:10" ht="30" customHeight="1">
      <c r="B3" s="9" t="s">
        <v>9</v>
      </c>
      <c r="C3" s="60" t="s">
        <v>60</v>
      </c>
      <c r="D3" s="60"/>
      <c r="E3" s="9" t="s">
        <v>6</v>
      </c>
      <c r="F3" s="60" t="s">
        <v>59</v>
      </c>
      <c r="G3" s="60"/>
      <c r="H3" s="60"/>
      <c r="I3" s="60"/>
      <c r="J3" s="60"/>
    </row>
    <row r="4" spans="1:10" ht="30" customHeight="1" thickBot="1">
      <c r="B4" s="6"/>
      <c r="C4" s="41" t="s">
        <v>247</v>
      </c>
      <c r="D4" s="41"/>
      <c r="E4" s="6"/>
      <c r="F4" s="41" t="s">
        <v>248</v>
      </c>
      <c r="G4" s="41"/>
      <c r="H4" s="41"/>
      <c r="I4" s="41"/>
      <c r="J4" s="41"/>
    </row>
    <row r="5" spans="1:10" ht="24.95" customHeight="1">
      <c r="A5" s="7"/>
      <c r="B5" s="56" t="s">
        <v>0</v>
      </c>
      <c r="C5" s="57"/>
      <c r="D5" s="57"/>
      <c r="E5" s="65" t="s">
        <v>1</v>
      </c>
      <c r="F5" s="65"/>
      <c r="G5" s="65"/>
      <c r="H5" s="65"/>
      <c r="I5" s="65" t="s">
        <v>2</v>
      </c>
      <c r="J5" s="66"/>
    </row>
    <row r="6" spans="1:10" ht="24.95" customHeight="1" thickBot="1">
      <c r="A6" s="7"/>
      <c r="B6" s="58"/>
      <c r="C6" s="59"/>
      <c r="D6" s="59"/>
      <c r="E6" s="8" t="s">
        <v>3</v>
      </c>
      <c r="F6" s="8" t="s">
        <v>4</v>
      </c>
      <c r="G6" s="8" t="s">
        <v>23</v>
      </c>
      <c r="H6" s="8" t="s">
        <v>24</v>
      </c>
      <c r="I6" s="67"/>
      <c r="J6" s="68"/>
    </row>
    <row r="7" spans="1:10" ht="24.95" customHeight="1" thickBot="1">
      <c r="A7" s="7"/>
      <c r="B7" s="63" t="s">
        <v>21</v>
      </c>
      <c r="C7" s="64"/>
      <c r="D7" s="64"/>
      <c r="E7" s="28" t="s">
        <v>18</v>
      </c>
      <c r="F7" s="28" t="s">
        <v>19</v>
      </c>
      <c r="G7" s="28" t="s">
        <v>22</v>
      </c>
      <c r="H7" s="28" t="s">
        <v>20</v>
      </c>
      <c r="I7" s="69" t="s">
        <v>25</v>
      </c>
      <c r="J7" s="70"/>
    </row>
    <row r="8" spans="1:10" ht="30" customHeight="1">
      <c r="A8" s="7"/>
      <c r="B8" s="76" t="s">
        <v>181</v>
      </c>
      <c r="C8" s="77"/>
      <c r="D8" s="77"/>
      <c r="E8" s="25"/>
      <c r="F8" s="32"/>
      <c r="G8" s="33"/>
      <c r="H8" s="34"/>
      <c r="I8" s="42"/>
      <c r="J8" s="43"/>
    </row>
    <row r="9" spans="1:10" ht="30" customHeight="1">
      <c r="A9" s="7"/>
      <c r="B9" s="78" t="s">
        <v>182</v>
      </c>
      <c r="C9" s="79"/>
      <c r="D9" s="79"/>
      <c r="E9" s="26">
        <v>6</v>
      </c>
      <c r="F9" s="23">
        <v>4.75</v>
      </c>
      <c r="G9" s="30">
        <f>IFERROR(F9/E9,"")</f>
        <v>0.79166666666666663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9"/>
      <c r="J9" s="40"/>
    </row>
    <row r="10" spans="1:10" ht="30" customHeight="1">
      <c r="A10" s="7"/>
      <c r="B10" s="78" t="s">
        <v>183</v>
      </c>
      <c r="C10" s="79"/>
      <c r="D10" s="79"/>
      <c r="E10" s="26">
        <v>6</v>
      </c>
      <c r="F10" s="23">
        <v>5</v>
      </c>
      <c r="G10" s="30">
        <f t="shared" ref="G10:G73" si="0">IFERROR(F10/E10,"")</f>
        <v>0.83333333333333337</v>
      </c>
      <c r="H10" s="31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39"/>
      <c r="J10" s="40"/>
    </row>
    <row r="11" spans="1:10" ht="30" customHeight="1">
      <c r="A11" s="7"/>
      <c r="B11" s="78" t="s">
        <v>184</v>
      </c>
      <c r="C11" s="79"/>
      <c r="D11" s="79"/>
      <c r="E11" s="26">
        <v>6</v>
      </c>
      <c r="F11" s="23">
        <v>4.75</v>
      </c>
      <c r="G11" s="30">
        <f t="shared" si="0"/>
        <v>0.79166666666666663</v>
      </c>
      <c r="H11" s="31" t="str">
        <f t="shared" si="1"/>
        <v>جيد</v>
      </c>
      <c r="I11" s="39"/>
      <c r="J11" s="40"/>
    </row>
    <row r="12" spans="1:10" ht="30" customHeight="1">
      <c r="A12" s="7"/>
      <c r="B12" s="78" t="s">
        <v>185</v>
      </c>
      <c r="C12" s="79"/>
      <c r="D12" s="79"/>
      <c r="E12" s="26">
        <v>6</v>
      </c>
      <c r="F12" s="23">
        <v>4.75</v>
      </c>
      <c r="G12" s="30">
        <f t="shared" si="0"/>
        <v>0.79166666666666663</v>
      </c>
      <c r="H12" s="31" t="str">
        <f t="shared" si="1"/>
        <v>جيد</v>
      </c>
      <c r="I12" s="39"/>
      <c r="J12" s="40"/>
    </row>
    <row r="13" spans="1:10" ht="30" customHeight="1">
      <c r="A13" s="7"/>
      <c r="B13" s="78" t="s">
        <v>186</v>
      </c>
      <c r="C13" s="79"/>
      <c r="D13" s="79"/>
      <c r="E13" s="26">
        <v>6</v>
      </c>
      <c r="F13" s="23">
        <v>4.75</v>
      </c>
      <c r="G13" s="30">
        <f t="shared" si="0"/>
        <v>0.79166666666666663</v>
      </c>
      <c r="H13" s="31" t="str">
        <f t="shared" si="1"/>
        <v>جيد</v>
      </c>
      <c r="I13" s="39"/>
      <c r="J13" s="40"/>
    </row>
    <row r="14" spans="1:10" ht="58.5" customHeight="1">
      <c r="A14" s="7"/>
      <c r="B14" s="78" t="s">
        <v>187</v>
      </c>
      <c r="C14" s="79"/>
      <c r="D14" s="79"/>
      <c r="E14" s="26">
        <v>6</v>
      </c>
      <c r="F14" s="23">
        <v>4.75</v>
      </c>
      <c r="G14" s="30">
        <f t="shared" si="0"/>
        <v>0.79166666666666663</v>
      </c>
      <c r="H14" s="31" t="str">
        <f t="shared" si="1"/>
        <v>جيد</v>
      </c>
      <c r="I14" s="39"/>
      <c r="J14" s="40"/>
    </row>
    <row r="15" spans="1:10" ht="30" customHeight="1">
      <c r="A15" s="7"/>
      <c r="B15" s="78" t="s">
        <v>188</v>
      </c>
      <c r="C15" s="79"/>
      <c r="D15" s="79"/>
      <c r="E15" s="26">
        <v>6</v>
      </c>
      <c r="F15" s="23">
        <v>4.75</v>
      </c>
      <c r="G15" s="30">
        <f t="shared" si="0"/>
        <v>0.79166666666666663</v>
      </c>
      <c r="H15" s="31" t="str">
        <f t="shared" si="1"/>
        <v>جيد</v>
      </c>
      <c r="I15" s="39"/>
      <c r="J15" s="40"/>
    </row>
    <row r="16" spans="1:10" ht="30" customHeight="1">
      <c r="A16" s="7"/>
      <c r="B16" s="78" t="s">
        <v>189</v>
      </c>
      <c r="C16" s="79"/>
      <c r="D16" s="79"/>
      <c r="E16" s="26">
        <v>6</v>
      </c>
      <c r="F16" s="23">
        <v>4.75</v>
      </c>
      <c r="G16" s="30">
        <f t="shared" si="0"/>
        <v>0.79166666666666663</v>
      </c>
      <c r="H16" s="31" t="str">
        <f t="shared" si="1"/>
        <v>جيد</v>
      </c>
      <c r="I16" s="39"/>
      <c r="J16" s="40"/>
    </row>
    <row r="17" spans="1:10" ht="30" customHeight="1">
      <c r="A17" s="7"/>
      <c r="B17" s="78" t="s">
        <v>190</v>
      </c>
      <c r="C17" s="79"/>
      <c r="D17" s="79"/>
      <c r="E17" s="26">
        <v>6</v>
      </c>
      <c r="F17" s="23">
        <v>5</v>
      </c>
      <c r="G17" s="30">
        <f t="shared" si="0"/>
        <v>0.83333333333333337</v>
      </c>
      <c r="H17" s="31" t="str">
        <f t="shared" si="1"/>
        <v>جيد جداً</v>
      </c>
      <c r="I17" s="39"/>
      <c r="J17" s="40"/>
    </row>
    <row r="18" spans="1:10" ht="30" customHeight="1" thickBot="1">
      <c r="A18" s="7"/>
      <c r="B18" s="80" t="s">
        <v>191</v>
      </c>
      <c r="C18" s="81"/>
      <c r="D18" s="81"/>
      <c r="E18" s="27">
        <v>6</v>
      </c>
      <c r="F18" s="24">
        <v>4.75</v>
      </c>
      <c r="G18" s="35">
        <f t="shared" si="0"/>
        <v>0.79166666666666663</v>
      </c>
      <c r="H18" s="36" t="str">
        <f t="shared" si="1"/>
        <v>جيد</v>
      </c>
      <c r="I18" s="50"/>
      <c r="J18" s="51"/>
    </row>
    <row r="19" spans="1:10" ht="30" customHeight="1">
      <c r="A19" s="7"/>
      <c r="B19" s="76" t="s">
        <v>192</v>
      </c>
      <c r="C19" s="77"/>
      <c r="D19" s="77"/>
      <c r="E19" s="25"/>
      <c r="F19" s="32"/>
      <c r="G19" s="33"/>
      <c r="H19" s="34"/>
      <c r="I19" s="42"/>
      <c r="J19" s="43"/>
    </row>
    <row r="20" spans="1:10" ht="30" customHeight="1">
      <c r="A20" s="7"/>
      <c r="B20" s="78" t="s">
        <v>193</v>
      </c>
      <c r="C20" s="79"/>
      <c r="D20" s="79"/>
      <c r="E20" s="26"/>
      <c r="F20" s="23"/>
      <c r="G20" s="30"/>
      <c r="H20" s="31"/>
      <c r="I20" s="39"/>
      <c r="J20" s="40"/>
    </row>
    <row r="21" spans="1:10" ht="30" customHeight="1">
      <c r="A21" s="7"/>
      <c r="B21" s="82" t="s">
        <v>194</v>
      </c>
      <c r="C21" s="83"/>
      <c r="D21" s="83"/>
      <c r="E21" s="26">
        <v>5</v>
      </c>
      <c r="F21" s="23">
        <v>3.75</v>
      </c>
      <c r="G21" s="30">
        <f t="shared" si="0"/>
        <v>0.75</v>
      </c>
      <c r="H21" s="31" t="str">
        <f t="shared" si="1"/>
        <v>جيد</v>
      </c>
      <c r="I21" s="39"/>
      <c r="J21" s="40"/>
    </row>
    <row r="22" spans="1:10" ht="30" customHeight="1">
      <c r="A22" s="7"/>
      <c r="B22" s="82" t="s">
        <v>195</v>
      </c>
      <c r="C22" s="83"/>
      <c r="D22" s="83"/>
      <c r="E22" s="26">
        <v>5</v>
      </c>
      <c r="F22" s="23">
        <v>3.75</v>
      </c>
      <c r="G22" s="30">
        <f t="shared" si="0"/>
        <v>0.75</v>
      </c>
      <c r="H22" s="31" t="str">
        <f t="shared" si="1"/>
        <v>جيد</v>
      </c>
      <c r="I22" s="39"/>
      <c r="J22" s="40"/>
    </row>
    <row r="23" spans="1:10" ht="30" customHeight="1">
      <c r="A23" s="7"/>
      <c r="B23" s="82" t="s">
        <v>196</v>
      </c>
      <c r="C23" s="83"/>
      <c r="D23" s="83"/>
      <c r="E23" s="26">
        <v>5</v>
      </c>
      <c r="F23" s="23">
        <v>3.5</v>
      </c>
      <c r="G23" s="30">
        <f t="shared" si="0"/>
        <v>0.7</v>
      </c>
      <c r="H23" s="31" t="str">
        <f t="shared" si="1"/>
        <v>جيد</v>
      </c>
      <c r="I23" s="39"/>
      <c r="J23" s="40"/>
    </row>
    <row r="24" spans="1:10" ht="30" customHeight="1">
      <c r="A24" s="7"/>
      <c r="B24" s="82" t="s">
        <v>197</v>
      </c>
      <c r="C24" s="83"/>
      <c r="D24" s="83"/>
      <c r="E24" s="26">
        <v>5</v>
      </c>
      <c r="F24" s="23">
        <v>3.75</v>
      </c>
      <c r="G24" s="30">
        <f t="shared" si="0"/>
        <v>0.75</v>
      </c>
      <c r="H24" s="31" t="str">
        <f t="shared" si="1"/>
        <v>جيد</v>
      </c>
      <c r="I24" s="39"/>
      <c r="J24" s="40"/>
    </row>
    <row r="25" spans="1:10" ht="30" customHeight="1">
      <c r="A25" s="7"/>
      <c r="B25" s="78" t="s">
        <v>198</v>
      </c>
      <c r="C25" s="79"/>
      <c r="D25" s="79"/>
      <c r="E25" s="26"/>
      <c r="F25" s="23"/>
      <c r="G25" s="30"/>
      <c r="H25" s="31"/>
      <c r="I25" s="39"/>
      <c r="J25" s="40"/>
    </row>
    <row r="26" spans="1:10" ht="30" customHeight="1">
      <c r="A26" s="7"/>
      <c r="B26" s="82" t="s">
        <v>199</v>
      </c>
      <c r="C26" s="83"/>
      <c r="D26" s="83"/>
      <c r="E26" s="26">
        <v>5</v>
      </c>
      <c r="F26" s="23">
        <v>4</v>
      </c>
      <c r="G26" s="30">
        <f t="shared" si="0"/>
        <v>0.8</v>
      </c>
      <c r="H26" s="31" t="str">
        <f t="shared" si="1"/>
        <v>جيد جداً</v>
      </c>
      <c r="I26" s="39"/>
      <c r="J26" s="40"/>
    </row>
    <row r="27" spans="1:10" ht="30" customHeight="1">
      <c r="A27" s="7"/>
      <c r="B27" s="82" t="s">
        <v>200</v>
      </c>
      <c r="C27" s="83"/>
      <c r="D27" s="83"/>
      <c r="E27" s="26">
        <v>5</v>
      </c>
      <c r="F27" s="23">
        <v>3.75</v>
      </c>
      <c r="G27" s="30">
        <f t="shared" si="0"/>
        <v>0.75</v>
      </c>
      <c r="H27" s="31" t="str">
        <f t="shared" si="1"/>
        <v>جيد</v>
      </c>
      <c r="I27" s="39"/>
      <c r="J27" s="40"/>
    </row>
    <row r="28" spans="1:10" ht="39.950000000000003" customHeight="1">
      <c r="A28" s="7"/>
      <c r="B28" s="82" t="s">
        <v>201</v>
      </c>
      <c r="C28" s="83"/>
      <c r="D28" s="83"/>
      <c r="E28" s="26">
        <v>5</v>
      </c>
      <c r="F28" s="23">
        <v>3.75</v>
      </c>
      <c r="G28" s="30">
        <f t="shared" si="0"/>
        <v>0.75</v>
      </c>
      <c r="H28" s="31" t="str">
        <f t="shared" si="1"/>
        <v>جيد</v>
      </c>
      <c r="I28" s="39"/>
      <c r="J28" s="40"/>
    </row>
    <row r="29" spans="1:10" ht="30" customHeight="1">
      <c r="A29" s="7"/>
      <c r="B29" s="82" t="s">
        <v>202</v>
      </c>
      <c r="C29" s="83"/>
      <c r="D29" s="83"/>
      <c r="E29" s="26">
        <v>5</v>
      </c>
      <c r="F29" s="23">
        <v>4.25</v>
      </c>
      <c r="G29" s="30">
        <f t="shared" si="0"/>
        <v>0.85</v>
      </c>
      <c r="H29" s="31" t="str">
        <f t="shared" si="1"/>
        <v>جيد جداً</v>
      </c>
      <c r="I29" s="39"/>
      <c r="J29" s="40"/>
    </row>
    <row r="30" spans="1:10" ht="39.950000000000003" customHeight="1">
      <c r="A30" s="7"/>
      <c r="B30" s="82" t="s">
        <v>203</v>
      </c>
      <c r="C30" s="83"/>
      <c r="D30" s="83"/>
      <c r="E30" s="26">
        <v>5</v>
      </c>
      <c r="F30" s="23">
        <v>3.75</v>
      </c>
      <c r="G30" s="30">
        <f t="shared" si="0"/>
        <v>0.75</v>
      </c>
      <c r="H30" s="31" t="str">
        <f t="shared" si="1"/>
        <v>جيد</v>
      </c>
      <c r="I30" s="39"/>
      <c r="J30" s="40"/>
    </row>
    <row r="31" spans="1:10" ht="30" customHeight="1">
      <c r="A31" s="7"/>
      <c r="B31" s="78" t="s">
        <v>204</v>
      </c>
      <c r="C31" s="79"/>
      <c r="D31" s="79"/>
      <c r="E31" s="26"/>
      <c r="F31" s="23"/>
      <c r="G31" s="30"/>
      <c r="H31" s="31"/>
      <c r="I31" s="39"/>
      <c r="J31" s="40"/>
    </row>
    <row r="32" spans="1:10" ht="30" customHeight="1">
      <c r="A32" s="7"/>
      <c r="B32" s="82" t="s">
        <v>205</v>
      </c>
      <c r="C32" s="83"/>
      <c r="D32" s="83"/>
      <c r="E32" s="26">
        <v>5</v>
      </c>
      <c r="F32" s="23">
        <v>3.75</v>
      </c>
      <c r="G32" s="30">
        <f t="shared" si="0"/>
        <v>0.75</v>
      </c>
      <c r="H32" s="31" t="str">
        <f t="shared" si="1"/>
        <v>جيد</v>
      </c>
      <c r="I32" s="39"/>
      <c r="J32" s="40"/>
    </row>
    <row r="33" spans="1:10" ht="39.950000000000003" customHeight="1">
      <c r="A33" s="7"/>
      <c r="B33" s="82" t="s">
        <v>206</v>
      </c>
      <c r="C33" s="83"/>
      <c r="D33" s="83"/>
      <c r="E33" s="26">
        <v>5</v>
      </c>
      <c r="F33" s="23">
        <v>3.75</v>
      </c>
      <c r="G33" s="30">
        <f t="shared" si="0"/>
        <v>0.75</v>
      </c>
      <c r="H33" s="31" t="str">
        <f t="shared" si="1"/>
        <v>جيد</v>
      </c>
      <c r="I33" s="39"/>
      <c r="J33" s="40"/>
    </row>
    <row r="34" spans="1:10" ht="30" customHeight="1">
      <c r="A34" s="7"/>
      <c r="B34" s="78" t="s">
        <v>207</v>
      </c>
      <c r="C34" s="79"/>
      <c r="D34" s="79"/>
      <c r="E34" s="26"/>
      <c r="F34" s="23"/>
      <c r="G34" s="30"/>
      <c r="H34" s="31"/>
      <c r="I34" s="39"/>
      <c r="J34" s="40"/>
    </row>
    <row r="35" spans="1:10" ht="30" customHeight="1">
      <c r="A35" s="7"/>
      <c r="B35" s="82" t="s">
        <v>208</v>
      </c>
      <c r="C35" s="83"/>
      <c r="D35" s="83"/>
      <c r="E35" s="26">
        <v>5</v>
      </c>
      <c r="F35" s="23">
        <v>3.75</v>
      </c>
      <c r="G35" s="30">
        <f t="shared" si="0"/>
        <v>0.75</v>
      </c>
      <c r="H35" s="31" t="str">
        <f t="shared" si="1"/>
        <v>جيد</v>
      </c>
      <c r="I35" s="39"/>
      <c r="J35" s="40"/>
    </row>
    <row r="36" spans="1:10" ht="39.950000000000003" customHeight="1">
      <c r="A36" s="7"/>
      <c r="B36" s="82" t="s">
        <v>209</v>
      </c>
      <c r="C36" s="83"/>
      <c r="D36" s="83"/>
      <c r="E36" s="26">
        <v>5</v>
      </c>
      <c r="F36" s="23">
        <v>3.75</v>
      </c>
      <c r="G36" s="30">
        <f t="shared" si="0"/>
        <v>0.75</v>
      </c>
      <c r="H36" s="31" t="str">
        <f t="shared" si="1"/>
        <v>جيد</v>
      </c>
      <c r="I36" s="39"/>
      <c r="J36" s="40"/>
    </row>
    <row r="37" spans="1:10" ht="30" customHeight="1">
      <c r="A37" s="7"/>
      <c r="B37" s="82" t="s">
        <v>210</v>
      </c>
      <c r="C37" s="83"/>
      <c r="D37" s="83"/>
      <c r="E37" s="26">
        <v>5</v>
      </c>
      <c r="F37" s="23">
        <v>3.75</v>
      </c>
      <c r="G37" s="30">
        <f t="shared" si="0"/>
        <v>0.75</v>
      </c>
      <c r="H37" s="31" t="str">
        <f t="shared" si="1"/>
        <v>جيد</v>
      </c>
      <c r="I37" s="39"/>
      <c r="J37" s="40"/>
    </row>
    <row r="38" spans="1:10" ht="30" customHeight="1">
      <c r="A38" s="7"/>
      <c r="B38" s="82" t="s">
        <v>211</v>
      </c>
      <c r="C38" s="83"/>
      <c r="D38" s="83"/>
      <c r="E38" s="26">
        <v>5</v>
      </c>
      <c r="F38" s="23">
        <v>3.75</v>
      </c>
      <c r="G38" s="30">
        <f t="shared" si="0"/>
        <v>0.75</v>
      </c>
      <c r="H38" s="31" t="str">
        <f t="shared" si="1"/>
        <v>جيد</v>
      </c>
      <c r="I38" s="39"/>
      <c r="J38" s="40"/>
    </row>
    <row r="39" spans="1:10" ht="30" customHeight="1">
      <c r="A39" s="7"/>
      <c r="B39" s="82" t="s">
        <v>212</v>
      </c>
      <c r="C39" s="83"/>
      <c r="D39" s="83"/>
      <c r="E39" s="26">
        <v>5</v>
      </c>
      <c r="F39" s="23">
        <v>3.75</v>
      </c>
      <c r="G39" s="30">
        <f t="shared" si="0"/>
        <v>0.75</v>
      </c>
      <c r="H39" s="31" t="str">
        <f t="shared" si="1"/>
        <v>جيد</v>
      </c>
      <c r="I39" s="39"/>
      <c r="J39" s="40"/>
    </row>
    <row r="40" spans="1:10" ht="30" customHeight="1">
      <c r="A40" s="7"/>
      <c r="B40" s="82" t="s">
        <v>213</v>
      </c>
      <c r="C40" s="83"/>
      <c r="D40" s="83"/>
      <c r="E40" s="26">
        <v>5</v>
      </c>
      <c r="F40" s="23">
        <v>4</v>
      </c>
      <c r="G40" s="30">
        <f t="shared" si="0"/>
        <v>0.8</v>
      </c>
      <c r="H40" s="31" t="str">
        <f t="shared" si="1"/>
        <v>جيد جداً</v>
      </c>
      <c r="I40" s="39"/>
      <c r="J40" s="40"/>
    </row>
    <row r="41" spans="1:10" ht="30" customHeight="1">
      <c r="A41" s="7"/>
      <c r="B41" s="82" t="s">
        <v>214</v>
      </c>
      <c r="C41" s="83"/>
      <c r="D41" s="83"/>
      <c r="E41" s="26">
        <v>5</v>
      </c>
      <c r="F41" s="23">
        <v>3.75</v>
      </c>
      <c r="G41" s="30">
        <f t="shared" si="0"/>
        <v>0.75</v>
      </c>
      <c r="H41" s="31" t="str">
        <f t="shared" si="1"/>
        <v>جيد</v>
      </c>
      <c r="I41" s="39"/>
      <c r="J41" s="40"/>
    </row>
    <row r="42" spans="1:10" ht="30" customHeight="1">
      <c r="A42" s="7"/>
      <c r="B42" s="82" t="s">
        <v>215</v>
      </c>
      <c r="C42" s="83"/>
      <c r="D42" s="83"/>
      <c r="E42" s="26">
        <v>5</v>
      </c>
      <c r="F42" s="23">
        <v>3.75</v>
      </c>
      <c r="G42" s="30">
        <f t="shared" si="0"/>
        <v>0.75</v>
      </c>
      <c r="H42" s="31" t="str">
        <f t="shared" si="1"/>
        <v>جيد</v>
      </c>
      <c r="I42" s="39"/>
      <c r="J42" s="40"/>
    </row>
    <row r="43" spans="1:10" ht="30" customHeight="1" thickBot="1">
      <c r="A43" s="7"/>
      <c r="B43" s="84" t="s">
        <v>216</v>
      </c>
      <c r="C43" s="85"/>
      <c r="D43" s="85"/>
      <c r="E43" s="27">
        <v>5</v>
      </c>
      <c r="F43" s="24">
        <v>3.75</v>
      </c>
      <c r="G43" s="35">
        <f t="shared" si="0"/>
        <v>0.75</v>
      </c>
      <c r="H43" s="36" t="str">
        <f t="shared" si="1"/>
        <v>جيد</v>
      </c>
      <c r="I43" s="50"/>
      <c r="J43" s="51"/>
    </row>
    <row r="44" spans="1:10" ht="30" customHeight="1">
      <c r="A44" s="7"/>
      <c r="B44" s="76" t="s">
        <v>217</v>
      </c>
      <c r="C44" s="77"/>
      <c r="D44" s="77"/>
      <c r="E44" s="25"/>
      <c r="F44" s="32"/>
      <c r="G44" s="33"/>
      <c r="H44" s="34"/>
      <c r="I44" s="42"/>
      <c r="J44" s="43"/>
    </row>
    <row r="45" spans="1:10" ht="39.950000000000003" customHeight="1">
      <c r="A45" s="7"/>
      <c r="B45" s="78" t="s">
        <v>218</v>
      </c>
      <c r="C45" s="79"/>
      <c r="D45" s="79"/>
      <c r="E45" s="26">
        <v>5</v>
      </c>
      <c r="F45" s="23">
        <v>3.75</v>
      </c>
      <c r="G45" s="30">
        <f t="shared" si="0"/>
        <v>0.75</v>
      </c>
      <c r="H45" s="31" t="str">
        <f t="shared" si="1"/>
        <v>جيد</v>
      </c>
      <c r="I45" s="39"/>
      <c r="J45" s="40"/>
    </row>
    <row r="46" spans="1:10" ht="30" customHeight="1">
      <c r="A46" s="7"/>
      <c r="B46" s="78" t="s">
        <v>219</v>
      </c>
      <c r="C46" s="79"/>
      <c r="D46" s="79"/>
      <c r="E46" s="26">
        <v>5</v>
      </c>
      <c r="F46" s="23">
        <v>3.75</v>
      </c>
      <c r="G46" s="30">
        <f t="shared" si="0"/>
        <v>0.75</v>
      </c>
      <c r="H46" s="31" t="str">
        <f t="shared" si="1"/>
        <v>جيد</v>
      </c>
      <c r="I46" s="39"/>
      <c r="J46" s="40"/>
    </row>
    <row r="47" spans="1:10" ht="30" customHeight="1">
      <c r="A47" s="7"/>
      <c r="B47" s="78" t="s">
        <v>220</v>
      </c>
      <c r="C47" s="79"/>
      <c r="D47" s="79"/>
      <c r="E47" s="26">
        <v>5</v>
      </c>
      <c r="F47" s="23">
        <v>3.75</v>
      </c>
      <c r="G47" s="30">
        <f t="shared" si="0"/>
        <v>0.75</v>
      </c>
      <c r="H47" s="31" t="str">
        <f t="shared" si="1"/>
        <v>جيد</v>
      </c>
      <c r="I47" s="39"/>
      <c r="J47" s="40"/>
    </row>
    <row r="48" spans="1:10" ht="30" customHeight="1">
      <c r="A48" s="7"/>
      <c r="B48" s="78" t="s">
        <v>221</v>
      </c>
      <c r="C48" s="79"/>
      <c r="D48" s="79"/>
      <c r="E48" s="26">
        <v>5</v>
      </c>
      <c r="F48" s="23">
        <v>3.75</v>
      </c>
      <c r="G48" s="30">
        <f t="shared" si="0"/>
        <v>0.75</v>
      </c>
      <c r="H48" s="31" t="str">
        <f t="shared" si="1"/>
        <v>جيد</v>
      </c>
      <c r="I48" s="39"/>
      <c r="J48" s="40"/>
    </row>
    <row r="49" spans="1:10" ht="30" customHeight="1">
      <c r="A49" s="7"/>
      <c r="B49" s="78" t="s">
        <v>222</v>
      </c>
      <c r="C49" s="79"/>
      <c r="D49" s="79"/>
      <c r="E49" s="26">
        <v>5</v>
      </c>
      <c r="F49" s="23">
        <v>3.75</v>
      </c>
      <c r="G49" s="30">
        <f t="shared" si="0"/>
        <v>0.75</v>
      </c>
      <c r="H49" s="31" t="str">
        <f t="shared" si="1"/>
        <v>جيد</v>
      </c>
      <c r="I49" s="39"/>
      <c r="J49" s="40"/>
    </row>
    <row r="50" spans="1:10" ht="30" customHeight="1">
      <c r="A50" s="7"/>
      <c r="B50" s="78" t="s">
        <v>223</v>
      </c>
      <c r="C50" s="79"/>
      <c r="D50" s="79"/>
      <c r="E50" s="26">
        <v>5</v>
      </c>
      <c r="F50" s="23">
        <v>3.75</v>
      </c>
      <c r="G50" s="30">
        <f t="shared" si="0"/>
        <v>0.75</v>
      </c>
      <c r="H50" s="31" t="str">
        <f t="shared" si="1"/>
        <v>جيد</v>
      </c>
      <c r="I50" s="39"/>
      <c r="J50" s="40"/>
    </row>
    <row r="51" spans="1:10" ht="30" customHeight="1">
      <c r="A51" s="7"/>
      <c r="B51" s="78" t="s">
        <v>224</v>
      </c>
      <c r="C51" s="79"/>
      <c r="D51" s="79"/>
      <c r="E51" s="26">
        <v>5</v>
      </c>
      <c r="F51" s="23">
        <v>3.75</v>
      </c>
      <c r="G51" s="30">
        <f t="shared" si="0"/>
        <v>0.75</v>
      </c>
      <c r="H51" s="31" t="str">
        <f t="shared" si="1"/>
        <v>جيد</v>
      </c>
      <c r="I51" s="39"/>
      <c r="J51" s="40"/>
    </row>
    <row r="52" spans="1:10" ht="30" customHeight="1">
      <c r="A52" s="7"/>
      <c r="B52" s="78" t="s">
        <v>225</v>
      </c>
      <c r="C52" s="79"/>
      <c r="D52" s="79"/>
      <c r="E52" s="26">
        <v>5</v>
      </c>
      <c r="F52" s="23">
        <v>3.75</v>
      </c>
      <c r="G52" s="30">
        <f t="shared" si="0"/>
        <v>0.75</v>
      </c>
      <c r="H52" s="31" t="str">
        <f t="shared" si="1"/>
        <v>جيد</v>
      </c>
      <c r="I52" s="39"/>
      <c r="J52" s="40"/>
    </row>
    <row r="53" spans="1:10" ht="30" customHeight="1">
      <c r="A53" s="7"/>
      <c r="B53" s="78" t="s">
        <v>226</v>
      </c>
      <c r="C53" s="79"/>
      <c r="D53" s="79"/>
      <c r="E53" s="26">
        <v>5</v>
      </c>
      <c r="F53" s="23">
        <v>3.75</v>
      </c>
      <c r="G53" s="30">
        <f t="shared" si="0"/>
        <v>0.75</v>
      </c>
      <c r="H53" s="31" t="str">
        <f t="shared" si="1"/>
        <v>جيد</v>
      </c>
      <c r="I53" s="39"/>
      <c r="J53" s="40"/>
    </row>
    <row r="54" spans="1:10" ht="30" customHeight="1">
      <c r="A54" s="7"/>
      <c r="B54" s="78" t="s">
        <v>227</v>
      </c>
      <c r="C54" s="79"/>
      <c r="D54" s="79"/>
      <c r="E54" s="26">
        <v>5</v>
      </c>
      <c r="F54" s="23">
        <v>4</v>
      </c>
      <c r="G54" s="30">
        <f t="shared" si="0"/>
        <v>0.8</v>
      </c>
      <c r="H54" s="31" t="str">
        <f t="shared" si="1"/>
        <v>جيد جداً</v>
      </c>
      <c r="I54" s="39"/>
      <c r="J54" s="40"/>
    </row>
    <row r="55" spans="1:10" ht="39.950000000000003" customHeight="1">
      <c r="A55" s="7"/>
      <c r="B55" s="78" t="s">
        <v>228</v>
      </c>
      <c r="C55" s="79"/>
      <c r="D55" s="79"/>
      <c r="E55" s="26">
        <v>5</v>
      </c>
      <c r="F55" s="23">
        <v>3.75</v>
      </c>
      <c r="G55" s="30">
        <f t="shared" si="0"/>
        <v>0.75</v>
      </c>
      <c r="H55" s="31" t="str">
        <f t="shared" si="1"/>
        <v>جيد</v>
      </c>
      <c r="I55" s="39"/>
      <c r="J55" s="40"/>
    </row>
    <row r="56" spans="1:10" ht="39.950000000000003" customHeight="1">
      <c r="A56" s="7"/>
      <c r="B56" s="78" t="s">
        <v>229</v>
      </c>
      <c r="C56" s="79"/>
      <c r="D56" s="79"/>
      <c r="E56" s="26">
        <v>5</v>
      </c>
      <c r="F56" s="23">
        <v>3.75</v>
      </c>
      <c r="G56" s="30">
        <f t="shared" si="0"/>
        <v>0.75</v>
      </c>
      <c r="H56" s="31" t="str">
        <f t="shared" si="1"/>
        <v>جيد</v>
      </c>
      <c r="I56" s="39"/>
      <c r="J56" s="40"/>
    </row>
    <row r="57" spans="1:10" ht="30" customHeight="1" thickBot="1">
      <c r="A57" s="7"/>
      <c r="B57" s="80" t="s">
        <v>230</v>
      </c>
      <c r="C57" s="81"/>
      <c r="D57" s="81"/>
      <c r="E57" s="27">
        <v>5</v>
      </c>
      <c r="F57" s="24">
        <v>3.75</v>
      </c>
      <c r="G57" s="35">
        <f t="shared" si="0"/>
        <v>0.75</v>
      </c>
      <c r="H57" s="36" t="str">
        <f t="shared" si="1"/>
        <v>جيد</v>
      </c>
      <c r="I57" s="50"/>
      <c r="J57" s="51"/>
    </row>
    <row r="58" spans="1:10" ht="30" customHeight="1">
      <c r="A58" s="7"/>
      <c r="B58" s="76" t="s">
        <v>231</v>
      </c>
      <c r="C58" s="77"/>
      <c r="D58" s="77"/>
      <c r="E58" s="25"/>
      <c r="F58" s="32"/>
      <c r="G58" s="33"/>
      <c r="H58" s="34"/>
      <c r="I58" s="42"/>
      <c r="J58" s="43"/>
    </row>
    <row r="59" spans="1:10" ht="30" customHeight="1">
      <c r="A59" s="7"/>
      <c r="B59" s="78" t="s">
        <v>232</v>
      </c>
      <c r="C59" s="79"/>
      <c r="D59" s="79"/>
      <c r="E59" s="26">
        <v>5</v>
      </c>
      <c r="F59" s="23">
        <v>3.75</v>
      </c>
      <c r="G59" s="30">
        <f t="shared" si="0"/>
        <v>0.75</v>
      </c>
      <c r="H59" s="31" t="str">
        <f t="shared" si="1"/>
        <v>جيد</v>
      </c>
      <c r="I59" s="39"/>
      <c r="J59" s="40"/>
    </row>
    <row r="60" spans="1:10" ht="30" customHeight="1">
      <c r="A60" s="7"/>
      <c r="B60" s="78" t="s">
        <v>233</v>
      </c>
      <c r="C60" s="79"/>
      <c r="D60" s="79"/>
      <c r="E60" s="26">
        <v>5</v>
      </c>
      <c r="F60" s="23">
        <v>3.75</v>
      </c>
      <c r="G60" s="30">
        <f t="shared" si="0"/>
        <v>0.75</v>
      </c>
      <c r="H60" s="31" t="str">
        <f t="shared" si="1"/>
        <v>جيد</v>
      </c>
      <c r="I60" s="39"/>
      <c r="J60" s="40"/>
    </row>
    <row r="61" spans="1:10" ht="30" customHeight="1">
      <c r="A61" s="7"/>
      <c r="B61" s="78" t="s">
        <v>234</v>
      </c>
      <c r="C61" s="79"/>
      <c r="D61" s="79"/>
      <c r="E61" s="26">
        <v>5</v>
      </c>
      <c r="F61" s="23">
        <v>3.75</v>
      </c>
      <c r="G61" s="30">
        <f t="shared" si="0"/>
        <v>0.75</v>
      </c>
      <c r="H61" s="31" t="str">
        <f t="shared" si="1"/>
        <v>جيد</v>
      </c>
      <c r="I61" s="39"/>
      <c r="J61" s="40"/>
    </row>
    <row r="62" spans="1:10" ht="30" customHeight="1">
      <c r="A62" s="7"/>
      <c r="B62" s="78" t="s">
        <v>235</v>
      </c>
      <c r="C62" s="79"/>
      <c r="D62" s="79"/>
      <c r="E62" s="26">
        <v>5</v>
      </c>
      <c r="F62" s="23">
        <v>4</v>
      </c>
      <c r="G62" s="30">
        <f t="shared" si="0"/>
        <v>0.8</v>
      </c>
      <c r="H62" s="31" t="str">
        <f t="shared" si="1"/>
        <v>جيد جداً</v>
      </c>
      <c r="I62" s="39"/>
      <c r="J62" s="40"/>
    </row>
    <row r="63" spans="1:10" ht="30" customHeight="1">
      <c r="A63" s="7"/>
      <c r="B63" s="78" t="s">
        <v>236</v>
      </c>
      <c r="C63" s="79"/>
      <c r="D63" s="79"/>
      <c r="E63" s="26">
        <v>5</v>
      </c>
      <c r="F63" s="23">
        <v>4</v>
      </c>
      <c r="G63" s="30">
        <f t="shared" si="0"/>
        <v>0.8</v>
      </c>
      <c r="H63" s="31" t="str">
        <f t="shared" si="1"/>
        <v>جيد جداً</v>
      </c>
      <c r="I63" s="39"/>
      <c r="J63" s="40"/>
    </row>
    <row r="64" spans="1:10" ht="30" customHeight="1">
      <c r="A64" s="7"/>
      <c r="B64" s="78" t="s">
        <v>237</v>
      </c>
      <c r="C64" s="79"/>
      <c r="D64" s="79"/>
      <c r="E64" s="26">
        <v>5</v>
      </c>
      <c r="F64" s="23">
        <v>3.75</v>
      </c>
      <c r="G64" s="30">
        <f t="shared" si="0"/>
        <v>0.75</v>
      </c>
      <c r="H64" s="31" t="str">
        <f t="shared" si="1"/>
        <v>جيد</v>
      </c>
      <c r="I64" s="39"/>
      <c r="J64" s="40"/>
    </row>
    <row r="65" spans="1:10" ht="30" customHeight="1">
      <c r="A65" s="7"/>
      <c r="B65" s="78" t="s">
        <v>238</v>
      </c>
      <c r="C65" s="79"/>
      <c r="D65" s="79"/>
      <c r="E65" s="26">
        <v>5</v>
      </c>
      <c r="F65" s="23">
        <v>3.75</v>
      </c>
      <c r="G65" s="30">
        <f t="shared" si="0"/>
        <v>0.75</v>
      </c>
      <c r="H65" s="31" t="str">
        <f t="shared" si="1"/>
        <v>جيد</v>
      </c>
      <c r="I65" s="39"/>
      <c r="J65" s="40"/>
    </row>
    <row r="66" spans="1:10" ht="30" customHeight="1">
      <c r="A66" s="7"/>
      <c r="B66" s="78" t="s">
        <v>239</v>
      </c>
      <c r="C66" s="79"/>
      <c r="D66" s="79"/>
      <c r="E66" s="26">
        <v>5</v>
      </c>
      <c r="F66" s="23">
        <v>3.75</v>
      </c>
      <c r="G66" s="30">
        <f t="shared" si="0"/>
        <v>0.75</v>
      </c>
      <c r="H66" s="31" t="str">
        <f t="shared" si="1"/>
        <v>جيد</v>
      </c>
      <c r="I66" s="39"/>
      <c r="J66" s="40"/>
    </row>
    <row r="67" spans="1:10" ht="39.950000000000003" customHeight="1">
      <c r="A67" s="7"/>
      <c r="B67" s="78" t="s">
        <v>240</v>
      </c>
      <c r="C67" s="79"/>
      <c r="D67" s="79"/>
      <c r="E67" s="26">
        <v>5</v>
      </c>
      <c r="F67" s="23">
        <v>3.75</v>
      </c>
      <c r="G67" s="30">
        <f t="shared" si="0"/>
        <v>0.75</v>
      </c>
      <c r="H67" s="31" t="str">
        <f t="shared" si="1"/>
        <v>جيد</v>
      </c>
      <c r="I67" s="39"/>
      <c r="J67" s="40"/>
    </row>
    <row r="68" spans="1:10" ht="30" customHeight="1">
      <c r="A68" s="7"/>
      <c r="B68" s="78" t="s">
        <v>241</v>
      </c>
      <c r="C68" s="79"/>
      <c r="D68" s="79"/>
      <c r="E68" s="26">
        <v>5</v>
      </c>
      <c r="F68" s="23">
        <v>3.75</v>
      </c>
      <c r="G68" s="30">
        <f t="shared" si="0"/>
        <v>0.75</v>
      </c>
      <c r="H68" s="31" t="str">
        <f t="shared" si="1"/>
        <v>جيد</v>
      </c>
      <c r="I68" s="39"/>
      <c r="J68" s="40"/>
    </row>
    <row r="69" spans="1:10" ht="30" customHeight="1">
      <c r="A69" s="7"/>
      <c r="B69" s="78" t="s">
        <v>242</v>
      </c>
      <c r="C69" s="79"/>
      <c r="D69" s="79"/>
      <c r="E69" s="26">
        <v>5</v>
      </c>
      <c r="F69" s="23">
        <v>3.75</v>
      </c>
      <c r="G69" s="30">
        <f t="shared" si="0"/>
        <v>0.75</v>
      </c>
      <c r="H69" s="31" t="str">
        <f t="shared" si="1"/>
        <v>جيد</v>
      </c>
      <c r="I69" s="39"/>
      <c r="J69" s="40"/>
    </row>
    <row r="70" spans="1:10" ht="30" customHeight="1">
      <c r="A70" s="7"/>
      <c r="B70" s="78" t="s">
        <v>243</v>
      </c>
      <c r="C70" s="79"/>
      <c r="D70" s="79"/>
      <c r="E70" s="26">
        <v>5</v>
      </c>
      <c r="F70" s="23">
        <v>3.75</v>
      </c>
      <c r="G70" s="30">
        <f t="shared" si="0"/>
        <v>0.75</v>
      </c>
      <c r="H70" s="31" t="str">
        <f t="shared" si="1"/>
        <v>جيد</v>
      </c>
      <c r="I70" s="39"/>
      <c r="J70" s="40"/>
    </row>
    <row r="71" spans="1:10" ht="30" customHeight="1">
      <c r="A71" s="7"/>
      <c r="B71" s="78" t="s">
        <v>244</v>
      </c>
      <c r="C71" s="79"/>
      <c r="D71" s="79"/>
      <c r="E71" s="26">
        <v>5</v>
      </c>
      <c r="F71" s="23">
        <v>3.75</v>
      </c>
      <c r="G71" s="30">
        <f t="shared" si="0"/>
        <v>0.75</v>
      </c>
      <c r="H71" s="31" t="str">
        <f t="shared" si="1"/>
        <v>جيد</v>
      </c>
      <c r="I71" s="39"/>
      <c r="J71" s="40"/>
    </row>
    <row r="72" spans="1:10" ht="30" customHeight="1">
      <c r="A72" s="7"/>
      <c r="B72" s="78" t="s">
        <v>245</v>
      </c>
      <c r="C72" s="79"/>
      <c r="D72" s="79"/>
      <c r="E72" s="26">
        <v>5</v>
      </c>
      <c r="F72" s="23">
        <v>3.75</v>
      </c>
      <c r="G72" s="30">
        <f t="shared" si="0"/>
        <v>0.75</v>
      </c>
      <c r="H72" s="31" t="str">
        <f t="shared" si="1"/>
        <v>جيد</v>
      </c>
      <c r="I72" s="39"/>
      <c r="J72" s="40"/>
    </row>
    <row r="73" spans="1:10" ht="30" customHeight="1" thickBot="1">
      <c r="A73" s="7"/>
      <c r="B73" s="80" t="s">
        <v>246</v>
      </c>
      <c r="C73" s="81"/>
      <c r="D73" s="81"/>
      <c r="E73" s="27">
        <v>5</v>
      </c>
      <c r="F73" s="24">
        <v>3.75</v>
      </c>
      <c r="G73" s="35">
        <f t="shared" si="0"/>
        <v>0.75</v>
      </c>
      <c r="H73" s="36" t="str">
        <f t="shared" si="1"/>
        <v>جيد</v>
      </c>
      <c r="I73" s="50"/>
      <c r="J73" s="51"/>
    </row>
    <row r="74" spans="1:10" ht="30" customHeight="1" thickBot="1">
      <c r="A74" s="4"/>
      <c r="B74" s="37" t="s">
        <v>5</v>
      </c>
      <c r="C74" s="38"/>
      <c r="D74" s="38"/>
      <c r="E74" s="29">
        <f>SUM(E8:E73)</f>
        <v>300</v>
      </c>
      <c r="F74" s="29">
        <f>SUM(F8:F73)</f>
        <v>229.5</v>
      </c>
      <c r="G74" s="73"/>
      <c r="H74" s="74"/>
      <c r="I74" s="74"/>
      <c r="J74" s="75"/>
    </row>
    <row r="75" spans="1:10" ht="30" customHeight="1" thickBot="1">
      <c r="A75" s="4"/>
      <c r="B75" s="52" t="s">
        <v>54</v>
      </c>
      <c r="C75" s="53"/>
      <c r="D75" s="53"/>
      <c r="E75" s="61">
        <f>F74/E74/100*100</f>
        <v>0.76500000000000001</v>
      </c>
      <c r="F75" s="61"/>
      <c r="G75" s="61"/>
      <c r="H75" s="61"/>
      <c r="I75" s="61"/>
      <c r="J75" s="62"/>
    </row>
    <row r="76" spans="1:10" ht="30" customHeight="1" thickBot="1">
      <c r="A76" s="4"/>
      <c r="B76" s="52" t="s">
        <v>55</v>
      </c>
      <c r="C76" s="53"/>
      <c r="D76" s="53"/>
      <c r="E76" s="48" t="str">
        <f>_xlfn.IFS(E75&gt;=90%,"ممتاز",E75&gt;=80%,"جيد جداً",E75&gt;=70%,"جيد",E75&gt;=60%,"مقبول",E75&lt;60%,"راسب")</f>
        <v>جيد</v>
      </c>
      <c r="F76" s="48"/>
      <c r="G76" s="48"/>
      <c r="H76" s="48"/>
      <c r="I76" s="48"/>
      <c r="J76" s="49"/>
    </row>
    <row r="77" spans="1:10" ht="42" customHeight="1">
      <c r="B77" s="44" t="s">
        <v>174</v>
      </c>
      <c r="C77" s="44"/>
      <c r="D77" s="44"/>
      <c r="E77" s="71" t="s">
        <v>52</v>
      </c>
      <c r="F77" s="71"/>
      <c r="G77" s="46" t="s">
        <v>59</v>
      </c>
      <c r="H77" s="46"/>
      <c r="I77" s="46"/>
      <c r="J77" s="46"/>
    </row>
    <row r="78" spans="1:10" ht="51" customHeight="1">
      <c r="A78" s="5"/>
      <c r="B78" s="45"/>
      <c r="C78" s="45"/>
      <c r="D78" s="45"/>
      <c r="E78" s="72" t="s">
        <v>53</v>
      </c>
      <c r="F78" s="72"/>
      <c r="G78" s="47"/>
      <c r="H78" s="47"/>
      <c r="I78" s="47"/>
      <c r="J78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55">
    <mergeCell ref="B72:D72"/>
    <mergeCell ref="B73:D73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4:D54"/>
    <mergeCell ref="B55:D55"/>
    <mergeCell ref="B56:D56"/>
    <mergeCell ref="B57:D57"/>
    <mergeCell ref="B58:D58"/>
    <mergeCell ref="B59:D59"/>
    <mergeCell ref="B60:D60"/>
    <mergeCell ref="B61:D61"/>
    <mergeCell ref="B71:D71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I19:J19"/>
    <mergeCell ref="I20:J20"/>
    <mergeCell ref="I21:J21"/>
    <mergeCell ref="I22:J22"/>
    <mergeCell ref="I23:J23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I13:J13"/>
    <mergeCell ref="I14:J14"/>
    <mergeCell ref="I15:J15"/>
    <mergeCell ref="I16:J16"/>
    <mergeCell ref="I17:J17"/>
    <mergeCell ref="I9:J9"/>
    <mergeCell ref="E77:F77"/>
    <mergeCell ref="E78:F78"/>
    <mergeCell ref="G74:J74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18:J18"/>
    <mergeCell ref="I28:J28"/>
    <mergeCell ref="I29:J29"/>
    <mergeCell ref="B75:D75"/>
    <mergeCell ref="B76:D76"/>
    <mergeCell ref="I59:J59"/>
    <mergeCell ref="I60:J60"/>
    <mergeCell ref="I61:J61"/>
    <mergeCell ref="B1:J1"/>
    <mergeCell ref="F2:J2"/>
    <mergeCell ref="B5:D6"/>
    <mergeCell ref="C2:D2"/>
    <mergeCell ref="C3:D3"/>
    <mergeCell ref="F3:J3"/>
    <mergeCell ref="E75:J75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1:J11"/>
    <mergeCell ref="I12:J12"/>
    <mergeCell ref="F4:J4"/>
    <mergeCell ref="C4:D4"/>
    <mergeCell ref="I32:J32"/>
    <mergeCell ref="I33:J33"/>
    <mergeCell ref="I34:J34"/>
    <mergeCell ref="I35:J35"/>
    <mergeCell ref="I36:J36"/>
    <mergeCell ref="I8:J8"/>
    <mergeCell ref="B77:D78"/>
    <mergeCell ref="G77:J77"/>
    <mergeCell ref="G78:J78"/>
    <mergeCell ref="E76:J76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B74:D74"/>
    <mergeCell ref="I26:J26"/>
    <mergeCell ref="I27:J27"/>
    <mergeCell ref="I45:J45"/>
    <mergeCell ref="I46:J46"/>
    <mergeCell ref="I47:J47"/>
    <mergeCell ref="I48:J48"/>
    <mergeCell ref="I24:J24"/>
    <mergeCell ref="I25:J25"/>
    <mergeCell ref="I56:J56"/>
    <mergeCell ref="I57:J57"/>
    <mergeCell ref="I58:J58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6">
    <cfRule type="expression" dxfId="14" priority="57">
      <formula>$E76="راسب"</formula>
    </cfRule>
  </conditionalFormatting>
  <conditionalFormatting sqref="E76:J76">
    <cfRule type="expression" dxfId="13" priority="58">
      <formula>$E76="مقبول"</formula>
    </cfRule>
    <cfRule type="expression" dxfId="12" priority="59">
      <formula>$E76="جيد"</formula>
    </cfRule>
    <cfRule type="expression" dxfId="11" priority="60">
      <formula>$E76="جيد جداً"</formula>
    </cfRule>
    <cfRule type="expression" dxfId="10" priority="61">
      <formula>$E76="ممتاز"</formula>
    </cfRule>
  </conditionalFormatting>
  <conditionalFormatting sqref="F8:F7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7:J77">
    <cfRule type="containsText" dxfId="6" priority="15" operator="containsText" text="أدخل اسم المحكم">
      <formula>NOT(ISERROR(SEARCH("أدخل اسم المحكم",G77)))</formula>
    </cfRule>
  </conditionalFormatting>
  <conditionalFormatting sqref="H8:H7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F21:F24 F59:F73 F45:F57 F35:F43 F32:F33 F26:F30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G77:J77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48E27EC-1140-462F-A5A5-4202A89DEC57}">
          <x14:formula1>
            <xm:f>'بيانات التقييم'!$A$111:$A$137</xm:f>
          </x14:formula1>
          <xm:sqref>F9:F18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6" t="s">
        <v>62</v>
      </c>
    </row>
    <row r="3" spans="1:3" ht="20.100000000000001" customHeight="1" thickBot="1">
      <c r="A3" s="2" t="s">
        <v>26</v>
      </c>
      <c r="C3" s="16" t="s">
        <v>63</v>
      </c>
    </row>
    <row r="4" spans="1:3" ht="20.100000000000001" customHeight="1" thickBot="1">
      <c r="A4" s="2" t="s">
        <v>36</v>
      </c>
      <c r="C4" s="16" t="s">
        <v>64</v>
      </c>
    </row>
    <row r="5" spans="1:3" ht="20.100000000000001" customHeight="1" thickBot="1">
      <c r="A5" s="2" t="s">
        <v>37</v>
      </c>
      <c r="C5" s="16" t="s">
        <v>65</v>
      </c>
    </row>
    <row r="6" spans="1:3" ht="20.100000000000001" customHeight="1" thickBot="1">
      <c r="A6" s="2" t="s">
        <v>38</v>
      </c>
      <c r="C6" s="16" t="s">
        <v>66</v>
      </c>
    </row>
    <row r="7" spans="1:3" ht="20.100000000000001" customHeight="1" thickBot="1">
      <c r="A7" s="2" t="s">
        <v>39</v>
      </c>
      <c r="C7" s="16" t="s">
        <v>67</v>
      </c>
    </row>
    <row r="8" spans="1:3" ht="20.100000000000001" customHeight="1" thickBot="1">
      <c r="A8" s="2" t="s">
        <v>40</v>
      </c>
      <c r="C8" s="16" t="s">
        <v>68</v>
      </c>
    </row>
    <row r="9" spans="1:3" ht="20.100000000000001" customHeight="1" thickBot="1">
      <c r="A9" s="2" t="s">
        <v>41</v>
      </c>
      <c r="C9" s="16" t="s">
        <v>69</v>
      </c>
    </row>
    <row r="10" spans="1:3" ht="20.100000000000001" customHeight="1" thickBot="1">
      <c r="A10" s="2" t="s">
        <v>42</v>
      </c>
      <c r="C10" s="16" t="s">
        <v>70</v>
      </c>
    </row>
    <row r="11" spans="1:3" ht="20.100000000000001" customHeight="1" thickBot="1">
      <c r="A11" s="2" t="s">
        <v>43</v>
      </c>
      <c r="C11" s="16" t="s">
        <v>71</v>
      </c>
    </row>
    <row r="12" spans="1:3" ht="20.100000000000001" customHeight="1" thickBot="1">
      <c r="A12" s="2" t="s">
        <v>44</v>
      </c>
      <c r="C12" s="16" t="s">
        <v>72</v>
      </c>
    </row>
    <row r="13" spans="1:3" ht="20.100000000000001" customHeight="1" thickBot="1">
      <c r="A13" s="2" t="s">
        <v>45</v>
      </c>
      <c r="C13" s="16" t="s">
        <v>73</v>
      </c>
    </row>
    <row r="14" spans="1:3" ht="20.100000000000001" customHeight="1" thickBot="1">
      <c r="A14" s="2" t="s">
        <v>46</v>
      </c>
      <c r="C14" s="16" t="s">
        <v>74</v>
      </c>
    </row>
    <row r="15" spans="1:3" ht="20.100000000000001" customHeight="1" thickBot="1">
      <c r="A15" s="2" t="s">
        <v>47</v>
      </c>
      <c r="C15" s="16" t="s">
        <v>75</v>
      </c>
    </row>
    <row r="16" spans="1:3" ht="20.100000000000001" customHeight="1" thickBot="1">
      <c r="A16" s="2" t="s">
        <v>10</v>
      </c>
      <c r="C16" s="16" t="s">
        <v>76</v>
      </c>
    </row>
    <row r="17" spans="1:3" ht="20.100000000000001" customHeight="1" thickBot="1">
      <c r="A17" s="2" t="s">
        <v>27</v>
      </c>
      <c r="C17" s="16" t="s">
        <v>77</v>
      </c>
    </row>
    <row r="18" spans="1:3" ht="20.100000000000001" customHeight="1" thickBot="1">
      <c r="A18" s="2" t="s">
        <v>48</v>
      </c>
      <c r="C18" s="16" t="s">
        <v>78</v>
      </c>
    </row>
    <row r="19" spans="1:3" ht="20.100000000000001" customHeight="1" thickBot="1">
      <c r="A19" s="2" t="s">
        <v>49</v>
      </c>
      <c r="C19" s="16" t="s">
        <v>79</v>
      </c>
    </row>
    <row r="20" spans="1:3" ht="20.100000000000001" customHeight="1" thickBot="1">
      <c r="A20" s="2" t="s">
        <v>50</v>
      </c>
      <c r="C20" s="16" t="s">
        <v>80</v>
      </c>
    </row>
    <row r="21" spans="1:3" ht="20.100000000000001" customHeight="1" thickBot="1">
      <c r="A21" s="2" t="s">
        <v>51</v>
      </c>
      <c r="C21" s="16" t="s">
        <v>81</v>
      </c>
    </row>
    <row r="22" spans="1:3" ht="20.100000000000001" customHeight="1" thickBot="1">
      <c r="A22" s="2" t="s">
        <v>11</v>
      </c>
      <c r="C22" s="16" t="s">
        <v>82</v>
      </c>
    </row>
    <row r="23" spans="1:3" ht="20.100000000000001" customHeight="1" thickBot="1">
      <c r="A23" s="2" t="s">
        <v>12</v>
      </c>
      <c r="C23" s="16" t="s">
        <v>83</v>
      </c>
    </row>
    <row r="24" spans="1:3" ht="20.100000000000001" customHeight="1" thickBot="1">
      <c r="A24" s="2" t="s">
        <v>15</v>
      </c>
      <c r="C24" s="16" t="s">
        <v>84</v>
      </c>
    </row>
    <row r="25" spans="1:3" ht="20.100000000000001" customHeight="1" thickBot="1">
      <c r="A25" s="2" t="s">
        <v>28</v>
      </c>
      <c r="C25" s="16" t="s">
        <v>85</v>
      </c>
    </row>
    <row r="26" spans="1:3" ht="20.100000000000001" customHeight="1" thickBot="1">
      <c r="A26" s="2" t="s">
        <v>29</v>
      </c>
      <c r="C26" s="16" t="s">
        <v>86</v>
      </c>
    </row>
    <row r="27" spans="1:3" ht="20.100000000000001" customHeight="1" thickBot="1">
      <c r="A27" s="2" t="s">
        <v>13</v>
      </c>
      <c r="C27" s="16" t="s">
        <v>87</v>
      </c>
    </row>
    <row r="28" spans="1:3" ht="20.100000000000001" customHeight="1" thickBot="1">
      <c r="A28" s="2" t="s">
        <v>30</v>
      </c>
      <c r="C28" s="16" t="s">
        <v>88</v>
      </c>
    </row>
    <row r="29" spans="1:3" ht="20.100000000000001" customHeight="1" thickBot="1">
      <c r="A29" s="2" t="s">
        <v>31</v>
      </c>
      <c r="C29" s="16" t="s">
        <v>177</v>
      </c>
    </row>
    <row r="30" spans="1:3" ht="20.100000000000001" customHeight="1" thickBot="1">
      <c r="A30" s="2" t="s">
        <v>32</v>
      </c>
      <c r="C30" s="16" t="s">
        <v>178</v>
      </c>
    </row>
    <row r="31" spans="1:3" ht="20.100000000000001" customHeight="1" thickBot="1">
      <c r="A31" s="2" t="s">
        <v>33</v>
      </c>
      <c r="C31" s="16" t="s">
        <v>179</v>
      </c>
    </row>
    <row r="32" spans="1:3" ht="20.100000000000001" customHeight="1" thickBot="1">
      <c r="A32" s="2" t="s">
        <v>16</v>
      </c>
      <c r="C32" s="16"/>
    </row>
    <row r="33" spans="1:9" ht="20.100000000000001" customHeight="1" thickBot="1">
      <c r="A33" s="2" t="s">
        <v>14</v>
      </c>
      <c r="C33" s="16"/>
    </row>
    <row r="34" spans="1:9" ht="20.100000000000001" customHeight="1" thickBot="1">
      <c r="A34" s="2" t="s">
        <v>34</v>
      </c>
      <c r="C34" s="16"/>
    </row>
    <row r="35" spans="1:9" ht="20.100000000000001" customHeight="1">
      <c r="A35" s="15"/>
    </row>
    <row r="36" spans="1:9" s="14" customFormat="1" ht="20.100000000000001" customHeight="1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0">
        <v>45931</v>
      </c>
    </row>
    <row r="40" spans="1:9" ht="20.100000000000001" customHeight="1" thickBot="1">
      <c r="A40" s="10">
        <v>45932</v>
      </c>
    </row>
    <row r="41" spans="1:9" ht="20.100000000000001" customHeight="1" thickBot="1">
      <c r="A41" s="10">
        <v>45933</v>
      </c>
    </row>
    <row r="42" spans="1:9" ht="20.100000000000001" customHeight="1" thickBot="1">
      <c r="A42" s="10">
        <v>45934</v>
      </c>
    </row>
    <row r="43" spans="1:9" ht="20.100000000000001" customHeight="1" thickBot="1">
      <c r="A43" s="10">
        <v>45935</v>
      </c>
    </row>
    <row r="44" spans="1:9" ht="20.100000000000001" customHeight="1" thickBot="1">
      <c r="A44" s="10">
        <v>45936</v>
      </c>
    </row>
    <row r="45" spans="1:9" ht="20.100000000000001" customHeight="1" thickBot="1">
      <c r="A45" s="10">
        <v>45937</v>
      </c>
    </row>
    <row r="46" spans="1:9" ht="20.100000000000001" customHeight="1" thickBot="1">
      <c r="A46" s="10">
        <v>45938</v>
      </c>
    </row>
    <row r="47" spans="1:9" ht="20.100000000000001" customHeight="1" thickBot="1">
      <c r="A47" s="10">
        <v>45939</v>
      </c>
    </row>
    <row r="48" spans="1:9" ht="20.100000000000001" customHeight="1" thickBot="1">
      <c r="A48" s="10">
        <v>45940</v>
      </c>
    </row>
    <row r="49" spans="1:1" ht="20.100000000000001" customHeight="1" thickBot="1">
      <c r="A49" s="10">
        <v>45941</v>
      </c>
    </row>
    <row r="50" spans="1:1" ht="20.100000000000001" customHeight="1" thickBot="1">
      <c r="A50" s="10">
        <v>45942</v>
      </c>
    </row>
    <row r="51" spans="1:1" ht="20.100000000000001" customHeight="1" thickBot="1">
      <c r="A51" s="10">
        <v>45943</v>
      </c>
    </row>
    <row r="52" spans="1:1" ht="20.100000000000001" customHeight="1" thickBot="1">
      <c r="A52" s="10">
        <v>45944</v>
      </c>
    </row>
    <row r="53" spans="1:1" ht="20.100000000000001" customHeight="1" thickBot="1">
      <c r="A53" s="10">
        <v>45945</v>
      </c>
    </row>
    <row r="54" spans="1:1" ht="20.100000000000001" customHeight="1" thickBot="1">
      <c r="A54" s="10">
        <v>45946</v>
      </c>
    </row>
    <row r="55" spans="1:1" ht="20.100000000000001" customHeight="1" thickBot="1">
      <c r="A55" s="10">
        <v>45947</v>
      </c>
    </row>
    <row r="56" spans="1:1" ht="20.100000000000001" customHeight="1" thickBot="1">
      <c r="A56" s="10">
        <v>45948</v>
      </c>
    </row>
    <row r="57" spans="1:1" ht="20.100000000000001" customHeight="1" thickBot="1">
      <c r="A57" s="10">
        <v>45949</v>
      </c>
    </row>
    <row r="58" spans="1:1" ht="20.100000000000001" customHeight="1" thickBot="1">
      <c r="A58" s="10">
        <v>45950</v>
      </c>
    </row>
    <row r="59" spans="1:1" ht="20.100000000000001" customHeight="1" thickBot="1">
      <c r="A59" s="10">
        <v>45951</v>
      </c>
    </row>
    <row r="60" spans="1:1" ht="20.100000000000001" customHeight="1" thickBot="1">
      <c r="A60" s="10">
        <v>45952</v>
      </c>
    </row>
    <row r="61" spans="1:1" ht="20.100000000000001" customHeight="1" thickBot="1">
      <c r="A61" s="10">
        <v>45953</v>
      </c>
    </row>
    <row r="62" spans="1:1" ht="20.100000000000001" customHeight="1" thickBot="1">
      <c r="A62" s="10">
        <v>45954</v>
      </c>
    </row>
    <row r="63" spans="1:1" ht="20.100000000000001" customHeight="1" thickBot="1">
      <c r="A63" s="10">
        <v>45955</v>
      </c>
    </row>
    <row r="64" spans="1:1" ht="20.100000000000001" customHeight="1" thickBot="1">
      <c r="A64" s="10">
        <v>45956</v>
      </c>
    </row>
    <row r="65" spans="1:1" ht="20.100000000000001" customHeight="1" thickBot="1">
      <c r="A65" s="10">
        <v>45957</v>
      </c>
    </row>
    <row r="66" spans="1:1" ht="20.100000000000001" customHeight="1" thickBot="1">
      <c r="A66" s="10">
        <v>45958</v>
      </c>
    </row>
    <row r="67" spans="1:1" ht="20.100000000000001" customHeight="1" thickBot="1">
      <c r="A67" s="10">
        <v>45959</v>
      </c>
    </row>
    <row r="68" spans="1:1" ht="20.100000000000001" customHeight="1" thickBot="1">
      <c r="A68" s="10">
        <v>45960</v>
      </c>
    </row>
    <row r="69" spans="1:1" ht="20.100000000000001" customHeight="1" thickBot="1">
      <c r="A69" s="10">
        <v>45961</v>
      </c>
    </row>
    <row r="70" spans="1:1" ht="20.100000000000001" customHeight="1" thickBot="1">
      <c r="A70" s="10"/>
    </row>
    <row r="71" spans="1:1" ht="20.100000000000001" customHeight="1" thickBot="1">
      <c r="A71" s="10"/>
    </row>
    <row r="72" spans="1:1" ht="20.100000000000001" customHeight="1" thickBot="1">
      <c r="A72" s="10"/>
    </row>
    <row r="73" spans="1:1" ht="20.100000000000001" customHeight="1" thickBot="1">
      <c r="A73" s="10"/>
    </row>
    <row r="74" spans="1:1" ht="20.100000000000001" customHeight="1" thickBot="1">
      <c r="A74" s="10"/>
    </row>
    <row r="75" spans="1:1" ht="20.100000000000001" customHeight="1" thickBot="1">
      <c r="A75" s="10"/>
    </row>
    <row r="76" spans="1:1" ht="20.100000000000001" customHeight="1" thickBot="1">
      <c r="A76" s="10"/>
    </row>
    <row r="77" spans="1:1" ht="20.100000000000001" customHeight="1" thickBot="1">
      <c r="A77" s="10"/>
    </row>
    <row r="78" spans="1:1" ht="20.100000000000001" customHeight="1" thickBot="1">
      <c r="A78" s="10"/>
    </row>
    <row r="79" spans="1:1" ht="20.100000000000001" customHeight="1" thickBot="1">
      <c r="A79" s="10"/>
    </row>
    <row r="80" spans="1:1" ht="20.100000000000001" customHeight="1" thickBot="1">
      <c r="A80" s="10"/>
    </row>
    <row r="81" spans="1:1" ht="20.100000000000001" customHeight="1" thickBot="1">
      <c r="A81" s="10"/>
    </row>
    <row r="82" spans="1:1" ht="20.100000000000001" customHeight="1" thickBot="1">
      <c r="A82" s="10"/>
    </row>
    <row r="83" spans="1:1" ht="20.100000000000001" customHeight="1" thickBot="1">
      <c r="A83" s="10"/>
    </row>
    <row r="84" spans="1:1" ht="20.100000000000001" customHeight="1" thickBot="1">
      <c r="A84" s="10"/>
    </row>
    <row r="85" spans="1:1" ht="20.100000000000001" customHeight="1" thickBot="1">
      <c r="A85" s="10"/>
    </row>
    <row r="86" spans="1:1" ht="20.100000000000001" customHeight="1" thickBot="1">
      <c r="A86" s="10"/>
    </row>
    <row r="87" spans="1:1" ht="20.100000000000001" customHeight="1" thickBot="1">
      <c r="A87" s="10"/>
    </row>
    <row r="88" spans="1:1" ht="20.100000000000001" customHeight="1" thickBot="1">
      <c r="A88" s="10"/>
    </row>
    <row r="89" spans="1:1" ht="20.100000000000001" customHeight="1" thickBot="1">
      <c r="A89" s="10"/>
    </row>
    <row r="90" spans="1:1" ht="20.100000000000001" customHeight="1" thickBot="1">
      <c r="A90" s="10"/>
    </row>
    <row r="91" spans="1:1" ht="20.100000000000001" customHeight="1" thickBot="1">
      <c r="A91" s="10"/>
    </row>
    <row r="92" spans="1:1" ht="20.100000000000001" customHeight="1" thickBot="1">
      <c r="A92" s="10"/>
    </row>
    <row r="93" spans="1:1" ht="20.100000000000001" customHeight="1" thickBot="1">
      <c r="A93" s="10"/>
    </row>
    <row r="94" spans="1:1" ht="20.100000000000001" customHeight="1" thickBot="1">
      <c r="A94" s="10"/>
    </row>
    <row r="95" spans="1:1" ht="20.100000000000001" customHeight="1" thickBot="1">
      <c r="A95" s="10"/>
    </row>
    <row r="96" spans="1:1" ht="20.100000000000001" customHeight="1" thickBot="1">
      <c r="A96" s="10"/>
    </row>
    <row r="97" spans="1:9" ht="20.100000000000001" customHeight="1" thickBot="1">
      <c r="A97" s="10"/>
    </row>
    <row r="98" spans="1:9" ht="20.100000000000001" customHeight="1" thickBot="1">
      <c r="A98" s="10"/>
    </row>
    <row r="99" spans="1:9" ht="20.100000000000001" customHeight="1" thickBot="1">
      <c r="A99" s="10"/>
    </row>
    <row r="100" spans="1:9" ht="20.100000000000001" customHeight="1" thickBot="1">
      <c r="A100" s="10"/>
    </row>
    <row r="101" spans="1:9" ht="20.100000000000001" customHeight="1" thickBot="1">
      <c r="A101" s="10"/>
    </row>
    <row r="102" spans="1:9" ht="20.100000000000001" customHeight="1" thickBot="1">
      <c r="A102" s="10"/>
    </row>
    <row r="103" spans="1:9" ht="20.100000000000001" customHeight="1" thickBot="1">
      <c r="A103" s="10"/>
    </row>
    <row r="104" spans="1:9" ht="20.100000000000001" customHeight="1" thickBot="1">
      <c r="A104" s="10"/>
    </row>
    <row r="105" spans="1:9" ht="20.100000000000001" customHeight="1" thickBot="1">
      <c r="A105" s="10"/>
    </row>
    <row r="106" spans="1:9" ht="20.100000000000001" customHeight="1" thickBot="1">
      <c r="A106" s="10"/>
    </row>
    <row r="107" spans="1:9" ht="20.100000000000001" customHeight="1">
      <c r="A107" s="11"/>
    </row>
    <row r="108" spans="1:9" ht="20.100000000000001" customHeight="1">
      <c r="A108" s="11"/>
    </row>
    <row r="109" spans="1:9" s="14" customFormat="1" ht="20.100000000000001" customHeight="1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7" t="s">
        <v>89</v>
      </c>
    </row>
    <row r="200" spans="1:1" ht="20.100000000000001" customHeight="1">
      <c r="A200" s="17" t="s">
        <v>90</v>
      </c>
    </row>
    <row r="201" spans="1:1" ht="20.100000000000001" customHeight="1">
      <c r="A201" s="17" t="s">
        <v>91</v>
      </c>
    </row>
    <row r="202" spans="1:1" ht="20.100000000000001" customHeight="1">
      <c r="A202" s="17" t="s">
        <v>92</v>
      </c>
    </row>
    <row r="203" spans="1:1" ht="20.100000000000001" customHeight="1">
      <c r="A203" s="17" t="s">
        <v>93</v>
      </c>
    </row>
    <row r="204" spans="1:1" ht="20.100000000000001" customHeight="1">
      <c r="A204" s="17" t="s">
        <v>94</v>
      </c>
    </row>
    <row r="205" spans="1:1" ht="20.100000000000001" customHeight="1">
      <c r="A205" s="17" t="s">
        <v>95</v>
      </c>
    </row>
    <row r="206" spans="1:1" ht="20.100000000000001" customHeight="1">
      <c r="A206" s="17" t="s">
        <v>96</v>
      </c>
    </row>
    <row r="207" spans="1:1" ht="20.100000000000001" customHeight="1">
      <c r="A207" s="17" t="s">
        <v>97</v>
      </c>
    </row>
    <row r="208" spans="1:1" ht="20.100000000000001" customHeight="1">
      <c r="A208" s="18" t="s">
        <v>98</v>
      </c>
    </row>
    <row r="209" spans="1:1" ht="20.100000000000001" customHeight="1">
      <c r="A209" s="18" t="s">
        <v>99</v>
      </c>
    </row>
    <row r="210" spans="1:1" ht="20.100000000000001" customHeight="1">
      <c r="A210" s="17" t="s">
        <v>100</v>
      </c>
    </row>
    <row r="211" spans="1:1" ht="20.100000000000001" customHeight="1">
      <c r="A211" s="17" t="s">
        <v>101</v>
      </c>
    </row>
    <row r="212" spans="1:1" ht="20.100000000000001" customHeight="1">
      <c r="A212" s="17" t="s">
        <v>175</v>
      </c>
    </row>
    <row r="213" spans="1:1" ht="20.100000000000001" customHeight="1">
      <c r="A213" s="17" t="s">
        <v>102</v>
      </c>
    </row>
    <row r="214" spans="1:1" ht="20.100000000000001" customHeight="1">
      <c r="A214" s="17" t="s">
        <v>103</v>
      </c>
    </row>
    <row r="215" spans="1:1" ht="20.100000000000001" customHeight="1">
      <c r="A215" s="17" t="s">
        <v>104</v>
      </c>
    </row>
    <row r="216" spans="1:1" ht="20.100000000000001" customHeight="1">
      <c r="A216" s="17" t="s">
        <v>105</v>
      </c>
    </row>
    <row r="217" spans="1:1" ht="20.100000000000001" customHeight="1">
      <c r="A217" s="17" t="s">
        <v>106</v>
      </c>
    </row>
    <row r="218" spans="1:1" ht="20.100000000000001" customHeight="1">
      <c r="A218" s="17" t="s">
        <v>107</v>
      </c>
    </row>
    <row r="219" spans="1:1" ht="20.100000000000001" customHeight="1">
      <c r="A219" s="17" t="s">
        <v>108</v>
      </c>
    </row>
    <row r="220" spans="1:1" ht="20.100000000000001" customHeight="1">
      <c r="A220" s="17" t="s">
        <v>109</v>
      </c>
    </row>
    <row r="221" spans="1:1" ht="20.100000000000001" customHeight="1">
      <c r="A221" s="17" t="s">
        <v>110</v>
      </c>
    </row>
    <row r="222" spans="1:1" ht="20.100000000000001" customHeight="1">
      <c r="A222" s="17" t="s">
        <v>111</v>
      </c>
    </row>
    <row r="223" spans="1:1" ht="20.100000000000001" customHeight="1">
      <c r="A223" s="17" t="s">
        <v>112</v>
      </c>
    </row>
    <row r="224" spans="1:1" ht="20.100000000000001" customHeight="1">
      <c r="A224" s="17" t="s">
        <v>176</v>
      </c>
    </row>
    <row r="225" spans="1:1" ht="20.100000000000001" customHeight="1">
      <c r="A225" s="17" t="s">
        <v>113</v>
      </c>
    </row>
    <row r="226" spans="1:1" ht="20.100000000000001" customHeight="1">
      <c r="A226" s="17" t="s">
        <v>114</v>
      </c>
    </row>
    <row r="227" spans="1:1" ht="20.100000000000001" customHeight="1">
      <c r="A227" s="17" t="s">
        <v>115</v>
      </c>
    </row>
    <row r="228" spans="1:1" ht="20.100000000000001" customHeight="1">
      <c r="A228" s="17" t="s">
        <v>116</v>
      </c>
    </row>
    <row r="229" spans="1:1" ht="20.100000000000001" customHeight="1">
      <c r="A229" s="17" t="s">
        <v>117</v>
      </c>
    </row>
    <row r="230" spans="1:1" ht="20.100000000000001" customHeight="1">
      <c r="A230" s="17" t="s">
        <v>118</v>
      </c>
    </row>
    <row r="231" spans="1:1" ht="20.100000000000001" customHeight="1">
      <c r="A231" s="17" t="s">
        <v>119</v>
      </c>
    </row>
    <row r="232" spans="1:1" ht="20.100000000000001" customHeight="1">
      <c r="A232" s="17" t="s">
        <v>120</v>
      </c>
    </row>
    <row r="233" spans="1:1" ht="20.100000000000001" customHeight="1">
      <c r="A233" s="17" t="s">
        <v>121</v>
      </c>
    </row>
    <row r="234" spans="1:1" ht="20.100000000000001" customHeight="1">
      <c r="A234" s="17" t="s">
        <v>122</v>
      </c>
    </row>
    <row r="235" spans="1:1" ht="20.100000000000001" customHeight="1">
      <c r="A235" s="17" t="s">
        <v>123</v>
      </c>
    </row>
    <row r="236" spans="1:1" ht="20.100000000000001" customHeight="1">
      <c r="A236" s="19" t="s">
        <v>124</v>
      </c>
    </row>
    <row r="237" spans="1:1" ht="20.100000000000001" customHeight="1">
      <c r="A237" s="17" t="s">
        <v>125</v>
      </c>
    </row>
    <row r="238" spans="1:1" ht="20.100000000000001" customHeight="1">
      <c r="A238" s="17" t="s">
        <v>126</v>
      </c>
    </row>
    <row r="239" spans="1:1" ht="20.100000000000001" customHeight="1">
      <c r="A239" s="17" t="s">
        <v>127</v>
      </c>
    </row>
    <row r="240" spans="1:1" ht="20.100000000000001" customHeight="1">
      <c r="A240" s="17" t="s">
        <v>128</v>
      </c>
    </row>
    <row r="241" spans="1:1" ht="20.100000000000001" customHeight="1">
      <c r="A241" s="17" t="s">
        <v>129</v>
      </c>
    </row>
    <row r="242" spans="1:1" ht="20.100000000000001" customHeight="1">
      <c r="A242" s="17" t="s">
        <v>130</v>
      </c>
    </row>
    <row r="243" spans="1:1" ht="20.100000000000001" customHeight="1">
      <c r="A243" s="17" t="s">
        <v>131</v>
      </c>
    </row>
    <row r="244" spans="1:1" ht="20.100000000000001" customHeight="1">
      <c r="A244" s="17" t="s">
        <v>132</v>
      </c>
    </row>
    <row r="245" spans="1:1" ht="20.100000000000001" customHeight="1">
      <c r="A245" s="17" t="s">
        <v>133</v>
      </c>
    </row>
    <row r="246" spans="1:1" ht="20.100000000000001" customHeight="1">
      <c r="A246" s="17" t="s">
        <v>134</v>
      </c>
    </row>
    <row r="247" spans="1:1" ht="20.100000000000001" customHeight="1">
      <c r="A247" s="17" t="s">
        <v>135</v>
      </c>
    </row>
    <row r="248" spans="1:1" ht="20.100000000000001" customHeight="1">
      <c r="A248" s="17" t="s">
        <v>126</v>
      </c>
    </row>
    <row r="249" spans="1:1" ht="20.100000000000001" customHeight="1">
      <c r="A249" s="17" t="s">
        <v>136</v>
      </c>
    </row>
    <row r="250" spans="1:1" ht="20.100000000000001" customHeight="1">
      <c r="A250" s="17" t="s">
        <v>137</v>
      </c>
    </row>
    <row r="251" spans="1:1" ht="20.100000000000001" customHeight="1">
      <c r="A251" s="19" t="s">
        <v>138</v>
      </c>
    </row>
    <row r="252" spans="1:1" ht="20.100000000000001" customHeight="1">
      <c r="A252" s="20" t="s">
        <v>139</v>
      </c>
    </row>
    <row r="253" spans="1:1" ht="20.100000000000001" customHeight="1">
      <c r="A253" s="17" t="s">
        <v>140</v>
      </c>
    </row>
    <row r="254" spans="1:1" ht="20.100000000000001" customHeight="1">
      <c r="A254" s="17" t="s">
        <v>141</v>
      </c>
    </row>
    <row r="255" spans="1:1" ht="20.100000000000001" customHeight="1">
      <c r="A255" s="21" t="s">
        <v>142</v>
      </c>
    </row>
    <row r="256" spans="1:1" ht="20.100000000000001" customHeight="1">
      <c r="A256" s="21" t="s">
        <v>143</v>
      </c>
    </row>
    <row r="257" spans="1:1" ht="20.100000000000001" customHeight="1">
      <c r="A257" s="22" t="s">
        <v>144</v>
      </c>
    </row>
    <row r="258" spans="1:1" ht="20.100000000000001" customHeight="1">
      <c r="A258" s="17" t="s">
        <v>145</v>
      </c>
    </row>
    <row r="259" spans="1:1" ht="20.100000000000001" customHeight="1">
      <c r="A259" s="22" t="s">
        <v>146</v>
      </c>
    </row>
    <row r="260" spans="1:1" ht="20.100000000000001" customHeight="1">
      <c r="A260" s="17" t="s">
        <v>147</v>
      </c>
    </row>
    <row r="261" spans="1:1" ht="20.100000000000001" customHeight="1">
      <c r="A261" s="22" t="s">
        <v>148</v>
      </c>
    </row>
    <row r="262" spans="1:1" ht="20.100000000000001" customHeight="1">
      <c r="A262" s="17" t="s">
        <v>149</v>
      </c>
    </row>
    <row r="263" spans="1:1" ht="20.100000000000001" customHeight="1">
      <c r="A263" s="17" t="s">
        <v>150</v>
      </c>
    </row>
    <row r="264" spans="1:1" ht="20.100000000000001" customHeight="1">
      <c r="A264" s="22" t="s">
        <v>151</v>
      </c>
    </row>
    <row r="265" spans="1:1" ht="20.100000000000001" customHeight="1">
      <c r="A265" s="22" t="s">
        <v>152</v>
      </c>
    </row>
    <row r="266" spans="1:1" ht="20.100000000000001" customHeight="1">
      <c r="A266" s="22" t="s">
        <v>153</v>
      </c>
    </row>
    <row r="267" spans="1:1" ht="20.100000000000001" customHeight="1">
      <c r="A267" s="17" t="s">
        <v>154</v>
      </c>
    </row>
    <row r="268" spans="1:1" ht="20.100000000000001" customHeight="1">
      <c r="A268" s="17" t="s">
        <v>155</v>
      </c>
    </row>
    <row r="269" spans="1:1" ht="20.100000000000001" customHeight="1">
      <c r="A269" s="17" t="s">
        <v>156</v>
      </c>
    </row>
    <row r="270" spans="1:1" ht="20.100000000000001" customHeight="1">
      <c r="A270" s="17" t="s">
        <v>157</v>
      </c>
    </row>
    <row r="271" spans="1:1" ht="20.100000000000001" customHeight="1">
      <c r="A271" s="22" t="s">
        <v>158</v>
      </c>
    </row>
    <row r="272" spans="1:1" ht="20.100000000000001" customHeight="1">
      <c r="A272" s="22" t="s">
        <v>159</v>
      </c>
    </row>
    <row r="273" spans="1:1" ht="20.100000000000001" customHeight="1">
      <c r="A273" s="17" t="s">
        <v>160</v>
      </c>
    </row>
    <row r="274" spans="1:1" ht="20.100000000000001" customHeight="1">
      <c r="A274" s="22" t="s">
        <v>161</v>
      </c>
    </row>
    <row r="275" spans="1:1" ht="20.100000000000001" customHeight="1">
      <c r="A275" s="22" t="s">
        <v>162</v>
      </c>
    </row>
    <row r="276" spans="1:1" ht="20.100000000000001" customHeight="1">
      <c r="A276" s="17" t="s">
        <v>163</v>
      </c>
    </row>
    <row r="277" spans="1:1" ht="20.100000000000001" customHeight="1">
      <c r="A277" s="17" t="s">
        <v>164</v>
      </c>
    </row>
    <row r="278" spans="1:1" ht="20.100000000000001" customHeight="1">
      <c r="A278" s="22" t="s">
        <v>165</v>
      </c>
    </row>
    <row r="279" spans="1:1" ht="20.100000000000001" customHeight="1">
      <c r="A279" s="17" t="s">
        <v>166</v>
      </c>
    </row>
    <row r="280" spans="1:1" ht="20.100000000000001" customHeight="1">
      <c r="A280" s="17" t="s">
        <v>167</v>
      </c>
    </row>
    <row r="281" spans="1:1" ht="20.100000000000001" customHeight="1">
      <c r="A281" s="17" t="s">
        <v>168</v>
      </c>
    </row>
    <row r="282" spans="1:1" ht="20.100000000000001" customHeight="1">
      <c r="A282" s="17" t="s">
        <v>169</v>
      </c>
    </row>
    <row r="283" spans="1:1" ht="20.100000000000001" customHeight="1">
      <c r="A283" s="22" t="s">
        <v>170</v>
      </c>
    </row>
    <row r="284" spans="1:1" ht="20.100000000000001" customHeight="1">
      <c r="A284" s="22" t="s">
        <v>171</v>
      </c>
    </row>
    <row r="285" spans="1:1" ht="20.100000000000001" customHeight="1">
      <c r="A285" s="22" t="s">
        <v>172</v>
      </c>
    </row>
    <row r="286" spans="1:1" ht="20.100000000000001" customHeight="1" thickBot="1">
      <c r="A286" s="17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2025-10-21T09:36:19Z</dcterms:modified>
</cp:coreProperties>
</file>