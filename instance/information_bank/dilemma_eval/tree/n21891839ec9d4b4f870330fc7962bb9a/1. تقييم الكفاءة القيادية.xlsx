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6C13894-0323-419A-BBA0-6F2533D022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<sst xmlns="http://schemas.openxmlformats.org/spreadsheetml/2006/main" count="114" uniqueCount="111">
  <si>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</si>
  <si>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</si>
  <si>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</si>
  <si>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</si>
  <si>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</si>
  <si>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</si>
  <si>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</si>
  <si>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</si>
  <si>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</si>
  <si>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</si>
  <si>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</si>
  <si>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</si>
  <si>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</si>
  <si>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</si>
  <si>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</si>
  <si>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</si>
  <si>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</si>
  <si>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</si>
  <si>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</si>
  <si>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</si>
  <si>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</si>
  <si>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</si>
  <si>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</si>
  <si>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</si>
  <si>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</si>
  <si>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</si>
  <si>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</si>
  <si>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</si>
  <si>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</si>
  <si>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</si>
  <si>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</si>
  <si>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</si>
  <si>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</si>
  <si>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</si>
  <si>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</si>
  <si>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</si>
  <si>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</si>
  <si>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</si>
  <si>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</si>
  <si>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</si>
  <si>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</si>
  <si>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</si>
  <si>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</si>
  <si>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</si>
  <si>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</si>
  <si>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</si>
  <si>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</si>
  <si>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</si>
  <si>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</si>
  <si>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</si>
  <si>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</si>
  <si>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</si>
  <si>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</si>
  <si>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</si>
  <si>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</si>
  <si>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</si>
  <si>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</si>
  <si>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</si>
  <si>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</si>
  <si>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</si>
  <si>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</si>
  <si>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</si>
  <si>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</si>
  <si>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</si>
  <si>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</si>
  <si>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</si>
  <si>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</si>
  <si>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</si>
  <si>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</si>
  <si>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</si>
  <si>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</si>
  <si>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</si>
  <si>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</si>
  <si>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</si>
  <si>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</si>
  <si>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</si>
  <si>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</si>
  <si>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</si>
  <si>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</si>
  <si>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</si>
  <si>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</si>
  <si>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</si>
  <si>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</si>
  <si>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</si>
  <si>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</si>
  <si>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</si>
  <si>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</si>
  <si>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</si>
  <si>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</si>
  <si>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</si>
  <si>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</si>
  <si>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</si>
  <si>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</si>
  <si>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</si>
  <si>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</si>
  <si>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</si>
  <si>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</si>
  <si>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</si>
  <si>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rPr>
        <b/>
        <sz val="14"/>
        <color rgb="FF000000"/>
        <rFont val="Arial"/>
        <family val="2"/>
      </rPr>
      <t>تقييم الكفاءة القيادية للقادة الأصاغر (سرية مشاة راجلة)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</si>
  <si>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بالنفس.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</si>
  <si>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الصوت.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</si>
  <si>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</si>
  <si>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</si>
  <si>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</si>
  <si>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(المرونة).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</si>
  <si>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والجرأة.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</si>
  <si>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الشخصية.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</si>
  <si>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المرؤوسين.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</si>
  <si>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والتحمل.</t>
    </r>
  </si>
  <si>
    <t>نقيب/ ماجد عبدالله البلوشي</t>
  </si>
  <si>
    <t>نقيب/ بلاع سالم العامري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</si>
</sst>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394626</xdr:colOff>
      <xdr:row>21</xdr:row>
      <xdr:rowOff>64828</xdr:rowOff>
    </xdr:from>
    <xdr:to>
      <xdr:col>8</xdr:col>
      <xdr:colOff>282285</xdr:colOff>
      <xdr:row>21</xdr:row>
      <xdr:rowOff>617788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2AD1B45-192E-8171-1EB2-595E949425BC}"/>
                </a:ext>
              </a:extLst>
            </xdr14:cNvPr>
            <xdr14:cNvContentPartPr/>
          </xdr14:nvContentPartPr>
          <xdr14:nvPr macro=""/>
          <xdr14:xfrm>
            <a:off x="10398962624" y="8215920"/>
            <a:ext cx="1203840" cy="552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2AD1B45-192E-8171-1EB2-595E949425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53984" y="8206920"/>
              <a:ext cx="1221480" cy="57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463746</xdr:colOff>
      <xdr:row>21</xdr:row>
      <xdr:rowOff>618868</xdr:rowOff>
    </xdr:from>
    <xdr:to>
      <xdr:col>6</xdr:col>
      <xdr:colOff>481386</xdr:colOff>
      <xdr:row>21</xdr:row>
      <xdr:rowOff>628948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9C7437E-7944-1437-9D20-F6A9A6A9C056}"/>
                </a:ext>
              </a:extLst>
            </xdr14:cNvPr>
            <xdr14:cNvContentPartPr/>
          </xdr14:nvContentPartPr>
          <xdr14:nvPr macro=""/>
          <xdr14:xfrm>
            <a:off x="10400079704" y="8769960"/>
            <a:ext cx="17640" cy="10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9C7437E-7944-1437-9D20-F6A9A6A9C0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71064" y="8761320"/>
              <a:ext cx="35280" cy="27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10:08.4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3180 272 14891,'0'0'0,"-5"-15"888,-7 11-320,8-10-88,4 14-480,-2-3 288,2 2-152,0-2-136,0 1 24,0 2-24,0 0 16,0 0-96,0 0-16,0 0-8,0 0 104,0 0-136,0 0 8,0 5 48,5 10 0,-5-15 80,6 15 16,4 6 24,-8 6-72,12 6 56,-14-33-24,7 37 0,7 4-32,-9 0 72,6 0-24,-11-41-16,2 39-48,3-2 96,-5-3-40,0-5 40,0-29-48,0 27 56,0-5 16,-2-4-8,-5-5 72,7-13-136,-14 11 272,2-8-72,-6 2 40,1-1-40,17-4-200,-23 3 192,0-3-32,-2 0-40,-3-5-40,28 5-80,-29-14 64,1 3-16,2-2-16,-1 7 8,27 6-40,-23-12-136,-8 7 112,3 1 40,1 0-56,27 4 40,-28-3-8,0 1 16,-2 2-56,1 0 0,29 0 48,-32 3 16,-5 2-128,-1 9 56,-2-11-16,40-3 72,-41 11 8,-9-8-56,-1 1 40,-2 8 56,53-12-48,-56 0 8,-3 2 80,1-2-16,0 0-16,58 0-56,-61 0 48,-1-2 48,-1-3-24,-4-6 97,67 11-169,-68-4 136,-7-2-24,-4-5 48,-4 6-88,83 5-72,-96-4 168,-4 3-32,-8 1-32,-3 4-8,111-4-96,-112 15 112,2-2 48,-1 3 104,2 1 64,109-17-328,-106 17 312,6 2 16,14-2-16,7-2-72,79-15-240,-72 17 288,11-3-80,5 1 0,9-2-88,47-13-120,-39 4 80,9 10 0,6-11-120,8 8 72,16-11-32,-12 3-72,8 1-32,-8 1 120,10-3-232,2-2 216,0 0-120,0 3-64,2 2-48,3 6 152,-5-11 80,16 11-248,1 1 32,8 3 16,10 1 64,-35-16 136,46 17-120,15-3 88,12 2-32,15-3-64,-88-13 128,105 11-64,18-7-16,12-1-48,9-3-32,-144 0 160,161-3-248,5-15-120,6-5-56,7-7-32,-179 30 456,173-38-417,4-5 129,-3-4 64,-4-1 48,-170 48 176,168-51-48,-14-2-48,-15-1 144,-13-1 32,-126 55-80,110-57 80,-21-4 56,-15 0-24,-20 1 104,-54 60-216,36-56 336,-12 8 297,-20 8 111,-4 3 72,0 37-816,-16-32 728,-14 0-192,-12 3-152,-14 0-72,56 29-312,-65-26 216,-12 7-16,-9 6 48,-7 9-119,93 4-129,-100-2 112,-1 2 48,3 4-64,4 12 168,94-16-264,-85 14-232,6 3 328,14 3-56,4 3-112,61-23 72,-48 27 424,13 1-424,5 5 0,6 1-80,24-34 80,-14 37-160,9 3 8,5 4 40,5 6 56,-5-50 56,18 54-40,6 1-16,2 4-8,6-1 128,-32-58-64,39 61 32,4 0 88,3 2-40,-2-1-64,-44-62-16,49 61-16,3-1 152,-4-3-8,3-3 32,-51-54-160,47 51 320,0-4-288,-3-3 32,-6-3 96,-38-41-160,35 40-16,-10-3-24,-2-6 96,-4-4-112,-19-27 56,14 23 56,-2-5 56,-11-2-144,11-3 72,-12-13-40,0 4-64,5 12-40,-2-13-464,-3 1-617,0-4 1185,2 13-1832,-2-10-704,2 1-1129,3 0-496,-5-4 4161,4 4-7746,-4-4 7746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10:08.8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49 28 27021,'0'0'0,"-15"-5"320,8 0 152,-5-7-576,12 12 104,-2-3-472,2 2 576,0 1-192,0 0-176,0 0 264,0 0 368,0 0-616,0 0-176,0 0-64,0 0 488,0 0-1104,-7 0-601,7 0-975,-5 0-1857,5 0 4537,0 0-4849,0-1-3337,0 1 8186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A16" zoomScale="130" zoomScaleNormal="100" zoomScaleSheetLayoutView="130" workbookViewId="0">
      <selection activeCell="F4" sqref="F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98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1" t="s">
        <v>8</v>
      </c>
      <c r="C2" s="55" t="s">
        <v>37</v>
      </c>
      <c r="D2" s="55"/>
      <c r="E2" s="11" t="s">
        <v>7</v>
      </c>
      <c r="F2" s="50">
        <v>45943</v>
      </c>
      <c r="G2" s="50"/>
      <c r="H2" s="50"/>
      <c r="I2" s="50"/>
      <c r="J2" s="50"/>
    </row>
    <row r="3" spans="1:10" ht="30" customHeight="1" x14ac:dyDescent="0.3">
      <c r="B3" s="11" t="s">
        <v>9</v>
      </c>
      <c r="C3" s="55" t="s">
        <v>59</v>
      </c>
      <c r="D3" s="55"/>
      <c r="E3" s="11" t="s">
        <v>6</v>
      </c>
      <c r="F3" s="55" t="s">
        <v>58</v>
      </c>
      <c r="G3" s="55"/>
      <c r="H3" s="55"/>
      <c r="I3" s="55"/>
      <c r="J3" s="55"/>
    </row>
    <row r="4" spans="1:10" ht="30" customHeight="1" thickBot="1" x14ac:dyDescent="0.35">
      <c r="B4" s="6"/>
      <c r="C4" s="72" t="s">
        <v>109</v>
      </c>
      <c r="D4" s="72"/>
      <c r="E4" s="6"/>
      <c r="F4" s="72" t="s">
        <v>110</v>
      </c>
      <c r="G4" s="72"/>
      <c r="H4" s="72"/>
      <c r="I4" s="72"/>
      <c r="J4" s="72"/>
    </row>
    <row r="5" spans="1:10" ht="24.9" customHeight="1" x14ac:dyDescent="0.3">
      <c r="A5" s="9"/>
      <c r="B5" s="51" t="s">
        <v>0</v>
      </c>
      <c r="C5" s="52"/>
      <c r="D5" s="52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9"/>
      <c r="B6" s="53"/>
      <c r="C6" s="54"/>
      <c r="D6" s="54"/>
      <c r="E6" s="10" t="s">
        <v>3</v>
      </c>
      <c r="F6" s="10" t="s">
        <v>4</v>
      </c>
      <c r="G6" s="10" t="s">
        <v>23</v>
      </c>
      <c r="H6" s="10" t="s">
        <v>24</v>
      </c>
      <c r="I6" s="62"/>
      <c r="J6" s="63"/>
    </row>
    <row r="7" spans="1:10" ht="24.9" customHeight="1" thickBot="1" x14ac:dyDescent="0.35">
      <c r="A7" s="9"/>
      <c r="B7" s="58" t="s">
        <v>21</v>
      </c>
      <c r="C7" s="59"/>
      <c r="D7" s="59"/>
      <c r="E7" s="20" t="s">
        <v>18</v>
      </c>
      <c r="F7" s="20" t="s">
        <v>19</v>
      </c>
      <c r="G7" s="20" t="s">
        <v>22</v>
      </c>
      <c r="H7" s="20" t="s">
        <v>20</v>
      </c>
      <c r="I7" s="64" t="s">
        <v>25</v>
      </c>
      <c r="J7" s="65"/>
    </row>
    <row r="8" spans="1:10" ht="30" customHeight="1" x14ac:dyDescent="0.3">
      <c r="A8" s="9"/>
      <c r="B8" s="70" t="s">
        <v>99</v>
      </c>
      <c r="C8" s="71"/>
      <c r="D8" s="71"/>
      <c r="E8" s="23">
        <v>5</v>
      </c>
      <c r="F8" s="24">
        <v>3.25</v>
      </c>
      <c r="G8" s="25">
        <f>IFERROR(F8/E8,"")</f>
        <v>0.65</v>
      </c>
      <c r="H8" s="26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36"/>
      <c r="J8" s="37"/>
    </row>
    <row r="9" spans="1:10" ht="30" customHeight="1" x14ac:dyDescent="0.3">
      <c r="A9" s="9"/>
      <c r="B9" s="68" t="s">
        <v>100</v>
      </c>
      <c r="C9" s="69"/>
      <c r="D9" s="69"/>
      <c r="E9" s="7">
        <v>5</v>
      </c>
      <c r="F9" s="18">
        <v>3.75</v>
      </c>
      <c r="G9" s="21">
        <f>IFERROR(F9/E9,"")</f>
        <v>0.75</v>
      </c>
      <c r="H9" s="2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0" customHeight="1" x14ac:dyDescent="0.3">
      <c r="A10" s="9"/>
      <c r="B10" s="68" t="s">
        <v>101</v>
      </c>
      <c r="C10" s="69"/>
      <c r="D10" s="69"/>
      <c r="E10" s="7">
        <v>5</v>
      </c>
      <c r="F10" s="18">
        <v>3.75</v>
      </c>
      <c r="G10" s="21">
        <f t="shared" ref="G10:G17" si="0">IFERROR(F10/E10,"")</f>
        <v>0.75</v>
      </c>
      <c r="H10" s="22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1"/>
    </row>
    <row r="11" spans="1:10" ht="30" customHeight="1" x14ac:dyDescent="0.3">
      <c r="A11" s="9"/>
      <c r="B11" s="68" t="s">
        <v>102</v>
      </c>
      <c r="C11" s="69"/>
      <c r="D11" s="69"/>
      <c r="E11" s="7">
        <v>5</v>
      </c>
      <c r="F11" s="18">
        <v>3.75</v>
      </c>
      <c r="G11" s="21">
        <f t="shared" si="0"/>
        <v>0.75</v>
      </c>
      <c r="H11" s="22" t="str">
        <f t="shared" si="1"/>
        <v>جيد</v>
      </c>
      <c r="I11" s="40"/>
      <c r="J11" s="41"/>
    </row>
    <row r="12" spans="1:10" ht="30" customHeight="1" x14ac:dyDescent="0.3">
      <c r="A12" s="9"/>
      <c r="B12" s="68" t="s">
        <v>103</v>
      </c>
      <c r="C12" s="69"/>
      <c r="D12" s="69"/>
      <c r="E12" s="7">
        <v>5</v>
      </c>
      <c r="F12" s="18">
        <v>3.75</v>
      </c>
      <c r="G12" s="21">
        <f t="shared" si="0"/>
        <v>0.75</v>
      </c>
      <c r="H12" s="22" t="str">
        <f t="shared" si="1"/>
        <v>جيد</v>
      </c>
      <c r="I12" s="40"/>
      <c r="J12" s="41"/>
    </row>
    <row r="13" spans="1:10" ht="30" customHeight="1" x14ac:dyDescent="0.3">
      <c r="A13" s="9"/>
      <c r="B13" s="68" t="s">
        <v>104</v>
      </c>
      <c r="C13" s="69"/>
      <c r="D13" s="69"/>
      <c r="E13" s="7">
        <v>5</v>
      </c>
      <c r="F13" s="18">
        <v>3.25</v>
      </c>
      <c r="G13" s="21">
        <f t="shared" si="0"/>
        <v>0.65</v>
      </c>
      <c r="H13" s="22" t="str">
        <f t="shared" si="1"/>
        <v>مقبول</v>
      </c>
      <c r="I13" s="40"/>
      <c r="J13" s="41"/>
    </row>
    <row r="14" spans="1:10" ht="30" customHeight="1" x14ac:dyDescent="0.3">
      <c r="A14" s="9"/>
      <c r="B14" s="68" t="s">
        <v>105</v>
      </c>
      <c r="C14" s="69"/>
      <c r="D14" s="69"/>
      <c r="E14" s="7">
        <v>5</v>
      </c>
      <c r="F14" s="18">
        <v>3.25</v>
      </c>
      <c r="G14" s="21">
        <f t="shared" si="0"/>
        <v>0.65</v>
      </c>
      <c r="H14" s="22" t="str">
        <f t="shared" si="1"/>
        <v>مقبول</v>
      </c>
      <c r="I14" s="40"/>
      <c r="J14" s="41"/>
    </row>
    <row r="15" spans="1:10" ht="30" customHeight="1" x14ac:dyDescent="0.3">
      <c r="A15" s="9"/>
      <c r="B15" s="68" t="s">
        <v>106</v>
      </c>
      <c r="C15" s="69"/>
      <c r="D15" s="69"/>
      <c r="E15" s="7">
        <v>5</v>
      </c>
      <c r="F15" s="18">
        <v>3.25</v>
      </c>
      <c r="G15" s="21">
        <f t="shared" si="0"/>
        <v>0.65</v>
      </c>
      <c r="H15" s="22" t="str">
        <f t="shared" si="1"/>
        <v>مقبول</v>
      </c>
      <c r="I15" s="40"/>
      <c r="J15" s="41"/>
    </row>
    <row r="16" spans="1:10" ht="30" customHeight="1" x14ac:dyDescent="0.3">
      <c r="A16" s="9"/>
      <c r="B16" s="68" t="s">
        <v>107</v>
      </c>
      <c r="C16" s="69"/>
      <c r="D16" s="69"/>
      <c r="E16" s="7">
        <v>5</v>
      </c>
      <c r="F16" s="18">
        <v>3.75</v>
      </c>
      <c r="G16" s="21">
        <f t="shared" si="0"/>
        <v>0.75</v>
      </c>
      <c r="H16" s="22" t="str">
        <f t="shared" si="1"/>
        <v>جيد</v>
      </c>
      <c r="I16" s="40"/>
      <c r="J16" s="41"/>
    </row>
    <row r="17" spans="1:10" ht="30" customHeight="1" thickBot="1" x14ac:dyDescent="0.35">
      <c r="A17" s="9"/>
      <c r="B17" s="66" t="s">
        <v>108</v>
      </c>
      <c r="C17" s="67"/>
      <c r="D17" s="67"/>
      <c r="E17" s="27">
        <v>5</v>
      </c>
      <c r="F17" s="19">
        <v>3.25</v>
      </c>
      <c r="G17" s="28">
        <f t="shared" si="0"/>
        <v>0.65</v>
      </c>
      <c r="H17" s="29" t="str">
        <f t="shared" si="1"/>
        <v>مقبول</v>
      </c>
      <c r="I17" s="42"/>
      <c r="J17" s="43"/>
    </row>
    <row r="18" spans="1:10" ht="30" customHeight="1" thickBot="1" x14ac:dyDescent="0.35">
      <c r="A18" s="4"/>
      <c r="B18" s="38" t="s">
        <v>5</v>
      </c>
      <c r="C18" s="39"/>
      <c r="D18" s="39"/>
      <c r="E18" s="8">
        <f>SUM(E8:E17)</f>
        <v>50</v>
      </c>
      <c r="F18" s="8">
        <f>SUM(F8:F17)</f>
        <v>35</v>
      </c>
      <c r="G18" s="46"/>
      <c r="H18" s="47"/>
      <c r="I18" s="47"/>
      <c r="J18" s="48"/>
    </row>
    <row r="19" spans="1:10" ht="30" customHeight="1" thickBot="1" x14ac:dyDescent="0.35">
      <c r="A19" s="4"/>
      <c r="B19" s="38" t="s">
        <v>54</v>
      </c>
      <c r="C19" s="39"/>
      <c r="D19" s="39"/>
      <c r="E19" s="56">
        <f>F18/E18/100*100</f>
        <v>0.7</v>
      </c>
      <c r="F19" s="56"/>
      <c r="G19" s="56"/>
      <c r="H19" s="56"/>
      <c r="I19" s="56"/>
      <c r="J19" s="57"/>
    </row>
    <row r="20" spans="1:10" ht="30" customHeight="1" thickBot="1" x14ac:dyDescent="0.35">
      <c r="A20" s="4"/>
      <c r="B20" s="38" t="s">
        <v>55</v>
      </c>
      <c r="C20" s="39"/>
      <c r="D20" s="39"/>
      <c r="E20" s="34" t="str">
        <f>_xlfn.IFS(E19&gt;=90%,"ممتاز",E19&gt;=80%,"جيد جداً",E19&gt;=70%,"جيد",E19&gt;=60%,"مقبول",E19&lt;60%,"راسب")</f>
        <v>جيد</v>
      </c>
      <c r="F20" s="34"/>
      <c r="G20" s="34"/>
      <c r="H20" s="34"/>
      <c r="I20" s="34"/>
      <c r="J20" s="35"/>
    </row>
    <row r="21" spans="1:10" ht="42" customHeight="1" x14ac:dyDescent="0.3">
      <c r="B21" s="30" t="s">
        <v>61</v>
      </c>
      <c r="C21" s="30"/>
      <c r="D21" s="30"/>
      <c r="E21" s="44" t="s">
        <v>52</v>
      </c>
      <c r="F21" s="44"/>
      <c r="G21" s="32" t="s">
        <v>58</v>
      </c>
      <c r="H21" s="32"/>
      <c r="I21" s="32"/>
      <c r="J21" s="32"/>
    </row>
    <row r="22" spans="1:10" ht="51" customHeight="1" x14ac:dyDescent="0.3">
      <c r="A22" s="5"/>
      <c r="B22" s="31"/>
      <c r="C22" s="31"/>
      <c r="D22" s="31"/>
      <c r="E22" s="45" t="s">
        <v>53</v>
      </c>
      <c r="F22" s="45"/>
      <c r="G22" s="33"/>
      <c r="H22" s="33"/>
      <c r="I22" s="33"/>
      <c r="J22" s="33"/>
    </row>
  </sheetData>
  <sheetProtection formatCells="0" formatColumns="0" formatRows="0" insertColumns="0" insertRows="0" insertHyperlinks="0" deleteColumns="0" deleteRows="0" selectLockedCells="1" sort="0" autoFilter="0" pivotTables="0"/>
  <mergeCells count="43">
    <mergeCell ref="C4:D4"/>
    <mergeCell ref="F4:J4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60">
      <formula>$E20="جيد جداً"</formula>
    </cfRule>
    <cfRule type="expression" dxfId="12" priority="59">
      <formula>$E20="جيد"</formula>
    </cfRule>
    <cfRule type="expression" dxfId="11" priority="58">
      <formula>$E20="مقبول"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2025-10-14T20:03:01Z</dcterms:modified>
</cp:coreProperties>
</file>