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C37FE020-EADD-4880-99A3-40CC9992055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التقييم'!$A$1:$J$32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2" i="2"/>
  <c r="H22" i="2"/>
  <c r="G23" i="2"/>
  <c r="H23" i="2"/>
  <c r="G24" i="2"/>
  <c r="H24" i="2"/>
  <c r="G25" i="2"/>
  <c r="H25" i="2"/>
  <c r="G26" i="2"/>
  <c r="H26" i="2"/>
  <c r="G27" i="2"/>
  <c r="H27" i="2"/>
  <c r="G8" i="2"/>
  <c r="H8" i="2"/>
  <c r="F28" i="2"/>
  <c r="E28" i="2"/>
  <c r="E29" i="2"/>
  <c r="E30" i="2"/>
</calcChain>
</file>

<file path=xl/sharedStrings.xml><?xml version="1.0" encoding="utf-8"?>
<sst xmlns="http://schemas.openxmlformats.org/spreadsheetml/2006/main" count="258" uniqueCount="202">
  <si>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</si>
  <si>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</si>
  <si>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</si>
  <si>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</si>
  <si>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</si>
  <si>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</si>
  <si>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</si>
  <si>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</si>
  <si>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</si>
  <si>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</si>
  <si>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</si>
  <si>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</si>
  <si>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</si>
  <si>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</si>
  <si>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</si>
  <si>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</si>
  <si>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</si>
  <si>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</si>
  <si>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</si>
  <si>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</si>
  <si>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</si>
  <si>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</si>
  <si>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</si>
  <si>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</si>
  <si>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</si>
  <si>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</si>
  <si>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</si>
  <si>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</si>
  <si>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</si>
  <si>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</si>
  <si>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</si>
  <si>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</si>
  <si>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</si>
  <si>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</si>
  <si>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</si>
  <si>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</si>
  <si>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</si>
  <si>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</si>
  <si>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</si>
  <si>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</si>
  <si>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</si>
  <si>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</si>
  <si>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</si>
  <si>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</si>
  <si>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</si>
  <si>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</si>
  <si>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</si>
  <si>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</si>
  <si>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</si>
  <si>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</si>
  <si>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</si>
  <si>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</si>
  <si>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</si>
  <si>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</si>
  <si>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</si>
  <si>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</si>
  <si>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</si>
  <si>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</si>
  <si>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</si>
  <si>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</si>
  <si>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</si>
  <si>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</si>
  <si>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</si>
  <si>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</si>
  <si>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</si>
  <si>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</si>
  <si>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</si>
  <si>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</si>
  <si>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</si>
  <si>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</si>
  <si>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</si>
  <si>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</si>
  <si>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</si>
  <si>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</si>
  <si>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</si>
  <si>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</si>
  <si>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</si>
  <si>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</si>
  <si>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</si>
  <si>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</si>
  <si>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</si>
  <si>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</si>
  <si>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</si>
  <si>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</si>
  <si>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</si>
  <si>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</si>
  <si>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</si>
  <si>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</si>
  <si>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</si>
  <si>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</si>
  <si>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</si>
  <si>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</si>
  <si>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</si>
  <si>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</si>
  <si>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</si>
  <si>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</si>
  <si>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</si>
  <si>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</si>
  <si>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</si>
  <si>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</si>
  <si>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</si>
  <si>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</si>
  <si>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</si>
  <si>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</si>
  <si>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</si>
  <si>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</si>
  <si>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</si>
  <si>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</si>
  <si>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</si>
  <si>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</si>
  <si>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</si>
  <si>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</si>
  <si>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</si>
  <si>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</si>
  <si>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</si>
  <si>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</si>
  <si>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</si>
  <si>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</si>
  <si>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</si>
  <si>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</si>
  <si>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</si>
  <si>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</si>
  <si>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</si>
  <si>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</si>
  <si>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</si>
  <si>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</si>
  <si>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</si>
  <si>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</si>
  <si>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</si>
  <si>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</si>
  <si>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</si>
  <si>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</si>
  <si>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</si>
  <si>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</si>
  <si>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</si>
  <si>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</si>
  <si>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</si>
  <si>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</si>
  <si>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</si>
  <si>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</si>
  <si>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</si>
  <si>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</si>
  <si>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</si>
  <si>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</si>
  <si>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</si>
  <si>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</si>
  <si>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</si>
  <si>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</si>
  <si>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</si>
  <si>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</si>
  <si>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</si>
  <si>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</si>
  <si>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</si>
  <si>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</si>
  <si>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</si>
  <si>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</si>
  <si>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</si>
  <si>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</si>
  <si>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</si>
  <si>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</si>
  <si>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</si>
  <si>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</si>
  <si>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</si>
  <si>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</si>
  <si>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</si>
  <si>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</si>
  <si>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</si>
  <si>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</si>
  <si>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</si>
  <si>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</si>
  <si>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</si>
  <si>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</si>
  <si>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</si>
  <si>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</si>
  <si>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</si>
  <si>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</si>
  <si>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</si>
  <si>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</si>
  <si>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</si>
  <si>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</si>
  <si>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كشف الموقع على الطبيعة مع قادة الفصائل.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</si>
  <si>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توجيه الألية نحو الشمال أو توجيه النظام نحو الشمال.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</si>
  <si>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إطفاء المحرك.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</si>
  <si>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التبليغ عن الوصول الى الموقع المنتخب (الحشد / التجمع / التشكيل).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</si>
  <si>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تركيب الأيرث (الصاعق).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</si>
  <si>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نصب الأرجل.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</si>
  <si>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تشغيل المولد مع فتح الاقفال.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</si>
  <si>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تشغيل الكهرباء والتكييف وتشغيل النظام.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</si>
  <si>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رفع الهوائي.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</si>
  <si>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توجيه المايكرويف.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</si>
  <si>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المهام على المآمير (جدول المناوبات على نظام العمل والحراسات).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</si>
  <si>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إجراءات الحماية المحلية (حفر الخنادق + التمويه + الحراسات ..إلخ).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</si>
  <si>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تطبيق شروط توضيع المحطة (طبيعة الأرض + الأرض تساعد على الاستطلاع الإلكتروني +التخفية والتستر.... إلخ)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</si>
  <si>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العمل على النظام أثناء الوثبات كالاتي:</t>
    </r>
  </si>
  <si>
    <t>د.  تسجيل الإشارات اللاسلكية.</t>
  </si>
  <si>
    <t>هـ.  عرض الإشارات اللاسلكية المسجلة.</t>
  </si>
  <si>
    <t>و.  عمل تحليل مبدئي للإشارات الغير معرفة.</t>
  </si>
  <si>
    <t>أ.   تشغيل نظام الاستطلاع اللاسلكي و الإلكتروني.</t>
  </si>
  <si>
    <t>ب.  عرض جدول الأهداف المرصودة.</t>
  </si>
  <si>
    <t>جـ.  استخدام مواصفات النظام لتحديد البحث حسب (الحيز الترددي نوع الإشارة، الموقع الجغرافي).</t>
  </si>
  <si>
    <t>تقييم مآمير وأطقم سرية الحرب الإلكترونية في العمليات التعرضية
تمرين جاهزية مجموعة لواء الإمارات/1 (جندي الصحراء 2025/20)</t>
  </si>
  <si>
    <t>نقيب مهندس سلطان سعيد النيادي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</si>
</sst>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indent="3" readingOrder="2"/>
    </xf>
    <xf numFmtId="0" fontId="13" fillId="5" borderId="3" xfId="0" applyFont="1" applyFill="1" applyBorder="1" applyAlignment="1">
      <alignment horizontal="right" vertical="center" wrapText="1" indent="3" readingOrder="2"/>
    </xf>
    <xf numFmtId="0" fontId="13" fillId="5" borderId="11" xfId="0" applyFont="1" applyFill="1" applyBorder="1" applyAlignment="1">
      <alignment horizontal="right" vertical="center" wrapText="1" indent="3" readingOrder="2"/>
    </xf>
    <xf numFmtId="0" fontId="13" fillId="5" borderId="12" xfId="0" applyFont="1" applyFill="1" applyBorder="1" applyAlignment="1">
      <alignment horizontal="right" vertical="center" wrapText="1" indent="3" readingOrder="2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3" fillId="5" borderId="5" xfId="0" applyFont="1" applyFill="1" applyBorder="1" applyAlignment="1">
      <alignment horizontal="right" vertical="center" wrapText="1" readingOrder="2"/>
    </xf>
    <xf numFmtId="0" fontId="13" fillId="5" borderId="4" xfId="0" applyFont="1" applyFill="1" applyBorder="1" applyAlignment="1">
      <alignment horizontal="right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20884</xdr:colOff>
      <xdr:row>31</xdr:row>
      <xdr:rowOff>28919</xdr:rowOff>
    </xdr:from>
    <xdr:to>
      <xdr:col>8</xdr:col>
      <xdr:colOff>648378</xdr:colOff>
      <xdr:row>32</xdr:row>
      <xdr:rowOff>47046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5E5582D-AD58-A790-3EAE-4F5031EA3C32}"/>
                </a:ext>
              </a:extLst>
            </xdr14:cNvPr>
            <xdr14:cNvContentPartPr/>
          </xdr14:nvContentPartPr>
          <xdr14:nvPr macro=""/>
          <xdr14:xfrm>
            <a:off x="10448340427" y="14421240"/>
            <a:ext cx="1283760" cy="6652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5E5582D-AD58-A790-3EAE-4F5031EA3C32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48334307" y="14415120"/>
              <a:ext cx="1296000" cy="6775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621712</xdr:colOff>
      <xdr:row>31</xdr:row>
      <xdr:rowOff>382079</xdr:rowOff>
    </xdr:from>
    <xdr:to>
      <xdr:col>7</xdr:col>
      <xdr:colOff>3964</xdr:colOff>
      <xdr:row>31</xdr:row>
      <xdr:rowOff>481079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73A60390-9D40-0164-FE8F-67FFD3F91EFE}"/>
                </a:ext>
              </a:extLst>
            </xdr14:cNvPr>
            <xdr14:cNvContentPartPr/>
          </xdr14:nvContentPartPr>
          <xdr14:nvPr macro=""/>
          <xdr14:xfrm>
            <a:off x="10449641107" y="14774400"/>
            <a:ext cx="38520" cy="990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73A60390-9D40-0164-FE8F-67FFD3F91EF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49634987" y="14768280"/>
              <a:ext cx="50760" cy="111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06:38.80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3200 1136 9177,'0'0'0,"-19"-23"2785,-2-1-1849,-5-5-272,26 29-664,-10-27 593,-8-1 15,9 1-80,-11 0-152,20 27-376,-5-27 368,-13-2-56,9 0-16,1-4-112,8 33-184,-24-31 96,18-3-56,-1 0 0,2 3 24,5 31-64,-19-34 24,19 0-24,-7 0 24,-12 0-8,19 34-16,-2-31 56,-5 2-8,-3 0-48,3 1 0,7 28 0,-17-27-16,11-3-16,3-1-24,-4 0-8,7 31 64,-5-36-8,5-1-24,0 3 40,0 0-32,0 34 24,0-26 24,3-1-80,4 2-24,-2 1-40,-5 24 120,6-20-192,4 2-8,-3 9-8,-2-11 0,-5 20 208,7-7-336,-2 1-48,2 1-112,11 3-144,-18 2 640,3 0-737,16 0 57,0 7 56,-1 13 112,-18-20 512,29 7-296,-8 20 48,5-7 88,0 3 40,-26-23 120,29 23-72,-4-1 0,4-2 16,-6-2-8,-23-18 64,27 7-104,-7 18 96,2-19-24,-4 15 24,-18-21 8,19 4-8,-14 3-48,19 0 32,-20-1 0,-4-6 24,7 7-8,15-1 24,-15 0-16,11-1-8,-18-5 8,5 6 0,22-1-40,-25 2 56,16-3-16,-18-4 0,7 5 0,-4-1 32,-1 1-40,-2-5 48,0 0-40,7 0 136,-7 0 128,0 0 152,0 0 136,0 0-552,0 0 560,-2 0-80,-5 0-136,-11 0-112,18 0-232,-8-3 224,-16-1-48,-1 2-40,-6 2-952,31 0 816,-38 0-952,-4 6-16,-10 1 56,-12 13 736,64-20 176,-74 7-64,-10 27 56,-6-5-32,-16 12 80,106-41-40,-113 47 8,-14 10-40,-6 5 64,-6 7-64,139-69 32,-139 74-16,2 1 72,-5 1-72,1 3 40,141-79-24,-148 79 112,1 2-72,-2-1 32,8-4-64,141-76-8,-132 70-8,11-4 8,1-8-16,7-4 40,113-54-24,-101 50-8,2-5 32,11-2 8,10-5-8,78-38-24,-73 35-48,6-6 24,12-9 24,11-13-8,44-7 8,-37 18 16,14-18 8,16 4-88,-3-4 88,10 0-24,-7 0 32,7 0-96,7-2 32,18-5 0,-25 7 32,27-18-32,10 0 24,3-6 8,15-9-24,-55 33 24,59-38 0,2-7 8,8-4 16,1-2-32,-70 51 8,71-51-88,7-3 72,-2 0-16,1-1 32,-77 55 0,78-56-8,-5-2 16,5-2-32,-6 0 72,-72 60-48,65-59 64,-8 7-56,-13 7-8,-5 7-64,-39 38 64,20-32 0,0 10 0,-20 13 32,0-9 32,0 18-64,-5-2 24,-22-1-8,9-1-32,-13 4 0,31 0 16,-38 0-56,3 7 56,-12 13 48,3-13-40,44-7-8,-46 27 16,-1-10 24,4 4-56,-4 1 32,47-22-16,-40 25 0,1-1-56,-5 4 56,12-3-8,32-25 8,-28 27-40,4 0 64,1 0-48,13-2-8,10-25 32,-17 24-16,12 2-32,3-1 24,2-3 8,0-22 16,0 25 8,7-5-24,8-2-16,-6-11 32,-9-7 0,28 22 0,-6-17 24,6 1-32,4-1-16,-32-5 24,39 0-24,1 0 16,4 0-8,3-7 16,-47 7 0,45-7 88,0-13-96,-2 11 48,4-15-40,-47 24 0,40-23-64,2-4 64,6-7 24,-4 0-24,-44 34 0,43-38 24,-3-3-8,0 5-56,-12 0 8,-28 36 32,27-34-16,-7 2 32,-15 5 32,2 3-32,-7 24-16,8-18 0,-6 9-16,-2 2 24,0 0 8,0 7-16,0-2 24,0 2-32,-2 0-8,2 0 16,-5 7-16,0 13 8,0-13-56,5 22 24,0-29 40,0 22-32,0 3 8,0-3 40,0 4-24,0-26 8,5 23-24,-5-1 16,5 1-8,2-6 16,-7-17 0,10 18 0,-3-11-24,-2 16 0,1-17 16,-6-6 8,5 7-56,2 11 48,0-18-24,-2 0 24,-5 0 8,7 0-24,0 0 8,-2 0 16,2 0 0,-7 0 0,4-4 64,3-3-24,1-13-16,-6 11 8,-2 9-32,7-25 64,-2 2-24,-5 1-8,0-3-8,0 25-24,0-24-16,0 6 24,0 10 40,5-1-32,-5 9-16,0-4-16,0 1-16,0 3-8,0 0 8,0 0 32,0 0 0,5 0-16,-1 0 0,0 7-8,-4-7 24,22 7 24,-15 14-8,0-14-16,14 13 8,-21-20-8,2 7-16,20 13 0,-17-13 24,0 10-8,-5-17 0,18 5 0,-13 2-16,4-1 0,-4 1 8,-5-7 8,17 5-64,-17-5 80,9 0 0,-7 0-56,-2 0 40,7 0 24,-2-7-32,2-11 0,0 9-16,-7 9 24,17-25 8,-10 7-24,0-4 24,-2-2 40,-5 24-48,4-20 32,-4 2 32,0 12-56,0-3 8,0 9-16,0-7 0,0 5-24,5-1 24,-5 3 56,0 0-56,5 0 8,0 0-56,14 5 32,-13 13-40,-6-18 56,31 7-48,-10 17 40,6-3 0,3 2 40,-30-23-32,31 25-24,7 2-8,-1 6-24,3 3-89,-40-36 145,43 39-184,4-3-1232,-24 11-2833,-23-47 4249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4T18:06:39.2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59 275 15075,'0'0'0,"-17"-39"392,0 6 40,-2-1-344,19 34-88,-4-25-232,3 21-152,3-14-408,3-2-505,-5 20 1297,11-25-1568,0-4-24,-11 20-3305,9-29 824,-9 38 4073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2"/>
  <sheetViews>
    <sheetView rightToLeft="1" tabSelected="1" view="pageBreakPreview" topLeftCell="B26" zoomScale="130" zoomScaleNormal="100" zoomScaleSheetLayoutView="130" workbookViewId="0">
      <selection activeCell="F18" sqref="F18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1" t="s">
        <v>200</v>
      </c>
      <c r="C1" s="61"/>
      <c r="D1" s="61"/>
      <c r="E1" s="61"/>
      <c r="F1" s="61"/>
      <c r="G1" s="61"/>
      <c r="H1" s="61"/>
      <c r="I1" s="61"/>
      <c r="J1" s="61"/>
    </row>
    <row r="2" spans="1:10" ht="30" customHeight="1" x14ac:dyDescent="0.3">
      <c r="B2" s="12" t="s">
        <v>8</v>
      </c>
      <c r="C2" s="67" t="s">
        <v>14</v>
      </c>
      <c r="D2" s="67"/>
      <c r="E2" s="12" t="s">
        <v>7</v>
      </c>
      <c r="F2" s="62">
        <v>45953</v>
      </c>
      <c r="G2" s="62"/>
      <c r="H2" s="62"/>
      <c r="I2" s="62"/>
      <c r="J2" s="62"/>
    </row>
    <row r="3" spans="1:10" ht="30" customHeight="1" x14ac:dyDescent="0.3">
      <c r="B3" s="12" t="s">
        <v>9</v>
      </c>
      <c r="C3" s="67" t="s">
        <v>60</v>
      </c>
      <c r="D3" s="67"/>
      <c r="E3" s="12" t="s">
        <v>6</v>
      </c>
      <c r="F3" s="67" t="s">
        <v>123</v>
      </c>
      <c r="G3" s="67"/>
      <c r="H3" s="67"/>
      <c r="I3" s="67"/>
      <c r="J3" s="67"/>
    </row>
    <row r="4" spans="1:10" ht="30" customHeight="1" thickBot="1" x14ac:dyDescent="0.35">
      <c r="B4" s="6"/>
      <c r="C4" s="7"/>
      <c r="D4" s="7" t="s">
        <v>201</v>
      </c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3" t="s">
        <v>0</v>
      </c>
      <c r="C5" s="64"/>
      <c r="D5" s="64"/>
      <c r="E5" s="72" t="s">
        <v>1</v>
      </c>
      <c r="F5" s="72"/>
      <c r="G5" s="72"/>
      <c r="H5" s="72"/>
      <c r="I5" s="72" t="s">
        <v>2</v>
      </c>
      <c r="J5" s="73"/>
    </row>
    <row r="6" spans="1:10" ht="24.9" customHeight="1" thickBot="1" x14ac:dyDescent="0.35">
      <c r="A6" s="10"/>
      <c r="B6" s="65"/>
      <c r="C6" s="66"/>
      <c r="D6" s="66"/>
      <c r="E6" s="11" t="s">
        <v>3</v>
      </c>
      <c r="F6" s="11" t="s">
        <v>4</v>
      </c>
      <c r="G6" s="11" t="s">
        <v>23</v>
      </c>
      <c r="H6" s="11" t="s">
        <v>24</v>
      </c>
      <c r="I6" s="74"/>
      <c r="J6" s="75"/>
    </row>
    <row r="7" spans="1:10" ht="24.9" customHeight="1" thickBot="1" x14ac:dyDescent="0.35">
      <c r="A7" s="10"/>
      <c r="B7" s="70" t="s">
        <v>21</v>
      </c>
      <c r="C7" s="71"/>
      <c r="D7" s="71"/>
      <c r="E7" s="28" t="s">
        <v>18</v>
      </c>
      <c r="F7" s="28" t="s">
        <v>19</v>
      </c>
      <c r="G7" s="28" t="s">
        <v>22</v>
      </c>
      <c r="H7" s="28" t="s">
        <v>20</v>
      </c>
      <c r="I7" s="76" t="s">
        <v>25</v>
      </c>
      <c r="J7" s="77"/>
    </row>
    <row r="8" spans="1:10" ht="39.9" customHeight="1" x14ac:dyDescent="0.3">
      <c r="A8" s="10"/>
      <c r="B8" s="47" t="s">
        <v>180</v>
      </c>
      <c r="C8" s="48"/>
      <c r="D8" s="48"/>
      <c r="E8" s="32">
        <v>5</v>
      </c>
      <c r="F8" s="33">
        <v>4</v>
      </c>
      <c r="G8" s="34">
        <f>IFERROR(F8/E8,"")</f>
        <v>0.8</v>
      </c>
      <c r="H8" s="35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45"/>
      <c r="J8" s="46"/>
    </row>
    <row r="9" spans="1:10" ht="39.9" customHeight="1" x14ac:dyDescent="0.3">
      <c r="A9" s="10"/>
      <c r="B9" s="43" t="s">
        <v>181</v>
      </c>
      <c r="C9" s="44"/>
      <c r="D9" s="44"/>
      <c r="E9" s="9">
        <v>5</v>
      </c>
      <c r="F9" s="26">
        <v>4</v>
      </c>
      <c r="G9" s="30">
        <f>IFERROR(F9/E9,"")</f>
        <v>0.8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 جداً</v>
      </c>
      <c r="I9" s="53"/>
      <c r="J9" s="54"/>
    </row>
    <row r="10" spans="1:10" ht="39.9" customHeight="1" x14ac:dyDescent="0.3">
      <c r="A10" s="10"/>
      <c r="B10" s="43" t="s">
        <v>182</v>
      </c>
      <c r="C10" s="44"/>
      <c r="D10" s="44"/>
      <c r="E10" s="9">
        <v>5</v>
      </c>
      <c r="F10" s="26">
        <v>4</v>
      </c>
      <c r="G10" s="30">
        <f t="shared" ref="G10:G27" si="0">IFERROR(F10/E10,"")</f>
        <v>0.8</v>
      </c>
      <c r="H10" s="31" t="str">
        <f t="shared" ref="H10:H27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53"/>
      <c r="J10" s="54"/>
    </row>
    <row r="11" spans="1:10" ht="39.9" customHeight="1" x14ac:dyDescent="0.3">
      <c r="A11" s="10"/>
      <c r="B11" s="43" t="s">
        <v>183</v>
      </c>
      <c r="C11" s="44"/>
      <c r="D11" s="44"/>
      <c r="E11" s="9">
        <v>5</v>
      </c>
      <c r="F11" s="26">
        <v>3.5</v>
      </c>
      <c r="G11" s="30">
        <f t="shared" si="0"/>
        <v>0.7</v>
      </c>
      <c r="H11" s="31" t="str">
        <f t="shared" si="1"/>
        <v>جيد</v>
      </c>
      <c r="I11" s="53"/>
      <c r="J11" s="54"/>
    </row>
    <row r="12" spans="1:10" ht="39.9" customHeight="1" x14ac:dyDescent="0.3">
      <c r="A12" s="10"/>
      <c r="B12" s="43" t="s">
        <v>184</v>
      </c>
      <c r="C12" s="44"/>
      <c r="D12" s="44"/>
      <c r="E12" s="9">
        <v>5</v>
      </c>
      <c r="F12" s="26">
        <v>4</v>
      </c>
      <c r="G12" s="30">
        <f t="shared" si="0"/>
        <v>0.8</v>
      </c>
      <c r="H12" s="31" t="str">
        <f t="shared" si="1"/>
        <v>جيد جداً</v>
      </c>
      <c r="I12" s="53"/>
      <c r="J12" s="54"/>
    </row>
    <row r="13" spans="1:10" ht="39.9" customHeight="1" x14ac:dyDescent="0.3">
      <c r="A13" s="10"/>
      <c r="B13" s="43" t="s">
        <v>185</v>
      </c>
      <c r="C13" s="44"/>
      <c r="D13" s="44"/>
      <c r="E13" s="9">
        <v>5</v>
      </c>
      <c r="F13" s="26">
        <v>4</v>
      </c>
      <c r="G13" s="30">
        <f t="shared" si="0"/>
        <v>0.8</v>
      </c>
      <c r="H13" s="31" t="str">
        <f t="shared" si="1"/>
        <v>جيد جداً</v>
      </c>
      <c r="I13" s="53"/>
      <c r="J13" s="54"/>
    </row>
    <row r="14" spans="1:10" ht="39.9" customHeight="1" x14ac:dyDescent="0.3">
      <c r="A14" s="10"/>
      <c r="B14" s="43" t="s">
        <v>186</v>
      </c>
      <c r="C14" s="44"/>
      <c r="D14" s="44"/>
      <c r="E14" s="9">
        <v>5</v>
      </c>
      <c r="F14" s="26">
        <v>4</v>
      </c>
      <c r="G14" s="30">
        <f t="shared" si="0"/>
        <v>0.8</v>
      </c>
      <c r="H14" s="31" t="str">
        <f t="shared" si="1"/>
        <v>جيد جداً</v>
      </c>
      <c r="I14" s="53"/>
      <c r="J14" s="54"/>
    </row>
    <row r="15" spans="1:10" ht="39.9" customHeight="1" x14ac:dyDescent="0.3">
      <c r="A15" s="10"/>
      <c r="B15" s="43" t="s">
        <v>187</v>
      </c>
      <c r="C15" s="44"/>
      <c r="D15" s="44"/>
      <c r="E15" s="9">
        <v>5</v>
      </c>
      <c r="F15" s="26">
        <v>4</v>
      </c>
      <c r="G15" s="30">
        <f t="shared" si="0"/>
        <v>0.8</v>
      </c>
      <c r="H15" s="31" t="str">
        <f t="shared" si="1"/>
        <v>جيد جداً</v>
      </c>
      <c r="I15" s="53"/>
      <c r="J15" s="54"/>
    </row>
    <row r="16" spans="1:10" ht="39.9" customHeight="1" x14ac:dyDescent="0.3">
      <c r="A16" s="10"/>
      <c r="B16" s="43" t="s">
        <v>188</v>
      </c>
      <c r="C16" s="44"/>
      <c r="D16" s="44"/>
      <c r="E16" s="9">
        <v>5</v>
      </c>
      <c r="F16" s="26">
        <v>4</v>
      </c>
      <c r="G16" s="30">
        <f t="shared" si="0"/>
        <v>0.8</v>
      </c>
      <c r="H16" s="31" t="str">
        <f t="shared" si="1"/>
        <v>جيد جداً</v>
      </c>
      <c r="I16" s="53"/>
      <c r="J16" s="54"/>
    </row>
    <row r="17" spans="1:10" ht="39.9" customHeight="1" x14ac:dyDescent="0.3">
      <c r="A17" s="10"/>
      <c r="B17" s="43" t="s">
        <v>189</v>
      </c>
      <c r="C17" s="44"/>
      <c r="D17" s="44"/>
      <c r="E17" s="9">
        <v>5</v>
      </c>
      <c r="F17" s="26">
        <v>4</v>
      </c>
      <c r="G17" s="30">
        <f t="shared" si="0"/>
        <v>0.8</v>
      </c>
      <c r="H17" s="31" t="str">
        <f t="shared" si="1"/>
        <v>جيد جداً</v>
      </c>
      <c r="I17" s="53"/>
      <c r="J17" s="54"/>
    </row>
    <row r="18" spans="1:10" ht="39.9" customHeight="1" x14ac:dyDescent="0.3">
      <c r="A18" s="10"/>
      <c r="B18" s="43" t="s">
        <v>190</v>
      </c>
      <c r="C18" s="44"/>
      <c r="D18" s="44"/>
      <c r="E18" s="9">
        <v>5</v>
      </c>
      <c r="F18" s="26">
        <v>3.5</v>
      </c>
      <c r="G18" s="30">
        <f t="shared" si="0"/>
        <v>0.7</v>
      </c>
      <c r="H18" s="31" t="str">
        <f t="shared" si="1"/>
        <v>جيد</v>
      </c>
      <c r="I18" s="53"/>
      <c r="J18" s="54"/>
    </row>
    <row r="19" spans="1:10" ht="39.9" customHeight="1" x14ac:dyDescent="0.3">
      <c r="A19" s="10"/>
      <c r="B19" s="43" t="s">
        <v>191</v>
      </c>
      <c r="C19" s="44"/>
      <c r="D19" s="44"/>
      <c r="E19" s="9">
        <v>5</v>
      </c>
      <c r="F19" s="26">
        <v>3.5</v>
      </c>
      <c r="G19" s="30">
        <f t="shared" si="0"/>
        <v>0.7</v>
      </c>
      <c r="H19" s="31" t="str">
        <f t="shared" si="1"/>
        <v>جيد</v>
      </c>
      <c r="I19" s="53"/>
      <c r="J19" s="54"/>
    </row>
    <row r="20" spans="1:10" ht="39.9" customHeight="1" x14ac:dyDescent="0.3">
      <c r="A20" s="10"/>
      <c r="B20" s="43" t="s">
        <v>192</v>
      </c>
      <c r="C20" s="44"/>
      <c r="D20" s="44"/>
      <c r="E20" s="9">
        <v>5</v>
      </c>
      <c r="F20" s="26">
        <v>3.5</v>
      </c>
      <c r="G20" s="30">
        <f t="shared" si="0"/>
        <v>0.7</v>
      </c>
      <c r="H20" s="31" t="str">
        <f t="shared" si="1"/>
        <v>جيد</v>
      </c>
      <c r="I20" s="53"/>
      <c r="J20" s="54"/>
    </row>
    <row r="21" spans="1:10" ht="39.9" customHeight="1" x14ac:dyDescent="0.3">
      <c r="A21" s="10"/>
      <c r="B21" s="43" t="s">
        <v>193</v>
      </c>
      <c r="C21" s="44"/>
      <c r="D21" s="44"/>
      <c r="E21" s="9"/>
      <c r="F21" s="26"/>
      <c r="G21" s="30"/>
      <c r="H21" s="31"/>
      <c r="I21" s="53"/>
      <c r="J21" s="54"/>
    </row>
    <row r="22" spans="1:10" ht="39.9" customHeight="1" x14ac:dyDescent="0.3">
      <c r="A22" s="10"/>
      <c r="B22" s="39" t="s">
        <v>197</v>
      </c>
      <c r="C22" s="40"/>
      <c r="D22" s="40"/>
      <c r="E22" s="9">
        <v>5</v>
      </c>
      <c r="F22" s="26">
        <v>4</v>
      </c>
      <c r="G22" s="30">
        <f t="shared" si="0"/>
        <v>0.8</v>
      </c>
      <c r="H22" s="31" t="str">
        <f t="shared" si="1"/>
        <v>جيد جداً</v>
      </c>
      <c r="I22" s="53"/>
      <c r="J22" s="54"/>
    </row>
    <row r="23" spans="1:10" ht="39.9" customHeight="1" x14ac:dyDescent="0.3">
      <c r="A23" s="10"/>
      <c r="B23" s="39" t="s">
        <v>198</v>
      </c>
      <c r="C23" s="40"/>
      <c r="D23" s="40"/>
      <c r="E23" s="9">
        <v>5</v>
      </c>
      <c r="F23" s="26">
        <v>3.5</v>
      </c>
      <c r="G23" s="30">
        <f t="shared" si="0"/>
        <v>0.7</v>
      </c>
      <c r="H23" s="31" t="str">
        <f t="shared" si="1"/>
        <v>جيد</v>
      </c>
      <c r="I23" s="53"/>
      <c r="J23" s="54"/>
    </row>
    <row r="24" spans="1:10" ht="39.9" customHeight="1" x14ac:dyDescent="0.3">
      <c r="A24" s="10"/>
      <c r="B24" s="39" t="s">
        <v>199</v>
      </c>
      <c r="C24" s="40"/>
      <c r="D24" s="40"/>
      <c r="E24" s="9">
        <v>5</v>
      </c>
      <c r="F24" s="26">
        <v>3.5</v>
      </c>
      <c r="G24" s="30">
        <f t="shared" si="0"/>
        <v>0.7</v>
      </c>
      <c r="H24" s="31" t="str">
        <f t="shared" si="1"/>
        <v>جيد</v>
      </c>
      <c r="I24" s="53"/>
      <c r="J24" s="54"/>
    </row>
    <row r="25" spans="1:10" ht="39.9" customHeight="1" x14ac:dyDescent="0.3">
      <c r="A25" s="10"/>
      <c r="B25" s="39" t="s">
        <v>194</v>
      </c>
      <c r="C25" s="40"/>
      <c r="D25" s="40"/>
      <c r="E25" s="9">
        <v>5</v>
      </c>
      <c r="F25" s="26">
        <v>3.5</v>
      </c>
      <c r="G25" s="30">
        <f t="shared" si="0"/>
        <v>0.7</v>
      </c>
      <c r="H25" s="31" t="str">
        <f t="shared" si="1"/>
        <v>جيد</v>
      </c>
      <c r="I25" s="53"/>
      <c r="J25" s="54"/>
    </row>
    <row r="26" spans="1:10" ht="39.9" customHeight="1" x14ac:dyDescent="0.3">
      <c r="A26" s="10"/>
      <c r="B26" s="39" t="s">
        <v>195</v>
      </c>
      <c r="C26" s="40"/>
      <c r="D26" s="40"/>
      <c r="E26" s="9">
        <v>5</v>
      </c>
      <c r="F26" s="26">
        <v>3.5</v>
      </c>
      <c r="G26" s="30">
        <f t="shared" si="0"/>
        <v>0.7</v>
      </c>
      <c r="H26" s="31" t="str">
        <f t="shared" si="1"/>
        <v>جيد</v>
      </c>
      <c r="I26" s="53"/>
      <c r="J26" s="54"/>
    </row>
    <row r="27" spans="1:10" ht="39.9" customHeight="1" thickBot="1" x14ac:dyDescent="0.35">
      <c r="A27" s="10"/>
      <c r="B27" s="41" t="s">
        <v>196</v>
      </c>
      <c r="C27" s="42"/>
      <c r="D27" s="42"/>
      <c r="E27" s="36">
        <v>5</v>
      </c>
      <c r="F27" s="27">
        <v>3.5</v>
      </c>
      <c r="G27" s="37">
        <f t="shared" si="0"/>
        <v>0.7</v>
      </c>
      <c r="H27" s="38" t="str">
        <f t="shared" si="1"/>
        <v>جيد</v>
      </c>
      <c r="I27" s="82"/>
      <c r="J27" s="83"/>
    </row>
    <row r="28" spans="1:10" ht="30" customHeight="1" thickBot="1" x14ac:dyDescent="0.35">
      <c r="A28" s="4"/>
      <c r="B28" s="49" t="s">
        <v>5</v>
      </c>
      <c r="C28" s="50"/>
      <c r="D28" s="50"/>
      <c r="E28" s="29">
        <f>SUM(E8:E27)</f>
        <v>95</v>
      </c>
      <c r="F28" s="29">
        <f>SUM(F8:F27)</f>
        <v>71.5</v>
      </c>
      <c r="G28" s="79"/>
      <c r="H28" s="80"/>
      <c r="I28" s="80"/>
      <c r="J28" s="81"/>
    </row>
    <row r="29" spans="1:10" ht="30" customHeight="1" thickBot="1" x14ac:dyDescent="0.35">
      <c r="A29" s="4"/>
      <c r="B29" s="51" t="s">
        <v>54</v>
      </c>
      <c r="C29" s="52"/>
      <c r="D29" s="52"/>
      <c r="E29" s="68">
        <f>F28/E28/100*100</f>
        <v>0.75263157894736843</v>
      </c>
      <c r="F29" s="68"/>
      <c r="G29" s="68"/>
      <c r="H29" s="68"/>
      <c r="I29" s="68"/>
      <c r="J29" s="69"/>
    </row>
    <row r="30" spans="1:10" ht="30" customHeight="1" thickBot="1" x14ac:dyDescent="0.35">
      <c r="A30" s="4"/>
      <c r="B30" s="51" t="s">
        <v>55</v>
      </c>
      <c r="C30" s="52"/>
      <c r="D30" s="52"/>
      <c r="E30" s="59" t="str">
        <f>_xlfn.IFS(E29&gt;=90%,"ممتاز",E29&gt;=80%,"جيد جداً",E29&gt;=70%,"جيد",E29&gt;=60%,"مقبول",E29&lt;60%,"راسب")</f>
        <v>جيد</v>
      </c>
      <c r="F30" s="59"/>
      <c r="G30" s="59"/>
      <c r="H30" s="59"/>
      <c r="I30" s="59"/>
      <c r="J30" s="60"/>
    </row>
    <row r="31" spans="1:10" ht="42" customHeight="1" x14ac:dyDescent="0.3">
      <c r="B31" s="55" t="s">
        <v>174</v>
      </c>
      <c r="C31" s="55"/>
      <c r="D31" s="55"/>
      <c r="E31" s="84" t="s">
        <v>52</v>
      </c>
      <c r="F31" s="84"/>
      <c r="G31" s="57" t="s">
        <v>123</v>
      </c>
      <c r="H31" s="57"/>
      <c r="I31" s="57"/>
      <c r="J31" s="57"/>
    </row>
    <row r="32" spans="1:10" ht="51" customHeight="1" x14ac:dyDescent="0.3">
      <c r="A32" s="5"/>
      <c r="B32" s="56"/>
      <c r="C32" s="56"/>
      <c r="D32" s="56"/>
      <c r="E32" s="78" t="s">
        <v>53</v>
      </c>
      <c r="F32" s="78"/>
      <c r="G32" s="58"/>
      <c r="H32" s="58"/>
      <c r="I32" s="58"/>
      <c r="J32" s="5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61">
    <mergeCell ref="E32:F32"/>
    <mergeCell ref="G28:J28"/>
    <mergeCell ref="I9:J9"/>
    <mergeCell ref="I24:J24"/>
    <mergeCell ref="I25:J25"/>
    <mergeCell ref="I26:J26"/>
    <mergeCell ref="I27:J27"/>
    <mergeCell ref="E31:F31"/>
    <mergeCell ref="B31:D32"/>
    <mergeCell ref="G31:J31"/>
    <mergeCell ref="G32:J32"/>
    <mergeCell ref="E30:J30"/>
    <mergeCell ref="B1:J1"/>
    <mergeCell ref="F2:J2"/>
    <mergeCell ref="B5:D6"/>
    <mergeCell ref="C2:D2"/>
    <mergeCell ref="C3:D3"/>
    <mergeCell ref="F3:J3"/>
    <mergeCell ref="E29:J29"/>
    <mergeCell ref="B7:D7"/>
    <mergeCell ref="E5:H5"/>
    <mergeCell ref="I5:J6"/>
    <mergeCell ref="I7:J7"/>
    <mergeCell ref="I10:J10"/>
    <mergeCell ref="B28:D28"/>
    <mergeCell ref="B29:D29"/>
    <mergeCell ref="B30:D30"/>
    <mergeCell ref="I11:J11"/>
    <mergeCell ref="I12:J12"/>
    <mergeCell ref="I13:J13"/>
    <mergeCell ref="I14:J14"/>
    <mergeCell ref="I15:J15"/>
    <mergeCell ref="I16:J16"/>
    <mergeCell ref="I17:J17"/>
    <mergeCell ref="I18:J18"/>
    <mergeCell ref="I19:J19"/>
    <mergeCell ref="I20:J20"/>
    <mergeCell ref="I21:J21"/>
    <mergeCell ref="I22:J22"/>
    <mergeCell ref="I23:J23"/>
    <mergeCell ref="B13:D13"/>
    <mergeCell ref="B14:D14"/>
    <mergeCell ref="B15:D15"/>
    <mergeCell ref="B16:D16"/>
    <mergeCell ref="I8:J8"/>
    <mergeCell ref="B8:D8"/>
    <mergeCell ref="B9:D9"/>
    <mergeCell ref="B10:D10"/>
    <mergeCell ref="B11:D11"/>
    <mergeCell ref="B12:D12"/>
    <mergeCell ref="B26:D26"/>
    <mergeCell ref="B27:D27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0">
    <cfRule type="expression" dxfId="14" priority="57">
      <formula>$E30="راسب"</formula>
    </cfRule>
  </conditionalFormatting>
  <conditionalFormatting sqref="E30:J30">
    <cfRule type="expression" dxfId="13" priority="58">
      <formula>$E30="مقبول"</formula>
    </cfRule>
    <cfRule type="expression" dxfId="12" priority="59">
      <formula>$E30="جيد"</formula>
    </cfRule>
    <cfRule type="expression" dxfId="11" priority="60">
      <formula>$E30="جيد جداً"</formula>
    </cfRule>
    <cfRule type="expression" dxfId="10" priority="61">
      <formula>$E30="ممتاز"</formula>
    </cfRule>
  </conditionalFormatting>
  <conditionalFormatting sqref="F8:F27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1:J31">
    <cfRule type="containsText" dxfId="6" priority="15" operator="containsText" text="أدخل اسم المحكم">
      <formula>NOT(ISERROR(SEARCH("أدخل اسم المحكم",G31)))</formula>
    </cfRule>
  </conditionalFormatting>
  <conditionalFormatting sqref="H8:H27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F8:F20 F22:F27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G31:J31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54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2025-10-25T18:55:49Z</dcterms:modified>
</cp:coreProperties>
</file>