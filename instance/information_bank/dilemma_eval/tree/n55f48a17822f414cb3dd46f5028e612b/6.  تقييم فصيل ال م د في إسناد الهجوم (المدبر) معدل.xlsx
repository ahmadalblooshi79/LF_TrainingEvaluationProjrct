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81477C88-2FFB-7946-95B1-3952C253094C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2" l="1"/>
  <c r="H34" i="2"/>
  <c r="G35" i="2"/>
  <c r="H35" i="2"/>
  <c r="G36" i="2"/>
  <c r="H36" i="2"/>
  <c r="G38" i="2"/>
  <c r="H38" i="2"/>
  <c r="G9" i="2"/>
  <c r="H9" i="2"/>
  <c r="G11" i="2"/>
  <c r="H11" i="2"/>
  <c r="G12" i="2"/>
  <c r="H12" i="2"/>
  <c r="G13" i="2"/>
  <c r="H13" i="2"/>
  <c r="G14" i="2"/>
  <c r="H14" i="2"/>
  <c r="G15" i="2"/>
  <c r="H15" i="2"/>
  <c r="G16" i="2"/>
  <c r="H16" i="2"/>
  <c r="G19" i="2"/>
  <c r="H19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2" i="2"/>
  <c r="H32" i="2"/>
  <c r="G37" i="2"/>
  <c r="H37" i="2"/>
  <c r="G39" i="2"/>
  <c r="H39" i="2"/>
  <c r="G40" i="2"/>
  <c r="H40" i="2"/>
  <c r="G41" i="2"/>
  <c r="H41" i="2"/>
  <c r="G42" i="2"/>
  <c r="H42" i="2"/>
  <c r="G43" i="2"/>
  <c r="H43" i="2"/>
  <c r="G44" i="2"/>
  <c r="H44" i="2"/>
  <c r="F45" i="2"/>
  <c r="E45" i="2"/>
  <c r="E46" i="2"/>
  <c r="E47" i="2"/>
</calcChain>
</file>

<file path=xl/sharedStrings.xml><?xml version="1.0" encoding="utf-8"?>
<sst xmlns="http://schemas.openxmlformats.org/spreadsheetml/2006/main" count="272" uniqueCount="216">
  <si>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</si>
  <si>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</si>
  <si>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</si>
  <si>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</si>
  <si>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</si>
  <si>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</si>
  <si>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</si>
  <si>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</si>
  <si>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</si>
  <si>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</si>
  <si>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</si>
  <si>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</si>
  <si>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</si>
  <si>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</si>
  <si>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</si>
  <si>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</si>
  <si>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</si>
  <si>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</si>
  <si>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</si>
  <si>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</si>
  <si>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</si>
  <si>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</si>
  <si>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</si>
  <si>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</si>
  <si>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</si>
  <si>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</si>
  <si>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</si>
  <si>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</si>
  <si>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</si>
  <si>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</si>
  <si>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</si>
  <si>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</si>
  <si>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</si>
  <si>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</si>
  <si>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</si>
  <si>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</si>
  <si>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</si>
  <si>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</si>
  <si>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</si>
  <si>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</si>
  <si>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</si>
  <si>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</si>
  <si>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</si>
  <si>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</si>
  <si>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</si>
  <si>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</si>
  <si>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</si>
  <si>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</si>
  <si>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</si>
  <si>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</si>
  <si>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</si>
  <si>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</si>
  <si>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</si>
  <si>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</si>
  <si>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</si>
  <si>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</si>
  <si>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</si>
  <si>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</si>
  <si>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</si>
  <si>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</si>
  <si>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</si>
  <si>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</si>
  <si>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</si>
  <si>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</si>
  <si>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</si>
  <si>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</si>
  <si>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</si>
  <si>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</si>
  <si>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</si>
  <si>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</si>
  <si>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</si>
  <si>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</si>
  <si>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</si>
  <si>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</si>
  <si>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</si>
  <si>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</si>
  <si>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</si>
  <si>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</si>
  <si>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</si>
  <si>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</si>
  <si>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</si>
  <si>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</si>
  <si>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</si>
  <si>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</si>
  <si>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</si>
  <si>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</si>
  <si>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</si>
  <si>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</si>
  <si>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</si>
  <si>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</si>
  <si>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</si>
  <si>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</si>
  <si>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</si>
  <si>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</si>
  <si>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</si>
  <si>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</si>
  <si>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</si>
  <si>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</si>
  <si>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</si>
  <si>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</si>
  <si>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</si>
  <si>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</si>
  <si>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</si>
  <si>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</si>
  <si>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</si>
  <si>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</si>
  <si>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</si>
  <si>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</si>
  <si>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</si>
  <si>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</si>
  <si>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</si>
  <si>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</si>
  <si>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</si>
  <si>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</si>
  <si>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</si>
  <si>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</si>
  <si>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</si>
  <si>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</si>
  <si>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</si>
  <si>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</si>
  <si>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</si>
  <si>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</si>
  <si>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</si>
  <si>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</si>
  <si>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</si>
  <si>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</si>
  <si>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</si>
  <si>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</si>
  <si>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</si>
  <si>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</si>
  <si>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</si>
  <si>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</si>
  <si>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</si>
  <si>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</si>
  <si>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</si>
  <si>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</si>
  <si>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</si>
  <si>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</si>
  <si>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</si>
  <si>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</si>
  <si>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</si>
  <si>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</si>
  <si>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</si>
  <si>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</si>
  <si>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</si>
  <si>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</si>
  <si>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</si>
  <si>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</si>
  <si>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</si>
  <si>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</si>
  <si>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</si>
  <si>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</si>
  <si>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</si>
  <si>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</si>
  <si>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</si>
  <si>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</si>
  <si>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</si>
  <si>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</si>
  <si>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</si>
  <si>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</si>
  <si>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</si>
  <si>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</si>
  <si>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</si>
  <si>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</si>
  <si>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</si>
  <si>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</si>
  <si>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</si>
  <si>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</si>
  <si>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</si>
  <si>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</si>
  <si>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</si>
  <si>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</si>
  <si>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</si>
  <si>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</si>
  <si>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</si>
  <si>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</si>
  <si>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</si>
  <si>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جـ.    تحديد منطقة التجمع المحددة من المستوى الأعلى.</t>
  </si>
  <si>
    <t>د.     تحديد طرق الحركة لمنطقة التجمع.</t>
  </si>
  <si>
    <t>هـ.    تحديد المقتربات وممرات الحركة من منطقة التجمع وحتى منطقة التشكيل وخط البدء.</t>
  </si>
  <si>
    <t>إجراءات التحضير.</t>
  </si>
  <si>
    <t>إجراءات التنفيذ.</t>
  </si>
  <si>
    <t>أ.    الحركة من منطقة التجمع إلى منطقة التشكيل وخط البدء، بأسلوب الحركة والتشكيلة المناسبين.</t>
  </si>
  <si>
    <t>ب.   تأمين خط البدء بالنيران كما يلي:</t>
  </si>
  <si>
    <r>
      <t>أ‌.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 xml:space="preserve">    تنقيح الخطة بناءً على الاستخبارات المحدثة باستمرار.</t>
    </r>
  </si>
  <si>
    <r>
      <t>2.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</si>
  <si>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4.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 xml:space="preserve"> توضيع القوات للحركة.</t>
    </r>
  </si>
  <si>
    <t>(5)    تحديد مناطق اشتباك العدو.</t>
  </si>
  <si>
    <t>(1)     تحديد حجم وتأليف وتوزيعات قوة العدو في منطقة الأهداف.</t>
  </si>
  <si>
    <t>(2)    تحديد موقع ونوع وعمق وتأليف الموانع والممرات حول الموانع.</t>
  </si>
  <si>
    <t>(3)   تحديد طرق الهجوم المعاكس أو التعزيزات المعادية.</t>
  </si>
  <si>
    <t>(4)   تحديد نوع التحصينات المعادية وجهد القدرة على البقاء.</t>
  </si>
  <si>
    <t>تقييم فصيل الـ م/ د في إسناد الهجوم (المدبر)</t>
  </si>
  <si>
    <r>
      <t>1.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 xml:space="preserve">   يعمل قائد فصيل الـ م/د على فهم الموقف باستخدام معدات الاتصال المتوفرة، والخرائط.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</si>
  <si>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تنفيذ فصيل الـ م/د من الخارطة وتحديد ما يلي بشكل أولي.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</si>
  <si>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   تنفيذ فصيل الـ م/د للاستطلاع من أجل:</t>
    </r>
  </si>
  <si>
    <r>
      <t>1.</t>
    </r>
    <r>
      <rPr>
        <sz val="7"/>
        <color theme="1"/>
        <rFont val="Arial"/>
        <family val="2"/>
      </rPr>
      <t xml:space="preserve">       </t>
    </r>
    <r>
      <rPr>
        <sz val="12"/>
        <color rgb="FF000000"/>
        <rFont val="Arial"/>
        <family val="2"/>
      </rPr>
      <t>تنفذ فصيل الـ م/د الهجوم وتقوم بالإجراءات التالية:</t>
    </r>
  </si>
  <si>
    <r>
      <t>3.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 xml:space="preserve"> الإشراف على الأقسام لضمان أن التخطيط والتحضير يجري بطريقة صحيحة وتتفق مع قصد القائد.</t>
    </r>
  </si>
  <si>
    <r>
      <t>3.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>إصدار أمر العمليات للأقسام، وتقديم ايجازات للتأكد من أنهم يفهمون قصد القائد ومفهوم عملياته.</t>
    </r>
  </si>
  <si>
    <r>
      <t>2.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 xml:space="preserve">   يستلم قائد فصيل أمر العمليات من قائد السرية ويتم القيام بما يلي:</t>
    </r>
  </si>
  <si>
    <r>
      <t>أ‌.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 xml:space="preserve">    البدء بإجراءات التخطيط من خلال إجراءات المعركة الثمانية (استلام المهمة - إصدار الأمر الإنذاري - عمل خطة أولية - بدء الحركة - الاستطلاع - إكمال الخطة - إصدار الأمر - الإشراف والمراقبة).</t>
    </r>
  </si>
  <si>
    <r>
      <t>1.</t>
    </r>
    <r>
      <rPr>
        <sz val="7"/>
        <color theme="1"/>
        <rFont val="Arial"/>
        <family val="2"/>
      </rPr>
      <t xml:space="preserve">       </t>
    </r>
    <r>
      <rPr>
        <sz val="12"/>
        <color rgb="FF000000"/>
        <rFont val="Arial"/>
        <family val="2"/>
      </rPr>
      <t xml:space="preserve">   يقوم فصيل الـ م/د بالتحضير والاستعداد للمهمة من خلال:</t>
    </r>
  </si>
  <si>
    <t>(6)   تحديد الطرق التي تتوفر فيها التخفية والتستر التي تسمح للقوات الصديقة بالاقتراب من دفاعات العدو.</t>
  </si>
  <si>
    <t>(1)    متابعة انتقالات مدفعية العدو وهاوناته والأسلحة المضادة للدبابات.</t>
  </si>
  <si>
    <t>(2)    اكتشاف نقاط المقاومة للعدو والتي مازالت تعرقل تقدم قواتنا.</t>
  </si>
  <si>
    <t>(3)    تحديد طبيعة نشاط العدو الجوي.</t>
  </si>
  <si>
    <t>(4)    اكتشاف تقدم احتياطات العدو وخطوط البدء لتوجيه الهجمات المعاكسة ومتابعتها.</t>
  </si>
  <si>
    <t>(5)    اكتشاف إعادة تجميع العدو لقواته.</t>
  </si>
  <si>
    <t>(6)    متابعة انتقالات مراكز القيادة والسيطرة ووسائله الإلكترونية.</t>
  </si>
  <si>
    <t>(7)     تحديد درجة التجهيز الهندسي لخطوط العدو الدفاعية في العمق ومدى احتلالها بالقوات.</t>
  </si>
  <si>
    <t>(8)    تحديد طبيعة الأرض وطبيعة الموانع (ألغام – أسلاك – مناطق مدمرة) في اتجاهات تقدم القوات ومدى توفر مصادر المياه.</t>
  </si>
  <si>
    <t>(9)     متابعة الموقف الكيميائي في قطاع هجوم قواتنا.</t>
  </si>
  <si>
    <t>(10)    اكتشاف ظهور أسلحة جديدة للعدو أو اتباعه أساليب قتال جديدة.</t>
  </si>
  <si>
    <t>(11)    تحديد توقيت بدء انسحاب العدو واتجاهه ومتابعته.</t>
  </si>
  <si>
    <t>ملازم/١</t>
  </si>
  <si>
    <t xml:space="preserve">صالح هادف المنصوري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</si>
</sst>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7"/>
      <color rgb="FF000000"/>
      <name val="Arial"/>
      <family val="2"/>
    </font>
    <font>
      <sz val="7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5" fillId="0" borderId="3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3" xfId="0" applyFont="1" applyBorder="1" applyAlignment="1" applyProtection="1">
      <alignment horizontal="center" vertical="center" wrapText="1" readingOrder="2"/>
      <protection locked="0"/>
    </xf>
    <xf numFmtId="0" fontId="3" fillId="0" borderId="34" xfId="0" applyFont="1" applyBorder="1" applyAlignment="1" applyProtection="1">
      <alignment horizontal="center" vertical="center" wrapText="1" readingOrder="2"/>
      <protection locked="0"/>
    </xf>
    <xf numFmtId="0" fontId="13" fillId="0" borderId="27" xfId="0" applyFont="1" applyBorder="1" applyAlignment="1">
      <alignment horizontal="right" vertical="center" wrapText="1" indent="4" readingOrder="2"/>
    </xf>
    <xf numFmtId="0" fontId="13" fillId="0" borderId="28" xfId="0" applyFont="1" applyBorder="1" applyAlignment="1">
      <alignment horizontal="right" vertical="center" wrapText="1" indent="4" readingOrder="2"/>
    </xf>
    <xf numFmtId="0" fontId="13" fillId="0" borderId="29" xfId="0" applyFont="1" applyBorder="1" applyAlignment="1">
      <alignment horizontal="right" vertical="center" wrapText="1" indent="4" readingOrder="2"/>
    </xf>
    <xf numFmtId="0" fontId="13" fillId="0" borderId="30" xfId="0" applyFont="1" applyBorder="1" applyAlignment="1">
      <alignment horizontal="right" vertical="center" wrapText="1" indent="4" readingOrder="2"/>
    </xf>
    <xf numFmtId="0" fontId="13" fillId="0" borderId="31" xfId="0" applyFont="1" applyBorder="1" applyAlignment="1">
      <alignment horizontal="right" vertical="center" wrapText="1" indent="4" readingOrder="2"/>
    </xf>
    <xf numFmtId="0" fontId="13" fillId="0" borderId="32" xfId="0" applyFont="1" applyBorder="1" applyAlignment="1">
      <alignment horizontal="right" vertical="center" wrapText="1" indent="4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33" xfId="0" applyFont="1" applyBorder="1" applyAlignment="1" applyProtection="1">
      <alignment horizontal="center" vertical="center" wrapText="1" readingOrder="2"/>
      <protection locked="0"/>
    </xf>
    <xf numFmtId="0" fontId="3" fillId="0" borderId="34" xfId="0" applyFont="1" applyBorder="1" applyAlignment="1" applyProtection="1">
      <alignment horizontal="center" vertical="center" wrapText="1" readingOrder="2"/>
      <protection locked="0"/>
    </xf>
    <xf numFmtId="0" fontId="13" fillId="0" borderId="23" xfId="0" applyFont="1" applyBorder="1" applyAlignment="1">
      <alignment horizontal="right" vertical="center" wrapText="1" indent="4" readingOrder="2"/>
    </xf>
    <xf numFmtId="0" fontId="16" fillId="0" borderId="3" xfId="0" applyFont="1" applyBorder="1" applyAlignment="1">
      <alignment horizontal="right" vertical="center" wrapText="1" indent="4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عادي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636839</xdr:colOff>
      <xdr:row>47</xdr:row>
      <xdr:rowOff>455792</xdr:rowOff>
    </xdr:from>
    <xdr:to>
      <xdr:col>9</xdr:col>
      <xdr:colOff>339523</xdr:colOff>
      <xdr:row>51</xdr:row>
      <xdr:rowOff>166506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حبر 1">
              <a:extLst>
                <a:ext uri="{FF2B5EF4-FFF2-40B4-BE49-F238E27FC236}">
                  <a16:creationId xmlns:a16="http://schemas.microsoft.com/office/drawing/2014/main" id="{D035380C-C469-3146-BD2E-E97C7E8FA332}"/>
                </a:ext>
              </a:extLst>
            </xdr14:cNvPr>
            <xdr14:cNvContentPartPr/>
          </xdr14:nvContentPartPr>
          <xdr14:nvPr macro=""/>
          <xdr14:xfrm>
            <a:off x="11457009349" y="20198520"/>
            <a:ext cx="2556720" cy="1241640"/>
          </xdr14:xfrm>
        </xdr:contentPart>
      </mc:Choice>
      <mc:Fallback>
        <xdr:pic>
          <xdr:nvPicPr>
            <xdr:cNvPr id="2" name="حبر 1">
              <a:extLst>
                <a:ext uri="{FF2B5EF4-FFF2-40B4-BE49-F238E27FC236}">
                  <a16:creationId xmlns:a16="http://schemas.microsoft.com/office/drawing/2014/main" id="{D035380C-C469-3146-BD2E-E97C7E8FA3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57000349" y="20189880"/>
              <a:ext cx="2574360" cy="1259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3:31:40.6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963 1582,'0'0,"0"0,0 0,0 0,0 0,0 0,0 0,0 0,0 0,0 0,0 0,0 0,-20 19,1 0,17-16,-34 33,-3 2,32-32,-24 46,-27 25,48-65,-19 34,-28 11,47-47,-38 38,9 10,32-48,-43 38,30-10,18-32,-34 27,36 5,0-32,0-6,38-6,-30 6,42-19,104-39,-130 49,183-78,43-48,-209 113,226-110,60-22,-274 130,260-125,14-24,-272 144,198-115,74-10,-269 127,192-119,38-28,-239 145,172-76,10-30,-58 58,-58 0,-95 65,37-34,20 27,-67 17,0-15,9 17,-17 0,34-19,-16 19,-18 0,-24 19,20-18,-34 36,-3 2,35-33,-49 26,-24 26,57-46,-76 53,0-7,82-49,-87 78,4-29,80-48,-62 57,2-29,65-32,-14 46,-13-33,32-16,-5 13,-7 4,16-17,6 13,-23-16,23 0,14 0,-8 0,-18 19,-11 20,18-33,-34 26,-3 7,32-33,-63 45,-26 26,79-64,-62 32,2-7,65-31,-53 25,7 6,49-31,-20 6,29 6,0-16,0 13,19-16,-16 0,13 19,42-19,-48 0,19 0,28 0,-47 0,19 0,9 0,-30 0,23 0,7 0,-31 0,6 0,-4 0,-18 20,-11-20,1 19,17-16,-15 13,-2 3,16-16,-14 14,15-16,24-2,-3 1,-17 0,34-20,22 1,-48 16,38-13,48-3,-82 16,87-33,-4-2,-85 31,53-25,12 13,-65 16,33-33,-6 36,-32 0,5 0,-31 0,16 4,-13 12,-42 3,48-16,-38 13,-29 23,65-33,-53 26,7-13,49-15,-59 12,30 3,31-16,-5 13,33-16,-4 0,41-38,-29 28,115-38,68-48,-179 81,184-86,72-33,-241 111,231-89,67-42,-286 127,169-81,59-7,-242 97,139-60,-31 20,-127 48,62-38,-12 29,-65 16,14-13,-26 35,0-16,-38 13,-1 3,32-15,-121 69,-64 24,161-82,-227 123,-107 36,300-144,-313 132,-122 50,420-178,-340 143,-100 54,436-193,-352 136,-64 38,428-182,-337 171,-33 10,369-177,-259 125,25-5,258-130,-210 106,9 4,211-113,-76 35,18 2,81-48,-45 38,4-10,47-32,0 7,30-13,-18 0,-24 20,42-20,-18 0,34-20,99-57,-113 65,148-110,61-32,-192 128,230-121,58-46,-276 163,302-190,13-11,-306 194,265-138,79-36,-334 175,245-159,70-17,-323 180,241-128,43-33,-57 20,-19 0,-242 157,117-64,-30 3,-96 64,39-32,-19 7,-32 31,5-25,-3 13,-18 0,-10-20,16 32,-52-5,-22-27,62 33,-124-7,-53-6,160 16,-110 6,-50-3,161 0,-188 38,-12 20,192-48,-95 76,-59 11,162-82,-130 66,-12 15,146-81,-62 66,-7-23,82-49,-68 59,43-10,32-49,-5 39,-7 10,19-51,0 25,38 25,-30-47,61 19,66 28,-113-47,129 19,42-10,-162-16,130 33,31-17,-158-16,86 32,15-15,-113-17,52 13,3 22,-65-31,53 25,-7-13,-48-16,38 33,-10-17,-31-16,5 32,8 4,-18-34,-4 48,-18 4,18-47,-15 38,-21 29,30-65,-42 53,11-7,32-48,-43 57,11-10,32-47,-24 38,-8-9,32-33,-5 26,-7-13,21-16,15 14,22-17,-32 0,43 0,85-39,-113 33,168-46,60-44,-212 81,232-85,57-16,-274 98,240-98,-4-19,-241 113,173-52,10-3,-197 66,86-36,-5-11,-95 48,37 1,-18-30,-32 33,5 12,27-25,-32 16,5 6,-24-3,5 0,-70 19,53-6,-106 51,-82-6,178-48,-201 76,-92 30,274-97,-260 77,-72 39,323-113,-222 91,-43 21,274-112,-241 91,-71 22,309-115,-235 114,-55 0,288-111,-211 108,-78 4,287-112,-168 69,-22 24,206-97,-124 58,33-19,114-48,-73 38,17-10,65-31,-34 5,8 8,30-17,-23 13,-7 3,33-16,-10 13,-4-16,17 0,43-19,-39 17,34-15,22-22,-48 33,76-45,30-26,-97 64,115-51,59-52,-162 97,169-77,50-58,-209 128,207-102,79-26,-272 128,-110 52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/>
  <dimension ref="A1:J49"/>
  <sheetViews>
    <sheetView rightToLeft="1" tabSelected="1" view="pageBreakPreview" topLeftCell="B39" zoomScale="130" zoomScaleNormal="100" zoomScaleSheetLayoutView="130" workbookViewId="0">
      <selection activeCell="G49" sqref="G49:J49"/>
    </sheetView>
  </sheetViews>
  <sheetFormatPr defaultColWidth="8.94921875" defaultRowHeight="13.5" x14ac:dyDescent="0.15"/>
  <cols>
    <col min="1" max="1" width="5.1484375" style="1" customWidth="1"/>
    <col min="2" max="2" width="12.13671875" style="1" customWidth="1"/>
    <col min="3" max="3" width="8.94921875" style="1"/>
    <col min="4" max="4" width="28.07421875" style="1" customWidth="1"/>
    <col min="5" max="7" width="9.19140625" style="1" customWidth="1"/>
    <col min="8" max="8" width="9.19140625" style="3" customWidth="1"/>
    <col min="9" max="9" width="9.19140625" style="1" customWidth="1"/>
    <col min="10" max="10" width="15.4453125" style="1" customWidth="1"/>
    <col min="11" max="16384" width="8.94921875" style="1"/>
  </cols>
  <sheetData>
    <row r="1" spans="1:10" ht="45" customHeight="1" x14ac:dyDescent="0.15">
      <c r="B1" s="84" t="s">
        <v>192</v>
      </c>
      <c r="C1" s="84"/>
      <c r="D1" s="84"/>
      <c r="E1" s="84"/>
      <c r="F1" s="84"/>
      <c r="G1" s="84"/>
      <c r="H1" s="84"/>
      <c r="I1" s="84"/>
      <c r="J1" s="84"/>
    </row>
    <row r="2" spans="1:10" ht="30" customHeight="1" x14ac:dyDescent="0.2">
      <c r="B2" s="12" t="s">
        <v>8</v>
      </c>
      <c r="C2" s="90" t="s">
        <v>27</v>
      </c>
      <c r="D2" s="90"/>
      <c r="E2" s="12" t="s">
        <v>7</v>
      </c>
      <c r="F2" s="85">
        <v>45910</v>
      </c>
      <c r="G2" s="85"/>
      <c r="H2" s="85"/>
      <c r="I2" s="85"/>
      <c r="J2" s="85"/>
    </row>
    <row r="3" spans="1:10" ht="30" customHeight="1" x14ac:dyDescent="0.2">
      <c r="B3" s="12" t="s">
        <v>9</v>
      </c>
      <c r="C3" s="90" t="s">
        <v>60</v>
      </c>
      <c r="D3" s="90"/>
      <c r="E3" s="12" t="s">
        <v>6</v>
      </c>
      <c r="F3" s="90" t="s">
        <v>116</v>
      </c>
      <c r="G3" s="90"/>
      <c r="H3" s="90"/>
      <c r="I3" s="90"/>
      <c r="J3" s="90"/>
    </row>
    <row r="4" spans="1:10" ht="30" customHeight="1" thickBot="1" x14ac:dyDescent="0.25">
      <c r="B4" s="6"/>
      <c r="C4" s="7" t="s">
        <v>214</v>
      </c>
      <c r="D4" s="7" t="s">
        <v>215</v>
      </c>
      <c r="E4" s="6"/>
      <c r="F4" s="7"/>
      <c r="G4" s="7"/>
      <c r="H4" s="8"/>
      <c r="I4" s="7"/>
      <c r="J4" s="7"/>
    </row>
    <row r="5" spans="1:10" ht="24.95" customHeight="1" x14ac:dyDescent="0.15">
      <c r="A5" s="10"/>
      <c r="B5" s="86" t="s">
        <v>0</v>
      </c>
      <c r="C5" s="87"/>
      <c r="D5" s="87"/>
      <c r="E5" s="91" t="s">
        <v>1</v>
      </c>
      <c r="F5" s="91"/>
      <c r="G5" s="91"/>
      <c r="H5" s="91"/>
      <c r="I5" s="91" t="s">
        <v>2</v>
      </c>
      <c r="J5" s="92"/>
    </row>
    <row r="6" spans="1:10" ht="24.95" customHeight="1" thickBot="1" x14ac:dyDescent="0.25">
      <c r="A6" s="10"/>
      <c r="B6" s="88"/>
      <c r="C6" s="89"/>
      <c r="D6" s="89"/>
      <c r="E6" s="11" t="s">
        <v>3</v>
      </c>
      <c r="F6" s="11" t="s">
        <v>4</v>
      </c>
      <c r="G6" s="11" t="s">
        <v>23</v>
      </c>
      <c r="H6" s="11" t="s">
        <v>24</v>
      </c>
      <c r="I6" s="93"/>
      <c r="J6" s="94"/>
    </row>
    <row r="7" spans="1:10" ht="24.95" customHeight="1" thickBot="1" x14ac:dyDescent="0.25">
      <c r="A7" s="10"/>
      <c r="B7" s="80" t="s">
        <v>21</v>
      </c>
      <c r="C7" s="81"/>
      <c r="D7" s="81"/>
      <c r="E7" s="28" t="s">
        <v>18</v>
      </c>
      <c r="F7" s="28" t="s">
        <v>19</v>
      </c>
      <c r="G7" s="28" t="s">
        <v>22</v>
      </c>
      <c r="H7" s="28" t="s">
        <v>20</v>
      </c>
      <c r="I7" s="82" t="s">
        <v>25</v>
      </c>
      <c r="J7" s="83"/>
    </row>
    <row r="8" spans="1:10" ht="30" customHeight="1" x14ac:dyDescent="0.15">
      <c r="A8" s="10"/>
      <c r="B8" s="52" t="s">
        <v>176</v>
      </c>
      <c r="C8" s="53"/>
      <c r="D8" s="53"/>
      <c r="E8" s="53"/>
      <c r="F8" s="53"/>
      <c r="G8" s="53"/>
      <c r="H8" s="53"/>
      <c r="I8" s="53"/>
      <c r="J8" s="54"/>
    </row>
    <row r="9" spans="1:10" ht="39.950000000000003" customHeight="1" x14ac:dyDescent="0.15">
      <c r="A9" s="10"/>
      <c r="B9" s="44" t="s">
        <v>193</v>
      </c>
      <c r="C9" s="45"/>
      <c r="D9" s="45"/>
      <c r="E9" s="9">
        <v>5</v>
      </c>
      <c r="F9" s="26">
        <v>4</v>
      </c>
      <c r="G9" s="30">
        <f>IFERROR(F9/E9,"")</f>
        <v>0.8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5"/>
      <c r="J9" s="56"/>
    </row>
    <row r="10" spans="1:10" ht="39.950000000000003" customHeight="1" x14ac:dyDescent="0.15">
      <c r="A10" s="10"/>
      <c r="B10" s="44" t="s">
        <v>199</v>
      </c>
      <c r="C10" s="45"/>
      <c r="D10" s="45"/>
      <c r="E10" s="32"/>
      <c r="F10" s="26"/>
      <c r="G10" s="30"/>
      <c r="H10" s="31"/>
      <c r="I10" s="55"/>
      <c r="J10" s="56"/>
    </row>
    <row r="11" spans="1:10" ht="56.25" customHeight="1" x14ac:dyDescent="0.15">
      <c r="A11" s="10"/>
      <c r="B11" s="50" t="s">
        <v>200</v>
      </c>
      <c r="C11" s="51"/>
      <c r="D11" s="51"/>
      <c r="E11" s="9">
        <v>5</v>
      </c>
      <c r="F11" s="26">
        <v>3.75</v>
      </c>
      <c r="G11" s="30">
        <f t="shared" ref="G11:G44" si="0">IFERROR(F11/E11,"")</f>
        <v>0.75</v>
      </c>
      <c r="H11" s="31" t="str">
        <f t="shared" ref="H11:H44" si="1">_xlfn.IFS(F11="أدخل العلامة","",F11="لا ينطبق","تم الإلغاء",G11&gt;=90%,"ممتاز",G11&gt;=80%,"جيد جداً",G11&gt;=70%,"جيد",G11&gt;=60%,"مقبول",G11&lt;60%,"راسب")</f>
        <v>جيد</v>
      </c>
      <c r="I11" s="55"/>
      <c r="J11" s="56"/>
    </row>
    <row r="12" spans="1:10" ht="30" customHeight="1" x14ac:dyDescent="0.15">
      <c r="A12" s="10"/>
      <c r="B12" s="50" t="s">
        <v>194</v>
      </c>
      <c r="C12" s="51"/>
      <c r="D12" s="51"/>
      <c r="E12" s="9">
        <v>5</v>
      </c>
      <c r="F12" s="26">
        <v>4</v>
      </c>
      <c r="G12" s="30">
        <f t="shared" si="0"/>
        <v>0.8</v>
      </c>
      <c r="H12" s="31" t="str">
        <f t="shared" si="1"/>
        <v>جيد جداً</v>
      </c>
      <c r="I12" s="55"/>
      <c r="J12" s="56"/>
    </row>
    <row r="13" spans="1:10" ht="30" customHeight="1" x14ac:dyDescent="0.15">
      <c r="A13" s="10"/>
      <c r="B13" s="50" t="s">
        <v>177</v>
      </c>
      <c r="C13" s="51"/>
      <c r="D13" s="51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55"/>
      <c r="J13" s="56"/>
    </row>
    <row r="14" spans="1:10" ht="30" customHeight="1" x14ac:dyDescent="0.15">
      <c r="A14" s="10"/>
      <c r="B14" s="50" t="s">
        <v>178</v>
      </c>
      <c r="C14" s="51"/>
      <c r="D14" s="51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55"/>
      <c r="J14" s="56"/>
    </row>
    <row r="15" spans="1:10" ht="39.950000000000003" customHeight="1" x14ac:dyDescent="0.15">
      <c r="A15" s="10"/>
      <c r="B15" s="50" t="s">
        <v>179</v>
      </c>
      <c r="C15" s="51"/>
      <c r="D15" s="51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55"/>
      <c r="J15" s="56"/>
    </row>
    <row r="16" spans="1:10" ht="39.950000000000003" customHeight="1" thickBot="1" x14ac:dyDescent="0.2">
      <c r="A16" s="10"/>
      <c r="B16" s="46" t="s">
        <v>198</v>
      </c>
      <c r="C16" s="47"/>
      <c r="D16" s="47"/>
      <c r="E16" s="33">
        <v>5</v>
      </c>
      <c r="F16" s="27">
        <v>3.75</v>
      </c>
      <c r="G16" s="34">
        <f t="shared" si="0"/>
        <v>0.75</v>
      </c>
      <c r="H16" s="35" t="str">
        <f t="shared" si="1"/>
        <v>جيد</v>
      </c>
      <c r="I16" s="61"/>
      <c r="J16" s="62"/>
    </row>
    <row r="17" spans="1:10" ht="30" customHeight="1" x14ac:dyDescent="0.15">
      <c r="A17" s="10"/>
      <c r="B17" s="52" t="s">
        <v>180</v>
      </c>
      <c r="C17" s="53"/>
      <c r="D17" s="53"/>
      <c r="E17" s="53"/>
      <c r="F17" s="53"/>
      <c r="G17" s="53"/>
      <c r="H17" s="53"/>
      <c r="I17" s="53"/>
      <c r="J17" s="54"/>
    </row>
    <row r="18" spans="1:10" ht="30" customHeight="1" x14ac:dyDescent="0.15">
      <c r="A18" s="10"/>
      <c r="B18" s="48" t="s">
        <v>201</v>
      </c>
      <c r="C18" s="49"/>
      <c r="D18" s="49"/>
      <c r="E18" s="9"/>
      <c r="F18" s="26"/>
      <c r="G18" s="30"/>
      <c r="H18" s="31"/>
      <c r="I18" s="55"/>
      <c r="J18" s="56"/>
    </row>
    <row r="19" spans="1:10" ht="30" customHeight="1" x14ac:dyDescent="0.15">
      <c r="A19" s="10"/>
      <c r="B19" s="50" t="s">
        <v>184</v>
      </c>
      <c r="C19" s="51"/>
      <c r="D19" s="51"/>
      <c r="E19" s="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55"/>
      <c r="J19" s="56"/>
    </row>
    <row r="20" spans="1:10" ht="30" customHeight="1" x14ac:dyDescent="0.15">
      <c r="A20" s="10"/>
      <c r="B20" s="50" t="s">
        <v>195</v>
      </c>
      <c r="C20" s="51"/>
      <c r="D20" s="51"/>
      <c r="E20" s="32"/>
      <c r="F20" s="26"/>
      <c r="G20" s="30"/>
      <c r="H20" s="31"/>
      <c r="I20" s="55"/>
      <c r="J20" s="56"/>
    </row>
    <row r="21" spans="1:10" ht="39.950000000000003" customHeight="1" x14ac:dyDescent="0.15">
      <c r="A21" s="10"/>
      <c r="B21" s="59" t="s">
        <v>188</v>
      </c>
      <c r="C21" s="60"/>
      <c r="D21" s="60"/>
      <c r="E21" s="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55"/>
      <c r="J21" s="56"/>
    </row>
    <row r="22" spans="1:10" ht="39.950000000000003" customHeight="1" x14ac:dyDescent="0.15">
      <c r="A22" s="10"/>
      <c r="B22" s="59" t="s">
        <v>189</v>
      </c>
      <c r="C22" s="60"/>
      <c r="D22" s="60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55"/>
      <c r="J22" s="56"/>
    </row>
    <row r="23" spans="1:10" ht="30" customHeight="1" x14ac:dyDescent="0.15">
      <c r="A23" s="10"/>
      <c r="B23" s="59" t="s">
        <v>190</v>
      </c>
      <c r="C23" s="60"/>
      <c r="D23" s="60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55"/>
      <c r="J23" s="56"/>
    </row>
    <row r="24" spans="1:10" ht="30" customHeight="1" x14ac:dyDescent="0.15">
      <c r="A24" s="10"/>
      <c r="B24" s="59" t="s">
        <v>191</v>
      </c>
      <c r="C24" s="60"/>
      <c r="D24" s="60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55"/>
      <c r="J24" s="56"/>
    </row>
    <row r="25" spans="1:10" ht="30" customHeight="1" x14ac:dyDescent="0.15">
      <c r="A25" s="10"/>
      <c r="B25" s="59" t="s">
        <v>187</v>
      </c>
      <c r="C25" s="60"/>
      <c r="D25" s="60"/>
      <c r="E25" s="9">
        <v>5</v>
      </c>
      <c r="F25" s="26">
        <v>3.75</v>
      </c>
      <c r="G25" s="30">
        <f t="shared" si="0"/>
        <v>0.75</v>
      </c>
      <c r="H25" s="31" t="str">
        <f t="shared" si="1"/>
        <v>جيد</v>
      </c>
      <c r="I25" s="55"/>
      <c r="J25" s="56"/>
    </row>
    <row r="26" spans="1:10" ht="39.950000000000003" customHeight="1" x14ac:dyDescent="0.15">
      <c r="A26" s="10"/>
      <c r="B26" s="59" t="s">
        <v>202</v>
      </c>
      <c r="C26" s="60"/>
      <c r="D26" s="60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55"/>
      <c r="J26" s="56"/>
    </row>
    <row r="27" spans="1:10" ht="30" customHeight="1" x14ac:dyDescent="0.15">
      <c r="A27" s="10"/>
      <c r="B27" s="44" t="s">
        <v>185</v>
      </c>
      <c r="C27" s="45"/>
      <c r="D27" s="45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55"/>
      <c r="J27" s="56"/>
    </row>
    <row r="28" spans="1:10" ht="39.950000000000003" customHeight="1" x14ac:dyDescent="0.15">
      <c r="A28" s="10"/>
      <c r="B28" s="44" t="s">
        <v>197</v>
      </c>
      <c r="C28" s="45"/>
      <c r="D28" s="45"/>
      <c r="E28" s="9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55"/>
      <c r="J28" s="56"/>
    </row>
    <row r="29" spans="1:10" ht="30" customHeight="1" thickBot="1" x14ac:dyDescent="0.2">
      <c r="A29" s="10"/>
      <c r="B29" s="46" t="s">
        <v>186</v>
      </c>
      <c r="C29" s="47"/>
      <c r="D29" s="47"/>
      <c r="E29" s="33">
        <v>5</v>
      </c>
      <c r="F29" s="27">
        <v>3.5</v>
      </c>
      <c r="G29" s="34">
        <f t="shared" si="0"/>
        <v>0.7</v>
      </c>
      <c r="H29" s="35" t="str">
        <f t="shared" si="1"/>
        <v>جيد</v>
      </c>
      <c r="I29" s="61"/>
      <c r="J29" s="62"/>
    </row>
    <row r="30" spans="1:10" ht="30" customHeight="1" x14ac:dyDescent="0.15">
      <c r="A30" s="10"/>
      <c r="B30" s="52" t="s">
        <v>181</v>
      </c>
      <c r="C30" s="53"/>
      <c r="D30" s="53"/>
      <c r="E30" s="53"/>
      <c r="F30" s="53"/>
      <c r="G30" s="53"/>
      <c r="H30" s="53"/>
      <c r="I30" s="53"/>
      <c r="J30" s="54"/>
    </row>
    <row r="31" spans="1:10" ht="30" customHeight="1" x14ac:dyDescent="0.15">
      <c r="A31" s="10"/>
      <c r="B31" s="48" t="s">
        <v>196</v>
      </c>
      <c r="C31" s="49"/>
      <c r="D31" s="49"/>
      <c r="E31" s="9"/>
      <c r="F31" s="26"/>
      <c r="G31" s="30"/>
      <c r="H31" s="31"/>
      <c r="I31" s="55"/>
      <c r="J31" s="56"/>
    </row>
    <row r="32" spans="1:10" ht="39.950000000000003" customHeight="1" x14ac:dyDescent="0.15">
      <c r="A32" s="10"/>
      <c r="B32" s="50" t="s">
        <v>182</v>
      </c>
      <c r="C32" s="51"/>
      <c r="D32" s="51"/>
      <c r="E32" s="9">
        <v>5</v>
      </c>
      <c r="F32" s="26">
        <v>3.75</v>
      </c>
      <c r="G32" s="30">
        <f t="shared" si="0"/>
        <v>0.75</v>
      </c>
      <c r="H32" s="31" t="str">
        <f t="shared" si="1"/>
        <v>جيد</v>
      </c>
      <c r="I32" s="55"/>
      <c r="J32" s="56"/>
    </row>
    <row r="33" spans="1:10" ht="30" customHeight="1" x14ac:dyDescent="0.15">
      <c r="A33" s="10"/>
      <c r="B33" s="50" t="s">
        <v>183</v>
      </c>
      <c r="C33" s="50"/>
      <c r="D33" s="50"/>
      <c r="E33" s="32"/>
      <c r="F33" s="26"/>
      <c r="G33" s="30"/>
      <c r="H33" s="31"/>
      <c r="I33" s="57"/>
      <c r="J33" s="58"/>
    </row>
    <row r="34" spans="1:10" ht="30" customHeight="1" x14ac:dyDescent="0.15">
      <c r="A34" s="10"/>
      <c r="B34" s="38" t="s">
        <v>203</v>
      </c>
      <c r="C34" s="39"/>
      <c r="D34" s="40"/>
      <c r="E34" s="9">
        <v>5</v>
      </c>
      <c r="F34" s="26">
        <v>3.5</v>
      </c>
      <c r="G34" s="30">
        <f t="shared" si="0"/>
        <v>0.7</v>
      </c>
      <c r="H34" s="31" t="str">
        <f t="shared" si="1"/>
        <v>جيد</v>
      </c>
      <c r="I34" s="57"/>
      <c r="J34" s="58"/>
    </row>
    <row r="35" spans="1:10" ht="30" customHeight="1" x14ac:dyDescent="0.15">
      <c r="A35" s="10"/>
      <c r="B35" s="38" t="s">
        <v>204</v>
      </c>
      <c r="C35" s="39"/>
      <c r="D35" s="40"/>
      <c r="E35" s="9">
        <v>5</v>
      </c>
      <c r="F35" s="26">
        <v>3.5</v>
      </c>
      <c r="G35" s="30">
        <f t="shared" si="0"/>
        <v>0.7</v>
      </c>
      <c r="H35" s="31" t="str">
        <f t="shared" si="1"/>
        <v>جيد</v>
      </c>
      <c r="I35" s="57"/>
      <c r="J35" s="58"/>
    </row>
    <row r="36" spans="1:10" ht="30" customHeight="1" x14ac:dyDescent="0.15">
      <c r="A36" s="10"/>
      <c r="B36" s="38" t="s">
        <v>205</v>
      </c>
      <c r="C36" s="39"/>
      <c r="D36" s="40"/>
      <c r="E36" s="9">
        <v>5</v>
      </c>
      <c r="F36" s="26">
        <v>3.5</v>
      </c>
      <c r="G36" s="30">
        <f t="shared" si="0"/>
        <v>0.7</v>
      </c>
      <c r="H36" s="31" t="str">
        <f t="shared" si="1"/>
        <v>جيد</v>
      </c>
      <c r="I36" s="57"/>
      <c r="J36" s="58"/>
    </row>
    <row r="37" spans="1:10" ht="30" customHeight="1" x14ac:dyDescent="0.15">
      <c r="A37" s="10"/>
      <c r="B37" s="38" t="s">
        <v>206</v>
      </c>
      <c r="C37" s="39"/>
      <c r="D37" s="40"/>
      <c r="E37" s="9">
        <v>5</v>
      </c>
      <c r="F37" s="26">
        <v>3.5</v>
      </c>
      <c r="G37" s="30">
        <f t="shared" si="0"/>
        <v>0.7</v>
      </c>
      <c r="H37" s="31" t="str">
        <f t="shared" si="1"/>
        <v>جيد</v>
      </c>
      <c r="I37" s="55"/>
      <c r="J37" s="56"/>
    </row>
    <row r="38" spans="1:10" ht="30" customHeight="1" x14ac:dyDescent="0.15">
      <c r="A38" s="10"/>
      <c r="B38" s="38" t="s">
        <v>207</v>
      </c>
      <c r="C38" s="39"/>
      <c r="D38" s="40"/>
      <c r="E38" s="9">
        <v>5</v>
      </c>
      <c r="F38" s="26">
        <v>3.5</v>
      </c>
      <c r="G38" s="30">
        <f t="shared" si="0"/>
        <v>0.7</v>
      </c>
      <c r="H38" s="31" t="str">
        <f t="shared" si="1"/>
        <v>جيد</v>
      </c>
      <c r="I38" s="36"/>
      <c r="J38" s="37"/>
    </row>
    <row r="39" spans="1:10" ht="30" customHeight="1" x14ac:dyDescent="0.15">
      <c r="A39" s="10"/>
      <c r="B39" s="38" t="s">
        <v>208</v>
      </c>
      <c r="C39" s="39"/>
      <c r="D39" s="40"/>
      <c r="E39" s="9">
        <v>5</v>
      </c>
      <c r="F39" s="26">
        <v>3.75</v>
      </c>
      <c r="G39" s="30">
        <f t="shared" si="0"/>
        <v>0.75</v>
      </c>
      <c r="H39" s="31" t="str">
        <f t="shared" si="1"/>
        <v>جيد</v>
      </c>
      <c r="I39" s="55"/>
      <c r="J39" s="56"/>
    </row>
    <row r="40" spans="1:10" ht="39.950000000000003" customHeight="1" x14ac:dyDescent="0.15">
      <c r="A40" s="10"/>
      <c r="B40" s="38" t="s">
        <v>209</v>
      </c>
      <c r="C40" s="39"/>
      <c r="D40" s="40"/>
      <c r="E40" s="9">
        <v>5</v>
      </c>
      <c r="F40" s="26">
        <v>3.5</v>
      </c>
      <c r="G40" s="30">
        <f t="shared" si="0"/>
        <v>0.7</v>
      </c>
      <c r="H40" s="31" t="str">
        <f t="shared" si="1"/>
        <v>جيد</v>
      </c>
      <c r="I40" s="55"/>
      <c r="J40" s="56"/>
    </row>
    <row r="41" spans="1:10" ht="39.950000000000003" customHeight="1" x14ac:dyDescent="0.15">
      <c r="A41" s="10"/>
      <c r="B41" s="38" t="s">
        <v>210</v>
      </c>
      <c r="C41" s="39"/>
      <c r="D41" s="40"/>
      <c r="E41" s="9">
        <v>5</v>
      </c>
      <c r="F41" s="26">
        <v>3.75</v>
      </c>
      <c r="G41" s="30">
        <f t="shared" si="0"/>
        <v>0.75</v>
      </c>
      <c r="H41" s="31" t="str">
        <f t="shared" si="1"/>
        <v>جيد</v>
      </c>
      <c r="I41" s="55"/>
      <c r="J41" s="56"/>
    </row>
    <row r="42" spans="1:10" ht="30" customHeight="1" x14ac:dyDescent="0.15">
      <c r="A42" s="10"/>
      <c r="B42" s="38" t="s">
        <v>211</v>
      </c>
      <c r="C42" s="39"/>
      <c r="D42" s="40"/>
      <c r="E42" s="9">
        <v>5</v>
      </c>
      <c r="F42" s="26">
        <v>3.5</v>
      </c>
      <c r="G42" s="30">
        <f t="shared" si="0"/>
        <v>0.7</v>
      </c>
      <c r="H42" s="31" t="str">
        <f t="shared" si="1"/>
        <v>جيد</v>
      </c>
      <c r="I42" s="55"/>
      <c r="J42" s="56"/>
    </row>
    <row r="43" spans="1:10" ht="39.950000000000003" customHeight="1" x14ac:dyDescent="0.15">
      <c r="A43" s="10"/>
      <c r="B43" s="38" t="s">
        <v>212</v>
      </c>
      <c r="C43" s="39"/>
      <c r="D43" s="40"/>
      <c r="E43" s="9">
        <v>5</v>
      </c>
      <c r="F43" s="26">
        <v>3.5</v>
      </c>
      <c r="G43" s="30">
        <f t="shared" si="0"/>
        <v>0.7</v>
      </c>
      <c r="H43" s="31" t="str">
        <f t="shared" si="1"/>
        <v>جيد</v>
      </c>
      <c r="I43" s="55"/>
      <c r="J43" s="56"/>
    </row>
    <row r="44" spans="1:10" ht="30" customHeight="1" thickBot="1" x14ac:dyDescent="0.2">
      <c r="A44" s="10"/>
      <c r="B44" s="41" t="s">
        <v>213</v>
      </c>
      <c r="C44" s="42"/>
      <c r="D44" s="43"/>
      <c r="E44" s="33">
        <v>5</v>
      </c>
      <c r="F44" s="27">
        <v>3.5</v>
      </c>
      <c r="G44" s="34">
        <f t="shared" si="0"/>
        <v>0.7</v>
      </c>
      <c r="H44" s="35" t="str">
        <f t="shared" si="1"/>
        <v>جيد</v>
      </c>
      <c r="I44" s="61"/>
      <c r="J44" s="62"/>
    </row>
    <row r="45" spans="1:10" ht="30" customHeight="1" thickBot="1" x14ac:dyDescent="0.2">
      <c r="A45" s="4"/>
      <c r="B45" s="63" t="s">
        <v>5</v>
      </c>
      <c r="C45" s="64"/>
      <c r="D45" s="64"/>
      <c r="E45" s="29">
        <f>SUM(E8:E44)</f>
        <v>145</v>
      </c>
      <c r="F45" s="29">
        <f>SUM(F8:F44)</f>
        <v>106</v>
      </c>
      <c r="G45" s="75"/>
      <c r="H45" s="76"/>
      <c r="I45" s="76"/>
      <c r="J45" s="77"/>
    </row>
    <row r="46" spans="1:10" ht="30" customHeight="1" thickBot="1" x14ac:dyDescent="0.2">
      <c r="A46" s="4"/>
      <c r="B46" s="65" t="s">
        <v>54</v>
      </c>
      <c r="C46" s="66"/>
      <c r="D46" s="66"/>
      <c r="E46" s="78">
        <f>F45/E45/100*100</f>
        <v>0.73103448275862071</v>
      </c>
      <c r="F46" s="78"/>
      <c r="G46" s="78"/>
      <c r="H46" s="78"/>
      <c r="I46" s="78"/>
      <c r="J46" s="79"/>
    </row>
    <row r="47" spans="1:10" ht="30" customHeight="1" thickBot="1" x14ac:dyDescent="0.2">
      <c r="A47" s="4"/>
      <c r="B47" s="65" t="s">
        <v>55</v>
      </c>
      <c r="C47" s="66"/>
      <c r="D47" s="66"/>
      <c r="E47" s="71" t="str">
        <f>_xlfn.IFS(E46&gt;=90%,"ممتاز",E46&gt;=80%,"جيد جداً",E46&gt;=70%,"جيد",E46&gt;=60%,"مقبول",E46&lt;60%,"راسب")</f>
        <v>جيد</v>
      </c>
      <c r="F47" s="71"/>
      <c r="G47" s="71"/>
      <c r="H47" s="71"/>
      <c r="I47" s="71"/>
      <c r="J47" s="72"/>
    </row>
    <row r="48" spans="1:10" ht="42" customHeight="1" x14ac:dyDescent="0.15">
      <c r="B48" s="67" t="s">
        <v>175</v>
      </c>
      <c r="C48" s="67"/>
      <c r="D48" s="67"/>
      <c r="E48" s="73" t="s">
        <v>52</v>
      </c>
      <c r="F48" s="73"/>
      <c r="G48" s="69" t="s">
        <v>116</v>
      </c>
      <c r="H48" s="69"/>
      <c r="I48" s="69"/>
      <c r="J48" s="69"/>
    </row>
    <row r="49" spans="1:10" ht="51" customHeight="1" x14ac:dyDescent="0.15">
      <c r="A49" s="5"/>
      <c r="B49" s="68"/>
      <c r="C49" s="68"/>
      <c r="D49" s="68"/>
      <c r="E49" s="74" t="s">
        <v>53</v>
      </c>
      <c r="F49" s="74"/>
      <c r="G49" s="70"/>
      <c r="H49" s="70"/>
      <c r="I49" s="70"/>
      <c r="J49" s="7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1">
    <mergeCell ref="B34:D34"/>
    <mergeCell ref="B39:D39"/>
    <mergeCell ref="B41:D41"/>
    <mergeCell ref="B1:J1"/>
    <mergeCell ref="F2:J2"/>
    <mergeCell ref="B5:D6"/>
    <mergeCell ref="C2:D2"/>
    <mergeCell ref="C3:D3"/>
    <mergeCell ref="F3:J3"/>
    <mergeCell ref="E5:H5"/>
    <mergeCell ref="I5:J6"/>
    <mergeCell ref="I39:J39"/>
    <mergeCell ref="I40:J40"/>
    <mergeCell ref="B38:D38"/>
    <mergeCell ref="I27:J27"/>
    <mergeCell ref="I28:J28"/>
    <mergeCell ref="B7:D7"/>
    <mergeCell ref="I32:J32"/>
    <mergeCell ref="I33:J33"/>
    <mergeCell ref="I26:J26"/>
    <mergeCell ref="I31:J31"/>
    <mergeCell ref="I7:J7"/>
    <mergeCell ref="I10:J10"/>
    <mergeCell ref="I18:J18"/>
    <mergeCell ref="I19:J19"/>
    <mergeCell ref="I20:J20"/>
    <mergeCell ref="I21:J21"/>
    <mergeCell ref="I22:J22"/>
    <mergeCell ref="I23:J23"/>
    <mergeCell ref="I24:J24"/>
    <mergeCell ref="B48:D49"/>
    <mergeCell ref="G48:J48"/>
    <mergeCell ref="G49:J49"/>
    <mergeCell ref="E47:J47"/>
    <mergeCell ref="I41:J41"/>
    <mergeCell ref="I42:J42"/>
    <mergeCell ref="I43:J43"/>
    <mergeCell ref="I44:J44"/>
    <mergeCell ref="E48:F48"/>
    <mergeCell ref="E49:F49"/>
    <mergeCell ref="G45:J45"/>
    <mergeCell ref="E46:J46"/>
    <mergeCell ref="B45:D45"/>
    <mergeCell ref="B46:D46"/>
    <mergeCell ref="B47:D47"/>
    <mergeCell ref="I11:J11"/>
    <mergeCell ref="I12:J12"/>
    <mergeCell ref="I13:J13"/>
    <mergeCell ref="I14:J14"/>
    <mergeCell ref="I15:J15"/>
    <mergeCell ref="I16:J16"/>
    <mergeCell ref="I25:J25"/>
    <mergeCell ref="B33:D33"/>
    <mergeCell ref="I36:J36"/>
    <mergeCell ref="B36:D36"/>
    <mergeCell ref="I35:J35"/>
    <mergeCell ref="B35:D35"/>
    <mergeCell ref="I37:J37"/>
    <mergeCell ref="I34:J34"/>
    <mergeCell ref="B9:D9"/>
    <mergeCell ref="B10:D10"/>
    <mergeCell ref="B11:D11"/>
    <mergeCell ref="B12:D12"/>
    <mergeCell ref="B13:D13"/>
    <mergeCell ref="B14:D14"/>
    <mergeCell ref="B15:D15"/>
    <mergeCell ref="B20:D20"/>
    <mergeCell ref="B21:D21"/>
    <mergeCell ref="B22:D22"/>
    <mergeCell ref="B23:D23"/>
    <mergeCell ref="B24:D24"/>
    <mergeCell ref="B25:D25"/>
    <mergeCell ref="B26:D26"/>
    <mergeCell ref="B27:D27"/>
    <mergeCell ref="B8:J8"/>
    <mergeCell ref="I9:J9"/>
    <mergeCell ref="B16:D16"/>
    <mergeCell ref="B18:D18"/>
    <mergeCell ref="B19:D19"/>
    <mergeCell ref="B17:J17"/>
    <mergeCell ref="B28:D28"/>
    <mergeCell ref="B29:D29"/>
    <mergeCell ref="B31:D31"/>
    <mergeCell ref="B32:D32"/>
    <mergeCell ref="B30:J30"/>
    <mergeCell ref="I29:J29"/>
    <mergeCell ref="B37:D37"/>
    <mergeCell ref="B40:D40"/>
    <mergeCell ref="B42:D42"/>
    <mergeCell ref="B43:D43"/>
    <mergeCell ref="B44:D44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7">
    <cfRule type="expression" dxfId="20" priority="57">
      <formula>$E47="راسب"</formula>
    </cfRule>
  </conditionalFormatting>
  <conditionalFormatting sqref="E47:J47">
    <cfRule type="expression" dxfId="19" priority="58">
      <formula>$E47="مقبول"</formula>
    </cfRule>
    <cfRule type="expression" dxfId="18" priority="59">
      <formula>$E47="جيد"</formula>
    </cfRule>
    <cfRule type="expression" dxfId="17" priority="60">
      <formula>$E47="جيد جداً"</formula>
    </cfRule>
    <cfRule type="expression" dxfId="16" priority="61">
      <formula>$E47="ممتاز"</formula>
    </cfRule>
  </conditionalFormatting>
  <conditionalFormatting sqref="F9:F16">
    <cfRule type="containsText" dxfId="15" priority="4" operator="containsText" text="أدخل العلامة">
      <formula>NOT(ISERROR(SEARCH("أدخل العلامة",F9)))</formula>
    </cfRule>
  </conditionalFormatting>
  <conditionalFormatting sqref="F18:F29 H18:H29 F31:F44 H31:H44">
    <cfRule type="containsText" dxfId="14" priority="38" operator="containsText" text="أدخل العلامة">
      <formula>NOT(ISERROR(SEARCH("أدخل العلامة",F18)))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48:J48">
    <cfRule type="containsText" dxfId="11" priority="15" operator="containsText" text="أدخل اسم المحكم">
      <formula>NOT(ISERROR(SEARCH("أدخل اسم المحكم",G48)))</formula>
    </cfRule>
  </conditionalFormatting>
  <conditionalFormatting sqref="H9:H16">
    <cfRule type="containsText" dxfId="10" priority="5" operator="containsText" text="أدخل العلامة">
      <formula>NOT(ISERROR(SEARCH("أدخل العلامة",H9)))</formula>
    </cfRule>
    <cfRule type="containsText" dxfId="9" priority="6" operator="containsText" text="ممتاز">
      <formula>NOT(ISERROR(SEARCH("ممتاز",H9)))</formula>
    </cfRule>
    <cfRule type="containsText" dxfId="8" priority="7" operator="containsText" text="جيد جداً">
      <formula>NOT(ISERROR(SEARCH("جيد جداً",H9)))</formula>
    </cfRule>
    <cfRule type="containsText" dxfId="7" priority="8" operator="containsText" text="جيد">
      <formula>NOT(ISERROR(SEARCH("جيد",H9)))</formula>
    </cfRule>
    <cfRule type="containsText" dxfId="6" priority="9" operator="containsText" text="مقبول">
      <formula>NOT(ISERROR(SEARCH("مقبول",H9)))</formula>
    </cfRule>
    <cfRule type="containsText" dxfId="5" priority="10" operator="containsText" text="راسب">
      <formula>NOT(ISERROR(SEARCH("راسب",H9)))</formula>
    </cfRule>
  </conditionalFormatting>
  <conditionalFormatting sqref="H18:H29 H31:H44">
    <cfRule type="containsText" dxfId="4" priority="39" operator="containsText" text="ممتاز">
      <formula>NOT(ISERROR(SEARCH("ممتاز",H18)))</formula>
    </cfRule>
    <cfRule type="containsText" dxfId="3" priority="40" operator="containsText" text="جيد جداً">
      <formula>NOT(ISERROR(SEARCH("جيد جداً",H18)))</formula>
    </cfRule>
    <cfRule type="containsText" dxfId="2" priority="41" operator="containsText" text="جيد">
      <formula>NOT(ISERROR(SEARCH("جيد",H18)))</formula>
    </cfRule>
    <cfRule type="containsText" dxfId="1" priority="42" operator="containsText" text="مقبول">
      <formula>NOT(ISERROR(SEARCH("مقبول",H18)))</formula>
    </cfRule>
    <cfRule type="containsText" dxfId="0" priority="43" operator="containsText" text="راسب">
      <formula>NOT(ISERROR(SEARCH("راسب",H18)))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29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F32 F19 F9 F11:F16 F21:F29 F34:F44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G48:J48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15"/>
  <cols>
    <col min="1" max="1" width="42.5390625" style="1" customWidth="1"/>
    <col min="2" max="2" width="24.88671875" style="1" customWidth="1"/>
    <col min="3" max="3" width="59.82421875" style="1" customWidth="1"/>
    <col min="4" max="9" width="8.94921875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9" t="s">
        <v>62</v>
      </c>
    </row>
    <row r="3" spans="1:3" ht="20.100000000000001" customHeight="1" thickBot="1" x14ac:dyDescent="0.25">
      <c r="A3" s="2" t="s">
        <v>26</v>
      </c>
      <c r="C3" s="19" t="s">
        <v>63</v>
      </c>
    </row>
    <row r="4" spans="1:3" ht="20.100000000000001" customHeight="1" thickBot="1" x14ac:dyDescent="0.25">
      <c r="A4" s="2" t="s">
        <v>36</v>
      </c>
      <c r="C4" s="19" t="s">
        <v>64</v>
      </c>
    </row>
    <row r="5" spans="1:3" ht="20.100000000000001" customHeight="1" thickBot="1" x14ac:dyDescent="0.25">
      <c r="A5" s="2" t="s">
        <v>37</v>
      </c>
      <c r="C5" s="19" t="s">
        <v>65</v>
      </c>
    </row>
    <row r="6" spans="1:3" ht="20.100000000000001" customHeight="1" thickBot="1" x14ac:dyDescent="0.25">
      <c r="A6" s="2" t="s">
        <v>38</v>
      </c>
      <c r="C6" s="19" t="s">
        <v>66</v>
      </c>
    </row>
    <row r="7" spans="1:3" ht="20.100000000000001" customHeight="1" thickBot="1" x14ac:dyDescent="0.25">
      <c r="A7" s="2" t="s">
        <v>39</v>
      </c>
      <c r="C7" s="19" t="s">
        <v>67</v>
      </c>
    </row>
    <row r="8" spans="1:3" ht="20.100000000000001" customHeight="1" thickBot="1" x14ac:dyDescent="0.25">
      <c r="A8" s="2" t="s">
        <v>40</v>
      </c>
      <c r="C8" s="19" t="s">
        <v>68</v>
      </c>
    </row>
    <row r="9" spans="1:3" ht="20.100000000000001" customHeight="1" thickBot="1" x14ac:dyDescent="0.25">
      <c r="A9" s="2" t="s">
        <v>41</v>
      </c>
      <c r="C9" s="19" t="s">
        <v>69</v>
      </c>
    </row>
    <row r="10" spans="1:3" ht="20.100000000000001" customHeight="1" thickBot="1" x14ac:dyDescent="0.25">
      <c r="A10" s="2" t="s">
        <v>42</v>
      </c>
      <c r="C10" s="19" t="s">
        <v>70</v>
      </c>
    </row>
    <row r="11" spans="1:3" ht="20.100000000000001" customHeight="1" thickBot="1" x14ac:dyDescent="0.25">
      <c r="A11" s="2" t="s">
        <v>43</v>
      </c>
      <c r="C11" s="19" t="s">
        <v>71</v>
      </c>
    </row>
    <row r="12" spans="1:3" ht="20.100000000000001" customHeight="1" thickBot="1" x14ac:dyDescent="0.25">
      <c r="A12" s="2" t="s">
        <v>44</v>
      </c>
      <c r="C12" s="19" t="s">
        <v>72</v>
      </c>
    </row>
    <row r="13" spans="1:3" ht="20.100000000000001" customHeight="1" thickBot="1" x14ac:dyDescent="0.25">
      <c r="A13" s="2" t="s">
        <v>45</v>
      </c>
      <c r="C13" s="19" t="s">
        <v>73</v>
      </c>
    </row>
    <row r="14" spans="1:3" ht="20.100000000000001" customHeight="1" thickBot="1" x14ac:dyDescent="0.25">
      <c r="A14" s="2" t="s">
        <v>46</v>
      </c>
      <c r="C14" s="19" t="s">
        <v>74</v>
      </c>
    </row>
    <row r="15" spans="1:3" ht="20.100000000000001" customHeight="1" thickBot="1" x14ac:dyDescent="0.25">
      <c r="A15" s="2" t="s">
        <v>47</v>
      </c>
      <c r="C15" s="19" t="s">
        <v>75</v>
      </c>
    </row>
    <row r="16" spans="1:3" ht="20.100000000000001" customHeight="1" thickBot="1" x14ac:dyDescent="0.25">
      <c r="A16" s="2" t="s">
        <v>10</v>
      </c>
      <c r="C16" s="19" t="s">
        <v>76</v>
      </c>
    </row>
    <row r="17" spans="1:3" ht="20.100000000000001" customHeight="1" thickBot="1" x14ac:dyDescent="0.25">
      <c r="A17" s="2" t="s">
        <v>27</v>
      </c>
      <c r="C17" s="19" t="s">
        <v>77</v>
      </c>
    </row>
    <row r="18" spans="1:3" ht="20.100000000000001" customHeight="1" thickBot="1" x14ac:dyDescent="0.25">
      <c r="A18" s="2" t="s">
        <v>48</v>
      </c>
      <c r="C18" s="19" t="s">
        <v>78</v>
      </c>
    </row>
    <row r="19" spans="1:3" ht="20.100000000000001" customHeight="1" thickBot="1" x14ac:dyDescent="0.25">
      <c r="A19" s="2" t="s">
        <v>49</v>
      </c>
      <c r="C19" s="19" t="s">
        <v>79</v>
      </c>
    </row>
    <row r="20" spans="1:3" ht="20.100000000000001" customHeight="1" thickBot="1" x14ac:dyDescent="0.25">
      <c r="A20" s="2" t="s">
        <v>50</v>
      </c>
      <c r="C20" s="19" t="s">
        <v>80</v>
      </c>
    </row>
    <row r="21" spans="1:3" ht="20.100000000000001" customHeight="1" thickBot="1" x14ac:dyDescent="0.25">
      <c r="A21" s="2" t="s">
        <v>51</v>
      </c>
      <c r="C21" s="19" t="s">
        <v>81</v>
      </c>
    </row>
    <row r="22" spans="1:3" ht="20.100000000000001" customHeight="1" thickBot="1" x14ac:dyDescent="0.25">
      <c r="A22" s="2" t="s">
        <v>11</v>
      </c>
      <c r="C22" s="19" t="s">
        <v>82</v>
      </c>
    </row>
    <row r="23" spans="1:3" ht="20.100000000000001" customHeight="1" thickBot="1" x14ac:dyDescent="0.25">
      <c r="A23" s="2" t="s">
        <v>12</v>
      </c>
      <c r="C23" s="19" t="s">
        <v>83</v>
      </c>
    </row>
    <row r="24" spans="1:3" ht="20.100000000000001" customHeight="1" thickBot="1" x14ac:dyDescent="0.25">
      <c r="A24" s="2" t="s">
        <v>15</v>
      </c>
      <c r="C24" s="19" t="s">
        <v>84</v>
      </c>
    </row>
    <row r="25" spans="1:3" ht="20.100000000000001" customHeight="1" thickBot="1" x14ac:dyDescent="0.25">
      <c r="A25" s="2" t="s">
        <v>28</v>
      </c>
      <c r="C25" s="19" t="s">
        <v>85</v>
      </c>
    </row>
    <row r="26" spans="1:3" ht="20.100000000000001" customHeight="1" thickBot="1" x14ac:dyDescent="0.25">
      <c r="A26" s="2" t="s">
        <v>29</v>
      </c>
      <c r="C26" s="19" t="s">
        <v>86</v>
      </c>
    </row>
    <row r="27" spans="1:3" ht="20.100000000000001" customHeight="1" thickBot="1" x14ac:dyDescent="0.25">
      <c r="A27" s="2" t="s">
        <v>13</v>
      </c>
      <c r="C27" s="19" t="s">
        <v>87</v>
      </c>
    </row>
    <row r="28" spans="1:3" ht="20.100000000000001" customHeight="1" thickBot="1" x14ac:dyDescent="0.25">
      <c r="A28" s="2" t="s">
        <v>30</v>
      </c>
      <c r="C28" s="19" t="s">
        <v>88</v>
      </c>
    </row>
    <row r="29" spans="1:3" ht="20.100000000000001" customHeight="1" thickBot="1" x14ac:dyDescent="0.25">
      <c r="A29" s="2" t="s">
        <v>31</v>
      </c>
      <c r="C29" s="2"/>
    </row>
    <row r="30" spans="1:3" ht="20.100000000000001" customHeight="1" thickBot="1" x14ac:dyDescent="0.25">
      <c r="A30" s="2" t="s">
        <v>32</v>
      </c>
      <c r="C30" s="2"/>
    </row>
    <row r="31" spans="1:3" ht="20.100000000000001" customHeight="1" thickBot="1" x14ac:dyDescent="0.25">
      <c r="A31" s="2" t="s">
        <v>33</v>
      </c>
      <c r="C31" s="2"/>
    </row>
    <row r="32" spans="1:3" ht="20.100000000000001" customHeight="1" thickBot="1" x14ac:dyDescent="0.25">
      <c r="A32" s="2" t="s">
        <v>16</v>
      </c>
      <c r="C32" s="2"/>
    </row>
    <row r="33" spans="1:9" ht="20.100000000000001" customHeight="1" thickBot="1" x14ac:dyDescent="0.25">
      <c r="A33" s="2" t="s">
        <v>14</v>
      </c>
      <c r="C33" s="2"/>
    </row>
    <row r="34" spans="1:9" ht="20.100000000000001" customHeight="1" thickBot="1" x14ac:dyDescent="0.25">
      <c r="A34" s="2" t="s">
        <v>34</v>
      </c>
      <c r="C34" s="2"/>
    </row>
    <row r="35" spans="1:9" ht="20.100000000000001" customHeight="1" x14ac:dyDescent="0.15">
      <c r="A35" s="18"/>
    </row>
    <row r="36" spans="1:9" s="17" customFormat="1" ht="20.100000000000001" customHeight="1" x14ac:dyDescent="0.15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3">
        <v>45901</v>
      </c>
    </row>
    <row r="40" spans="1:9" ht="20.100000000000001" customHeight="1" thickBot="1" x14ac:dyDescent="0.25">
      <c r="A40" s="13">
        <v>45902</v>
      </c>
    </row>
    <row r="41" spans="1:9" ht="20.100000000000001" customHeight="1" thickBot="1" x14ac:dyDescent="0.25">
      <c r="A41" s="13">
        <v>45903</v>
      </c>
    </row>
    <row r="42" spans="1:9" ht="20.100000000000001" customHeight="1" thickBot="1" x14ac:dyDescent="0.25">
      <c r="A42" s="13">
        <v>45904</v>
      </c>
    </row>
    <row r="43" spans="1:9" ht="20.100000000000001" customHeight="1" thickBot="1" x14ac:dyDescent="0.25">
      <c r="A43" s="13">
        <v>45905</v>
      </c>
    </row>
    <row r="44" spans="1:9" ht="20.100000000000001" customHeight="1" thickBot="1" x14ac:dyDescent="0.25">
      <c r="A44" s="13">
        <v>45906</v>
      </c>
    </row>
    <row r="45" spans="1:9" ht="20.100000000000001" customHeight="1" thickBot="1" x14ac:dyDescent="0.25">
      <c r="A45" s="13">
        <v>45907</v>
      </c>
    </row>
    <row r="46" spans="1:9" ht="20.100000000000001" customHeight="1" thickBot="1" x14ac:dyDescent="0.25">
      <c r="A46" s="13">
        <v>45908</v>
      </c>
    </row>
    <row r="47" spans="1:9" ht="20.100000000000001" customHeight="1" thickBot="1" x14ac:dyDescent="0.25">
      <c r="A47" s="13">
        <v>45909</v>
      </c>
    </row>
    <row r="48" spans="1:9" ht="20.100000000000001" customHeight="1" thickBot="1" x14ac:dyDescent="0.25">
      <c r="A48" s="13">
        <v>45910</v>
      </c>
    </row>
    <row r="49" spans="1:1" ht="20.100000000000001" customHeight="1" thickBot="1" x14ac:dyDescent="0.25">
      <c r="A49" s="13">
        <v>45911</v>
      </c>
    </row>
    <row r="50" spans="1:1" ht="20.100000000000001" customHeight="1" thickBot="1" x14ac:dyDescent="0.25">
      <c r="A50" s="13">
        <v>45912</v>
      </c>
    </row>
    <row r="51" spans="1:1" ht="20.100000000000001" customHeight="1" thickBot="1" x14ac:dyDescent="0.25">
      <c r="A51" s="13">
        <v>45913</v>
      </c>
    </row>
    <row r="52" spans="1:1" ht="20.100000000000001" customHeight="1" thickBot="1" x14ac:dyDescent="0.25">
      <c r="A52" s="13">
        <v>45914</v>
      </c>
    </row>
    <row r="53" spans="1:1" ht="20.100000000000001" customHeight="1" thickBot="1" x14ac:dyDescent="0.25">
      <c r="A53" s="13">
        <v>45915</v>
      </c>
    </row>
    <row r="54" spans="1:1" ht="20.100000000000001" customHeight="1" thickBot="1" x14ac:dyDescent="0.25">
      <c r="A54" s="13">
        <v>45916</v>
      </c>
    </row>
    <row r="55" spans="1:1" ht="20.100000000000001" customHeight="1" thickBot="1" x14ac:dyDescent="0.25">
      <c r="A55" s="13">
        <v>45917</v>
      </c>
    </row>
    <row r="56" spans="1:1" ht="20.100000000000001" customHeight="1" thickBot="1" x14ac:dyDescent="0.25">
      <c r="A56" s="13">
        <v>45918</v>
      </c>
    </row>
    <row r="57" spans="1:1" ht="20.100000000000001" customHeight="1" thickBot="1" x14ac:dyDescent="0.25">
      <c r="A57" s="13">
        <v>45919</v>
      </c>
    </row>
    <row r="58" spans="1:1" ht="20.100000000000001" customHeight="1" thickBot="1" x14ac:dyDescent="0.25">
      <c r="A58" s="13">
        <v>45920</v>
      </c>
    </row>
    <row r="59" spans="1:1" ht="20.100000000000001" customHeight="1" thickBot="1" x14ac:dyDescent="0.25">
      <c r="A59" s="13">
        <v>45921</v>
      </c>
    </row>
    <row r="60" spans="1:1" ht="20.100000000000001" customHeight="1" thickBot="1" x14ac:dyDescent="0.25">
      <c r="A60" s="13">
        <v>45922</v>
      </c>
    </row>
    <row r="61" spans="1:1" ht="20.100000000000001" customHeight="1" thickBot="1" x14ac:dyDescent="0.25">
      <c r="A61" s="13">
        <v>45923</v>
      </c>
    </row>
    <row r="62" spans="1:1" ht="20.100000000000001" customHeight="1" thickBot="1" x14ac:dyDescent="0.25">
      <c r="A62" s="13">
        <v>45924</v>
      </c>
    </row>
    <row r="63" spans="1:1" ht="20.100000000000001" customHeight="1" thickBot="1" x14ac:dyDescent="0.25">
      <c r="A63" s="13">
        <v>45925</v>
      </c>
    </row>
    <row r="64" spans="1:1" ht="20.100000000000001" customHeight="1" thickBot="1" x14ac:dyDescent="0.25">
      <c r="A64" s="13">
        <v>45926</v>
      </c>
    </row>
    <row r="65" spans="1:1" ht="20.100000000000001" customHeight="1" thickBot="1" x14ac:dyDescent="0.25">
      <c r="A65" s="13">
        <v>45927</v>
      </c>
    </row>
    <row r="66" spans="1:1" ht="20.100000000000001" customHeight="1" thickBot="1" x14ac:dyDescent="0.25">
      <c r="A66" s="13">
        <v>45928</v>
      </c>
    </row>
    <row r="67" spans="1:1" ht="20.100000000000001" customHeight="1" thickBot="1" x14ac:dyDescent="0.25">
      <c r="A67" s="13">
        <v>45929</v>
      </c>
    </row>
    <row r="68" spans="1:1" ht="20.100000000000001" customHeight="1" thickBot="1" x14ac:dyDescent="0.25">
      <c r="A68" s="13">
        <v>45930</v>
      </c>
    </row>
    <row r="69" spans="1:1" ht="20.100000000000001" customHeight="1" thickBot="1" x14ac:dyDescent="0.25">
      <c r="A69" s="13">
        <v>45931</v>
      </c>
    </row>
    <row r="70" spans="1:1" ht="20.100000000000001" customHeight="1" thickBot="1" x14ac:dyDescent="0.25">
      <c r="A70" s="13">
        <v>45932</v>
      </c>
    </row>
    <row r="71" spans="1:1" ht="20.100000000000001" customHeight="1" thickBot="1" x14ac:dyDescent="0.25">
      <c r="A71" s="13">
        <v>45933</v>
      </c>
    </row>
    <row r="72" spans="1:1" ht="20.100000000000001" customHeight="1" thickBot="1" x14ac:dyDescent="0.25">
      <c r="A72" s="13">
        <v>45934</v>
      </c>
    </row>
    <row r="73" spans="1:1" ht="20.100000000000001" customHeight="1" thickBot="1" x14ac:dyDescent="0.25">
      <c r="A73" s="13">
        <v>45935</v>
      </c>
    </row>
    <row r="74" spans="1:1" ht="20.100000000000001" customHeight="1" thickBot="1" x14ac:dyDescent="0.25">
      <c r="A74" s="13">
        <v>45936</v>
      </c>
    </row>
    <row r="75" spans="1:1" ht="20.100000000000001" customHeight="1" thickBot="1" x14ac:dyDescent="0.25">
      <c r="A75" s="13">
        <v>45937</v>
      </c>
    </row>
    <row r="76" spans="1:1" ht="20.100000000000001" customHeight="1" thickBot="1" x14ac:dyDescent="0.25">
      <c r="A76" s="13">
        <v>45938</v>
      </c>
    </row>
    <row r="77" spans="1:1" ht="20.100000000000001" customHeight="1" thickBot="1" x14ac:dyDescent="0.25">
      <c r="A77" s="13">
        <v>45939</v>
      </c>
    </row>
    <row r="78" spans="1:1" ht="20.100000000000001" customHeight="1" thickBot="1" x14ac:dyDescent="0.25">
      <c r="A78" s="13">
        <v>45940</v>
      </c>
    </row>
    <row r="79" spans="1:1" ht="20.100000000000001" customHeight="1" thickBot="1" x14ac:dyDescent="0.25">
      <c r="A79" s="13">
        <v>45941</v>
      </c>
    </row>
    <row r="80" spans="1:1" ht="20.100000000000001" customHeight="1" thickBot="1" x14ac:dyDescent="0.25">
      <c r="A80" s="13">
        <v>45942</v>
      </c>
    </row>
    <row r="81" spans="1:1" ht="20.100000000000001" customHeight="1" thickBot="1" x14ac:dyDescent="0.25">
      <c r="A81" s="13">
        <v>45943</v>
      </c>
    </row>
    <row r="82" spans="1:1" ht="20.100000000000001" customHeight="1" thickBot="1" x14ac:dyDescent="0.25">
      <c r="A82" s="13">
        <v>45944</v>
      </c>
    </row>
    <row r="83" spans="1:1" ht="20.100000000000001" customHeight="1" thickBot="1" x14ac:dyDescent="0.25">
      <c r="A83" s="13">
        <v>45945</v>
      </c>
    </row>
    <row r="84" spans="1:1" ht="20.100000000000001" customHeight="1" thickBot="1" x14ac:dyDescent="0.25">
      <c r="A84" s="13">
        <v>45946</v>
      </c>
    </row>
    <row r="85" spans="1:1" ht="20.100000000000001" customHeight="1" thickBot="1" x14ac:dyDescent="0.25">
      <c r="A85" s="13">
        <v>45947</v>
      </c>
    </row>
    <row r="86" spans="1:1" ht="20.100000000000001" customHeight="1" thickBot="1" x14ac:dyDescent="0.25">
      <c r="A86" s="13">
        <v>45948</v>
      </c>
    </row>
    <row r="87" spans="1:1" ht="20.100000000000001" customHeight="1" thickBot="1" x14ac:dyDescent="0.25">
      <c r="A87" s="13">
        <v>45949</v>
      </c>
    </row>
    <row r="88" spans="1:1" ht="20.100000000000001" customHeight="1" thickBot="1" x14ac:dyDescent="0.25">
      <c r="A88" s="13">
        <v>45950</v>
      </c>
    </row>
    <row r="89" spans="1:1" ht="20.100000000000001" customHeight="1" thickBot="1" x14ac:dyDescent="0.25">
      <c r="A89" s="13">
        <v>45951</v>
      </c>
    </row>
    <row r="90" spans="1:1" ht="20.100000000000001" customHeight="1" thickBot="1" x14ac:dyDescent="0.25">
      <c r="A90" s="13">
        <v>45952</v>
      </c>
    </row>
    <row r="91" spans="1:1" ht="20.100000000000001" customHeight="1" thickBot="1" x14ac:dyDescent="0.25">
      <c r="A91" s="13">
        <v>45953</v>
      </c>
    </row>
    <row r="92" spans="1:1" ht="20.100000000000001" customHeight="1" thickBot="1" x14ac:dyDescent="0.25">
      <c r="A92" s="13">
        <v>45954</v>
      </c>
    </row>
    <row r="93" spans="1:1" ht="20.100000000000001" customHeight="1" thickBot="1" x14ac:dyDescent="0.25">
      <c r="A93" s="13">
        <v>45955</v>
      </c>
    </row>
    <row r="94" spans="1:1" ht="20.100000000000001" customHeight="1" thickBot="1" x14ac:dyDescent="0.25">
      <c r="A94" s="13">
        <v>45956</v>
      </c>
    </row>
    <row r="95" spans="1:1" ht="20.100000000000001" customHeight="1" thickBot="1" x14ac:dyDescent="0.25">
      <c r="A95" s="13">
        <v>45957</v>
      </c>
    </row>
    <row r="96" spans="1:1" ht="20.100000000000001" customHeight="1" thickBot="1" x14ac:dyDescent="0.25">
      <c r="A96" s="13">
        <v>45958</v>
      </c>
    </row>
    <row r="97" spans="1:9" ht="20.100000000000001" customHeight="1" thickBot="1" x14ac:dyDescent="0.25">
      <c r="A97" s="13">
        <v>45959</v>
      </c>
    </row>
    <row r="98" spans="1:9" ht="20.100000000000001" customHeight="1" thickBot="1" x14ac:dyDescent="0.25">
      <c r="A98" s="13">
        <v>45960</v>
      </c>
    </row>
    <row r="99" spans="1:9" ht="20.100000000000001" customHeight="1" thickBot="1" x14ac:dyDescent="0.25">
      <c r="A99" s="13">
        <v>45961</v>
      </c>
    </row>
    <row r="100" spans="1:9" ht="20.100000000000001" customHeight="1" thickBot="1" x14ac:dyDescent="0.25">
      <c r="A100" s="13">
        <v>45962</v>
      </c>
    </row>
    <row r="101" spans="1:9" ht="20.100000000000001" customHeight="1" thickBot="1" x14ac:dyDescent="0.25">
      <c r="A101" s="13">
        <v>45963</v>
      </c>
    </row>
    <row r="102" spans="1:9" ht="20.100000000000001" customHeight="1" thickBot="1" x14ac:dyDescent="0.25">
      <c r="A102" s="13">
        <v>45964</v>
      </c>
    </row>
    <row r="103" spans="1:9" ht="20.100000000000001" customHeight="1" thickBot="1" x14ac:dyDescent="0.25">
      <c r="A103" s="13">
        <v>45965</v>
      </c>
    </row>
    <row r="104" spans="1:9" ht="20.100000000000001" customHeight="1" thickBot="1" x14ac:dyDescent="0.25">
      <c r="A104" s="13">
        <v>45966</v>
      </c>
    </row>
    <row r="105" spans="1:9" ht="20.100000000000001" customHeight="1" thickBot="1" x14ac:dyDescent="0.25">
      <c r="A105" s="13">
        <v>45967</v>
      </c>
    </row>
    <row r="106" spans="1:9" ht="20.100000000000001" customHeight="1" thickBot="1" x14ac:dyDescent="0.25">
      <c r="A106" s="13">
        <v>45968</v>
      </c>
    </row>
    <row r="107" spans="1:9" ht="20.100000000000001" customHeight="1" x14ac:dyDescent="0.15">
      <c r="A107" s="14"/>
    </row>
    <row r="108" spans="1:9" ht="20.100000000000001" customHeight="1" x14ac:dyDescent="0.15">
      <c r="A108" s="14"/>
    </row>
    <row r="109" spans="1:9" s="17" customFormat="1" ht="20.100000000000001" customHeight="1" x14ac:dyDescent="0.15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"/>
    <row r="111" spans="1:9" ht="20.100000000000001" customHeight="1" thickBot="1" x14ac:dyDescent="0.25">
      <c r="A111" s="2" t="s">
        <v>61</v>
      </c>
    </row>
    <row r="112" spans="1:9" ht="20.100000000000001" customHeight="1" thickBot="1" x14ac:dyDescent="0.25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"/>
    <row r="198" spans="1:1" ht="20.100000000000001" customHeight="1" thickBot="1" x14ac:dyDescent="0.25">
      <c r="A198" s="2" t="s">
        <v>59</v>
      </c>
    </row>
    <row r="199" spans="1:1" ht="20.100000000000001" customHeight="1" x14ac:dyDescent="0.15">
      <c r="A199" s="20" t="s">
        <v>89</v>
      </c>
    </row>
    <row r="200" spans="1:1" ht="20.100000000000001" customHeight="1" x14ac:dyDescent="0.15">
      <c r="A200" s="20" t="s">
        <v>90</v>
      </c>
    </row>
    <row r="201" spans="1:1" ht="20.100000000000001" customHeight="1" x14ac:dyDescent="0.15">
      <c r="A201" s="20" t="s">
        <v>91</v>
      </c>
    </row>
    <row r="202" spans="1:1" ht="20.100000000000001" customHeight="1" x14ac:dyDescent="0.15">
      <c r="A202" s="20" t="s">
        <v>92</v>
      </c>
    </row>
    <row r="203" spans="1:1" ht="20.100000000000001" customHeight="1" x14ac:dyDescent="0.15">
      <c r="A203" s="20" t="s">
        <v>93</v>
      </c>
    </row>
    <row r="204" spans="1:1" ht="20.100000000000001" customHeight="1" x14ac:dyDescent="0.15">
      <c r="A204" s="20" t="s">
        <v>94</v>
      </c>
    </row>
    <row r="205" spans="1:1" ht="20.100000000000001" customHeight="1" x14ac:dyDescent="0.15">
      <c r="A205" s="20" t="s">
        <v>95</v>
      </c>
    </row>
    <row r="206" spans="1:1" ht="20.100000000000001" customHeight="1" x14ac:dyDescent="0.15">
      <c r="A206" s="20" t="s">
        <v>96</v>
      </c>
    </row>
    <row r="207" spans="1:1" ht="20.100000000000001" customHeight="1" x14ac:dyDescent="0.15">
      <c r="A207" s="20" t="s">
        <v>97</v>
      </c>
    </row>
    <row r="208" spans="1:1" ht="20.100000000000001" customHeight="1" x14ac:dyDescent="0.15">
      <c r="A208" s="21" t="s">
        <v>98</v>
      </c>
    </row>
    <row r="209" spans="1:1" ht="20.100000000000001" customHeight="1" x14ac:dyDescent="0.15">
      <c r="A209" s="21" t="s">
        <v>99</v>
      </c>
    </row>
    <row r="210" spans="1:1" ht="20.100000000000001" customHeight="1" x14ac:dyDescent="0.15">
      <c r="A210" s="20" t="s">
        <v>100</v>
      </c>
    </row>
    <row r="211" spans="1:1" ht="20.100000000000001" customHeight="1" x14ac:dyDescent="0.15">
      <c r="A211" s="20" t="s">
        <v>101</v>
      </c>
    </row>
    <row r="212" spans="1:1" ht="20.100000000000001" customHeight="1" x14ac:dyDescent="0.15">
      <c r="A212" s="20" t="s">
        <v>102</v>
      </c>
    </row>
    <row r="213" spans="1:1" ht="20.100000000000001" customHeight="1" x14ac:dyDescent="0.15">
      <c r="A213" s="20" t="s">
        <v>103</v>
      </c>
    </row>
    <row r="214" spans="1:1" ht="20.100000000000001" customHeight="1" x14ac:dyDescent="0.15">
      <c r="A214" s="20" t="s">
        <v>104</v>
      </c>
    </row>
    <row r="215" spans="1:1" ht="20.100000000000001" customHeight="1" x14ac:dyDescent="0.15">
      <c r="A215" s="20" t="s">
        <v>105</v>
      </c>
    </row>
    <row r="216" spans="1:1" ht="20.100000000000001" customHeight="1" x14ac:dyDescent="0.15">
      <c r="A216" s="20" t="s">
        <v>106</v>
      </c>
    </row>
    <row r="217" spans="1:1" ht="20.100000000000001" customHeight="1" x14ac:dyDescent="0.15">
      <c r="A217" s="20" t="s">
        <v>107</v>
      </c>
    </row>
    <row r="218" spans="1:1" ht="20.100000000000001" customHeight="1" x14ac:dyDescent="0.15">
      <c r="A218" s="20" t="s">
        <v>108</v>
      </c>
    </row>
    <row r="219" spans="1:1" ht="20.100000000000001" customHeight="1" x14ac:dyDescent="0.15">
      <c r="A219" s="20" t="s">
        <v>109</v>
      </c>
    </row>
    <row r="220" spans="1:1" ht="20.100000000000001" customHeight="1" x14ac:dyDescent="0.15">
      <c r="A220" s="20" t="s">
        <v>110</v>
      </c>
    </row>
    <row r="221" spans="1:1" ht="20.100000000000001" customHeight="1" x14ac:dyDescent="0.15">
      <c r="A221" s="20" t="s">
        <v>111</v>
      </c>
    </row>
    <row r="222" spans="1:1" ht="20.100000000000001" customHeight="1" x14ac:dyDescent="0.15">
      <c r="A222" s="20" t="s">
        <v>112</v>
      </c>
    </row>
    <row r="223" spans="1:1" ht="20.100000000000001" customHeight="1" x14ac:dyDescent="0.15">
      <c r="A223" s="20" t="s">
        <v>113</v>
      </c>
    </row>
    <row r="224" spans="1:1" ht="20.100000000000001" customHeight="1" x14ac:dyDescent="0.15">
      <c r="A224" s="20" t="s">
        <v>114</v>
      </c>
    </row>
    <row r="225" spans="1:1" ht="20.100000000000001" customHeight="1" x14ac:dyDescent="0.15">
      <c r="A225" s="20" t="s">
        <v>115</v>
      </c>
    </row>
    <row r="226" spans="1:1" ht="20.100000000000001" customHeight="1" x14ac:dyDescent="0.15">
      <c r="A226" s="20" t="s">
        <v>116</v>
      </c>
    </row>
    <row r="227" spans="1:1" ht="20.100000000000001" customHeight="1" x14ac:dyDescent="0.15">
      <c r="A227" s="20" t="s">
        <v>117</v>
      </c>
    </row>
    <row r="228" spans="1:1" ht="20.100000000000001" customHeight="1" x14ac:dyDescent="0.15">
      <c r="A228" s="20" t="s">
        <v>118</v>
      </c>
    </row>
    <row r="229" spans="1:1" ht="20.100000000000001" customHeight="1" x14ac:dyDescent="0.15">
      <c r="A229" s="20" t="s">
        <v>119</v>
      </c>
    </row>
    <row r="230" spans="1:1" ht="20.100000000000001" customHeight="1" x14ac:dyDescent="0.15">
      <c r="A230" s="20" t="s">
        <v>120</v>
      </c>
    </row>
    <row r="231" spans="1:1" ht="20.100000000000001" customHeight="1" x14ac:dyDescent="0.15">
      <c r="A231" s="20" t="s">
        <v>121</v>
      </c>
    </row>
    <row r="232" spans="1:1" ht="20.100000000000001" customHeight="1" x14ac:dyDescent="0.15">
      <c r="A232" s="20" t="s">
        <v>122</v>
      </c>
    </row>
    <row r="233" spans="1:1" ht="20.100000000000001" customHeight="1" x14ac:dyDescent="0.15">
      <c r="A233" s="20" t="s">
        <v>123</v>
      </c>
    </row>
    <row r="234" spans="1:1" ht="20.100000000000001" customHeight="1" x14ac:dyDescent="0.15">
      <c r="A234" s="20" t="s">
        <v>124</v>
      </c>
    </row>
    <row r="235" spans="1:1" ht="20.100000000000001" customHeight="1" x14ac:dyDescent="0.15">
      <c r="A235" s="22" t="s">
        <v>125</v>
      </c>
    </row>
    <row r="236" spans="1:1" ht="20.100000000000001" customHeight="1" x14ac:dyDescent="0.15">
      <c r="A236" s="20" t="s">
        <v>126</v>
      </c>
    </row>
    <row r="237" spans="1:1" ht="20.100000000000001" customHeight="1" x14ac:dyDescent="0.15">
      <c r="A237" s="20" t="s">
        <v>127</v>
      </c>
    </row>
    <row r="238" spans="1:1" ht="20.100000000000001" customHeight="1" x14ac:dyDescent="0.15">
      <c r="A238" s="20" t="s">
        <v>128</v>
      </c>
    </row>
    <row r="239" spans="1:1" ht="20.100000000000001" customHeight="1" x14ac:dyDescent="0.15">
      <c r="A239" s="20" t="s">
        <v>129</v>
      </c>
    </row>
    <row r="240" spans="1:1" ht="20.100000000000001" customHeight="1" x14ac:dyDescent="0.15">
      <c r="A240" s="20" t="s">
        <v>130</v>
      </c>
    </row>
    <row r="241" spans="1:1" ht="20.100000000000001" customHeight="1" x14ac:dyDescent="0.15">
      <c r="A241" s="20" t="s">
        <v>131</v>
      </c>
    </row>
    <row r="242" spans="1:1" ht="20.100000000000001" customHeight="1" x14ac:dyDescent="0.15">
      <c r="A242" s="20" t="s">
        <v>132</v>
      </c>
    </row>
    <row r="243" spans="1:1" ht="20.100000000000001" customHeight="1" x14ac:dyDescent="0.15">
      <c r="A243" s="20" t="s">
        <v>133</v>
      </c>
    </row>
    <row r="244" spans="1:1" ht="20.100000000000001" customHeight="1" x14ac:dyDescent="0.15">
      <c r="A244" s="20" t="s">
        <v>134</v>
      </c>
    </row>
    <row r="245" spans="1:1" ht="20.100000000000001" customHeight="1" x14ac:dyDescent="0.15">
      <c r="A245" s="20" t="s">
        <v>135</v>
      </c>
    </row>
    <row r="246" spans="1:1" ht="20.100000000000001" customHeight="1" x14ac:dyDescent="0.15">
      <c r="A246" s="20" t="s">
        <v>136</v>
      </c>
    </row>
    <row r="247" spans="1:1" ht="20.100000000000001" customHeight="1" x14ac:dyDescent="0.15">
      <c r="A247" s="20" t="s">
        <v>127</v>
      </c>
    </row>
    <row r="248" spans="1:1" ht="20.100000000000001" customHeight="1" x14ac:dyDescent="0.15">
      <c r="A248" s="20" t="s">
        <v>137</v>
      </c>
    </row>
    <row r="249" spans="1:1" ht="20.100000000000001" customHeight="1" x14ac:dyDescent="0.15">
      <c r="A249" s="20" t="s">
        <v>138</v>
      </c>
    </row>
    <row r="250" spans="1:1" ht="20.100000000000001" customHeight="1" x14ac:dyDescent="0.15">
      <c r="A250" s="22" t="s">
        <v>139</v>
      </c>
    </row>
    <row r="251" spans="1:1" ht="20.100000000000001" customHeight="1" x14ac:dyDescent="0.15">
      <c r="A251" s="23" t="s">
        <v>140</v>
      </c>
    </row>
    <row r="252" spans="1:1" ht="20.100000000000001" customHeight="1" x14ac:dyDescent="0.15">
      <c r="A252" s="20" t="s">
        <v>141</v>
      </c>
    </row>
    <row r="253" spans="1:1" ht="20.100000000000001" customHeight="1" x14ac:dyDescent="0.15">
      <c r="A253" s="20" t="s">
        <v>142</v>
      </c>
    </row>
    <row r="254" spans="1:1" ht="20.100000000000001" customHeight="1" x14ac:dyDescent="0.15">
      <c r="A254" s="24" t="s">
        <v>143</v>
      </c>
    </row>
    <row r="255" spans="1:1" ht="20.100000000000001" customHeight="1" x14ac:dyDescent="0.15">
      <c r="A255" s="24" t="s">
        <v>144</v>
      </c>
    </row>
    <row r="256" spans="1:1" ht="20.100000000000001" customHeight="1" x14ac:dyDescent="0.15">
      <c r="A256" s="25" t="s">
        <v>145</v>
      </c>
    </row>
    <row r="257" spans="1:1" ht="20.100000000000001" customHeight="1" x14ac:dyDescent="0.15">
      <c r="A257" s="20" t="s">
        <v>146</v>
      </c>
    </row>
    <row r="258" spans="1:1" ht="20.100000000000001" customHeight="1" x14ac:dyDescent="0.15">
      <c r="A258" s="25" t="s">
        <v>147</v>
      </c>
    </row>
    <row r="259" spans="1:1" ht="20.100000000000001" customHeight="1" x14ac:dyDescent="0.15">
      <c r="A259" s="20" t="s">
        <v>148</v>
      </c>
    </row>
    <row r="260" spans="1:1" ht="20.100000000000001" customHeight="1" x14ac:dyDescent="0.15">
      <c r="A260" s="25" t="s">
        <v>149</v>
      </c>
    </row>
    <row r="261" spans="1:1" ht="20.100000000000001" customHeight="1" x14ac:dyDescent="0.15">
      <c r="A261" s="20" t="s">
        <v>150</v>
      </c>
    </row>
    <row r="262" spans="1:1" ht="20.100000000000001" customHeight="1" x14ac:dyDescent="0.15">
      <c r="A262" s="20" t="s">
        <v>151</v>
      </c>
    </row>
    <row r="263" spans="1:1" ht="20.100000000000001" customHeight="1" x14ac:dyDescent="0.15">
      <c r="A263" s="25" t="s">
        <v>152</v>
      </c>
    </row>
    <row r="264" spans="1:1" ht="20.100000000000001" customHeight="1" x14ac:dyDescent="0.15">
      <c r="A264" s="25" t="s">
        <v>153</v>
      </c>
    </row>
    <row r="265" spans="1:1" ht="20.100000000000001" customHeight="1" x14ac:dyDescent="0.15">
      <c r="A265" s="25" t="s">
        <v>154</v>
      </c>
    </row>
    <row r="266" spans="1:1" ht="20.100000000000001" customHeight="1" x14ac:dyDescent="0.15">
      <c r="A266" s="20" t="s">
        <v>155</v>
      </c>
    </row>
    <row r="267" spans="1:1" ht="20.100000000000001" customHeight="1" x14ac:dyDescent="0.15">
      <c r="A267" s="20" t="s">
        <v>156</v>
      </c>
    </row>
    <row r="268" spans="1:1" ht="20.100000000000001" customHeight="1" x14ac:dyDescent="0.15">
      <c r="A268" s="20" t="s">
        <v>157</v>
      </c>
    </row>
    <row r="269" spans="1:1" ht="20.100000000000001" customHeight="1" x14ac:dyDescent="0.15">
      <c r="A269" s="20" t="s">
        <v>158</v>
      </c>
    </row>
    <row r="270" spans="1:1" ht="20.100000000000001" customHeight="1" x14ac:dyDescent="0.15">
      <c r="A270" s="25" t="s">
        <v>159</v>
      </c>
    </row>
    <row r="271" spans="1:1" ht="20.100000000000001" customHeight="1" x14ac:dyDescent="0.15">
      <c r="A271" s="25" t="s">
        <v>160</v>
      </c>
    </row>
    <row r="272" spans="1:1" ht="20.100000000000001" customHeight="1" x14ac:dyDescent="0.15">
      <c r="A272" s="20" t="s">
        <v>161</v>
      </c>
    </row>
    <row r="273" spans="1:1" ht="20.100000000000001" customHeight="1" x14ac:dyDescent="0.15">
      <c r="A273" s="25" t="s">
        <v>162</v>
      </c>
    </row>
    <row r="274" spans="1:1" ht="20.100000000000001" customHeight="1" x14ac:dyDescent="0.15">
      <c r="A274" s="25" t="s">
        <v>163</v>
      </c>
    </row>
    <row r="275" spans="1:1" ht="20.100000000000001" customHeight="1" x14ac:dyDescent="0.15">
      <c r="A275" s="20" t="s">
        <v>164</v>
      </c>
    </row>
    <row r="276" spans="1:1" ht="20.100000000000001" customHeight="1" x14ac:dyDescent="0.15">
      <c r="A276" s="20" t="s">
        <v>165</v>
      </c>
    </row>
    <row r="277" spans="1:1" ht="20.100000000000001" customHeight="1" x14ac:dyDescent="0.15">
      <c r="A277" s="25" t="s">
        <v>166</v>
      </c>
    </row>
    <row r="278" spans="1:1" ht="20.100000000000001" customHeight="1" x14ac:dyDescent="0.15">
      <c r="A278" s="20" t="s">
        <v>167</v>
      </c>
    </row>
    <row r="279" spans="1:1" ht="20.100000000000001" customHeight="1" x14ac:dyDescent="0.15">
      <c r="A279" s="20" t="s">
        <v>168</v>
      </c>
    </row>
    <row r="280" spans="1:1" ht="20.100000000000001" customHeight="1" x14ac:dyDescent="0.15">
      <c r="A280" s="20" t="s">
        <v>169</v>
      </c>
    </row>
    <row r="281" spans="1:1" ht="20.100000000000001" customHeight="1" x14ac:dyDescent="0.15">
      <c r="A281" s="20" t="s">
        <v>170</v>
      </c>
    </row>
    <row r="282" spans="1:1" ht="20.100000000000001" customHeight="1" x14ac:dyDescent="0.15">
      <c r="A282" s="25" t="s">
        <v>171</v>
      </c>
    </row>
    <row r="283" spans="1:1" ht="20.100000000000001" customHeight="1" x14ac:dyDescent="0.15">
      <c r="A283" s="25" t="s">
        <v>172</v>
      </c>
    </row>
    <row r="284" spans="1:1" ht="20.100000000000001" customHeight="1" x14ac:dyDescent="0.15">
      <c r="A284" s="25" t="s">
        <v>173</v>
      </c>
    </row>
    <row r="285" spans="1:1" ht="20.100000000000001" customHeight="1" thickBot="1" x14ac:dyDescent="0.2">
      <c r="A285" s="20" t="s">
        <v>174</v>
      </c>
    </row>
    <row r="286" spans="1:1" ht="20.100000000000001" customHeight="1" thickBot="1" x14ac:dyDescent="0.2">
      <c r="A286" s="2" t="s">
        <v>58</v>
      </c>
    </row>
    <row r="287" spans="1:1" ht="20.100000000000001" customHeight="1" thickBot="1" x14ac:dyDescent="0.2">
      <c r="A287" s="2" t="s">
        <v>58</v>
      </c>
    </row>
    <row r="288" spans="1:1" ht="20.100000000000001" customHeight="1" thickBot="1" x14ac:dyDescent="0.2">
      <c r="A288" s="2" t="s">
        <v>58</v>
      </c>
    </row>
    <row r="289" spans="1:1" ht="20.100000000000001" customHeight="1" thickBot="1" x14ac:dyDescent="0.2">
      <c r="A289" s="2" t="s">
        <v>58</v>
      </c>
    </row>
    <row r="290" spans="1:1" ht="20.100000000000001" customHeight="1" thickBot="1" x14ac:dyDescent="0.2">
      <c r="A290" s="2" t="s">
        <v>58</v>
      </c>
    </row>
    <row r="291" spans="1:1" ht="20.100000000000001" customHeight="1" thickBot="1" x14ac:dyDescent="0.2">
      <c r="A291" s="2" t="s">
        <v>58</v>
      </c>
    </row>
    <row r="292" spans="1:1" ht="20.100000000000001" customHeight="1" thickBot="1" x14ac:dyDescent="0.2">
      <c r="A292" s="2" t="s">
        <v>58</v>
      </c>
    </row>
    <row r="293" spans="1:1" ht="20.100000000000001" customHeight="1" thickBot="1" x14ac:dyDescent="0.2">
      <c r="A293" s="2" t="s">
        <v>58</v>
      </c>
    </row>
    <row r="294" spans="1:1" ht="20.100000000000001" customHeight="1" thickBot="1" x14ac:dyDescent="0.2">
      <c r="A294" s="2" t="s">
        <v>58</v>
      </c>
    </row>
    <row r="295" spans="1:1" ht="20.100000000000001" customHeight="1" thickBot="1" x14ac:dyDescent="0.2">
      <c r="A295" s="2" t="s">
        <v>58</v>
      </c>
    </row>
    <row r="296" spans="1:1" ht="20.100000000000001" customHeight="1" thickBot="1" x14ac:dyDescent="0.2">
      <c r="A296" s="2" t="s">
        <v>58</v>
      </c>
    </row>
    <row r="297" spans="1:1" ht="20.100000000000001" customHeight="1" thickBot="1" x14ac:dyDescent="0.2">
      <c r="A297" s="2" t="s">
        <v>58</v>
      </c>
    </row>
    <row r="298" spans="1:1" ht="20.100000000000001" customHeight="1" thickBot="1" x14ac:dyDescent="0.2">
      <c r="A298" s="2" t="s">
        <v>58</v>
      </c>
    </row>
    <row r="299" spans="1:1" ht="20.100000000000001" customHeight="1" thickBot="1" x14ac:dyDescent="0.2">
      <c r="A299" s="2" t="s">
        <v>58</v>
      </c>
    </row>
    <row r="300" spans="1:1" ht="20.100000000000001" customHeight="1" thickBot="1" x14ac:dyDescent="0.2">
      <c r="A300" s="2" t="s">
        <v>58</v>
      </c>
    </row>
    <row r="301" spans="1:1" ht="20.100000000000001" customHeight="1" thickBot="1" x14ac:dyDescent="0.2">
      <c r="A301" s="2" t="s">
        <v>58</v>
      </c>
    </row>
    <row r="302" spans="1:1" ht="20.100000000000001" customHeight="1" thickBot="1" x14ac:dyDescent="0.2">
      <c r="A302" s="2" t="s">
        <v>58</v>
      </c>
    </row>
    <row r="303" spans="1:1" ht="20.100000000000001" customHeight="1" thickBot="1" x14ac:dyDescent="0.2">
      <c r="A303" s="2" t="s">
        <v>58</v>
      </c>
    </row>
    <row r="304" spans="1:1" ht="20.100000000000001" customHeight="1" thickBot="1" x14ac:dyDescent="0.2">
      <c r="A304" s="2" t="s">
        <v>58</v>
      </c>
    </row>
    <row r="305" spans="1:1" ht="20.100000000000001" customHeight="1" thickBot="1" x14ac:dyDescent="0.2">
      <c r="A305" s="2" t="s">
        <v>58</v>
      </c>
    </row>
    <row r="306" spans="1:1" ht="20.100000000000001" customHeight="1" thickBot="1" x14ac:dyDescent="0.2">
      <c r="A306" s="2" t="s">
        <v>58</v>
      </c>
    </row>
    <row r="307" spans="1:1" ht="20.100000000000001" customHeight="1" thickBot="1" x14ac:dyDescent="0.2">
      <c r="A307" s="2" t="s">
        <v>58</v>
      </c>
    </row>
    <row r="308" spans="1:1" ht="20.100000000000001" customHeight="1" thickBot="1" x14ac:dyDescent="0.2">
      <c r="A308" s="2" t="s">
        <v>58</v>
      </c>
    </row>
    <row r="309" spans="1:1" ht="20.100000000000001" customHeight="1" thickBot="1" x14ac:dyDescent="0.2">
      <c r="A309" s="2" t="s">
        <v>58</v>
      </c>
    </row>
    <row r="310" spans="1:1" ht="20.100000000000001" customHeight="1" thickBot="1" x14ac:dyDescent="0.2">
      <c r="A310" s="2" t="s">
        <v>58</v>
      </c>
    </row>
    <row r="311" spans="1:1" ht="20.100000000000001" customHeight="1" thickBot="1" x14ac:dyDescent="0.2">
      <c r="A311" s="2" t="s">
        <v>58</v>
      </c>
    </row>
    <row r="312" spans="1:1" ht="20.100000000000001" customHeight="1" thickBot="1" x14ac:dyDescent="0.2">
      <c r="A312" s="2" t="s">
        <v>58</v>
      </c>
    </row>
    <row r="313" spans="1:1" ht="20.100000000000001" customHeight="1" thickBot="1" x14ac:dyDescent="0.2">
      <c r="A313" s="2" t="s">
        <v>58</v>
      </c>
    </row>
    <row r="314" spans="1:1" ht="20.100000000000001" customHeight="1" thickBot="1" x14ac:dyDescent="0.2">
      <c r="A314" s="2" t="s">
        <v>58</v>
      </c>
    </row>
    <row r="315" spans="1:1" ht="20.100000000000001" customHeight="1" thickBot="1" x14ac:dyDescent="0.2">
      <c r="A315" s="2" t="s">
        <v>58</v>
      </c>
    </row>
    <row r="316" spans="1:1" ht="20.100000000000001" customHeight="1" thickBot="1" x14ac:dyDescent="0.2">
      <c r="A316" s="2" t="s">
        <v>58</v>
      </c>
    </row>
    <row r="317" spans="1:1" ht="20.100000000000001" customHeight="1" thickBot="1" x14ac:dyDescent="0.2">
      <c r="A317" s="2" t="s">
        <v>58</v>
      </c>
    </row>
    <row r="318" spans="1:1" ht="20.100000000000001" customHeight="1" thickBot="1" x14ac:dyDescent="0.2">
      <c r="A318" s="2" t="s">
        <v>58</v>
      </c>
    </row>
    <row r="319" spans="1:1" ht="20.100000000000001" customHeight="1" thickBot="1" x14ac:dyDescent="0.2">
      <c r="A319" s="2" t="s">
        <v>58</v>
      </c>
    </row>
    <row r="320" spans="1:1" ht="20.100000000000001" customHeight="1" thickBot="1" x14ac:dyDescent="0.2">
      <c r="A320" s="2" t="s">
        <v>58</v>
      </c>
    </row>
    <row r="321" spans="1:1" ht="20.100000000000001" customHeight="1" thickBot="1" x14ac:dyDescent="0.2">
      <c r="A321" s="2" t="s">
        <v>58</v>
      </c>
    </row>
    <row r="322" spans="1:1" ht="20.100000000000001" customHeight="1" thickBot="1" x14ac:dyDescent="0.2">
      <c r="A322" s="2" t="s">
        <v>58</v>
      </c>
    </row>
    <row r="323" spans="1:1" ht="20.100000000000001" customHeight="1" thickBot="1" x14ac:dyDescent="0.2">
      <c r="A323" s="2" t="s">
        <v>58</v>
      </c>
    </row>
    <row r="324" spans="1:1" ht="20.100000000000001" customHeight="1" thickBot="1" x14ac:dyDescent="0.2">
      <c r="A324" s="2" t="s">
        <v>58</v>
      </c>
    </row>
    <row r="325" spans="1:1" ht="20.100000000000001" customHeight="1" thickBot="1" x14ac:dyDescent="0.2">
      <c r="A325" s="2" t="s">
        <v>58</v>
      </c>
    </row>
    <row r="326" spans="1:1" ht="20.100000000000001" customHeight="1" thickBot="1" x14ac:dyDescent="0.2">
      <c r="A326" s="2" t="s">
        <v>58</v>
      </c>
    </row>
    <row r="327" spans="1:1" ht="20.100000000000001" customHeight="1" thickBot="1" x14ac:dyDescent="0.2">
      <c r="A327" s="2" t="s">
        <v>58</v>
      </c>
    </row>
    <row r="328" spans="1:1" ht="20.100000000000001" customHeight="1" thickBot="1" x14ac:dyDescent="0.2">
      <c r="A328" s="2" t="s">
        <v>58</v>
      </c>
    </row>
    <row r="329" spans="1:1" ht="20.100000000000001" customHeight="1" thickBot="1" x14ac:dyDescent="0.2">
      <c r="A329" s="2" t="s">
        <v>58</v>
      </c>
    </row>
    <row r="330" spans="1:1" ht="20.100000000000001" customHeight="1" thickBot="1" x14ac:dyDescent="0.2">
      <c r="A330" s="2" t="s">
        <v>58</v>
      </c>
    </row>
    <row r="331" spans="1:1" ht="20.100000000000001" customHeight="1" thickBot="1" x14ac:dyDescent="0.2">
      <c r="A331" s="2" t="s">
        <v>58</v>
      </c>
    </row>
    <row r="332" spans="1:1" ht="20.100000000000001" customHeight="1" thickBot="1" x14ac:dyDescent="0.2">
      <c r="A332" s="2" t="s">
        <v>58</v>
      </c>
    </row>
    <row r="333" spans="1:1" ht="20.100000000000001" customHeight="1" thickBot="1" x14ac:dyDescent="0.2">
      <c r="A333" s="2" t="s">
        <v>58</v>
      </c>
    </row>
    <row r="334" spans="1:1" ht="20.100000000000001" customHeight="1" thickBot="1" x14ac:dyDescent="0.2">
      <c r="A334" s="2" t="s">
        <v>58</v>
      </c>
    </row>
    <row r="335" spans="1:1" ht="20.100000000000001" customHeight="1" thickBot="1" x14ac:dyDescent="0.2">
      <c r="A335" s="2" t="s">
        <v>58</v>
      </c>
    </row>
    <row r="336" spans="1:1" ht="20.100000000000001" customHeight="1" thickBot="1" x14ac:dyDescent="0.2">
      <c r="A336" s="2" t="s">
        <v>58</v>
      </c>
    </row>
    <row r="337" spans="1:1" ht="20.100000000000001" customHeight="1" thickBot="1" x14ac:dyDescent="0.2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2025-10-13T03:17:20Z</dcterms:modified>
</cp:coreProperties>
</file>