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52E7F46A-0AA5-B647-8734-FA95CFFDB3D4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8" i="2"/>
  <c r="H8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<sst xmlns="http://schemas.openxmlformats.org/spreadsheetml/2006/main" count="246" uniqueCount="190">
  <si>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</si>
  <si>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</si>
  <si>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</si>
  <si>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</si>
  <si>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</si>
  <si>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</si>
  <si>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</si>
  <si>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</si>
  <si>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</si>
  <si>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</si>
  <si>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</si>
  <si>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</si>
  <si>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</si>
  <si>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</si>
  <si>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</si>
  <si>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</si>
  <si>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</si>
  <si>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</si>
  <si>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</si>
  <si>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</si>
  <si>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</si>
  <si>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</si>
  <si>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</si>
  <si>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</si>
  <si>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</si>
  <si>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</si>
  <si>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</si>
  <si>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</si>
  <si>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</si>
  <si>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</si>
  <si>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</si>
  <si>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</si>
  <si>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</si>
  <si>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</si>
  <si>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</si>
  <si>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</si>
  <si>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</si>
  <si>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</si>
  <si>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</si>
  <si>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</si>
  <si>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</si>
  <si>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</si>
  <si>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</si>
  <si>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</si>
  <si>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</si>
  <si>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</si>
  <si>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</si>
  <si>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</si>
  <si>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</si>
  <si>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</si>
  <si>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</si>
  <si>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</si>
  <si>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</si>
  <si>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</si>
  <si>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</si>
  <si>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</si>
  <si>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</si>
  <si>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</si>
  <si>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</si>
  <si>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</si>
  <si>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</si>
  <si>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</si>
  <si>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</si>
  <si>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</si>
  <si>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</si>
  <si>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</si>
  <si>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</si>
  <si>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</si>
  <si>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</si>
  <si>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</si>
  <si>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</si>
  <si>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</si>
  <si>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</si>
  <si>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</si>
  <si>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</si>
  <si>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</si>
  <si>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</si>
  <si>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</si>
  <si>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</si>
  <si>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</si>
  <si>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</si>
  <si>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</si>
  <si>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</si>
  <si>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</si>
  <si>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</si>
  <si>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</si>
  <si>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</si>
  <si>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</si>
  <si>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</si>
  <si>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</si>
  <si>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</si>
  <si>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</si>
  <si>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</si>
  <si>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</si>
  <si>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</si>
  <si>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</si>
  <si>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</si>
  <si>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</si>
  <si>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</si>
  <si>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</si>
  <si>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</si>
  <si>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</si>
  <si>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</si>
  <si>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</si>
  <si>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</si>
  <si>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</si>
  <si>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</si>
  <si>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</si>
  <si>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</si>
  <si>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</si>
  <si>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</si>
  <si>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</si>
  <si>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</si>
  <si>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</si>
  <si>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</si>
  <si>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</si>
  <si>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</si>
  <si>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</si>
  <si>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</si>
  <si>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</si>
  <si>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</si>
  <si>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</si>
  <si>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</si>
  <si>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</si>
  <si>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</si>
  <si>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</si>
  <si>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</si>
  <si>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</si>
  <si>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</si>
  <si>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</si>
  <si>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</si>
  <si>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</si>
  <si>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</si>
  <si>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</si>
  <si>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</si>
  <si>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</si>
  <si>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</si>
  <si>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</si>
  <si>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</si>
  <si>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</si>
  <si>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</si>
  <si>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</si>
  <si>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</si>
  <si>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</si>
  <si>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</si>
  <si>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</si>
  <si>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</si>
  <si>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</si>
  <si>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</si>
  <si>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</si>
  <si>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</si>
  <si>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</si>
  <si>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</si>
  <si>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</si>
  <si>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</si>
  <si>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</si>
  <si>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</si>
  <si>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</si>
  <si>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</si>
  <si>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</si>
  <si>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</si>
  <si>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</si>
  <si>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</si>
  <si>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</si>
  <si>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</si>
  <si>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</si>
  <si>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</si>
  <si>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</si>
  <si>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</si>
  <si>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</si>
  <si>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</si>
  <si>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</si>
  <si>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</si>
  <si>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</si>
  <si>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</si>
  <si>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</si>
  <si>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</si>
  <si>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</si>
  <si>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</si>
  <si>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</si>
  <si>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الحالة الفنية لآليات سرية الدفاع الكيميائي
تمرين جاهزية مجموعة لواء الإمارات/1 (جندي الصحراء 2025/20)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</si>
  <si>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تأهيل الطاقم (فنيين / مشغليين).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</si>
  <si>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استكمال المرتب من الآليات ونسبة الصلاحية.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</si>
  <si>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استكمال الطاقم المؤهل بالنسبة لعدد الآليات (السواقين).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</si>
  <si>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معرفة السائق بالآلية وإلمامه بالتعليمات والصيانة وطوابير التفتيش.  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</si>
  <si>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</si>
  <si>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نظافة الآليات.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</si>
  <si>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أي نواقص.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</si>
  <si>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صندوق العدة واكتمال محتوياته.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</si>
  <si>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طفايات الحريق وصلاحيتها.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</si>
</sst>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519599</xdr:colOff>
      <xdr:row>19</xdr:row>
      <xdr:rowOff>527280</xdr:rowOff>
    </xdr:from>
    <xdr:to>
      <xdr:col>8</xdr:col>
      <xdr:colOff>202058</xdr:colOff>
      <xdr:row>20</xdr:row>
      <xdr:rowOff>459148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2D45874-065C-6463-DC32-8E6FE20C5107}"/>
                </a:ext>
              </a:extLst>
            </xdr14:cNvPr>
            <xdr14:cNvContentPartPr/>
          </xdr14:nvContentPartPr>
          <xdr14:nvPr macro=""/>
          <xdr14:xfrm>
            <a:off x="10399042851" y="7766280"/>
            <a:ext cx="998640" cy="4629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2D45874-065C-6463-DC32-8E6FE20C51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34211" y="7757640"/>
              <a:ext cx="1016280" cy="480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54:19.8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643 1286 664,'0'0'0,"0"-5"600,3-6-112,-1 7-32,-2 4-456,5-12 312,-3 11-48,-2-2-32,0 2-48,0 1-184,3-3 160,-3 1-40,0 1-72,2 1 0,-2 0-48,0 0 64,2 0-16,3-1-48,10 1 32,-15 0-32,12-2 16,4-1 0,4-1 32,11 0-8,-31 4-40,34-6 32,9-7 0,5 9 40,3-9-48,-51 13-24,55-5-16,-5-8 48,3 7-8,0-10-24,-53 16 0,51-12-16,-1-1 8,-2-1 32,-2 1 8,-46 13-32,46-11 104,-8-2-48,3 1-80,-10 7 48,-31 5-24,29-13 32,-7 10 32,-3-1 0,-16 2 0,-3 2-64,4-1 56,1 1-24,-5 0 32,-5 0 0,5 0-64,-16 11-24,-1-6 57,-7 9-9,-8-1-8,32-13-16,-31 11 16,-5 0-48,-2 1-25,-1-1 57,39-11 0,-38 4 33,-3 8-1,2-9-16,3-1 16,36-2-32,-34 3 32,6 0 16,1-3 24,5 0-64,22 0-8,-19 0 40,2-1-24,13-4 40,-11 1-32,15 4-24,-2-4-24,-1 0 56,3-1 8,0 2 16,0 3-56,0-4 24,12 0-16,0-2-8,5-8 24,-17 14-24,22-11 64,9-2-64,8-1 0,-1-3-40,-38 17 40,46-16-16,2-1 24,-5 0 8,1 3 16,-44 14-32,45-16 24,-9 2 0,0-2-8,-7 1 16,-29 15-32,19-15 32,3 4 8,-10 7 32,-9-8 0,-3 12-72,4-3 72,-4-1 16,0 0-56,-2 0-24,2 4-8,-5-5 0,-9 3-8,2 0 8,-5 1-24,17 1 24,-12-2-32,-3 2 16,-4 0-8,2 0 24,17 0 0,-17 0-16,1 0-16,1 0-8,3 3 48,12-3-8,-12 3 16,7-3-16,-7 3 8,8-3-32,4 0 24,0 0 32,-3 3-40,3-3 0,0 0 0,0 0 8,0 0 16,0 0-24,17-2 72,2-2-56,-19 4-8,24-11-56,15 5 120,4-11-40,8 0 24,-51 17-48,60-17 24,9-3-8,6 0-40,4 0 64,-79 20-40,80-20 8,-3 0-16,-5 2 40,-2-1-32,-70 19 0,65-15 64,-13-1-32,-6 3-8,-10 8 0,-36 5-24,22-12-24,-8 9 80,-11 2-8,-1-1 56,-2 2-104,0-2 104,-5 0-48,-9 1 48,-10-2-120,24 3 16,-31-2-40,-3 2 16,-7 0-16,-7 0 32,48 0 8,-53 0 8,-5 0 0,-2 0-16,-2-1 8,62 1 0,-68-3 0,-4-1-8,-2-7 0,1 8 24,73 3-16,-74-6-16,-1-5 32,3 6-24,-2-6 24,74 11-16,-70-4 16,5-8-24,5 8 64,0-9-40,60 13-16,-51-5 16,5-11 8,10 3-24,10 0 8,26 13-8,-24-15 56,7-2-40,12 0 0,5-5 8,0 22-24,0-24-32,22-3-8,2-4 0,14-3 8,-38 34 32,44-36-24,9-1 80,11 3-48,1 4 8,-65 30-16,73-25 0,4 3-8,2 4 16,3 4 0,-82 14-8,81-13-24,4 7 0,-6 1 8,5 0-16,-84 5 32,82-4 16,-7 3-48,2 1 16,2 0 24,-79 0-8,74 11 0,3-7 16,-4 12-16,-6-3 40,-67-13-40,65 15 16,-7 5 8,-5 2 0,-10 2-32,-43-24 8,36 28 16,-7 5 0,-12 1-24,-13 2 16,-4-36-8,5 36 0,-5 0 16,-14 1 0,-8 0-16,22-37 0,-34 38 16,-4 1-16,-10-1-8,-12-1 24,60-37-16,-68 37-8,-9-1-40,-4-1 8,-6-1-8,87-34 48,-99 33-64,-6 0 64,-8 1-8,-13-2 16,126-32-8,-129 34 8,-9 1 40,4 0-16,-8 1-32,142-36 0,-140 35 16,1-2 0,7-3 32,4-2 0,128-28-48,-111 26 40,3-3-64,17-4 24,7-3-16,84-16 16,-75 13-8,15-2-24,9-7-24,15 9-32,36-13 88,-33 3-104,11 0-32,5 1-88,5-1-240,12-3 464,-2 3-728,-3-3-97,3-4-95,-1-23-32,3 27 952,0-36-864,-7-11 0,7 47 864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D8" zoomScale="130" zoomScaleNormal="100" zoomScaleSheetLayoutView="130" workbookViewId="0">
      <selection activeCell="G21" sqref="G21:J2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4" t="s">
        <v>180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2">
      <c r="B2" s="12" t="s">
        <v>8</v>
      </c>
      <c r="C2" s="60" t="s">
        <v>13</v>
      </c>
      <c r="D2" s="60"/>
      <c r="E2" s="12" t="s">
        <v>7</v>
      </c>
      <c r="F2" s="55">
        <v>45929</v>
      </c>
      <c r="G2" s="55"/>
      <c r="H2" s="55"/>
      <c r="I2" s="55"/>
      <c r="J2" s="55"/>
    </row>
    <row r="3" spans="1:10" ht="30" customHeight="1" x14ac:dyDescent="0.2">
      <c r="B3" s="12" t="s">
        <v>9</v>
      </c>
      <c r="C3" s="60" t="s">
        <v>71</v>
      </c>
      <c r="D3" s="60"/>
      <c r="E3" s="12" t="s">
        <v>6</v>
      </c>
      <c r="F3" s="60" t="s">
        <v>135</v>
      </c>
      <c r="G3" s="60"/>
      <c r="H3" s="60"/>
      <c r="I3" s="60"/>
      <c r="J3" s="6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6" t="s">
        <v>0</v>
      </c>
      <c r="C5" s="57"/>
      <c r="D5" s="57"/>
      <c r="E5" s="63" t="s">
        <v>1</v>
      </c>
      <c r="F5" s="63"/>
      <c r="G5" s="63"/>
      <c r="H5" s="63"/>
      <c r="I5" s="63" t="s">
        <v>2</v>
      </c>
      <c r="J5" s="64"/>
    </row>
    <row r="6" spans="1:10" ht="24.95" customHeight="1" thickBot="1" x14ac:dyDescent="0.25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5"/>
      <c r="J6" s="66"/>
    </row>
    <row r="7" spans="1:10" ht="24.95" customHeight="1" thickBot="1" x14ac:dyDescent="0.25">
      <c r="A7" s="10"/>
      <c r="B7" s="61" t="s">
        <v>21</v>
      </c>
      <c r="C7" s="62"/>
      <c r="D7" s="62"/>
      <c r="E7" s="28" t="s">
        <v>18</v>
      </c>
      <c r="F7" s="28" t="s">
        <v>19</v>
      </c>
      <c r="G7" s="28" t="s">
        <v>22</v>
      </c>
      <c r="H7" s="28" t="s">
        <v>20</v>
      </c>
      <c r="I7" s="67" t="s">
        <v>25</v>
      </c>
      <c r="J7" s="68"/>
    </row>
    <row r="8" spans="1:10" ht="30" customHeight="1" thickBot="1" x14ac:dyDescent="0.25">
      <c r="A8" s="10"/>
      <c r="B8" s="71" t="s">
        <v>181</v>
      </c>
      <c r="C8" s="72"/>
      <c r="D8" s="72"/>
      <c r="E8" s="31">
        <v>10</v>
      </c>
      <c r="F8" s="32">
        <v>8</v>
      </c>
      <c r="G8" s="33">
        <f>IFERROR(F8/E8,"")</f>
        <v>0.8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69"/>
      <c r="J8" s="70"/>
    </row>
    <row r="9" spans="1:10" ht="30" customHeight="1" thickBot="1" x14ac:dyDescent="0.25">
      <c r="A9" s="10"/>
      <c r="B9" s="73" t="s">
        <v>182</v>
      </c>
      <c r="C9" s="74"/>
      <c r="D9" s="74"/>
      <c r="E9" s="31">
        <v>10</v>
      </c>
      <c r="F9" s="26">
        <v>7.5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2"/>
      <c r="J9" s="43"/>
    </row>
    <row r="10" spans="1:10" ht="30" customHeight="1" thickBot="1" x14ac:dyDescent="0.25">
      <c r="A10" s="10"/>
      <c r="B10" s="73" t="s">
        <v>183</v>
      </c>
      <c r="C10" s="74"/>
      <c r="D10" s="74"/>
      <c r="E10" s="31">
        <v>10</v>
      </c>
      <c r="F10" s="26">
        <v>7.5</v>
      </c>
      <c r="G10" s="29">
        <f t="shared" ref="G10:G16" si="0">IFERROR(F10/E10,"")</f>
        <v>0.75</v>
      </c>
      <c r="H10" s="30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2"/>
      <c r="J10" s="43"/>
    </row>
    <row r="11" spans="1:10" ht="30" customHeight="1" thickBot="1" x14ac:dyDescent="0.25">
      <c r="A11" s="10"/>
      <c r="B11" s="73" t="s">
        <v>184</v>
      </c>
      <c r="C11" s="74"/>
      <c r="D11" s="74"/>
      <c r="E11" s="31">
        <v>10</v>
      </c>
      <c r="F11" s="26">
        <v>7.5</v>
      </c>
      <c r="G11" s="29">
        <f t="shared" si="0"/>
        <v>0.75</v>
      </c>
      <c r="H11" s="30" t="str">
        <f t="shared" si="1"/>
        <v>جيد</v>
      </c>
      <c r="I11" s="42"/>
      <c r="J11" s="43"/>
    </row>
    <row r="12" spans="1:10" ht="30" customHeight="1" thickBot="1" x14ac:dyDescent="0.25">
      <c r="A12" s="10"/>
      <c r="B12" s="73" t="s">
        <v>185</v>
      </c>
      <c r="C12" s="74"/>
      <c r="D12" s="74"/>
      <c r="E12" s="31">
        <v>10</v>
      </c>
      <c r="F12" s="26">
        <v>8</v>
      </c>
      <c r="G12" s="29">
        <f t="shared" si="0"/>
        <v>0.8</v>
      </c>
      <c r="H12" s="30" t="str">
        <f t="shared" si="1"/>
        <v>جيد جداً</v>
      </c>
      <c r="I12" s="42"/>
      <c r="J12" s="43"/>
    </row>
    <row r="13" spans="1:10" ht="30" customHeight="1" thickBot="1" x14ac:dyDescent="0.25">
      <c r="A13" s="10"/>
      <c r="B13" s="73" t="s">
        <v>186</v>
      </c>
      <c r="C13" s="74"/>
      <c r="D13" s="74"/>
      <c r="E13" s="31">
        <v>10</v>
      </c>
      <c r="F13" s="26">
        <v>7.5</v>
      </c>
      <c r="G13" s="29">
        <f t="shared" si="0"/>
        <v>0.75</v>
      </c>
      <c r="H13" s="30" t="str">
        <f t="shared" si="1"/>
        <v>جيد</v>
      </c>
      <c r="I13" s="42"/>
      <c r="J13" s="43"/>
    </row>
    <row r="14" spans="1:10" ht="30" customHeight="1" thickBot="1" x14ac:dyDescent="0.25">
      <c r="A14" s="10"/>
      <c r="B14" s="73" t="s">
        <v>187</v>
      </c>
      <c r="C14" s="74"/>
      <c r="D14" s="74"/>
      <c r="E14" s="31">
        <v>10</v>
      </c>
      <c r="F14" s="26">
        <v>7.5</v>
      </c>
      <c r="G14" s="29">
        <f t="shared" si="0"/>
        <v>0.75</v>
      </c>
      <c r="H14" s="30" t="str">
        <f t="shared" si="1"/>
        <v>جيد</v>
      </c>
      <c r="I14" s="42"/>
      <c r="J14" s="43"/>
    </row>
    <row r="15" spans="1:10" ht="30" customHeight="1" thickBot="1" x14ac:dyDescent="0.25">
      <c r="A15" s="10"/>
      <c r="B15" s="73" t="s">
        <v>188</v>
      </c>
      <c r="C15" s="74"/>
      <c r="D15" s="74"/>
      <c r="E15" s="31">
        <v>10</v>
      </c>
      <c r="F15" s="26">
        <v>7.5</v>
      </c>
      <c r="G15" s="29">
        <f t="shared" si="0"/>
        <v>0.75</v>
      </c>
      <c r="H15" s="30" t="str">
        <f t="shared" si="1"/>
        <v>جيد</v>
      </c>
      <c r="I15" s="42"/>
      <c r="J15" s="43"/>
    </row>
    <row r="16" spans="1:10" ht="30" customHeight="1" thickBot="1" x14ac:dyDescent="0.25">
      <c r="A16" s="10"/>
      <c r="B16" s="77" t="s">
        <v>189</v>
      </c>
      <c r="C16" s="78"/>
      <c r="D16" s="78"/>
      <c r="E16" s="31">
        <v>10</v>
      </c>
      <c r="F16" s="27">
        <v>7.5</v>
      </c>
      <c r="G16" s="35">
        <f t="shared" si="0"/>
        <v>0.75</v>
      </c>
      <c r="H16" s="36" t="str">
        <f t="shared" si="1"/>
        <v>جيد</v>
      </c>
      <c r="I16" s="75"/>
      <c r="J16" s="76"/>
    </row>
    <row r="17" spans="1:10" ht="30" customHeight="1" thickBot="1" x14ac:dyDescent="0.25">
      <c r="A17" s="4"/>
      <c r="B17" s="52" t="s">
        <v>5</v>
      </c>
      <c r="C17" s="53"/>
      <c r="D17" s="53"/>
      <c r="E17" s="9">
        <f>SUM(E8:E16)</f>
        <v>90</v>
      </c>
      <c r="F17" s="9">
        <f>SUM(F8:F16)</f>
        <v>68.5</v>
      </c>
      <c r="G17" s="39"/>
      <c r="H17" s="40"/>
      <c r="I17" s="40"/>
      <c r="J17" s="41"/>
    </row>
    <row r="18" spans="1:10" ht="30" customHeight="1" thickBot="1" x14ac:dyDescent="0.25">
      <c r="A18" s="4"/>
      <c r="B18" s="52" t="s">
        <v>54</v>
      </c>
      <c r="C18" s="53"/>
      <c r="D18" s="53"/>
      <c r="E18" s="50">
        <f>F17/E17/100*100</f>
        <v>0.76111111111111107</v>
      </c>
      <c r="F18" s="50"/>
      <c r="G18" s="50"/>
      <c r="H18" s="50"/>
      <c r="I18" s="50"/>
      <c r="J18" s="51"/>
    </row>
    <row r="19" spans="1:10" ht="30" customHeight="1" thickBot="1" x14ac:dyDescent="0.25">
      <c r="A19" s="4"/>
      <c r="B19" s="52" t="s">
        <v>55</v>
      </c>
      <c r="C19" s="53"/>
      <c r="D19" s="53"/>
      <c r="E19" s="48" t="str">
        <f>_xlfn.IFS(E18&gt;=90%,"ممتاز",E18&gt;=80%,"جيد جداً",E18&gt;=70%,"جيد",E18&gt;=60%,"مقبول",E18&lt;60%,"راسب")</f>
        <v>جيد</v>
      </c>
      <c r="F19" s="48"/>
      <c r="G19" s="48"/>
      <c r="H19" s="48"/>
      <c r="I19" s="48"/>
      <c r="J19" s="49"/>
    </row>
    <row r="20" spans="1:10" ht="42" customHeight="1" x14ac:dyDescent="0.2">
      <c r="B20" s="44" t="s">
        <v>174</v>
      </c>
      <c r="C20" s="44"/>
      <c r="D20" s="44"/>
      <c r="E20" s="37" t="s">
        <v>52</v>
      </c>
      <c r="F20" s="37"/>
      <c r="G20" s="46" t="s">
        <v>135</v>
      </c>
      <c r="H20" s="46"/>
      <c r="I20" s="46"/>
      <c r="J20" s="46"/>
    </row>
    <row r="21" spans="1:10" ht="51" customHeight="1" x14ac:dyDescent="0.2">
      <c r="A21" s="5"/>
      <c r="B21" s="45"/>
      <c r="C21" s="45"/>
      <c r="D21" s="45"/>
      <c r="E21" s="38" t="s">
        <v>53</v>
      </c>
      <c r="F21" s="38"/>
      <c r="G21" s="47"/>
      <c r="H21" s="47"/>
      <c r="I21" s="47"/>
      <c r="J21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9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2025-09-25T11:03:24Z</dcterms:modified>
</cp:coreProperties>
</file>