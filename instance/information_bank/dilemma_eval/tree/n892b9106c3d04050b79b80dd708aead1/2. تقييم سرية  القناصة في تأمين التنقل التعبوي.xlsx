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3"/>
  <workbookPr filterPrivacy="1" codeName="ThisWorkbook"/>
  <xr:revisionPtr revIDLastSave="0" documentId="13_ncr:1_{BD777563-0171-453C-8DE1-A35825966A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H13" i="2"/>
  <c r="G14" i="2"/>
  <c r="G15" i="2"/>
  <c r="H15" i="2"/>
  <c r="G18" i="2"/>
  <c r="H18" i="2"/>
  <c r="G19" i="2"/>
  <c r="G21" i="2"/>
  <c r="G22" i="2"/>
  <c r="G23" i="2"/>
  <c r="H23" i="2"/>
  <c r="G24" i="2"/>
  <c r="H24" i="2"/>
  <c r="G26" i="2"/>
  <c r="H26" i="2"/>
  <c r="G27" i="2"/>
  <c r="H27" i="2"/>
  <c r="G29" i="2"/>
  <c r="G30" i="2"/>
  <c r="G31" i="2"/>
  <c r="G33" i="2"/>
  <c r="G34" i="2"/>
  <c r="G35" i="2"/>
  <c r="G37" i="2"/>
  <c r="H37" i="2"/>
  <c r="G38" i="2"/>
  <c r="H38" i="2"/>
  <c r="G39" i="2"/>
  <c r="H39" i="2"/>
  <c r="G40" i="2"/>
  <c r="H40" i="2"/>
  <c r="G41" i="2"/>
  <c r="H11" i="2"/>
  <c r="H19" i="2"/>
  <c r="H31" i="2"/>
  <c r="H35" i="2"/>
  <c r="H10" i="2"/>
  <c r="H14" i="2"/>
  <c r="H22" i="2"/>
  <c r="H30" i="2"/>
  <c r="H34" i="2"/>
  <c r="H9" i="2"/>
  <c r="H21" i="2"/>
  <c r="H29" i="2"/>
  <c r="H33" i="2"/>
  <c r="H41" i="2"/>
  <c r="H12" i="2"/>
  <c r="F42" i="2"/>
  <c r="E42" i="2"/>
  <c r="E43" i="2"/>
  <c r="E44" i="2"/>
</calcChain>
</file>

<file path=xl/sharedStrings.xml><?xml version="1.0" encoding="utf-8"?>
<sst xmlns="http://schemas.openxmlformats.org/spreadsheetml/2006/main" count="272" uniqueCount="216">
  <si>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</si>
  <si>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</si>
  <si>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</si>
  <si>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</si>
  <si>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</si>
  <si>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</si>
  <si>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</si>
  <si>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</si>
  <si>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</si>
  <si>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</si>
  <si>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</si>
  <si>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</si>
  <si>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</si>
  <si>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</si>
  <si>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</si>
  <si>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</si>
  <si>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</si>
  <si>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</si>
  <si>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</si>
  <si>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</si>
  <si>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</si>
  <si>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</si>
  <si>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</si>
  <si>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</si>
  <si>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</si>
  <si>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</si>
  <si>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</si>
  <si>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</si>
  <si>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</si>
  <si>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</si>
  <si>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</si>
  <si>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</si>
  <si>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</si>
  <si>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</si>
  <si>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</si>
  <si>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</si>
  <si>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</si>
  <si>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</si>
  <si>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</si>
  <si>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</si>
  <si>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</si>
  <si>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</si>
  <si>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</si>
  <si>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</si>
  <si>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</si>
  <si>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</si>
  <si>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</si>
  <si>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</si>
  <si>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</si>
  <si>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</si>
  <si>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</si>
  <si>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</si>
  <si>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</si>
  <si>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</si>
  <si>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</si>
  <si>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</si>
  <si>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</si>
  <si>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</si>
  <si>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</si>
  <si>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</si>
  <si>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</si>
  <si>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</si>
  <si>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</si>
  <si>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</si>
  <si>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</si>
  <si>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</si>
  <si>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</si>
  <si>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</si>
  <si>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</si>
  <si>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</si>
  <si>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</si>
  <si>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</si>
  <si>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</si>
  <si>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</si>
  <si>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</si>
  <si>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</si>
  <si>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</si>
  <si>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</si>
  <si>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</si>
  <si>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</si>
  <si>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</si>
  <si>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</si>
  <si>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</si>
  <si>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</si>
  <si>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</si>
  <si>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</si>
  <si>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</si>
  <si>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</si>
  <si>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</si>
  <si>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</si>
  <si>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</si>
  <si>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</si>
  <si>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</si>
  <si>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</si>
  <si>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</si>
  <si>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</si>
  <si>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</si>
  <si>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</si>
  <si>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</si>
  <si>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</si>
  <si>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</si>
  <si>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</si>
  <si>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</si>
  <si>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</si>
  <si>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</si>
  <si>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</si>
  <si>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</si>
  <si>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</si>
  <si>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</si>
  <si>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</si>
  <si>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</si>
  <si>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</si>
  <si>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</si>
  <si>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</si>
  <si>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</si>
  <si>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</si>
  <si>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</si>
  <si>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</si>
  <si>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</si>
  <si>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</si>
  <si>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</si>
  <si>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</si>
  <si>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</si>
  <si>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</si>
  <si>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</si>
  <si>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</si>
  <si>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</si>
  <si>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</si>
  <si>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</si>
  <si>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</si>
  <si>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</si>
  <si>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</si>
  <si>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</si>
  <si>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</si>
  <si>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</si>
  <si>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</si>
  <si>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</si>
  <si>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</si>
  <si>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</si>
  <si>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</si>
  <si>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</si>
  <si>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</si>
  <si>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</si>
  <si>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</si>
  <si>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</si>
  <si>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</si>
  <si>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</si>
  <si>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</si>
  <si>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</si>
  <si>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</si>
  <si>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</si>
  <si>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</si>
  <si>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</si>
  <si>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</si>
  <si>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</si>
  <si>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</si>
  <si>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</si>
  <si>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</si>
  <si>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</si>
  <si>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</si>
  <si>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</si>
  <si>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</si>
  <si>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</si>
  <si>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</si>
  <si>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</si>
  <si>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</si>
  <si>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</si>
  <si>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</si>
  <si>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</si>
  <si>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</si>
  <si>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</si>
  <si>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</si>
  <si>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</si>
  <si>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</si>
  <si>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</si>
  <si>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</si>
  <si>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</si>
  <si>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</si>
  <si>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</si>
  <si>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</si>
  <si>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التخطيط.</t>
  </si>
  <si>
    <t>أ.  تحديد متطلبات التنقل للسرية.</t>
  </si>
  <si>
    <t>ب.  طلب المعلومات الاستخبارية المحدّثة من مجموعة اللواء في حالة عدم استلامها مع أمر العمليات.</t>
  </si>
  <si>
    <t>2.  تنفيذ الاستطلاع من الخارطة لتحديد ما يلي:</t>
  </si>
  <si>
    <t>أ.  طريق/ طرق التنقل في حالة عدم تحديدها في أمر مجموعة اللواء.</t>
  </si>
  <si>
    <t>ب.  مقتربات العدوالأكثر احتمالاً (في حال كان التماس مع العدومتوقعاً).</t>
  </si>
  <si>
    <t>جـ.  المناطق الحرجة، مثل المناطق الخطرة، الممرات الضيقة، الخوانق، نقاط السيطرة على المسير.</t>
  </si>
  <si>
    <t>د.  منطقة التجمع ومنطقة المأوى.</t>
  </si>
  <si>
    <t>3.  التنسيق مع عناصر الاستطلاع والمراقبة مبكراً للمساعدة في عملية التخطيط (حسب الحاجة). دمج ومزامنة عناصر الإسناد القتالي.</t>
  </si>
  <si>
    <t>4.  التخطيط للإدامة كما يلي:</t>
  </si>
  <si>
    <t>أ.  التأكد من توفر الإدامة الكافية لإسناد جهود الاستطلاع والمراقبة.</t>
  </si>
  <si>
    <t>ب.  تخطيط وتنسيق عمليات إخلاء الإصابات.</t>
  </si>
  <si>
    <t>جـ.  تخطيط عمليات إنقاذ القناصين.</t>
  </si>
  <si>
    <t>5. تنفيذ إدارة المخاطر كما يلي:</t>
  </si>
  <si>
    <t>جـ.  إصدار الأوامر للمرؤوسين، وتقديم إيجازات تأكيدية من القادة المرؤوسين فور استلامهم للأوامر للتأكد من فهمهم لقصد القائد ومفهوم عملياته.</t>
  </si>
  <si>
    <t>إجراءات التنفيذ.</t>
  </si>
  <si>
    <r>
      <t>أ‌.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دمج جماعات القناصة مع جهود الاستطلاع وحسب الضرورة.</t>
    </r>
  </si>
  <si>
    <r>
      <t>أ‌.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إصدار الأوامر المرؤوسين، وتقديم إيجازات تأكيدية من القادة المرؤوسين فور استلامهم للأوامر للتأكد من فهمهم لقصد القائد ومفهوم عملياته.</t>
    </r>
  </si>
  <si>
    <t>ب‌.  دمج المتطلبات الاستخبارية المتعلقة بالعدو في المتطلبات الاستخبارية ذات الأولوية وخطة الاستطلاع والمراقبة.</t>
  </si>
  <si>
    <r>
      <t>ب‌.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التأكد من توفر الطرق والظروف المناسبة للتنقل إذا لم يتم تحديد الطرق من قبل مجموعة اللواء.</t>
    </r>
  </si>
  <si>
    <r>
      <rPr>
        <b/>
        <sz val="14"/>
        <color rgb="FF000000"/>
        <rFont val="Arial"/>
        <family val="2"/>
      </rPr>
      <t>تقييــــــــم سريــــــة القناصـــــة فـــي تأميــــــن التنقـــــل التعبــــــــوي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</si>
  <si>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إجراءات التحضير.</t>
    </r>
    <r>
      <rPr>
        <sz val="12"/>
        <color rgb="FF000000"/>
        <rFont val="Arial"/>
        <family val="2"/>
      </rPr>
      <t xml:space="preserve"> تقوم سرية القناصة بالتحضير لتأمين التنقل التعبوي كما يلي:</t>
    </r>
  </si>
  <si>
    <t>1.  تنفيذ تفقدات وتفتيشات ما قبل المعركة.</t>
  </si>
  <si>
    <t>2.  الإشراف على إجراءات الوحدات المرؤوسة للتأكد من أن جهود التخطيط والتحضير تجري في الاتجاه الصحيح وتتوافق مع قصد القائد.</t>
  </si>
  <si>
    <t>3.  إجراء التجارب خلال ساعات النهار وفي ظل ظروف الرؤية المحدودة إن أمكن.</t>
  </si>
  <si>
    <t>4.  تحميل كافة الأسلحة والمعدات الهامة وخطة الإدامة.</t>
  </si>
  <si>
    <t>5.  إيجاز فرق القناصة وتوزيعهم في مواقعهم.</t>
  </si>
  <si>
    <t>6.  فحص أجهزة الاتصالات في كافة الآليات قبل البدء بالحركة.</t>
  </si>
  <si>
    <t>7.  توضيع عناصر القناصة ضمن نظام المسير الصحيح.</t>
  </si>
  <si>
    <t>1‌. استخدام التشكيلة المحددة، أسلوب التنقل ومعدل المسير. والمحافظة على السرعة الملائمة للوصول إلى نقاط الضبط والسيطرة في الأوقات المحددة في الأمر.</t>
  </si>
  <si>
    <t>2‌. استخدام إشارات التعارف البصرية أوالأجهزة اللاسلكية للاتصال مع الوحدات وبما يتوافق مع أمر العمليات والأوامر التعبوية المستديمة.</t>
  </si>
  <si>
    <t>3.   إدامة المراقبة لجميع الجهات بما في ذلك المراقبة الجوية أثناء الحركة والوقفات.</t>
  </si>
  <si>
    <t>4.   تطبيق إجراءات التماس مع قوات العد وحسب أمر العمليات أو الأوامر التعبوية المستديمة.</t>
  </si>
  <si>
    <t>5.   تنفيذ عمليات التزويد حسب الحاجة.</t>
  </si>
  <si>
    <t>1.  يعمل قائد سرية القناصة على فهم الموقف بكافة الوسائل المتوفرة. تستلم سرية القناصة أمر العمليات أوالأمر المجزأ لتأمين التنقل التعبوي ويتم البدء بإجراءات التخطيط وكما يلي:</t>
  </si>
  <si>
    <t>النقيب/ سعيد المحرزي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</si>
</sst>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" fillId="5" borderId="5" xfId="0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right" vertical="center" wrapText="1"/>
    </xf>
    <xf numFmtId="0" fontId="1" fillId="5" borderId="6" xfId="0" applyFont="1" applyFill="1" applyBorder="1" applyAlignment="1">
      <alignment horizontal="right" vertical="center" wrapText="1"/>
    </xf>
    <xf numFmtId="0" fontId="12" fillId="0" borderId="23" xfId="0" applyFont="1" applyBorder="1" applyAlignment="1">
      <alignment horizontal="right" vertical="center" readingOrder="2"/>
    </xf>
    <xf numFmtId="0" fontId="12" fillId="0" borderId="3" xfId="0" applyFont="1" applyBorder="1" applyAlignment="1">
      <alignment horizontal="right" vertical="center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indent="2" readingOrder="2"/>
    </xf>
    <xf numFmtId="0" fontId="12" fillId="0" borderId="3" xfId="0" applyFont="1" applyBorder="1" applyAlignment="1">
      <alignment horizontal="right" vertical="center" indent="2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531797</xdr:colOff>
      <xdr:row>45</xdr:row>
      <xdr:rowOff>137952</xdr:rowOff>
    </xdr:from>
    <xdr:to>
      <xdr:col>7</xdr:col>
      <xdr:colOff>519894</xdr:colOff>
      <xdr:row>45</xdr:row>
      <xdr:rowOff>365112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427AEB2-3D2C-52AA-3709-7AAE3A00B36B}"/>
                </a:ext>
              </a:extLst>
            </xdr14:cNvPr>
            <xdr14:cNvContentPartPr/>
          </xdr14:nvContentPartPr>
          <xdr14:nvPr macro=""/>
          <xdr14:xfrm>
            <a:off x="10418663780" y="19456560"/>
            <a:ext cx="645480" cy="2271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427AEB2-3D2C-52AA-3709-7AAE3A00B3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18657660" y="19450440"/>
              <a:ext cx="65772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577494</xdr:colOff>
      <xdr:row>45</xdr:row>
      <xdr:rowOff>165312</xdr:rowOff>
    </xdr:from>
    <xdr:to>
      <xdr:col>9</xdr:col>
      <xdr:colOff>488524</xdr:colOff>
      <xdr:row>45</xdr:row>
      <xdr:rowOff>472752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E78EBE0-7BB0-4797-D58B-6D6E46CA81AB}"/>
                </a:ext>
              </a:extLst>
            </xdr14:cNvPr>
            <xdr14:cNvContentPartPr/>
          </xdr14:nvContentPartPr>
          <xdr14:nvPr macro=""/>
          <xdr14:xfrm>
            <a:off x="10417380380" y="19483920"/>
            <a:ext cx="1225800" cy="307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E78EBE0-7BB0-4797-D58B-6D6E46CA81A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17374260" y="19477800"/>
              <a:ext cx="1238040" cy="319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33:49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1267 630 2568,'0'0'0,"0"0"0,-2 0 2761,2-3-625,0-2-239,0-9-561,0 14-1336,0 0 1000,0 0-344,0 0-176,0 0-88,0 0-2920,0 0 5424,0 0-2520,0 0-159,0 0 143,0 0-4209,0 0 8010,0 0-3641,0 0-56,0 0 112,0 0-6297,0 0 11946,0 0-5929,0 0 136,0 0-112,0 0-7593,0 0 14954,0 0-7336,0-4-17,0 4 40,0 0-368,0 0 360,0 0-88,0 0-8,0 0-24,0 0-1376,0 0 2528,0 0-1048,0-3 8,0 3-168,0 0-184,0-4 144,0 4-80,0-3 56,0-1 8,0 4-128,0-3 104,0-1 32,-5 4-96,0-3-32,5 3-8,0-4 72,-4 4-48,4-3-16,0-1 32,0 4-40,-2 0-8,-3-3 96,5-1 8,-2-1 40,2 5-136,-3-3 200,-2-1-216,3-1 112,-3 2-40,5 3-56,-2-6 104,2 1 65,-5 0-9,0-9-24,5 14-136,-2-4 80,-2-1-24,-1-10 40,0 11-24,5 4-72,-7-14-32,2 11 128,3-11-56,-1 9 16,3 5-56,-7-16 72,-4 11-64,11-9 8,-5 9 24,5 5-40,-7-14 88,5 8-32,-3-11-16,-2 12-224,7 5 184,-5-19-64,1 13-24,-1-13 40,1 14 144,4 5-96,-3-14-32,-2 11 64,3-3-24,2 1 24,0 5-32,-5-5 40,5 0 32,0-1-48,0 3 0,0 3-24,0-3 112,0-1-120,0 1 8,0-3 56,0 6-56,0-5 24,0 2 48,-2-3-48,2 3 16,0 3-40,0-4-56,0 1 128,2-1-40,3 1 8,-5 3-40,5-3-56,0 3 24,2 0-32,-2 0 184,-5 0-120,15-4 224,-10 4-120,14 0 8,-12 0-144,-7 0 32,16-3 16,1 3 64,-6 0 24,6 0-176,-17 0 72,16 0-16,1 0-112,0-4 120,1 4-48,-18 0 56,22-3 0,-2-1 56,-1 1-112,2-1 120,1-1-128,-22 5 64,13-5-32,4-1 32,-1 1-72,3-9 88,-19 14-16,21-3 16,-4-2-16,1-11 80,3 11-48,-21 5-32,19-14-88,-2 9 48,-1-11-32,-16 16 72,19-4-80,-5-9 96,2 9-128,1-10 168,-17 14-56,12-3-72,1-3 0,-6-8 72,1 11-112,-4-2 104,-4 5 8,5-5 24,0-1 32,1 1-136,-1 2 88,-5 3-8,3-4-40,-1 1-32,0 3 120,1-4-104,-3 4 56,2 0-48,-2 0-16,0 0 32,0 0-64,0 0 96,0 0-152,0 0-40,0 0 48,0 0 16,0 0 744,0 0-1376,-2 0 720,-1 2-16,-1 3-1,4-5 57,-3 7 81,-2 7 95,-3-9-192,-9 2-8,17-7 24,-5 14-40,-13-9-16,1 13 72,1-13 48,16-5-64,-19 14 0,2-9 40,-4 11 16,0-9 0,21-7-56,-16 17-24,-8-3-128,3 0 168,1 0 24,20-14-40,-22 7 40,4 12-24,1-12-8,0 9-8,17-16 0,-13 5 0,-2 11 96,-2-11-152,1 10-80,16-15 136,-12 6-8,-3 13 32,-2-12 32,-3 12-40,20-19-16,-18 14-48,-1-7-233,1 12 281,1-14 16,17-5-16,-16 16 81,-1-11 95,5 0-208,8 2 64,4-7-32,-19 6-136,14 0-17,-13 0 49,11-1-48,7-5 152,-17 5 32,15-1 8,-12-1-32,12 2-16,2-5 8,-5 6 0,-12-3-32,12 2 8,-10-1 64,15-4-40,-5 3 24,0 1 8,-14-1 16,17-1 24,2-2-72,-5 2 24,-9-2 16,9 0-24,3 0-16,2 0 0,-14 0 17,12-4-9,-5 1 32,-5-1 8,12 4-48,-5-3 8,-11-3 24,14 1 8,-15 0-40,17 5 0,-3-14 64,-13 11-88,2-13 24,0 13 8,14 3-8,-16-14-8,1 10 32,-1-10-40,0 11 32,16 3-16,-5-14 32,-20 9 8,10-9 8,1 10-16,14 4-32,-14-16 0,0 13 56,9-11 48,-13 9-32,18 5-72,-7-16 80,-10 11-24,12-12 0,-9 11 64,14 6-120,-4-17 128,-13 12 64,14-11-120,-4 13 64,7 3-136,-4-14 72,-8 10 40,8 1 16,-1-3-32,5 6-96,-5-3 112,2-1-72,-1 1 16,-1 3-64,5 0 8,-4 0 72,-1-3-16,0 3-16,1 0 16,4 0-56,-3 0-40,3 0 48,0 0 40,3 0-32,-3 0-16,0 0 8,0 1-16,2 3-24,-2 1 64,0-5-32,2 7 40,6 7 0,3-9 8,-7 9-40,-4-14-8,8 5 56,13 11-56,-17-9 16,13 10-40,-17-17 24,5 5-32,2 13 88,6-13-96,2 11 112,-15-16-72,7 5-32,9 9 32,-11-9 16,9 2-16,-14-7 0,7 16-16,9-11 0,-9 0 64,1 9-64,-8-14 16,4 4 88,12 3-88,-11 7 0,5-9-56,-10-5 56,12 7-16,-10 7 16,3-9-32,0 2 48,-5-7-16,1 7 0,-1 0-16,0-2-24,3 0 64,-3-5-24,0 5-24,0 1 40,0-1 56,0 0-72,0-5 0,0 5-16,0 0 0,-3 1 32,-1-1-48,4-5 32,-16 5-40,11 0 40,-16 1-56,7 1 56,14-7 0,-15 5 128,-1 2-128,-5 0 40,3 0-56,18-7 16,-25 5-24,5 2 8,-2-2 32,-3 0 64,25-5-80,-19 4 16,-7-1-16,3-1 0,-3 1-184,26-3 184,-31 2-24,3 0-40,1-2-32,10-4 56,17 4 40,-15-5-128,2-9-128,8 11 72,3-2-8,2 5 192,0-14-224,-3 14 184,3-6-48,0-7 48,0 13 40,0-4-64,0 1 32,5-3-48,-3 1 80,-2 5 0,5-5 24,0 0-88,-1-1 144,-2 3-96,-2 3 16,3-3 16,-3 3-56,0 0 48,0 0-8,-5 0 72,-9 0-56,10 0 48,4 0-64,-17 0-40,12 0 40,-18 1 72,4 1-72,19-2 0,-16 3 24,-3 1-8,0 1-88,0-3 32,19-2 40,-21 3 72,-4-1-144,1 0 104,6 1-120,18-3 88,-24 2-440,-2 2-385,-2-3-983,-1 3-1897,29-4 3705,-30 2-10810,30-2 10810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6T17:33:50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1650 589 9826,'0'0'0,"0"0"0,2 2 2432,1 1-567,11 3-273,2-3-320,-16-3-1272,22 2 1040,3 1-223,0 1-177,7-3-80,-32-1-560,37 4 400,1-1-72,-1-1 88,7 2 8,-44-4-424,42 1 440,8 1 128,-3-2 64,1 0-47,-48 0-585,55-3 552,1-3-288,0 1 208,2-9 16,-58 14-488,57-3 360,-3-2 344,4-9-416,-2 10-176,-56 4-112,57-5 368,-3-12-192,-3 13 0,1-13 48,-52 17-224,51-14 73,-2 9-41,-1-18 24,-1 5-88,-47 18 32,42-17 32,-3 0 24,-3-1-64,-3 3 32,-33 15-24,25-14 16,1 0 48,-5 0-8,0 0 64,-21 14-120,19-14 56,-3 0-40,-2 0 0,-9 0-16,-5 14 0,14-5 80,-12-16-72,5 7-8,-4 9 96,-3 5-96,2-19 0,-2 14 56,0-13 24,0 13-112,0 5 32,-5-17 0,-13 11 0,13-11 32,-14 12 40,19 5-72,-16-19 88,-6 5-24,-1 0-8,-9 0-40,32 14-16,-33-14 16,4 0 16,-8 9-64,-3-16 80,40 21-48,-35-5 32,-8-13 8,5 15 40,-5-3-64,43 6-16,-47-5 0,0 2 56,2 3-24,5 0 0,40 0-32,-46 0 56,-1 0-40,5 0 32,-8 2-32,50-2-16,-46 3-32,-1 2-72,2 0-16,1 1 24,44-6 96,-45 5-72,-1 0 112,4 0-24,-3 1 32,45-6-48,-50 7 32,8 6-16,-4-7 40,6 11-40,40-17-16,-42 7 64,-8 12-96,3-3 48,-6-2 32,53-14-48,-52 17-16,-6 1 72,6 1-112,0 2 96,52-21-40,-53 21 16,6 3 0,-9 2 104,27-19-176,29-7 56,-35 21 72,-5-4-88,0 2 160,-4 1-40,44-20-104,-54 22 104,2 1-8,-6 3-208,-1 0 88,59-26 24,-58 26 0,4 0-264,-7 0-160,3 2-16,58-28 440,-62 28-552,-1 2 376,-4-1 128,-6 3 120,73-32-72,-75 31 168,33-15 144,-1-1 16,-1 1-464,44-16 136,-55 17-672,2-1-1041,-8 0-1223,-2 1-4402,63-17 7338,-70 16-10922,70-16 10922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46"/>
  <sheetViews>
    <sheetView rightToLeft="1" tabSelected="1" view="pageBreakPreview" zoomScale="120" zoomScaleNormal="100" zoomScaleSheetLayoutView="12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33203125" style="1" customWidth="1"/>
    <col min="11" max="16384" width="9" style="1"/>
  </cols>
  <sheetData>
    <row r="1" spans="1:10" ht="45" customHeight="1" x14ac:dyDescent="0.3">
      <c r="B1" s="59" t="s">
        <v>200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1" t="s">
        <v>8</v>
      </c>
      <c r="C2" s="65" t="s">
        <v>57</v>
      </c>
      <c r="D2" s="65"/>
      <c r="E2" s="11" t="s">
        <v>7</v>
      </c>
      <c r="F2" s="60">
        <v>45956</v>
      </c>
      <c r="G2" s="60"/>
      <c r="H2" s="60"/>
      <c r="I2" s="60"/>
      <c r="J2" s="60"/>
    </row>
    <row r="3" spans="1:10" ht="30" customHeight="1" x14ac:dyDescent="0.3">
      <c r="B3" s="11" t="s">
        <v>9</v>
      </c>
      <c r="C3" s="65" t="s">
        <v>60</v>
      </c>
      <c r="D3" s="65"/>
      <c r="E3" s="11" t="s">
        <v>6</v>
      </c>
      <c r="F3" s="65" t="s">
        <v>104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 t="s">
        <v>215</v>
      </c>
      <c r="E4" s="6"/>
      <c r="F4" s="7"/>
      <c r="G4" s="7"/>
      <c r="H4" s="8"/>
      <c r="I4" s="7"/>
      <c r="J4" s="7"/>
    </row>
    <row r="5" spans="1:10" ht="24.9" customHeight="1" x14ac:dyDescent="0.3">
      <c r="A5" s="9"/>
      <c r="B5" s="61" t="s">
        <v>0</v>
      </c>
      <c r="C5" s="62"/>
      <c r="D5" s="62"/>
      <c r="E5" s="66" t="s">
        <v>1</v>
      </c>
      <c r="F5" s="66"/>
      <c r="G5" s="66"/>
      <c r="H5" s="66"/>
      <c r="I5" s="66" t="s">
        <v>2</v>
      </c>
      <c r="J5" s="67"/>
    </row>
    <row r="6" spans="1:10" ht="24.9" customHeight="1" thickBot="1" x14ac:dyDescent="0.35">
      <c r="A6" s="9"/>
      <c r="B6" s="63"/>
      <c r="C6" s="64"/>
      <c r="D6" s="64"/>
      <c r="E6" s="10" t="s">
        <v>3</v>
      </c>
      <c r="F6" s="10" t="s">
        <v>4</v>
      </c>
      <c r="G6" s="10" t="s">
        <v>23</v>
      </c>
      <c r="H6" s="10" t="s">
        <v>24</v>
      </c>
      <c r="I6" s="68"/>
      <c r="J6" s="69"/>
    </row>
    <row r="7" spans="1:10" ht="24.9" customHeight="1" thickBot="1" x14ac:dyDescent="0.35">
      <c r="A7" s="9"/>
      <c r="B7" s="70" t="s">
        <v>21</v>
      </c>
      <c r="C7" s="71"/>
      <c r="D7" s="71"/>
      <c r="E7" s="26" t="s">
        <v>18</v>
      </c>
      <c r="F7" s="26" t="s">
        <v>19</v>
      </c>
      <c r="G7" s="26" t="s">
        <v>22</v>
      </c>
      <c r="H7" s="26" t="s">
        <v>20</v>
      </c>
      <c r="I7" s="72" t="s">
        <v>25</v>
      </c>
      <c r="J7" s="73"/>
    </row>
    <row r="8" spans="1:10" ht="30" customHeight="1" x14ac:dyDescent="0.3">
      <c r="A8" s="9"/>
      <c r="B8" s="41" t="s">
        <v>201</v>
      </c>
      <c r="C8" s="42"/>
      <c r="D8" s="42"/>
      <c r="E8" s="42"/>
      <c r="F8" s="42"/>
      <c r="G8" s="42"/>
      <c r="H8" s="42"/>
      <c r="I8" s="42"/>
      <c r="J8" s="43"/>
    </row>
    <row r="9" spans="1:10" ht="30" customHeight="1" x14ac:dyDescent="0.3">
      <c r="A9" s="9"/>
      <c r="B9" s="39" t="s">
        <v>202</v>
      </c>
      <c r="C9" s="40"/>
      <c r="D9" s="40"/>
      <c r="E9" s="28">
        <v>5</v>
      </c>
      <c r="F9" s="25">
        <v>3.5</v>
      </c>
      <c r="G9" s="29">
        <f t="shared" ref="G9:G41" si="0">IFERROR(F9/E9,"")</f>
        <v>0.7</v>
      </c>
      <c r="H9" s="30" t="str">
        <f t="shared" ref="H9:H41" si="1"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0" customHeight="1" x14ac:dyDescent="0.3">
      <c r="A10" s="9"/>
      <c r="B10" s="44" t="s">
        <v>203</v>
      </c>
      <c r="C10" s="45"/>
      <c r="D10" s="45"/>
      <c r="E10" s="28">
        <v>5</v>
      </c>
      <c r="F10" s="25">
        <v>3.75</v>
      </c>
      <c r="G10" s="29">
        <f t="shared" si="0"/>
        <v>0.75</v>
      </c>
      <c r="H10" s="30" t="str">
        <f t="shared" si="1"/>
        <v>جيد</v>
      </c>
      <c r="I10" s="48"/>
      <c r="J10" s="49"/>
    </row>
    <row r="11" spans="1:10" ht="39.9" customHeight="1" x14ac:dyDescent="0.3">
      <c r="A11" s="9"/>
      <c r="B11" s="39" t="s">
        <v>204</v>
      </c>
      <c r="C11" s="40"/>
      <c r="D11" s="40"/>
      <c r="E11" s="28">
        <v>5</v>
      </c>
      <c r="F11" s="25">
        <v>3.75</v>
      </c>
      <c r="G11" s="29">
        <f t="shared" si="0"/>
        <v>0.75</v>
      </c>
      <c r="H11" s="30" t="str">
        <f t="shared" si="1"/>
        <v>جيد</v>
      </c>
      <c r="I11" s="48"/>
      <c r="J11" s="49"/>
    </row>
    <row r="12" spans="1:10" ht="30" customHeight="1" x14ac:dyDescent="0.3">
      <c r="A12" s="9"/>
      <c r="B12" s="39" t="s">
        <v>205</v>
      </c>
      <c r="C12" s="40"/>
      <c r="D12" s="40"/>
      <c r="E12" s="28">
        <v>5</v>
      </c>
      <c r="F12" s="25">
        <v>3.5</v>
      </c>
      <c r="G12" s="29">
        <f t="shared" si="0"/>
        <v>0.7</v>
      </c>
      <c r="H12" s="30" t="str">
        <f t="shared" si="1"/>
        <v>جيد</v>
      </c>
      <c r="I12" s="48"/>
      <c r="J12" s="49"/>
    </row>
    <row r="13" spans="1:10" ht="30" customHeight="1" x14ac:dyDescent="0.3">
      <c r="A13" s="9"/>
      <c r="B13" s="39" t="s">
        <v>206</v>
      </c>
      <c r="C13" s="40"/>
      <c r="D13" s="40"/>
      <c r="E13" s="28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48"/>
      <c r="J13" s="49"/>
    </row>
    <row r="14" spans="1:10" ht="30" customHeight="1" x14ac:dyDescent="0.3">
      <c r="A14" s="9"/>
      <c r="B14" s="39" t="s">
        <v>207</v>
      </c>
      <c r="C14" s="40"/>
      <c r="D14" s="40"/>
      <c r="E14" s="28">
        <v>5</v>
      </c>
      <c r="F14" s="25">
        <v>3.75</v>
      </c>
      <c r="G14" s="29">
        <f t="shared" si="0"/>
        <v>0.75</v>
      </c>
      <c r="H14" s="30" t="str">
        <f t="shared" si="1"/>
        <v>جيد</v>
      </c>
      <c r="I14" s="48"/>
      <c r="J14" s="49"/>
    </row>
    <row r="15" spans="1:10" ht="30" customHeight="1" thickBot="1" x14ac:dyDescent="0.35">
      <c r="A15" s="9"/>
      <c r="B15" s="46" t="s">
        <v>208</v>
      </c>
      <c r="C15" s="47"/>
      <c r="D15" s="47"/>
      <c r="E15" s="31">
        <v>5</v>
      </c>
      <c r="F15" s="32">
        <v>3.75</v>
      </c>
      <c r="G15" s="33">
        <f t="shared" si="0"/>
        <v>0.75</v>
      </c>
      <c r="H15" s="34" t="str">
        <f t="shared" si="1"/>
        <v>جيد</v>
      </c>
      <c r="I15" s="50"/>
      <c r="J15" s="51"/>
    </row>
    <row r="16" spans="1:10" ht="30" customHeight="1" x14ac:dyDescent="0.3">
      <c r="A16" s="9"/>
      <c r="B16" s="41" t="s">
        <v>180</v>
      </c>
      <c r="C16" s="42"/>
      <c r="D16" s="42"/>
      <c r="E16" s="42"/>
      <c r="F16" s="42"/>
      <c r="G16" s="42"/>
      <c r="H16" s="42"/>
      <c r="I16" s="42"/>
      <c r="J16" s="43"/>
    </row>
    <row r="17" spans="1:10" ht="56.25" customHeight="1" x14ac:dyDescent="0.3">
      <c r="A17" s="9"/>
      <c r="B17" s="39" t="s">
        <v>214</v>
      </c>
      <c r="C17" s="40"/>
      <c r="D17" s="40"/>
      <c r="E17" s="28"/>
      <c r="F17" s="25"/>
      <c r="G17" s="29"/>
      <c r="H17" s="30"/>
      <c r="I17" s="48"/>
      <c r="J17" s="49"/>
    </row>
    <row r="18" spans="1:10" ht="30" customHeight="1" x14ac:dyDescent="0.3">
      <c r="A18" s="9"/>
      <c r="B18" s="52" t="s">
        <v>181</v>
      </c>
      <c r="C18" s="53"/>
      <c r="D18" s="53"/>
      <c r="E18" s="28">
        <v>5</v>
      </c>
      <c r="F18" s="25">
        <v>3.5</v>
      </c>
      <c r="G18" s="29">
        <f t="shared" si="0"/>
        <v>0.7</v>
      </c>
      <c r="H18" s="30" t="str">
        <f t="shared" si="1"/>
        <v>جيد</v>
      </c>
      <c r="I18" s="48"/>
      <c r="J18" s="49"/>
    </row>
    <row r="19" spans="1:10" ht="39.9" customHeight="1" x14ac:dyDescent="0.3">
      <c r="A19" s="9"/>
      <c r="B19" s="35" t="s">
        <v>182</v>
      </c>
      <c r="C19" s="36"/>
      <c r="D19" s="36"/>
      <c r="E19" s="28">
        <v>5</v>
      </c>
      <c r="F19" s="25">
        <v>3.5</v>
      </c>
      <c r="G19" s="29">
        <f t="shared" si="0"/>
        <v>0.7</v>
      </c>
      <c r="H19" s="30" t="str">
        <f t="shared" si="1"/>
        <v>جيد</v>
      </c>
      <c r="I19" s="48"/>
      <c r="J19" s="49"/>
    </row>
    <row r="20" spans="1:10" ht="30" customHeight="1" x14ac:dyDescent="0.3">
      <c r="A20" s="9"/>
      <c r="B20" s="44" t="s">
        <v>183</v>
      </c>
      <c r="C20" s="45"/>
      <c r="D20" s="45"/>
      <c r="E20" s="28"/>
      <c r="F20" s="25"/>
      <c r="G20" s="29"/>
      <c r="H20" s="30"/>
      <c r="I20" s="48"/>
      <c r="J20" s="49"/>
    </row>
    <row r="21" spans="1:10" ht="30" customHeight="1" x14ac:dyDescent="0.3">
      <c r="A21" s="9"/>
      <c r="B21" s="52" t="s">
        <v>184</v>
      </c>
      <c r="C21" s="53"/>
      <c r="D21" s="53"/>
      <c r="E21" s="28">
        <v>5</v>
      </c>
      <c r="F21" s="25">
        <v>3.5</v>
      </c>
      <c r="G21" s="29">
        <f t="shared" si="0"/>
        <v>0.7</v>
      </c>
      <c r="H21" s="30" t="str">
        <f t="shared" si="1"/>
        <v>جيد</v>
      </c>
      <c r="I21" s="48"/>
      <c r="J21" s="49"/>
    </row>
    <row r="22" spans="1:10" ht="30" customHeight="1" x14ac:dyDescent="0.3">
      <c r="A22" s="9"/>
      <c r="B22" s="35" t="s">
        <v>185</v>
      </c>
      <c r="C22" s="36"/>
      <c r="D22" s="36"/>
      <c r="E22" s="28">
        <v>5</v>
      </c>
      <c r="F22" s="25">
        <v>3.5</v>
      </c>
      <c r="G22" s="29">
        <f t="shared" si="0"/>
        <v>0.7</v>
      </c>
      <c r="H22" s="30" t="str">
        <f t="shared" si="1"/>
        <v>جيد</v>
      </c>
      <c r="I22" s="48"/>
      <c r="J22" s="49"/>
    </row>
    <row r="23" spans="1:10" ht="39.9" customHeight="1" x14ac:dyDescent="0.3">
      <c r="A23" s="9"/>
      <c r="B23" s="35" t="s">
        <v>186</v>
      </c>
      <c r="C23" s="36"/>
      <c r="D23" s="36"/>
      <c r="E23" s="28">
        <v>5</v>
      </c>
      <c r="F23" s="25">
        <v>3.5</v>
      </c>
      <c r="G23" s="29">
        <f t="shared" si="0"/>
        <v>0.7</v>
      </c>
      <c r="H23" s="30" t="str">
        <f t="shared" si="1"/>
        <v>جيد</v>
      </c>
      <c r="I23" s="48"/>
      <c r="J23" s="49"/>
    </row>
    <row r="24" spans="1:10" ht="30" customHeight="1" x14ac:dyDescent="0.3">
      <c r="A24" s="9"/>
      <c r="B24" s="35" t="s">
        <v>187</v>
      </c>
      <c r="C24" s="36"/>
      <c r="D24" s="36"/>
      <c r="E24" s="28">
        <v>5</v>
      </c>
      <c r="F24" s="25">
        <v>3.5</v>
      </c>
      <c r="G24" s="29">
        <f t="shared" si="0"/>
        <v>0.7</v>
      </c>
      <c r="H24" s="30" t="str">
        <f t="shared" si="1"/>
        <v>جيد</v>
      </c>
      <c r="I24" s="48"/>
      <c r="J24" s="49"/>
    </row>
    <row r="25" spans="1:10" ht="39.9" customHeight="1" x14ac:dyDescent="0.3">
      <c r="A25" s="9"/>
      <c r="B25" s="39" t="s">
        <v>188</v>
      </c>
      <c r="C25" s="40"/>
      <c r="D25" s="40"/>
      <c r="E25" s="28"/>
      <c r="F25" s="25"/>
      <c r="G25" s="29"/>
      <c r="H25" s="30"/>
      <c r="I25" s="48"/>
      <c r="J25" s="49"/>
    </row>
    <row r="26" spans="1:10" ht="30" customHeight="1" x14ac:dyDescent="0.3">
      <c r="A26" s="9"/>
      <c r="B26" s="57" t="s">
        <v>196</v>
      </c>
      <c r="C26" s="58"/>
      <c r="D26" s="58"/>
      <c r="E26" s="28">
        <v>5</v>
      </c>
      <c r="F26" s="25">
        <v>3.5</v>
      </c>
      <c r="G26" s="29">
        <f t="shared" si="0"/>
        <v>0.7</v>
      </c>
      <c r="H26" s="30" t="str">
        <f t="shared" si="1"/>
        <v>جيد</v>
      </c>
      <c r="I26" s="48"/>
      <c r="J26" s="49"/>
    </row>
    <row r="27" spans="1:10" ht="39.9" customHeight="1" x14ac:dyDescent="0.3">
      <c r="A27" s="9"/>
      <c r="B27" s="57" t="s">
        <v>198</v>
      </c>
      <c r="C27" s="58"/>
      <c r="D27" s="58"/>
      <c r="E27" s="28">
        <v>5</v>
      </c>
      <c r="F27" s="25">
        <v>3.75</v>
      </c>
      <c r="G27" s="29">
        <f t="shared" si="0"/>
        <v>0.75</v>
      </c>
      <c r="H27" s="30" t="str">
        <f t="shared" si="1"/>
        <v>جيد</v>
      </c>
      <c r="I27" s="48"/>
      <c r="J27" s="49"/>
    </row>
    <row r="28" spans="1:10" ht="30" customHeight="1" x14ac:dyDescent="0.3">
      <c r="A28" s="9"/>
      <c r="B28" s="44" t="s">
        <v>189</v>
      </c>
      <c r="C28" s="45"/>
      <c r="D28" s="45"/>
      <c r="E28" s="28"/>
      <c r="F28" s="25"/>
      <c r="G28" s="29"/>
      <c r="H28" s="30"/>
      <c r="I28" s="48"/>
      <c r="J28" s="49"/>
    </row>
    <row r="29" spans="1:10" ht="30" customHeight="1" x14ac:dyDescent="0.3">
      <c r="A29" s="9"/>
      <c r="B29" s="35" t="s">
        <v>190</v>
      </c>
      <c r="C29" s="36"/>
      <c r="D29" s="36"/>
      <c r="E29" s="28">
        <v>5</v>
      </c>
      <c r="F29" s="25">
        <v>3.5</v>
      </c>
      <c r="G29" s="29">
        <f t="shared" si="0"/>
        <v>0.7</v>
      </c>
      <c r="H29" s="30" t="str">
        <f t="shared" si="1"/>
        <v>جيد</v>
      </c>
      <c r="I29" s="48"/>
      <c r="J29" s="49"/>
    </row>
    <row r="30" spans="1:10" ht="30" customHeight="1" x14ac:dyDescent="0.3">
      <c r="A30" s="9"/>
      <c r="B30" s="35" t="s">
        <v>191</v>
      </c>
      <c r="C30" s="36"/>
      <c r="D30" s="36"/>
      <c r="E30" s="28">
        <v>5</v>
      </c>
      <c r="F30" s="25">
        <v>3.5</v>
      </c>
      <c r="G30" s="29">
        <f t="shared" si="0"/>
        <v>0.7</v>
      </c>
      <c r="H30" s="30" t="str">
        <f t="shared" si="1"/>
        <v>جيد</v>
      </c>
      <c r="I30" s="48"/>
      <c r="J30" s="49"/>
    </row>
    <row r="31" spans="1:10" ht="30" customHeight="1" x14ac:dyDescent="0.3">
      <c r="A31" s="9"/>
      <c r="B31" s="35" t="s">
        <v>192</v>
      </c>
      <c r="C31" s="36"/>
      <c r="D31" s="36"/>
      <c r="E31" s="28">
        <v>5</v>
      </c>
      <c r="F31" s="25">
        <v>3.75</v>
      </c>
      <c r="G31" s="29">
        <f t="shared" si="0"/>
        <v>0.75</v>
      </c>
      <c r="H31" s="30" t="str">
        <f t="shared" si="1"/>
        <v>جيد</v>
      </c>
      <c r="I31" s="48"/>
      <c r="J31" s="49"/>
    </row>
    <row r="32" spans="1:10" ht="30" customHeight="1" x14ac:dyDescent="0.3">
      <c r="A32" s="9"/>
      <c r="B32" s="44" t="s">
        <v>193</v>
      </c>
      <c r="C32" s="45"/>
      <c r="D32" s="45"/>
      <c r="E32" s="28"/>
      <c r="F32" s="25"/>
      <c r="G32" s="29"/>
      <c r="H32" s="30"/>
      <c r="I32" s="48"/>
      <c r="J32" s="49"/>
    </row>
    <row r="33" spans="1:10" ht="47.25" customHeight="1" x14ac:dyDescent="0.3">
      <c r="A33" s="9"/>
      <c r="B33" s="35" t="s">
        <v>197</v>
      </c>
      <c r="C33" s="36"/>
      <c r="D33" s="36"/>
      <c r="E33" s="28">
        <v>5</v>
      </c>
      <c r="F33" s="25">
        <v>3.5</v>
      </c>
      <c r="G33" s="29">
        <f t="shared" si="0"/>
        <v>0.7</v>
      </c>
      <c r="H33" s="30" t="str">
        <f t="shared" si="1"/>
        <v>جيد</v>
      </c>
      <c r="I33" s="48"/>
      <c r="J33" s="49"/>
    </row>
    <row r="34" spans="1:10" ht="39.9" customHeight="1" x14ac:dyDescent="0.3">
      <c r="A34" s="9"/>
      <c r="B34" s="35" t="s">
        <v>199</v>
      </c>
      <c r="C34" s="36"/>
      <c r="D34" s="36"/>
      <c r="E34" s="28">
        <v>5</v>
      </c>
      <c r="F34" s="25">
        <v>3.5</v>
      </c>
      <c r="G34" s="29">
        <f t="shared" si="0"/>
        <v>0.7</v>
      </c>
      <c r="H34" s="30" t="str">
        <f t="shared" si="1"/>
        <v>جيد</v>
      </c>
      <c r="I34" s="48"/>
      <c r="J34" s="49"/>
    </row>
    <row r="35" spans="1:10" ht="46.5" customHeight="1" thickBot="1" x14ac:dyDescent="0.35">
      <c r="A35" s="9"/>
      <c r="B35" s="37" t="s">
        <v>194</v>
      </c>
      <c r="C35" s="38"/>
      <c r="D35" s="38"/>
      <c r="E35" s="31">
        <v>5</v>
      </c>
      <c r="F35" s="32">
        <v>3.75</v>
      </c>
      <c r="G35" s="33">
        <f t="shared" si="0"/>
        <v>0.75</v>
      </c>
      <c r="H35" s="34" t="str">
        <f t="shared" si="1"/>
        <v>جيد</v>
      </c>
      <c r="I35" s="50"/>
      <c r="J35" s="51"/>
    </row>
    <row r="36" spans="1:10" ht="30" customHeight="1" x14ac:dyDescent="0.3">
      <c r="A36" s="9"/>
      <c r="B36" s="41" t="s">
        <v>195</v>
      </c>
      <c r="C36" s="42"/>
      <c r="D36" s="42"/>
      <c r="E36" s="42"/>
      <c r="F36" s="42"/>
      <c r="G36" s="42"/>
      <c r="H36" s="42"/>
      <c r="I36" s="42"/>
      <c r="J36" s="43"/>
    </row>
    <row r="37" spans="1:10" ht="53.25" customHeight="1" x14ac:dyDescent="0.3">
      <c r="A37" s="9"/>
      <c r="B37" s="39" t="s">
        <v>209</v>
      </c>
      <c r="C37" s="40"/>
      <c r="D37" s="40"/>
      <c r="E37" s="28">
        <v>5</v>
      </c>
      <c r="F37" s="25">
        <v>3.5</v>
      </c>
      <c r="G37" s="29">
        <f t="shared" si="0"/>
        <v>0.7</v>
      </c>
      <c r="H37" s="30" t="str">
        <f t="shared" si="1"/>
        <v>جيد</v>
      </c>
      <c r="I37" s="48"/>
      <c r="J37" s="49"/>
    </row>
    <row r="38" spans="1:10" ht="43.5" customHeight="1" x14ac:dyDescent="0.3">
      <c r="A38" s="9"/>
      <c r="B38" s="39" t="s">
        <v>210</v>
      </c>
      <c r="C38" s="40"/>
      <c r="D38" s="40"/>
      <c r="E38" s="28">
        <v>5</v>
      </c>
      <c r="F38" s="25">
        <v>3.5</v>
      </c>
      <c r="G38" s="29">
        <f t="shared" si="0"/>
        <v>0.7</v>
      </c>
      <c r="H38" s="30" t="str">
        <f t="shared" si="1"/>
        <v>جيد</v>
      </c>
      <c r="I38" s="48"/>
      <c r="J38" s="49"/>
    </row>
    <row r="39" spans="1:10" ht="30" customHeight="1" x14ac:dyDescent="0.3">
      <c r="A39" s="9"/>
      <c r="B39" s="39" t="s">
        <v>211</v>
      </c>
      <c r="C39" s="40"/>
      <c r="D39" s="40"/>
      <c r="E39" s="28">
        <v>5</v>
      </c>
      <c r="F39" s="25">
        <v>3.75</v>
      </c>
      <c r="G39" s="29">
        <f t="shared" si="0"/>
        <v>0.75</v>
      </c>
      <c r="H39" s="30" t="str">
        <f t="shared" si="1"/>
        <v>جيد</v>
      </c>
      <c r="I39" s="48"/>
      <c r="J39" s="49"/>
    </row>
    <row r="40" spans="1:10" ht="30" customHeight="1" x14ac:dyDescent="0.3">
      <c r="A40" s="9"/>
      <c r="B40" s="39" t="s">
        <v>212</v>
      </c>
      <c r="C40" s="40"/>
      <c r="D40" s="40"/>
      <c r="E40" s="28">
        <v>5</v>
      </c>
      <c r="F40" s="25">
        <v>3.75</v>
      </c>
      <c r="G40" s="29">
        <f t="shared" si="0"/>
        <v>0.75</v>
      </c>
      <c r="H40" s="30" t="str">
        <f t="shared" si="1"/>
        <v>جيد</v>
      </c>
      <c r="I40" s="48"/>
      <c r="J40" s="49"/>
    </row>
    <row r="41" spans="1:10" ht="30" customHeight="1" thickBot="1" x14ac:dyDescent="0.35">
      <c r="A41" s="9"/>
      <c r="B41" s="46" t="s">
        <v>213</v>
      </c>
      <c r="C41" s="47"/>
      <c r="D41" s="47"/>
      <c r="E41" s="31">
        <v>5</v>
      </c>
      <c r="F41" s="32">
        <v>3.75</v>
      </c>
      <c r="G41" s="33">
        <f t="shared" si="0"/>
        <v>0.75</v>
      </c>
      <c r="H41" s="34" t="str">
        <f t="shared" si="1"/>
        <v>جيد</v>
      </c>
      <c r="I41" s="50"/>
      <c r="J41" s="51"/>
    </row>
    <row r="42" spans="1:10" ht="30" customHeight="1" thickBot="1" x14ac:dyDescent="0.35">
      <c r="A42" s="4"/>
      <c r="B42" s="84" t="s">
        <v>5</v>
      </c>
      <c r="C42" s="85"/>
      <c r="D42" s="85"/>
      <c r="E42" s="27">
        <f>SUM(E8:E41)</f>
        <v>130</v>
      </c>
      <c r="F42" s="27">
        <f>SUM(F8:F41)</f>
        <v>93.75</v>
      </c>
      <c r="G42" s="79"/>
      <c r="H42" s="80"/>
      <c r="I42" s="80"/>
      <c r="J42" s="81"/>
    </row>
    <row r="43" spans="1:10" ht="30" customHeight="1" thickBot="1" x14ac:dyDescent="0.35">
      <c r="A43" s="4"/>
      <c r="B43" s="86" t="s">
        <v>54</v>
      </c>
      <c r="C43" s="87"/>
      <c r="D43" s="87"/>
      <c r="E43" s="82">
        <f>F42/E42/100*100</f>
        <v>0.72115384615384615</v>
      </c>
      <c r="F43" s="82"/>
      <c r="G43" s="82"/>
      <c r="H43" s="82"/>
      <c r="I43" s="82"/>
      <c r="J43" s="83"/>
    </row>
    <row r="44" spans="1:10" ht="30" customHeight="1" thickBot="1" x14ac:dyDescent="0.35">
      <c r="A44" s="4"/>
      <c r="B44" s="86" t="s">
        <v>55</v>
      </c>
      <c r="C44" s="87"/>
      <c r="D44" s="87"/>
      <c r="E44" s="75" t="str">
        <f>_xlfn.IFS(E43&gt;=90%,"ممتاز",E43&gt;=80%,"جيد جداً",E43&gt;=70%,"جيد",E43&gt;=60%,"مقبول",E43&lt;60%,"راسب")</f>
        <v>جيد</v>
      </c>
      <c r="F44" s="75"/>
      <c r="G44" s="75"/>
      <c r="H44" s="75"/>
      <c r="I44" s="75"/>
      <c r="J44" s="76"/>
    </row>
    <row r="45" spans="1:10" ht="42" customHeight="1" x14ac:dyDescent="0.3">
      <c r="B45" s="54" t="s">
        <v>174</v>
      </c>
      <c r="C45" s="54"/>
      <c r="D45" s="54"/>
      <c r="E45" s="77" t="s">
        <v>52</v>
      </c>
      <c r="F45" s="77"/>
      <c r="G45" s="56" t="s">
        <v>104</v>
      </c>
      <c r="H45" s="56"/>
      <c r="I45" s="56"/>
      <c r="J45" s="56"/>
    </row>
    <row r="46" spans="1:10" ht="51" customHeight="1" x14ac:dyDescent="0.3">
      <c r="A46" s="5"/>
      <c r="B46" s="55"/>
      <c r="C46" s="55"/>
      <c r="D46" s="55"/>
      <c r="E46" s="78" t="s">
        <v>53</v>
      </c>
      <c r="F46" s="78"/>
      <c r="G46" s="74"/>
      <c r="H46" s="74"/>
      <c r="I46" s="74"/>
      <c r="J46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6">
    <mergeCell ref="B42:D42"/>
    <mergeCell ref="B43:D43"/>
    <mergeCell ref="B44:D44"/>
    <mergeCell ref="I17:J17"/>
    <mergeCell ref="I27:J27"/>
    <mergeCell ref="I28:J28"/>
    <mergeCell ref="B28:D28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G46:J46"/>
    <mergeCell ref="E44:J44"/>
    <mergeCell ref="I39:J39"/>
    <mergeCell ref="I40:J40"/>
    <mergeCell ref="I41:J41"/>
    <mergeCell ref="E45:F45"/>
    <mergeCell ref="E46:F46"/>
    <mergeCell ref="G42:J42"/>
    <mergeCell ref="E43:J43"/>
    <mergeCell ref="B7:D7"/>
    <mergeCell ref="I37:J37"/>
    <mergeCell ref="I38:J38"/>
    <mergeCell ref="I29:J29"/>
    <mergeCell ref="I30:J30"/>
    <mergeCell ref="I7:J7"/>
    <mergeCell ref="I9:J9"/>
    <mergeCell ref="I31:J31"/>
    <mergeCell ref="I32:J32"/>
    <mergeCell ref="I33:J33"/>
    <mergeCell ref="I34:J34"/>
    <mergeCell ref="I35:J35"/>
    <mergeCell ref="I10:J10"/>
    <mergeCell ref="I11:J11"/>
    <mergeCell ref="I12:J12"/>
    <mergeCell ref="I13:J13"/>
    <mergeCell ref="B1:J1"/>
    <mergeCell ref="F2:J2"/>
    <mergeCell ref="B5:D6"/>
    <mergeCell ref="C2:D2"/>
    <mergeCell ref="C3:D3"/>
    <mergeCell ref="F3:J3"/>
    <mergeCell ref="E5:H5"/>
    <mergeCell ref="I5:J6"/>
    <mergeCell ref="B45:D46"/>
    <mergeCell ref="G45:J45"/>
    <mergeCell ref="B23:D23"/>
    <mergeCell ref="B24:D24"/>
    <mergeCell ref="B25:D25"/>
    <mergeCell ref="B26:D26"/>
    <mergeCell ref="B27:D27"/>
    <mergeCell ref="B38:D38"/>
    <mergeCell ref="B39:D39"/>
    <mergeCell ref="B40:D40"/>
    <mergeCell ref="B41:D41"/>
    <mergeCell ref="B29:D29"/>
    <mergeCell ref="B30:D30"/>
    <mergeCell ref="B31:D31"/>
    <mergeCell ref="B32:D32"/>
    <mergeCell ref="B33:D33"/>
    <mergeCell ref="B8:J8"/>
    <mergeCell ref="B12:D12"/>
    <mergeCell ref="B13:D13"/>
    <mergeCell ref="B14:D14"/>
    <mergeCell ref="B15:D15"/>
    <mergeCell ref="I14:J14"/>
    <mergeCell ref="I15:J15"/>
    <mergeCell ref="B34:D34"/>
    <mergeCell ref="B35:D35"/>
    <mergeCell ref="B37:D37"/>
    <mergeCell ref="B36:J36"/>
    <mergeCell ref="B9:D9"/>
    <mergeCell ref="B10:D10"/>
    <mergeCell ref="B11:D11"/>
    <mergeCell ref="B16:J16"/>
    <mergeCell ref="B17:D17"/>
    <mergeCell ref="B18:D18"/>
    <mergeCell ref="B19:D19"/>
    <mergeCell ref="B20:D20"/>
    <mergeCell ref="B21:D21"/>
    <mergeCell ref="B22:D22"/>
  </mergeCells>
  <conditionalFormatting sqref="C2:D2">
    <cfRule type="containsText" dxfId="15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4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4">
    <cfRule type="expression" dxfId="13" priority="57">
      <formula>$E44="راسب"</formula>
    </cfRule>
  </conditionalFormatting>
  <conditionalFormatting sqref="E44:J44">
    <cfRule type="expression" dxfId="12" priority="58">
      <formula>$E44="مقبول"</formula>
    </cfRule>
    <cfRule type="expression" dxfId="11" priority="59">
      <formula>$E44="جيد"</formula>
    </cfRule>
    <cfRule type="expression" dxfId="10" priority="60">
      <formula>$E44="جيد جداً"</formula>
    </cfRule>
    <cfRule type="expression" dxfId="9" priority="61">
      <formula>$E44="ممتاز"</formula>
    </cfRule>
  </conditionalFormatting>
  <conditionalFormatting sqref="F9:F15 H9:H15 F17:F35 H17:H35 F37:F41 H37:H41">
    <cfRule type="containsText" dxfId="8" priority="38" operator="containsText" text="أدخل العلامة">
      <formula>NOT(ISERROR(SEARCH("أدخل العلامة",F9)))</formula>
    </cfRule>
  </conditionalFormatting>
  <conditionalFormatting sqref="F2:J2">
    <cfRule type="containsText" dxfId="7" priority="19" operator="containsText" text="أدخل التاريخ">
      <formula>NOT(ISERROR(SEARCH("أدخل التاريخ",F2)))</formula>
    </cfRule>
  </conditionalFormatting>
  <conditionalFormatting sqref="F3:J3">
    <cfRule type="containsText" dxfId="6" priority="16" operator="containsText" text="أدخل أسم المحكم">
      <formula>NOT(ISERROR(SEARCH("أدخل أسم المحكم",F3)))</formula>
    </cfRule>
  </conditionalFormatting>
  <conditionalFormatting sqref="G45:J45">
    <cfRule type="containsText" dxfId="5" priority="15" operator="containsText" text="أدخل اسم المحكم">
      <formula>NOT(ISERROR(SEARCH("أدخل اسم المحكم",G45)))</formula>
    </cfRule>
  </conditionalFormatting>
  <conditionalFormatting sqref="H9:H15 H17:H35 H37:H41">
    <cfRule type="containsText" dxfId="4" priority="39" operator="containsText" text="ممتاز">
      <formula>NOT(ISERROR(SEARCH("ممتاز",H9)))</formula>
    </cfRule>
    <cfRule type="containsText" dxfId="3" priority="40" operator="containsText" text="جيد جداً">
      <formula>NOT(ISERROR(SEARCH("جيد جداً",H9)))</formula>
    </cfRule>
    <cfRule type="containsText" dxfId="2" priority="41" operator="containsText" text="جيد">
      <formula>NOT(ISERROR(SEARCH("جيد",H9)))</formula>
    </cfRule>
    <cfRule type="containsText" dxfId="1" priority="42" operator="containsText" text="مقبول">
      <formula>NOT(ISERROR(SEARCH("مقبول",H9)))</formula>
    </cfRule>
    <cfRule type="containsText" dxfId="0" priority="43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00000000-0002-0000-0000-000001000000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'بيانات التقييم'!$A$198:$A$286</xm:f>
          </x14:formula1>
          <xm:sqref>G45:J45 F3:J3</xm:sqref>
        </x14:dataValidation>
        <x14:dataValidation type="list" allowBlank="1" showInputMessage="1" showErrorMessage="1" xr:uid="{00000000-0002-0000-0000-000003000000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00000000-0002-0000-0000-000004000000}">
          <x14:formula1>
            <xm:f>'بيانات التقييم'!$A$111:$A$133</xm:f>
          </x14:formula1>
          <xm:sqref>F37:F41 F33:F35 F29:F31 F26:F27 F21:F24 F18:F19 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3320312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2025-10-27T16:22:08Z</dcterms:modified>
</cp:coreProperties>
</file>