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F5B2207A-0F4A-784A-975D-ADD2FF9A7150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6" i="2"/>
  <c r="H36" i="2"/>
  <c r="G37" i="2"/>
  <c r="H37" i="2"/>
  <c r="G38" i="2"/>
  <c r="H38" i="2"/>
  <c r="G39" i="2"/>
  <c r="H39" i="2"/>
  <c r="F40" i="2"/>
  <c r="E40" i="2"/>
  <c r="E41" i="2"/>
  <c r="E42" i="2"/>
</calcChain>
</file>

<file path=xl/sharedStrings.xml><?xml version="1.0" encoding="utf-8"?>
<sst xmlns="http://schemas.openxmlformats.org/spreadsheetml/2006/main" count="270" uniqueCount="213">
  <si>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</si>
  <si>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</si>
  <si>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</si>
  <si>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</si>
  <si>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</si>
  <si>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</si>
  <si>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</si>
  <si>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</si>
  <si>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</si>
  <si>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</si>
  <si>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</si>
  <si>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</si>
  <si>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</si>
  <si>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</si>
  <si>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</si>
  <si>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</si>
  <si>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</si>
  <si>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</si>
  <si>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</si>
  <si>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</si>
  <si>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</si>
  <si>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</si>
  <si>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</si>
  <si>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</si>
  <si>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</si>
  <si>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</si>
  <si>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</si>
  <si>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</si>
  <si>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</si>
  <si>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</si>
  <si>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</si>
  <si>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</si>
  <si>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</si>
  <si>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</si>
  <si>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</si>
  <si>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</si>
  <si>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</si>
  <si>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</si>
  <si>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</si>
  <si>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</si>
  <si>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</si>
  <si>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</si>
  <si>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</si>
  <si>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</si>
  <si>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</si>
  <si>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</si>
  <si>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</si>
  <si>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</si>
  <si>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</si>
  <si>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</si>
  <si>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</si>
  <si>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</si>
  <si>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</si>
  <si>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</si>
  <si>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</si>
  <si>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</si>
  <si>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</si>
  <si>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</si>
  <si>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</si>
  <si>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</si>
  <si>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</si>
  <si>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</si>
  <si>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</si>
  <si>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</si>
  <si>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</si>
  <si>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</si>
  <si>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</si>
  <si>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</si>
  <si>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</si>
  <si>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</si>
  <si>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</si>
  <si>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</si>
  <si>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</si>
  <si>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</si>
  <si>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</si>
  <si>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</si>
  <si>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</si>
  <si>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</si>
  <si>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</si>
  <si>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</si>
  <si>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</si>
  <si>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</si>
  <si>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</si>
  <si>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</si>
  <si>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</si>
  <si>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</si>
  <si>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</si>
  <si>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</si>
  <si>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</si>
  <si>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</si>
  <si>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</si>
  <si>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</si>
  <si>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</si>
  <si>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</si>
  <si>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</si>
  <si>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</si>
  <si>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</si>
  <si>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</si>
  <si>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</si>
  <si>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</si>
  <si>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</si>
  <si>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</si>
  <si>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</si>
  <si>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</si>
  <si>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</si>
  <si>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</si>
  <si>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</si>
  <si>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</si>
  <si>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</si>
  <si>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</si>
  <si>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</si>
  <si>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</si>
  <si>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</si>
  <si>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</si>
  <si>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</si>
  <si>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</si>
  <si>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</si>
  <si>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</si>
  <si>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</si>
  <si>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</si>
  <si>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</si>
  <si>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</si>
  <si>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</si>
  <si>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</si>
  <si>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</si>
  <si>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</si>
  <si>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</si>
  <si>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</si>
  <si>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</si>
  <si>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</si>
  <si>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</si>
  <si>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</si>
  <si>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</si>
  <si>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</si>
  <si>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</si>
  <si>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</si>
  <si>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</si>
  <si>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</si>
  <si>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</si>
  <si>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</si>
  <si>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</si>
  <si>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</si>
  <si>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</si>
  <si>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</si>
  <si>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</si>
  <si>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</si>
  <si>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</si>
  <si>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</si>
  <si>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</si>
  <si>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</si>
  <si>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</si>
  <si>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</si>
  <si>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</si>
  <si>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</si>
  <si>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</si>
  <si>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</si>
  <si>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</si>
  <si>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</si>
  <si>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</si>
  <si>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</si>
  <si>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</si>
  <si>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</si>
  <si>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</si>
  <si>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</si>
  <si>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</si>
  <si>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</si>
  <si>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</si>
  <si>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</si>
  <si>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</si>
  <si>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</si>
  <si>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</si>
  <si>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</si>
  <si>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</si>
  <si>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</si>
  <si>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</si>
  <si>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</si>
  <si>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</si>
  <si>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</si>
  <si>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</si>
  <si>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</si>
  <si>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القائد قبل بدء التحرك إلى مناطق الانتشار.</t>
  </si>
  <si>
    <t>1.   إبلاغ المرؤوسين بالبدء بتنفيذ خطة التحرك لمناطق الانتشار.</t>
  </si>
  <si>
    <t>2.   إرسال مجموعات الحماية والاستطلاع والأدلاء إلى مناطق الانتشار.</t>
  </si>
  <si>
    <t>3.   تحميل وثائق العمليات.</t>
  </si>
  <si>
    <t>4.   يبدأ الضابط المسؤول عن مجموعة المؤخرة في تنفيذ تعليمات التحرك.</t>
  </si>
  <si>
    <t>إجراءات القادة والقوات أثناء التحرك لمناطق الانتشار.</t>
  </si>
  <si>
    <t>1.   التقيد بتنفيذ إجراءات التحرك حسب أمر / جدول التحرك.</t>
  </si>
  <si>
    <t>2.   سيطرة القادة على قواتهم أثناء التحرك.</t>
  </si>
  <si>
    <t>3.   توفر الحماية للقوات أثناء التحرك.</t>
  </si>
  <si>
    <t>4.   تحقيـق الاتصال بالمستـوى الأعلى والادنى.</t>
  </si>
  <si>
    <t>إجراءات دخول القوات في مناطق الانتشار وتأمينها.</t>
  </si>
  <si>
    <t>1.   فتح نقاط ضبط وسيطرة من قبل الشرطة العسكرية / شرطة الوحدة.</t>
  </si>
  <si>
    <t>2.   وجود جماعة الإرشاد (الإدلاء) والقيام بأداء المهام والواجبات المطلوبة.</t>
  </si>
  <si>
    <t>3.   وجود عناصر من الوحدات لتأمين المواقع.</t>
  </si>
  <si>
    <t>4.   قيام الوحدات باحتلال مواقعها وقيام الأسلحة العضوية والمساندة باحتلال مواقع النيران المخصصة.</t>
  </si>
  <si>
    <t>5.   تسلسل الدخول لمناطق الانتشار حسب جدول التنقل.</t>
  </si>
  <si>
    <t>تجهيز وإعداد مناطق الانتشار والإجراءات المتخذة فيها.</t>
  </si>
  <si>
    <t>1.   التأكد من توزيع المعدات بالطريقة الصحيحة مع تقسيم منطقة الانتشار إلى قطاعات.</t>
  </si>
  <si>
    <t>2.   جاهزية القوة للقيام بالدفاع عن منطقة الانتشار حسب خطة الدفاع والحراسة.</t>
  </si>
  <si>
    <t>3.   وجود خطة / تعليمات التجهيز الهندسي.</t>
  </si>
  <si>
    <t>4.   وجود خطة النيـــران.</t>
  </si>
  <si>
    <t>5.   التأكد من التخفية والتمويه.</t>
  </si>
  <si>
    <t>6.   التأكد من فتح وإدامة مراكز القيادة والسيطرة والاتصالات.</t>
  </si>
  <si>
    <t>7.   وجود خطة التأمين الكيميائي.</t>
  </si>
  <si>
    <t>8.   التأكد من تأمين مناطق الانتشار بالاتصالات.</t>
  </si>
  <si>
    <t>9.   التأكد من تجهيز نقاط المراقبة الجوية والاستطلاع.</t>
  </si>
  <si>
    <t>10.   وجود تعليمات الإنـــذار.</t>
  </si>
  <si>
    <t>إجراءات الإسناد الإداري.</t>
  </si>
  <si>
    <t>1.   التزويد ( الوقود / الأرزاق / المياه، الخ..).</t>
  </si>
  <si>
    <t>2.   تنفيذ إجراءات الإخـلاء الطبي.</t>
  </si>
  <si>
    <t>3.   تنفيذ إجراءات إنقـاذ الآليات.</t>
  </si>
  <si>
    <t>4.   تحديد الطرق الرئيسة والتبادلية المؤديـة من وإلى مناطق الانتشــار.</t>
  </si>
  <si>
    <r>
      <rPr>
        <b/>
        <sz val="14"/>
        <color rgb="FF000000"/>
        <rFont val="Arial"/>
        <family val="2"/>
      </rPr>
      <t>تقييم تحرك وحدات المناورة من معسكرات السلم واحتلال مناطق الانتشار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</si>
</sst>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15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269790</xdr:colOff>
      <xdr:row>42</xdr:row>
      <xdr:rowOff>465898</xdr:rowOff>
    </xdr:from>
    <xdr:to>
      <xdr:col>8</xdr:col>
      <xdr:colOff>124103</xdr:colOff>
      <xdr:row>43</xdr:row>
      <xdr:rowOff>463411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3970120-523B-2565-CE05-845C11FCA1B6}"/>
                </a:ext>
              </a:extLst>
            </xdr14:cNvPr>
            <xdr14:cNvContentPartPr/>
          </xdr14:nvContentPartPr>
          <xdr14:nvPr macro=""/>
          <xdr14:xfrm>
            <a:off x="10399116955" y="16985520"/>
            <a:ext cx="1162800" cy="5266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D3970120-523B-2565-CE05-845C11FCA1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07955" y="16976520"/>
              <a:ext cx="1180440" cy="544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03:41.7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2454 1367 112,'-72'2'0,"61"-2"264,-2-1 584,-4 0 792,17 1-1640,-148-38 2497,131 32 519,-1 2-743,-1-6-489,19 10-1784,-211-96 1721,187 85-201,-5-1-208,-3-4-200,32 16-1112,-304-153 1065,266 135 39,-2-2-200,-2 0-232,42 20-672,-346-157 384,303 139-216,0-1-72,2 1 32,41 18-128,-326-125 16,284 108 24,3 0 16,3 3-88,36 14 32,-238-118 56,207 106-32,5 0-8,1 0 24,25 12-40,-126-96-104,109 84 112,3-2 8,5 1-72,9 13 56,-14-77-24,11 68-136,3 1-64,0 6-40,0 2 264,95-44-232,-86 41-8,4-5 88,5 5 8,-18 3 144,225-46-112,-199 44 48,6-5-16,2 4 16,-34 3 64,351-45-48,-310 42-32,4-4 40,4 5 40,-49 2 0,452-14 0,-397 12 0,3-1 0,0 2-32,-58 1 32,477 10-104,-419-10 112,1 3 8,-1 4 0,-58-7-16,409 56 24,-356-47-80,-4-7 72,-7 8-32,-42-10 16,238 22 16,-208-14-16,-4-7-40,-5 6 64,-21-7-24,101 28 40,-86-26 0,-6 5-24,-6-5-8,-3-2-8,20 54 24,-20-46 8,0-5 0,-1 9 32,1-12-64,-138 124 104,122-110 48,-4 2-48,-8 3-88,28-19-16,-330 165 0,291-145-64,-5 3 72,-7 0 8,51-23-16,-534 212-80,470-187 16,-8 2-136,-1-3-48,73-24 248,-565 156-304,492-135-168,6-2-328,2-3 15,65-16 785,-441 86-632,385-74 120,4-3 520,4-1 16,48-8-24,-238 46 40,204-43 40,12 4-72,9-5-8,13-2 0,21 14-136,-21-12-120,3 0-64,9-1 192,-12-1 128,192 5 48,-170-5 168,6-1 96,6-3-96,-34 4-216,379-84 216,-335 75-88,5-1-16,6-2 8,-55 12-120,492-126 128,-432 111 32,3 0-32,3-2-8,-66 17-120,490-129 72,-427 113-24,-4 0-24,-7 4 0,-52 12-24,327-59 24,-284 51-8,-5 1 88,-9 4 17,-29 3-121,105-32 328,-91 30 328,-5 0 248,-9-1 192,0 3-1096,-47-11 1016,44 9-247,-7-1-305,-5 0-248,15 3-216,-283-20-64,253 18 24,-12 2-72,-9 3-24,51-3 136,-521 99-40,455-88-88,-2 0-16,-1 2-65,69-13 209,-527 127-176,461-111-104,2-1 96,6 1 64,58-16 120,-335 110-136,291-96 48,9 1-232,7-1-176,28-14 496,-130 115-672,113-101-248,4-1-288,4-1-265,9-12 1473,-2 83-2168,2-71-1641,0-1-1024,2-1-216,-2-10 5049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4"/>
  <sheetViews>
    <sheetView rightToLeft="1" tabSelected="1" view="pageBreakPreview" topLeftCell="C43" zoomScale="130" zoomScaleNormal="100" zoomScaleSheetLayoutView="130" workbookViewId="0">
      <selection activeCell="C3" sqref="C3:D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4" t="s">
        <v>212</v>
      </c>
      <c r="C1" s="74"/>
      <c r="D1" s="74"/>
      <c r="E1" s="74"/>
      <c r="F1" s="74"/>
      <c r="G1" s="74"/>
      <c r="H1" s="74"/>
      <c r="I1" s="74"/>
      <c r="J1" s="74"/>
    </row>
    <row r="2" spans="1:10" ht="30" customHeight="1" x14ac:dyDescent="0.2">
      <c r="B2" s="12" t="s">
        <v>8</v>
      </c>
      <c r="C2" s="80" t="s">
        <v>41</v>
      </c>
      <c r="D2" s="80"/>
      <c r="E2" s="12" t="s">
        <v>7</v>
      </c>
      <c r="F2" s="75" t="s">
        <v>56</v>
      </c>
      <c r="G2" s="75"/>
      <c r="H2" s="75"/>
      <c r="I2" s="75"/>
      <c r="J2" s="75"/>
    </row>
    <row r="3" spans="1:10" ht="30" customHeight="1" x14ac:dyDescent="0.2">
      <c r="B3" s="12" t="s">
        <v>9</v>
      </c>
      <c r="C3" s="80" t="s">
        <v>82</v>
      </c>
      <c r="D3" s="80"/>
      <c r="E3" s="12" t="s">
        <v>6</v>
      </c>
      <c r="F3" s="80" t="s">
        <v>130</v>
      </c>
      <c r="G3" s="80"/>
      <c r="H3" s="80"/>
      <c r="I3" s="80"/>
      <c r="J3" s="80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76" t="s">
        <v>0</v>
      </c>
      <c r="C5" s="77"/>
      <c r="D5" s="77"/>
      <c r="E5" s="50" t="s">
        <v>1</v>
      </c>
      <c r="F5" s="50"/>
      <c r="G5" s="50"/>
      <c r="H5" s="50"/>
      <c r="I5" s="50" t="s">
        <v>2</v>
      </c>
      <c r="J5" s="51"/>
    </row>
    <row r="6" spans="1:10" ht="24.95" customHeight="1" thickBot="1" x14ac:dyDescent="0.25">
      <c r="A6" s="10"/>
      <c r="B6" s="78"/>
      <c r="C6" s="79"/>
      <c r="D6" s="79"/>
      <c r="E6" s="11" t="s">
        <v>3</v>
      </c>
      <c r="F6" s="11" t="s">
        <v>4</v>
      </c>
      <c r="G6" s="11" t="s">
        <v>23</v>
      </c>
      <c r="H6" s="11" t="s">
        <v>24</v>
      </c>
      <c r="I6" s="52"/>
      <c r="J6" s="53"/>
    </row>
    <row r="7" spans="1:10" ht="24.95" customHeight="1" thickBot="1" x14ac:dyDescent="0.25">
      <c r="A7" s="10"/>
      <c r="B7" s="81" t="s">
        <v>21</v>
      </c>
      <c r="C7" s="82"/>
      <c r="D7" s="82"/>
      <c r="E7" s="32" t="s">
        <v>18</v>
      </c>
      <c r="F7" s="32" t="s">
        <v>19</v>
      </c>
      <c r="G7" s="32" t="s">
        <v>22</v>
      </c>
      <c r="H7" s="32" t="s">
        <v>20</v>
      </c>
      <c r="I7" s="54" t="s">
        <v>25</v>
      </c>
      <c r="J7" s="55"/>
    </row>
    <row r="8" spans="1:10" ht="30" customHeight="1" x14ac:dyDescent="0.2">
      <c r="A8" s="10"/>
      <c r="B8" s="83" t="s">
        <v>180</v>
      </c>
      <c r="C8" s="84"/>
      <c r="D8" s="84"/>
      <c r="E8" s="30"/>
      <c r="F8" s="36"/>
      <c r="G8" s="37"/>
      <c r="H8" s="38"/>
      <c r="I8" s="58"/>
      <c r="J8" s="59"/>
    </row>
    <row r="9" spans="1:10" ht="30" customHeight="1" x14ac:dyDescent="0.2">
      <c r="A9" s="10"/>
      <c r="B9" s="85" t="s">
        <v>181</v>
      </c>
      <c r="C9" s="86"/>
      <c r="D9" s="86"/>
      <c r="E9" s="28">
        <v>5</v>
      </c>
      <c r="F9" s="26">
        <v>3.5</v>
      </c>
      <c r="G9" s="34">
        <f>IFERROR(F9/E9,"")</f>
        <v>0.7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8"/>
      <c r="J9" s="49"/>
    </row>
    <row r="10" spans="1:10" ht="30" customHeight="1" x14ac:dyDescent="0.2">
      <c r="A10" s="10"/>
      <c r="B10" s="85" t="s">
        <v>182</v>
      </c>
      <c r="C10" s="86"/>
      <c r="D10" s="86"/>
      <c r="E10" s="28">
        <v>6</v>
      </c>
      <c r="F10" s="41">
        <v>4.25</v>
      </c>
      <c r="G10" s="34">
        <f t="shared" ref="G10:G39" si="0">IFERROR(F10/E10,"")</f>
        <v>0.70833333333333337</v>
      </c>
      <c r="H10" s="35" t="str">
        <f t="shared" ref="H10:H39" si="1">_xlfn.IFS(F10="أدخل العلامة","",F10="لا ينطبق","تم الإلغاء",G10&gt;=90%,"ممتاز",G10&gt;=80%,"جيد جداً",G10&gt;=70%,"جيد",G10&gt;=60%,"مقبول",G10&lt;60%,"راسب")</f>
        <v>جيد</v>
      </c>
      <c r="I10" s="48"/>
      <c r="J10" s="49"/>
    </row>
    <row r="11" spans="1:10" ht="30" customHeight="1" x14ac:dyDescent="0.2">
      <c r="A11" s="10"/>
      <c r="B11" s="85" t="s">
        <v>183</v>
      </c>
      <c r="C11" s="86"/>
      <c r="D11" s="86"/>
      <c r="E11" s="28">
        <v>6</v>
      </c>
      <c r="F11" s="41">
        <v>4.25</v>
      </c>
      <c r="G11" s="34">
        <f t="shared" si="0"/>
        <v>0.70833333333333337</v>
      </c>
      <c r="H11" s="35" t="str">
        <f t="shared" si="1"/>
        <v>جيد</v>
      </c>
      <c r="I11" s="48"/>
      <c r="J11" s="49"/>
    </row>
    <row r="12" spans="1:10" ht="30" customHeight="1" thickBot="1" x14ac:dyDescent="0.25">
      <c r="A12" s="10"/>
      <c r="B12" s="87" t="s">
        <v>184</v>
      </c>
      <c r="C12" s="88"/>
      <c r="D12" s="88"/>
      <c r="E12" s="29">
        <v>5</v>
      </c>
      <c r="F12" s="41">
        <v>3.5</v>
      </c>
      <c r="G12" s="39">
        <f t="shared" si="0"/>
        <v>0.7</v>
      </c>
      <c r="H12" s="40" t="str">
        <f t="shared" si="1"/>
        <v>جيد</v>
      </c>
      <c r="I12" s="56"/>
      <c r="J12" s="57"/>
    </row>
    <row r="13" spans="1:10" ht="30" customHeight="1" x14ac:dyDescent="0.2">
      <c r="A13" s="10"/>
      <c r="B13" s="83" t="s">
        <v>185</v>
      </c>
      <c r="C13" s="84"/>
      <c r="D13" s="84"/>
      <c r="E13" s="30"/>
      <c r="F13" s="36"/>
      <c r="G13" s="37"/>
      <c r="H13" s="38"/>
      <c r="I13" s="58"/>
      <c r="J13" s="59"/>
    </row>
    <row r="14" spans="1:10" ht="30" customHeight="1" x14ac:dyDescent="0.2">
      <c r="A14" s="10"/>
      <c r="B14" s="85" t="s">
        <v>186</v>
      </c>
      <c r="C14" s="86"/>
      <c r="D14" s="86"/>
      <c r="E14" s="9">
        <v>8</v>
      </c>
      <c r="F14" s="26">
        <v>5.75</v>
      </c>
      <c r="G14" s="34">
        <f t="shared" si="0"/>
        <v>0.71875</v>
      </c>
      <c r="H14" s="35" t="str">
        <f t="shared" si="1"/>
        <v>جيد</v>
      </c>
      <c r="I14" s="48"/>
      <c r="J14" s="49"/>
    </row>
    <row r="15" spans="1:10" ht="30" customHeight="1" x14ac:dyDescent="0.2">
      <c r="A15" s="10"/>
      <c r="B15" s="85" t="s">
        <v>187</v>
      </c>
      <c r="C15" s="86"/>
      <c r="D15" s="86"/>
      <c r="E15" s="9">
        <v>8</v>
      </c>
      <c r="F15" s="26">
        <v>5.75</v>
      </c>
      <c r="G15" s="34">
        <f t="shared" si="0"/>
        <v>0.71875</v>
      </c>
      <c r="H15" s="35" t="str">
        <f t="shared" si="1"/>
        <v>جيد</v>
      </c>
      <c r="I15" s="48"/>
      <c r="J15" s="49"/>
    </row>
    <row r="16" spans="1:10" ht="30" customHeight="1" x14ac:dyDescent="0.2">
      <c r="A16" s="10"/>
      <c r="B16" s="85" t="s">
        <v>188</v>
      </c>
      <c r="C16" s="86"/>
      <c r="D16" s="86"/>
      <c r="E16" s="9">
        <v>5</v>
      </c>
      <c r="F16" s="26">
        <v>3.5</v>
      </c>
      <c r="G16" s="34">
        <f t="shared" si="0"/>
        <v>0.7</v>
      </c>
      <c r="H16" s="35" t="str">
        <f t="shared" si="1"/>
        <v>جيد</v>
      </c>
      <c r="I16" s="48"/>
      <c r="J16" s="49"/>
    </row>
    <row r="17" spans="1:10" ht="30" customHeight="1" thickBot="1" x14ac:dyDescent="0.25">
      <c r="A17" s="10"/>
      <c r="B17" s="87" t="s">
        <v>189</v>
      </c>
      <c r="C17" s="88"/>
      <c r="D17" s="88"/>
      <c r="E17" s="31">
        <v>6</v>
      </c>
      <c r="F17" s="27">
        <v>4.25</v>
      </c>
      <c r="G17" s="39">
        <f t="shared" si="0"/>
        <v>0.70833333333333337</v>
      </c>
      <c r="H17" s="40" t="str">
        <f t="shared" si="1"/>
        <v>جيد</v>
      </c>
      <c r="I17" s="56"/>
      <c r="J17" s="57"/>
    </row>
    <row r="18" spans="1:10" ht="30" customHeight="1" thickBot="1" x14ac:dyDescent="0.25">
      <c r="A18" s="10"/>
      <c r="B18" s="83" t="s">
        <v>190</v>
      </c>
      <c r="C18" s="84"/>
      <c r="D18" s="84"/>
      <c r="E18" s="30"/>
      <c r="F18" s="42"/>
      <c r="G18" s="37"/>
      <c r="H18" s="38"/>
      <c r="I18" s="58"/>
      <c r="J18" s="59"/>
    </row>
    <row r="19" spans="1:10" ht="30" customHeight="1" thickBot="1" x14ac:dyDescent="0.25">
      <c r="A19" s="10"/>
      <c r="B19" s="85" t="s">
        <v>191</v>
      </c>
      <c r="C19" s="86"/>
      <c r="D19" s="86"/>
      <c r="E19" s="28">
        <v>6</v>
      </c>
      <c r="F19" s="42">
        <v>4.25</v>
      </c>
      <c r="G19" s="34">
        <f t="shared" si="0"/>
        <v>0.70833333333333337</v>
      </c>
      <c r="H19" s="35" t="str">
        <f t="shared" si="1"/>
        <v>جيد</v>
      </c>
      <c r="I19" s="48"/>
      <c r="J19" s="49"/>
    </row>
    <row r="20" spans="1:10" ht="30" customHeight="1" thickBot="1" x14ac:dyDescent="0.25">
      <c r="A20" s="10"/>
      <c r="B20" s="85" t="s">
        <v>192</v>
      </c>
      <c r="C20" s="86"/>
      <c r="D20" s="86"/>
      <c r="E20" s="28">
        <v>6</v>
      </c>
      <c r="F20" s="42">
        <v>4.25</v>
      </c>
      <c r="G20" s="34">
        <f t="shared" si="0"/>
        <v>0.70833333333333337</v>
      </c>
      <c r="H20" s="35" t="str">
        <f t="shared" si="1"/>
        <v>جيد</v>
      </c>
      <c r="I20" s="48"/>
      <c r="J20" s="49"/>
    </row>
    <row r="21" spans="1:10" ht="30" customHeight="1" thickBot="1" x14ac:dyDescent="0.25">
      <c r="A21" s="10"/>
      <c r="B21" s="85" t="s">
        <v>193</v>
      </c>
      <c r="C21" s="86"/>
      <c r="D21" s="86"/>
      <c r="E21" s="28">
        <v>6</v>
      </c>
      <c r="F21" s="42">
        <v>4.25</v>
      </c>
      <c r="G21" s="34">
        <f t="shared" si="0"/>
        <v>0.70833333333333337</v>
      </c>
      <c r="H21" s="35" t="str">
        <f t="shared" si="1"/>
        <v>جيد</v>
      </c>
      <c r="I21" s="48"/>
      <c r="J21" s="49"/>
    </row>
    <row r="22" spans="1:10" ht="39.950000000000003" customHeight="1" thickBot="1" x14ac:dyDescent="0.25">
      <c r="A22" s="10"/>
      <c r="B22" s="85" t="s">
        <v>194</v>
      </c>
      <c r="C22" s="86"/>
      <c r="D22" s="86"/>
      <c r="E22" s="28">
        <v>6</v>
      </c>
      <c r="F22" s="42">
        <v>4.25</v>
      </c>
      <c r="G22" s="34">
        <f t="shared" si="0"/>
        <v>0.70833333333333337</v>
      </c>
      <c r="H22" s="35" t="str">
        <f t="shared" si="1"/>
        <v>جيد</v>
      </c>
      <c r="I22" s="48"/>
      <c r="J22" s="49"/>
    </row>
    <row r="23" spans="1:10" ht="30" customHeight="1" thickBot="1" x14ac:dyDescent="0.25">
      <c r="A23" s="10"/>
      <c r="B23" s="87" t="s">
        <v>195</v>
      </c>
      <c r="C23" s="88"/>
      <c r="D23" s="88"/>
      <c r="E23" s="29">
        <v>6</v>
      </c>
      <c r="F23" s="42">
        <v>4.25</v>
      </c>
      <c r="G23" s="39">
        <f t="shared" si="0"/>
        <v>0.70833333333333337</v>
      </c>
      <c r="H23" s="40" t="str">
        <f t="shared" si="1"/>
        <v>جيد</v>
      </c>
      <c r="I23" s="56"/>
      <c r="J23" s="57"/>
    </row>
    <row r="24" spans="1:10" ht="30" customHeight="1" thickBot="1" x14ac:dyDescent="0.25">
      <c r="A24" s="10"/>
      <c r="B24" s="83" t="s">
        <v>196</v>
      </c>
      <c r="C24" s="84"/>
      <c r="D24" s="84"/>
      <c r="E24" s="30"/>
      <c r="F24" s="42"/>
      <c r="G24" s="37"/>
      <c r="H24" s="38"/>
      <c r="I24" s="58"/>
      <c r="J24" s="59"/>
    </row>
    <row r="25" spans="1:10" ht="39.950000000000003" customHeight="1" thickBot="1" x14ac:dyDescent="0.25">
      <c r="A25" s="10"/>
      <c r="B25" s="72" t="s">
        <v>197</v>
      </c>
      <c r="C25" s="73"/>
      <c r="D25" s="73"/>
      <c r="E25" s="28">
        <v>5</v>
      </c>
      <c r="F25" s="42">
        <v>3.5</v>
      </c>
      <c r="G25" s="34">
        <f t="shared" si="0"/>
        <v>0.7</v>
      </c>
      <c r="H25" s="35" t="str">
        <f t="shared" si="1"/>
        <v>جيد</v>
      </c>
      <c r="I25" s="48"/>
      <c r="J25" s="49"/>
    </row>
    <row r="26" spans="1:10" ht="39.950000000000003" customHeight="1" thickBot="1" x14ac:dyDescent="0.25">
      <c r="A26" s="10"/>
      <c r="B26" s="72" t="s">
        <v>198</v>
      </c>
      <c r="C26" s="73"/>
      <c r="D26" s="73"/>
      <c r="E26" s="28">
        <v>5</v>
      </c>
      <c r="F26" s="42">
        <v>3.5</v>
      </c>
      <c r="G26" s="34">
        <f t="shared" si="0"/>
        <v>0.7</v>
      </c>
      <c r="H26" s="35" t="str">
        <f t="shared" si="1"/>
        <v>جيد</v>
      </c>
      <c r="I26" s="48"/>
      <c r="J26" s="49"/>
    </row>
    <row r="27" spans="1:10" ht="30" customHeight="1" thickBot="1" x14ac:dyDescent="0.25">
      <c r="A27" s="10"/>
      <c r="B27" s="72" t="s">
        <v>199</v>
      </c>
      <c r="C27" s="73"/>
      <c r="D27" s="73"/>
      <c r="E27" s="28">
        <v>5</v>
      </c>
      <c r="F27" s="42">
        <v>3.5</v>
      </c>
      <c r="G27" s="34">
        <f t="shared" si="0"/>
        <v>0.7</v>
      </c>
      <c r="H27" s="35" t="str">
        <f t="shared" si="1"/>
        <v>جيد</v>
      </c>
      <c r="I27" s="48"/>
      <c r="J27" s="49"/>
    </row>
    <row r="28" spans="1:10" ht="30" customHeight="1" thickBot="1" x14ac:dyDescent="0.25">
      <c r="A28" s="10"/>
      <c r="B28" s="72" t="s">
        <v>200</v>
      </c>
      <c r="C28" s="73"/>
      <c r="D28" s="73"/>
      <c r="E28" s="28">
        <v>5</v>
      </c>
      <c r="F28" s="42">
        <v>3.5</v>
      </c>
      <c r="G28" s="34">
        <f t="shared" si="0"/>
        <v>0.7</v>
      </c>
      <c r="H28" s="35" t="str">
        <f t="shared" si="1"/>
        <v>جيد</v>
      </c>
      <c r="I28" s="48"/>
      <c r="J28" s="49"/>
    </row>
    <row r="29" spans="1:10" ht="30" customHeight="1" thickBot="1" x14ac:dyDescent="0.25">
      <c r="A29" s="10"/>
      <c r="B29" s="72" t="s">
        <v>201</v>
      </c>
      <c r="C29" s="73"/>
      <c r="D29" s="73"/>
      <c r="E29" s="28">
        <v>5</v>
      </c>
      <c r="F29" s="42">
        <v>3.5</v>
      </c>
      <c r="G29" s="34">
        <f t="shared" si="0"/>
        <v>0.7</v>
      </c>
      <c r="H29" s="35" t="str">
        <f t="shared" si="1"/>
        <v>جيد</v>
      </c>
      <c r="I29" s="48"/>
      <c r="J29" s="49"/>
    </row>
    <row r="30" spans="1:10" ht="30" customHeight="1" thickBot="1" x14ac:dyDescent="0.25">
      <c r="A30" s="10"/>
      <c r="B30" s="72" t="s">
        <v>202</v>
      </c>
      <c r="C30" s="73"/>
      <c r="D30" s="73"/>
      <c r="E30" s="28">
        <v>5</v>
      </c>
      <c r="F30" s="42">
        <v>3.5</v>
      </c>
      <c r="G30" s="34">
        <f t="shared" si="0"/>
        <v>0.7</v>
      </c>
      <c r="H30" s="35" t="str">
        <f t="shared" si="1"/>
        <v>جيد</v>
      </c>
      <c r="I30" s="48"/>
      <c r="J30" s="49"/>
    </row>
    <row r="31" spans="1:10" ht="30" customHeight="1" thickBot="1" x14ac:dyDescent="0.25">
      <c r="A31" s="10"/>
      <c r="B31" s="72" t="s">
        <v>203</v>
      </c>
      <c r="C31" s="73"/>
      <c r="D31" s="73"/>
      <c r="E31" s="28">
        <v>5</v>
      </c>
      <c r="F31" s="42">
        <v>3.5</v>
      </c>
      <c r="G31" s="34">
        <f t="shared" si="0"/>
        <v>0.7</v>
      </c>
      <c r="H31" s="35" t="str">
        <f t="shared" si="1"/>
        <v>جيد</v>
      </c>
      <c r="I31" s="48"/>
      <c r="J31" s="49"/>
    </row>
    <row r="32" spans="1:10" ht="30" customHeight="1" thickBot="1" x14ac:dyDescent="0.25">
      <c r="A32" s="10"/>
      <c r="B32" s="72" t="s">
        <v>204</v>
      </c>
      <c r="C32" s="73"/>
      <c r="D32" s="73"/>
      <c r="E32" s="28">
        <v>5</v>
      </c>
      <c r="F32" s="42">
        <v>3.5</v>
      </c>
      <c r="G32" s="34">
        <f t="shared" si="0"/>
        <v>0.7</v>
      </c>
      <c r="H32" s="35" t="str">
        <f t="shared" si="1"/>
        <v>جيد</v>
      </c>
      <c r="I32" s="48"/>
      <c r="J32" s="49"/>
    </row>
    <row r="33" spans="1:10" ht="30" customHeight="1" thickBot="1" x14ac:dyDescent="0.25">
      <c r="A33" s="10"/>
      <c r="B33" s="72" t="s">
        <v>205</v>
      </c>
      <c r="C33" s="73"/>
      <c r="D33" s="73"/>
      <c r="E33" s="28">
        <v>5</v>
      </c>
      <c r="F33" s="42">
        <v>3.5</v>
      </c>
      <c r="G33" s="34">
        <f t="shared" si="0"/>
        <v>0.7</v>
      </c>
      <c r="H33" s="35" t="str">
        <f t="shared" si="1"/>
        <v>جيد</v>
      </c>
      <c r="I33" s="48"/>
      <c r="J33" s="49"/>
    </row>
    <row r="34" spans="1:10" ht="30" customHeight="1" thickBot="1" x14ac:dyDescent="0.25">
      <c r="A34" s="10"/>
      <c r="B34" s="87" t="s">
        <v>206</v>
      </c>
      <c r="C34" s="88"/>
      <c r="D34" s="88"/>
      <c r="E34" s="29">
        <v>5</v>
      </c>
      <c r="F34" s="42">
        <v>3.5</v>
      </c>
      <c r="G34" s="39">
        <f t="shared" si="0"/>
        <v>0.7</v>
      </c>
      <c r="H34" s="40" t="str">
        <f t="shared" si="1"/>
        <v>جيد</v>
      </c>
      <c r="I34" s="56"/>
      <c r="J34" s="57"/>
    </row>
    <row r="35" spans="1:10" ht="30" customHeight="1" thickBot="1" x14ac:dyDescent="0.25">
      <c r="A35" s="10"/>
      <c r="B35" s="89" t="s">
        <v>207</v>
      </c>
      <c r="C35" s="90"/>
      <c r="D35" s="90"/>
      <c r="E35" s="30"/>
      <c r="F35" s="42"/>
      <c r="G35" s="37"/>
      <c r="H35" s="38"/>
      <c r="I35" s="58"/>
      <c r="J35" s="59"/>
    </row>
    <row r="36" spans="1:10" ht="30" customHeight="1" thickBot="1" x14ac:dyDescent="0.25">
      <c r="A36" s="10"/>
      <c r="B36" s="72" t="s">
        <v>208</v>
      </c>
      <c r="C36" s="73"/>
      <c r="D36" s="73"/>
      <c r="E36" s="9">
        <v>6</v>
      </c>
      <c r="F36" s="42">
        <v>4.25</v>
      </c>
      <c r="G36" s="34">
        <f t="shared" si="0"/>
        <v>0.70833333333333337</v>
      </c>
      <c r="H36" s="35" t="str">
        <f t="shared" si="1"/>
        <v>جيد</v>
      </c>
      <c r="I36" s="48"/>
      <c r="J36" s="49"/>
    </row>
    <row r="37" spans="1:10" ht="30" customHeight="1" thickBot="1" x14ac:dyDescent="0.25">
      <c r="A37" s="10"/>
      <c r="B37" s="72" t="s">
        <v>209</v>
      </c>
      <c r="C37" s="73"/>
      <c r="D37" s="73"/>
      <c r="E37" s="9">
        <v>5</v>
      </c>
      <c r="F37" s="42">
        <v>3.5</v>
      </c>
      <c r="G37" s="34">
        <f t="shared" si="0"/>
        <v>0.7</v>
      </c>
      <c r="H37" s="35" t="str">
        <f t="shared" si="1"/>
        <v>جيد</v>
      </c>
      <c r="I37" s="48"/>
      <c r="J37" s="49"/>
    </row>
    <row r="38" spans="1:10" ht="30" customHeight="1" thickBot="1" x14ac:dyDescent="0.25">
      <c r="A38" s="10"/>
      <c r="B38" s="72" t="s">
        <v>210</v>
      </c>
      <c r="C38" s="73"/>
      <c r="D38" s="73"/>
      <c r="E38" s="9">
        <v>5</v>
      </c>
      <c r="F38" s="42">
        <v>3.5</v>
      </c>
      <c r="G38" s="34">
        <f t="shared" si="0"/>
        <v>0.7</v>
      </c>
      <c r="H38" s="35" t="str">
        <f t="shared" si="1"/>
        <v>جيد</v>
      </c>
      <c r="I38" s="48"/>
      <c r="J38" s="49"/>
    </row>
    <row r="39" spans="1:10" ht="30" customHeight="1" thickBot="1" x14ac:dyDescent="0.25">
      <c r="A39" s="10"/>
      <c r="B39" s="91" t="s">
        <v>211</v>
      </c>
      <c r="C39" s="92"/>
      <c r="D39" s="92"/>
      <c r="E39" s="31">
        <v>5</v>
      </c>
      <c r="F39" s="42">
        <v>3.5</v>
      </c>
      <c r="G39" s="39">
        <f t="shared" si="0"/>
        <v>0.7</v>
      </c>
      <c r="H39" s="40" t="str">
        <f t="shared" si="1"/>
        <v>جيد</v>
      </c>
      <c r="I39" s="56"/>
      <c r="J39" s="57"/>
    </row>
    <row r="40" spans="1:10" ht="30" customHeight="1" thickBot="1" x14ac:dyDescent="0.25">
      <c r="A40" s="4"/>
      <c r="B40" s="68" t="s">
        <v>5</v>
      </c>
      <c r="C40" s="69"/>
      <c r="D40" s="69"/>
      <c r="E40" s="33">
        <f>SUM(E8:E39)</f>
        <v>150</v>
      </c>
      <c r="F40" s="33">
        <f>SUM(F8:F39)</f>
        <v>105.75</v>
      </c>
      <c r="G40" s="45"/>
      <c r="H40" s="46"/>
      <c r="I40" s="46"/>
      <c r="J40" s="47"/>
    </row>
    <row r="41" spans="1:10" ht="30" customHeight="1" thickBot="1" x14ac:dyDescent="0.25">
      <c r="A41" s="4"/>
      <c r="B41" s="70" t="s">
        <v>54</v>
      </c>
      <c r="C41" s="71"/>
      <c r="D41" s="71"/>
      <c r="E41" s="66">
        <f>F40/E40/100*100</f>
        <v>0.70499999999999996</v>
      </c>
      <c r="F41" s="66"/>
      <c r="G41" s="66"/>
      <c r="H41" s="66"/>
      <c r="I41" s="66"/>
      <c r="J41" s="67"/>
    </row>
    <row r="42" spans="1:10" ht="30" customHeight="1" thickBot="1" x14ac:dyDescent="0.25">
      <c r="A42" s="4"/>
      <c r="B42" s="70" t="s">
        <v>55</v>
      </c>
      <c r="C42" s="71"/>
      <c r="D42" s="71"/>
      <c r="E42" s="64" t="str">
        <f>_xlfn.IFS(E41&gt;=90%,"ممتاز",E41&gt;=80%,"جيد جداً",E41&gt;=70%,"جيد",E41&gt;=60%,"مقبول",E41&lt;60%,"راسب")</f>
        <v>جيد</v>
      </c>
      <c r="F42" s="64"/>
      <c r="G42" s="64"/>
      <c r="H42" s="64"/>
      <c r="I42" s="64"/>
      <c r="J42" s="65"/>
    </row>
    <row r="43" spans="1:10" ht="42" customHeight="1" x14ac:dyDescent="0.2">
      <c r="B43" s="60" t="s">
        <v>174</v>
      </c>
      <c r="C43" s="60"/>
      <c r="D43" s="60"/>
      <c r="E43" s="43" t="s">
        <v>52</v>
      </c>
      <c r="F43" s="43"/>
      <c r="G43" s="62" t="s">
        <v>130</v>
      </c>
      <c r="H43" s="62"/>
      <c r="I43" s="62"/>
      <c r="J43" s="62"/>
    </row>
    <row r="44" spans="1:10" ht="51" customHeight="1" x14ac:dyDescent="0.2">
      <c r="A44" s="5"/>
      <c r="B44" s="61"/>
      <c r="C44" s="61"/>
      <c r="D44" s="61"/>
      <c r="E44" s="44" t="s">
        <v>53</v>
      </c>
      <c r="F44" s="44"/>
      <c r="G44" s="63"/>
      <c r="H44" s="63"/>
      <c r="I44" s="63"/>
      <c r="J44" s="6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5">
    <mergeCell ref="B35:D35"/>
    <mergeCell ref="B36:D36"/>
    <mergeCell ref="B37:D37"/>
    <mergeCell ref="B38:D38"/>
    <mergeCell ref="B39:D39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I8:J8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B7:D7"/>
    <mergeCell ref="I38:J38"/>
    <mergeCell ref="I39:J39"/>
    <mergeCell ref="I30:J30"/>
    <mergeCell ref="I31:J3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33:J33"/>
    <mergeCell ref="B1:J1"/>
    <mergeCell ref="F2:J2"/>
    <mergeCell ref="B5:D6"/>
    <mergeCell ref="C2:D2"/>
    <mergeCell ref="C3:D3"/>
    <mergeCell ref="F3:J3"/>
    <mergeCell ref="I26:J26"/>
    <mergeCell ref="I27:J27"/>
    <mergeCell ref="B43:D44"/>
    <mergeCell ref="G43:J43"/>
    <mergeCell ref="G44:J44"/>
    <mergeCell ref="E42:J42"/>
    <mergeCell ref="E41:J41"/>
    <mergeCell ref="B40:D40"/>
    <mergeCell ref="B41:D41"/>
    <mergeCell ref="B42:D42"/>
    <mergeCell ref="I34:J34"/>
    <mergeCell ref="I35:J35"/>
    <mergeCell ref="I36:J36"/>
    <mergeCell ref="I32:J32"/>
    <mergeCell ref="B31:D31"/>
    <mergeCell ref="B32:D32"/>
    <mergeCell ref="E43:F43"/>
    <mergeCell ref="E44:F44"/>
    <mergeCell ref="G40:J40"/>
    <mergeCell ref="I9:J9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2">
    <cfRule type="expression" dxfId="14" priority="57">
      <formula>$E42="راسب"</formula>
    </cfRule>
  </conditionalFormatting>
  <conditionalFormatting sqref="E42:J42">
    <cfRule type="expression" dxfId="13" priority="58">
      <formula>$E42="مقبول"</formula>
    </cfRule>
    <cfRule type="expression" dxfId="12" priority="59">
      <formula>$E42="جيد"</formula>
    </cfRule>
    <cfRule type="expression" dxfId="11" priority="60">
      <formula>$E42="جيد جداً"</formula>
    </cfRule>
    <cfRule type="expression" dxfId="10" priority="61">
      <formula>$E42="ممتاز"</formula>
    </cfRule>
  </conditionalFormatting>
  <conditionalFormatting sqref="F8:F3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6" priority="15" operator="containsText" text="أدخل اسم المحكم">
      <formula>NOT(ISERROR(SEARCH("أدخل اسم المحكم",G43)))</formula>
    </cfRule>
  </conditionalFormatting>
  <conditionalFormatting sqref="H8:H3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 F25:F34 F37:F39 F12 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G43:J43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CD11486-4F82-4DA5-A759-F95A1043CEF6}">
          <x14:formula1>
            <xm:f>'بيانات التقييم'!$A$111:$A$137</xm:f>
          </x14:formula1>
          <xm:sqref>F10 F11 F17 F19 F20 F21 F22 F23 F36</xm:sqref>
        </x14:dataValidation>
        <x14:dataValidation type="list" allowBlank="1" showInputMessage="1" showErrorMessage="1" xr:uid="{A2279BC6-5414-436A-83B1-5F1184DCF6A6}">
          <x14:formula1>
            <xm:f>'بيانات التقييم'!$A$111:$A$145</xm:f>
          </x14:formula1>
          <xm:sqref>F14 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2025-09-22T05:40:14Z</dcterms:modified>
</cp:coreProperties>
</file>