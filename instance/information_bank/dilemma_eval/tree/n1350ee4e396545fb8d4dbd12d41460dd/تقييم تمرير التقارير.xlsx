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48EC42A4-96BF-3E4E-8603-E59C141F2D64}"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<sst xmlns="http://schemas.openxmlformats.org/spreadsheetml/2006/main" count="258" uniqueCount="202">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</sst>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586545</xdr:colOff>
      <xdr:row>36</xdr:row>
      <xdr:rowOff>104735</xdr:rowOff>
    </xdr:from>
    <xdr:to>
      <xdr:col>7</xdr:col>
      <xdr:colOff>495095</xdr:colOff>
      <xdr:row>36</xdr:row>
      <xdr:rowOff>377255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84CE0584-C668-B281-E4FA-CDF47C2EC6BC}"/>
                </a:ext>
              </a:extLst>
            </xdr14:cNvPr>
            <xdr14:cNvContentPartPr/>
          </xdr14:nvContentPartPr>
          <xdr14:nvPr macro=""/>
          <xdr14:xfrm>
            <a:off x="10399407905" y="18404280"/>
            <a:ext cx="566640" cy="272520"/>
          </xdr14:xfrm>
        </xdr:contentPart>
      </mc:Choice>
      <mc:Fallback>
        <xdr:pic>
          <xdr:nvPicPr>
            <xdr:cNvPr id="2" name="Ink 1">
              <a:extLst>
                <a:ext uri="{FF2B5EF4-FFF2-40B4-BE49-F238E27FC236}">
                  <a16:creationId xmlns:a16="http://schemas.microsoft.com/office/drawing/2014/main" id="{84CE0584-C668-B281-E4FA-CDF47C2EC6BC}"/>
                </a:ext>
              </a:extLst>
            </xdr:cNvPr>
            <xdr:cNvPicPr/>
          </xdr:nvPicPr>
          <xdr:blipFill>
            <a:blip xmlns:r="http://schemas.openxmlformats.org/officeDocument/2006/relationships" r:embed="rId2"/>
            <a:stretch>
              <a:fillRect/>
            </a:stretch>
          </xdr:blipFill>
          <xdr:spPr>
            <a:xfrm>
              <a:off x="10399401785" y="18398160"/>
              <a:ext cx="578880" cy="284760"/>
            </a:xfrm>
            <a:prstGeom prst="rect">
              <a:avLst/>
            </a:prstGeom>
          </xdr:spPr>
        </xdr:pic>
      </mc:Fallback>
    </mc:AlternateContent>
    <xdr:clientData/>
  </xdr:twoCellAnchor>
  <xdr:twoCellAnchor editAs="oneCell">
    <xdr:from>
      <xdr:col>7</xdr:col>
      <xdr:colOff>455495</xdr:colOff>
      <xdr:row>36</xdr:row>
      <xdr:rowOff>129215</xdr:rowOff>
    </xdr:from>
    <xdr:to>
      <xdr:col>9</xdr:col>
      <xdr:colOff>206714</xdr:colOff>
      <xdr:row>36</xdr:row>
      <xdr:rowOff>480215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EB8D7D69-D255-0BC8-221C-A02D7DE3F5E4}"/>
                </a:ext>
              </a:extLst>
            </xdr14:cNvPr>
            <xdr14:cNvContentPartPr/>
          </xdr14:nvContentPartPr>
          <xdr14:nvPr macro=""/>
          <xdr14:xfrm>
            <a:off x="10398380105" y="18428760"/>
            <a:ext cx="1067400" cy="351000"/>
          </xdr14:xfrm>
        </xdr:contentPart>
      </mc:Choice>
      <mc:Fallback>
        <xdr:pic>
          <xdr:nvPicPr>
            <xdr:cNvPr id="3" name="Ink 2">
              <a:extLst>
                <a:ext uri="{FF2B5EF4-FFF2-40B4-BE49-F238E27FC236}">
                  <a16:creationId xmlns:a16="http://schemas.microsoft.com/office/drawing/2014/main" id="{EB8D7D69-D255-0BC8-221C-A02D7DE3F5E4}"/>
                </a:ext>
              </a:extLst>
            </xdr:cNvPr>
            <xdr:cNvPicPr/>
          </xdr:nvPicPr>
          <xdr:blipFill>
            <a:blip xmlns:r="http://schemas.openxmlformats.org/officeDocument/2006/relationships" r:embed="rId4"/>
            <a:stretch>
              <a:fillRect/>
            </a:stretch>
          </xdr:blipFill>
          <xdr:spPr>
            <a:xfrm>
              <a:off x="10398373985" y="18422640"/>
              <a:ext cx="1079640" cy="363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21:51.415"/>
    </inkml:context>
    <inkml:brush xml:id="br0">
      <inkml:brushProperty name="width" value="0.035" units="cm"/>
      <inkml:brushProperty name="height" value="0.035" units="cm"/>
    </inkml:brush>
  </inkml:definitions>
  <inkml:trace contextRef="#ctx0" brushRef="#br0">1174 757 6513,'0'0'0,"0"0"0,2 0 752,1-3 56,-3 0 232,2-1 113,-2 4-1153,0 0 1192,0 0-32,0 0 72,3 0-167,-3 0-1065,0 0 864,0 0-224,0 0-176,0 0-112,0 0-2672,0 0 4976,0 0-2256,2 0-128,-2 0 88,0 0-360,0 0 425,0 0-81,0 0-48,0 0 0,0 0-1657,0 0 3074,0 0-1505,0-3-8,0 3 16,0 0-216,0-3 216,-5 0-56,3 0 112,2 3-144,0 0-128,-3-3-40,-1 1 168,1-1 8,3 0 16,0 3-152,0-3 176,0 0 8,0 0-96,-5-1 24,5 4-112,0-3 120,-2 0-56,-3 1 72,5-3-40,0 5-96,0-4 8,-5 0 280,-4-1-71,9-6 63,0 11-280,-5-3 240,0-1-200,5-7-72,-12 8 48,12 3-16,-2-12 80,-3 10-80,0-11 0,-7 8 0,12 5 0,-2-14 56,-3 10 0,0-12 0,-7 5 16,12 11-72,-2-11 152,-8-2-96,5 0 192,-9 0-80,14 13-168,-3-14-112,-9 0 296,10 1-176,-10-1 80,12 14-88,0-14 136,-7-2-48,2 0-128,-7 1 24,12 15 16,0-16 152,-5 0-152,-7 1 112,12 2-24,0 13-88,-2-13 104,-3 2-24,2 7-24,-1-12 88,4 16-144,-3-3 40,1-8 104,2 8 72,0-1-152,0 4-64,0-5-232,0 2 200,0-1 136,0 1-152,0 3 48,0 0 160,0-2-88,0-1-96,0 3 24,2-3 96,3 3-184,0 0 16,0 0 144,-5 0-72,14-3 16,-2 3 128,0 0-160,3-3 8,-15 3 8,14 0 8,0-3-48,6 3 80,-6-3-136,-14 3 96,19 0 56,-4-2-168,-1-1 120,1 0 56,-15 3-64,14-3-32,5-1 72,-2 0-96,2-8 112,-19 12-56,20-3-40,-1-8 8,3 8 80,-1-10-96,-21 13 48,24-4 64,-5-9-8,1 9-112,-3-7 96,-17 11-40,19-3-32,-7-9-40,2 8 136,1-7-128,-15 11 64,14-3 32,-2-1-16,-2-9-32,2 10 32,-12 3-16,7-4-72,5 0-16,-7-1 128,7 1-40,-12 4 0,5-4 48,7-8-8,-10 10-128,5-1 80,-7 3 8,5-5-48,7 1-8,-9 0 72,-1 0 24,-2 4-40,2-3 16,-2 0-48,0 3 80,0-3-152,0 3 104,0 0-160,0-3 32,-2 3-8,2 0 136,-5 0-232,-7 0 248,7 0-240,-7 0 208,12 0 16,-5 0-56,-9 2 56,12 2-72,-20 0-24,22-4 96,-12 6-32,-2 5 16,2-6 64,-5 7 32,17-12-80,-17 5 40,0 7-80,-2-6 40,2 7-136,17-13 136,-17 4-104,0 10 64,-4-8 0,1 8 120,20-14-80,-14 13 0,-1-2-24,1-5-8,2 8-32,12-14 64,-17 5 40,3 9 16,-1-10 40,1 10-80,14-14-16,-15 5 56,-1 7-88,1-6 48,1 7-32,14-13 16,-15 5-24,-1 10 40,1-10-104,5 8 160,10-13-72,-14 4-88,2 9 120,0-8-8,0 7 8,12-12-32,-14 5 16,9 0-32,-12 1 88,5 0-72,12-6 0,-3 5 152,-11 1-192,7-2-240,-3 1 224,10-5 56,-2 4-272,-3-1 176,-7-1 240,7 0-344,5-2 200,-2 3 56,-10-2-56,12 1 32,-3-1 104,3-1-136,-5 1 0,1 1-56,4-1-16,-5 1 72,5-2 0,-3 1 0,-1-1 88,4 0 96,-5 0-120,5 0-64,-15-3 104,13 0-64,0 1-112,-13-3-8,15 5 80,-5-4-32,1 0 72,-9-8 32,11 10 16,2 2-88,-14-5 24,9-6-96,-10 7 88,15-9-16,0 13 0,-14-4 0,7-11-16,-5 3 48,9-3-128,3 15 96,-14-15 96,-1 1 32,1-2-184,2-1 112,12 17-56,-14-20 0,-1-1 8,1-4 40,-3 4-48,17 21 0,-17-20-16,5 2 56,-2 1 64,-3 0 48,17 17-152,-17-13 16,5 1-48,-3 1-24,6 7 72,9 4-16,-12-12 16,7 10 64,-7-3-104,5-6 48,7 11-24,-10 0 32,10-3-48,-2 0 104,-3 3-120,5 0 32,0 0-40,0 0-48,0 0 48,2 5 64,-2-5-24,3 11-56,9 2 72,-5 0 96,10 1-168,-17-14 56,12 15 48,2 0 64,8 0-256,-8-1 160,-14-14-16,20 15 24,-6-1-24,3-1-8,0 2-8,-17-15 16,14 13-16,3 1 16,-3 1 56,3-3 88,-17-12-144,12 13-16,-2 0-56,-5-2 56,12 2-24,-17-13 40,4 14-24,8 2-48,-7-2 144,7 0-232,-12-14 160,5 13 16,-3-1 112,-2-1-200,3 0 168,-3-11-96,2 12 48,-2-7-136,0 8 16,0-9-24,0-4 96,0 13-72,-5-9 144,1 9-56,-6-9 40,10-4-56,-5 5 0,0-1-72,-7 0 40,8 1 8,4-5 24,-20 4 56,1 0-40,2 0-80,-4 1 24,21-5 40,-17 5-40,-5 0 24,3 0 56,0 0 48,19-5-88,-22 2-16,3 1 0,-1-1 32,-1-1 16,21-1-32,-17 0 0,-2 0-32,7-3 160,-3-1-144,15 4 16,-14-4 72,-1-1-72,11-7-72,1 9-56,3 3 128,-2-4-64,-3-1 72,5-6-88,-2 8 104,2 3-24,0-3-40,2-1 24,0 0 8,1-1 8,-3 5 0,0-2-48,5-1 48,-5 0 88,4 0-32,-4 3-56,3-3 72,-1 3-64,-2-3-16,0 0-8,0 3 16,-5-2 16,-7-1-32,0 3-24,-2-3 120,14 3-80,-15 0-40,1-3 96,0 3 16,-3 0-72,17 0 0,-24 0 128,7 0-104,-7 0 24,2 0-104,22 0 56,-21-3-120,-1 0-88,3 1-256,-3-3-392,22 5 856,-24-11-1273,0 8-471,2-11-729,1 10-1319,-1-11-1169,22 15 4961,-22-11-7210,22 11 7210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21:52.108"/>
    </inkml:context>
    <inkml:brush xml:id="br0">
      <inkml:brushProperty name="width" value="0.035" units="cm"/>
      <inkml:brushProperty name="height" value="0.035" units="cm"/>
    </inkml:brush>
  </inkml:definitions>
  <inkml:trace contextRef="#ctx0" brushRef="#br0">1744 474 7817,'0'0'0,"5"14"1184,-5-14-1184,12 13 785,-10 4-113,15-3 16,-2-8 32,-15-6-720,14 14 688,5-8-88,0 7-8,8-8-79,-27-5-513,26 13 544,6-9 152,1 8-96,1-8 96,-34-4-696,36 4 624,3 2-112,-1-2 136,-2-1-175,-36-3-473,41 3 440,-2-2-40,-1-1-88,3 0 128,-41 0-440,43-4 440,-4-9 64,4 9-128,-5-10 136,-38 14-512,41-5 400,0-12-24,0 6-7,-5 0-193,-36 11-176,39-13 248,-3 0-56,0 0 16,-2-1-56,-34 14-152,26-14 160,-2 1 0,-2-1 288,-1-2-96,-21 16-352,17-14 384,0-2 0,-5 1-424,2-2 352,-14 17-312,5-17 88,10 2 48,-10 0 64,-3-1-96,-2 16-104,5-16 248,-3-1 160,1 2-183,-3-1-105,0 16-120,0-16 120,-5 1-448,0-1 400,-7 2 64,12 14-136,-15-16 56,1-1 320,-3-1-528,0 1-112,17 17 264,-24-19-241,0 5-79,-7-2 320,0 1-64,31 15 64,-32-13 64,-4 0-80,0 9 40,0-10 40,36 14-64,-38-3 16,-3-1 24,0-1 32,0 3 24,41 2-96,-46 0 8,-2 0 57,-2 1-130,-6 3 65,56-4 0,-55 6 65,-3 8-65,-2-3 16,-5 4-8,65-15-8,-62 14-177,2 3-15,-10 3 32,5 3 0,65-23 160,-67 25 32,4 1 24,3-2 0,7 0-56,53-24 0,-65 23-16,3 1 32,1 2 32,1 1 40,60-27-88,-60 31 40,-5 2-8,0-1-64,3 4 16,62-36 16,-60 34 80,-1 1-512,1 0 656,-2 0-1024,62-35 800,-58 34-392,3-1 1000,2 0-520,-5-1 921,58-32-1009,-58 30 552,-2 0-488,7-3-216,0-3 112,53-24 40,-48 23-184,-5 0-64,27-19-225,-10 13-935,36-17 1408,-34 13-2464,-7 2-1513,-4 7-3617,-11-4-1304,56-18 8898,0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0" t="s">
        <v>201</v>
      </c>
      <c r="C1" s="60"/>
      <c r="D1" s="60"/>
      <c r="E1" s="60"/>
      <c r="F1" s="60"/>
      <c r="G1" s="60"/>
      <c r="H1" s="60"/>
      <c r="I1" s="60"/>
      <c r="J1" s="60"/>
    </row>
    <row r="2" spans="1:10" ht="30" customHeight="1" x14ac:dyDescent="0.2">
      <c r="B2" s="13" t="s">
        <v>8</v>
      </c>
      <c r="C2" s="66" t="s">
        <v>45</v>
      </c>
      <c r="D2" s="66"/>
      <c r="E2" s="13" t="s">
        <v>7</v>
      </c>
      <c r="F2" s="61">
        <v>45956</v>
      </c>
      <c r="G2" s="61"/>
      <c r="H2" s="61"/>
      <c r="I2" s="61"/>
      <c r="J2" s="61"/>
    </row>
    <row r="3" spans="1:10" ht="30" customHeight="1" x14ac:dyDescent="0.2">
      <c r="B3" s="13" t="s">
        <v>9</v>
      </c>
      <c r="C3" s="66" t="s">
        <v>87</v>
      </c>
      <c r="D3" s="66"/>
      <c r="E3" s="13" t="s">
        <v>6</v>
      </c>
      <c r="F3" s="66" t="s">
        <v>104</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50000000000003" customHeight="1" thickBot="1" x14ac:dyDescent="0.2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50000000000003" customHeight="1" thickBot="1" x14ac:dyDescent="0.25">
      <c r="A10" s="11"/>
      <c r="B10" s="91" t="s">
        <v>197</v>
      </c>
      <c r="C10" s="92"/>
      <c r="D10" s="9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48"/>
      <c r="J10" s="49"/>
    </row>
    <row r="11" spans="1:10" ht="39.950000000000003" customHeight="1" x14ac:dyDescent="0.2">
      <c r="A11" s="11"/>
      <c r="B11" s="93" t="s">
        <v>198</v>
      </c>
      <c r="C11" s="94"/>
      <c r="D11" s="94"/>
      <c r="E11" s="40"/>
      <c r="F11" s="34"/>
      <c r="G11" s="35"/>
      <c r="H11" s="36"/>
      <c r="I11" s="79"/>
      <c r="J11" s="80"/>
    </row>
    <row r="12" spans="1:10" ht="39.950000000000003" customHeight="1" x14ac:dyDescent="0.2">
      <c r="A12" s="11"/>
      <c r="B12" s="83" t="s">
        <v>176</v>
      </c>
      <c r="C12" s="84"/>
      <c r="D12" s="84"/>
      <c r="E12" s="9">
        <v>5</v>
      </c>
      <c r="F12" s="27">
        <v>3.75</v>
      </c>
      <c r="G12" s="32">
        <f t="shared" si="0"/>
        <v>0.75</v>
      </c>
      <c r="H12" s="33" t="str">
        <f t="shared" si="1"/>
        <v>جيد</v>
      </c>
      <c r="I12" s="52"/>
      <c r="J12" s="53"/>
    </row>
    <row r="13" spans="1:10" ht="54.95" customHeight="1" x14ac:dyDescent="0.2">
      <c r="A13" s="11"/>
      <c r="B13" s="83" t="s">
        <v>177</v>
      </c>
      <c r="C13" s="84"/>
      <c r="D13" s="84"/>
      <c r="E13" s="9">
        <v>5</v>
      </c>
      <c r="F13" s="27">
        <v>3.5</v>
      </c>
      <c r="G13" s="32">
        <f t="shared" si="0"/>
        <v>0.7</v>
      </c>
      <c r="H13" s="33" t="str">
        <f t="shared" si="1"/>
        <v>جيد</v>
      </c>
      <c r="I13" s="52"/>
      <c r="J13" s="53"/>
    </row>
    <row r="14" spans="1:10" ht="71.25" customHeight="1" x14ac:dyDescent="0.2">
      <c r="A14" s="11"/>
      <c r="B14" s="83" t="s">
        <v>178</v>
      </c>
      <c r="C14" s="84"/>
      <c r="D14" s="84"/>
      <c r="E14" s="9">
        <v>5</v>
      </c>
      <c r="F14" s="27">
        <v>3.5</v>
      </c>
      <c r="G14" s="32">
        <f t="shared" si="0"/>
        <v>0.7</v>
      </c>
      <c r="H14" s="33" t="str">
        <f t="shared" si="1"/>
        <v>جيد</v>
      </c>
      <c r="I14" s="52"/>
      <c r="J14" s="53"/>
    </row>
    <row r="15" spans="1:10" ht="39.950000000000003" customHeight="1" x14ac:dyDescent="0.2">
      <c r="A15" s="11"/>
      <c r="B15" s="83" t="s">
        <v>179</v>
      </c>
      <c r="C15" s="84"/>
      <c r="D15" s="84"/>
      <c r="E15" s="9">
        <v>5</v>
      </c>
      <c r="F15" s="27">
        <v>3.75</v>
      </c>
      <c r="G15" s="32">
        <f t="shared" si="0"/>
        <v>0.75</v>
      </c>
      <c r="H15" s="33" t="str">
        <f t="shared" si="1"/>
        <v>جيد</v>
      </c>
      <c r="I15" s="52"/>
      <c r="J15" s="53"/>
    </row>
    <row r="16" spans="1:10" ht="68.25" customHeight="1" x14ac:dyDescent="0.2">
      <c r="A16" s="11"/>
      <c r="B16" s="83" t="s">
        <v>180</v>
      </c>
      <c r="C16" s="84"/>
      <c r="D16" s="84"/>
      <c r="E16" s="9">
        <v>5</v>
      </c>
      <c r="F16" s="27">
        <v>3.75</v>
      </c>
      <c r="G16" s="32">
        <f t="shared" si="0"/>
        <v>0.75</v>
      </c>
      <c r="H16" s="33" t="str">
        <f t="shared" si="1"/>
        <v>جيد</v>
      </c>
      <c r="I16" s="52"/>
      <c r="J16" s="53"/>
    </row>
    <row r="17" spans="1:10" ht="65.099999999999994" customHeight="1" thickBot="1" x14ac:dyDescent="0.25">
      <c r="A17" s="11"/>
      <c r="B17" s="85" t="s">
        <v>181</v>
      </c>
      <c r="C17" s="86"/>
      <c r="D17" s="86"/>
      <c r="E17" s="37">
        <v>5</v>
      </c>
      <c r="F17" s="29">
        <v>3.75</v>
      </c>
      <c r="G17" s="38">
        <f t="shared" si="0"/>
        <v>0.75</v>
      </c>
      <c r="H17" s="39" t="str">
        <f t="shared" si="1"/>
        <v>جيد</v>
      </c>
      <c r="I17" s="81"/>
      <c r="J17" s="82"/>
    </row>
    <row r="18" spans="1:10" ht="39.950000000000003" customHeight="1" x14ac:dyDescent="0.2">
      <c r="A18" s="11"/>
      <c r="B18" s="87" t="s">
        <v>199</v>
      </c>
      <c r="C18" s="88"/>
      <c r="D18" s="88"/>
      <c r="E18" s="40"/>
      <c r="F18" s="34"/>
      <c r="G18" s="35"/>
      <c r="H18" s="36"/>
      <c r="I18" s="79"/>
      <c r="J18" s="80"/>
    </row>
    <row r="19" spans="1:10" ht="39.950000000000003" customHeight="1" x14ac:dyDescent="0.2">
      <c r="A19" s="11"/>
      <c r="B19" s="83" t="s">
        <v>182</v>
      </c>
      <c r="C19" s="84"/>
      <c r="D19" s="84"/>
      <c r="E19" s="9">
        <v>5</v>
      </c>
      <c r="F19" s="27">
        <v>3.5</v>
      </c>
      <c r="G19" s="32">
        <f t="shared" si="0"/>
        <v>0.7</v>
      </c>
      <c r="H19" s="33" t="str">
        <f t="shared" si="1"/>
        <v>جيد</v>
      </c>
      <c r="I19" s="52"/>
      <c r="J19" s="53"/>
    </row>
    <row r="20" spans="1:10" ht="39.950000000000003" customHeight="1" x14ac:dyDescent="0.2">
      <c r="A20" s="11"/>
      <c r="B20" s="83" t="s">
        <v>183</v>
      </c>
      <c r="C20" s="84"/>
      <c r="D20" s="84"/>
      <c r="E20" s="9">
        <v>5</v>
      </c>
      <c r="F20" s="27">
        <v>3.5</v>
      </c>
      <c r="G20" s="32">
        <f t="shared" si="0"/>
        <v>0.7</v>
      </c>
      <c r="H20" s="33" t="str">
        <f t="shared" si="1"/>
        <v>جيد</v>
      </c>
      <c r="I20" s="52"/>
      <c r="J20" s="53"/>
    </row>
    <row r="21" spans="1:10" ht="39.950000000000003" customHeight="1" x14ac:dyDescent="0.2">
      <c r="A21" s="11"/>
      <c r="B21" s="83" t="s">
        <v>184</v>
      </c>
      <c r="C21" s="84"/>
      <c r="D21" s="84"/>
      <c r="E21" s="9">
        <v>5</v>
      </c>
      <c r="F21" s="27">
        <v>3.5</v>
      </c>
      <c r="G21" s="32">
        <f t="shared" si="0"/>
        <v>0.7</v>
      </c>
      <c r="H21" s="33" t="str">
        <f t="shared" si="1"/>
        <v>جيد</v>
      </c>
      <c r="I21" s="52"/>
      <c r="J21" s="53"/>
    </row>
    <row r="22" spans="1:10" ht="39.950000000000003" customHeight="1" x14ac:dyDescent="0.2">
      <c r="A22" s="11"/>
      <c r="B22" s="83" t="s">
        <v>185</v>
      </c>
      <c r="C22" s="84"/>
      <c r="D22" s="84"/>
      <c r="E22" s="9">
        <v>5</v>
      </c>
      <c r="F22" s="27">
        <v>3.75</v>
      </c>
      <c r="G22" s="32">
        <f t="shared" si="0"/>
        <v>0.75</v>
      </c>
      <c r="H22" s="33" t="str">
        <f t="shared" si="1"/>
        <v>جيد</v>
      </c>
      <c r="I22" s="52"/>
      <c r="J22" s="53"/>
    </row>
    <row r="23" spans="1:10" ht="39.950000000000003" customHeight="1" x14ac:dyDescent="0.2">
      <c r="A23" s="11"/>
      <c r="B23" s="83" t="s">
        <v>186</v>
      </c>
      <c r="C23" s="84"/>
      <c r="D23" s="84"/>
      <c r="E23" s="9">
        <v>5</v>
      </c>
      <c r="F23" s="27">
        <v>3.75</v>
      </c>
      <c r="G23" s="32">
        <f t="shared" si="0"/>
        <v>0.75</v>
      </c>
      <c r="H23" s="33" t="str">
        <f t="shared" si="1"/>
        <v>جيد</v>
      </c>
      <c r="I23" s="52"/>
      <c r="J23" s="53"/>
    </row>
    <row r="24" spans="1:10" ht="39.950000000000003" customHeight="1" x14ac:dyDescent="0.2">
      <c r="A24" s="11"/>
      <c r="B24" s="83" t="s">
        <v>187</v>
      </c>
      <c r="C24" s="84"/>
      <c r="D24" s="84"/>
      <c r="E24" s="9">
        <v>5</v>
      </c>
      <c r="F24" s="27">
        <v>3.5</v>
      </c>
      <c r="G24" s="32">
        <f t="shared" si="0"/>
        <v>0.7</v>
      </c>
      <c r="H24" s="33" t="str">
        <f t="shared" si="1"/>
        <v>جيد</v>
      </c>
      <c r="I24" s="52"/>
      <c r="J24" s="53"/>
    </row>
    <row r="25" spans="1:10" ht="39.950000000000003" customHeight="1" x14ac:dyDescent="0.2">
      <c r="A25" s="11"/>
      <c r="B25" s="83" t="s">
        <v>188</v>
      </c>
      <c r="C25" s="84"/>
      <c r="D25" s="84"/>
      <c r="E25" s="9">
        <v>5</v>
      </c>
      <c r="F25" s="27">
        <v>3.5</v>
      </c>
      <c r="G25" s="32">
        <f t="shared" si="0"/>
        <v>0.7</v>
      </c>
      <c r="H25" s="33" t="str">
        <f t="shared" si="1"/>
        <v>جيد</v>
      </c>
      <c r="I25" s="52"/>
      <c r="J25" s="53"/>
    </row>
    <row r="26" spans="1:10" ht="39.950000000000003" customHeight="1" thickBot="1" x14ac:dyDescent="0.25">
      <c r="A26" s="11"/>
      <c r="B26" s="85" t="s">
        <v>189</v>
      </c>
      <c r="C26" s="86"/>
      <c r="D26" s="86"/>
      <c r="E26" s="37">
        <v>5</v>
      </c>
      <c r="F26" s="29">
        <v>3.5</v>
      </c>
      <c r="G26" s="38">
        <f t="shared" si="0"/>
        <v>0.7</v>
      </c>
      <c r="H26" s="39" t="str">
        <f t="shared" si="1"/>
        <v>جيد</v>
      </c>
      <c r="I26" s="81"/>
      <c r="J26" s="82"/>
    </row>
    <row r="27" spans="1:10" ht="39.950000000000003" customHeight="1" x14ac:dyDescent="0.2">
      <c r="A27" s="11"/>
      <c r="B27" s="93" t="s">
        <v>200</v>
      </c>
      <c r="C27" s="94"/>
      <c r="D27" s="94"/>
      <c r="E27" s="40"/>
      <c r="F27" s="34"/>
      <c r="G27" s="35"/>
      <c r="H27" s="36"/>
      <c r="I27" s="79"/>
      <c r="J27" s="80"/>
    </row>
    <row r="28" spans="1:10" ht="39.950000000000003" customHeight="1" x14ac:dyDescent="0.2">
      <c r="A28" s="11"/>
      <c r="B28" s="83" t="s">
        <v>190</v>
      </c>
      <c r="C28" s="84"/>
      <c r="D28" s="84"/>
      <c r="E28" s="9">
        <v>5</v>
      </c>
      <c r="F28" s="27">
        <v>3.75</v>
      </c>
      <c r="G28" s="32">
        <f t="shared" si="0"/>
        <v>0.75</v>
      </c>
      <c r="H28" s="33" t="str">
        <f t="shared" si="1"/>
        <v>جيد</v>
      </c>
      <c r="I28" s="52"/>
      <c r="J28" s="53"/>
    </row>
    <row r="29" spans="1:10" ht="39.950000000000003" customHeight="1" x14ac:dyDescent="0.2">
      <c r="A29" s="11"/>
      <c r="B29" s="83" t="s">
        <v>191</v>
      </c>
      <c r="C29" s="84"/>
      <c r="D29" s="84"/>
      <c r="E29" s="9">
        <v>5</v>
      </c>
      <c r="F29" s="27">
        <v>3.75</v>
      </c>
      <c r="G29" s="32">
        <f t="shared" si="0"/>
        <v>0.75</v>
      </c>
      <c r="H29" s="33" t="str">
        <f t="shared" si="1"/>
        <v>جيد</v>
      </c>
      <c r="I29" s="52"/>
      <c r="J29" s="53"/>
    </row>
    <row r="30" spans="1:10" ht="39.950000000000003" customHeight="1" x14ac:dyDescent="0.2">
      <c r="A30" s="11"/>
      <c r="B30" s="83" t="s">
        <v>192</v>
      </c>
      <c r="C30" s="84"/>
      <c r="D30" s="84"/>
      <c r="E30" s="9">
        <v>5</v>
      </c>
      <c r="F30" s="27">
        <v>3.75</v>
      </c>
      <c r="G30" s="32">
        <f t="shared" si="0"/>
        <v>0.75</v>
      </c>
      <c r="H30" s="33" t="str">
        <f t="shared" si="1"/>
        <v>جيد</v>
      </c>
      <c r="I30" s="52"/>
      <c r="J30" s="53"/>
    </row>
    <row r="31" spans="1:10" ht="39.950000000000003" customHeight="1" x14ac:dyDescent="0.2">
      <c r="A31" s="11"/>
      <c r="B31" s="83" t="s">
        <v>193</v>
      </c>
      <c r="C31" s="84"/>
      <c r="D31" s="84"/>
      <c r="E31" s="9">
        <v>5</v>
      </c>
      <c r="F31" s="27">
        <v>3.5</v>
      </c>
      <c r="G31" s="32">
        <f t="shared" si="0"/>
        <v>0.7</v>
      </c>
      <c r="H31" s="33" t="str">
        <f t="shared" si="1"/>
        <v>جيد</v>
      </c>
      <c r="I31" s="52"/>
      <c r="J31" s="53"/>
    </row>
    <row r="32" spans="1:10" ht="39.950000000000003" customHeight="1" thickBot="1" x14ac:dyDescent="0.25">
      <c r="A32" s="11"/>
      <c r="B32" s="85" t="s">
        <v>194</v>
      </c>
      <c r="C32" s="86"/>
      <c r="D32" s="86"/>
      <c r="E32" s="37">
        <v>5</v>
      </c>
      <c r="F32" s="29">
        <v>3.75</v>
      </c>
      <c r="G32" s="38">
        <f t="shared" si="0"/>
        <v>0.75</v>
      </c>
      <c r="H32" s="39" t="str">
        <f t="shared" si="1"/>
        <v>جيد</v>
      </c>
      <c r="I32" s="81"/>
      <c r="J32" s="82"/>
    </row>
    <row r="33" spans="1:10" ht="30" customHeight="1" thickBot="1" x14ac:dyDescent="0.25">
      <c r="A33" s="4"/>
      <c r="B33" s="75" t="s">
        <v>5</v>
      </c>
      <c r="C33" s="76"/>
      <c r="D33" s="76"/>
      <c r="E33" s="31">
        <f>SUM(E8:E32)</f>
        <v>110</v>
      </c>
      <c r="F33" s="31">
        <f>SUM(F8:F32)</f>
        <v>79.75</v>
      </c>
      <c r="G33" s="45"/>
      <c r="H33" s="46"/>
      <c r="I33" s="46"/>
      <c r="J33" s="47"/>
    </row>
    <row r="34" spans="1:10" ht="30" customHeight="1" thickBot="1" x14ac:dyDescent="0.25">
      <c r="A34" s="4"/>
      <c r="B34" s="77" t="s">
        <v>54</v>
      </c>
      <c r="C34" s="78"/>
      <c r="D34" s="78"/>
      <c r="E34" s="67">
        <f>F33/E33/100*100</f>
        <v>0.72499999999999998</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2">
      <c r="B36" s="54" t="s">
        <v>175</v>
      </c>
      <c r="C36" s="54"/>
      <c r="D36" s="54"/>
      <c r="E36" s="43" t="s">
        <v>52</v>
      </c>
      <c r="F36" s="43"/>
      <c r="G36" s="56" t="s">
        <v>104</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