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57C85F1-1D72-8B47-AE0B-C47D21071CD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F16" i="2"/>
  <c r="E16" i="2"/>
  <c r="E17" i="2"/>
  <c r="E18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<sst xmlns="http://schemas.openxmlformats.org/spreadsheetml/2006/main" count="247" uniqueCount="191">
  <si>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</si>
  <si>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</si>
  <si>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</si>
  <si>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</si>
  <si>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</si>
  <si>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</si>
  <si>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</si>
  <si>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</si>
  <si>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</si>
  <si>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</si>
  <si>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</si>
  <si>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</si>
  <si>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</si>
  <si>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</si>
  <si>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</si>
  <si>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</si>
  <si>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</si>
  <si>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</si>
  <si>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</si>
  <si>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</si>
  <si>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</si>
  <si>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</si>
  <si>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</si>
  <si>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</si>
  <si>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</si>
  <si>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</si>
  <si>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</si>
  <si>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</si>
  <si>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</si>
  <si>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</si>
  <si>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</si>
  <si>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</si>
  <si>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</si>
  <si>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</si>
  <si>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</si>
  <si>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</si>
  <si>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</si>
  <si>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</si>
  <si>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</si>
  <si>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</si>
  <si>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</si>
  <si>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</si>
  <si>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</si>
  <si>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</si>
  <si>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</si>
  <si>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</si>
  <si>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</si>
  <si>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</si>
  <si>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</si>
  <si>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</si>
  <si>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</si>
  <si>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</si>
  <si>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</si>
  <si>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</si>
  <si>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</si>
  <si>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</si>
  <si>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</si>
  <si>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</si>
  <si>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</si>
  <si>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</si>
  <si>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</si>
  <si>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</si>
  <si>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</si>
  <si>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</si>
  <si>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</si>
  <si>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</si>
  <si>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</si>
  <si>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</si>
  <si>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</si>
  <si>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</si>
  <si>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</si>
  <si>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</si>
  <si>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</si>
  <si>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</si>
  <si>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</si>
  <si>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</si>
  <si>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</si>
  <si>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</si>
  <si>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</si>
  <si>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</si>
  <si>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</si>
  <si>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</si>
  <si>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</si>
  <si>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</si>
  <si>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</si>
  <si>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</si>
  <si>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</si>
  <si>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</si>
  <si>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</si>
  <si>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</si>
  <si>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</si>
  <si>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</si>
  <si>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</si>
  <si>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</si>
  <si>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</si>
  <si>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</si>
  <si>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</si>
  <si>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</si>
  <si>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</si>
  <si>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</si>
  <si>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</si>
  <si>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</si>
  <si>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</si>
  <si>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</si>
  <si>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</si>
  <si>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</si>
  <si>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</si>
  <si>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</si>
  <si>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</si>
  <si>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</si>
  <si>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</si>
  <si>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</si>
  <si>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</si>
  <si>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</si>
  <si>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</si>
  <si>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</si>
  <si>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</si>
  <si>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</si>
  <si>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</si>
  <si>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</si>
  <si>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</si>
  <si>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</si>
  <si>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</si>
  <si>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</si>
  <si>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</si>
  <si>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</si>
  <si>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</si>
  <si>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</si>
  <si>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</si>
  <si>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</si>
  <si>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</si>
  <si>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</si>
  <si>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</si>
  <si>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</si>
  <si>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</si>
  <si>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</si>
  <si>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</si>
  <si>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</si>
  <si>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</si>
  <si>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</si>
  <si>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</si>
  <si>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</si>
  <si>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</si>
  <si>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</si>
  <si>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</si>
  <si>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</si>
  <si>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</si>
  <si>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</si>
  <si>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</si>
  <si>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</si>
  <si>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</si>
  <si>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</si>
  <si>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</si>
  <si>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</si>
  <si>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</si>
  <si>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</si>
  <si>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</si>
  <si>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</si>
  <si>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</si>
  <si>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</si>
  <si>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</si>
  <si>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</si>
  <si>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</si>
  <si>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</si>
  <si>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</si>
  <si>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</si>
  <si>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</si>
  <si>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</si>
  <si>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</si>
  <si>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</si>
  <si>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</si>
  <si>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</si>
  <si>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</si>
  <si>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</si>
  <si>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</si>
  <si>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</si>
  <si>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</si>
  <si>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</si>
  <si>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</si>
  <si>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</si>
  <si>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الدفاع الجوي في إسناد العمليات التعرضية لمجموعة اللواء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</si>
  <si>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يُعد قائد وحدة الدفاع الجوي خطته لحماية مجموعة اللواء في العمليات التعرضية بناء على العناصر التالية:</t>
  </si>
  <si>
    <t>أ.    مفهوم عمليات قائد مجموعة اللواء.</t>
  </si>
  <si>
    <t>ب. أولويات حماية الأهداف في منطقة مسؤولية مجموعة اللواء كما حددها قائد مجموعة اللواء، وقد تتغيّر هذه الأولويات حسب متغيرات المهمة في كل مرحلة.</t>
  </si>
  <si>
    <t>جـ. القدرات القتالية للأسلحة المخصصة لإسناد مجموعة اللواء والتحديدات الفنية والتعبوية.</t>
  </si>
  <si>
    <r>
      <t>د. التهديد الجوي المعادي (قدراته،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تعبيته، أعماله المتوقعة)، وهنا يعتمد قائد وحدة الدفاع الجوي على تقارير الاستخبارات التي تصله سواء من مجموعة اللواء أم من المصادر الأخرى. </t>
    </r>
  </si>
  <si>
    <t>هـ. نوع العملية التعرضية التي ستنفذها مجموعة اللواء.</t>
  </si>
  <si>
    <t>2.    تخطيط وتنسيق أسلحة الدفاع الجوي لتأمين الحماية لمجموعة اللواء خلال التقدم للتماس وحسب أسلوب الحركة والمناورة لمجموعة اللواء.</t>
  </si>
  <si>
    <t>3.    تخطيط وتنسيق أسلحة الدفاع الجوي لتأمين الحماية لمجموعة اللواء خلال التقدم المناورة من خط البدء إلى خط الاقتحام، وكذلك تنفيذ الاختراق واقتحام الأهداف.</t>
  </si>
  <si>
    <t>رائد حمد الشامسي</t>
  </si>
  <si>
    <t>نقيب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</si>
</sst>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12" fillId="0" borderId="1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178817</xdr:colOff>
      <xdr:row>18</xdr:row>
      <xdr:rowOff>442840</xdr:rowOff>
    </xdr:from>
    <xdr:to>
      <xdr:col>7</xdr:col>
      <xdr:colOff>136687</xdr:colOff>
      <xdr:row>19</xdr:row>
      <xdr:rowOff>425468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1EB7970-6E16-CECC-5C49-47C02CB1D193}"/>
                </a:ext>
              </a:extLst>
            </xdr14:cNvPr>
            <xdr14:cNvContentPartPr/>
          </xdr14:nvContentPartPr>
          <xdr14:nvPr macro=""/>
          <xdr14:xfrm>
            <a:off x="10399766313" y="9078840"/>
            <a:ext cx="615960" cy="513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1EB7970-6E16-CECC-5C49-47C02CB1D1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57673" y="9069840"/>
              <a:ext cx="633600" cy="53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292937</xdr:colOff>
      <xdr:row>18</xdr:row>
      <xdr:rowOff>519520</xdr:rowOff>
    </xdr:from>
    <xdr:to>
      <xdr:col>9</xdr:col>
      <xdr:colOff>152146</xdr:colOff>
      <xdr:row>19</xdr:row>
      <xdr:rowOff>539588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9B2A88D-506D-8987-9E94-1B1AF387A611}"/>
                </a:ext>
              </a:extLst>
            </xdr14:cNvPr>
            <xdr14:cNvContentPartPr/>
          </xdr14:nvContentPartPr>
          <xdr14:nvPr macro=""/>
          <xdr14:xfrm>
            <a:off x="10398434673" y="9155520"/>
            <a:ext cx="1833480" cy="5511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9B2A88D-506D-8987-9E94-1B1AF387A6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25673" y="9146520"/>
              <a:ext cx="1851120" cy="56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582356</xdr:colOff>
      <xdr:row>19</xdr:row>
      <xdr:rowOff>18668</xdr:rowOff>
    </xdr:from>
    <xdr:to>
      <xdr:col>8</xdr:col>
      <xdr:colOff>623396</xdr:colOff>
      <xdr:row>19</xdr:row>
      <xdr:rowOff>102908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7CA4FF9-88A8-109B-BC3B-AE93213AF164}"/>
                </a:ext>
              </a:extLst>
            </xdr14:cNvPr>
            <xdr14:cNvContentPartPr/>
          </xdr14:nvContentPartPr>
          <xdr14:nvPr macro=""/>
          <xdr14:xfrm>
            <a:off x="10398621513" y="9185760"/>
            <a:ext cx="41040" cy="842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7CA4FF9-88A8-109B-BC3B-AE93213AF16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612873" y="9176760"/>
              <a:ext cx="58680" cy="10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30.8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1581 1042 8,'0'0'0,"14"-3"0,-14 3 0,5-1 0,7-2 32,-10 2 0,11-4 16,-13 5-48,2-2 40,0-3-16,3 0 0,0-7 8,-5 12-32,12-4 40,-12-9 8,5 9 16,0-10-8,-5 14-56,12-5 64,-10-6 0,10 8 8,-10-1 32,-2 4-104,12-2 112,-9 2 40,2 0 968,-5 3 816,0-3-1936,0 0 2577,0 0 680,-3 0-1553,3 3-48,0-3-1656,0 0 2081,0 0 87,0 3-383,-2-3-729,2 0-1056,0 3 384,0-3-144,0 3-160,0 0-32,0-3-48,-5 4 152,0 9-136,-4-1-8,4 3-32,5-15 24,-15 18-72,13 3 72,-15 1-40,8 2 24,9-24 16,-12 25-72,-1 1 56,9-2-24,-8-1-24,12-23 64,-5 23-128,-7-3-456,9-2-528,-11-1-969,14-17 2081,-5 16-3273,-7-3-1368,10-9 857,-13 9 1279,15-13 2505,-5 0-1304,-9 0 960,12-6 224,-10-8 40,12 14 80,-3-6-40,-2-8 16,1 1 8,1-1 48,3 14-32,-2-17 24,-1-3 32,3-3 536,0 3 1576,0 20-2168,0-17 3457,0 2 1368,-2 3-424,2 6-2793,0 6-1608,0-5 1369,0-1-257,0 2-400,0 2-176,0 2-536,0-1 232,0 0-208,0 1 112,2 0-200,-2 0 64,5 0-264,-5 0 168,0 0-16,0 0 72,0 0 40,-5 2-56,1 10 88,-8-8-48,0 16-8,12-20 24,-15 18 144,-7 4-176,8-1-40,0-1-48,14-20 120,-8 18 0,-4 1 0,10-2-24,0-1 128,2-16-104,-3 11-64,3-7-64,0 1 72,0-5-96,0 0 152,3 0-248,9 0-64,-10-3-320,3-9-552,-5 12 1184,14-12-1713,-9-4 89,9-1 368,-9-2 679,-5 19 577,5-15 416,-3 3 417,-2 7 327,0 0 72,0 5-1232,0-4 1288,0 3-191,0 1-281,0 0-176,0 0-640,-7 3 232,2 1-160,1 9-56,-8-9-56,12-4 40,-5 18-152,0-3 96,-2-1 48,-3 0 8,10-14 0,-5 13 24,1-9-24,-1 12-24,2-13-160,3-3 184,-2 4 40,-3-1-64,0-3 0,5 0 112,0 0-88,-2 0 40,-3-2-40,0-3 24,-7-10 40,12 15-64,-5-12-80,-7-4 48,8-1 32,-1 0-32,5 17 32,-7-17 32,4 0 0,1-2 32,-3 1 0,5 18-64,0-20 80,0 0-16,0-1 0,0-4 16,0 25-80,5-28 80,-3-3 64,1-6 32,13-3 40,-16 40-216,12-43 208,-2-2-88,2-4-56,0 0-48,-12 49-16,15-51-16,-6-2 16,-4 2-8,9 1 8,-14 50 0,5-45 24,5 5-16,-5 6 32,-3 5 56,-2 29-96,2-20 264,-2 9 8,0 7-39,0 2-97,0 2-136,0 0-32,0 0-48,0 13-1,0 3 57,0-16 24,-4 25 8,-6 9-8,3 10 0,-12 9-8,19-53 8,-17 58-40,-5 1 40,0-1 81,-4-6 15,26-52-96,-24 52 104,0-5 48,-3-2-72,-1-1-24,28-44-56,-34 41 64,-2-1 32,-3-3-24,-4 0 0,43-37-72,-43 36 8,-1-2-8,1-2-40,0 0 24,43-32 16,-46 28 32,5-1-32,0-4-32,5-2 104,36-21-72,-29 17-80,1-1 88,3-5 40,4 1-136,21-12 88,-19 4 0,2 7-24,0-11 80,2 3-48,15-3-8,-2 3 72,-5-3 48,-8 0-64,15-1 112,0 1-168,-12-12 152,5-1-96,-5-7-16,7-5 32,5 25-72,-14-31 72,9-6 0,0-3-16,3-6 8,2 46-64,-5-45-40,5-2-32,0 0 64,12 2-96,-12 45 104,12-46-40,3 6 0,1 3-56,6 5 40,-22 32 56,24-29-96,3 4 64,-3 3 72,-5 5-48,-19 17 8,19-13 80,3 2-8,2 7-64,0-2 40,-24 6-48,26-4 8,6 1 24,1 2-32,6 1 16,-39 0-16,36 0-72,-7 2-40,-3 3-56,-7 7-104,-19-12 272,12 3-440,-12 2-65,0 9 113,-21-1 192,21-13 200,-36 19-64,-15 6 128,-16 5-24,-8 2 40,75-32-80,-79 31 96,-3 2-32,0 0-8,1 1-136,81-34 80,-75 37 16,3 1-32,9 1-264,13 1-824,50-40 1104,-44 39-2504,13 3-2417,10-6-721,9-3 1641,12-33 4001,0 23-2376,0-19 1432,14-1 688,5-7 48,-19 4 208,27-23-160,4-1 32,5-5 40,-2-3 32,-34 32 56,36-36-64,-10-4-8,1 1 32,-3-5 24,-24 44 16,19-43-24,0 2 24,-7-1-8,-7 3 0,-5 39 8,2-39 8,13 4-8,-15 1 16,2 2 24,-2 32-40,5-27 32,-2 3 32,4 1-16,-5 4 24,-2 19-72,3-22 112,-3-1 40,0 2 88,0-9 2464,0 30-2704,-3-35 4497,3-9 1448,-2-5 1329,-1 1-6922,3 48-352,0-45 144,3 0 120,9 1-152,-10 2-72,-2 42-40,12-44 104,-7 2 72,12 5-136,-15 3 40,-2 34-80,12-27 0,-7 7 104,0 6 0,-3 9 208,-2 5-312,0-6 216,0 2-256,-2 2 185,2 2-226,0 0 81,-5 3-120,0 13 64,-7 6-48,7 14 88,5-36 16,-14 44 0,2 13-80,7 7-16,3 8-104,2-72 200,-5 80-8,0 4 112,5 5-120,0-3-144,0-86 160,12 84-104,0-8-104,10-5-136,-1-2-176,-21-69 520,20 61-984,4-4-737,-3-6-1719,3-6-1897,-24-45 5337,25 43-4361,-11-8 1432,0-15 1521,-9-17 1032,-5-3 376,12-3-232,-9-19 48,-1-5 40,-2-5-16,0 32 160,0-35-112,0 35 112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31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3043 431 120,'0'0'0,"0"0"0,0 0 56,0 0 40,0 4 8,-7 12 56,7-16-160,-12 4 208,7 8 2136,-7-12 1841,5 0 1360,7 0-5545,-12-5 6690,0 1-6290,12 0-616,-3 2 152,3 2 64,-2-1-32,2 0 120,0-1-64,-3 1-64,3 1 40,-2-2-96,2 1-520,0 0-513,0-1-519,0 2 1648,0-4-2088,5 0-345,9-11-520,8 1 209,-22 14 2744,24-17-2177,12-3 769,10-1 768,7-2 344,-53 23 296,67-24-152,7 1 56,11 2 0,8-3 0,-93 24 96,101-26-88,13-1 8,8 0 0,6 3 48,-128 24 32,142-24-24,4 4 32,1 6 48,2 9 16,-149 5-72,132-1 128,-11 1 40,-25-1 48,-17-2 48,-79 3-264,60-13 992,-19 7 1329,-17-5 1423,-19 9 1297,-5 2-5041,0-2 4097,-29-3-2096,-9 0-1169,-27-7-376,65 12-456,-87-1 504,-16-1 104,-17 2-16,-10 5-216,130-5-376,-140 18 257,-4 3-121,-12 6-192,-3 8 32,159-35 24,-171 39-80,-2 3 63,0 5 114,-1 4-129,174-51 32,-165 55 48,3 2-144,13 3 39,10-2 81,139-58-24,-125 60-24,9 1 64,15-1-56,5 1 32,96-61-16,-84 57-24,9-2 24,5-1-32,10-4-48,60-50 80,-50 47-56,2-5-8,7-6 8,12-6-40,29-30 96,-26 22-48,4-6 8,7-5 0,6-8 64,9-3-24,-5 5 64,3-5-8,-1 0 40,3 0 48,0 0-144,0 0 193,0-2 63,0-2 16,0-2-48,0 6-224,0-11 176,5 7-64,-3-11 0,-2 10-16,0 5-96,3-16 24,-3 3 24,0-4-80,0-3 32,0 20 0,-5-24-16,-7-2 8,-2-3 16,2-4 176,12 33-184,-17-34 0,0-2-80,-2 4 8,-5 2-136,24 30 208,-22-24-80,0 5 64,-2 8-80,-5 9-16,29 2 112,-29 0-192,-2 13 168,0 7 8,2 6 176,29-26-160,-29 37 264,3 9-112,-3 11 128,2 10-144,27-67-136,-19 74 296,2 0-88,0 0-136,13-4-16,4-70-56,-20 61 32,16-12-48,-18-12 128,5-10 48,17-27-160,-19 17 152,-3-12 264,-2-1 96,-5-4-120,29 0-392,-33-6 304,-1-18-136,0-6 65,1-11-129,33 41-104,-36-48 136,-1-6-200,-3-3-337,4 0 33,36 57 368,-44-55-304,1 1-104,4 2 192,-6 4 272,45 48-56,-44-40-144,1 10 568,-3 8-80,8 10-8,38 12-336,-36-3 432,-5 3-359,7 3 223,-7 16-432,41-19 136,-33 21-297,11 5 209,0 5-440,10 6-112,12-37 640,-2 40-1056,-12 2-888,11 0-1129,3-3-1456,0-39 4529,0 37-5977,-2-1 1344,-1-5 1856,-6-5 1433,9-26 1344,-3 15-320,-13-12 184,3-3-16,1 0 16,12 0 136,-12-1-128,0-2 16,0-3 24,8-7 24,4 13 64,-3-12-40,3-5-48,0-6 40,19-3 16,-19 26 32,0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32.4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114 186 8425,'0'0'0,"-5"-56"7690,-14-5 2584,2 5-11202,17 56 928,-27-13-5937,32 32-1121,10 16 825,-11 2 2376,-4-37 3857,0 32-1536,-2-7 1248,-22-2 24,2 4 80,22-27 184,-21 35-96,21-35 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topLeftCell="D9" zoomScale="130" zoomScaleNormal="100" zoomScaleSheetLayoutView="130" workbookViewId="0">
      <selection activeCell="G20" sqref="G20:J2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180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0" t="s">
        <v>8</v>
      </c>
      <c r="C2" s="61" t="s">
        <v>29</v>
      </c>
      <c r="D2" s="61"/>
      <c r="E2" s="10" t="s">
        <v>7</v>
      </c>
      <c r="F2" s="56">
        <v>45952</v>
      </c>
      <c r="G2" s="56"/>
      <c r="H2" s="56"/>
      <c r="I2" s="56"/>
      <c r="J2" s="56"/>
    </row>
    <row r="3" spans="1:10" ht="30" customHeight="1" x14ac:dyDescent="0.2">
      <c r="B3" s="10" t="s">
        <v>9</v>
      </c>
      <c r="C3" s="61" t="s">
        <v>60</v>
      </c>
      <c r="D3" s="61"/>
      <c r="E3" s="10" t="s">
        <v>6</v>
      </c>
      <c r="F3" s="61" t="s">
        <v>59</v>
      </c>
      <c r="G3" s="61"/>
      <c r="H3" s="61"/>
      <c r="I3" s="61"/>
      <c r="J3" s="61"/>
    </row>
    <row r="4" spans="1:10" ht="30" customHeight="1" thickBot="1" x14ac:dyDescent="0.25">
      <c r="B4" s="6"/>
      <c r="C4" s="37" t="s">
        <v>189</v>
      </c>
      <c r="D4" s="37"/>
      <c r="E4" s="6"/>
      <c r="F4" s="37" t="s">
        <v>190</v>
      </c>
      <c r="G4" s="37"/>
      <c r="H4" s="37"/>
      <c r="I4" s="37"/>
      <c r="J4" s="37"/>
    </row>
    <row r="5" spans="1:10" ht="24.95" customHeight="1" x14ac:dyDescent="0.2">
      <c r="A5" s="8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8"/>
      <c r="B6" s="59"/>
      <c r="C6" s="60"/>
      <c r="D6" s="60"/>
      <c r="E6" s="9" t="s">
        <v>3</v>
      </c>
      <c r="F6" s="9" t="s">
        <v>4</v>
      </c>
      <c r="G6" s="9" t="s">
        <v>23</v>
      </c>
      <c r="H6" s="9" t="s">
        <v>24</v>
      </c>
      <c r="I6" s="68"/>
      <c r="J6" s="69"/>
    </row>
    <row r="7" spans="1:10" ht="24.95" customHeight="1" thickBot="1" x14ac:dyDescent="0.25">
      <c r="A7" s="8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70" t="s">
        <v>25</v>
      </c>
      <c r="J7" s="71"/>
    </row>
    <row r="8" spans="1:10" ht="39.950000000000003" customHeight="1" x14ac:dyDescent="0.2">
      <c r="A8" s="8"/>
      <c r="B8" s="82" t="s">
        <v>181</v>
      </c>
      <c r="C8" s="83"/>
      <c r="D8" s="83"/>
      <c r="E8" s="26"/>
      <c r="F8" s="32"/>
      <c r="G8" s="33"/>
      <c r="H8" s="34"/>
      <c r="I8" s="38"/>
      <c r="J8" s="39"/>
    </row>
    <row r="9" spans="1:10" ht="39.950000000000003" customHeight="1" x14ac:dyDescent="0.2">
      <c r="A9" s="8"/>
      <c r="B9" s="75" t="s">
        <v>182</v>
      </c>
      <c r="C9" s="76"/>
      <c r="D9" s="76"/>
      <c r="E9" s="7">
        <v>5</v>
      </c>
      <c r="F9" s="24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60.75" customHeight="1" x14ac:dyDescent="0.2">
      <c r="A10" s="8"/>
      <c r="B10" s="75" t="s">
        <v>183</v>
      </c>
      <c r="C10" s="76"/>
      <c r="D10" s="76"/>
      <c r="E10" s="7">
        <v>5</v>
      </c>
      <c r="F10" s="24">
        <v>4</v>
      </c>
      <c r="G10" s="30">
        <f t="shared" ref="G10:G15" si="0">IFERROR(F10/E10,"")</f>
        <v>0.8</v>
      </c>
      <c r="H10" s="31" t="str">
        <f t="shared" ref="H10:H1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50000000000003" customHeight="1" x14ac:dyDescent="0.2">
      <c r="A11" s="8"/>
      <c r="B11" s="75" t="s">
        <v>184</v>
      </c>
      <c r="C11" s="76"/>
      <c r="D11" s="76"/>
      <c r="E11" s="7">
        <v>5</v>
      </c>
      <c r="F11" s="24">
        <v>4</v>
      </c>
      <c r="G11" s="30">
        <f t="shared" si="0"/>
        <v>0.8</v>
      </c>
      <c r="H11" s="31" t="str">
        <f t="shared" si="1"/>
        <v>جيد جداً</v>
      </c>
      <c r="I11" s="47"/>
      <c r="J11" s="48"/>
    </row>
    <row r="12" spans="1:10" ht="51" customHeight="1" x14ac:dyDescent="0.2">
      <c r="A12" s="8"/>
      <c r="B12" s="75" t="s">
        <v>185</v>
      </c>
      <c r="C12" s="76"/>
      <c r="D12" s="76"/>
      <c r="E12" s="7">
        <v>5</v>
      </c>
      <c r="F12" s="24">
        <v>3.75</v>
      </c>
      <c r="G12" s="30">
        <f t="shared" si="0"/>
        <v>0.75</v>
      </c>
      <c r="H12" s="31" t="str">
        <f t="shared" si="1"/>
        <v>جيد</v>
      </c>
      <c r="I12" s="47"/>
      <c r="J12" s="48"/>
    </row>
    <row r="13" spans="1:10" ht="39.950000000000003" customHeight="1" x14ac:dyDescent="0.2">
      <c r="A13" s="8"/>
      <c r="B13" s="75" t="s">
        <v>186</v>
      </c>
      <c r="C13" s="76"/>
      <c r="D13" s="76"/>
      <c r="E13" s="7">
        <v>5</v>
      </c>
      <c r="F13" s="24">
        <v>3.75</v>
      </c>
      <c r="G13" s="30">
        <f t="shared" si="0"/>
        <v>0.75</v>
      </c>
      <c r="H13" s="31" t="str">
        <f t="shared" si="1"/>
        <v>جيد</v>
      </c>
      <c r="I13" s="47"/>
      <c r="J13" s="48"/>
    </row>
    <row r="14" spans="1:10" ht="54.75" customHeight="1" x14ac:dyDescent="0.2">
      <c r="A14" s="8"/>
      <c r="B14" s="77" t="s">
        <v>187</v>
      </c>
      <c r="C14" s="78"/>
      <c r="D14" s="78"/>
      <c r="E14" s="7">
        <v>5</v>
      </c>
      <c r="F14" s="24">
        <v>4</v>
      </c>
      <c r="G14" s="30">
        <f t="shared" si="0"/>
        <v>0.8</v>
      </c>
      <c r="H14" s="31" t="str">
        <f t="shared" si="1"/>
        <v>جيد جداً</v>
      </c>
      <c r="I14" s="47"/>
      <c r="J14" s="48"/>
    </row>
    <row r="15" spans="1:10" ht="53.25" customHeight="1" thickBot="1" x14ac:dyDescent="0.25">
      <c r="A15" s="8"/>
      <c r="B15" s="79" t="s">
        <v>188</v>
      </c>
      <c r="C15" s="80"/>
      <c r="D15" s="80"/>
      <c r="E15" s="27">
        <v>5</v>
      </c>
      <c r="F15" s="25">
        <v>4</v>
      </c>
      <c r="G15" s="35">
        <f t="shared" si="0"/>
        <v>0.8</v>
      </c>
      <c r="H15" s="36" t="str">
        <f t="shared" si="1"/>
        <v>جيد جداً</v>
      </c>
      <c r="I15" s="49"/>
      <c r="J15" s="50"/>
    </row>
    <row r="16" spans="1:10" ht="30" customHeight="1" thickBot="1" x14ac:dyDescent="0.25">
      <c r="A16" s="4"/>
      <c r="B16" s="40" t="s">
        <v>5</v>
      </c>
      <c r="C16" s="41"/>
      <c r="D16" s="41"/>
      <c r="E16" s="29">
        <f>SUM(E8:E15)</f>
        <v>35</v>
      </c>
      <c r="F16" s="29">
        <f>SUM(F8:F15)</f>
        <v>27.25</v>
      </c>
      <c r="G16" s="52"/>
      <c r="H16" s="53"/>
      <c r="I16" s="53"/>
      <c r="J16" s="54"/>
    </row>
    <row r="17" spans="1:10" ht="30" customHeight="1" thickBot="1" x14ac:dyDescent="0.25">
      <c r="A17" s="4"/>
      <c r="B17" s="45" t="s">
        <v>54</v>
      </c>
      <c r="C17" s="46"/>
      <c r="D17" s="46"/>
      <c r="E17" s="62">
        <f>F16/E16/100*100</f>
        <v>0.77857142857142858</v>
      </c>
      <c r="F17" s="62"/>
      <c r="G17" s="62"/>
      <c r="H17" s="62"/>
      <c r="I17" s="62"/>
      <c r="J17" s="63"/>
    </row>
    <row r="18" spans="1:10" ht="30" customHeight="1" thickBot="1" x14ac:dyDescent="0.25">
      <c r="A18" s="4"/>
      <c r="B18" s="45" t="s">
        <v>55</v>
      </c>
      <c r="C18" s="46"/>
      <c r="D18" s="46"/>
      <c r="E18" s="43" t="str">
        <f>_xlfn.IFS(E17&gt;=90%,"ممتاز",E17&gt;=80%,"جيد جداً",E17&gt;=70%,"جيد",E17&gt;=60%,"مقبول",E17&lt;60%,"راسب")</f>
        <v>جيد</v>
      </c>
      <c r="F18" s="43"/>
      <c r="G18" s="43"/>
      <c r="H18" s="43"/>
      <c r="I18" s="43"/>
      <c r="J18" s="44"/>
    </row>
    <row r="19" spans="1:10" ht="42" customHeight="1" x14ac:dyDescent="0.2">
      <c r="B19" s="72" t="s">
        <v>174</v>
      </c>
      <c r="C19" s="72"/>
      <c r="D19" s="72"/>
      <c r="E19" s="81" t="s">
        <v>52</v>
      </c>
      <c r="F19" s="81"/>
      <c r="G19" s="74" t="s">
        <v>59</v>
      </c>
      <c r="H19" s="74"/>
      <c r="I19" s="74"/>
      <c r="J19" s="74"/>
    </row>
    <row r="20" spans="1:10" ht="51" customHeight="1" x14ac:dyDescent="0.2">
      <c r="A20" s="5"/>
      <c r="B20" s="73"/>
      <c r="C20" s="73"/>
      <c r="D20" s="73"/>
      <c r="E20" s="51" t="s">
        <v>53</v>
      </c>
      <c r="F20" s="51"/>
      <c r="G20" s="42"/>
      <c r="H20" s="42"/>
      <c r="I20" s="42"/>
      <c r="J20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B19:D20"/>
    <mergeCell ref="G19:J19"/>
    <mergeCell ref="B13:D13"/>
    <mergeCell ref="B14:D14"/>
    <mergeCell ref="B15:D15"/>
    <mergeCell ref="E19:F19"/>
    <mergeCell ref="B7:D7"/>
    <mergeCell ref="E5:H5"/>
    <mergeCell ref="I5:J6"/>
    <mergeCell ref="I7:J7"/>
    <mergeCell ref="I10:J10"/>
    <mergeCell ref="I9:J9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F4:J4"/>
    <mergeCell ref="C4:D4"/>
    <mergeCell ref="I8:J8"/>
    <mergeCell ref="B16:D16"/>
    <mergeCell ref="G20:J20"/>
    <mergeCell ref="E18:J18"/>
    <mergeCell ref="B17:D17"/>
    <mergeCell ref="B18:D18"/>
    <mergeCell ref="I11:J11"/>
    <mergeCell ref="I12:J12"/>
    <mergeCell ref="I13:J13"/>
    <mergeCell ref="I14:J14"/>
    <mergeCell ref="I15:J15"/>
    <mergeCell ref="E20:F20"/>
    <mergeCell ref="G16:J16"/>
    <mergeCell ref="E17:J1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8:F1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8:H1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G19:J19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2025-10-21T09:31:27Z</dcterms:modified>
</cp:coreProperties>
</file>