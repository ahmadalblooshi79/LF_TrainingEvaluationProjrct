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FD82CD8-0AE0-44D7-8BE6-A9750805F5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1" i="2"/>
  <c r="H21" i="2"/>
  <c r="F22" i="2"/>
  <c r="E22" i="2"/>
  <c r="E23" i="2"/>
  <c r="E24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<sst xmlns="http://schemas.openxmlformats.org/spreadsheetml/2006/main" count="250" uniqueCount="194">
  <si>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</si>
  <si>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</si>
  <si>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</si>
  <si>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</si>
  <si>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</si>
  <si>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</si>
  <si>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</si>
  <si>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</si>
  <si>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</si>
  <si>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</si>
  <si>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</si>
  <si>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</si>
  <si>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</si>
  <si>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</si>
  <si>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</si>
  <si>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</si>
  <si>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</si>
  <si>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</si>
  <si>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</si>
  <si>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</si>
  <si>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</si>
  <si>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</si>
  <si>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</si>
  <si>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</si>
  <si>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</si>
  <si>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</si>
  <si>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</si>
  <si>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</si>
  <si>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</si>
  <si>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</si>
  <si>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</si>
  <si>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</si>
  <si>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</si>
  <si>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</si>
  <si>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</si>
  <si>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</si>
  <si>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</si>
  <si>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</si>
  <si>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</si>
  <si>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</si>
  <si>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</si>
  <si>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</si>
  <si>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</si>
  <si>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</si>
  <si>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</si>
  <si>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</si>
  <si>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</si>
  <si>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</si>
  <si>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</si>
  <si>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</si>
  <si>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</si>
  <si>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</si>
  <si>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</si>
  <si>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</si>
  <si>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</si>
  <si>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</si>
  <si>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</si>
  <si>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</si>
  <si>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</si>
  <si>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</si>
  <si>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</si>
  <si>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</si>
  <si>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</si>
  <si>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</si>
  <si>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</si>
  <si>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</si>
  <si>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</si>
  <si>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</si>
  <si>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</si>
  <si>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</si>
  <si>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</si>
  <si>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</si>
  <si>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</si>
  <si>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</si>
  <si>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</si>
  <si>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</si>
  <si>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</si>
  <si>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</si>
  <si>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</si>
  <si>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</si>
  <si>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</si>
  <si>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</si>
  <si>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</si>
  <si>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</si>
  <si>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</si>
  <si>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</si>
  <si>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</si>
  <si>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</si>
  <si>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</si>
  <si>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</si>
  <si>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</si>
  <si>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</si>
  <si>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</si>
  <si>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</si>
  <si>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</si>
  <si>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</si>
  <si>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</si>
  <si>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</si>
  <si>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</si>
  <si>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</si>
  <si>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</si>
  <si>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</si>
  <si>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</si>
  <si>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</si>
  <si>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</si>
  <si>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</si>
  <si>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</si>
  <si>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</si>
  <si>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</si>
  <si>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</si>
  <si>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</si>
  <si>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</si>
  <si>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</si>
  <si>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</si>
  <si>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</si>
  <si>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</si>
  <si>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</si>
  <si>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</si>
  <si>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</si>
  <si>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</si>
  <si>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</si>
  <si>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</si>
  <si>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</si>
  <si>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</si>
  <si>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</si>
  <si>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</si>
  <si>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</si>
  <si>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</si>
  <si>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</si>
  <si>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</si>
  <si>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</si>
  <si>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</si>
  <si>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</si>
  <si>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</si>
  <si>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</si>
  <si>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</si>
  <si>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</si>
  <si>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</si>
  <si>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</si>
  <si>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</si>
  <si>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</si>
  <si>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</si>
  <si>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</si>
  <si>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</si>
  <si>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</si>
  <si>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</si>
  <si>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</si>
  <si>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</si>
  <si>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</si>
  <si>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</si>
  <si>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</si>
  <si>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</si>
  <si>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</si>
  <si>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</si>
  <si>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</si>
  <si>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</si>
  <si>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</si>
  <si>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</si>
  <si>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</si>
  <si>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</si>
  <si>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</si>
  <si>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</si>
  <si>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</si>
  <si>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</si>
  <si>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</si>
  <si>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</si>
  <si>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</si>
  <si>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</si>
  <si>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</si>
  <si>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</si>
  <si>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</si>
  <si>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</si>
  <si>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</si>
  <si>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</si>
  <si>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</si>
  <si>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</si>
  <si>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</si>
  <si>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</si>
  <si>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</si>
  <si>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</si>
  <si>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</si>
  <si>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</si>
  <si>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</si>
  <si>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</si>
  <si>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</si>
  <si>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</si>
  <si>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</si>
  <si>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</si>
  <si>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</si>
  <si>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</si>
  <si>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</si>
  <si>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</si>
  <si>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</si>
  <si>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اليوم/1 - تقييم معضلة/1 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</si>
</sst>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489705</xdr:colOff>
      <xdr:row>25</xdr:row>
      <xdr:rowOff>90988</xdr:rowOff>
    </xdr:from>
    <xdr:to>
      <xdr:col>6</xdr:col>
      <xdr:colOff>496185</xdr:colOff>
      <xdr:row>25</xdr:row>
      <xdr:rowOff>118348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51E574A-872F-A959-4066-C4E0DCA96D01}"/>
                </a:ext>
              </a:extLst>
            </xdr14:cNvPr>
            <xdr14:cNvContentPartPr/>
          </xdr14:nvContentPartPr>
          <xdr14:nvPr macro=""/>
          <xdr14:xfrm>
            <a:off x="10400064905" y="9766080"/>
            <a:ext cx="6480" cy="27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51E574A-872F-A959-4066-C4E0DCA96D0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056265" y="9757080"/>
              <a:ext cx="24120" cy="4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281625</xdr:colOff>
      <xdr:row>25</xdr:row>
      <xdr:rowOff>105748</xdr:rowOff>
    </xdr:from>
    <xdr:to>
      <xdr:col>8</xdr:col>
      <xdr:colOff>381684</xdr:colOff>
      <xdr:row>25</xdr:row>
      <xdr:rowOff>553948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020BE7F-EBD8-8A8F-E851-990C247E318E}"/>
                </a:ext>
              </a:extLst>
            </xdr14:cNvPr>
            <xdr14:cNvContentPartPr/>
          </xdr14:nvContentPartPr>
          <xdr14:nvPr macro=""/>
          <xdr14:xfrm>
            <a:off x="10398863225" y="9780840"/>
            <a:ext cx="1416240" cy="4482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020BE7F-EBD8-8A8F-E851-990C247E318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854225" y="9771840"/>
              <a:ext cx="1433880" cy="465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28:36.0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 75 11754,'0'0'0,"0"0"0,-5-24 1216,0 4-1424,0 1-176,3 7-400,2 12 784,0 0-1608,0 0-753,5 0-3072,-5 0 5433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5:28:37.4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3359 0 4584,'0'0'0,"0"0"0,21 0 1497,-2 13-721,11-9-152,-7 13-176,-23-17-448,24 13 288,4 3-80,-2 2 16,1 2-16,-27-20-208,27 23 248,-4-2-80,5 4-31,-7-3-57,-21-22-80,24 24 72,-1 2 24,-4-3-16,-1 0-24,-18-23-56,17 21 40,-3-3 8,0-1-24,0-1-8,-14-16-16,5 13 56,6-2-56,-9-7 8,3 9 24,-5-13-32,5 3-16,-5 0 40,0 0 88,0 0-40,0-3-72,0 2 184,0-2 88,0 3-32,-2-3 40,2 0-280,-8 0 208,0 3-40,3-3-32,-12 3-32,17-3-104,-13 0 176,-4 0-40,0 0-24,-4 0 0,21 0-112,-20 0 16,-4 0 72,-4 3 0,-2-3-24,30 0-64,-36 3 80,-3 1-32,1 0-56,-2 0 64,40-4-56,-42 12 24,4-9-48,-4 0 104,1-1 8,41-2-88,-40 0 144,-2 0 40,4 0-48,6-4 32,32 4-168,-38-6 160,8-6 120,1 6-63,3-10-89,26 16-128,-18-5 240,-1-10-112,3 11 16,9-2-40,7 6-104,-12-4 72,9 0-168,1 0 136,0 1-112,2 3 72,0-2-160,-3 2 64,3 0-144,0 0 96,0 0 144,-1 0-128,1 0 7,-5 3 65,-7 9 24,12-12 32,-2 2 0,-17 10 88,5-8 1,-1 13-49,15-17-40,-18 4 32,-3 13-96,0-12 88,-9 9 40,30-14-64,-35 4 80,-5 9 8,-10-9 0,-3 9-8,53-13-80,-65 3 24,-10 1 48,-5 0 168,-14-1-40,94-3-200,-94 3 416,-4-3 16,-14 0-56,-5 0 112,117 0-488,-126 3 392,-6 0-64,-1 8-136,2-7-96,131-4-96,-131 20 88,5-1-48,-1 2-16,6 3-8,121-24-16,-120 26-40,8-1 32,9 2-16,7-1 24,96-26 0,-87 27 56,15-4-64,4-5-24,13-3 48,55-15-16,-46 4-88,6 9 120,12-11 144,12-2-112,16 0-64,-3 0 96,3 0-120,0 0-160,0 0 32,0 0 152,12 0-56,7-1 80,6-3 128,10-1 0,-35 5-152,40-5-8,5-7 80,9 10-40,2-4-40,-56 6 8,65-11 96,5 6-64,13-6-64,6 7 80,-89 4-48,91-13 48,9 1-48,3 0 48,3-5 0,-106 17-48,112-20 0,3-2 8,4 1-16,3-3 8,-122 24 0,129-26 32,-4 1-40,-2-2-40,-4-3 0,-119 30 48,110-30-48,-5-3-64,-6 2 128,-10 1-104,-89 30 88,84-30-32,-12 2 64,-6 2-104,-7-1 64,-59 27 8,47-24-48,-8 1 24,-8 1 48,-8 2 32,-23 20-56,17-20 64,-13 4-32,8 5 56,-12 5-32,0 6-56,0-11 88,-5 8-112,-6-1-64,8-1-104,3 5 192,-19-4-200,6 0 24,-4 2 0,-2 2 56,19 0 120,-16 0-104,-1 3-16,3 2 8,0 6 0,14-11 112,-13 4-64,1 10 56,7-9-24,-10 13 32,15-18 0,-4 16-80,0 4 56,4 2 0,0 4-32,0-26 56,0 28-16,4 4 8,0 2 32,8 1 64,-12-35-88,3 40 48,14 3-72,-6-1 16,-7 1-40,-4-43 48,12 43-32,-7-3-8,0 1-64,6-1-40,-11-40 144,2 42-224,3 4 16,-2 1-64,-3 0-296,0-47 568,0 49-1088,0 1-585,-3 1-535,3 3 55,0-54 2153,0 54-5609,0-54 5609</inkml:trace>
  <inkml:trace contextRef="#ctx0" brushRef="#br0" timeOffset="1">3219 1244 18067,'0'0'0,"0"0"0,-28-38 3457,4 14-3721,-2-1 48,9 25-736,17 0 952,0 0-1393,0 0-367,3 5-224,2 9-545,-5-14 2529,4 4-2912,-4 10-3666,0-14 6578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C21" zoomScale="130" zoomScaleNormal="100" zoomScaleSheetLayoutView="130" workbookViewId="0">
      <selection activeCell="F11" sqref="F11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0" t="s">
        <v>193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3">
      <c r="B2" s="11" t="s">
        <v>8</v>
      </c>
      <c r="C2" s="66" t="s">
        <v>37</v>
      </c>
      <c r="D2" s="66"/>
      <c r="E2" s="11" t="s">
        <v>7</v>
      </c>
      <c r="F2" s="61">
        <v>45912</v>
      </c>
      <c r="G2" s="61"/>
      <c r="H2" s="61"/>
      <c r="I2" s="61"/>
      <c r="J2" s="61"/>
    </row>
    <row r="3" spans="1:10" ht="30" customHeight="1" x14ac:dyDescent="0.3">
      <c r="B3" s="11" t="s">
        <v>9</v>
      </c>
      <c r="C3" s="66" t="s">
        <v>78</v>
      </c>
      <c r="D3" s="66"/>
      <c r="E3" s="11" t="s">
        <v>6</v>
      </c>
      <c r="F3" s="66" t="s">
        <v>134</v>
      </c>
      <c r="G3" s="66"/>
      <c r="H3" s="66"/>
      <c r="I3" s="66"/>
      <c r="J3" s="6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2" t="s">
        <v>0</v>
      </c>
      <c r="C5" s="63"/>
      <c r="D5" s="63"/>
      <c r="E5" s="67" t="s">
        <v>1</v>
      </c>
      <c r="F5" s="67"/>
      <c r="G5" s="67"/>
      <c r="H5" s="67"/>
      <c r="I5" s="67" t="s">
        <v>2</v>
      </c>
      <c r="J5" s="68"/>
    </row>
    <row r="6" spans="1:10" ht="24.9" customHeight="1" thickBot="1" x14ac:dyDescent="0.35">
      <c r="A6" s="9"/>
      <c r="B6" s="64"/>
      <c r="C6" s="65"/>
      <c r="D6" s="65"/>
      <c r="E6" s="10" t="s">
        <v>3</v>
      </c>
      <c r="F6" s="10" t="s">
        <v>4</v>
      </c>
      <c r="G6" s="10" t="s">
        <v>23</v>
      </c>
      <c r="H6" s="10" t="s">
        <v>24</v>
      </c>
      <c r="I6" s="69"/>
      <c r="J6" s="70"/>
    </row>
    <row r="7" spans="1:10" ht="24.9" customHeight="1" thickBot="1" x14ac:dyDescent="0.35">
      <c r="A7" s="9"/>
      <c r="B7" s="71" t="s">
        <v>21</v>
      </c>
      <c r="C7" s="72"/>
      <c r="D7" s="72"/>
      <c r="E7" s="30" t="s">
        <v>18</v>
      </c>
      <c r="F7" s="30" t="s">
        <v>19</v>
      </c>
      <c r="G7" s="30" t="s">
        <v>22</v>
      </c>
      <c r="H7" s="30" t="s">
        <v>20</v>
      </c>
      <c r="I7" s="73" t="s">
        <v>25</v>
      </c>
      <c r="J7" s="74"/>
    </row>
    <row r="8" spans="1:10" ht="30" customHeight="1" x14ac:dyDescent="0.3">
      <c r="A8" s="9"/>
      <c r="B8" s="75" t="s">
        <v>178</v>
      </c>
      <c r="C8" s="76"/>
      <c r="D8" s="76"/>
      <c r="E8" s="35"/>
      <c r="F8" s="36"/>
      <c r="G8" s="37"/>
      <c r="H8" s="38"/>
      <c r="I8" s="48"/>
      <c r="J8" s="49"/>
    </row>
    <row r="9" spans="1:10" ht="30" customHeight="1" x14ac:dyDescent="0.3">
      <c r="A9" s="9"/>
      <c r="B9" s="77" t="s">
        <v>182</v>
      </c>
      <c r="C9" s="78"/>
      <c r="D9" s="78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30" customHeight="1" x14ac:dyDescent="0.3">
      <c r="A10" s="9"/>
      <c r="B10" s="77" t="s">
        <v>183</v>
      </c>
      <c r="C10" s="78"/>
      <c r="D10" s="78"/>
      <c r="E10" s="32">
        <v>3</v>
      </c>
      <c r="F10" s="25">
        <v>2</v>
      </c>
      <c r="G10" s="33">
        <f t="shared" ref="G10:G21" si="0">IFERROR(F10/E10,"")</f>
        <v>0.66666666666666663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54"/>
      <c r="J10" s="55"/>
    </row>
    <row r="11" spans="1:10" ht="30" customHeight="1" x14ac:dyDescent="0.3">
      <c r="A11" s="9"/>
      <c r="B11" s="77" t="s">
        <v>184</v>
      </c>
      <c r="C11" s="78"/>
      <c r="D11" s="78"/>
      <c r="E11" s="32">
        <v>3</v>
      </c>
      <c r="F11" s="25">
        <v>2</v>
      </c>
      <c r="G11" s="33">
        <f t="shared" si="0"/>
        <v>0.66666666666666663</v>
      </c>
      <c r="H11" s="34" t="str">
        <f t="shared" si="1"/>
        <v>مقبول</v>
      </c>
      <c r="I11" s="54"/>
      <c r="J11" s="55"/>
    </row>
    <row r="12" spans="1:10" ht="30" customHeight="1" x14ac:dyDescent="0.3">
      <c r="A12" s="9"/>
      <c r="B12" s="77" t="s">
        <v>185</v>
      </c>
      <c r="C12" s="78"/>
      <c r="D12" s="78"/>
      <c r="E12" s="32">
        <v>3</v>
      </c>
      <c r="F12" s="25">
        <v>2</v>
      </c>
      <c r="G12" s="33">
        <f t="shared" si="0"/>
        <v>0.66666666666666663</v>
      </c>
      <c r="H12" s="34" t="str">
        <f t="shared" si="1"/>
        <v>مقبول</v>
      </c>
      <c r="I12" s="54"/>
      <c r="J12" s="55"/>
    </row>
    <row r="13" spans="1:10" ht="30" customHeight="1" x14ac:dyDescent="0.3">
      <c r="A13" s="9"/>
      <c r="B13" s="77" t="s">
        <v>186</v>
      </c>
      <c r="C13" s="78"/>
      <c r="D13" s="78"/>
      <c r="E13" s="32">
        <v>3</v>
      </c>
      <c r="F13" s="25">
        <v>2.25</v>
      </c>
      <c r="G13" s="33">
        <f t="shared" si="0"/>
        <v>0.75</v>
      </c>
      <c r="H13" s="34" t="str">
        <f t="shared" si="1"/>
        <v>جيد</v>
      </c>
      <c r="I13" s="54"/>
      <c r="J13" s="55"/>
    </row>
    <row r="14" spans="1:10" ht="30" customHeight="1" thickBot="1" x14ac:dyDescent="0.35">
      <c r="A14" s="9"/>
      <c r="B14" s="58" t="s">
        <v>187</v>
      </c>
      <c r="C14" s="59"/>
      <c r="D14" s="59"/>
      <c r="E14" s="39">
        <v>3</v>
      </c>
      <c r="F14" s="26">
        <v>2.25</v>
      </c>
      <c r="G14" s="40">
        <f t="shared" si="0"/>
        <v>0.75</v>
      </c>
      <c r="H14" s="41" t="str">
        <f t="shared" si="1"/>
        <v>جيد</v>
      </c>
      <c r="I14" s="56"/>
      <c r="J14" s="57"/>
    </row>
    <row r="15" spans="1:10" ht="30" customHeight="1" thickBot="1" x14ac:dyDescent="0.35">
      <c r="A15" s="9"/>
      <c r="B15" s="75" t="s">
        <v>179</v>
      </c>
      <c r="C15" s="76"/>
      <c r="D15" s="76"/>
      <c r="E15" s="35"/>
      <c r="F15" s="36"/>
      <c r="G15" s="37"/>
      <c r="H15" s="38"/>
    </row>
    <row r="16" spans="1:10" ht="30" customHeight="1" x14ac:dyDescent="0.3">
      <c r="A16" s="9"/>
      <c r="B16" s="77" t="s">
        <v>188</v>
      </c>
      <c r="C16" s="78"/>
      <c r="D16" s="78"/>
      <c r="E16" s="32">
        <v>3</v>
      </c>
      <c r="F16" s="25">
        <v>2</v>
      </c>
      <c r="G16" s="33">
        <f t="shared" si="0"/>
        <v>0.66666666666666663</v>
      </c>
      <c r="H16" s="34" t="str">
        <f t="shared" si="1"/>
        <v>مقبول</v>
      </c>
      <c r="I16" s="48"/>
      <c r="J16" s="49"/>
    </row>
    <row r="17" spans="1:10" ht="30" customHeight="1" x14ac:dyDescent="0.3">
      <c r="A17" s="9"/>
      <c r="B17" s="77" t="s">
        <v>180</v>
      </c>
      <c r="C17" s="78"/>
      <c r="D17" s="78"/>
      <c r="E17" s="32">
        <v>3</v>
      </c>
      <c r="F17" s="25">
        <v>2</v>
      </c>
      <c r="G17" s="33">
        <f t="shared" si="0"/>
        <v>0.66666666666666663</v>
      </c>
      <c r="H17" s="34" t="str">
        <f t="shared" si="1"/>
        <v>مقبول</v>
      </c>
      <c r="I17" s="54"/>
      <c r="J17" s="55"/>
    </row>
    <row r="18" spans="1:10" ht="30" customHeight="1" x14ac:dyDescent="0.3">
      <c r="A18" s="9"/>
      <c r="B18" s="77" t="s">
        <v>181</v>
      </c>
      <c r="C18" s="78"/>
      <c r="D18" s="78"/>
      <c r="E18" s="32">
        <v>3</v>
      </c>
      <c r="F18" s="25">
        <v>2.25</v>
      </c>
      <c r="G18" s="33">
        <f t="shared" si="0"/>
        <v>0.75</v>
      </c>
      <c r="H18" s="34" t="str">
        <f t="shared" si="1"/>
        <v>جيد</v>
      </c>
      <c r="I18" s="54"/>
      <c r="J18" s="55"/>
    </row>
    <row r="19" spans="1:10" ht="30" customHeight="1" x14ac:dyDescent="0.3">
      <c r="A19" s="9"/>
      <c r="B19" s="77" t="s">
        <v>189</v>
      </c>
      <c r="C19" s="78"/>
      <c r="D19" s="78"/>
      <c r="E19" s="32">
        <v>3</v>
      </c>
      <c r="F19" s="25">
        <v>2.25</v>
      </c>
      <c r="G19" s="33">
        <f t="shared" si="0"/>
        <v>0.75</v>
      </c>
      <c r="H19" s="34" t="str">
        <f t="shared" si="1"/>
        <v>جيد</v>
      </c>
      <c r="I19" s="54"/>
      <c r="J19" s="55"/>
    </row>
    <row r="20" spans="1:10" ht="30" customHeight="1" x14ac:dyDescent="0.3">
      <c r="A20" s="9"/>
      <c r="B20" s="77" t="s">
        <v>190</v>
      </c>
      <c r="C20" s="78"/>
      <c r="D20" s="78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54"/>
      <c r="J20" s="55"/>
    </row>
    <row r="21" spans="1:10" ht="30" customHeight="1" thickBot="1" x14ac:dyDescent="0.35">
      <c r="A21" s="9"/>
      <c r="B21" s="58" t="s">
        <v>191</v>
      </c>
      <c r="C21" s="59"/>
      <c r="D21" s="59"/>
      <c r="E21" s="39">
        <v>3</v>
      </c>
      <c r="F21" s="26">
        <v>2.25</v>
      </c>
      <c r="G21" s="40">
        <f t="shared" si="0"/>
        <v>0.75</v>
      </c>
      <c r="H21" s="41" t="str">
        <f t="shared" si="1"/>
        <v>جيد</v>
      </c>
      <c r="I21" s="56"/>
      <c r="J21" s="57"/>
    </row>
    <row r="22" spans="1:10" ht="30" customHeight="1" thickBot="1" x14ac:dyDescent="0.35">
      <c r="A22" s="4"/>
      <c r="B22" s="50" t="s">
        <v>5</v>
      </c>
      <c r="C22" s="51"/>
      <c r="D22" s="51"/>
      <c r="E22" s="31">
        <f>SUM(E8:E21)</f>
        <v>36</v>
      </c>
      <c r="F22" s="31">
        <f>SUM(F8:F21)</f>
        <v>25.75</v>
      </c>
      <c r="G22" s="87"/>
      <c r="H22" s="88"/>
      <c r="I22" s="88"/>
      <c r="J22" s="89"/>
    </row>
    <row r="23" spans="1:10" ht="30" customHeight="1" thickBot="1" x14ac:dyDescent="0.35">
      <c r="A23" s="4"/>
      <c r="B23" s="52" t="s">
        <v>54</v>
      </c>
      <c r="C23" s="53"/>
      <c r="D23" s="53"/>
      <c r="E23" s="90">
        <f>F22/E22/100*100</f>
        <v>0.71527777777777779</v>
      </c>
      <c r="F23" s="90"/>
      <c r="G23" s="90"/>
      <c r="H23" s="90"/>
      <c r="I23" s="90"/>
      <c r="J23" s="91"/>
    </row>
    <row r="24" spans="1:10" ht="30" customHeight="1" thickBot="1" x14ac:dyDescent="0.35">
      <c r="A24" s="4"/>
      <c r="B24" s="52" t="s">
        <v>55</v>
      </c>
      <c r="C24" s="53"/>
      <c r="D24" s="53"/>
      <c r="E24" s="83" t="str">
        <f>_xlfn.IFS(E23&gt;=90%,"ممتاز",E23&gt;=80%,"جيد جداً",E23&gt;=70%,"جيد",E23&gt;=60%,"مقبول",E23&lt;60%,"راسب")</f>
        <v>جيد</v>
      </c>
      <c r="F24" s="83"/>
      <c r="G24" s="83"/>
      <c r="H24" s="83"/>
      <c r="I24" s="83"/>
      <c r="J24" s="84"/>
    </row>
    <row r="25" spans="1:10" ht="42" customHeight="1" x14ac:dyDescent="0.3">
      <c r="B25" s="79" t="s">
        <v>192</v>
      </c>
      <c r="C25" s="79"/>
      <c r="D25" s="79"/>
      <c r="E25" s="85" t="s">
        <v>52</v>
      </c>
      <c r="F25" s="85"/>
      <c r="G25" s="81" t="s">
        <v>134</v>
      </c>
      <c r="H25" s="81"/>
      <c r="I25" s="81"/>
      <c r="J25" s="81"/>
    </row>
    <row r="26" spans="1:10" ht="51" customHeight="1" x14ac:dyDescent="0.3">
      <c r="A26" s="5"/>
      <c r="B26" s="80"/>
      <c r="C26" s="80"/>
      <c r="D26" s="80"/>
      <c r="E26" s="86" t="s">
        <v>53</v>
      </c>
      <c r="F26" s="86"/>
      <c r="G26" s="82"/>
      <c r="H26" s="82"/>
      <c r="I26" s="82"/>
      <c r="J26" s="82"/>
    </row>
    <row r="27" spans="1:10" ht="15.6" x14ac:dyDescent="0.3">
      <c r="A27" s="27">
        <v>3</v>
      </c>
      <c r="B27" s="42" t="s">
        <v>175</v>
      </c>
      <c r="C27" s="43"/>
    </row>
    <row r="28" spans="1:10" ht="15.6" x14ac:dyDescent="0.3">
      <c r="A28" s="28">
        <v>2</v>
      </c>
      <c r="B28" s="44" t="s">
        <v>176</v>
      </c>
      <c r="C28" s="45"/>
    </row>
    <row r="29" spans="1:10" ht="15.6" x14ac:dyDescent="0.3">
      <c r="A29" s="29">
        <v>1</v>
      </c>
      <c r="B29" s="46" t="s">
        <v>177</v>
      </c>
      <c r="C29" s="4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1"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6:J16"/>
    <mergeCell ref="I17:J17"/>
    <mergeCell ref="I18:J18"/>
    <mergeCell ref="B21:D21"/>
    <mergeCell ref="B25:D2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102</v>
      </c>
    </row>
    <row r="213" spans="1:1" ht="20.100000000000001" customHeight="1" x14ac:dyDescent="0.3">
      <c r="A213" s="19" t="s">
        <v>103</v>
      </c>
    </row>
    <row r="214" spans="1:1" ht="20.100000000000001" customHeight="1" x14ac:dyDescent="0.3">
      <c r="A214" s="19" t="s">
        <v>104</v>
      </c>
    </row>
    <row r="215" spans="1:1" ht="20.100000000000001" customHeight="1" x14ac:dyDescent="0.3">
      <c r="A215" s="19" t="s">
        <v>105</v>
      </c>
    </row>
    <row r="216" spans="1:1" ht="20.100000000000001" customHeight="1" x14ac:dyDescent="0.3">
      <c r="A216" s="19" t="s">
        <v>106</v>
      </c>
    </row>
    <row r="217" spans="1:1" ht="20.100000000000001" customHeight="1" x14ac:dyDescent="0.3">
      <c r="A217" s="19" t="s">
        <v>107</v>
      </c>
    </row>
    <row r="218" spans="1:1" ht="20.100000000000001" customHeight="1" x14ac:dyDescent="0.3">
      <c r="A218" s="19" t="s">
        <v>108</v>
      </c>
    </row>
    <row r="219" spans="1:1" ht="20.100000000000001" customHeight="1" x14ac:dyDescent="0.3">
      <c r="A219" s="19" t="s">
        <v>109</v>
      </c>
    </row>
    <row r="220" spans="1:1" ht="20.100000000000001" customHeight="1" x14ac:dyDescent="0.3">
      <c r="A220" s="19" t="s">
        <v>110</v>
      </c>
    </row>
    <row r="221" spans="1:1" ht="20.100000000000001" customHeight="1" x14ac:dyDescent="0.3">
      <c r="A221" s="19" t="s">
        <v>111</v>
      </c>
    </row>
    <row r="222" spans="1:1" ht="20.100000000000001" customHeight="1" x14ac:dyDescent="0.3">
      <c r="A222" s="19" t="s">
        <v>112</v>
      </c>
    </row>
    <row r="223" spans="1:1" ht="20.100000000000001" customHeight="1" x14ac:dyDescent="0.3">
      <c r="A223" s="19" t="s">
        <v>113</v>
      </c>
    </row>
    <row r="224" spans="1:1" ht="20.100000000000001" customHeight="1" x14ac:dyDescent="0.3">
      <c r="A224" s="19" t="s">
        <v>114</v>
      </c>
    </row>
    <row r="225" spans="1:1" ht="20.100000000000001" customHeight="1" x14ac:dyDescent="0.3">
      <c r="A225" s="19" t="s">
        <v>115</v>
      </c>
    </row>
    <row r="226" spans="1:1" ht="20.100000000000001" customHeight="1" x14ac:dyDescent="0.3">
      <c r="A226" s="19" t="s">
        <v>116</v>
      </c>
    </row>
    <row r="227" spans="1:1" ht="20.100000000000001" customHeight="1" x14ac:dyDescent="0.3">
      <c r="A227" s="19" t="s">
        <v>117</v>
      </c>
    </row>
    <row r="228" spans="1:1" ht="20.100000000000001" customHeight="1" x14ac:dyDescent="0.3">
      <c r="A228" s="19" t="s">
        <v>118</v>
      </c>
    </row>
    <row r="229" spans="1:1" ht="20.100000000000001" customHeight="1" x14ac:dyDescent="0.3">
      <c r="A229" s="19" t="s">
        <v>119</v>
      </c>
    </row>
    <row r="230" spans="1:1" ht="20.100000000000001" customHeight="1" x14ac:dyDescent="0.3">
      <c r="A230" s="19" t="s">
        <v>120</v>
      </c>
    </row>
    <row r="231" spans="1:1" ht="20.100000000000001" customHeight="1" x14ac:dyDescent="0.3">
      <c r="A231" s="19" t="s">
        <v>121</v>
      </c>
    </row>
    <row r="232" spans="1:1" ht="20.100000000000001" customHeight="1" x14ac:dyDescent="0.3">
      <c r="A232" s="19" t="s">
        <v>122</v>
      </c>
    </row>
    <row r="233" spans="1:1" ht="20.100000000000001" customHeight="1" x14ac:dyDescent="0.3">
      <c r="A233" s="19" t="s">
        <v>123</v>
      </c>
    </row>
    <row r="234" spans="1:1" ht="20.100000000000001" customHeight="1" x14ac:dyDescent="0.3">
      <c r="A234" s="19" t="s">
        <v>124</v>
      </c>
    </row>
    <row r="235" spans="1:1" ht="20.100000000000001" customHeight="1" x14ac:dyDescent="0.3">
      <c r="A235" s="21" t="s">
        <v>125</v>
      </c>
    </row>
    <row r="236" spans="1:1" ht="20.100000000000001" customHeight="1" x14ac:dyDescent="0.3">
      <c r="A236" s="19" t="s">
        <v>126</v>
      </c>
    </row>
    <row r="237" spans="1:1" ht="20.100000000000001" customHeight="1" x14ac:dyDescent="0.3">
      <c r="A237" s="19" t="s">
        <v>127</v>
      </c>
    </row>
    <row r="238" spans="1:1" ht="20.100000000000001" customHeight="1" x14ac:dyDescent="0.3">
      <c r="A238" s="19" t="s">
        <v>128</v>
      </c>
    </row>
    <row r="239" spans="1:1" ht="20.100000000000001" customHeight="1" x14ac:dyDescent="0.3">
      <c r="A239" s="19" t="s">
        <v>129</v>
      </c>
    </row>
    <row r="240" spans="1:1" ht="20.100000000000001" customHeight="1" x14ac:dyDescent="0.3">
      <c r="A240" s="19" t="s">
        <v>130</v>
      </c>
    </row>
    <row r="241" spans="1:1" ht="20.100000000000001" customHeight="1" x14ac:dyDescent="0.3">
      <c r="A241" s="19" t="s">
        <v>131</v>
      </c>
    </row>
    <row r="242" spans="1:1" ht="20.100000000000001" customHeight="1" x14ac:dyDescent="0.3">
      <c r="A242" s="19" t="s">
        <v>132</v>
      </c>
    </row>
    <row r="243" spans="1:1" ht="20.100000000000001" customHeight="1" x14ac:dyDescent="0.3">
      <c r="A243" s="19" t="s">
        <v>133</v>
      </c>
    </row>
    <row r="244" spans="1:1" ht="20.100000000000001" customHeight="1" x14ac:dyDescent="0.3">
      <c r="A244" s="19" t="s">
        <v>134</v>
      </c>
    </row>
    <row r="245" spans="1:1" ht="20.100000000000001" customHeight="1" x14ac:dyDescent="0.3">
      <c r="A245" s="19" t="s">
        <v>135</v>
      </c>
    </row>
    <row r="246" spans="1:1" ht="20.100000000000001" customHeight="1" x14ac:dyDescent="0.3">
      <c r="A246" s="19" t="s">
        <v>136</v>
      </c>
    </row>
    <row r="247" spans="1:1" ht="20.100000000000001" customHeight="1" x14ac:dyDescent="0.3">
      <c r="A247" s="19" t="s">
        <v>127</v>
      </c>
    </row>
    <row r="248" spans="1:1" ht="20.100000000000001" customHeight="1" x14ac:dyDescent="0.3">
      <c r="A248" s="19" t="s">
        <v>137</v>
      </c>
    </row>
    <row r="249" spans="1:1" ht="20.100000000000001" customHeight="1" x14ac:dyDescent="0.3">
      <c r="A249" s="19" t="s">
        <v>138</v>
      </c>
    </row>
    <row r="250" spans="1:1" ht="20.100000000000001" customHeight="1" x14ac:dyDescent="0.3">
      <c r="A250" s="21" t="s">
        <v>139</v>
      </c>
    </row>
    <row r="251" spans="1:1" ht="20.100000000000001" customHeight="1" x14ac:dyDescent="0.3">
      <c r="A251" s="22" t="s">
        <v>140</v>
      </c>
    </row>
    <row r="252" spans="1:1" ht="20.100000000000001" customHeight="1" x14ac:dyDescent="0.3">
      <c r="A252" s="19" t="s">
        <v>141</v>
      </c>
    </row>
    <row r="253" spans="1:1" ht="20.100000000000001" customHeight="1" x14ac:dyDescent="0.3">
      <c r="A253" s="19" t="s">
        <v>142</v>
      </c>
    </row>
    <row r="254" spans="1:1" ht="20.100000000000001" customHeight="1" x14ac:dyDescent="0.3">
      <c r="A254" s="23" t="s">
        <v>143</v>
      </c>
    </row>
    <row r="255" spans="1:1" ht="20.100000000000001" customHeight="1" x14ac:dyDescent="0.3">
      <c r="A255" s="23" t="s">
        <v>144</v>
      </c>
    </row>
    <row r="256" spans="1:1" ht="20.100000000000001" customHeight="1" x14ac:dyDescent="0.3">
      <c r="A256" s="24" t="s">
        <v>145</v>
      </c>
    </row>
    <row r="257" spans="1:1" ht="20.100000000000001" customHeight="1" x14ac:dyDescent="0.3">
      <c r="A257" s="19" t="s">
        <v>146</v>
      </c>
    </row>
    <row r="258" spans="1:1" ht="20.100000000000001" customHeight="1" x14ac:dyDescent="0.3">
      <c r="A258" s="24" t="s">
        <v>147</v>
      </c>
    </row>
    <row r="259" spans="1:1" ht="20.100000000000001" customHeight="1" x14ac:dyDescent="0.3">
      <c r="A259" s="19" t="s">
        <v>148</v>
      </c>
    </row>
    <row r="260" spans="1:1" ht="20.100000000000001" customHeight="1" x14ac:dyDescent="0.3">
      <c r="A260" s="24" t="s">
        <v>149</v>
      </c>
    </row>
    <row r="261" spans="1:1" ht="20.100000000000001" customHeight="1" x14ac:dyDescent="0.3">
      <c r="A261" s="19" t="s">
        <v>150</v>
      </c>
    </row>
    <row r="262" spans="1:1" ht="20.100000000000001" customHeight="1" x14ac:dyDescent="0.3">
      <c r="A262" s="19" t="s">
        <v>151</v>
      </c>
    </row>
    <row r="263" spans="1:1" ht="20.100000000000001" customHeight="1" x14ac:dyDescent="0.3">
      <c r="A263" s="24" t="s">
        <v>152</v>
      </c>
    </row>
    <row r="264" spans="1:1" ht="20.100000000000001" customHeight="1" x14ac:dyDescent="0.3">
      <c r="A264" s="24" t="s">
        <v>153</v>
      </c>
    </row>
    <row r="265" spans="1:1" ht="20.100000000000001" customHeight="1" x14ac:dyDescent="0.3">
      <c r="A265" s="24" t="s">
        <v>154</v>
      </c>
    </row>
    <row r="266" spans="1:1" ht="20.100000000000001" customHeight="1" x14ac:dyDescent="0.3">
      <c r="A266" s="19" t="s">
        <v>155</v>
      </c>
    </row>
    <row r="267" spans="1:1" ht="20.100000000000001" customHeight="1" x14ac:dyDescent="0.3">
      <c r="A267" s="19" t="s">
        <v>156</v>
      </c>
    </row>
    <row r="268" spans="1:1" ht="20.100000000000001" customHeight="1" x14ac:dyDescent="0.3">
      <c r="A268" s="19" t="s">
        <v>157</v>
      </c>
    </row>
    <row r="269" spans="1:1" ht="20.100000000000001" customHeight="1" x14ac:dyDescent="0.3">
      <c r="A269" s="19" t="s">
        <v>158</v>
      </c>
    </row>
    <row r="270" spans="1:1" ht="20.100000000000001" customHeight="1" x14ac:dyDescent="0.3">
      <c r="A270" s="24" t="s">
        <v>159</v>
      </c>
    </row>
    <row r="271" spans="1:1" ht="20.100000000000001" customHeight="1" x14ac:dyDescent="0.3">
      <c r="A271" s="24" t="s">
        <v>160</v>
      </c>
    </row>
    <row r="272" spans="1:1" ht="20.100000000000001" customHeight="1" x14ac:dyDescent="0.3">
      <c r="A272" s="19" t="s">
        <v>161</v>
      </c>
    </row>
    <row r="273" spans="1:1" ht="20.100000000000001" customHeight="1" x14ac:dyDescent="0.3">
      <c r="A273" s="24" t="s">
        <v>162</v>
      </c>
    </row>
    <row r="274" spans="1:1" ht="20.100000000000001" customHeight="1" x14ac:dyDescent="0.3">
      <c r="A274" s="24" t="s">
        <v>163</v>
      </c>
    </row>
    <row r="275" spans="1:1" ht="20.100000000000001" customHeight="1" x14ac:dyDescent="0.3">
      <c r="A275" s="19" t="s">
        <v>164</v>
      </c>
    </row>
    <row r="276" spans="1:1" ht="20.100000000000001" customHeight="1" x14ac:dyDescent="0.3">
      <c r="A276" s="19" t="s">
        <v>165</v>
      </c>
    </row>
    <row r="277" spans="1:1" ht="20.100000000000001" customHeight="1" x14ac:dyDescent="0.3">
      <c r="A277" s="24" t="s">
        <v>166</v>
      </c>
    </row>
    <row r="278" spans="1:1" ht="20.100000000000001" customHeight="1" x14ac:dyDescent="0.3">
      <c r="A278" s="19" t="s">
        <v>167</v>
      </c>
    </row>
    <row r="279" spans="1:1" ht="20.100000000000001" customHeight="1" x14ac:dyDescent="0.3">
      <c r="A279" s="19" t="s">
        <v>168</v>
      </c>
    </row>
    <row r="280" spans="1:1" ht="20.100000000000001" customHeight="1" x14ac:dyDescent="0.3">
      <c r="A280" s="19" t="s">
        <v>169</v>
      </c>
    </row>
    <row r="281" spans="1:1" ht="20.100000000000001" customHeight="1" x14ac:dyDescent="0.3">
      <c r="A281" s="19" t="s">
        <v>170</v>
      </c>
    </row>
    <row r="282" spans="1:1" ht="20.100000000000001" customHeight="1" x14ac:dyDescent="0.3">
      <c r="A282" s="24" t="s">
        <v>171</v>
      </c>
    </row>
    <row r="283" spans="1:1" ht="20.100000000000001" customHeight="1" x14ac:dyDescent="0.3">
      <c r="A283" s="24" t="s">
        <v>172</v>
      </c>
    </row>
    <row r="284" spans="1:1" ht="20.100000000000001" customHeight="1" x14ac:dyDescent="0.3">
      <c r="A284" s="24" t="s">
        <v>173</v>
      </c>
    </row>
    <row r="285" spans="1:1" ht="20.100000000000001" customHeight="1" thickBot="1" x14ac:dyDescent="0.35">
      <c r="A285" s="19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2025-10-14T20:12:05Z</dcterms:modified>
</cp:coreProperties>
</file>