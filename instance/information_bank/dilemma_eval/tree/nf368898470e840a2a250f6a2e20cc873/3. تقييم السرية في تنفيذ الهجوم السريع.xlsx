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9108A15-3B5E-6644-AFFC-DA8C49EDC1F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<sst xmlns="http://schemas.openxmlformats.org/spreadsheetml/2006/main" count="278" uniqueCount="222">
  <si>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</si>
  <si>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</si>
  <si>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</si>
  <si>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</si>
  <si>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</si>
  <si>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</si>
  <si>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</si>
  <si>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</si>
  <si>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</si>
  <si>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</si>
  <si>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</si>
  <si>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</si>
  <si>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</si>
  <si>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</si>
  <si>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</si>
  <si>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</si>
  <si>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</si>
  <si>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</si>
  <si>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</si>
  <si>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</si>
  <si>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</si>
  <si>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</si>
  <si>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</si>
  <si>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</si>
  <si>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</si>
  <si>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</si>
  <si>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</si>
  <si>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</si>
  <si>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</si>
  <si>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</si>
  <si>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</si>
  <si>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</si>
  <si>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</si>
  <si>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</si>
  <si>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</si>
  <si>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</si>
  <si>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</si>
  <si>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</si>
  <si>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</si>
  <si>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</si>
  <si>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</si>
  <si>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</si>
  <si>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</si>
  <si>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</si>
  <si>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</si>
  <si>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</si>
  <si>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</si>
  <si>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</si>
  <si>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</si>
  <si>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</si>
  <si>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</si>
  <si>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</si>
  <si>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</si>
  <si>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</si>
  <si>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</si>
  <si>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</si>
  <si>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</si>
  <si>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</si>
  <si>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</si>
  <si>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</si>
  <si>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</si>
  <si>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</si>
  <si>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</si>
  <si>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</si>
  <si>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</si>
  <si>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</si>
  <si>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</si>
  <si>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</si>
  <si>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</si>
  <si>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</si>
  <si>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</si>
  <si>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</si>
  <si>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</si>
  <si>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</si>
  <si>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</si>
  <si>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</si>
  <si>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</si>
  <si>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</si>
  <si>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</si>
  <si>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</si>
  <si>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</si>
  <si>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</si>
  <si>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</si>
  <si>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</si>
  <si>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</si>
  <si>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</si>
  <si>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</si>
  <si>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</si>
  <si>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</si>
  <si>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</si>
  <si>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</si>
  <si>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</si>
  <si>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</si>
  <si>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</si>
  <si>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</si>
  <si>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</si>
  <si>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</si>
  <si>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</si>
  <si>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</si>
  <si>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</si>
  <si>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</si>
  <si>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</si>
  <si>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</si>
  <si>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</si>
  <si>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</si>
  <si>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</si>
  <si>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</si>
  <si>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</si>
  <si>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</si>
  <si>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</si>
  <si>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</si>
  <si>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</si>
  <si>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</si>
  <si>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</si>
  <si>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</si>
  <si>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</si>
  <si>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</si>
  <si>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</si>
  <si>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</si>
  <si>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</si>
  <si>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</si>
  <si>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</si>
  <si>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</si>
  <si>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</si>
  <si>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</si>
  <si>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</si>
  <si>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</si>
  <si>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</si>
  <si>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</si>
  <si>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</si>
  <si>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</si>
  <si>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</si>
  <si>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</si>
  <si>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</si>
  <si>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</si>
  <si>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</si>
  <si>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</si>
  <si>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</si>
  <si>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</si>
  <si>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</si>
  <si>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</si>
  <si>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</si>
  <si>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</si>
  <si>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</si>
  <si>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</si>
  <si>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</si>
  <si>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</si>
  <si>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</si>
  <si>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</si>
  <si>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</si>
  <si>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</si>
  <si>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</si>
  <si>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</si>
  <si>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</si>
  <si>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</si>
  <si>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</si>
  <si>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</si>
  <si>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</si>
  <si>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</si>
  <si>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</si>
  <si>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</si>
  <si>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</si>
  <si>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</si>
  <si>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</si>
  <si>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</si>
  <si>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</si>
  <si>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</si>
  <si>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</si>
  <si>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</si>
  <si>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</si>
  <si>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</si>
  <si>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</si>
  <si>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</si>
  <si>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</si>
  <si>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</si>
  <si>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تنفيذ الهجوم السريع - تمرين لعبات حرب مجموعة لواء الإمارات/1 (رياح الصحراء 2025/19)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</si>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</sst>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312225</xdr:colOff>
      <xdr:row>56</xdr:row>
      <xdr:rowOff>17940</xdr:rowOff>
    </xdr:from>
    <xdr:to>
      <xdr:col>8</xdr:col>
      <xdr:colOff>325524</xdr:colOff>
      <xdr:row>56</xdr:row>
      <xdr:rowOff>478740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74BADE5-61ED-4D6C-093F-EF66998B246B}"/>
                </a:ext>
              </a:extLst>
            </xdr14:cNvPr>
            <xdr14:cNvContentPartPr/>
          </xdr14:nvContentPartPr>
          <xdr14:nvPr macro=""/>
          <xdr14:xfrm>
            <a:off x="10398919385" y="27640440"/>
            <a:ext cx="1329480" cy="460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74BADE5-61ED-4D6C-093F-EF66998B24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10745" y="27631800"/>
              <a:ext cx="1347120" cy="47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448305</xdr:colOff>
      <xdr:row>56</xdr:row>
      <xdr:rowOff>552900</xdr:rowOff>
    </xdr:from>
    <xdr:to>
      <xdr:col>6</xdr:col>
      <xdr:colOff>491865</xdr:colOff>
      <xdr:row>56</xdr:row>
      <xdr:rowOff>557940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619FEA2-6FD9-52E3-B6F8-1F631F018381}"/>
                </a:ext>
              </a:extLst>
            </xdr14:cNvPr>
            <xdr14:cNvContentPartPr/>
          </xdr14:nvContentPartPr>
          <xdr14:nvPr macro=""/>
          <xdr14:xfrm>
            <a:off x="10400069225" y="28175400"/>
            <a:ext cx="43560" cy="50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619FEA2-6FD9-52E3-B6F8-1F631F01838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60585" y="28166400"/>
              <a:ext cx="61200" cy="2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18:18.3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3693 309 13426,'0'0'0,"0"0"0,-19 0 953,2 3-913,0 1-168,0 9-120,17-13 248,0 0-233,0 12 33,3-8-32,1 16 88,-4-20 144,12 18-64,-9 6 24,11 6 80,-9 2-40,-5-32 0,10 35-40,-3 3 16,-5 2-16,3 0 40,-5-40 0,5 38-16,-5-2 48,0-5-8,0-4 32,0-27-56,0 24 112,-5-5 72,-2-3 64,2-5 0,5-11-248,-12 4 289,7 0 15,0-1 16,-9-3-16,14 0-304,-5 0 240,-9-1-72,-1-3-88,1-9-80,14 13 0,-19-4-48,-3-9-8,0 9-88,1-1 48,21 5 96,-24-4-56,2 1-8,-5 3 96,6 0-32,21 0 0,-31 4-24,4 11 8,-7-3-40,-2 7 32,36-19 24,-38 21-64,-1 5 32,-4-1 40,0 1 80,43-26-88,-41 24-32,-2-3 88,-1-1-24,-1-1-40,45-19 8,-46 14 128,0-3-72,3-6 32,-5 6-48,48-11-40,-51 0 120,-2 0-8,-4 0-24,-3 0 24,60 0-112,-68-1 88,3-2-40,-12-1 8,0-1-192,77 5 136,-84-4-168,-5 1 112,-2 2-16,-8-1 272,99 2-200,-103 0 128,-6 0-112,4 0-32,-6 5-24,111-5 40,-108 11 8,-1-8 40,-4 1 32,10 0-8,103-4-72,-106 3 184,8-3 40,4 0 16,0 0-32,94 0-208,-89-1 160,2-5 32,8-10-152,7 4 112,72 12-152,-68-15 96,8 3-96,7 0 72,13 1-24,40 11-48,-34-6 0,10-8-16,5 10 64,4-2-96,15 6 48,-2-11-24,2 8-32,0-1-144,2-1-8,-2 5 208,5-4-184,9 0 40,-2-2 80,10-5 40,-22 11 24,31-6 0,5-8-24,10 0 72,14-1-80,-60 15 32,63-17-64,14-3 104,7-1-64,10-3 32,-94 24-8,103-30 96,8-4-64,7-7-8,-3-5-56,-115 46 32,116-51-16,6-4 16,-2-5 32,3 2 40,-123 58-72,116-59 104,-11 2-80,-4 5 48,-9 2-40,-92 50-32,79-42-8,-4 6 16,-10 5 0,-8 7 104,-57 24-112,56-19 128,-15 6 24,-12 9-104,-5 0-48,-24 4 0,14-3-40,-9 3 96,7 0 8,-12 11 96,0-11-160,0 13 328,0 3-136,0 8 73,0 6-25,0-30-240,0 34-64,-3 6 152,1 4-64,2 3-48,0-47 24,0 52 48,5-1-48,-5 1-56,12 0 16,-12-52 40,14 51 0,-2 2-24,8-1 72,-8-2-48,-12-50 0,16 47-8,6-4 40,-7-1-104,6 0 56,-21-42 16,22 41-8,-5-3-56,4-1 88,1 2-56,-22-39 32,17 35 72,2 1 88,-2-2-80,-12-6 56,-5-28-136,21 27 0,-9-4-120,-9-5 72,9-2-40,-12-16 88,5 11-96,-3-6-40,10 9-201,-12-11-391,0-3 728,2 4-1072,3 0-280,10 1-417,-10 6-423,-5-11 2192,16 0-2625,-4 4-3552,-12-4 6177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18:18.7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121 7 22172,'0'0'0,"-19"-2"-616,-3-1-832,-2 1-569,24 2 2017,-19 0-2160,2 3 352,15 1 119,-10-1-239,12-3 1928,0 0-2393,-5 3-3056,5-3 5449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C40" zoomScale="130" zoomScaleNormal="100" zoomScaleSheetLayoutView="130" workbookViewId="0">
      <selection activeCell="G57" sqref="G57:J5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0" t="s">
        <v>175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2">
      <c r="B2" s="11" t="s">
        <v>8</v>
      </c>
      <c r="C2" s="66" t="s">
        <v>37</v>
      </c>
      <c r="D2" s="66"/>
      <c r="E2" s="11" t="s">
        <v>7</v>
      </c>
      <c r="F2" s="61">
        <v>45913</v>
      </c>
      <c r="G2" s="61"/>
      <c r="H2" s="61"/>
      <c r="I2" s="61"/>
      <c r="J2" s="61"/>
    </row>
    <row r="3" spans="1:10" ht="30" customHeight="1" x14ac:dyDescent="0.2">
      <c r="B3" s="11" t="s">
        <v>9</v>
      </c>
      <c r="C3" s="66" t="s">
        <v>78</v>
      </c>
      <c r="D3" s="66"/>
      <c r="E3" s="11" t="s">
        <v>6</v>
      </c>
      <c r="F3" s="66" t="s">
        <v>134</v>
      </c>
      <c r="G3" s="66"/>
      <c r="H3" s="66"/>
      <c r="I3" s="66"/>
      <c r="J3" s="6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5" customHeight="1" thickBot="1" x14ac:dyDescent="0.25">
      <c r="A6" s="10"/>
      <c r="B6" s="64"/>
      <c r="C6" s="65"/>
      <c r="D6" s="65"/>
      <c r="E6" s="20" t="s">
        <v>3</v>
      </c>
      <c r="F6" s="20" t="s">
        <v>4</v>
      </c>
      <c r="G6" s="20" t="s">
        <v>23</v>
      </c>
      <c r="H6" s="20" t="s">
        <v>24</v>
      </c>
      <c r="I6" s="73"/>
      <c r="J6" s="74"/>
    </row>
    <row r="7" spans="1:10" ht="24.95" customHeight="1" thickBot="1" x14ac:dyDescent="0.25">
      <c r="A7" s="10"/>
      <c r="B7" s="69" t="s">
        <v>21</v>
      </c>
      <c r="C7" s="70"/>
      <c r="D7" s="70"/>
      <c r="E7" s="28" t="s">
        <v>18</v>
      </c>
      <c r="F7" s="28" t="s">
        <v>19</v>
      </c>
      <c r="G7" s="28" t="s">
        <v>22</v>
      </c>
      <c r="H7" s="28" t="s">
        <v>20</v>
      </c>
      <c r="I7" s="75" t="s">
        <v>25</v>
      </c>
      <c r="J7" s="76"/>
    </row>
    <row r="8" spans="1:10" ht="39.950000000000003" customHeight="1" x14ac:dyDescent="0.2">
      <c r="A8" s="10"/>
      <c r="B8" s="46" t="s">
        <v>176</v>
      </c>
      <c r="C8" s="47"/>
      <c r="D8" s="47"/>
      <c r="E8" s="47"/>
      <c r="F8" s="47"/>
      <c r="G8" s="47"/>
      <c r="H8" s="47"/>
      <c r="I8" s="47"/>
      <c r="J8" s="48"/>
    </row>
    <row r="9" spans="1:10" ht="39.950000000000003" customHeight="1" x14ac:dyDescent="0.2">
      <c r="A9" s="10"/>
      <c r="B9" s="38" t="s">
        <v>210</v>
      </c>
      <c r="C9" s="39"/>
      <c r="D9" s="39"/>
      <c r="E9" s="35"/>
      <c r="F9" s="18"/>
      <c r="G9" s="30"/>
      <c r="H9" s="31"/>
      <c r="I9" s="51"/>
      <c r="J9" s="52"/>
    </row>
    <row r="10" spans="1:10" ht="59.25" customHeight="1" x14ac:dyDescent="0.2">
      <c r="A10" s="10"/>
      <c r="B10" s="36" t="s">
        <v>177</v>
      </c>
      <c r="C10" s="37"/>
      <c r="D10" s="37"/>
      <c r="E10" s="9">
        <v>5</v>
      </c>
      <c r="F10" s="18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9.950000000000003" customHeight="1" x14ac:dyDescent="0.2">
      <c r="A11" s="10"/>
      <c r="B11" s="36" t="s">
        <v>178</v>
      </c>
      <c r="C11" s="37"/>
      <c r="D11" s="37"/>
      <c r="E11" s="9">
        <v>5</v>
      </c>
      <c r="F11" s="18">
        <v>3.75</v>
      </c>
      <c r="G11" s="30">
        <f t="shared" si="0"/>
        <v>0.75</v>
      </c>
      <c r="H11" s="31" t="str">
        <f t="shared" si="1"/>
        <v>جيد</v>
      </c>
      <c r="I11" s="51"/>
      <c r="J11" s="52"/>
    </row>
    <row r="12" spans="1:10" ht="39.950000000000003" customHeight="1" x14ac:dyDescent="0.2">
      <c r="A12" s="10"/>
      <c r="B12" s="36" t="s">
        <v>179</v>
      </c>
      <c r="C12" s="37"/>
      <c r="D12" s="37"/>
      <c r="E12" s="35"/>
      <c r="F12" s="18"/>
      <c r="G12" s="30"/>
      <c r="H12" s="31"/>
      <c r="I12" s="51"/>
      <c r="J12" s="52"/>
    </row>
    <row r="13" spans="1:10" ht="39.950000000000003" customHeight="1" x14ac:dyDescent="0.2">
      <c r="A13" s="10"/>
      <c r="B13" s="49" t="s">
        <v>180</v>
      </c>
      <c r="C13" s="50"/>
      <c r="D13" s="50"/>
      <c r="E13" s="9">
        <v>5</v>
      </c>
      <c r="F13" s="18">
        <v>3.75</v>
      </c>
      <c r="G13" s="30">
        <f t="shared" si="0"/>
        <v>0.75</v>
      </c>
      <c r="H13" s="31" t="str">
        <f t="shared" si="1"/>
        <v>جيد</v>
      </c>
      <c r="I13" s="51"/>
      <c r="J13" s="52"/>
    </row>
    <row r="14" spans="1:10" ht="39.950000000000003" customHeight="1" x14ac:dyDescent="0.2">
      <c r="A14" s="10"/>
      <c r="B14" s="49" t="s">
        <v>181</v>
      </c>
      <c r="C14" s="50"/>
      <c r="D14" s="50"/>
      <c r="E14" s="9">
        <v>5</v>
      </c>
      <c r="F14" s="18">
        <v>3.75</v>
      </c>
      <c r="G14" s="30">
        <f t="shared" si="0"/>
        <v>0.75</v>
      </c>
      <c r="H14" s="31" t="str">
        <f t="shared" si="1"/>
        <v>جيد</v>
      </c>
      <c r="I14" s="51"/>
      <c r="J14" s="52"/>
    </row>
    <row r="15" spans="1:10" ht="54" customHeight="1" x14ac:dyDescent="0.2">
      <c r="A15" s="10"/>
      <c r="B15" s="49" t="s">
        <v>182</v>
      </c>
      <c r="C15" s="50"/>
      <c r="D15" s="50"/>
      <c r="E15" s="9">
        <v>5</v>
      </c>
      <c r="F15" s="18">
        <v>3.25</v>
      </c>
      <c r="G15" s="30">
        <f t="shared" si="0"/>
        <v>0.65</v>
      </c>
      <c r="H15" s="31" t="str">
        <f t="shared" si="1"/>
        <v>مقبول</v>
      </c>
      <c r="I15" s="51"/>
      <c r="J15" s="52"/>
    </row>
    <row r="16" spans="1:10" ht="39.950000000000003" customHeight="1" x14ac:dyDescent="0.2">
      <c r="A16" s="10"/>
      <c r="B16" s="49" t="s">
        <v>183</v>
      </c>
      <c r="C16" s="50"/>
      <c r="D16" s="50"/>
      <c r="E16" s="9">
        <v>5</v>
      </c>
      <c r="F16" s="18">
        <v>3.25</v>
      </c>
      <c r="G16" s="30">
        <f t="shared" si="0"/>
        <v>0.65</v>
      </c>
      <c r="H16" s="31" t="str">
        <f t="shared" si="1"/>
        <v>مقبول</v>
      </c>
      <c r="I16" s="51"/>
      <c r="J16" s="52"/>
    </row>
    <row r="17" spans="1:10" ht="39.950000000000003" customHeight="1" x14ac:dyDescent="0.2">
      <c r="A17" s="10"/>
      <c r="B17" s="49" t="s">
        <v>184</v>
      </c>
      <c r="C17" s="50"/>
      <c r="D17" s="50"/>
      <c r="E17" s="9">
        <v>5</v>
      </c>
      <c r="F17" s="18">
        <v>3.25</v>
      </c>
      <c r="G17" s="30">
        <f t="shared" si="0"/>
        <v>0.65</v>
      </c>
      <c r="H17" s="31" t="str">
        <f t="shared" si="1"/>
        <v>مقبول</v>
      </c>
      <c r="I17" s="51"/>
      <c r="J17" s="52"/>
    </row>
    <row r="18" spans="1:10" ht="39.950000000000003" customHeight="1" x14ac:dyDescent="0.2">
      <c r="A18" s="10"/>
      <c r="B18" s="36" t="s">
        <v>185</v>
      </c>
      <c r="C18" s="37"/>
      <c r="D18" s="37"/>
      <c r="E18" s="9">
        <v>5</v>
      </c>
      <c r="F18" s="18">
        <v>3.25</v>
      </c>
      <c r="G18" s="30">
        <f t="shared" si="0"/>
        <v>0.65</v>
      </c>
      <c r="H18" s="31" t="str">
        <f t="shared" si="1"/>
        <v>مقبول</v>
      </c>
      <c r="I18" s="51"/>
      <c r="J18" s="52"/>
    </row>
    <row r="19" spans="1:10" ht="39.950000000000003" customHeight="1" x14ac:dyDescent="0.2">
      <c r="A19" s="10"/>
      <c r="B19" s="36" t="s">
        <v>186</v>
      </c>
      <c r="C19" s="37"/>
      <c r="D19" s="37"/>
      <c r="E19" s="35"/>
      <c r="F19" s="18"/>
      <c r="G19" s="30"/>
      <c r="H19" s="31"/>
      <c r="I19" s="51"/>
      <c r="J19" s="52"/>
    </row>
    <row r="20" spans="1:10" ht="39.950000000000003" customHeight="1" x14ac:dyDescent="0.2">
      <c r="A20" s="10"/>
      <c r="B20" s="49" t="s">
        <v>187</v>
      </c>
      <c r="C20" s="50"/>
      <c r="D20" s="50"/>
      <c r="E20" s="9">
        <v>5</v>
      </c>
      <c r="F20" s="18">
        <v>3.75</v>
      </c>
      <c r="G20" s="30">
        <f t="shared" si="0"/>
        <v>0.75</v>
      </c>
      <c r="H20" s="31" t="str">
        <f t="shared" si="1"/>
        <v>جيد</v>
      </c>
      <c r="I20" s="51"/>
      <c r="J20" s="52"/>
    </row>
    <row r="21" spans="1:10" ht="39.950000000000003" customHeight="1" x14ac:dyDescent="0.2">
      <c r="A21" s="10"/>
      <c r="B21" s="49" t="s">
        <v>188</v>
      </c>
      <c r="C21" s="50"/>
      <c r="D21" s="50"/>
      <c r="E21" s="9">
        <v>5</v>
      </c>
      <c r="F21" s="18">
        <v>3.25</v>
      </c>
      <c r="G21" s="30">
        <f t="shared" si="0"/>
        <v>0.65</v>
      </c>
      <c r="H21" s="31" t="str">
        <f t="shared" si="1"/>
        <v>مقبول</v>
      </c>
      <c r="I21" s="51"/>
      <c r="J21" s="52"/>
    </row>
    <row r="22" spans="1:10" ht="39.950000000000003" customHeight="1" x14ac:dyDescent="0.2">
      <c r="A22" s="10"/>
      <c r="B22" s="49" t="s">
        <v>189</v>
      </c>
      <c r="C22" s="50"/>
      <c r="D22" s="50"/>
      <c r="E22" s="9">
        <v>5</v>
      </c>
      <c r="F22" s="18">
        <v>3.25</v>
      </c>
      <c r="G22" s="30">
        <f t="shared" si="0"/>
        <v>0.65</v>
      </c>
      <c r="H22" s="31" t="str">
        <f t="shared" si="1"/>
        <v>مقبول</v>
      </c>
      <c r="I22" s="51"/>
      <c r="J22" s="52"/>
    </row>
    <row r="23" spans="1:10" ht="39.950000000000003" customHeight="1" thickBot="1" x14ac:dyDescent="0.25">
      <c r="A23" s="10"/>
      <c r="B23" s="42" t="s">
        <v>211</v>
      </c>
      <c r="C23" s="43"/>
      <c r="D23" s="43"/>
      <c r="E23" s="32">
        <v>5</v>
      </c>
      <c r="F23" s="19">
        <v>3.25</v>
      </c>
      <c r="G23" s="33">
        <f t="shared" si="0"/>
        <v>0.65</v>
      </c>
      <c r="H23" s="34" t="str">
        <f t="shared" si="1"/>
        <v>مقبول</v>
      </c>
      <c r="I23" s="58"/>
      <c r="J23" s="59"/>
    </row>
    <row r="24" spans="1:10" ht="39.950000000000003" customHeight="1" x14ac:dyDescent="0.2">
      <c r="A24" s="10"/>
      <c r="B24" s="46" t="s">
        <v>190</v>
      </c>
      <c r="C24" s="47"/>
      <c r="D24" s="47"/>
      <c r="E24" s="47"/>
      <c r="F24" s="47"/>
      <c r="G24" s="47"/>
      <c r="H24" s="47"/>
      <c r="I24" s="47"/>
      <c r="J24" s="48"/>
    </row>
    <row r="25" spans="1:10" ht="39.950000000000003" customHeight="1" x14ac:dyDescent="0.2">
      <c r="A25" s="10"/>
      <c r="B25" s="38" t="s">
        <v>212</v>
      </c>
      <c r="C25" s="39"/>
      <c r="D25" s="39"/>
      <c r="E25" s="9">
        <v>5</v>
      </c>
      <c r="F25" s="18">
        <v>3.75</v>
      </c>
      <c r="G25" s="30">
        <f t="shared" si="0"/>
        <v>0.75</v>
      </c>
      <c r="H25" s="31" t="str">
        <f t="shared" si="1"/>
        <v>جيد</v>
      </c>
      <c r="I25" s="51"/>
      <c r="J25" s="52"/>
    </row>
    <row r="26" spans="1:10" ht="39.950000000000003" customHeight="1" x14ac:dyDescent="0.2">
      <c r="A26" s="10"/>
      <c r="B26" s="38" t="s">
        <v>213</v>
      </c>
      <c r="C26" s="39"/>
      <c r="D26" s="39"/>
      <c r="E26" s="35"/>
      <c r="F26" s="18"/>
      <c r="G26" s="30"/>
      <c r="H26" s="31"/>
      <c r="I26" s="51"/>
      <c r="J26" s="52"/>
    </row>
    <row r="27" spans="1:10" ht="39.950000000000003" customHeight="1" x14ac:dyDescent="0.2">
      <c r="A27" s="10"/>
      <c r="B27" s="36" t="s">
        <v>191</v>
      </c>
      <c r="C27" s="37"/>
      <c r="D27" s="37"/>
      <c r="E27" s="9">
        <v>5</v>
      </c>
      <c r="F27" s="18">
        <v>3.75</v>
      </c>
      <c r="G27" s="30">
        <f t="shared" si="0"/>
        <v>0.75</v>
      </c>
      <c r="H27" s="31" t="str">
        <f t="shared" si="1"/>
        <v>جيد</v>
      </c>
      <c r="I27" s="51"/>
      <c r="J27" s="52"/>
    </row>
    <row r="28" spans="1:10" ht="39.950000000000003" customHeight="1" x14ac:dyDescent="0.2">
      <c r="A28" s="10"/>
      <c r="B28" s="36" t="s">
        <v>192</v>
      </c>
      <c r="C28" s="37"/>
      <c r="D28" s="37"/>
      <c r="E28" s="9">
        <v>5</v>
      </c>
      <c r="F28" s="18">
        <v>3.75</v>
      </c>
      <c r="G28" s="30">
        <f t="shared" si="0"/>
        <v>0.75</v>
      </c>
      <c r="H28" s="31" t="str">
        <f t="shared" si="1"/>
        <v>جيد</v>
      </c>
      <c r="I28" s="51"/>
      <c r="J28" s="52"/>
    </row>
    <row r="29" spans="1:10" ht="39.950000000000003" customHeight="1" x14ac:dyDescent="0.2">
      <c r="A29" s="10"/>
      <c r="B29" s="36" t="s">
        <v>193</v>
      </c>
      <c r="C29" s="37"/>
      <c r="D29" s="37"/>
      <c r="E29" s="9">
        <v>5</v>
      </c>
      <c r="F29" s="18">
        <v>3.75</v>
      </c>
      <c r="G29" s="30">
        <f t="shared" si="0"/>
        <v>0.75</v>
      </c>
      <c r="H29" s="31" t="str">
        <f t="shared" si="1"/>
        <v>جيد</v>
      </c>
      <c r="I29" s="51"/>
      <c r="J29" s="52"/>
    </row>
    <row r="30" spans="1:10" ht="39.950000000000003" customHeight="1" x14ac:dyDescent="0.2">
      <c r="A30" s="10"/>
      <c r="B30" s="38" t="s">
        <v>214</v>
      </c>
      <c r="C30" s="39"/>
      <c r="D30" s="39"/>
      <c r="E30" s="35"/>
      <c r="F30" s="18"/>
      <c r="G30" s="30"/>
      <c r="H30" s="31"/>
      <c r="I30" s="51"/>
      <c r="J30" s="52"/>
    </row>
    <row r="31" spans="1:10" ht="39.950000000000003" customHeight="1" x14ac:dyDescent="0.2">
      <c r="A31" s="10"/>
      <c r="B31" s="36" t="s">
        <v>194</v>
      </c>
      <c r="C31" s="37"/>
      <c r="D31" s="37"/>
      <c r="E31" s="9">
        <v>5</v>
      </c>
      <c r="F31" s="18">
        <v>3.25</v>
      </c>
      <c r="G31" s="30">
        <f t="shared" si="0"/>
        <v>0.65</v>
      </c>
      <c r="H31" s="31" t="str">
        <f t="shared" si="1"/>
        <v>مقبول</v>
      </c>
      <c r="I31" s="51"/>
      <c r="J31" s="52"/>
    </row>
    <row r="32" spans="1:10" ht="39.950000000000003" customHeight="1" x14ac:dyDescent="0.2">
      <c r="A32" s="10"/>
      <c r="B32" s="36" t="s">
        <v>195</v>
      </c>
      <c r="C32" s="37"/>
      <c r="D32" s="37"/>
      <c r="E32" s="9">
        <v>5</v>
      </c>
      <c r="F32" s="18">
        <v>3.25</v>
      </c>
      <c r="G32" s="30">
        <f t="shared" si="0"/>
        <v>0.65</v>
      </c>
      <c r="H32" s="31" t="str">
        <f t="shared" si="1"/>
        <v>مقبول</v>
      </c>
      <c r="I32" s="51"/>
      <c r="J32" s="52"/>
    </row>
    <row r="33" spans="1:10" ht="39.950000000000003" customHeight="1" x14ac:dyDescent="0.2">
      <c r="A33" s="10"/>
      <c r="B33" s="36" t="s">
        <v>196</v>
      </c>
      <c r="C33" s="37"/>
      <c r="D33" s="37"/>
      <c r="E33" s="9">
        <v>5</v>
      </c>
      <c r="F33" s="18">
        <v>3.5</v>
      </c>
      <c r="G33" s="30">
        <f t="shared" si="0"/>
        <v>0.7</v>
      </c>
      <c r="H33" s="31" t="str">
        <f t="shared" si="1"/>
        <v>جيد</v>
      </c>
      <c r="I33" s="51"/>
      <c r="J33" s="52"/>
    </row>
    <row r="34" spans="1:10" ht="39.950000000000003" customHeight="1" x14ac:dyDescent="0.2">
      <c r="A34" s="10"/>
      <c r="B34" s="36" t="s">
        <v>197</v>
      </c>
      <c r="C34" s="37"/>
      <c r="D34" s="37"/>
      <c r="E34" s="9">
        <v>5</v>
      </c>
      <c r="F34" s="18">
        <v>3.75</v>
      </c>
      <c r="G34" s="30">
        <f t="shared" si="0"/>
        <v>0.75</v>
      </c>
      <c r="H34" s="31" t="str">
        <f t="shared" si="1"/>
        <v>جيد</v>
      </c>
      <c r="I34" s="51"/>
      <c r="J34" s="52"/>
    </row>
    <row r="35" spans="1:10" ht="39.950000000000003" customHeight="1" thickBot="1" x14ac:dyDescent="0.25">
      <c r="A35" s="10"/>
      <c r="B35" s="42" t="s">
        <v>215</v>
      </c>
      <c r="C35" s="43"/>
      <c r="D35" s="43"/>
      <c r="E35" s="32">
        <v>5</v>
      </c>
      <c r="F35" s="19">
        <v>3.5</v>
      </c>
      <c r="G35" s="33">
        <f t="shared" si="0"/>
        <v>0.7</v>
      </c>
      <c r="H35" s="34" t="str">
        <f t="shared" si="1"/>
        <v>جيد</v>
      </c>
      <c r="I35" s="58"/>
      <c r="J35" s="59"/>
    </row>
    <row r="36" spans="1:10" ht="39.950000000000003" customHeight="1" x14ac:dyDescent="0.2">
      <c r="A36" s="10"/>
      <c r="B36" s="46" t="s">
        <v>198</v>
      </c>
      <c r="C36" s="47"/>
      <c r="D36" s="47"/>
      <c r="E36" s="47"/>
      <c r="F36" s="47"/>
      <c r="G36" s="47"/>
      <c r="H36" s="47"/>
      <c r="I36" s="47"/>
      <c r="J36" s="48"/>
    </row>
    <row r="37" spans="1:10" ht="39.950000000000003" customHeight="1" x14ac:dyDescent="0.2">
      <c r="A37" s="10"/>
      <c r="B37" s="38" t="s">
        <v>216</v>
      </c>
      <c r="C37" s="39"/>
      <c r="D37" s="39"/>
      <c r="E37" s="9">
        <v>5</v>
      </c>
      <c r="F37" s="18">
        <v>3.75</v>
      </c>
      <c r="G37" s="30">
        <f t="shared" si="0"/>
        <v>0.75</v>
      </c>
      <c r="H37" s="31" t="str">
        <f t="shared" si="1"/>
        <v>جيد</v>
      </c>
      <c r="I37" s="51"/>
      <c r="J37" s="52"/>
    </row>
    <row r="38" spans="1:10" ht="39.950000000000003" customHeight="1" x14ac:dyDescent="0.2">
      <c r="A38" s="10"/>
      <c r="B38" s="44" t="s">
        <v>217</v>
      </c>
      <c r="C38" s="45"/>
      <c r="D38" s="45"/>
      <c r="E38" s="9">
        <v>5</v>
      </c>
      <c r="F38" s="18">
        <v>3.25</v>
      </c>
      <c r="G38" s="30">
        <f t="shared" si="0"/>
        <v>0.65</v>
      </c>
      <c r="H38" s="31" t="str">
        <f t="shared" si="1"/>
        <v>مقبول</v>
      </c>
      <c r="I38" s="51"/>
      <c r="J38" s="52"/>
    </row>
    <row r="39" spans="1:10" ht="39.950000000000003" customHeight="1" x14ac:dyDescent="0.2">
      <c r="A39" s="10"/>
      <c r="B39" s="44" t="s">
        <v>218</v>
      </c>
      <c r="C39" s="45"/>
      <c r="D39" s="45"/>
      <c r="E39" s="35"/>
      <c r="F39" s="18"/>
      <c r="G39" s="30"/>
      <c r="H39" s="31"/>
      <c r="I39" s="51"/>
      <c r="J39" s="52"/>
    </row>
    <row r="40" spans="1:10" ht="39.950000000000003" customHeight="1" x14ac:dyDescent="0.2">
      <c r="A40" s="10"/>
      <c r="B40" s="36" t="s">
        <v>199</v>
      </c>
      <c r="C40" s="37"/>
      <c r="D40" s="37"/>
      <c r="E40" s="9">
        <v>5</v>
      </c>
      <c r="F40" s="18">
        <v>3.25</v>
      </c>
      <c r="G40" s="30">
        <f t="shared" si="0"/>
        <v>0.65</v>
      </c>
      <c r="H40" s="31" t="str">
        <f t="shared" si="1"/>
        <v>مقبول</v>
      </c>
      <c r="I40" s="51"/>
      <c r="J40" s="52"/>
    </row>
    <row r="41" spans="1:10" ht="39.950000000000003" customHeight="1" x14ac:dyDescent="0.2">
      <c r="A41" s="10"/>
      <c r="B41" s="36" t="s">
        <v>200</v>
      </c>
      <c r="C41" s="37"/>
      <c r="D41" s="37"/>
      <c r="E41" s="9">
        <v>5</v>
      </c>
      <c r="F41" s="18">
        <v>3.25</v>
      </c>
      <c r="G41" s="30">
        <f t="shared" si="0"/>
        <v>0.65</v>
      </c>
      <c r="H41" s="31" t="str">
        <f t="shared" si="1"/>
        <v>مقبول</v>
      </c>
      <c r="I41" s="51"/>
      <c r="J41" s="52"/>
    </row>
    <row r="42" spans="1:10" ht="39.950000000000003" customHeight="1" x14ac:dyDescent="0.2">
      <c r="A42" s="10"/>
      <c r="B42" s="36" t="s">
        <v>201</v>
      </c>
      <c r="C42" s="37"/>
      <c r="D42" s="37"/>
      <c r="E42" s="9">
        <v>5</v>
      </c>
      <c r="F42" s="18">
        <v>3.25</v>
      </c>
      <c r="G42" s="30">
        <f t="shared" si="0"/>
        <v>0.65</v>
      </c>
      <c r="H42" s="31" t="str">
        <f t="shared" si="1"/>
        <v>مقبول</v>
      </c>
      <c r="I42" s="51"/>
      <c r="J42" s="52"/>
    </row>
    <row r="43" spans="1:10" ht="39.950000000000003" customHeight="1" x14ac:dyDescent="0.2">
      <c r="A43" s="10"/>
      <c r="B43" s="36" t="s">
        <v>202</v>
      </c>
      <c r="C43" s="37"/>
      <c r="D43" s="37"/>
      <c r="E43" s="9">
        <v>5</v>
      </c>
      <c r="F43" s="18">
        <v>3.25</v>
      </c>
      <c r="G43" s="30">
        <f t="shared" si="0"/>
        <v>0.65</v>
      </c>
      <c r="H43" s="31" t="str">
        <f t="shared" si="1"/>
        <v>مقبول</v>
      </c>
      <c r="I43" s="51"/>
      <c r="J43" s="52"/>
    </row>
    <row r="44" spans="1:10" ht="39.950000000000003" customHeight="1" x14ac:dyDescent="0.2">
      <c r="A44" s="10"/>
      <c r="B44" s="36" t="s">
        <v>203</v>
      </c>
      <c r="C44" s="37"/>
      <c r="D44" s="37"/>
      <c r="E44" s="9">
        <v>5</v>
      </c>
      <c r="F44" s="18">
        <v>3.75</v>
      </c>
      <c r="G44" s="30">
        <f t="shared" si="0"/>
        <v>0.75</v>
      </c>
      <c r="H44" s="31" t="str">
        <f t="shared" si="1"/>
        <v>جيد</v>
      </c>
      <c r="I44" s="51"/>
      <c r="J44" s="52"/>
    </row>
    <row r="45" spans="1:10" ht="39.950000000000003" customHeight="1" x14ac:dyDescent="0.2">
      <c r="A45" s="10"/>
      <c r="B45" s="38" t="s">
        <v>219</v>
      </c>
      <c r="C45" s="39"/>
      <c r="D45" s="39"/>
      <c r="E45" s="9"/>
      <c r="F45" s="18"/>
      <c r="G45" s="30"/>
      <c r="H45" s="31"/>
      <c r="I45" s="51"/>
      <c r="J45" s="52"/>
    </row>
    <row r="46" spans="1:10" ht="39.950000000000003" customHeight="1" x14ac:dyDescent="0.2">
      <c r="A46" s="10"/>
      <c r="B46" s="36" t="s">
        <v>204</v>
      </c>
      <c r="C46" s="37"/>
      <c r="D46" s="37"/>
      <c r="E46" s="9">
        <v>5</v>
      </c>
      <c r="F46" s="18">
        <v>3.75</v>
      </c>
      <c r="G46" s="30">
        <f t="shared" si="0"/>
        <v>0.75</v>
      </c>
      <c r="H46" s="31" t="str">
        <f t="shared" si="1"/>
        <v>جيد</v>
      </c>
      <c r="I46" s="51"/>
      <c r="J46" s="52"/>
    </row>
    <row r="47" spans="1:10" ht="39.950000000000003" customHeight="1" x14ac:dyDescent="0.2">
      <c r="A47" s="10"/>
      <c r="B47" s="36" t="s">
        <v>205</v>
      </c>
      <c r="C47" s="37"/>
      <c r="D47" s="37"/>
      <c r="E47" s="9">
        <v>5</v>
      </c>
      <c r="F47" s="18">
        <v>3.25</v>
      </c>
      <c r="G47" s="30">
        <f t="shared" si="0"/>
        <v>0.65</v>
      </c>
      <c r="H47" s="31" t="str">
        <f t="shared" si="1"/>
        <v>مقبول</v>
      </c>
      <c r="I47" s="51"/>
      <c r="J47" s="52"/>
    </row>
    <row r="48" spans="1:10" ht="39.950000000000003" customHeight="1" x14ac:dyDescent="0.2">
      <c r="A48" s="10"/>
      <c r="B48" s="36" t="s">
        <v>206</v>
      </c>
      <c r="C48" s="37"/>
      <c r="D48" s="37"/>
      <c r="E48" s="9">
        <v>5</v>
      </c>
      <c r="F48" s="18">
        <v>3.25</v>
      </c>
      <c r="G48" s="30">
        <f t="shared" si="0"/>
        <v>0.65</v>
      </c>
      <c r="H48" s="31" t="str">
        <f t="shared" si="1"/>
        <v>مقبول</v>
      </c>
      <c r="I48" s="51"/>
      <c r="J48" s="52"/>
    </row>
    <row r="49" spans="1:10" ht="39.950000000000003" customHeight="1" x14ac:dyDescent="0.2">
      <c r="A49" s="10"/>
      <c r="B49" s="36" t="s">
        <v>207</v>
      </c>
      <c r="C49" s="37"/>
      <c r="D49" s="37"/>
      <c r="E49" s="9">
        <v>5</v>
      </c>
      <c r="F49" s="18">
        <v>3.75</v>
      </c>
      <c r="G49" s="30">
        <f t="shared" si="0"/>
        <v>0.75</v>
      </c>
      <c r="H49" s="31" t="str">
        <f t="shared" si="1"/>
        <v>جيد</v>
      </c>
      <c r="I49" s="51"/>
      <c r="J49" s="52"/>
    </row>
    <row r="50" spans="1:10" ht="39.950000000000003" customHeight="1" x14ac:dyDescent="0.2">
      <c r="A50" s="10"/>
      <c r="B50" s="36" t="s">
        <v>208</v>
      </c>
      <c r="C50" s="37"/>
      <c r="D50" s="37"/>
      <c r="E50" s="9">
        <v>5</v>
      </c>
      <c r="F50" s="18">
        <v>3.75</v>
      </c>
      <c r="G50" s="30">
        <f t="shared" si="0"/>
        <v>0.75</v>
      </c>
      <c r="H50" s="31" t="str">
        <f t="shared" si="1"/>
        <v>جيد</v>
      </c>
      <c r="I50" s="51"/>
      <c r="J50" s="52"/>
    </row>
    <row r="51" spans="1:10" ht="39.950000000000003" customHeight="1" x14ac:dyDescent="0.2">
      <c r="A51" s="10"/>
      <c r="B51" s="36" t="s">
        <v>209</v>
      </c>
      <c r="C51" s="37"/>
      <c r="D51" s="37"/>
      <c r="E51" s="9">
        <v>5</v>
      </c>
      <c r="F51" s="18">
        <v>3.75</v>
      </c>
      <c r="G51" s="30">
        <f t="shared" si="0"/>
        <v>0.75</v>
      </c>
      <c r="H51" s="31" t="str">
        <f t="shared" si="1"/>
        <v>جيد</v>
      </c>
      <c r="I51" s="51"/>
      <c r="J51" s="52"/>
    </row>
    <row r="52" spans="1:10" ht="39.950000000000003" customHeight="1" thickBot="1" x14ac:dyDescent="0.25">
      <c r="A52" s="10"/>
      <c r="B52" s="40" t="s">
        <v>220</v>
      </c>
      <c r="C52" s="41"/>
      <c r="D52" s="41"/>
      <c r="E52" s="32">
        <v>5</v>
      </c>
      <c r="F52" s="19">
        <v>3.75</v>
      </c>
      <c r="G52" s="33">
        <f t="shared" si="0"/>
        <v>0.75</v>
      </c>
      <c r="H52" s="34" t="str">
        <f t="shared" si="1"/>
        <v>جيد</v>
      </c>
      <c r="I52" s="58"/>
      <c r="J52" s="59"/>
    </row>
    <row r="53" spans="1:10" ht="30" customHeight="1" thickBot="1" x14ac:dyDescent="0.25">
      <c r="A53" s="4"/>
      <c r="B53" s="83" t="s">
        <v>5</v>
      </c>
      <c r="C53" s="84"/>
      <c r="D53" s="84"/>
      <c r="E53" s="29">
        <f>SUM(E8:E52)</f>
        <v>175</v>
      </c>
      <c r="F53" s="29">
        <f>SUM(F8:F52)</f>
        <v>122.75</v>
      </c>
      <c r="G53" s="55"/>
      <c r="H53" s="56"/>
      <c r="I53" s="56"/>
      <c r="J53" s="57"/>
    </row>
    <row r="54" spans="1:10" ht="30" customHeight="1" thickBot="1" x14ac:dyDescent="0.25">
      <c r="A54" s="4"/>
      <c r="B54" s="85" t="s">
        <v>54</v>
      </c>
      <c r="C54" s="86"/>
      <c r="D54" s="86"/>
      <c r="E54" s="67">
        <f>F53/E53/100*100</f>
        <v>0.7014285714285714</v>
      </c>
      <c r="F54" s="67"/>
      <c r="G54" s="67"/>
      <c r="H54" s="67"/>
      <c r="I54" s="67"/>
      <c r="J54" s="68"/>
    </row>
    <row r="55" spans="1:10" ht="30" customHeight="1" thickBot="1" x14ac:dyDescent="0.25">
      <c r="A55" s="4"/>
      <c r="B55" s="85" t="s">
        <v>55</v>
      </c>
      <c r="C55" s="86"/>
      <c r="D55" s="86"/>
      <c r="E55" s="81" t="str">
        <f>_xlfn.IFS(E54&gt;=90%,"ممتاز",E54&gt;=80%,"جيد جداً",E54&gt;=70%,"جيد",E54&gt;=60%,"مقبول",E54&lt;60%,"راسب")</f>
        <v>جيد</v>
      </c>
      <c r="F55" s="81"/>
      <c r="G55" s="81"/>
      <c r="H55" s="81"/>
      <c r="I55" s="81"/>
      <c r="J55" s="82"/>
    </row>
    <row r="56" spans="1:10" ht="42" customHeight="1" x14ac:dyDescent="0.2">
      <c r="B56" s="77" t="s">
        <v>221</v>
      </c>
      <c r="C56" s="77"/>
      <c r="D56" s="77"/>
      <c r="E56" s="53" t="s">
        <v>52</v>
      </c>
      <c r="F56" s="53"/>
      <c r="G56" s="79" t="s">
        <v>134</v>
      </c>
      <c r="H56" s="79"/>
      <c r="I56" s="79"/>
      <c r="J56" s="79"/>
    </row>
    <row r="57" spans="1:10" ht="51" customHeight="1" x14ac:dyDescent="0.2">
      <c r="A57" s="5"/>
      <c r="B57" s="78"/>
      <c r="C57" s="78"/>
      <c r="D57" s="78"/>
      <c r="E57" s="54" t="s">
        <v>53</v>
      </c>
      <c r="F57" s="54"/>
      <c r="G57" s="80"/>
      <c r="H57" s="80"/>
      <c r="I57" s="80"/>
      <c r="J57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E56:F56"/>
    <mergeCell ref="E57:F57"/>
    <mergeCell ref="G53:J53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5:J25"/>
    <mergeCell ref="I26:J26"/>
    <mergeCell ref="I27:J27"/>
    <mergeCell ref="I28:J28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I17:J17"/>
    <mergeCell ref="I18:J18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1" t="s">
        <v>62</v>
      </c>
    </row>
    <row r="3" spans="1:3" ht="20.100000000000001" customHeight="1" thickBot="1" x14ac:dyDescent="0.3">
      <c r="A3" s="2" t="s">
        <v>26</v>
      </c>
      <c r="C3" s="21" t="s">
        <v>63</v>
      </c>
    </row>
    <row r="4" spans="1:3" ht="20.100000000000001" customHeight="1" thickBot="1" x14ac:dyDescent="0.3">
      <c r="A4" s="2" t="s">
        <v>36</v>
      </c>
      <c r="C4" s="21" t="s">
        <v>64</v>
      </c>
    </row>
    <row r="5" spans="1:3" ht="20.100000000000001" customHeight="1" thickBot="1" x14ac:dyDescent="0.3">
      <c r="A5" s="2" t="s">
        <v>37</v>
      </c>
      <c r="C5" s="21" t="s">
        <v>65</v>
      </c>
    </row>
    <row r="6" spans="1:3" ht="20.100000000000001" customHeight="1" thickBot="1" x14ac:dyDescent="0.3">
      <c r="A6" s="2" t="s">
        <v>38</v>
      </c>
      <c r="C6" s="21" t="s">
        <v>66</v>
      </c>
    </row>
    <row r="7" spans="1:3" ht="20.100000000000001" customHeight="1" thickBot="1" x14ac:dyDescent="0.3">
      <c r="A7" s="2" t="s">
        <v>39</v>
      </c>
      <c r="C7" s="21" t="s">
        <v>67</v>
      </c>
    </row>
    <row r="8" spans="1:3" ht="20.100000000000001" customHeight="1" thickBot="1" x14ac:dyDescent="0.3">
      <c r="A8" s="2" t="s">
        <v>40</v>
      </c>
      <c r="C8" s="21" t="s">
        <v>68</v>
      </c>
    </row>
    <row r="9" spans="1:3" ht="20.100000000000001" customHeight="1" thickBot="1" x14ac:dyDescent="0.3">
      <c r="A9" s="2" t="s">
        <v>41</v>
      </c>
      <c r="C9" s="21" t="s">
        <v>69</v>
      </c>
    </row>
    <row r="10" spans="1:3" ht="20.100000000000001" customHeight="1" thickBot="1" x14ac:dyDescent="0.3">
      <c r="A10" s="2" t="s">
        <v>42</v>
      </c>
      <c r="C10" s="21" t="s">
        <v>70</v>
      </c>
    </row>
    <row r="11" spans="1:3" ht="20.100000000000001" customHeight="1" thickBot="1" x14ac:dyDescent="0.3">
      <c r="A11" s="2" t="s">
        <v>43</v>
      </c>
      <c r="C11" s="21" t="s">
        <v>71</v>
      </c>
    </row>
    <row r="12" spans="1:3" ht="20.100000000000001" customHeight="1" thickBot="1" x14ac:dyDescent="0.3">
      <c r="A12" s="2" t="s">
        <v>44</v>
      </c>
      <c r="C12" s="21" t="s">
        <v>72</v>
      </c>
    </row>
    <row r="13" spans="1:3" ht="20.100000000000001" customHeight="1" thickBot="1" x14ac:dyDescent="0.3">
      <c r="A13" s="2" t="s">
        <v>45</v>
      </c>
      <c r="C13" s="21" t="s">
        <v>73</v>
      </c>
    </row>
    <row r="14" spans="1:3" ht="20.100000000000001" customHeight="1" thickBot="1" x14ac:dyDescent="0.3">
      <c r="A14" s="2" t="s">
        <v>46</v>
      </c>
      <c r="C14" s="21" t="s">
        <v>74</v>
      </c>
    </row>
    <row r="15" spans="1:3" ht="20.100000000000001" customHeight="1" thickBot="1" x14ac:dyDescent="0.3">
      <c r="A15" s="2" t="s">
        <v>47</v>
      </c>
      <c r="C15" s="21" t="s">
        <v>75</v>
      </c>
    </row>
    <row r="16" spans="1:3" ht="20.100000000000001" customHeight="1" thickBot="1" x14ac:dyDescent="0.3">
      <c r="A16" s="2" t="s">
        <v>10</v>
      </c>
      <c r="C16" s="21" t="s">
        <v>76</v>
      </c>
    </row>
    <row r="17" spans="1:3" ht="20.100000000000001" customHeight="1" thickBot="1" x14ac:dyDescent="0.3">
      <c r="A17" s="2" t="s">
        <v>27</v>
      </c>
      <c r="C17" s="21" t="s">
        <v>77</v>
      </c>
    </row>
    <row r="18" spans="1:3" ht="20.100000000000001" customHeight="1" thickBot="1" x14ac:dyDescent="0.3">
      <c r="A18" s="2" t="s">
        <v>48</v>
      </c>
      <c r="C18" s="21" t="s">
        <v>78</v>
      </c>
    </row>
    <row r="19" spans="1:3" ht="20.100000000000001" customHeight="1" thickBot="1" x14ac:dyDescent="0.3">
      <c r="A19" s="2" t="s">
        <v>49</v>
      </c>
      <c r="C19" s="21" t="s">
        <v>79</v>
      </c>
    </row>
    <row r="20" spans="1:3" ht="20.100000000000001" customHeight="1" thickBot="1" x14ac:dyDescent="0.3">
      <c r="A20" s="2" t="s">
        <v>50</v>
      </c>
      <c r="C20" s="21" t="s">
        <v>80</v>
      </c>
    </row>
    <row r="21" spans="1:3" ht="20.100000000000001" customHeight="1" thickBot="1" x14ac:dyDescent="0.3">
      <c r="A21" s="2" t="s">
        <v>51</v>
      </c>
      <c r="C21" s="21" t="s">
        <v>81</v>
      </c>
    </row>
    <row r="22" spans="1:3" ht="20.100000000000001" customHeight="1" thickBot="1" x14ac:dyDescent="0.3">
      <c r="A22" s="2" t="s">
        <v>11</v>
      </c>
      <c r="C22" s="21" t="s">
        <v>82</v>
      </c>
    </row>
    <row r="23" spans="1:3" ht="20.100000000000001" customHeight="1" thickBot="1" x14ac:dyDescent="0.3">
      <c r="A23" s="2" t="s">
        <v>12</v>
      </c>
      <c r="C23" s="21" t="s">
        <v>83</v>
      </c>
    </row>
    <row r="24" spans="1:3" ht="20.100000000000001" customHeight="1" thickBot="1" x14ac:dyDescent="0.3">
      <c r="A24" s="2" t="s">
        <v>15</v>
      </c>
      <c r="C24" s="21" t="s">
        <v>84</v>
      </c>
    </row>
    <row r="25" spans="1:3" ht="20.100000000000001" customHeight="1" thickBot="1" x14ac:dyDescent="0.3">
      <c r="A25" s="2" t="s">
        <v>28</v>
      </c>
      <c r="C25" s="21" t="s">
        <v>85</v>
      </c>
    </row>
    <row r="26" spans="1:3" ht="20.100000000000001" customHeight="1" thickBot="1" x14ac:dyDescent="0.3">
      <c r="A26" s="2" t="s">
        <v>29</v>
      </c>
      <c r="C26" s="21" t="s">
        <v>86</v>
      </c>
    </row>
    <row r="27" spans="1:3" ht="20.100000000000001" customHeight="1" thickBot="1" x14ac:dyDescent="0.3">
      <c r="A27" s="2" t="s">
        <v>13</v>
      </c>
      <c r="C27" s="21" t="s">
        <v>87</v>
      </c>
    </row>
    <row r="28" spans="1:3" ht="20.100000000000001" customHeight="1" thickBot="1" x14ac:dyDescent="0.3">
      <c r="A28" s="2" t="s">
        <v>30</v>
      </c>
      <c r="C28" s="21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2" t="s">
        <v>89</v>
      </c>
    </row>
    <row r="200" spans="1:1" ht="20.100000000000001" customHeight="1" x14ac:dyDescent="0.2">
      <c r="A200" s="22" t="s">
        <v>90</v>
      </c>
    </row>
    <row r="201" spans="1:1" ht="20.100000000000001" customHeight="1" x14ac:dyDescent="0.2">
      <c r="A201" s="22" t="s">
        <v>91</v>
      </c>
    </row>
    <row r="202" spans="1:1" ht="20.100000000000001" customHeight="1" x14ac:dyDescent="0.2">
      <c r="A202" s="22" t="s">
        <v>92</v>
      </c>
    </row>
    <row r="203" spans="1:1" ht="20.100000000000001" customHeight="1" x14ac:dyDescent="0.2">
      <c r="A203" s="22" t="s">
        <v>93</v>
      </c>
    </row>
    <row r="204" spans="1:1" ht="20.100000000000001" customHeight="1" x14ac:dyDescent="0.2">
      <c r="A204" s="22" t="s">
        <v>94</v>
      </c>
    </row>
    <row r="205" spans="1:1" ht="20.100000000000001" customHeight="1" x14ac:dyDescent="0.2">
      <c r="A205" s="22" t="s">
        <v>95</v>
      </c>
    </row>
    <row r="206" spans="1:1" ht="20.100000000000001" customHeight="1" x14ac:dyDescent="0.2">
      <c r="A206" s="22" t="s">
        <v>96</v>
      </c>
    </row>
    <row r="207" spans="1:1" ht="20.100000000000001" customHeight="1" x14ac:dyDescent="0.2">
      <c r="A207" s="22" t="s">
        <v>97</v>
      </c>
    </row>
    <row r="208" spans="1:1" ht="20.100000000000001" customHeight="1" x14ac:dyDescent="0.2">
      <c r="A208" s="23" t="s">
        <v>98</v>
      </c>
    </row>
    <row r="209" spans="1:1" ht="20.100000000000001" customHeight="1" x14ac:dyDescent="0.2">
      <c r="A209" s="23" t="s">
        <v>99</v>
      </c>
    </row>
    <row r="210" spans="1:1" ht="20.100000000000001" customHeight="1" x14ac:dyDescent="0.2">
      <c r="A210" s="22" t="s">
        <v>100</v>
      </c>
    </row>
    <row r="211" spans="1:1" ht="20.100000000000001" customHeight="1" x14ac:dyDescent="0.2">
      <c r="A211" s="22" t="s">
        <v>101</v>
      </c>
    </row>
    <row r="212" spans="1:1" ht="20.100000000000001" customHeight="1" x14ac:dyDescent="0.2">
      <c r="A212" s="22" t="s">
        <v>102</v>
      </c>
    </row>
    <row r="213" spans="1:1" ht="20.100000000000001" customHeight="1" x14ac:dyDescent="0.2">
      <c r="A213" s="22" t="s">
        <v>103</v>
      </c>
    </row>
    <row r="214" spans="1:1" ht="20.100000000000001" customHeight="1" x14ac:dyDescent="0.2">
      <c r="A214" s="22" t="s">
        <v>104</v>
      </c>
    </row>
    <row r="215" spans="1:1" ht="20.100000000000001" customHeight="1" x14ac:dyDescent="0.2">
      <c r="A215" s="22" t="s">
        <v>105</v>
      </c>
    </row>
    <row r="216" spans="1:1" ht="20.100000000000001" customHeight="1" x14ac:dyDescent="0.2">
      <c r="A216" s="22" t="s">
        <v>106</v>
      </c>
    </row>
    <row r="217" spans="1:1" ht="20.100000000000001" customHeight="1" x14ac:dyDescent="0.2">
      <c r="A217" s="22" t="s">
        <v>107</v>
      </c>
    </row>
    <row r="218" spans="1:1" ht="20.100000000000001" customHeight="1" x14ac:dyDescent="0.2">
      <c r="A218" s="22" t="s">
        <v>108</v>
      </c>
    </row>
    <row r="219" spans="1:1" ht="20.100000000000001" customHeight="1" x14ac:dyDescent="0.2">
      <c r="A219" s="22" t="s">
        <v>109</v>
      </c>
    </row>
    <row r="220" spans="1:1" ht="20.100000000000001" customHeight="1" x14ac:dyDescent="0.2">
      <c r="A220" s="22" t="s">
        <v>110</v>
      </c>
    </row>
    <row r="221" spans="1:1" ht="20.100000000000001" customHeight="1" x14ac:dyDescent="0.2">
      <c r="A221" s="22" t="s">
        <v>111</v>
      </c>
    </row>
    <row r="222" spans="1:1" ht="20.100000000000001" customHeight="1" x14ac:dyDescent="0.2">
      <c r="A222" s="22" t="s">
        <v>112</v>
      </c>
    </row>
    <row r="223" spans="1:1" ht="20.100000000000001" customHeight="1" x14ac:dyDescent="0.2">
      <c r="A223" s="22" t="s">
        <v>113</v>
      </c>
    </row>
    <row r="224" spans="1:1" ht="20.100000000000001" customHeight="1" x14ac:dyDescent="0.2">
      <c r="A224" s="22" t="s">
        <v>114</v>
      </c>
    </row>
    <row r="225" spans="1:1" ht="20.100000000000001" customHeight="1" x14ac:dyDescent="0.2">
      <c r="A225" s="22" t="s">
        <v>115</v>
      </c>
    </row>
    <row r="226" spans="1:1" ht="20.100000000000001" customHeight="1" x14ac:dyDescent="0.2">
      <c r="A226" s="22" t="s">
        <v>116</v>
      </c>
    </row>
    <row r="227" spans="1:1" ht="20.100000000000001" customHeight="1" x14ac:dyDescent="0.2">
      <c r="A227" s="22" t="s">
        <v>117</v>
      </c>
    </row>
    <row r="228" spans="1:1" ht="20.100000000000001" customHeight="1" x14ac:dyDescent="0.2">
      <c r="A228" s="22" t="s">
        <v>118</v>
      </c>
    </row>
    <row r="229" spans="1:1" ht="20.100000000000001" customHeight="1" x14ac:dyDescent="0.2">
      <c r="A229" s="22" t="s">
        <v>119</v>
      </c>
    </row>
    <row r="230" spans="1:1" ht="20.100000000000001" customHeight="1" x14ac:dyDescent="0.2">
      <c r="A230" s="22" t="s">
        <v>120</v>
      </c>
    </row>
    <row r="231" spans="1:1" ht="20.100000000000001" customHeight="1" x14ac:dyDescent="0.2">
      <c r="A231" s="22" t="s">
        <v>121</v>
      </c>
    </row>
    <row r="232" spans="1:1" ht="20.100000000000001" customHeight="1" x14ac:dyDescent="0.2">
      <c r="A232" s="22" t="s">
        <v>122</v>
      </c>
    </row>
    <row r="233" spans="1:1" ht="20.100000000000001" customHeight="1" x14ac:dyDescent="0.2">
      <c r="A233" s="22" t="s">
        <v>123</v>
      </c>
    </row>
    <row r="234" spans="1:1" ht="20.100000000000001" customHeight="1" x14ac:dyDescent="0.2">
      <c r="A234" s="22" t="s">
        <v>124</v>
      </c>
    </row>
    <row r="235" spans="1:1" ht="20.100000000000001" customHeight="1" x14ac:dyDescent="0.2">
      <c r="A235" s="24" t="s">
        <v>125</v>
      </c>
    </row>
    <row r="236" spans="1:1" ht="20.100000000000001" customHeight="1" x14ac:dyDescent="0.2">
      <c r="A236" s="22" t="s">
        <v>126</v>
      </c>
    </row>
    <row r="237" spans="1:1" ht="20.100000000000001" customHeight="1" x14ac:dyDescent="0.2">
      <c r="A237" s="22" t="s">
        <v>127</v>
      </c>
    </row>
    <row r="238" spans="1:1" ht="20.100000000000001" customHeight="1" x14ac:dyDescent="0.2">
      <c r="A238" s="22" t="s">
        <v>128</v>
      </c>
    </row>
    <row r="239" spans="1:1" ht="20.100000000000001" customHeight="1" x14ac:dyDescent="0.2">
      <c r="A239" s="22" t="s">
        <v>129</v>
      </c>
    </row>
    <row r="240" spans="1:1" ht="20.100000000000001" customHeight="1" x14ac:dyDescent="0.2">
      <c r="A240" s="22" t="s">
        <v>130</v>
      </c>
    </row>
    <row r="241" spans="1:1" ht="20.100000000000001" customHeight="1" x14ac:dyDescent="0.2">
      <c r="A241" s="22" t="s">
        <v>131</v>
      </c>
    </row>
    <row r="242" spans="1:1" ht="20.100000000000001" customHeight="1" x14ac:dyDescent="0.2">
      <c r="A242" s="22" t="s">
        <v>132</v>
      </c>
    </row>
    <row r="243" spans="1:1" ht="20.100000000000001" customHeight="1" x14ac:dyDescent="0.2">
      <c r="A243" s="22" t="s">
        <v>133</v>
      </c>
    </row>
    <row r="244" spans="1:1" ht="20.100000000000001" customHeight="1" x14ac:dyDescent="0.2">
      <c r="A244" s="22" t="s">
        <v>134</v>
      </c>
    </row>
    <row r="245" spans="1:1" ht="20.100000000000001" customHeight="1" x14ac:dyDescent="0.2">
      <c r="A245" s="22" t="s">
        <v>135</v>
      </c>
    </row>
    <row r="246" spans="1:1" ht="20.100000000000001" customHeight="1" x14ac:dyDescent="0.2">
      <c r="A246" s="22" t="s">
        <v>136</v>
      </c>
    </row>
    <row r="247" spans="1:1" ht="20.100000000000001" customHeight="1" x14ac:dyDescent="0.2">
      <c r="A247" s="22" t="s">
        <v>127</v>
      </c>
    </row>
    <row r="248" spans="1:1" ht="20.100000000000001" customHeight="1" x14ac:dyDescent="0.2">
      <c r="A248" s="22" t="s">
        <v>137</v>
      </c>
    </row>
    <row r="249" spans="1:1" ht="20.100000000000001" customHeight="1" x14ac:dyDescent="0.2">
      <c r="A249" s="22" t="s">
        <v>138</v>
      </c>
    </row>
    <row r="250" spans="1:1" ht="20.100000000000001" customHeight="1" x14ac:dyDescent="0.2">
      <c r="A250" s="24" t="s">
        <v>139</v>
      </c>
    </row>
    <row r="251" spans="1:1" ht="20.100000000000001" customHeight="1" x14ac:dyDescent="0.2">
      <c r="A251" s="25" t="s">
        <v>140</v>
      </c>
    </row>
    <row r="252" spans="1:1" ht="20.100000000000001" customHeight="1" x14ac:dyDescent="0.2">
      <c r="A252" s="22" t="s">
        <v>141</v>
      </c>
    </row>
    <row r="253" spans="1:1" ht="20.100000000000001" customHeight="1" x14ac:dyDescent="0.2">
      <c r="A253" s="22" t="s">
        <v>142</v>
      </c>
    </row>
    <row r="254" spans="1:1" ht="20.100000000000001" customHeight="1" x14ac:dyDescent="0.2">
      <c r="A254" s="26" t="s">
        <v>143</v>
      </c>
    </row>
    <row r="255" spans="1:1" ht="20.100000000000001" customHeight="1" x14ac:dyDescent="0.2">
      <c r="A255" s="26" t="s">
        <v>144</v>
      </c>
    </row>
    <row r="256" spans="1:1" ht="20.100000000000001" customHeight="1" x14ac:dyDescent="0.2">
      <c r="A256" s="27" t="s">
        <v>145</v>
      </c>
    </row>
    <row r="257" spans="1:1" ht="20.100000000000001" customHeight="1" x14ac:dyDescent="0.2">
      <c r="A257" s="22" t="s">
        <v>146</v>
      </c>
    </row>
    <row r="258" spans="1:1" ht="20.100000000000001" customHeight="1" x14ac:dyDescent="0.2">
      <c r="A258" s="27" t="s">
        <v>147</v>
      </c>
    </row>
    <row r="259" spans="1:1" ht="20.100000000000001" customHeight="1" x14ac:dyDescent="0.2">
      <c r="A259" s="22" t="s">
        <v>148</v>
      </c>
    </row>
    <row r="260" spans="1:1" ht="20.100000000000001" customHeight="1" x14ac:dyDescent="0.2">
      <c r="A260" s="27" t="s">
        <v>149</v>
      </c>
    </row>
    <row r="261" spans="1:1" ht="20.100000000000001" customHeight="1" x14ac:dyDescent="0.2">
      <c r="A261" s="22" t="s">
        <v>150</v>
      </c>
    </row>
    <row r="262" spans="1:1" ht="20.100000000000001" customHeight="1" x14ac:dyDescent="0.2">
      <c r="A262" s="22" t="s">
        <v>151</v>
      </c>
    </row>
    <row r="263" spans="1:1" ht="20.100000000000001" customHeight="1" x14ac:dyDescent="0.2">
      <c r="A263" s="27" t="s">
        <v>152</v>
      </c>
    </row>
    <row r="264" spans="1:1" ht="20.100000000000001" customHeight="1" x14ac:dyDescent="0.2">
      <c r="A264" s="27" t="s">
        <v>153</v>
      </c>
    </row>
    <row r="265" spans="1:1" ht="20.100000000000001" customHeight="1" x14ac:dyDescent="0.2">
      <c r="A265" s="27" t="s">
        <v>154</v>
      </c>
    </row>
    <row r="266" spans="1:1" ht="20.100000000000001" customHeight="1" x14ac:dyDescent="0.2">
      <c r="A266" s="22" t="s">
        <v>155</v>
      </c>
    </row>
    <row r="267" spans="1:1" ht="20.100000000000001" customHeight="1" x14ac:dyDescent="0.2">
      <c r="A267" s="22" t="s">
        <v>156</v>
      </c>
    </row>
    <row r="268" spans="1:1" ht="20.100000000000001" customHeight="1" x14ac:dyDescent="0.2">
      <c r="A268" s="22" t="s">
        <v>157</v>
      </c>
    </row>
    <row r="269" spans="1:1" ht="20.100000000000001" customHeight="1" x14ac:dyDescent="0.2">
      <c r="A269" s="22" t="s">
        <v>158</v>
      </c>
    </row>
    <row r="270" spans="1:1" ht="20.100000000000001" customHeight="1" x14ac:dyDescent="0.2">
      <c r="A270" s="27" t="s">
        <v>159</v>
      </c>
    </row>
    <row r="271" spans="1:1" ht="20.100000000000001" customHeight="1" x14ac:dyDescent="0.2">
      <c r="A271" s="27" t="s">
        <v>160</v>
      </c>
    </row>
    <row r="272" spans="1:1" ht="20.100000000000001" customHeight="1" x14ac:dyDescent="0.2">
      <c r="A272" s="22" t="s">
        <v>161</v>
      </c>
    </row>
    <row r="273" spans="1:1" ht="20.100000000000001" customHeight="1" x14ac:dyDescent="0.2">
      <c r="A273" s="27" t="s">
        <v>162</v>
      </c>
    </row>
    <row r="274" spans="1:1" ht="20.100000000000001" customHeight="1" x14ac:dyDescent="0.2">
      <c r="A274" s="27" t="s">
        <v>163</v>
      </c>
    </row>
    <row r="275" spans="1:1" ht="20.100000000000001" customHeight="1" x14ac:dyDescent="0.2">
      <c r="A275" s="22" t="s">
        <v>164</v>
      </c>
    </row>
    <row r="276" spans="1:1" ht="20.100000000000001" customHeight="1" x14ac:dyDescent="0.2">
      <c r="A276" s="22" t="s">
        <v>165</v>
      </c>
    </row>
    <row r="277" spans="1:1" ht="20.100000000000001" customHeight="1" x14ac:dyDescent="0.2">
      <c r="A277" s="27" t="s">
        <v>166</v>
      </c>
    </row>
    <row r="278" spans="1:1" ht="20.100000000000001" customHeight="1" x14ac:dyDescent="0.2">
      <c r="A278" s="22" t="s">
        <v>167</v>
      </c>
    </row>
    <row r="279" spans="1:1" ht="20.100000000000001" customHeight="1" x14ac:dyDescent="0.2">
      <c r="A279" s="22" t="s">
        <v>168</v>
      </c>
    </row>
    <row r="280" spans="1:1" ht="20.100000000000001" customHeight="1" x14ac:dyDescent="0.2">
      <c r="A280" s="22" t="s">
        <v>169</v>
      </c>
    </row>
    <row r="281" spans="1:1" ht="20.100000000000001" customHeight="1" x14ac:dyDescent="0.2">
      <c r="A281" s="22" t="s">
        <v>170</v>
      </c>
    </row>
    <row r="282" spans="1:1" ht="20.100000000000001" customHeight="1" x14ac:dyDescent="0.2">
      <c r="A282" s="27" t="s">
        <v>171</v>
      </c>
    </row>
    <row r="283" spans="1:1" ht="20.100000000000001" customHeight="1" x14ac:dyDescent="0.2">
      <c r="A283" s="27" t="s">
        <v>172</v>
      </c>
    </row>
    <row r="284" spans="1:1" ht="20.100000000000001" customHeight="1" x14ac:dyDescent="0.2">
      <c r="A284" s="27" t="s">
        <v>173</v>
      </c>
    </row>
    <row r="285" spans="1:1" ht="20.100000000000001" customHeight="1" thickBot="1" x14ac:dyDescent="0.25">
      <c r="A285" s="22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2025-09-10T04:10:05Z</dcterms:modified>
</cp:coreProperties>
</file>