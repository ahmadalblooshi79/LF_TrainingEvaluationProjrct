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التقييم'!$A$1:$J$52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4" i="2"/>
  <c r="H44" i="2" s="1"/>
  <c r="G45" i="2"/>
  <c r="H45" i="2" s="1"/>
  <c r="G46" i="2"/>
  <c r="H46" i="2" s="1"/>
  <c r="G47" i="2"/>
  <c r="H47" i="2" s="1"/>
  <c r="F48" i="2" l="1"/>
  <c r="E48" i="2" l="1"/>
  <c r="E49" i="2" l="1"/>
  <c r="E50" i="2" s="1"/>
</calcChain>
</file>

<file path=xl/sharedStrings.xml><?xml version="1.0" encoding="utf-8"?>
<sst xmlns="http://schemas.openxmlformats.org/spreadsheetml/2006/main" count="103" uniqueCount="69">
  <si>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</si>
  <si>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</si>
  <si>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</si>
  <si>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</si>
  <si>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</si>
  <si>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</si>
  <si>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</si>
  <si>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</si>
  <si>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</si>
  <si>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</si>
  <si>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</si>
  <si>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</si>
  <si>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</si>
  <si>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</si>
  <si>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</si>
  <si>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</si>
  <si>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</si>
  <si>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</si>
  <si>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</si>
  <si>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</si>
  <si>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</si>
  <si>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</si>
  <si>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</si>
  <si>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</si>
  <si>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</si>
  <si>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</si>
  <si>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</si>
  <si>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</si>
  <si>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</si>
  <si>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</si>
  <si>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</si>
  <si>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</si>
  <si>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التنفيذ</t>
  </si>
  <si>
    <t>ب. إنشاء دفاع محلي.</t>
  </si>
  <si>
    <t>جـ. تخصيص المواقع في منطقة التجمع.</t>
  </si>
  <si>
    <t>هـ. تأشير مواقع الآليات (ليلاً / نهاراً).</t>
  </si>
  <si>
    <t>ز. تأشير مواقع الإسناد (الصيانة - الإسناد الطبي - الأرزاق).</t>
  </si>
  <si>
    <t>ب. توضيع وتمويه الآليات.</t>
  </si>
  <si>
    <t>جـ. توضيع مراكز المراقبة.</t>
  </si>
  <si>
    <t>هـ. تأسيس الاتصالات مع الوحدات المجاورة / التنسيق مع الأجنحة.</t>
  </si>
  <si>
    <t>ز. اختيار مواقع بديلة وثانوية ونقاط تجمع للآليات.</t>
  </si>
  <si>
    <t>ح. تنفيذ إجراءات المعركة.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</si>
  <si>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</si>
  <si>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</si>
  <si>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t>1.    فهم القادة في سرية الـ م/د للموقف باستخدام معدات الاتصال المتوفرة، والخرائط، وتقارير الموقف، ومصادر المعلومات المتوفرة الأخرى.</t>
  </si>
  <si>
    <t>2.    الاستطلاع من الخارطة أو من الأرض ذا أمكن</t>
  </si>
  <si>
    <t>3.    التخطيط لتأمين منطقة التجمع لمجموعة اللواء التي يجب أن توفر ما يلي:</t>
  </si>
  <si>
    <t>4.    تقوم سرية الـ م/د بتحديد موقع الوحدات في منطقة التجمع.</t>
  </si>
  <si>
    <t>5.    تحديد أولوية العمل وتوفير أعمال الصيانة وإعادة التزويد.</t>
  </si>
  <si>
    <t>6.    تقوم سرية الـ م/د بالتحضير لاحتلال منطقة التجمع.</t>
  </si>
  <si>
    <t>7.    إجراء التجارب خلال ساعات النهار وفي ظل ظروف الرؤية المحدودة إن أمكن</t>
  </si>
  <si>
    <t>1.    حركة سرية الـ م/د وتأمين منطقة التجمع حسب الخطة الموضوعة.</t>
  </si>
  <si>
    <t>2.    تطبق إجراءات الحماية أثناء الحركة.</t>
  </si>
  <si>
    <t>3.    تنظيم الدخول لمنطقة التجمع وحسب تسلسل بدء الحركة ونظام المسير لكل فصيل ويأخذ كل فصيل قطاع محدد.</t>
  </si>
  <si>
    <t>4.    السيطرة على الطرق المؤدية من وإلى منطقة التجمع.</t>
  </si>
  <si>
    <t>5.    توزيع القوة في منطقة التجمع (الدفاع الدائري).</t>
  </si>
  <si>
    <t>6.    تنفيذ إجراءات الحماية في منطقة التجمع وكما يلي:</t>
  </si>
  <si>
    <t>7.    استكمال التحضيرات والتفتيشات وسد النقص وكما يلي:</t>
  </si>
  <si>
    <t>8.    المكوث في منطقة التجمع أقل وقت ممكن لتنفيذ الواجبات والعمل بشكل متوازي للجميع لتحقيق أقل وقت ممكن في منطقة التجمع.</t>
  </si>
  <si>
    <t>أ.   أن تكون خارج مدى مراقبة العدو الأرضية من مواقعه الأمامية.</t>
  </si>
  <si>
    <t>د.  لها مداخل ومخارج جيدة.</t>
  </si>
  <si>
    <t>أ.   وصول القوة إلى منطقة التجمع.</t>
  </si>
  <si>
    <t xml:space="preserve">د.  تأشير نقاط الالتقاء. </t>
  </si>
  <si>
    <t>و.  تأشير مواقع القيادة الرئيسية.</t>
  </si>
  <si>
    <t>أ‌.   تأسيس وإدامة الأمن والحماية.</t>
  </si>
  <si>
    <t>د.  توضيع أجهزة الإنذار الكيميائية والجرثومية والإشعاعية والنووية.</t>
  </si>
  <si>
    <t>و.  تحضير بطاقات المدى وخطط النيران.</t>
  </si>
  <si>
    <t>أ.   إدامة الآليات ومعدات الاتصال والأسلحة.</t>
  </si>
  <si>
    <t>تقييم تأمين سرية الـ م د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</si>
</sst>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vertical="center" wrapText="1" readingOrder="2"/>
    </xf>
    <xf numFmtId="0" fontId="1" fillId="4" borderId="23" xfId="0" applyFont="1" applyFill="1" applyBorder="1" applyAlignment="1">
      <alignment vertical="center" wrapText="1" readingOrder="2"/>
    </xf>
    <xf numFmtId="0" fontId="1" fillId="4" borderId="24" xfId="0" applyFont="1" applyFill="1" applyBorder="1" applyAlignment="1">
      <alignment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2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5" t="s">
        <v>68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5">
      <c r="B2" s="11" t="s">
        <v>8</v>
      </c>
      <c r="C2" s="47" t="s">
        <v>23</v>
      </c>
      <c r="D2" s="47"/>
      <c r="E2" s="11" t="s">
        <v>7</v>
      </c>
      <c r="F2" s="42" t="s">
        <v>22</v>
      </c>
      <c r="G2" s="42"/>
      <c r="H2" s="42"/>
      <c r="I2" s="42"/>
      <c r="J2" s="42"/>
    </row>
    <row r="3" spans="1:10" ht="30" customHeight="1" x14ac:dyDescent="0.25">
      <c r="B3" s="11" t="s">
        <v>9</v>
      </c>
      <c r="C3" s="47" t="s">
        <v>25</v>
      </c>
      <c r="D3" s="47"/>
      <c r="E3" s="11" t="s">
        <v>6</v>
      </c>
      <c r="F3" s="47" t="s">
        <v>24</v>
      </c>
      <c r="G3" s="47"/>
      <c r="H3" s="47"/>
      <c r="I3" s="47"/>
      <c r="J3" s="47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3" t="s">
        <v>0</v>
      </c>
      <c r="C5" s="44"/>
      <c r="D5" s="44"/>
      <c r="E5" s="52" t="s">
        <v>1</v>
      </c>
      <c r="F5" s="52"/>
      <c r="G5" s="52"/>
      <c r="H5" s="52"/>
      <c r="I5" s="52" t="s">
        <v>2</v>
      </c>
      <c r="J5" s="53"/>
    </row>
    <row r="6" spans="1:10" ht="24.95" customHeight="1" thickBot="1" x14ac:dyDescent="0.3">
      <c r="A6" s="9"/>
      <c r="B6" s="45"/>
      <c r="C6" s="46"/>
      <c r="D6" s="46"/>
      <c r="E6" s="10" t="s">
        <v>3</v>
      </c>
      <c r="F6" s="10" t="s">
        <v>4</v>
      </c>
      <c r="G6" s="10" t="s">
        <v>15</v>
      </c>
      <c r="H6" s="10" t="s">
        <v>16</v>
      </c>
      <c r="I6" s="54"/>
      <c r="J6" s="55"/>
    </row>
    <row r="7" spans="1:10" ht="24.95" customHeight="1" thickBot="1" x14ac:dyDescent="0.3">
      <c r="A7" s="9"/>
      <c r="B7" s="50" t="s">
        <v>13</v>
      </c>
      <c r="C7" s="51"/>
      <c r="D7" s="51"/>
      <c r="E7" s="14" t="s">
        <v>10</v>
      </c>
      <c r="F7" s="14" t="s">
        <v>11</v>
      </c>
      <c r="G7" s="14" t="s">
        <v>14</v>
      </c>
      <c r="H7" s="14" t="s">
        <v>12</v>
      </c>
      <c r="I7" s="56" t="s">
        <v>17</v>
      </c>
      <c r="J7" s="57"/>
    </row>
    <row r="8" spans="1:10" ht="30" customHeight="1" x14ac:dyDescent="0.25">
      <c r="A8" s="9"/>
      <c r="B8" s="27" t="s">
        <v>28</v>
      </c>
      <c r="C8" s="28"/>
      <c r="D8" s="28"/>
      <c r="E8" s="28"/>
      <c r="F8" s="28"/>
      <c r="G8" s="28"/>
      <c r="H8" s="28"/>
      <c r="I8" s="28"/>
      <c r="J8" s="29"/>
    </row>
    <row r="9" spans="1:10" ht="39.950000000000003" customHeight="1" x14ac:dyDescent="0.25">
      <c r="A9" s="9"/>
      <c r="B9" s="23" t="s">
        <v>44</v>
      </c>
      <c r="C9" s="24"/>
      <c r="D9" s="24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0"/>
      <c r="J9" s="31"/>
    </row>
    <row r="10" spans="1:10" ht="30" customHeight="1" x14ac:dyDescent="0.25">
      <c r="A10" s="9"/>
      <c r="B10" s="23" t="s">
        <v>45</v>
      </c>
      <c r="C10" s="24"/>
      <c r="D10" s="24"/>
      <c r="E10" s="8">
        <v>5</v>
      </c>
      <c r="F10" s="12" t="s">
        <v>26</v>
      </c>
      <c r="G10" s="16" t="str">
        <f t="shared" ref="G10:G47" si="0">IFERROR(F10/E10,"")</f>
        <v/>
      </c>
      <c r="H10" s="17" t="str">
        <f t="shared" ref="H10:H47" si="1">_xlfn.IFS(F10="أدخل العلامة","",F10="لا ينطبق","تم الإلغاء",G10&gt;=90%,"ممتاز",G10&gt;=80%,"جيد جداً",G10&gt;=70%,"جيد",G10&gt;=60%,"مقبول",G10&lt;60%,"راسب")</f>
        <v/>
      </c>
      <c r="I10" s="30"/>
      <c r="J10" s="31"/>
    </row>
    <row r="11" spans="1:10" ht="39.950000000000003" customHeight="1" x14ac:dyDescent="0.25">
      <c r="A11" s="9"/>
      <c r="B11" s="23" t="s">
        <v>46</v>
      </c>
      <c r="C11" s="24"/>
      <c r="D11" s="24"/>
      <c r="E11" s="8"/>
      <c r="F11" s="12"/>
      <c r="G11" s="16"/>
      <c r="H11" s="17"/>
      <c r="I11" s="30"/>
      <c r="J11" s="31"/>
    </row>
    <row r="12" spans="1:10" ht="30" customHeight="1" x14ac:dyDescent="0.25">
      <c r="A12" s="9"/>
      <c r="B12" s="21" t="s">
        <v>59</v>
      </c>
      <c r="C12" s="22"/>
      <c r="D12" s="22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0"/>
      <c r="J12" s="31"/>
    </row>
    <row r="13" spans="1:10" ht="30" customHeight="1" x14ac:dyDescent="0.25">
      <c r="A13" s="9"/>
      <c r="B13" s="21" t="s">
        <v>29</v>
      </c>
      <c r="C13" s="22"/>
      <c r="D13" s="22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0"/>
      <c r="J13" s="31"/>
    </row>
    <row r="14" spans="1:10" ht="30" customHeight="1" x14ac:dyDescent="0.25">
      <c r="A14" s="9"/>
      <c r="B14" s="21" t="s">
        <v>30</v>
      </c>
      <c r="C14" s="22"/>
      <c r="D14" s="22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0"/>
      <c r="J14" s="31"/>
    </row>
    <row r="15" spans="1:10" ht="30" customHeight="1" x14ac:dyDescent="0.25">
      <c r="A15" s="9"/>
      <c r="B15" s="21" t="s">
        <v>60</v>
      </c>
      <c r="C15" s="22"/>
      <c r="D15" s="22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0"/>
      <c r="J15" s="31"/>
    </row>
    <row r="16" spans="1:10" ht="30" customHeight="1" x14ac:dyDescent="0.25">
      <c r="A16" s="9"/>
      <c r="B16" s="21" t="s">
        <v>31</v>
      </c>
      <c r="C16" s="22"/>
      <c r="D16" s="22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0"/>
      <c r="J16" s="31"/>
    </row>
    <row r="17" spans="1:10" ht="30" customHeight="1" x14ac:dyDescent="0.25">
      <c r="A17" s="9"/>
      <c r="B17" s="23" t="s">
        <v>47</v>
      </c>
      <c r="C17" s="24"/>
      <c r="D17" s="24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0"/>
      <c r="J17" s="31"/>
    </row>
    <row r="18" spans="1:10" ht="30" customHeight="1" x14ac:dyDescent="0.25">
      <c r="A18" s="9"/>
      <c r="B18" s="23" t="s">
        <v>48</v>
      </c>
      <c r="C18" s="24"/>
      <c r="D18" s="24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0"/>
      <c r="J18" s="31"/>
    </row>
    <row r="19" spans="1:10" ht="30" customHeight="1" x14ac:dyDescent="0.25">
      <c r="A19" s="9"/>
      <c r="B19" s="23" t="s">
        <v>49</v>
      </c>
      <c r="C19" s="24"/>
      <c r="D19" s="24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0"/>
      <c r="J19" s="31"/>
    </row>
    <row r="20" spans="1:10" ht="39.950000000000003" customHeight="1" thickBot="1" x14ac:dyDescent="0.3">
      <c r="A20" s="9"/>
      <c r="B20" s="25" t="s">
        <v>50</v>
      </c>
      <c r="C20" s="26"/>
      <c r="D20" s="26"/>
      <c r="E20" s="18">
        <v>5</v>
      </c>
      <c r="F20" s="13" t="s">
        <v>26</v>
      </c>
      <c r="G20" s="19" t="str">
        <f t="shared" si="0"/>
        <v/>
      </c>
      <c r="H20" s="20" t="str">
        <f t="shared" si="1"/>
        <v/>
      </c>
      <c r="I20" s="58"/>
      <c r="J20" s="59"/>
    </row>
    <row r="21" spans="1:10" ht="30" customHeight="1" x14ac:dyDescent="0.25">
      <c r="A21" s="9"/>
      <c r="B21" s="27" t="s">
        <v>32</v>
      </c>
      <c r="C21" s="28"/>
      <c r="D21" s="28"/>
      <c r="E21" s="28"/>
      <c r="F21" s="28"/>
      <c r="G21" s="28"/>
      <c r="H21" s="28"/>
      <c r="I21" s="28"/>
      <c r="J21" s="29"/>
    </row>
    <row r="22" spans="1:10" ht="30" customHeight="1" x14ac:dyDescent="0.25">
      <c r="A22" s="9"/>
      <c r="B22" s="23" t="s">
        <v>51</v>
      </c>
      <c r="C22" s="24"/>
      <c r="D22" s="24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0"/>
      <c r="J22" s="31"/>
    </row>
    <row r="23" spans="1:10" ht="30" customHeight="1" x14ac:dyDescent="0.25">
      <c r="A23" s="9"/>
      <c r="B23" s="23" t="s">
        <v>52</v>
      </c>
      <c r="C23" s="24"/>
      <c r="D23" s="24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0"/>
      <c r="J23" s="31"/>
    </row>
    <row r="24" spans="1:10" ht="39.950000000000003" customHeight="1" x14ac:dyDescent="0.25">
      <c r="A24" s="9"/>
      <c r="B24" s="23" t="s">
        <v>53</v>
      </c>
      <c r="C24" s="24"/>
      <c r="D24" s="24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0"/>
      <c r="J24" s="31"/>
    </row>
    <row r="25" spans="1:10" ht="30" customHeight="1" x14ac:dyDescent="0.25">
      <c r="A25" s="9"/>
      <c r="B25" s="23" t="s">
        <v>54</v>
      </c>
      <c r="C25" s="24"/>
      <c r="D25" s="24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0"/>
      <c r="J25" s="31"/>
    </row>
    <row r="26" spans="1:10" ht="30" customHeight="1" x14ac:dyDescent="0.25">
      <c r="A26" s="9"/>
      <c r="B26" s="23" t="s">
        <v>55</v>
      </c>
      <c r="C26" s="24"/>
      <c r="D26" s="24"/>
      <c r="E26" s="8"/>
      <c r="F26" s="12"/>
      <c r="G26" s="16"/>
      <c r="H26" s="17"/>
      <c r="I26" s="30"/>
      <c r="J26" s="31"/>
    </row>
    <row r="27" spans="1:10" ht="30" customHeight="1" x14ac:dyDescent="0.25">
      <c r="A27" s="9"/>
      <c r="B27" s="21" t="s">
        <v>61</v>
      </c>
      <c r="C27" s="22"/>
      <c r="D27" s="22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0"/>
      <c r="J27" s="31"/>
    </row>
    <row r="28" spans="1:10" ht="30" customHeight="1" x14ac:dyDescent="0.25">
      <c r="A28" s="9"/>
      <c r="B28" s="21" t="s">
        <v>33</v>
      </c>
      <c r="C28" s="22"/>
      <c r="D28" s="22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0"/>
      <c r="J28" s="31"/>
    </row>
    <row r="29" spans="1:10" ht="30" customHeight="1" x14ac:dyDescent="0.25">
      <c r="A29" s="9"/>
      <c r="B29" s="21" t="s">
        <v>34</v>
      </c>
      <c r="C29" s="22"/>
      <c r="D29" s="22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0"/>
      <c r="J29" s="31"/>
    </row>
    <row r="30" spans="1:10" ht="30" customHeight="1" x14ac:dyDescent="0.25">
      <c r="A30" s="9"/>
      <c r="B30" s="21" t="s">
        <v>62</v>
      </c>
      <c r="C30" s="22"/>
      <c r="D30" s="22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0"/>
      <c r="J30" s="31"/>
    </row>
    <row r="31" spans="1:10" ht="30" customHeight="1" x14ac:dyDescent="0.25">
      <c r="A31" s="9"/>
      <c r="B31" s="21" t="s">
        <v>35</v>
      </c>
      <c r="C31" s="22"/>
      <c r="D31" s="22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0"/>
      <c r="J31" s="31"/>
    </row>
    <row r="32" spans="1:10" ht="30" customHeight="1" x14ac:dyDescent="0.25">
      <c r="A32" s="9"/>
      <c r="B32" s="21" t="s">
        <v>63</v>
      </c>
      <c r="C32" s="22"/>
      <c r="D32" s="22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0"/>
      <c r="J32" s="31"/>
    </row>
    <row r="33" spans="1:10" ht="30" customHeight="1" x14ac:dyDescent="0.25">
      <c r="A33" s="9"/>
      <c r="B33" s="21" t="s">
        <v>36</v>
      </c>
      <c r="C33" s="22"/>
      <c r="D33" s="22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0"/>
      <c r="J33" s="31"/>
    </row>
    <row r="34" spans="1:10" ht="30" customHeight="1" x14ac:dyDescent="0.25">
      <c r="A34" s="9"/>
      <c r="B34" s="23" t="s">
        <v>56</v>
      </c>
      <c r="C34" s="24"/>
      <c r="D34" s="24"/>
      <c r="E34" s="8"/>
      <c r="F34" s="12"/>
      <c r="G34" s="16"/>
      <c r="H34" s="17"/>
      <c r="I34" s="30"/>
      <c r="J34" s="31"/>
    </row>
    <row r="35" spans="1:10" ht="30" customHeight="1" x14ac:dyDescent="0.25">
      <c r="A35" s="9"/>
      <c r="B35" s="21" t="s">
        <v>64</v>
      </c>
      <c r="C35" s="22"/>
      <c r="D35" s="22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0"/>
      <c r="J35" s="31"/>
    </row>
    <row r="36" spans="1:10" ht="30" customHeight="1" x14ac:dyDescent="0.25">
      <c r="A36" s="9"/>
      <c r="B36" s="21" t="s">
        <v>37</v>
      </c>
      <c r="C36" s="22"/>
      <c r="D36" s="22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0"/>
      <c r="J36" s="31"/>
    </row>
    <row r="37" spans="1:10" ht="30" customHeight="1" x14ac:dyDescent="0.25">
      <c r="A37" s="9"/>
      <c r="B37" s="21" t="s">
        <v>38</v>
      </c>
      <c r="C37" s="22"/>
      <c r="D37" s="22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0"/>
      <c r="J37" s="31"/>
    </row>
    <row r="38" spans="1:10" ht="30" customHeight="1" x14ac:dyDescent="0.25">
      <c r="A38" s="9"/>
      <c r="B38" s="21" t="s">
        <v>65</v>
      </c>
      <c r="C38" s="22"/>
      <c r="D38" s="22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0"/>
      <c r="J38" s="31"/>
    </row>
    <row r="39" spans="1:10" ht="30" customHeight="1" x14ac:dyDescent="0.25">
      <c r="A39" s="9"/>
      <c r="B39" s="21" t="s">
        <v>39</v>
      </c>
      <c r="C39" s="22"/>
      <c r="D39" s="22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0"/>
      <c r="J39" s="31"/>
    </row>
    <row r="40" spans="1:10" ht="30" customHeight="1" x14ac:dyDescent="0.25">
      <c r="A40" s="9"/>
      <c r="B40" s="21" t="s">
        <v>66</v>
      </c>
      <c r="C40" s="22"/>
      <c r="D40" s="22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0"/>
      <c r="J40" s="31"/>
    </row>
    <row r="41" spans="1:10" ht="30" customHeight="1" x14ac:dyDescent="0.25">
      <c r="A41" s="9"/>
      <c r="B41" s="21" t="s">
        <v>40</v>
      </c>
      <c r="C41" s="22"/>
      <c r="D41" s="22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0"/>
      <c r="J41" s="31"/>
    </row>
    <row r="42" spans="1:10" ht="30" customHeight="1" x14ac:dyDescent="0.25">
      <c r="A42" s="9"/>
      <c r="B42" s="21" t="s">
        <v>41</v>
      </c>
      <c r="C42" s="22"/>
      <c r="D42" s="22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0"/>
      <c r="J42" s="31"/>
    </row>
    <row r="43" spans="1:10" ht="30" customHeight="1" x14ac:dyDescent="0.25">
      <c r="A43" s="9"/>
      <c r="B43" s="23" t="s">
        <v>57</v>
      </c>
      <c r="C43" s="24"/>
      <c r="D43" s="24"/>
      <c r="E43" s="8"/>
      <c r="F43" s="12"/>
      <c r="G43" s="16"/>
      <c r="H43" s="17"/>
      <c r="I43" s="30"/>
      <c r="J43" s="31"/>
    </row>
    <row r="44" spans="1:10" ht="30" customHeight="1" x14ac:dyDescent="0.25">
      <c r="A44" s="9"/>
      <c r="B44" s="21" t="s">
        <v>67</v>
      </c>
      <c r="C44" s="22"/>
      <c r="D44" s="22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30"/>
      <c r="J44" s="31"/>
    </row>
    <row r="45" spans="1:10" ht="39.950000000000003" customHeight="1" x14ac:dyDescent="0.25">
      <c r="A45" s="9"/>
      <c r="B45" s="21" t="s">
        <v>42</v>
      </c>
      <c r="C45" s="22"/>
      <c r="D45" s="22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0"/>
      <c r="J45" s="31"/>
    </row>
    <row r="46" spans="1:10" ht="30" customHeight="1" x14ac:dyDescent="0.25">
      <c r="A46" s="9"/>
      <c r="B46" s="23" t="s">
        <v>43</v>
      </c>
      <c r="C46" s="24"/>
      <c r="D46" s="24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0"/>
      <c r="J46" s="31"/>
    </row>
    <row r="47" spans="1:10" ht="39.950000000000003" customHeight="1" thickBot="1" x14ac:dyDescent="0.3">
      <c r="A47" s="9"/>
      <c r="B47" s="25" t="s">
        <v>58</v>
      </c>
      <c r="C47" s="26"/>
      <c r="D47" s="26"/>
      <c r="E47" s="18">
        <v>5</v>
      </c>
      <c r="F47" s="13" t="s">
        <v>26</v>
      </c>
      <c r="G47" s="19" t="str">
        <f t="shared" si="0"/>
        <v/>
      </c>
      <c r="H47" s="20" t="str">
        <f t="shared" si="1"/>
        <v/>
      </c>
      <c r="I47" s="58"/>
      <c r="J47" s="59"/>
    </row>
    <row r="48" spans="1:10" ht="30" customHeight="1" thickBot="1" x14ac:dyDescent="0.3">
      <c r="A48" s="3"/>
      <c r="B48" s="32" t="s">
        <v>5</v>
      </c>
      <c r="C48" s="33"/>
      <c r="D48" s="33"/>
      <c r="E48" s="15">
        <f>SUM(E8:E47)</f>
        <v>170</v>
      </c>
      <c r="F48" s="15">
        <f>SUM(F8:F47)</f>
        <v>0</v>
      </c>
      <c r="G48" s="62"/>
      <c r="H48" s="63"/>
      <c r="I48" s="63"/>
      <c r="J48" s="64"/>
    </row>
    <row r="49" spans="1:10" ht="30" customHeight="1" thickBot="1" x14ac:dyDescent="0.3">
      <c r="A49" s="3"/>
      <c r="B49" s="34" t="s">
        <v>20</v>
      </c>
      <c r="C49" s="35"/>
      <c r="D49" s="35"/>
      <c r="E49" s="48">
        <f>F48/E48/100*100</f>
        <v>0</v>
      </c>
      <c r="F49" s="48"/>
      <c r="G49" s="48"/>
      <c r="H49" s="48"/>
      <c r="I49" s="48"/>
      <c r="J49" s="49"/>
    </row>
    <row r="50" spans="1:10" ht="30" customHeight="1" thickBot="1" x14ac:dyDescent="0.3">
      <c r="A50" s="3"/>
      <c r="B50" s="34" t="s">
        <v>21</v>
      </c>
      <c r="C50" s="35"/>
      <c r="D50" s="35"/>
      <c r="E50" s="40" t="str">
        <f>_xlfn.IFS(E49&gt;=90%,"ممتاز",E49&gt;=80%,"جيد جداً",E49&gt;=70%,"جيد",E49&gt;=60%,"مقبول",E49&lt;60%,"راسب")</f>
        <v>راسب</v>
      </c>
      <c r="F50" s="40"/>
      <c r="G50" s="40"/>
      <c r="H50" s="40"/>
      <c r="I50" s="40"/>
      <c r="J50" s="41"/>
    </row>
    <row r="51" spans="1:10" ht="42" customHeight="1" x14ac:dyDescent="0.25">
      <c r="B51" s="36" t="s">
        <v>27</v>
      </c>
      <c r="C51" s="36"/>
      <c r="D51" s="36"/>
      <c r="E51" s="60" t="s">
        <v>18</v>
      </c>
      <c r="F51" s="60"/>
      <c r="G51" s="38" t="s">
        <v>24</v>
      </c>
      <c r="H51" s="38"/>
      <c r="I51" s="38"/>
      <c r="J51" s="38"/>
    </row>
    <row r="52" spans="1:10" ht="51" customHeight="1" x14ac:dyDescent="0.25">
      <c r="A52" s="4"/>
      <c r="B52" s="37"/>
      <c r="C52" s="37"/>
      <c r="D52" s="37"/>
      <c r="E52" s="61" t="s">
        <v>19</v>
      </c>
      <c r="F52" s="61"/>
      <c r="G52" s="39"/>
      <c r="H52" s="39"/>
      <c r="I52" s="39"/>
      <c r="J52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9">
    <mergeCell ref="I9:J9"/>
    <mergeCell ref="B7:D7"/>
    <mergeCell ref="I38:J38"/>
    <mergeCell ref="I39:J39"/>
    <mergeCell ref="I30:J30"/>
    <mergeCell ref="I31:J31"/>
    <mergeCell ref="I37:J37"/>
    <mergeCell ref="I7:J7"/>
    <mergeCell ref="I10:J10"/>
    <mergeCell ref="I19:J19"/>
    <mergeCell ref="I20:J20"/>
    <mergeCell ref="I22:J22"/>
    <mergeCell ref="I23:J23"/>
    <mergeCell ref="I24:J24"/>
    <mergeCell ref="I25:J25"/>
    <mergeCell ref="I26:J26"/>
    <mergeCell ref="I27:J27"/>
    <mergeCell ref="B1:J1"/>
    <mergeCell ref="F2:J2"/>
    <mergeCell ref="B5:D6"/>
    <mergeCell ref="C2:D2"/>
    <mergeCell ref="C3:D3"/>
    <mergeCell ref="F3:J3"/>
    <mergeCell ref="E5:H5"/>
    <mergeCell ref="I5:J6"/>
    <mergeCell ref="B51:D52"/>
    <mergeCell ref="G51:J51"/>
    <mergeCell ref="G52:J52"/>
    <mergeCell ref="E50:J50"/>
    <mergeCell ref="I40:J40"/>
    <mergeCell ref="I41:J41"/>
    <mergeCell ref="I42:J42"/>
    <mergeCell ref="I43:J43"/>
    <mergeCell ref="I44:J44"/>
    <mergeCell ref="E49:J49"/>
    <mergeCell ref="I45:J45"/>
    <mergeCell ref="I46:J46"/>
    <mergeCell ref="I47:J47"/>
    <mergeCell ref="E51:F51"/>
    <mergeCell ref="E52:F52"/>
    <mergeCell ref="G48:J48"/>
    <mergeCell ref="B50:D5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4:J34"/>
    <mergeCell ref="I35:J35"/>
    <mergeCell ref="I36:J36"/>
    <mergeCell ref="B48:D48"/>
    <mergeCell ref="B49:D49"/>
    <mergeCell ref="B14:D14"/>
    <mergeCell ref="B15:D15"/>
    <mergeCell ref="B16:D16"/>
    <mergeCell ref="I32:J32"/>
    <mergeCell ref="I33:J33"/>
    <mergeCell ref="B9:D9"/>
    <mergeCell ref="B10:D10"/>
    <mergeCell ref="B11:D11"/>
    <mergeCell ref="B12:D12"/>
    <mergeCell ref="B13:D13"/>
    <mergeCell ref="B32:D32"/>
    <mergeCell ref="B33:D33"/>
    <mergeCell ref="B34:D34"/>
    <mergeCell ref="B17:D17"/>
    <mergeCell ref="B18:D18"/>
    <mergeCell ref="B19:D19"/>
    <mergeCell ref="B20:D20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44:D44"/>
    <mergeCell ref="B45:D45"/>
    <mergeCell ref="B46:D46"/>
    <mergeCell ref="B47:D47"/>
    <mergeCell ref="B8:J8"/>
    <mergeCell ref="B21:J2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</mergeCells>
  <conditionalFormatting sqref="E50">
    <cfRule type="expression" dxfId="23" priority="57">
      <formula>$E50="راسب"</formula>
    </cfRule>
  </conditionalFormatting>
  <conditionalFormatting sqref="E50:J50">
    <cfRule type="expression" dxfId="22" priority="58">
      <formula>$E50="مقبول"</formula>
    </cfRule>
    <cfRule type="expression" dxfId="21" priority="59">
      <formula>$E50="جيد"</formula>
    </cfRule>
    <cfRule type="expression" dxfId="20" priority="60">
      <formula>$E50="جيد جداً"</formula>
    </cfRule>
    <cfRule type="expression" dxfId="19" priority="61">
      <formula>$E50="ممتاز"</formula>
    </cfRule>
  </conditionalFormatting>
  <conditionalFormatting sqref="H10:H20 H22:H47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0 H22:H47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1:J51">
    <cfRule type="containsText" dxfId="8" priority="15" operator="containsText" text="أدخل اسم المحكم">
      <formula>NOT(ISERROR(SEARCH("أدخل اسم المحكم",G51)))</formula>
    </cfRule>
  </conditionalFormatting>
  <conditionalFormatting sqref="F10:F20 F22:F47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F44:F47 F35:F42 F27:F33 F22:F25 F12:F20 F9:F10</xm:sqref>
        </x14:dataValidation>
        <x14:dataValidation type="list" allowBlank="1" showInputMessage="1" showErrorMessage="1">
          <x14:formula1>
            <xm:f>#REF!</xm:f>
          </x14:formula1>
          <xm:sqref>G51:J51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2026-08-30T05:02:08Z</dcterms:modified>
</cp:coreProperties>
</file>