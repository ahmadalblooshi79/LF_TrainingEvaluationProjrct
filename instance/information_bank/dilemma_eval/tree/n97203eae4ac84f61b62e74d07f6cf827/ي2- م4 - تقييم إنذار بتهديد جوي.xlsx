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AD688C8F-B64A-8245-B514-7957D78487D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/>
  <c r="G9" i="2"/>
  <c r="H9" i="2"/>
  <c r="G15" i="2"/>
  <c r="H15" i="2"/>
  <c r="G14" i="2"/>
  <c r="H14" i="2"/>
  <c r="G10" i="2"/>
  <c r="H10" i="2"/>
  <c r="G12" i="2"/>
  <c r="H12" i="2"/>
  <c r="G11" i="2"/>
  <c r="H11" i="2"/>
  <c r="G13" i="2"/>
  <c r="H13" i="2"/>
  <c r="G16" i="2"/>
  <c r="H16" i="2"/>
  <c r="G18" i="2"/>
  <c r="H18" i="2"/>
  <c r="G8" i="2"/>
  <c r="H8" i="2"/>
  <c r="F19" i="2"/>
  <c r="E19" i="2"/>
  <c r="E20" i="2"/>
  <c r="E21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<sst xmlns="http://schemas.openxmlformats.org/spreadsheetml/2006/main" count="247" uniqueCount="191">
  <si>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</si>
  <si>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</si>
  <si>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</si>
  <si>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</si>
  <si>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</si>
  <si>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</si>
  <si>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</si>
  <si>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</si>
  <si>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</si>
  <si>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</si>
  <si>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</si>
  <si>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</si>
  <si>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</si>
  <si>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</si>
  <si>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</si>
  <si>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</si>
  <si>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</si>
  <si>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</si>
  <si>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</si>
  <si>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</si>
  <si>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</si>
  <si>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</si>
  <si>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</si>
  <si>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</si>
  <si>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</si>
  <si>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</si>
  <si>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</si>
  <si>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</si>
  <si>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</si>
  <si>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</si>
  <si>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</si>
  <si>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</si>
  <si>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</si>
  <si>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</si>
  <si>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</si>
  <si>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</si>
  <si>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</si>
  <si>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</si>
  <si>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</si>
  <si>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</si>
  <si>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</si>
  <si>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</si>
  <si>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</si>
  <si>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</si>
  <si>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</si>
  <si>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</si>
  <si>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</si>
  <si>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</si>
  <si>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</si>
  <si>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</si>
  <si>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</si>
  <si>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</si>
  <si>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</si>
  <si>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</si>
  <si>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</si>
  <si>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</si>
  <si>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</si>
  <si>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</si>
  <si>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</si>
  <si>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</si>
  <si>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</si>
  <si>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</si>
  <si>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</si>
  <si>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</si>
  <si>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</si>
  <si>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</si>
  <si>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</si>
  <si>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</si>
  <si>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</si>
  <si>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</si>
  <si>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</si>
  <si>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</si>
  <si>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</si>
  <si>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</si>
  <si>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</si>
  <si>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</si>
  <si>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</si>
  <si>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</si>
  <si>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</si>
  <si>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</si>
  <si>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</si>
  <si>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</si>
  <si>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</si>
  <si>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</si>
  <si>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</si>
  <si>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</si>
  <si>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</si>
  <si>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</si>
  <si>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</si>
  <si>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</si>
  <si>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</si>
  <si>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</si>
  <si>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</si>
  <si>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</si>
  <si>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</si>
  <si>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</si>
  <si>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</si>
  <si>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</si>
  <si>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</si>
  <si>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</si>
  <si>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</si>
  <si>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</si>
  <si>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</si>
  <si>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</si>
  <si>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</si>
  <si>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</si>
  <si>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</si>
  <si>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</si>
  <si>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</si>
  <si>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</si>
  <si>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</si>
  <si>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</si>
  <si>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</si>
  <si>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</si>
  <si>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</si>
  <si>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</si>
  <si>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</si>
  <si>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</si>
  <si>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</si>
  <si>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</si>
  <si>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</si>
  <si>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</si>
  <si>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</si>
  <si>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</si>
  <si>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</si>
  <si>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</si>
  <si>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</si>
  <si>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</si>
  <si>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</si>
  <si>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</si>
  <si>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</si>
  <si>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</si>
  <si>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</si>
  <si>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</si>
  <si>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</si>
  <si>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</si>
  <si>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</si>
  <si>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</si>
  <si>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</si>
  <si>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</si>
  <si>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</si>
  <si>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</si>
  <si>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</si>
  <si>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</si>
  <si>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</si>
  <si>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</si>
  <si>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</si>
  <si>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</si>
  <si>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</si>
  <si>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</si>
  <si>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</si>
  <si>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</si>
  <si>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</si>
  <si>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</si>
  <si>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</si>
  <si>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</si>
  <si>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</si>
  <si>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</si>
  <si>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</si>
  <si>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</si>
  <si>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</si>
  <si>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</si>
  <si>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</si>
  <si>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</si>
  <si>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</si>
  <si>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</si>
  <si>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</si>
  <si>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</si>
  <si>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</si>
  <si>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</si>
  <si>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</si>
  <si>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</si>
  <si>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</si>
  <si>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</si>
  <si>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</si>
  <si>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</si>
  <si>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</si>
  <si>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</si>
  <si>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4.</t>
    </r>
    <r>
      <rPr>
        <sz val="14"/>
        <color rgb="FF000000"/>
        <rFont val="Times New Roman"/>
        <family val="1"/>
      </rPr>
      <t>     تنفيذ إجراءات الانتشار والدفاع الجوي السلبي</t>
    </r>
    <r>
      <rPr>
        <sz val="14"/>
        <color rgb="FF000000"/>
        <rFont val="Arial"/>
        <family val="2"/>
      </rPr>
      <t>.</t>
    </r>
  </si>
  <si>
    <r>
      <t>5.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</si>
  <si>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2.    استخدام الكلمة الرمزية للإشارة إلى التهديد الجوي المعادي (تُكرر الكلمة الرمزية ثلاث مرات).</t>
  </si>
  <si>
    <t>11.    إذا نجح التهديد الجوي في إصابة إحدى الوحدات الصديقة، تُصدر الوحدة المتأثرة بالهجوم إنذار حسب إجراءات الإنذار المحددة مسبقاً.</t>
  </si>
  <si>
    <t>3.    إصدار الإنذار على شبكات القيادة والعمليات والاستخبارات والإدارة والإمداد ويحدد الإنذار اتجاه التهديد المعادي.</t>
  </si>
  <si>
    <t>7.    تمرير الأهداف الى وحدات الدفاع الجوي المجاورة.</t>
  </si>
  <si>
    <t>8.    تمرير بيانات الأهداف إلى وحدات الدفاع الجوي الأمامية (الكتف).</t>
  </si>
  <si>
    <t>9.    تغيير وضعية أسلحة الدفاع الجوي إذا تواجدت طائرات صديقة في منطقة العمليات، ويتخذ القائد هذا القرار حسب طبيعة الموقف.</t>
  </si>
  <si>
    <t>10.    التعامل مع أخطر وأقرب هدف والذي يشكل خطورة على مجموعة اللواء.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</si>
  <si>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</si>
  <si>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1.    انذار الجميع بالتهديد الجوي المعادي وذلك على اللاسلكي وحسب إجراءات الإنذار المحددة مسبقاً.</t>
  </si>
  <si>
    <t>6.    التنسيق مع القائد لحماية الأهداف ذات الأولوية.</t>
  </si>
  <si>
    <r>
      <rPr>
        <b/>
        <sz val="14"/>
        <color rgb="FF000000"/>
        <rFont val="Arial"/>
        <family val="2"/>
      </rPr>
      <t>اليوم/2 - تقييم معضلة/4 - رد الفعل على الإنذار بتهديد جوي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</si>
</sst>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15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339297</xdr:colOff>
      <xdr:row>22</xdr:row>
      <xdr:rowOff>36308</xdr:rowOff>
    </xdr:from>
    <xdr:to>
      <xdr:col>8</xdr:col>
      <xdr:colOff>203916</xdr:colOff>
      <xdr:row>22</xdr:row>
      <xdr:rowOff>506468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6ABB726-03AB-CCD9-97E5-666A0EC7E6D6}"/>
                </a:ext>
              </a:extLst>
            </xdr14:cNvPr>
            <xdr14:cNvContentPartPr/>
          </xdr14:nvContentPartPr>
          <xdr14:nvPr macro=""/>
          <xdr14:xfrm>
            <a:off x="10399040993" y="10346400"/>
            <a:ext cx="1180800" cy="4701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6ABB726-03AB-CCD9-97E5-666A0EC7E6D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31993" y="10337400"/>
              <a:ext cx="1198440" cy="48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472137</xdr:colOff>
      <xdr:row>22</xdr:row>
      <xdr:rowOff>538148</xdr:rowOff>
    </xdr:from>
    <xdr:to>
      <xdr:col>6</xdr:col>
      <xdr:colOff>485457</xdr:colOff>
      <xdr:row>22</xdr:row>
      <xdr:rowOff>544988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C26E628-87FF-0B8A-3E81-6AC46D3EE644}"/>
                </a:ext>
              </a:extLst>
            </xdr14:cNvPr>
            <xdr14:cNvContentPartPr/>
          </xdr14:nvContentPartPr>
          <xdr14:nvPr macro=""/>
          <xdr14:xfrm>
            <a:off x="10400075633" y="10848240"/>
            <a:ext cx="13320" cy="68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C26E628-87FF-0B8A-3E81-6AC46D3EE64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066993" y="10839600"/>
              <a:ext cx="30960" cy="24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50:31.3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3178 316 15339,'0'0'0,"-3"-27"1768,3 27-1768,0-23 344,-4-2-96,1 8-80,3 15-80,0 2-88,-2-1 0,-1-1 0,3 2-40,0 0-80,0 0 120,0 0-200,3 0-24,-1 12 40,5 1 40,-7-13 144,12 18-8,1 8 0,-1 6-16,0 8 48,-12-40-24,12 44-40,0 3 16,-8 1 88,11 1-56,-15-49-8,2 44 32,1-3 32,1-7-64,-1-4 64,-3-30-64,0 23 56,0-6 64,0-6 64,-5-7 80,5-4-264,-12 5 320,0-2 0,-2-3-39,-8 0-73,22 0-208,-22-5 168,-2-7-56,-5-1 32,3 0-56,26 13-88,-34-16 24,1-1-16,4 2-56,-5 0 88,34 15-40,-29-12 24,-2 7 24,4-6-24,-4 10-48,31 1 24,-36-2-24,-2 2-16,-8 0-16,0 13 8,46-13 48,-53 11-56,-7 5-48,0 1 24,-7 0 32,67-17 48,-65 17-56,-5 2 32,0-4 32,0 2-40,70-17 32,-74 16 48,-1 0 48,-2-1-64,-7 2-16,84-17-16,-86 17-48,-8 2 8,0 1 88,-2 0 40,96-20-88,-96 19 88,-1 3 24,4-2-16,1-3-24,92-17-72,-89 17 112,0-4 0,0-2-24,3 2 0,86-13-88,-82 4 112,5 15-72,2-5 8,5 0 0,70-14-48,-62 16 0,4-1 32,-2 1-48,5 2 56,55-18-40,-53 19 0,10 1 0,4 1 32,5-2 8,34-19-40,-26 15 88,7-1-32,2-2-56,14-8-64,3-4 64,0 4-128,3 9 16,14-10 8,0 1 32,-17-4 72,28 4-40,11-4 40,14 0 24,12-5 0,-65 5-24,79-22 40,10-2 0,10-8 8,11-7-32,-110 39-16,111-45-32,7-5 8,0-7-48,0-4 80,-118 61-8,117-67 0,1-1 32,3 0 64,-8 1-208,-113 67 112,110-67 40,-9 2-80,-9 4-24,-11 1 152,-81 60-88,68-58 24,-3 2 0,-10 2-96,-7 4 160,-48 50-88,36-47 112,-4 5 128,-13 5-24,-5 4 104,-14 33-320,3-27 352,1 7 88,-4 6 136,-2 10-152,2 4-424,-5-3 368,0 1-224,-7 2 9,8 0-193,4 0 40,-17 12-56,2 3-1,1 13-79,-5 4 48,19-32 88,-15 41-136,3 6 64,10 5 128,-10 4-80,12-56 24,0 61-16,0 2-24,2 2-184,10-1 192,-12-64 32,12 62-24,0-6-56,5-4 160,2-11-120,-19-41 40,15 35-16,-1-5 16,1-3-40,1-1 80,-16-26-40,10 23-48,-8-4 48,10-2 48,-9-2-8,-3-15-40,7 15 16,3 0-32,-5-1 8,7 3-48,-12-17 56,0 15 24,16 1 16,-11 0-152,7 1-208,-12-17 320,12 20-472,-9 0-200,16 1-64,-7 2-112,-12-23 848,14 25-1273,1 2-687,-1-1-1145,18-9-752,-32-17 3857,21 24-6569,-21-24 6569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50:31.7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 14 21388,'0'0'0,"0"0"0,-7-4 3569,2-1-3345,-7 2-56,12 2-152,0 1-16,-3 0-72,1 0-248,0 0-296,2 0-353,0 0 969,0 3-1320,0 1-304,-3 0-633,1 1-1607,2-5 3864,0 2-9194,0-2 9194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D14" zoomScale="130" zoomScaleNormal="100" zoomScaleSheetLayoutView="130" workbookViewId="0">
      <selection activeCell="G23" sqref="G23:J23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9.054687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3" t="s">
        <v>190</v>
      </c>
      <c r="C1" s="53"/>
      <c r="D1" s="53"/>
      <c r="E1" s="53"/>
      <c r="F1" s="53"/>
      <c r="G1" s="53"/>
      <c r="H1" s="53"/>
      <c r="I1" s="53"/>
      <c r="J1" s="53"/>
    </row>
    <row r="2" spans="1:10" ht="30" customHeight="1">
      <c r="B2" s="11" t="s">
        <v>8</v>
      </c>
      <c r="C2" s="59" t="s">
        <v>37</v>
      </c>
      <c r="D2" s="59"/>
      <c r="E2" s="11" t="s">
        <v>7</v>
      </c>
      <c r="F2" s="54">
        <v>45913</v>
      </c>
      <c r="G2" s="54"/>
      <c r="H2" s="54"/>
      <c r="I2" s="54"/>
      <c r="J2" s="54"/>
    </row>
    <row r="3" spans="1:10" ht="30" customHeight="1">
      <c r="B3" s="11" t="s">
        <v>9</v>
      </c>
      <c r="C3" s="59" t="s">
        <v>78</v>
      </c>
      <c r="D3" s="59"/>
      <c r="E3" s="11" t="s">
        <v>6</v>
      </c>
      <c r="F3" s="59" t="s">
        <v>134</v>
      </c>
      <c r="G3" s="59"/>
      <c r="H3" s="59"/>
      <c r="I3" s="59"/>
      <c r="J3" s="59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55" t="s">
        <v>0</v>
      </c>
      <c r="C5" s="56"/>
      <c r="D5" s="56"/>
      <c r="E5" s="60" t="s">
        <v>1</v>
      </c>
      <c r="F5" s="60"/>
      <c r="G5" s="60"/>
      <c r="H5" s="60"/>
      <c r="I5" s="60" t="s">
        <v>2</v>
      </c>
      <c r="J5" s="61"/>
    </row>
    <row r="6" spans="1:10" ht="24.95" customHeight="1" thickBot="1">
      <c r="A6" s="9"/>
      <c r="B6" s="57"/>
      <c r="C6" s="58"/>
      <c r="D6" s="58"/>
      <c r="E6" s="10" t="s">
        <v>3</v>
      </c>
      <c r="F6" s="10" t="s">
        <v>4</v>
      </c>
      <c r="G6" s="10" t="s">
        <v>23</v>
      </c>
      <c r="H6" s="10" t="s">
        <v>24</v>
      </c>
      <c r="I6" s="62"/>
      <c r="J6" s="63"/>
    </row>
    <row r="7" spans="1:10" ht="24.95" customHeight="1">
      <c r="A7" s="9"/>
      <c r="B7" s="64" t="s">
        <v>21</v>
      </c>
      <c r="C7" s="65"/>
      <c r="D7" s="65"/>
      <c r="E7" s="30" t="s">
        <v>18</v>
      </c>
      <c r="F7" s="30" t="s">
        <v>19</v>
      </c>
      <c r="G7" s="30" t="s">
        <v>22</v>
      </c>
      <c r="H7" s="30" t="s">
        <v>20</v>
      </c>
      <c r="I7" s="66" t="s">
        <v>25</v>
      </c>
      <c r="J7" s="67"/>
    </row>
    <row r="8" spans="1:10" ht="60" customHeight="1">
      <c r="A8" s="9"/>
      <c r="B8" s="49" t="s">
        <v>188</v>
      </c>
      <c r="C8" s="49"/>
      <c r="D8" s="49"/>
      <c r="E8" s="32">
        <v>3</v>
      </c>
      <c r="F8" s="25">
        <v>2.25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4"/>
      <c r="J8" s="44"/>
    </row>
    <row r="9" spans="1:10" ht="39.950000000000003" customHeight="1">
      <c r="A9" s="9"/>
      <c r="B9" s="49" t="s">
        <v>180</v>
      </c>
      <c r="C9" s="49"/>
      <c r="D9" s="49"/>
      <c r="E9" s="32">
        <v>3</v>
      </c>
      <c r="F9" s="35">
        <v>2</v>
      </c>
      <c r="G9" s="33">
        <f t="shared" ref="G9" si="0">IFERROR(F9/E9,"")</f>
        <v>0.66666666666666663</v>
      </c>
      <c r="H9" s="34" t="str">
        <f t="shared" ref="H9" si="1">_xlfn.IFS(F9="أدخل العلامة","",F9="لا ينطبق","تم الإلغاء",G9&gt;=90%,"ممتاز",G9&gt;=80%,"جيد جداً",G9&gt;=70%,"جيد",G9&gt;=60%,"مقبول",G9&lt;60%,"راسب")</f>
        <v>مقبول</v>
      </c>
      <c r="I9" s="44"/>
      <c r="J9" s="44"/>
    </row>
    <row r="10" spans="1:10" ht="39.950000000000003" customHeight="1">
      <c r="A10" s="9"/>
      <c r="B10" s="49" t="s">
        <v>182</v>
      </c>
      <c r="C10" s="50"/>
      <c r="D10" s="50"/>
      <c r="E10" s="32">
        <v>3</v>
      </c>
      <c r="F10" s="35">
        <v>2</v>
      </c>
      <c r="G10" s="33">
        <f t="shared" ref="G10" si="2">IFERROR(F10/E10,"")</f>
        <v>0.66666666666666663</v>
      </c>
      <c r="H10" s="34" t="str">
        <f t="shared" ref="H10" si="3">_xlfn.IFS(F10="أدخل العلامة","",F10="لا ينطبق","تم الإلغاء",G10&gt;=90%,"ممتاز",G10&gt;=80%,"جيد جداً",G10&gt;=70%,"جيد",G10&gt;=60%,"مقبول",G10&lt;60%,"راسب")</f>
        <v>مقبول</v>
      </c>
      <c r="I10" s="44"/>
      <c r="J10" s="44"/>
    </row>
    <row r="11" spans="1:10" ht="30" customHeight="1">
      <c r="A11" s="9"/>
      <c r="B11" s="49" t="s">
        <v>178</v>
      </c>
      <c r="C11" s="49"/>
      <c r="D11" s="49"/>
      <c r="E11" s="32">
        <v>3</v>
      </c>
      <c r="F11" s="35">
        <v>2</v>
      </c>
      <c r="G11" s="33">
        <f>IFERROR(F11/E11,"")</f>
        <v>0.66666666666666663</v>
      </c>
      <c r="H11" s="34" t="str">
        <f>_xlfn.IFS(F11="أدخل العلامة","",F11="لا ينطبق","تم الإلغاء",G11&gt;=90%,"ممتاز",G11&gt;=80%,"جيد جداً",G11&gt;=70%,"جيد",G11&gt;=60%,"مقبول",G11&lt;60%,"راسب")</f>
        <v>مقبول</v>
      </c>
      <c r="I11" s="44"/>
      <c r="J11" s="44"/>
    </row>
    <row r="12" spans="1:10" ht="30" customHeight="1">
      <c r="A12" s="9"/>
      <c r="B12" s="49" t="s">
        <v>179</v>
      </c>
      <c r="C12" s="49"/>
      <c r="D12" s="49"/>
      <c r="E12" s="32">
        <v>3</v>
      </c>
      <c r="F12" s="35">
        <v>2</v>
      </c>
      <c r="G12" s="33">
        <f>IFERROR(F12/E12,"")</f>
        <v>0.66666666666666663</v>
      </c>
      <c r="H12" s="34" t="str">
        <f>_xlfn.IFS(F12="أدخل العلامة","",F12="لا ينطبق","تم الإلغاء",G12&gt;=90%,"ممتاز",G12&gt;=80%,"جيد جداً",G12&gt;=70%,"جيد",G12&gt;=60%,"مقبول",G12&lt;60%,"راسب")</f>
        <v>مقبول</v>
      </c>
      <c r="I12" s="44"/>
      <c r="J12" s="44"/>
    </row>
    <row r="13" spans="1:10" ht="39.950000000000003" customHeight="1">
      <c r="A13" s="9"/>
      <c r="B13" s="49" t="s">
        <v>189</v>
      </c>
      <c r="C13" s="49"/>
      <c r="D13" s="49"/>
      <c r="E13" s="32">
        <v>3</v>
      </c>
      <c r="F13" s="35">
        <v>2</v>
      </c>
      <c r="G13" s="33">
        <f t="shared" ref="G13:G18" si="4">IFERROR(F13/E13,"")</f>
        <v>0.66666666666666663</v>
      </c>
      <c r="H13" s="34" t="str">
        <f t="shared" ref="H13:H18" si="5">_xlfn.IFS(F13="أدخل العلامة","",F13="لا ينطبق","تم الإلغاء",G13&gt;=90%,"ممتاز",G13&gt;=80%,"جيد جداً",G13&gt;=70%,"جيد",G13&gt;=60%,"مقبول",G13&lt;60%,"راسب")</f>
        <v>مقبول</v>
      </c>
      <c r="I13" s="44"/>
      <c r="J13" s="44"/>
    </row>
    <row r="14" spans="1:10" ht="30" customHeight="1">
      <c r="A14" s="9"/>
      <c r="B14" s="49" t="s">
        <v>183</v>
      </c>
      <c r="C14" s="49"/>
      <c r="D14" s="49"/>
      <c r="E14" s="32">
        <v>3</v>
      </c>
      <c r="F14" s="25">
        <v>2</v>
      </c>
      <c r="G14" s="33">
        <f t="shared" ref="G14" si="6">IFERROR(F14/E14,"")</f>
        <v>0.66666666666666663</v>
      </c>
      <c r="H14" s="34" t="str">
        <f t="shared" ref="H14" si="7">_xlfn.IFS(F14="أدخل العلامة","",F14="لا ينطبق","تم الإلغاء",G14&gt;=90%,"ممتاز",G14&gt;=80%,"جيد جداً",G14&gt;=70%,"جيد",G14&gt;=60%,"مقبول",G14&lt;60%,"راسب")</f>
        <v>مقبول</v>
      </c>
      <c r="I14" s="44"/>
      <c r="J14" s="44"/>
    </row>
    <row r="15" spans="1:10" ht="39.950000000000003" customHeight="1">
      <c r="A15" s="9"/>
      <c r="B15" s="49" t="s">
        <v>184</v>
      </c>
      <c r="C15" s="49"/>
      <c r="D15" s="49"/>
      <c r="E15" s="32">
        <v>3</v>
      </c>
      <c r="F15" s="25">
        <v>2.25</v>
      </c>
      <c r="G15" s="33">
        <f t="shared" ref="G15" si="8">IFERROR(F15/E15,"")</f>
        <v>0.75</v>
      </c>
      <c r="H15" s="34" t="str">
        <f t="shared" ref="H15" si="9">_xlfn.IFS(F15="أدخل العلامة","",F15="لا ينطبق","تم الإلغاء",G15&gt;=90%,"ممتاز",G15&gt;=80%,"جيد جداً",G15&gt;=70%,"جيد",G15&gt;=60%,"مقبول",G15&lt;60%,"راسب")</f>
        <v>جيد</v>
      </c>
      <c r="I15" s="44"/>
      <c r="J15" s="44"/>
    </row>
    <row r="16" spans="1:10" ht="60" customHeight="1">
      <c r="A16" s="9"/>
      <c r="B16" s="77" t="s">
        <v>185</v>
      </c>
      <c r="C16" s="78"/>
      <c r="D16" s="79"/>
      <c r="E16" s="32">
        <v>3</v>
      </c>
      <c r="F16" s="25">
        <v>2.25</v>
      </c>
      <c r="G16" s="33">
        <f t="shared" si="4"/>
        <v>0.75</v>
      </c>
      <c r="H16" s="34" t="str">
        <f t="shared" si="5"/>
        <v>جيد</v>
      </c>
      <c r="I16" s="44"/>
      <c r="J16" s="44"/>
    </row>
    <row r="17" spans="1:10" ht="39.950000000000003" customHeight="1">
      <c r="A17" s="9"/>
      <c r="B17" s="49" t="s">
        <v>186</v>
      </c>
      <c r="C17" s="50"/>
      <c r="D17" s="50"/>
      <c r="E17" s="32">
        <v>3</v>
      </c>
      <c r="F17" s="29">
        <v>2.25</v>
      </c>
      <c r="G17" s="33">
        <f>IFERROR(F17/E17,"")</f>
        <v>0.75</v>
      </c>
      <c r="H17" s="34" t="str">
        <f>_xlfn.IFS(F17="أدخل العلامة","",F17="لا ينطبق","تم الإلغاء",G17&gt;=90%,"ممتاز",G17&gt;=80%,"جيد جداً",G17&gt;=70%,"جيد",G17&gt;=60%,"مقبول",G17&lt;60%,"راسب")</f>
        <v>جيد</v>
      </c>
      <c r="I17" s="44"/>
      <c r="J17" s="44"/>
    </row>
    <row r="18" spans="1:10" ht="60" customHeight="1">
      <c r="A18" s="9"/>
      <c r="B18" s="49" t="s">
        <v>181</v>
      </c>
      <c r="C18" s="49"/>
      <c r="D18" s="49"/>
      <c r="E18" s="32">
        <v>3</v>
      </c>
      <c r="F18" s="25">
        <v>2.25</v>
      </c>
      <c r="G18" s="33">
        <f t="shared" si="4"/>
        <v>0.75</v>
      </c>
      <c r="H18" s="34" t="str">
        <f t="shared" si="5"/>
        <v>جيد</v>
      </c>
      <c r="I18" s="44"/>
      <c r="J18" s="44"/>
    </row>
    <row r="19" spans="1:10" ht="30" customHeight="1" thickBot="1">
      <c r="A19" s="4"/>
      <c r="B19" s="45" t="s">
        <v>5</v>
      </c>
      <c r="C19" s="46"/>
      <c r="D19" s="46"/>
      <c r="E19" s="31">
        <f>SUM(E8:E18)</f>
        <v>33</v>
      </c>
      <c r="F19" s="31">
        <f>SUM(F8:F18)</f>
        <v>23.25</v>
      </c>
      <c r="G19" s="72"/>
      <c r="H19" s="73"/>
      <c r="I19" s="73"/>
      <c r="J19" s="74"/>
    </row>
    <row r="20" spans="1:10" ht="30" customHeight="1" thickBot="1">
      <c r="A20" s="4"/>
      <c r="B20" s="47" t="s">
        <v>54</v>
      </c>
      <c r="C20" s="48"/>
      <c r="D20" s="48"/>
      <c r="E20" s="75">
        <f>F19/E19/100*100</f>
        <v>0.70454545454545459</v>
      </c>
      <c r="F20" s="75"/>
      <c r="G20" s="75"/>
      <c r="H20" s="75"/>
      <c r="I20" s="75"/>
      <c r="J20" s="76"/>
    </row>
    <row r="21" spans="1:10" ht="30" customHeight="1" thickBot="1">
      <c r="A21" s="4"/>
      <c r="B21" s="47" t="s">
        <v>55</v>
      </c>
      <c r="C21" s="48"/>
      <c r="D21" s="48"/>
      <c r="E21" s="36" t="str">
        <f>_xlfn.IFS(E20&gt;=90%,"ممتاز",E20&gt;=80%,"جيد جداً",E20&gt;=70%,"جيد",E20&gt;=60%,"مقبول",E20&lt;60%,"راسب")</f>
        <v>جيد</v>
      </c>
      <c r="F21" s="36"/>
      <c r="G21" s="36"/>
      <c r="H21" s="36"/>
      <c r="I21" s="36"/>
      <c r="J21" s="37"/>
    </row>
    <row r="22" spans="1:10" ht="42" customHeight="1">
      <c r="B22" s="68" t="s">
        <v>187</v>
      </c>
      <c r="C22" s="68"/>
      <c r="D22" s="68"/>
      <c r="E22" s="51" t="s">
        <v>52</v>
      </c>
      <c r="F22" s="51"/>
      <c r="G22" s="70" t="s">
        <v>134</v>
      </c>
      <c r="H22" s="70"/>
      <c r="I22" s="70"/>
      <c r="J22" s="70"/>
    </row>
    <row r="23" spans="1:10" ht="51" customHeight="1">
      <c r="A23" s="5"/>
      <c r="B23" s="69"/>
      <c r="C23" s="69"/>
      <c r="D23" s="69"/>
      <c r="E23" s="52" t="s">
        <v>53</v>
      </c>
      <c r="F23" s="52"/>
      <c r="G23" s="71"/>
      <c r="H23" s="71"/>
      <c r="I23" s="71"/>
      <c r="J23" s="71"/>
    </row>
    <row r="24" spans="1:10">
      <c r="A24" s="26">
        <v>3</v>
      </c>
      <c r="B24" s="38" t="s">
        <v>175</v>
      </c>
      <c r="C24" s="39"/>
    </row>
    <row r="25" spans="1:10">
      <c r="A25" s="27">
        <v>2</v>
      </c>
      <c r="B25" s="40" t="s">
        <v>176</v>
      </c>
      <c r="C25" s="41"/>
    </row>
    <row r="26" spans="1:10">
      <c r="A26" s="28">
        <v>1</v>
      </c>
      <c r="B26" s="42" t="s">
        <v>177</v>
      </c>
      <c r="C26" s="43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B22:D23"/>
    <mergeCell ref="G22:J22"/>
    <mergeCell ref="G23:J23"/>
    <mergeCell ref="B15:D15"/>
    <mergeCell ref="B9:D9"/>
    <mergeCell ref="I9:J9"/>
    <mergeCell ref="I11:J11"/>
    <mergeCell ref="B12:D12"/>
    <mergeCell ref="I12:J12"/>
    <mergeCell ref="B10:D10"/>
    <mergeCell ref="I10:J10"/>
    <mergeCell ref="B14:D14"/>
    <mergeCell ref="G19:J19"/>
    <mergeCell ref="E20:J20"/>
    <mergeCell ref="B16:D16"/>
    <mergeCell ref="B18:D18"/>
    <mergeCell ref="B7:D7"/>
    <mergeCell ref="I7:J7"/>
    <mergeCell ref="I13:J13"/>
    <mergeCell ref="B8:D8"/>
    <mergeCell ref="B13:D13"/>
    <mergeCell ref="B11:D11"/>
    <mergeCell ref="B1:J1"/>
    <mergeCell ref="F2:J2"/>
    <mergeCell ref="B5:D6"/>
    <mergeCell ref="C2:D2"/>
    <mergeCell ref="C3:D3"/>
    <mergeCell ref="F3:J3"/>
    <mergeCell ref="E5:H5"/>
    <mergeCell ref="I5:J6"/>
    <mergeCell ref="E21:J21"/>
    <mergeCell ref="B24:C24"/>
    <mergeCell ref="B25:C25"/>
    <mergeCell ref="B26:C26"/>
    <mergeCell ref="I8:J8"/>
    <mergeCell ref="B19:D19"/>
    <mergeCell ref="B20:D20"/>
    <mergeCell ref="B21:D21"/>
    <mergeCell ref="I16:J16"/>
    <mergeCell ref="I18:J18"/>
    <mergeCell ref="I14:J14"/>
    <mergeCell ref="I15:J15"/>
    <mergeCell ref="B17:D17"/>
    <mergeCell ref="I17:J17"/>
    <mergeCell ref="E22:F22"/>
    <mergeCell ref="E23:F23"/>
  </mergeCells>
  <conditionalFormatting sqref="C2:D2">
    <cfRule type="containsText" dxfId="16" priority="6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6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106">
      <formula>$E21="راسب"</formula>
    </cfRule>
  </conditionalFormatting>
  <conditionalFormatting sqref="E21:J21">
    <cfRule type="expression" dxfId="13" priority="110">
      <formula>$E21="ممتاز"</formula>
    </cfRule>
    <cfRule type="expression" dxfId="12" priority="109">
      <formula>$E21="جيد جداً"</formula>
    </cfRule>
    <cfRule type="expression" dxfId="11" priority="108">
      <formula>$E21="جيد"</formula>
    </cfRule>
    <cfRule type="expression" dxfId="10" priority="107">
      <formula>$E21="مقبول"</formula>
    </cfRule>
  </conditionalFormatting>
  <conditionalFormatting sqref="F8:F18">
    <cfRule type="containsText" dxfId="9" priority="7" operator="containsText" text="أدخل العلامة">
      <formula>NOT(ISERROR(SEARCH("أدخل العلامة",F8)))</formula>
    </cfRule>
  </conditionalFormatting>
  <conditionalFormatting sqref="F2:J2">
    <cfRule type="containsText" dxfId="8" priority="68" operator="containsText" text="أدخل التاريخ">
      <formula>NOT(ISERROR(SEARCH("أدخل التاريخ",F2)))</formula>
    </cfRule>
  </conditionalFormatting>
  <conditionalFormatting sqref="F3:J3">
    <cfRule type="containsText" dxfId="7" priority="65" operator="containsText" text="أدخل أسم المحكم">
      <formula>NOT(ISERROR(SEARCH("أدخل أسم المحكم",F3)))</formula>
    </cfRule>
  </conditionalFormatting>
  <conditionalFormatting sqref="G22:J22">
    <cfRule type="containsText" dxfId="6" priority="64" operator="containsText" text="أدخل اسم المحكم">
      <formula>NOT(ISERROR(SEARCH("أدخل اسم المحكم",G22)))</formula>
    </cfRule>
  </conditionalFormatting>
  <conditionalFormatting sqref="H8:H18">
    <cfRule type="containsText" dxfId="5" priority="1" operator="containsText" text="أدخل العلامة">
      <formula>NOT(ISERROR(SEARCH("أدخل العلامة",H8)))</formula>
    </cfRule>
    <cfRule type="containsText" dxfId="4" priority="6" operator="containsText" text="راسب">
      <formula>NOT(ISERROR(SEARCH("راسب",H8)))</formula>
    </cfRule>
    <cfRule type="containsText" dxfId="3" priority="2" operator="containsText" text="ممتاز">
      <formula>NOT(ISERROR(SEARCH("ممتاز",H8)))</formula>
    </cfRule>
    <cfRule type="containsText" dxfId="2" priority="3" operator="containsText" text="جيد جداً">
      <formula>NOT(ISERROR(SEARCH("جيد جداً",H8)))</formula>
    </cfRule>
    <cfRule type="containsText" dxfId="1" priority="4" operator="containsText" text="جيد">
      <formula>NOT(ISERROR(SEARCH("جيد",H8)))</formula>
    </cfRule>
    <cfRule type="containsText" dxfId="0" priority="5" operator="containsText" text="مقبول">
      <formula>NOT(ISERROR(SEARCH("مقبول",H8)))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G22:J22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4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4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4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4" t="s">
        <v>152</v>
      </c>
    </row>
    <row r="264" spans="1:1" ht="20.100000000000001" customHeight="1">
      <c r="A264" s="24" t="s">
        <v>153</v>
      </c>
    </row>
    <row r="265" spans="1:1" ht="20.100000000000001" customHeight="1">
      <c r="A265" s="24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4" t="s">
        <v>159</v>
      </c>
    </row>
    <row r="271" spans="1:1" ht="20.100000000000001" customHeight="1">
      <c r="A271" s="24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4" t="s">
        <v>162</v>
      </c>
    </row>
    <row r="274" spans="1:1" ht="20.100000000000001" customHeight="1">
      <c r="A274" s="24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4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4" t="s">
        <v>171</v>
      </c>
    </row>
    <row r="283" spans="1:1" ht="20.100000000000001" customHeight="1">
      <c r="A283" s="24" t="s">
        <v>172</v>
      </c>
    </row>
    <row r="284" spans="1:1" ht="20.100000000000001" customHeight="1">
      <c r="A284" s="24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2025-10-09T10:02:48Z</dcterms:modified>
</cp:coreProperties>
</file>