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872FAEB-B3DC-44BB-AAC4-938AF05B20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F52" i="2"/>
  <c r="E52" i="2"/>
  <c r="E53" i="2"/>
  <c r="E54" i="2"/>
</calcChain>
</file>

<file path=xl/sharedStrings.xml><?xml version="1.0" encoding="utf-8"?>
<sst xmlns="http://schemas.openxmlformats.org/spreadsheetml/2006/main" count="277" uniqueCount="221">
  <si>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</si>
  <si>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</si>
  <si>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</si>
  <si>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</si>
  <si>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</si>
  <si>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</si>
  <si>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</si>
  <si>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</si>
  <si>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</si>
  <si>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</si>
  <si>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</si>
  <si>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</si>
  <si>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</si>
  <si>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</si>
  <si>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</si>
  <si>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</si>
  <si>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</si>
  <si>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</si>
  <si>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</si>
  <si>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</si>
  <si>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</si>
  <si>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</si>
  <si>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</si>
  <si>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</si>
  <si>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</si>
  <si>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</si>
  <si>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</si>
  <si>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</si>
  <si>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</si>
  <si>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</si>
  <si>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</si>
  <si>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</si>
  <si>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</si>
  <si>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</si>
  <si>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</si>
  <si>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</si>
  <si>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</si>
  <si>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</si>
  <si>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</si>
  <si>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</si>
  <si>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</si>
  <si>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</si>
  <si>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</si>
  <si>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</si>
  <si>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</si>
  <si>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</si>
  <si>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</si>
  <si>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</si>
  <si>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</si>
  <si>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</si>
  <si>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</si>
  <si>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</si>
  <si>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</si>
  <si>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</si>
  <si>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</si>
  <si>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</si>
  <si>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</si>
  <si>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</si>
  <si>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</si>
  <si>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</si>
  <si>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</si>
  <si>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</si>
  <si>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</si>
  <si>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</si>
  <si>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</si>
  <si>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</si>
  <si>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</si>
  <si>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</si>
  <si>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</si>
  <si>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</si>
  <si>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</si>
  <si>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</si>
  <si>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</si>
  <si>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</si>
  <si>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</si>
  <si>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</si>
  <si>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</si>
  <si>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</si>
  <si>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</si>
  <si>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</si>
  <si>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</si>
  <si>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</si>
  <si>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</si>
  <si>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</si>
  <si>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</si>
  <si>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</si>
  <si>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</si>
  <si>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</si>
  <si>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</si>
  <si>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</si>
  <si>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</si>
  <si>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</si>
  <si>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</si>
  <si>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</si>
  <si>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</si>
  <si>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</si>
  <si>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</si>
  <si>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</si>
  <si>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</si>
  <si>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</si>
  <si>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</si>
  <si>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</si>
  <si>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</si>
  <si>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</si>
  <si>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</si>
  <si>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</si>
  <si>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</si>
  <si>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</si>
  <si>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</si>
  <si>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</si>
  <si>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</si>
  <si>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</si>
  <si>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</si>
  <si>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</si>
  <si>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</si>
  <si>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</si>
  <si>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</si>
  <si>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</si>
  <si>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</si>
  <si>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</si>
  <si>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</si>
  <si>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</si>
  <si>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</si>
  <si>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</si>
  <si>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</si>
  <si>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</si>
  <si>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</si>
  <si>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</si>
  <si>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</si>
  <si>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</si>
  <si>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</si>
  <si>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</si>
  <si>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</si>
  <si>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</si>
  <si>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</si>
  <si>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</si>
  <si>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</si>
  <si>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</si>
  <si>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</si>
  <si>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</si>
  <si>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</si>
  <si>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</si>
  <si>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</si>
  <si>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</si>
  <si>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</si>
  <si>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</si>
  <si>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</si>
  <si>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</si>
  <si>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</si>
  <si>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</si>
  <si>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</si>
  <si>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</si>
  <si>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</si>
  <si>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</si>
  <si>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</si>
  <si>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</si>
  <si>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</si>
  <si>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</si>
  <si>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</si>
  <si>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</si>
  <si>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</si>
  <si>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</si>
  <si>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</si>
  <si>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</si>
  <si>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</si>
  <si>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</si>
  <si>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</si>
  <si>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</si>
  <si>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</si>
  <si>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</si>
  <si>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</si>
  <si>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</si>
  <si>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</si>
  <si>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</si>
  <si>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</si>
  <si>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</si>
  <si>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</si>
  <si>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يعمل قائد سرية الاستطلاع على فهم الموقف باستخدام معدات الاتصال المتوفرة، والخرائط.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</si>
  <si>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يستلم قائد السرية أمر العمليات من مجموعة اللواء ويتم القيام بما يلي.</t>
    </r>
  </si>
  <si>
    <t>أ. البدء بإجراءات التخطيط من خلال إجراءات المعركة الثمانية.</t>
  </si>
  <si>
    <t xml:space="preserve"> تنفيذ الاستطلاع من الخارطة وتحديد ما يلي بشكل أولي.</t>
  </si>
  <si>
    <t>جـ.    تحديد منطقة التجمع المحددة من المستوى الأعلى.</t>
  </si>
  <si>
    <t>د.     تحديد طرق الحركة لمنطقة التجمع.</t>
  </si>
  <si>
    <t>هـ.    تحديد المقتربات وممرات الحركة من منطقة التجمع وحتى منطقة التشكيل وخط البدء.</t>
  </si>
  <si>
    <t>و.    دمج وتوحيد متطلبات الاستخبارات وخطة الاستطلاع.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</si>
  <si>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إصدار أمر العمليات للفصائل، وتقديم ايجازات للتأكد من أنهم يفهمون قصد القائد ومفهوم عملياته.</t>
    </r>
  </si>
  <si>
    <t>إجراءات 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</si>
  <si>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تقوم سرية الاستطلاع بالتحضير والاستعداد للمهمة من خلال:</t>
    </r>
  </si>
  <si>
    <t>أ. تنقيح الخطة بناءً على الاستخبارات المحدثة باستمرار.</t>
  </si>
  <si>
    <t>ب. تنفيذ الاستطلاع الواسع من أجل:</t>
  </si>
  <si>
    <t>(1)     تحديد حجم وتأليف وتوزيعات قوة العدو في منطقة الأهداف.</t>
  </si>
  <si>
    <t>(2)    تحديد موقع ونوع وعمق وتأليف الموانع والممرات حول الموانع.</t>
  </si>
  <si>
    <t>(3)   تحديد طرق الهجوم المعاكس أو التعزيزات المعادية.</t>
  </si>
  <si>
    <t>(4)   تحديد نوع التحصينات المعادية وجهد القدرة على البقاء.</t>
  </si>
  <si>
    <t>(5)    تحديد مناطق اشتباك العدو.</t>
  </si>
  <si>
    <t>(6)    تحديد نقاط ضعف العدو.</t>
  </si>
  <si>
    <t>(7)    تحديد الفجوات في دفاع العدو.</t>
  </si>
  <si>
    <t>(8)    تحديد الأجنحة المكشوفة أو الضعيفة للعدو.</t>
  </si>
  <si>
    <t>(9)    تحديد المقتربات غير المراقبة أو المدافع عنها والتي تؤدي إلى أجنحة أو مؤخرة العدو.</t>
  </si>
  <si>
    <t>(10)   تحديد الطرق التي تتوفر فيها التخفية والتستر التي تسمح للقوات الصديقة بالاقتراب من دفاعات العدو.</t>
  </si>
  <si>
    <t>(11)   تحديد الموانع أو التحصينات الضعيفة في دفاع العدو خاصة على طول الأجنحة.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</si>
  <si>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تنفيذ تفتيشات وتفقدات ما قبل القتال.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</si>
  <si>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الإشراف على الفصائل لضمان أن التخطيط والتحضير يجري بطريقة صحيحة وتتفق مع قصد القائد.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</si>
  <si>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توضيع القوات للحركة.</t>
    </r>
  </si>
  <si>
    <r>
      <t>إجراءات التنفيذ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تنفذ سرية الاستطلاع الهجوم وتقوم بالإجراءات التالية: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</si>
  <si>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الحركة من منطقة التجمع إلى منطقة التشكيل وخط البدء، بأسلوب الحركة والتشكيلة المناسبين.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</si>
  <si>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تأمين خط البدء بالمعلومات.  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</si>
  <si>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نتائج القصف التمهيدي ودرجـة تأثيره على القوة البشريـة وأسلحـة ومعدات ودفاعات العدو (تحديد خسائر العدو).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</si>
  <si>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متابعة الانتقالات والأماكن الجديدة لمواقع أسلحة التدمير الشامل لعدو.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</si>
  <si>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متابعة انتقالات مدفعية العدو وهاوناته والأسلحة المضادة للدبابات.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</si>
  <si>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نقاط المقاومة للعدو والتي مازالت تعرقل تقدم قواتنا.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</si>
  <si>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تحديد طبيعة نشاط العدو الجوي.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</si>
  <si>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تقدم احتياطات العدو وخطوط البدء لتوجيه الهجمات المعاكسة ومتابعتها.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</si>
  <si>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اكتشاف إعادة تجميع العدو لقواته.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</si>
  <si>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انتقالات مراكز القيادة والسيطرة ووسائله الإلكترونية.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</si>
  <si>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درجة التجهيز الهندسي لخطوط العدو الدفاعية في العمق ومدى احتلالها بالقوات.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</si>
  <si>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طبيعة الأرض وطبيعة الموانع (ألغام – أسلاك – مناطق مدمرة) في اتجاهات تقدم القوات ومدى توفر مصادر المياه.</t>
    </r>
  </si>
  <si>
    <r>
      <t>13.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متابعة الموقف الكيميائي في قطاع هجوم قواتنا.</t>
    </r>
  </si>
  <si>
    <r>
      <t>14.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اكتشاف ظهور أسلحة جديدة للعدو أو اتباعه أساليب قتال جديدة.</t>
    </r>
  </si>
  <si>
    <r>
      <t>15.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تحديد توقيت بدء انسحاب العدو واتجاهه ومتابعته.</t>
    </r>
  </si>
  <si>
    <r>
      <rPr>
        <b/>
        <sz val="14"/>
        <color rgb="FF000000"/>
        <rFont val="Arial"/>
        <family val="2"/>
      </rPr>
      <t>تقييم سرية الاستطلاع في إسناد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</si>
</sst>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Calibri Light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2" fillId="0" borderId="21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172922</xdr:colOff>
      <xdr:row>54</xdr:row>
      <xdr:rowOff>511440</xdr:rowOff>
    </xdr:from>
    <xdr:to>
      <xdr:col>8</xdr:col>
      <xdr:colOff>554140</xdr:colOff>
      <xdr:row>56</xdr:row>
      <xdr:rowOff>15196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C100E3D-C75B-A98C-CA46-92C1483DC0B8}"/>
                </a:ext>
              </a:extLst>
            </xdr14:cNvPr>
            <xdr14:cNvContentPartPr/>
          </xdr14:nvContentPartPr>
          <xdr14:nvPr macro=""/>
          <xdr14:xfrm>
            <a:off x="10436497516" y="22838040"/>
            <a:ext cx="1697400" cy="688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C100E3D-C75B-A98C-CA46-92C1483DC0B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488516" y="22829040"/>
              <a:ext cx="1715040" cy="705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6:06:33.4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4213 773,'0'0,"0"0,0 0,0 0,0 0,0 0,0 0,0 0,0 0,0 0,0 0,0 0,0 0,-18-19,16 16,-15 6,-21-23,34 18,-29-15,-5 17,34 0,-48-19,-5 19,47 0,-55-19,8 38,48-16,-19-6,-10 3,34 0,-29 19,-5-19,31 0,-5 19,12 1,0-17,19 13,-16-15,13 17,40-18,-46 0,37 19,28-19,-63 0,51 0,31-19,-79 17,64 4,16-21,-82 16,49-13,13-4,-63 17,32-13,13-3,-48 16,19 6,-9-22,-17 16,33 6,-16-3,-19 0,-19 0,17 0,-14 19,-22 19,34-32,-48 27,-23 5,63-32,-70 65,7-13,63-49,-71 39,8 10,63-49,-52 39,9-9,45-33,-37 26,-10 7,48-33,-19-12,-10 25,31-16,-23 13,-8 4,34-18,-29 15,-6-17,33 0,-43 19,-8 0,47-16,-18 13,-28 4,46-17,-37 13,-9 3,47-16,-19 13,-29 4,47-17,-17 13,-11-16,31 0,-43 19,13-19,30 0,-24 0,-6 0,32 0,-29-19,16-20,16 33,-15-26,-1-45,15 65,6-72,-3-51,0 113,37-128,1-4,-31 129,23-104,8 14,-31 96,23-78,8-18,-31 95,24-57,-13 39,-15 32,14-7,1-7,-16 18,-4-15,2 8,19-1,-38 10,16 0,-12 19,-5 20,18-33,-52 45,-40 65,78-97,-62 58,-16 39,80-98,-66 79,-52 18,111-96,-52 78,-21-1,80-81,-47 27,23-4,31-31,-43 25,32-32,16 0,-33 19,-22 0,47-16,-18-6,-28 23,46-17,-37-6,-28 22,63-16,-51 13,-12-16,63 0,-52 19,-29 1,79-17,-66 32,-14-16,79-16,-45 14,-16 2,65-16,-34 13,6 3,33-16,-25 13,-7-16,31 0,-23-19,-8 0,31 16,-5-32,12-23,0 48,0-38,19-48,-16 81,32-66,22-53,-48 112,57-91,9-2,-63 96,32-39,-6 0,-31 49,43-59,-13 30,-30 31,5-6,26-6,-31 16,4-13,8-3,-16 16,12-14,-15-2,0 16,0 25,-18-2,16-17,4 13,-39 22,30-31,-80 102,-27 6,96-96,-57 116,-76 19,125-129,-80 142,-63 6,141-145,-56 78,-30 10,96-97,-76 58,19 0,63-65,-33 15,-12 11,48-32,-19 27,-29 5,47-32,-17 27,8-14,17-16,-15 13,17 3,0-16,19-6,0 3,-17 0,52 0,40-19,-78 16,118-52,36-22,-144 65,155-72,63-31,-204 95,165-114,40-20,-208 130,132-106,38-23,-174 128,85-104,14-25,-112 129,72-65,-17-7,-63 81,33-64,-8 3,-29 64,4-12,6-33,-16 48,15-19,1-28,-15 47,-6 1,-15-11,16 17,-15 6,-1 17,15-17,-14 13,-20 41,30-47,-24 38,-6 10,30-48,-24 95,-6 11,30-97,-43 116,-7 57,48-163,-38 114,9 11,31-129,-4 85,-8 5,16-96,6 78,-3-20,0-65,0 111,19-8,-17-96,14 58,-16-77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6"/>
  <sheetViews>
    <sheetView rightToLeft="1" tabSelected="1" view="pageBreakPreview" topLeftCell="B49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220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3" t="s">
        <v>8</v>
      </c>
      <c r="C2" s="60" t="s">
        <v>10</v>
      </c>
      <c r="D2" s="60"/>
      <c r="E2" s="13" t="s">
        <v>7</v>
      </c>
      <c r="F2" s="55">
        <v>45957</v>
      </c>
      <c r="G2" s="55"/>
      <c r="H2" s="55"/>
      <c r="I2" s="55"/>
      <c r="J2" s="55"/>
    </row>
    <row r="3" spans="1:10" ht="30" customHeight="1" x14ac:dyDescent="0.3">
      <c r="B3" s="13" t="s">
        <v>9</v>
      </c>
      <c r="C3" s="60" t="s">
        <v>65</v>
      </c>
      <c r="D3" s="60"/>
      <c r="E3" s="13" t="s">
        <v>6</v>
      </c>
      <c r="F3" s="60" t="s">
        <v>114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11"/>
      <c r="B6" s="58"/>
      <c r="C6" s="59"/>
      <c r="D6" s="59"/>
      <c r="E6" s="12" t="s">
        <v>3</v>
      </c>
      <c r="F6" s="12" t="s">
        <v>4</v>
      </c>
      <c r="G6" s="12" t="s">
        <v>23</v>
      </c>
      <c r="H6" s="12" t="s">
        <v>24</v>
      </c>
      <c r="I6" s="67"/>
      <c r="J6" s="68"/>
    </row>
    <row r="7" spans="1:10" ht="24.9" customHeight="1" thickBot="1" x14ac:dyDescent="0.35">
      <c r="A7" s="11"/>
      <c r="B7" s="63" t="s">
        <v>21</v>
      </c>
      <c r="C7" s="64"/>
      <c r="D7" s="64"/>
      <c r="E7" s="29" t="s">
        <v>18</v>
      </c>
      <c r="F7" s="29" t="s">
        <v>19</v>
      </c>
      <c r="G7" s="29" t="s">
        <v>22</v>
      </c>
      <c r="H7" s="29" t="s">
        <v>20</v>
      </c>
      <c r="I7" s="69" t="s">
        <v>25</v>
      </c>
      <c r="J7" s="70"/>
    </row>
    <row r="8" spans="1:10" ht="30" customHeight="1" x14ac:dyDescent="0.3">
      <c r="A8" s="11"/>
      <c r="B8" s="78" t="s">
        <v>176</v>
      </c>
      <c r="C8" s="79"/>
      <c r="D8" s="79"/>
      <c r="E8" s="33"/>
      <c r="F8" s="34"/>
      <c r="G8" s="35"/>
      <c r="H8" s="36"/>
      <c r="I8" s="71"/>
      <c r="J8" s="72"/>
    </row>
    <row r="9" spans="1:10" ht="39.9" customHeight="1" x14ac:dyDescent="0.3">
      <c r="A9" s="11"/>
      <c r="B9" s="52" t="s">
        <v>177</v>
      </c>
      <c r="C9" s="53"/>
      <c r="D9" s="53"/>
      <c r="E9" s="9">
        <v>5</v>
      </c>
      <c r="F9" s="27">
        <v>3.5</v>
      </c>
      <c r="G9" s="31">
        <f>IFERROR(F9/E9,"")</f>
        <v>0.7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0" customHeight="1" x14ac:dyDescent="0.3">
      <c r="A10" s="11"/>
      <c r="B10" s="52" t="s">
        <v>178</v>
      </c>
      <c r="C10" s="53"/>
      <c r="D10" s="53"/>
      <c r="E10" s="30"/>
      <c r="F10" s="27"/>
      <c r="G10" s="31"/>
      <c r="H10" s="32"/>
      <c r="I10" s="40"/>
      <c r="J10" s="41"/>
    </row>
    <row r="11" spans="1:10" ht="30" customHeight="1" x14ac:dyDescent="0.3">
      <c r="A11" s="11"/>
      <c r="B11" s="80" t="s">
        <v>179</v>
      </c>
      <c r="C11" s="81"/>
      <c r="D11" s="81"/>
      <c r="E11" s="9">
        <v>5</v>
      </c>
      <c r="F11" s="27">
        <v>3.5</v>
      </c>
      <c r="G11" s="31">
        <f t="shared" ref="G11:G51" si="0">IFERROR(F11/E11,"")</f>
        <v>0.7</v>
      </c>
      <c r="H11" s="32" t="str">
        <f t="shared" ref="H11:H51" si="1"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1"/>
    </row>
    <row r="12" spans="1:10" ht="30" customHeight="1" x14ac:dyDescent="0.3">
      <c r="A12" s="11"/>
      <c r="B12" s="80" t="s">
        <v>180</v>
      </c>
      <c r="C12" s="81"/>
      <c r="D12" s="81"/>
      <c r="E12" s="9">
        <v>5</v>
      </c>
      <c r="F12" s="27">
        <v>4.25</v>
      </c>
      <c r="G12" s="31">
        <f t="shared" si="0"/>
        <v>0.85</v>
      </c>
      <c r="H12" s="32" t="str">
        <f t="shared" si="1"/>
        <v>جيد جداً</v>
      </c>
      <c r="I12" s="40"/>
      <c r="J12" s="41"/>
    </row>
    <row r="13" spans="1:10" ht="30" customHeight="1" x14ac:dyDescent="0.3">
      <c r="A13" s="11"/>
      <c r="B13" s="80" t="s">
        <v>181</v>
      </c>
      <c r="C13" s="81"/>
      <c r="D13" s="81"/>
      <c r="E13" s="9">
        <v>5</v>
      </c>
      <c r="F13" s="27">
        <v>4.25</v>
      </c>
      <c r="G13" s="31">
        <f t="shared" si="0"/>
        <v>0.85</v>
      </c>
      <c r="H13" s="32" t="str">
        <f t="shared" si="1"/>
        <v>جيد جداً</v>
      </c>
      <c r="I13" s="40"/>
      <c r="J13" s="41"/>
    </row>
    <row r="14" spans="1:10" ht="30" customHeight="1" x14ac:dyDescent="0.3">
      <c r="A14" s="11"/>
      <c r="B14" s="80" t="s">
        <v>182</v>
      </c>
      <c r="C14" s="81"/>
      <c r="D14" s="81"/>
      <c r="E14" s="9">
        <v>5</v>
      </c>
      <c r="F14" s="27">
        <v>4.25</v>
      </c>
      <c r="G14" s="31">
        <f t="shared" si="0"/>
        <v>0.85</v>
      </c>
      <c r="H14" s="32" t="str">
        <f t="shared" si="1"/>
        <v>جيد جداً</v>
      </c>
      <c r="I14" s="40"/>
      <c r="J14" s="41"/>
    </row>
    <row r="15" spans="1:10" ht="39.9" customHeight="1" x14ac:dyDescent="0.3">
      <c r="A15" s="11"/>
      <c r="B15" s="80" t="s">
        <v>183</v>
      </c>
      <c r="C15" s="81"/>
      <c r="D15" s="81"/>
      <c r="E15" s="9">
        <v>5</v>
      </c>
      <c r="F15" s="27">
        <v>3.5</v>
      </c>
      <c r="G15" s="31">
        <f t="shared" si="0"/>
        <v>0.7</v>
      </c>
      <c r="H15" s="32" t="str">
        <f t="shared" si="1"/>
        <v>جيد</v>
      </c>
      <c r="I15" s="40"/>
      <c r="J15" s="41"/>
    </row>
    <row r="16" spans="1:10" ht="30" customHeight="1" x14ac:dyDescent="0.3">
      <c r="A16" s="11"/>
      <c r="B16" s="80" t="s">
        <v>184</v>
      </c>
      <c r="C16" s="81"/>
      <c r="D16" s="81"/>
      <c r="E16" s="9">
        <v>5</v>
      </c>
      <c r="F16" s="27">
        <v>3.5</v>
      </c>
      <c r="G16" s="31">
        <f t="shared" si="0"/>
        <v>0.7</v>
      </c>
      <c r="H16" s="32" t="str">
        <f t="shared" si="1"/>
        <v>جيد</v>
      </c>
      <c r="I16" s="40"/>
      <c r="J16" s="41"/>
    </row>
    <row r="17" spans="1:10" ht="39.9" customHeight="1" thickBot="1" x14ac:dyDescent="0.35">
      <c r="A17" s="11"/>
      <c r="B17" s="82" t="s">
        <v>185</v>
      </c>
      <c r="C17" s="83"/>
      <c r="D17" s="83"/>
      <c r="E17" s="37">
        <v>5</v>
      </c>
      <c r="F17" s="28">
        <v>3.75</v>
      </c>
      <c r="G17" s="38">
        <f t="shared" si="0"/>
        <v>0.75</v>
      </c>
      <c r="H17" s="39" t="str">
        <f t="shared" si="1"/>
        <v>جيد</v>
      </c>
      <c r="I17" s="48"/>
      <c r="J17" s="49"/>
    </row>
    <row r="18" spans="1:10" ht="30" customHeight="1" x14ac:dyDescent="0.3">
      <c r="A18" s="11"/>
      <c r="B18" s="78" t="s">
        <v>186</v>
      </c>
      <c r="C18" s="79"/>
      <c r="D18" s="79"/>
      <c r="E18" s="33"/>
      <c r="F18" s="34"/>
      <c r="G18" s="35"/>
      <c r="H18" s="36"/>
      <c r="I18" s="71"/>
      <c r="J18" s="72"/>
    </row>
    <row r="19" spans="1:10" ht="30" customHeight="1" x14ac:dyDescent="0.3">
      <c r="A19" s="11"/>
      <c r="B19" s="84" t="s">
        <v>187</v>
      </c>
      <c r="C19" s="85"/>
      <c r="D19" s="85"/>
      <c r="E19" s="9"/>
      <c r="F19" s="27"/>
      <c r="G19" s="31"/>
      <c r="H19" s="32"/>
      <c r="I19" s="40"/>
      <c r="J19" s="41"/>
    </row>
    <row r="20" spans="1:10" ht="30" customHeight="1" x14ac:dyDescent="0.3">
      <c r="A20" s="11"/>
      <c r="B20" s="80" t="s">
        <v>188</v>
      </c>
      <c r="C20" s="81"/>
      <c r="D20" s="81"/>
      <c r="E20" s="9">
        <v>5</v>
      </c>
      <c r="F20" s="27">
        <v>3.5</v>
      </c>
      <c r="G20" s="31">
        <f t="shared" si="0"/>
        <v>0.7</v>
      </c>
      <c r="H20" s="32" t="str">
        <f t="shared" si="1"/>
        <v>جيد</v>
      </c>
      <c r="I20" s="40"/>
      <c r="J20" s="41"/>
    </row>
    <row r="21" spans="1:10" ht="30" customHeight="1" x14ac:dyDescent="0.3">
      <c r="A21" s="11"/>
      <c r="B21" s="80" t="s">
        <v>189</v>
      </c>
      <c r="C21" s="81"/>
      <c r="D21" s="81"/>
      <c r="E21" s="30"/>
      <c r="F21" s="27"/>
      <c r="G21" s="31"/>
      <c r="H21" s="32"/>
      <c r="I21" s="40"/>
      <c r="J21" s="41"/>
    </row>
    <row r="22" spans="1:10" ht="39.9" customHeight="1" x14ac:dyDescent="0.3">
      <c r="A22" s="11"/>
      <c r="B22" s="86" t="s">
        <v>190</v>
      </c>
      <c r="C22" s="87"/>
      <c r="D22" s="87"/>
      <c r="E22" s="9">
        <v>5</v>
      </c>
      <c r="F22" s="27">
        <v>3.75</v>
      </c>
      <c r="G22" s="31">
        <f t="shared" si="0"/>
        <v>0.75</v>
      </c>
      <c r="H22" s="32" t="str">
        <f t="shared" si="1"/>
        <v>جيد</v>
      </c>
      <c r="I22" s="40"/>
      <c r="J22" s="41"/>
    </row>
    <row r="23" spans="1:10" ht="39.9" customHeight="1" x14ac:dyDescent="0.3">
      <c r="A23" s="11"/>
      <c r="B23" s="86" t="s">
        <v>191</v>
      </c>
      <c r="C23" s="87"/>
      <c r="D23" s="87"/>
      <c r="E23" s="9">
        <v>5</v>
      </c>
      <c r="F23" s="27">
        <v>3.75</v>
      </c>
      <c r="G23" s="31">
        <f t="shared" si="0"/>
        <v>0.75</v>
      </c>
      <c r="H23" s="32" t="str">
        <f t="shared" si="1"/>
        <v>جيد</v>
      </c>
      <c r="I23" s="40"/>
      <c r="J23" s="41"/>
    </row>
    <row r="24" spans="1:10" ht="30" customHeight="1" x14ac:dyDescent="0.3">
      <c r="A24" s="11"/>
      <c r="B24" s="86" t="s">
        <v>192</v>
      </c>
      <c r="C24" s="87"/>
      <c r="D24" s="87"/>
      <c r="E24" s="9">
        <v>5</v>
      </c>
      <c r="F24" s="27">
        <v>3.75</v>
      </c>
      <c r="G24" s="31">
        <f t="shared" si="0"/>
        <v>0.75</v>
      </c>
      <c r="H24" s="32" t="str">
        <f t="shared" si="1"/>
        <v>جيد</v>
      </c>
      <c r="I24" s="40"/>
      <c r="J24" s="41"/>
    </row>
    <row r="25" spans="1:10" ht="30" customHeight="1" x14ac:dyDescent="0.3">
      <c r="A25" s="11"/>
      <c r="B25" s="86" t="s">
        <v>193</v>
      </c>
      <c r="C25" s="87"/>
      <c r="D25" s="87"/>
      <c r="E25" s="9">
        <v>5</v>
      </c>
      <c r="F25" s="27">
        <v>3.75</v>
      </c>
      <c r="G25" s="31">
        <f t="shared" si="0"/>
        <v>0.75</v>
      </c>
      <c r="H25" s="32" t="str">
        <f t="shared" si="1"/>
        <v>جيد</v>
      </c>
      <c r="I25" s="40"/>
      <c r="J25" s="41"/>
    </row>
    <row r="26" spans="1:10" ht="30" customHeight="1" x14ac:dyDescent="0.3">
      <c r="A26" s="11"/>
      <c r="B26" s="86" t="s">
        <v>194</v>
      </c>
      <c r="C26" s="87"/>
      <c r="D26" s="87"/>
      <c r="E26" s="9">
        <v>5</v>
      </c>
      <c r="F26" s="27">
        <v>4.25</v>
      </c>
      <c r="G26" s="31">
        <f t="shared" si="0"/>
        <v>0.85</v>
      </c>
      <c r="H26" s="32" t="str">
        <f t="shared" si="1"/>
        <v>جيد جداً</v>
      </c>
      <c r="I26" s="40"/>
      <c r="J26" s="41"/>
    </row>
    <row r="27" spans="1:10" ht="30" customHeight="1" x14ac:dyDescent="0.3">
      <c r="A27" s="11"/>
      <c r="B27" s="86" t="s">
        <v>195</v>
      </c>
      <c r="C27" s="87"/>
      <c r="D27" s="87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40"/>
      <c r="J27" s="41"/>
    </row>
    <row r="28" spans="1:10" ht="30" customHeight="1" x14ac:dyDescent="0.3">
      <c r="A28" s="11"/>
      <c r="B28" s="86" t="s">
        <v>196</v>
      </c>
      <c r="C28" s="87"/>
      <c r="D28" s="87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40"/>
      <c r="J28" s="41"/>
    </row>
    <row r="29" spans="1:10" ht="30" customHeight="1" x14ac:dyDescent="0.3">
      <c r="A29" s="11"/>
      <c r="B29" s="86" t="s">
        <v>197</v>
      </c>
      <c r="C29" s="87"/>
      <c r="D29" s="87"/>
      <c r="E29" s="9">
        <v>5</v>
      </c>
      <c r="F29" s="27">
        <v>3.75</v>
      </c>
      <c r="G29" s="31">
        <f t="shared" si="0"/>
        <v>0.75</v>
      </c>
      <c r="H29" s="32" t="str">
        <f t="shared" si="1"/>
        <v>جيد</v>
      </c>
      <c r="I29" s="40"/>
      <c r="J29" s="41"/>
    </row>
    <row r="30" spans="1:10" ht="39.9" customHeight="1" x14ac:dyDescent="0.3">
      <c r="A30" s="11"/>
      <c r="B30" s="86" t="s">
        <v>198</v>
      </c>
      <c r="C30" s="87"/>
      <c r="D30" s="87"/>
      <c r="E30" s="9">
        <v>5</v>
      </c>
      <c r="F30" s="27">
        <v>3.75</v>
      </c>
      <c r="G30" s="31">
        <f t="shared" si="0"/>
        <v>0.75</v>
      </c>
      <c r="H30" s="32" t="str">
        <f t="shared" si="1"/>
        <v>جيد</v>
      </c>
      <c r="I30" s="40"/>
      <c r="J30" s="41"/>
    </row>
    <row r="31" spans="1:10" ht="39.9" customHeight="1" x14ac:dyDescent="0.3">
      <c r="A31" s="11"/>
      <c r="B31" s="86" t="s">
        <v>199</v>
      </c>
      <c r="C31" s="87"/>
      <c r="D31" s="87"/>
      <c r="E31" s="9">
        <v>5</v>
      </c>
      <c r="F31" s="27">
        <v>4.25</v>
      </c>
      <c r="G31" s="31">
        <f t="shared" si="0"/>
        <v>0.85</v>
      </c>
      <c r="H31" s="32" t="str">
        <f t="shared" si="1"/>
        <v>جيد جداً</v>
      </c>
      <c r="I31" s="40"/>
      <c r="J31" s="41"/>
    </row>
    <row r="32" spans="1:10" ht="39.9" customHeight="1" x14ac:dyDescent="0.3">
      <c r="A32" s="11"/>
      <c r="B32" s="86" t="s">
        <v>200</v>
      </c>
      <c r="C32" s="87"/>
      <c r="D32" s="87"/>
      <c r="E32" s="9">
        <v>5</v>
      </c>
      <c r="F32" s="27">
        <v>3.75</v>
      </c>
      <c r="G32" s="31">
        <f t="shared" si="0"/>
        <v>0.75</v>
      </c>
      <c r="H32" s="32" t="str">
        <f t="shared" si="1"/>
        <v>جيد</v>
      </c>
      <c r="I32" s="40"/>
      <c r="J32" s="41"/>
    </row>
    <row r="33" spans="1:10" ht="30" customHeight="1" x14ac:dyDescent="0.3">
      <c r="A33" s="11"/>
      <c r="B33" s="52" t="s">
        <v>201</v>
      </c>
      <c r="C33" s="53"/>
      <c r="D33" s="53"/>
      <c r="E33" s="9">
        <v>5</v>
      </c>
      <c r="F33" s="27">
        <v>3.75</v>
      </c>
      <c r="G33" s="31">
        <f t="shared" si="0"/>
        <v>0.75</v>
      </c>
      <c r="H33" s="32" t="str">
        <f t="shared" si="1"/>
        <v>جيد</v>
      </c>
      <c r="I33" s="40"/>
      <c r="J33" s="41"/>
    </row>
    <row r="34" spans="1:10" ht="39.9" customHeight="1" x14ac:dyDescent="0.3">
      <c r="A34" s="11"/>
      <c r="B34" s="52" t="s">
        <v>202</v>
      </c>
      <c r="C34" s="53"/>
      <c r="D34" s="53"/>
      <c r="E34" s="9">
        <v>5</v>
      </c>
      <c r="F34" s="27">
        <v>3.5</v>
      </c>
      <c r="G34" s="31">
        <f t="shared" si="0"/>
        <v>0.7</v>
      </c>
      <c r="H34" s="32" t="str">
        <f t="shared" si="1"/>
        <v>جيد</v>
      </c>
      <c r="I34" s="40"/>
      <c r="J34" s="41"/>
    </row>
    <row r="35" spans="1:10" ht="30" customHeight="1" thickBot="1" x14ac:dyDescent="0.35">
      <c r="A35" s="11"/>
      <c r="B35" s="82" t="s">
        <v>203</v>
      </c>
      <c r="C35" s="83"/>
      <c r="D35" s="83"/>
      <c r="E35" s="37">
        <v>5</v>
      </c>
      <c r="F35" s="28">
        <v>3.75</v>
      </c>
      <c r="G35" s="38">
        <f t="shared" si="0"/>
        <v>0.75</v>
      </c>
      <c r="H35" s="39" t="str">
        <f t="shared" si="1"/>
        <v>جيد</v>
      </c>
      <c r="I35" s="48"/>
      <c r="J35" s="49"/>
    </row>
    <row r="36" spans="1:10" ht="30" customHeight="1" x14ac:dyDescent="0.3">
      <c r="A36" s="11"/>
      <c r="B36" s="78" t="s">
        <v>204</v>
      </c>
      <c r="C36" s="79"/>
      <c r="D36" s="79"/>
      <c r="E36" s="33"/>
      <c r="F36" s="34"/>
      <c r="G36" s="35"/>
      <c r="H36" s="36"/>
      <c r="I36" s="71"/>
      <c r="J36" s="72"/>
    </row>
    <row r="37" spans="1:10" ht="39.9" customHeight="1" x14ac:dyDescent="0.3">
      <c r="A37" s="11"/>
      <c r="B37" s="52" t="s">
        <v>205</v>
      </c>
      <c r="C37" s="53"/>
      <c r="D37" s="53"/>
      <c r="E37" s="9">
        <v>5</v>
      </c>
      <c r="F37" s="27">
        <v>3.5</v>
      </c>
      <c r="G37" s="31">
        <f t="shared" si="0"/>
        <v>0.7</v>
      </c>
      <c r="H37" s="32" t="str">
        <f t="shared" si="1"/>
        <v>جيد</v>
      </c>
      <c r="I37" s="40"/>
      <c r="J37" s="41"/>
    </row>
    <row r="38" spans="1:10" ht="30" customHeight="1" x14ac:dyDescent="0.3">
      <c r="A38" s="11"/>
      <c r="B38" s="52" t="s">
        <v>206</v>
      </c>
      <c r="C38" s="53"/>
      <c r="D38" s="53"/>
      <c r="E38" s="9">
        <v>5</v>
      </c>
      <c r="F38" s="27">
        <v>3.75</v>
      </c>
      <c r="G38" s="31">
        <f t="shared" si="0"/>
        <v>0.75</v>
      </c>
      <c r="H38" s="32" t="str">
        <f t="shared" si="1"/>
        <v>جيد</v>
      </c>
      <c r="I38" s="40"/>
      <c r="J38" s="41"/>
    </row>
    <row r="39" spans="1:10" ht="39.9" customHeight="1" x14ac:dyDescent="0.3">
      <c r="A39" s="11"/>
      <c r="B39" s="52" t="s">
        <v>207</v>
      </c>
      <c r="C39" s="53"/>
      <c r="D39" s="53"/>
      <c r="E39" s="9">
        <v>5</v>
      </c>
      <c r="F39" s="27">
        <v>3.75</v>
      </c>
      <c r="G39" s="31">
        <f t="shared" si="0"/>
        <v>0.75</v>
      </c>
      <c r="H39" s="32" t="str">
        <f t="shared" si="1"/>
        <v>جيد</v>
      </c>
      <c r="I39" s="40"/>
      <c r="J39" s="41"/>
    </row>
    <row r="40" spans="1:10" ht="30" customHeight="1" x14ac:dyDescent="0.3">
      <c r="A40" s="11"/>
      <c r="B40" s="52" t="s">
        <v>208</v>
      </c>
      <c r="C40" s="53"/>
      <c r="D40" s="53"/>
      <c r="E40" s="9">
        <v>5</v>
      </c>
      <c r="F40" s="27">
        <v>3.75</v>
      </c>
      <c r="G40" s="31">
        <f t="shared" si="0"/>
        <v>0.75</v>
      </c>
      <c r="H40" s="32" t="str">
        <f t="shared" si="1"/>
        <v>جيد</v>
      </c>
      <c r="I40" s="40"/>
      <c r="J40" s="41"/>
    </row>
    <row r="41" spans="1:10" ht="30" customHeight="1" x14ac:dyDescent="0.3">
      <c r="A41" s="11"/>
      <c r="B41" s="52" t="s">
        <v>209</v>
      </c>
      <c r="C41" s="53"/>
      <c r="D41" s="53"/>
      <c r="E41" s="9">
        <v>5</v>
      </c>
      <c r="F41" s="27">
        <v>3.75</v>
      </c>
      <c r="G41" s="31">
        <f t="shared" si="0"/>
        <v>0.75</v>
      </c>
      <c r="H41" s="32" t="str">
        <f t="shared" si="1"/>
        <v>جيد</v>
      </c>
      <c r="I41" s="40"/>
      <c r="J41" s="41"/>
    </row>
    <row r="42" spans="1:10" ht="30" customHeight="1" x14ac:dyDescent="0.3">
      <c r="A42" s="11"/>
      <c r="B42" s="52" t="s">
        <v>210</v>
      </c>
      <c r="C42" s="53"/>
      <c r="D42" s="53"/>
      <c r="E42" s="9">
        <v>5</v>
      </c>
      <c r="F42" s="27">
        <v>3.75</v>
      </c>
      <c r="G42" s="31">
        <f t="shared" si="0"/>
        <v>0.75</v>
      </c>
      <c r="H42" s="32" t="str">
        <f t="shared" si="1"/>
        <v>جيد</v>
      </c>
      <c r="I42" s="40"/>
      <c r="J42" s="41"/>
    </row>
    <row r="43" spans="1:10" ht="30" customHeight="1" x14ac:dyDescent="0.3">
      <c r="A43" s="11"/>
      <c r="B43" s="52" t="s">
        <v>211</v>
      </c>
      <c r="C43" s="53"/>
      <c r="D43" s="53"/>
      <c r="E43" s="9">
        <v>5</v>
      </c>
      <c r="F43" s="27">
        <v>3.75</v>
      </c>
      <c r="G43" s="31">
        <f t="shared" si="0"/>
        <v>0.75</v>
      </c>
      <c r="H43" s="32" t="str">
        <f t="shared" si="1"/>
        <v>جيد</v>
      </c>
      <c r="I43" s="40"/>
      <c r="J43" s="41"/>
    </row>
    <row r="44" spans="1:10" ht="39.9" customHeight="1" x14ac:dyDescent="0.3">
      <c r="A44" s="11"/>
      <c r="B44" s="52" t="s">
        <v>212</v>
      </c>
      <c r="C44" s="53"/>
      <c r="D44" s="53"/>
      <c r="E44" s="9">
        <v>5</v>
      </c>
      <c r="F44" s="27">
        <v>3.75</v>
      </c>
      <c r="G44" s="31">
        <f t="shared" si="0"/>
        <v>0.75</v>
      </c>
      <c r="H44" s="32" t="str">
        <f t="shared" si="1"/>
        <v>جيد</v>
      </c>
      <c r="I44" s="40"/>
      <c r="J44" s="41"/>
    </row>
    <row r="45" spans="1:10" ht="30" customHeight="1" x14ac:dyDescent="0.3">
      <c r="A45" s="11"/>
      <c r="B45" s="52" t="s">
        <v>213</v>
      </c>
      <c r="C45" s="53"/>
      <c r="D45" s="53"/>
      <c r="E45" s="9">
        <v>5</v>
      </c>
      <c r="F45" s="27">
        <v>3.75</v>
      </c>
      <c r="G45" s="31">
        <f t="shared" si="0"/>
        <v>0.75</v>
      </c>
      <c r="H45" s="32" t="str">
        <f t="shared" si="1"/>
        <v>جيد</v>
      </c>
      <c r="I45" s="40"/>
      <c r="J45" s="41"/>
    </row>
    <row r="46" spans="1:10" ht="30" customHeight="1" x14ac:dyDescent="0.3">
      <c r="A46" s="11"/>
      <c r="B46" s="52" t="s">
        <v>214</v>
      </c>
      <c r="C46" s="53"/>
      <c r="D46" s="53"/>
      <c r="E46" s="9">
        <v>5</v>
      </c>
      <c r="F46" s="27">
        <v>3.75</v>
      </c>
      <c r="G46" s="31">
        <f t="shared" si="0"/>
        <v>0.75</v>
      </c>
      <c r="H46" s="32" t="str">
        <f t="shared" si="1"/>
        <v>جيد</v>
      </c>
      <c r="I46" s="40"/>
      <c r="J46" s="41"/>
    </row>
    <row r="47" spans="1:10" ht="39.9" customHeight="1" x14ac:dyDescent="0.3">
      <c r="A47" s="11"/>
      <c r="B47" s="52" t="s">
        <v>215</v>
      </c>
      <c r="C47" s="53"/>
      <c r="D47" s="53"/>
      <c r="E47" s="9">
        <v>5</v>
      </c>
      <c r="F47" s="27">
        <v>3.75</v>
      </c>
      <c r="G47" s="31">
        <f t="shared" si="0"/>
        <v>0.75</v>
      </c>
      <c r="H47" s="32" t="str">
        <f t="shared" si="1"/>
        <v>جيد</v>
      </c>
      <c r="I47" s="40"/>
      <c r="J47" s="41"/>
    </row>
    <row r="48" spans="1:10" ht="39.9" customHeight="1" x14ac:dyDescent="0.3">
      <c r="A48" s="11"/>
      <c r="B48" s="52" t="s">
        <v>216</v>
      </c>
      <c r="C48" s="53"/>
      <c r="D48" s="53"/>
      <c r="E48" s="9">
        <v>5</v>
      </c>
      <c r="F48" s="27">
        <v>3.5</v>
      </c>
      <c r="G48" s="31">
        <f t="shared" si="0"/>
        <v>0.7</v>
      </c>
      <c r="H48" s="32" t="str">
        <f t="shared" si="1"/>
        <v>جيد</v>
      </c>
      <c r="I48" s="40"/>
      <c r="J48" s="41"/>
    </row>
    <row r="49" spans="1:10" ht="30" customHeight="1" x14ac:dyDescent="0.3">
      <c r="A49" s="11"/>
      <c r="B49" s="52" t="s">
        <v>217</v>
      </c>
      <c r="C49" s="53"/>
      <c r="D49" s="53"/>
      <c r="E49" s="9">
        <v>5</v>
      </c>
      <c r="F49" s="27">
        <v>3.75</v>
      </c>
      <c r="G49" s="31">
        <f t="shared" si="0"/>
        <v>0.75</v>
      </c>
      <c r="H49" s="32" t="str">
        <f t="shared" si="1"/>
        <v>جيد</v>
      </c>
      <c r="I49" s="40"/>
      <c r="J49" s="41"/>
    </row>
    <row r="50" spans="1:10" ht="30" customHeight="1" x14ac:dyDescent="0.3">
      <c r="A50" s="11"/>
      <c r="B50" s="52" t="s">
        <v>218</v>
      </c>
      <c r="C50" s="53"/>
      <c r="D50" s="53"/>
      <c r="E50" s="9">
        <v>5</v>
      </c>
      <c r="F50" s="27">
        <v>3.75</v>
      </c>
      <c r="G50" s="31">
        <f t="shared" si="0"/>
        <v>0.75</v>
      </c>
      <c r="H50" s="32" t="str">
        <f t="shared" si="1"/>
        <v>جيد</v>
      </c>
      <c r="I50" s="40"/>
      <c r="J50" s="41"/>
    </row>
    <row r="51" spans="1:10" ht="30" customHeight="1" thickBot="1" x14ac:dyDescent="0.35">
      <c r="A51" s="11"/>
      <c r="B51" s="82" t="s">
        <v>219</v>
      </c>
      <c r="C51" s="83"/>
      <c r="D51" s="83"/>
      <c r="E51" s="37">
        <v>5</v>
      </c>
      <c r="F51" s="28">
        <v>3.5</v>
      </c>
      <c r="G51" s="38">
        <f t="shared" si="0"/>
        <v>0.7</v>
      </c>
      <c r="H51" s="39" t="str">
        <f t="shared" si="1"/>
        <v>جيد</v>
      </c>
      <c r="I51" s="48"/>
      <c r="J51" s="49"/>
    </row>
    <row r="52" spans="1:10" ht="30" customHeight="1" thickBot="1" x14ac:dyDescent="0.35">
      <c r="A52" s="4"/>
      <c r="B52" s="50" t="s">
        <v>5</v>
      </c>
      <c r="C52" s="51"/>
      <c r="D52" s="51"/>
      <c r="E52" s="10">
        <f>SUM(E8:E51)</f>
        <v>190</v>
      </c>
      <c r="F52" s="10">
        <f>SUM(F8:F51)</f>
        <v>142.5</v>
      </c>
      <c r="G52" s="75"/>
      <c r="H52" s="76"/>
      <c r="I52" s="76"/>
      <c r="J52" s="77"/>
    </row>
    <row r="53" spans="1:10" ht="30" customHeight="1" thickBot="1" x14ac:dyDescent="0.35">
      <c r="A53" s="4"/>
      <c r="B53" s="50" t="s">
        <v>54</v>
      </c>
      <c r="C53" s="51"/>
      <c r="D53" s="51"/>
      <c r="E53" s="61">
        <f>F52/E52/100*100</f>
        <v>0.75</v>
      </c>
      <c r="F53" s="61"/>
      <c r="G53" s="61"/>
      <c r="H53" s="61"/>
      <c r="I53" s="61"/>
      <c r="J53" s="62"/>
    </row>
    <row r="54" spans="1:10" ht="30" customHeight="1" thickBot="1" x14ac:dyDescent="0.35">
      <c r="A54" s="4"/>
      <c r="B54" s="50" t="s">
        <v>55</v>
      </c>
      <c r="C54" s="51"/>
      <c r="D54" s="51"/>
      <c r="E54" s="46" t="str">
        <f>_xlfn.IFS(E53&gt;=90%,"ممتاز",E53&gt;=80%,"جيد جداً",E53&gt;=70%,"جيد",E53&gt;=60%,"مقبول",E53&lt;60%,"راسب")</f>
        <v>جيد</v>
      </c>
      <c r="F54" s="46"/>
      <c r="G54" s="46"/>
      <c r="H54" s="46"/>
      <c r="I54" s="46"/>
      <c r="J54" s="47"/>
    </row>
    <row r="55" spans="1:10" ht="42" customHeight="1" x14ac:dyDescent="0.3">
      <c r="B55" s="42" t="s">
        <v>175</v>
      </c>
      <c r="C55" s="42"/>
      <c r="D55" s="42"/>
      <c r="E55" s="73" t="s">
        <v>52</v>
      </c>
      <c r="F55" s="73"/>
      <c r="G55" s="44" t="s">
        <v>114</v>
      </c>
      <c r="H55" s="44"/>
      <c r="I55" s="44"/>
      <c r="J55" s="44"/>
    </row>
    <row r="56" spans="1:10" ht="51" customHeight="1" x14ac:dyDescent="0.3">
      <c r="A56" s="5"/>
      <c r="B56" s="43"/>
      <c r="C56" s="43"/>
      <c r="D56" s="43"/>
      <c r="E56" s="74" t="s">
        <v>53</v>
      </c>
      <c r="F56" s="74"/>
      <c r="G56" s="45"/>
      <c r="H56" s="45"/>
      <c r="I56" s="45"/>
      <c r="J56" s="4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9">
    <mergeCell ref="B51:D51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55:F55"/>
    <mergeCell ref="E56:F56"/>
    <mergeCell ref="G52:J52"/>
    <mergeCell ref="I45:J45"/>
    <mergeCell ref="I46:J46"/>
    <mergeCell ref="I47:J47"/>
    <mergeCell ref="I48:J4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53:J5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36:J36"/>
    <mergeCell ref="I8:J8"/>
    <mergeCell ref="I11:J11"/>
    <mergeCell ref="I28:J28"/>
    <mergeCell ref="I29:J29"/>
    <mergeCell ref="B55:D56"/>
    <mergeCell ref="G55:J55"/>
    <mergeCell ref="G56:J56"/>
    <mergeCell ref="E54:J54"/>
    <mergeCell ref="I40:J40"/>
    <mergeCell ref="I41:J41"/>
    <mergeCell ref="I42:J42"/>
    <mergeCell ref="I43:J43"/>
    <mergeCell ref="I44:J44"/>
    <mergeCell ref="I49:J49"/>
    <mergeCell ref="I50:J50"/>
    <mergeCell ref="I51:J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4">
    <cfRule type="expression" dxfId="14" priority="57">
      <formula>$E54="راسب"</formula>
    </cfRule>
  </conditionalFormatting>
  <conditionalFormatting sqref="E54:J54">
    <cfRule type="expression" dxfId="13" priority="58">
      <formula>$E54="مقبول"</formula>
    </cfRule>
    <cfRule type="expression" dxfId="12" priority="59">
      <formula>$E54="جيد"</formula>
    </cfRule>
    <cfRule type="expression" dxfId="11" priority="60">
      <formula>$E54="جيد جداً"</formula>
    </cfRule>
    <cfRule type="expression" dxfId="10" priority="61">
      <formula>$E54="ممتاز"</formula>
    </cfRule>
  </conditionalFormatting>
  <conditionalFormatting sqref="F8:F5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5:J55">
    <cfRule type="containsText" dxfId="6" priority="15" operator="containsText" text="أدخل اسم المحكم">
      <formula>NOT(ISERROR(SEARCH("أدخل اسم المحكم",G55)))</formula>
    </cfRule>
  </conditionalFormatting>
  <conditionalFormatting sqref="H8:H5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F37:F51 F22:F35 F20 F11:F17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G55:J55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2025-10-27T20:57:31Z</dcterms:modified>
</cp:coreProperties>
</file>