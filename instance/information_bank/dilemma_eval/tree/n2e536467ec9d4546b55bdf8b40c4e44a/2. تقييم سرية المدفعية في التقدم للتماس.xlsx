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5FB05AC-F696-47D3-9414-DED18028F5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18" i="2"/>
  <c r="G22" i="2"/>
  <c r="H22" i="2"/>
  <c r="G21" i="2"/>
  <c r="H21" i="2"/>
  <c r="G23" i="2"/>
  <c r="H23" i="2"/>
  <c r="G26" i="2"/>
  <c r="H26" i="2"/>
  <c r="G24" i="2"/>
  <c r="H24" i="2"/>
  <c r="G20" i="2"/>
  <c r="H20" i="2"/>
  <c r="G25" i="2"/>
  <c r="H25" i="2"/>
  <c r="G19" i="2"/>
  <c r="H19" i="2"/>
  <c r="G17" i="2"/>
  <c r="H17" i="2"/>
  <c r="G15" i="2"/>
  <c r="H15" i="2"/>
  <c r="G14" i="2"/>
  <c r="H14" i="2"/>
  <c r="G12" i="2"/>
  <c r="H12" i="2"/>
  <c r="G8" i="2"/>
  <c r="H8" i="2"/>
  <c r="G9" i="2"/>
  <c r="H9" i="2"/>
  <c r="G10" i="2"/>
  <c r="H10" i="2"/>
  <c r="G11" i="2"/>
  <c r="H11" i="2"/>
  <c r="G13" i="2"/>
  <c r="H13" i="2"/>
  <c r="G16" i="2"/>
  <c r="H16" i="2"/>
  <c r="F27" i="2"/>
  <c r="E27" i="2"/>
  <c r="E28" i="2"/>
  <c r="E29" i="2"/>
</calcChain>
</file>

<file path=xl/sharedStrings.xml><?xml version="1.0" encoding="utf-8"?>
<sst xmlns="http://schemas.openxmlformats.org/spreadsheetml/2006/main" count="253" uniqueCount="197">
  <si>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</si>
  <si>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</si>
  <si>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</si>
  <si>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</si>
  <si>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</si>
  <si>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</si>
  <si>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</si>
  <si>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</si>
  <si>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</si>
  <si>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</si>
  <si>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</si>
  <si>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</si>
  <si>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</si>
  <si>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</si>
  <si>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</si>
  <si>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</si>
  <si>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</si>
  <si>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</si>
  <si>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</si>
  <si>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</si>
  <si>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</si>
  <si>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</si>
  <si>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</si>
  <si>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</si>
  <si>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</si>
  <si>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</si>
  <si>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</si>
  <si>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</si>
  <si>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</si>
  <si>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</si>
  <si>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</si>
  <si>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</si>
  <si>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</si>
  <si>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</si>
  <si>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</si>
  <si>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</si>
  <si>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</si>
  <si>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</si>
  <si>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</si>
  <si>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</si>
  <si>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</si>
  <si>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</si>
  <si>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</si>
  <si>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</si>
  <si>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</si>
  <si>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</si>
  <si>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</si>
  <si>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</si>
  <si>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</si>
  <si>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</si>
  <si>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</si>
  <si>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</si>
  <si>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</si>
  <si>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</si>
  <si>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</si>
  <si>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</si>
  <si>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</si>
  <si>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</si>
  <si>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</si>
  <si>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</si>
  <si>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</si>
  <si>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</si>
  <si>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</si>
  <si>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</si>
  <si>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</si>
  <si>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</si>
  <si>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</si>
  <si>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</si>
  <si>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</si>
  <si>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</si>
  <si>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</si>
  <si>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</si>
  <si>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</si>
  <si>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</si>
  <si>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</si>
  <si>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</si>
  <si>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</si>
  <si>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</si>
  <si>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</si>
  <si>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</si>
  <si>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</si>
  <si>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</si>
  <si>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</si>
  <si>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</si>
  <si>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</si>
  <si>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</si>
  <si>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</si>
  <si>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</si>
  <si>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</si>
  <si>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</si>
  <si>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</si>
  <si>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</si>
  <si>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</si>
  <si>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</si>
  <si>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</si>
  <si>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</si>
  <si>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</si>
  <si>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</si>
  <si>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</si>
  <si>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</si>
  <si>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</si>
  <si>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</si>
  <si>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</si>
  <si>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</si>
  <si>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</si>
  <si>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</si>
  <si>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</si>
  <si>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</si>
  <si>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</si>
  <si>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</si>
  <si>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</si>
  <si>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</si>
  <si>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</si>
  <si>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</si>
  <si>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</si>
  <si>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</si>
  <si>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</si>
  <si>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</si>
  <si>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</si>
  <si>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</si>
  <si>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</si>
  <si>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</si>
  <si>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</si>
  <si>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</si>
  <si>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</si>
  <si>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</si>
  <si>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</si>
  <si>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</si>
  <si>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</si>
  <si>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</si>
  <si>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</si>
  <si>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</si>
  <si>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</si>
  <si>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</si>
  <si>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</si>
  <si>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</si>
  <si>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</si>
  <si>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</si>
  <si>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</si>
  <si>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</si>
  <si>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</si>
  <si>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</si>
  <si>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</si>
  <si>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</si>
  <si>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</si>
  <si>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</si>
  <si>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</si>
  <si>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</si>
  <si>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</si>
  <si>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</si>
  <si>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</si>
  <si>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</si>
  <si>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</si>
  <si>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</si>
  <si>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</si>
  <si>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</si>
  <si>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</si>
  <si>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</si>
  <si>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</si>
  <si>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</si>
  <si>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</si>
  <si>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</si>
  <si>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</si>
  <si>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</si>
  <si>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</si>
  <si>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</si>
  <si>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</si>
  <si>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</si>
  <si>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</si>
  <si>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</si>
  <si>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</si>
  <si>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</si>
  <si>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</si>
  <si>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</si>
  <si>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</si>
  <si>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</si>
  <si>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إعطاء أولوية النيران لوحدة المناورة الأمامية.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</si>
  <si>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النيران على طول الطريق وعلى الأجنحة، خصوصاً على المقتربات التي توفر الحركة السريعة إلى أجنحة وحدة المناورة الأمامية.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</si>
  <si>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الرماية على الارض الحاكمة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</si>
  <si>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الرماية على مواقع العدو المحتملة.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</si>
  <si>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إصدار أوامر عمليات مجزأة عند التماس مع العدو</t>
    </r>
  </si>
  <si>
    <r>
      <t>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توضيع أي عناصر متحركة في مواقع اختباء فور التماس مع العدو</t>
    </r>
  </si>
  <si>
    <r>
      <t>10.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توفير أقصى قدر من النيران غير المباشرة لإسناد الهجوم</t>
    </r>
  </si>
  <si>
    <r>
      <t>11.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تنفيذ إجراءات التخفية والتموية</t>
    </r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</si>
  <si>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إعطاء أولوية النيران لوحدة المناورة الأمامية.</t>
    </r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</si>
  <si>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رماية الدخان الفوري عند التماس مع العدو.</t>
    </r>
  </si>
  <si>
    <r>
      <t>16.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حشد مهام الرماية القصيرة والمكثفة، وسلسلة الأهداف، ومجموعات الأهداف النيران على المناطق الخطرة أو مجموعات الأهداف</t>
    </r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</si>
  <si>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التحويل السريع للنيران المكثفة لاستغلال نقاط ضعف العدو المحددة</t>
    </r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</si>
  <si>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الإلمام بالموقف، وتوقع متطلبات الإسناد الناري</t>
    </r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</si>
  <si>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إعادة تزويد المدافع بسرعة بعد الهجوم السريع الناجح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</si>
  <si>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الاستعداد للرماية على قوات العدو التي تهدد المدافع بشكل مباشر.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</si>
  <si>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حركة المدافع بشكل قريب من وحدات المناورة للمساهمة بالنيران الفورية سريعة الاستجابة.</t>
    </r>
  </si>
  <si>
    <r>
      <rPr>
        <b/>
        <sz val="14"/>
        <color rgb="FF000000"/>
        <rFont val="Arial"/>
        <family val="2"/>
      </rPr>
      <t>تقييم سرية المدفعية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</si>
  <si>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إلمام قائد السرية بالموقف، وتوقع متطلبات الإسناد الناري.</t>
    </r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</si>
  <si>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الرماية على قوات العدو التي تهدد سرية المدفعية بشكل مباشر.</t>
    </r>
  </si>
  <si>
    <r>
      <t>15.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تقيد قائد سرية المدفعية بقواعد الاشتباك أثناء التقدم.</t>
    </r>
  </si>
  <si>
    <t>نقيب/ مسعود الاحبابي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</si>
</sst>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230065</xdr:colOff>
      <xdr:row>30</xdr:row>
      <xdr:rowOff>263628</xdr:rowOff>
    </xdr:from>
    <xdr:to>
      <xdr:col>9</xdr:col>
      <xdr:colOff>318594</xdr:colOff>
      <xdr:row>30</xdr:row>
      <xdr:rowOff>514908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0468107-38A4-37A5-B9E8-E92E334D6D71}"/>
                </a:ext>
              </a:extLst>
            </xdr14:cNvPr>
            <xdr14:cNvContentPartPr/>
          </xdr14:nvContentPartPr>
          <xdr14:nvPr macro=""/>
          <xdr14:xfrm>
            <a:off x="10398268225" y="14256720"/>
            <a:ext cx="2062800" cy="251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0468107-38A4-37A5-B9E8-E92E334D6D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59585" y="14248080"/>
              <a:ext cx="20804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600145</xdr:colOff>
      <xdr:row>30</xdr:row>
      <xdr:rowOff>295308</xdr:rowOff>
    </xdr:from>
    <xdr:to>
      <xdr:col>9</xdr:col>
      <xdr:colOff>57954</xdr:colOff>
      <xdr:row>30</xdr:row>
      <xdr:rowOff>353268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96493F0-92BF-F918-E3D0-F212843AB509}"/>
                </a:ext>
              </a:extLst>
            </xdr14:cNvPr>
            <xdr14:cNvContentPartPr/>
          </xdr14:nvContentPartPr>
          <xdr14:nvPr macro=""/>
          <xdr14:xfrm>
            <a:off x="10398528865" y="14288400"/>
            <a:ext cx="1432080" cy="57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96493F0-92BF-F918-E3D0-F212843AB5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20225" y="14279760"/>
              <a:ext cx="144972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51495</xdr:colOff>
      <xdr:row>30</xdr:row>
      <xdr:rowOff>155988</xdr:rowOff>
    </xdr:from>
    <xdr:to>
      <xdr:col>9</xdr:col>
      <xdr:colOff>122034</xdr:colOff>
      <xdr:row>30</xdr:row>
      <xdr:rowOff>203508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8D1C717-0473-B659-6253-840BD2D2B899}"/>
                </a:ext>
              </a:extLst>
            </xdr14:cNvPr>
            <xdr14:cNvContentPartPr/>
          </xdr14:nvContentPartPr>
          <xdr14:nvPr macro=""/>
          <xdr14:xfrm>
            <a:off x="10398464785" y="14149080"/>
            <a:ext cx="1386720" cy="475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8D1C717-0473-B659-6253-840BD2D2B89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455785" y="14140440"/>
              <a:ext cx="140436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219255</xdr:colOff>
      <xdr:row>30</xdr:row>
      <xdr:rowOff>266508</xdr:rowOff>
    </xdr:from>
    <xdr:to>
      <xdr:col>9</xdr:col>
      <xdr:colOff>116634</xdr:colOff>
      <xdr:row>30</xdr:row>
      <xdr:rowOff>301428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CA38A9C-3646-8FA5-B38D-A73AFCD6F422}"/>
                </a:ext>
              </a:extLst>
            </xdr14:cNvPr>
            <xdr14:cNvContentPartPr/>
          </xdr14:nvContentPartPr>
          <xdr14:nvPr macro=""/>
          <xdr14:xfrm>
            <a:off x="10398470185" y="14259600"/>
            <a:ext cx="1213560" cy="349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CA38A9C-3646-8FA5-B38D-A73AFCD6F42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461545" y="14250960"/>
              <a:ext cx="123120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340225</xdr:colOff>
      <xdr:row>30</xdr:row>
      <xdr:rowOff>168228</xdr:rowOff>
    </xdr:from>
    <xdr:to>
      <xdr:col>6</xdr:col>
      <xdr:colOff>346345</xdr:colOff>
      <xdr:row>30</xdr:row>
      <xdr:rowOff>174348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6C9D6A4-586E-C951-5C18-463C33A9BED4}"/>
                </a:ext>
              </a:extLst>
            </xdr14:cNvPr>
            <xdr14:cNvContentPartPr/>
          </xdr14:nvContentPartPr>
          <xdr14:nvPr macro=""/>
          <xdr14:xfrm>
            <a:off x="10400214745" y="14161320"/>
            <a:ext cx="6120" cy="6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6C9D6A4-586E-C951-5C18-463C33A9BED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205745" y="14152680"/>
              <a:ext cx="2376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8:39.5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4487 698,'0'0,"0"0,0 0,0 0,0 0,0 0,0 0,0 0,0 0,0-16,0 16,0 0,0-16,0 0,0 14,15-12,-15-18,0 29,0-26,16-3,-14 29,11-26,3-19,-14 43,12-23,2-20,-15 44,13-24,2-20,-14 44,12-24,-14-4,0 29,16-42,0 13,-15 29,13-10,-14-19,0 29,16-10,-16-3,0 14,0-12,15-2,-14 14,-2-12,1 6,16 0,-9 0,2 16,22 8,-27-14,8 12,19 2,-27-14,39 12,4 2,-41-14,35 28,6 2,-41-28,36 24,5-12,-43-14,54 28,5 2,-56-28,48 24,8 4,-55-28,31 24,8-12,-40-14,33 12,7 18,-41-27,4-10,6 21,-14-13,11-6,3 20,-14-15,-20-4,16 2,-11 0,-19 16,28-14,-24-4,-50 2,68 0,-89 0,-42 16,123-14,-106-20,-32 18,133 0,-127 0,-38 0,160 0,-163-16,-14 16,175 0,-112-17,-62 17,173 0,-141 0,-32 0,174 0,-144 0,-62 0,203 0,-153 0,-48 0,198 0,-179 0,-21-16,203 14,-184 4,-3-2,188 0,-155-16,-33 0,187 14,-138 4,-33-18,174 14,-65 4,-30-2,107 0,-27 0,-33 0,66 0,-24 0,-27 0,55 0,1 0,-9 16,14-13,-11-6,-19 3,28 0,-7 0,-5 0,14 0,4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8:40.1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3850 1,'0'0,"0"0,0 0,0 0,0 0,0 0,0 0,0 0,0 0,-14 0,5 8,1 0,-23-8,7 0,2 0,-25 16,6-8,5 0,-104 8,67-8,6 0,-72 8,41-8,10 0,-115 8,81-8,12 0,-123-8,111 0,11 0,-106 0,96 0,8 0,-119 0,102 0,11 0,-113 0,119 0,8 0,-96-16,112 16,7 0,-12 0,46 0,3 0,-17 0,30 0,2 0,-1 16,23-16,1 0,7 12,0-8,0-4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8:40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3766 132,'0'0,"0"0,0 0,-16 0,13 0,-25 0,-35-16,54 14,-92 4,-40-2,120 0,-146-16,-53 16,186 0,-167 0,-81-16,236 13,-222 6,-46-19,268 13,-189-11,-32-2,226 13,-200-10,5-3,202 14,-151 4,28-2,134 0,-95 0,24 0,80 0,-50 0,17 16,39-14,-16-4,8 18,14-14,4-4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8:41.4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3286 97,'0'0,"0"0,0 0,0 0,0 0,0 0,0 0,0 0,0 0,0 0,0 0,0 0,-16 0,14 0,-11 0,-3 0,13 0,-41-16,-50 16,80 0,-97 0,-29-16,117 13,-142 6,-7-3,145 0,-150 0,-41 0,184 0,-198 0,-2 16,198-14,-163-20,-19 18,184 0,-152 0,-16-16,170 13,-125 6,17-19,119 13,-67-10,-6 13,80 0,-34-16,16 16,28 0,-23 0,11 0,14 0,4 16,-2-8,0 0,0-8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8:41.8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1,'0'0,"0"0,0 0,0 0,0 0,0 0,-16 16,16-16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zoomScale="115" zoomScaleNormal="100" zoomScaleSheetLayoutView="115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192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2" t="s">
        <v>8</v>
      </c>
      <c r="C2" s="53" t="s">
        <v>48</v>
      </c>
      <c r="D2" s="53"/>
      <c r="E2" s="12" t="s">
        <v>7</v>
      </c>
      <c r="F2" s="48">
        <v>45914</v>
      </c>
      <c r="G2" s="48"/>
      <c r="H2" s="48"/>
      <c r="I2" s="48"/>
      <c r="J2" s="48"/>
    </row>
    <row r="3" spans="1:10" ht="30" customHeight="1" x14ac:dyDescent="0.3">
      <c r="B3" s="12" t="s">
        <v>9</v>
      </c>
      <c r="C3" s="53" t="s">
        <v>60</v>
      </c>
      <c r="D3" s="53"/>
      <c r="E3" s="12" t="s">
        <v>6</v>
      </c>
      <c r="F3" s="53" t="s">
        <v>125</v>
      </c>
      <c r="G3" s="53"/>
      <c r="H3" s="53"/>
      <c r="I3" s="53"/>
      <c r="J3" s="53"/>
    </row>
    <row r="4" spans="1:10" ht="30" customHeight="1" thickBot="1" x14ac:dyDescent="0.35">
      <c r="B4" s="6"/>
      <c r="C4" s="75" t="s">
        <v>196</v>
      </c>
      <c r="D4" s="7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9" t="s">
        <v>0</v>
      </c>
      <c r="C5" s="50"/>
      <c r="D5" s="50"/>
      <c r="E5" s="39" t="s">
        <v>1</v>
      </c>
      <c r="F5" s="39"/>
      <c r="G5" s="39"/>
      <c r="H5" s="39"/>
      <c r="I5" s="39" t="s">
        <v>2</v>
      </c>
      <c r="J5" s="40"/>
    </row>
    <row r="6" spans="1:10" ht="24.9" customHeight="1" thickBot="1" x14ac:dyDescent="0.35">
      <c r="A6" s="10"/>
      <c r="B6" s="51"/>
      <c r="C6" s="52"/>
      <c r="D6" s="52"/>
      <c r="E6" s="11" t="s">
        <v>3</v>
      </c>
      <c r="F6" s="11" t="s">
        <v>4</v>
      </c>
      <c r="G6" s="11" t="s">
        <v>23</v>
      </c>
      <c r="H6" s="11" t="s">
        <v>24</v>
      </c>
      <c r="I6" s="41"/>
      <c r="J6" s="42"/>
    </row>
    <row r="7" spans="1:10" ht="24.9" customHeight="1" x14ac:dyDescent="0.3">
      <c r="A7" s="10"/>
      <c r="B7" s="37" t="s">
        <v>21</v>
      </c>
      <c r="C7" s="38"/>
      <c r="D7" s="38"/>
      <c r="E7" s="27" t="s">
        <v>18</v>
      </c>
      <c r="F7" s="27" t="s">
        <v>19</v>
      </c>
      <c r="G7" s="27" t="s">
        <v>22</v>
      </c>
      <c r="H7" s="27" t="s">
        <v>20</v>
      </c>
      <c r="I7" s="43" t="s">
        <v>25</v>
      </c>
      <c r="J7" s="44"/>
    </row>
    <row r="8" spans="1:10" ht="39.9" customHeight="1" x14ac:dyDescent="0.3">
      <c r="A8" s="10"/>
      <c r="B8" s="35" t="s">
        <v>176</v>
      </c>
      <c r="C8" s="36"/>
      <c r="D8" s="36"/>
      <c r="E8" s="9">
        <v>5</v>
      </c>
      <c r="F8" s="26">
        <v>3.5</v>
      </c>
      <c r="G8" s="29">
        <f t="shared" ref="G8:G16" si="0">IFERROR(F8/E8,"")</f>
        <v>0.7</v>
      </c>
      <c r="H8" s="30" t="str">
        <f t="shared" ref="H8:H16" si="1">_xlfn.IFS(F8="أدخل العلامة","",F8="لا ينطبق","تم الإلغاء",G8&gt;=90%,"ممتاز",G8&gt;=80%,"جيد جداً",G8&gt;=70%,"جيد",G8&gt;=60%,"مقبول",G8&lt;60%,"راسب")</f>
        <v>جيد</v>
      </c>
      <c r="I8" s="45"/>
      <c r="J8" s="46"/>
    </row>
    <row r="9" spans="1:10" ht="39.9" customHeight="1" x14ac:dyDescent="0.3">
      <c r="A9" s="10"/>
      <c r="B9" s="35" t="s">
        <v>177</v>
      </c>
      <c r="C9" s="36"/>
      <c r="D9" s="36"/>
      <c r="E9" s="9">
        <v>5</v>
      </c>
      <c r="F9" s="34">
        <v>3.5</v>
      </c>
      <c r="G9" s="29">
        <f t="shared" si="0"/>
        <v>0.7</v>
      </c>
      <c r="H9" s="30" t="str">
        <f t="shared" si="1"/>
        <v>جيد</v>
      </c>
      <c r="I9" s="45"/>
      <c r="J9" s="46"/>
    </row>
    <row r="10" spans="1:10" ht="39.9" customHeight="1" x14ac:dyDescent="0.3">
      <c r="A10" s="10"/>
      <c r="B10" s="35" t="s">
        <v>190</v>
      </c>
      <c r="C10" s="36"/>
      <c r="D10" s="36"/>
      <c r="E10" s="9">
        <v>5</v>
      </c>
      <c r="F10" s="34">
        <v>3.75</v>
      </c>
      <c r="G10" s="29">
        <f t="shared" si="0"/>
        <v>0.75</v>
      </c>
      <c r="H10" s="30" t="str">
        <f t="shared" si="1"/>
        <v>جيد</v>
      </c>
      <c r="I10" s="45"/>
      <c r="J10" s="46"/>
    </row>
    <row r="11" spans="1:10" ht="39.9" customHeight="1" x14ac:dyDescent="0.3">
      <c r="A11" s="10"/>
      <c r="B11" s="35" t="s">
        <v>178</v>
      </c>
      <c r="C11" s="36"/>
      <c r="D11" s="36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5"/>
      <c r="J11" s="46"/>
    </row>
    <row r="12" spans="1:10" ht="39.9" customHeight="1" x14ac:dyDescent="0.3">
      <c r="A12" s="10"/>
      <c r="B12" s="35" t="s">
        <v>179</v>
      </c>
      <c r="C12" s="36"/>
      <c r="D12" s="36"/>
      <c r="E12" s="9">
        <v>5</v>
      </c>
      <c r="F12" s="34">
        <v>3.5</v>
      </c>
      <c r="G12" s="29">
        <f t="shared" ref="G12" si="2">IFERROR(F12/E12,"")</f>
        <v>0.7</v>
      </c>
      <c r="H12" s="30" t="str">
        <f t="shared" ref="H12" si="3">_xlfn.IFS(F12="أدخل العلامة","",F12="لا ينطبق","تم الإلغاء",G12&gt;=90%,"ممتاز",G12&gt;=80%,"جيد جداً",G12&gt;=70%,"جيد",G12&gt;=60%,"مقبول",G12&lt;60%,"راسب")</f>
        <v>جيد</v>
      </c>
      <c r="I12" s="45"/>
      <c r="J12" s="46"/>
    </row>
    <row r="13" spans="1:10" ht="39.9" customHeight="1" x14ac:dyDescent="0.3">
      <c r="A13" s="10"/>
      <c r="B13" s="35" t="s">
        <v>191</v>
      </c>
      <c r="C13" s="36"/>
      <c r="D13" s="36"/>
      <c r="E13" s="9">
        <v>5</v>
      </c>
      <c r="F13" s="34">
        <v>4</v>
      </c>
      <c r="G13" s="29">
        <f t="shared" si="0"/>
        <v>0.8</v>
      </c>
      <c r="H13" s="30" t="str">
        <f t="shared" si="1"/>
        <v>جيد جداً</v>
      </c>
      <c r="I13" s="45"/>
      <c r="J13" s="46"/>
    </row>
    <row r="14" spans="1:10" ht="39.9" customHeight="1" x14ac:dyDescent="0.3">
      <c r="A14" s="10"/>
      <c r="B14" s="35" t="s">
        <v>193</v>
      </c>
      <c r="C14" s="36"/>
      <c r="D14" s="36"/>
      <c r="E14" s="9">
        <v>5</v>
      </c>
      <c r="F14" s="34">
        <v>4</v>
      </c>
      <c r="G14" s="29">
        <f t="shared" ref="G14" si="4">IFERROR(F14/E14,"")</f>
        <v>0.8</v>
      </c>
      <c r="H14" s="30" t="str">
        <f t="shared" ref="H14" si="5">_xlfn.IFS(F14="أدخل العلامة","",F14="لا ينطبق","تم الإلغاء",G14&gt;=90%,"ممتاز",G14&gt;=80%,"جيد جداً",G14&gt;=70%,"جيد",G14&gt;=60%,"مقبول",G14&lt;60%,"راسب")</f>
        <v>جيد جداً</v>
      </c>
      <c r="I14" s="45"/>
      <c r="J14" s="46"/>
    </row>
    <row r="15" spans="1:10" ht="39.9" customHeight="1" x14ac:dyDescent="0.3">
      <c r="A15" s="10"/>
      <c r="B15" s="35" t="s">
        <v>180</v>
      </c>
      <c r="C15" s="36"/>
      <c r="D15" s="36"/>
      <c r="E15" s="9">
        <v>5</v>
      </c>
      <c r="F15" s="34">
        <v>3.5</v>
      </c>
      <c r="G15" s="29">
        <f t="shared" ref="G15" si="6">IFERROR(F15/E15,"")</f>
        <v>0.7</v>
      </c>
      <c r="H15" s="30" t="str">
        <f t="shared" ref="H15" si="7">_xlfn.IFS(F15="أدخل العلامة","",F15="لا ينطبق","تم الإلغاء",G15&gt;=90%,"ممتاز",G15&gt;=80%,"جيد جداً",G15&gt;=70%,"جيد",G15&gt;=60%,"مقبول",G15&lt;60%,"راسب")</f>
        <v>جيد</v>
      </c>
      <c r="I15" s="45"/>
      <c r="J15" s="46"/>
    </row>
    <row r="16" spans="1:10" ht="39.9" customHeight="1" x14ac:dyDescent="0.3">
      <c r="A16" s="10"/>
      <c r="B16" s="35" t="s">
        <v>181</v>
      </c>
      <c r="C16" s="36"/>
      <c r="D16" s="36"/>
      <c r="E16" s="9">
        <v>5</v>
      </c>
      <c r="F16" s="34">
        <v>3.75</v>
      </c>
      <c r="G16" s="29">
        <f t="shared" si="0"/>
        <v>0.75</v>
      </c>
      <c r="H16" s="30" t="str">
        <f t="shared" si="1"/>
        <v>جيد</v>
      </c>
      <c r="I16" s="45"/>
      <c r="J16" s="46"/>
    </row>
    <row r="17" spans="1:10" ht="39.9" customHeight="1" x14ac:dyDescent="0.3">
      <c r="A17" s="10"/>
      <c r="B17" s="35" t="s">
        <v>182</v>
      </c>
      <c r="C17" s="36"/>
      <c r="D17" s="36"/>
      <c r="E17" s="9">
        <v>5</v>
      </c>
      <c r="F17" s="34">
        <v>3.75</v>
      </c>
      <c r="G17" s="29">
        <f t="shared" ref="G17:G24" si="8">IFERROR(F17/E17,"")</f>
        <v>0.75</v>
      </c>
      <c r="H17" s="30" t="str">
        <f t="shared" ref="H17:H24" si="9">_xlfn.IFS(F17="أدخل العلامة","",F17="لا ينطبق","تم الإلغاء",G17&gt;=90%,"ممتاز",G17&gt;=80%,"جيد جداً",G17&gt;=70%,"جيد",G17&gt;=60%,"مقبول",G17&lt;60%,"راسب")</f>
        <v>جيد</v>
      </c>
      <c r="I17" s="45"/>
      <c r="J17" s="46"/>
    </row>
    <row r="18" spans="1:10" ht="39.9" customHeight="1" x14ac:dyDescent="0.3">
      <c r="A18" s="10"/>
      <c r="B18" s="35" t="s">
        <v>183</v>
      </c>
      <c r="C18" s="36"/>
      <c r="D18" s="36"/>
      <c r="E18" s="9">
        <v>5</v>
      </c>
      <c r="F18" s="34">
        <v>4</v>
      </c>
      <c r="G18" s="29">
        <f t="shared" ref="G18" si="10">IFERROR(F18/E18,"")</f>
        <v>0.8</v>
      </c>
      <c r="H18" s="30" t="str">
        <f t="shared" ref="H18" si="11">_xlfn.IFS(F18="أدخل العلامة","",F18="لا ينطبق","تم الإلغاء",G18&gt;=90%,"ممتاز",G18&gt;=80%,"جيد جداً",G18&gt;=70%,"جيد",G18&gt;=60%,"مقبول",G18&lt;60%,"راسب")</f>
        <v>جيد جداً</v>
      </c>
      <c r="I18" s="45"/>
      <c r="J18" s="46"/>
    </row>
    <row r="19" spans="1:10" ht="39.9" customHeight="1" x14ac:dyDescent="0.3">
      <c r="A19" s="10"/>
      <c r="B19" s="35" t="s">
        <v>184</v>
      </c>
      <c r="C19" s="36"/>
      <c r="D19" s="36"/>
      <c r="E19" s="9">
        <v>5</v>
      </c>
      <c r="F19" s="34">
        <v>4.25</v>
      </c>
      <c r="G19" s="29">
        <f t="shared" si="8"/>
        <v>0.85</v>
      </c>
      <c r="H19" s="30" t="str">
        <f t="shared" si="9"/>
        <v>جيد جداً</v>
      </c>
      <c r="I19" s="45"/>
      <c r="J19" s="46"/>
    </row>
    <row r="20" spans="1:10" ht="39.9" customHeight="1" x14ac:dyDescent="0.3">
      <c r="A20" s="10"/>
      <c r="B20" s="35" t="s">
        <v>185</v>
      </c>
      <c r="C20" s="36"/>
      <c r="D20" s="36"/>
      <c r="E20" s="9">
        <v>5</v>
      </c>
      <c r="F20" s="34">
        <v>3.5</v>
      </c>
      <c r="G20" s="29">
        <f t="shared" si="8"/>
        <v>0.7</v>
      </c>
      <c r="H20" s="30" t="str">
        <f t="shared" si="9"/>
        <v>جيد</v>
      </c>
      <c r="I20" s="45"/>
      <c r="J20" s="46"/>
    </row>
    <row r="21" spans="1:10" ht="39.9" customHeight="1" x14ac:dyDescent="0.3">
      <c r="A21" s="10"/>
      <c r="B21" s="35" t="s">
        <v>194</v>
      </c>
      <c r="C21" s="36"/>
      <c r="D21" s="36"/>
      <c r="E21" s="9">
        <v>5</v>
      </c>
      <c r="F21" s="34">
        <v>3.75</v>
      </c>
      <c r="G21" s="29">
        <f t="shared" si="8"/>
        <v>0.75</v>
      </c>
      <c r="H21" s="30" t="str">
        <f t="shared" si="9"/>
        <v>جيد</v>
      </c>
      <c r="I21" s="45"/>
      <c r="J21" s="46"/>
    </row>
    <row r="22" spans="1:10" ht="39.9" customHeight="1" x14ac:dyDescent="0.3">
      <c r="A22" s="10"/>
      <c r="B22" s="35" t="s">
        <v>195</v>
      </c>
      <c r="C22" s="36"/>
      <c r="D22" s="36"/>
      <c r="E22" s="9">
        <v>5</v>
      </c>
      <c r="F22" s="34">
        <v>3.75</v>
      </c>
      <c r="G22" s="29">
        <f t="shared" si="8"/>
        <v>0.75</v>
      </c>
      <c r="H22" s="30" t="str">
        <f t="shared" si="9"/>
        <v>جيد</v>
      </c>
      <c r="I22" s="45"/>
      <c r="J22" s="46"/>
    </row>
    <row r="23" spans="1:10" ht="39.9" customHeight="1" x14ac:dyDescent="0.3">
      <c r="A23" s="10"/>
      <c r="B23" s="35" t="s">
        <v>186</v>
      </c>
      <c r="C23" s="36"/>
      <c r="D23" s="36"/>
      <c r="E23" s="9">
        <v>5</v>
      </c>
      <c r="F23" s="34">
        <v>3.75</v>
      </c>
      <c r="G23" s="29">
        <f t="shared" ref="G23" si="12">IFERROR(F23/E23,"")</f>
        <v>0.75</v>
      </c>
      <c r="H23" s="30" t="str">
        <f t="shared" ref="H23" si="13">_xlfn.IFS(F23="أدخل العلامة","",F23="لا ينطبق","تم الإلغاء",G23&gt;=90%,"ممتاز",G23&gt;=80%,"جيد جداً",G23&gt;=70%,"جيد",G23&gt;=60%,"مقبول",G23&lt;60%,"راسب")</f>
        <v>جيد</v>
      </c>
      <c r="I23" s="45"/>
      <c r="J23" s="46"/>
    </row>
    <row r="24" spans="1:10" ht="39.9" customHeight="1" x14ac:dyDescent="0.3">
      <c r="A24" s="10"/>
      <c r="B24" s="35" t="s">
        <v>187</v>
      </c>
      <c r="C24" s="36"/>
      <c r="D24" s="36"/>
      <c r="E24" s="9">
        <v>5</v>
      </c>
      <c r="F24" s="34">
        <v>4</v>
      </c>
      <c r="G24" s="29">
        <f t="shared" si="8"/>
        <v>0.8</v>
      </c>
      <c r="H24" s="30" t="str">
        <f t="shared" si="9"/>
        <v>جيد جداً</v>
      </c>
      <c r="I24" s="45"/>
      <c r="J24" s="46"/>
    </row>
    <row r="25" spans="1:10" ht="39.9" customHeight="1" x14ac:dyDescent="0.3">
      <c r="A25" s="10"/>
      <c r="B25" s="35" t="s">
        <v>188</v>
      </c>
      <c r="C25" s="36"/>
      <c r="D25" s="36"/>
      <c r="E25" s="9">
        <v>5</v>
      </c>
      <c r="F25" s="34">
        <v>3.75</v>
      </c>
      <c r="G25" s="29">
        <f t="shared" ref="G25:G26" si="14">IFERROR(F25/E25,"")</f>
        <v>0.75</v>
      </c>
      <c r="H25" s="30" t="str">
        <f t="shared" ref="H25:H26" si="15">_xlfn.IFS(F25="أدخل العلامة","",F25="لا ينطبق","تم الإلغاء",G25&gt;=90%,"ممتاز",G25&gt;=80%,"جيد جداً",G25&gt;=70%,"جيد",G25&gt;=60%,"مقبول",G25&lt;60%,"راسب")</f>
        <v>جيد</v>
      </c>
      <c r="I25" s="45"/>
      <c r="J25" s="46"/>
    </row>
    <row r="26" spans="1:10" ht="39.9" customHeight="1" thickBot="1" x14ac:dyDescent="0.35">
      <c r="A26" s="10"/>
      <c r="B26" s="54" t="s">
        <v>189</v>
      </c>
      <c r="C26" s="55"/>
      <c r="D26" s="55"/>
      <c r="E26" s="31">
        <v>5</v>
      </c>
      <c r="F26" s="34">
        <v>4.25</v>
      </c>
      <c r="G26" s="32">
        <f t="shared" si="14"/>
        <v>0.85</v>
      </c>
      <c r="H26" s="33" t="str">
        <f t="shared" si="15"/>
        <v>جيد جداً</v>
      </c>
      <c r="I26" s="56"/>
      <c r="J26" s="57"/>
    </row>
    <row r="27" spans="1:10" ht="30" customHeight="1" thickBot="1" x14ac:dyDescent="0.35">
      <c r="A27" s="4"/>
      <c r="B27" s="64" t="s">
        <v>5</v>
      </c>
      <c r="C27" s="65"/>
      <c r="D27" s="65"/>
      <c r="E27" s="28">
        <f>SUM(E8:E26)</f>
        <v>95</v>
      </c>
      <c r="F27" s="28">
        <f>SUM(F8:F26)</f>
        <v>71.75</v>
      </c>
      <c r="G27" s="70"/>
      <c r="H27" s="71"/>
      <c r="I27" s="71"/>
      <c r="J27" s="72"/>
    </row>
    <row r="28" spans="1:10" ht="30" customHeight="1" thickBot="1" x14ac:dyDescent="0.35">
      <c r="A28" s="4"/>
      <c r="B28" s="66" t="s">
        <v>54</v>
      </c>
      <c r="C28" s="67"/>
      <c r="D28" s="67"/>
      <c r="E28" s="73">
        <f>F27/E27/100*100</f>
        <v>0.75526315789473686</v>
      </c>
      <c r="F28" s="73"/>
      <c r="G28" s="73"/>
      <c r="H28" s="73"/>
      <c r="I28" s="73"/>
      <c r="J28" s="74"/>
    </row>
    <row r="29" spans="1:10" ht="30" customHeight="1" thickBot="1" x14ac:dyDescent="0.35">
      <c r="A29" s="4"/>
      <c r="B29" s="66" t="s">
        <v>55</v>
      </c>
      <c r="C29" s="67"/>
      <c r="D29" s="67"/>
      <c r="E29" s="62" t="str">
        <f>_xlfn.IFS(E28&gt;=90%,"ممتاز",E28&gt;=80%,"جيد جداً",E28&gt;=70%,"جيد",E28&gt;=60%,"مقبول",E28&lt;60%,"راسب")</f>
        <v>جيد</v>
      </c>
      <c r="F29" s="62"/>
      <c r="G29" s="62"/>
      <c r="H29" s="62"/>
      <c r="I29" s="62"/>
      <c r="J29" s="63"/>
    </row>
    <row r="30" spans="1:10" ht="42" customHeight="1" x14ac:dyDescent="0.3">
      <c r="B30" s="58" t="s">
        <v>175</v>
      </c>
      <c r="C30" s="58"/>
      <c r="D30" s="58"/>
      <c r="E30" s="68" t="s">
        <v>52</v>
      </c>
      <c r="F30" s="68"/>
      <c r="G30" s="60" t="s">
        <v>115</v>
      </c>
      <c r="H30" s="60"/>
      <c r="I30" s="60"/>
      <c r="J30" s="60"/>
    </row>
    <row r="31" spans="1:10" ht="51" customHeight="1" x14ac:dyDescent="0.3">
      <c r="A31" s="5"/>
      <c r="B31" s="59"/>
      <c r="C31" s="59"/>
      <c r="D31" s="59"/>
      <c r="E31" s="69" t="s">
        <v>53</v>
      </c>
      <c r="F31" s="69"/>
      <c r="G31" s="61"/>
      <c r="H31" s="61"/>
      <c r="I31" s="61"/>
      <c r="J31" s="61"/>
    </row>
  </sheetData>
  <sheetProtection formatCells="0" formatColumns="0" formatRows="0" insertColumns="0" insertRows="0" insertHyperlinks="0" deleteColumns="0" deleteRows="0" selectLockedCells="1" sort="0" autoFilter="0" pivotTables="0"/>
  <mergeCells count="60">
    <mergeCell ref="I17:J17"/>
    <mergeCell ref="I25:J25"/>
    <mergeCell ref="B20:D20"/>
    <mergeCell ref="I20:J20"/>
    <mergeCell ref="I24:J24"/>
    <mergeCell ref="B23:D23"/>
    <mergeCell ref="I23:J23"/>
    <mergeCell ref="B21:D21"/>
    <mergeCell ref="I21:J21"/>
    <mergeCell ref="B22:D22"/>
    <mergeCell ref="I22:J22"/>
    <mergeCell ref="I19:J19"/>
    <mergeCell ref="I18:J18"/>
    <mergeCell ref="B24:D24"/>
    <mergeCell ref="B25:D25"/>
    <mergeCell ref="B30:D31"/>
    <mergeCell ref="G30:J30"/>
    <mergeCell ref="G31:J31"/>
    <mergeCell ref="E29:J29"/>
    <mergeCell ref="B27:D27"/>
    <mergeCell ref="B28:D28"/>
    <mergeCell ref="B29:D29"/>
    <mergeCell ref="E30:F30"/>
    <mergeCell ref="E31:F31"/>
    <mergeCell ref="G27:J27"/>
    <mergeCell ref="E28:J28"/>
    <mergeCell ref="B26:D26"/>
    <mergeCell ref="I26:J26"/>
    <mergeCell ref="I9:J9"/>
    <mergeCell ref="I10:J10"/>
    <mergeCell ref="I11:J11"/>
    <mergeCell ref="I13:J13"/>
    <mergeCell ref="I16:J16"/>
    <mergeCell ref="I12:J12"/>
    <mergeCell ref="I14:J14"/>
    <mergeCell ref="I15:J15"/>
    <mergeCell ref="B19:D19"/>
    <mergeCell ref="B17:D17"/>
    <mergeCell ref="B18:D18"/>
    <mergeCell ref="B14:D14"/>
    <mergeCell ref="B15:D15"/>
    <mergeCell ref="B9:D9"/>
    <mergeCell ref="B1:J1"/>
    <mergeCell ref="F2:J2"/>
    <mergeCell ref="B5:D6"/>
    <mergeCell ref="C2:D2"/>
    <mergeCell ref="C3:D3"/>
    <mergeCell ref="F3:J3"/>
    <mergeCell ref="C4:D4"/>
    <mergeCell ref="B7:D7"/>
    <mergeCell ref="E5:H5"/>
    <mergeCell ref="I5:J6"/>
    <mergeCell ref="I7:J7"/>
    <mergeCell ref="I8:J8"/>
    <mergeCell ref="B8:D8"/>
    <mergeCell ref="B10:D10"/>
    <mergeCell ref="B11:D11"/>
    <mergeCell ref="B13:D13"/>
    <mergeCell ref="B16:D16"/>
    <mergeCell ref="B12:D12"/>
  </mergeCells>
  <conditionalFormatting sqref="C2:D2">
    <cfRule type="containsText" dxfId="16" priority="173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2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212">
      <formula>$E29="راسب"</formula>
    </cfRule>
  </conditionalFormatting>
  <conditionalFormatting sqref="E29:J29">
    <cfRule type="expression" dxfId="13" priority="213">
      <formula>$E29="مقبول"</formula>
    </cfRule>
    <cfRule type="expression" dxfId="12" priority="214">
      <formula>$E29="جيد"</formula>
    </cfRule>
    <cfRule type="expression" dxfId="11" priority="215">
      <formula>$E29="جيد جداً"</formula>
    </cfRule>
    <cfRule type="expression" dxfId="10" priority="216">
      <formula>$E29="ممتاز"</formula>
    </cfRule>
  </conditionalFormatting>
  <conditionalFormatting sqref="F8:F26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174" operator="containsText" text="أدخل التاريخ">
      <formula>NOT(ISERROR(SEARCH("أدخل التاريخ",F2)))</formula>
    </cfRule>
  </conditionalFormatting>
  <conditionalFormatting sqref="F3:J3">
    <cfRule type="containsText" dxfId="7" priority="171" operator="containsText" text="أدخل أسم المحكم">
      <formula>NOT(ISERROR(SEARCH("أدخل أسم المحكم",F3)))</formula>
    </cfRule>
  </conditionalFormatting>
  <conditionalFormatting sqref="G30:J30">
    <cfRule type="containsText" dxfId="6" priority="170" operator="containsText" text="أدخل اسم المحكم">
      <formula>NOT(ISERROR(SEARCH("أدخل اسم المحكم",G30)))</formula>
    </cfRule>
  </conditionalFormatting>
  <conditionalFormatting sqref="H8:H26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G30:J30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2025-10-14T22:04:11Z</dcterms:modified>
</cp:coreProperties>
</file>