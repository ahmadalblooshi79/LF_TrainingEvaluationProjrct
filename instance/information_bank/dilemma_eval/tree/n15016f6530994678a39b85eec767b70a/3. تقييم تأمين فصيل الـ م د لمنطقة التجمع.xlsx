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52D80C63-9977-5747-ABC8-FE6A7B639270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2" i="2"/>
  <c r="H32" i="2"/>
  <c r="G33" i="2"/>
  <c r="H33" i="2"/>
  <c r="G34" i="2"/>
  <c r="H34" i="2"/>
  <c r="G35" i="2"/>
  <c r="H35" i="2"/>
  <c r="G37" i="2"/>
  <c r="H37" i="2"/>
  <c r="G38" i="2"/>
  <c r="H38" i="2"/>
  <c r="G39" i="2"/>
  <c r="H39" i="2"/>
  <c r="G40" i="2"/>
  <c r="H40" i="2"/>
  <c r="F41" i="2"/>
  <c r="E41" i="2"/>
  <c r="E42" i="2"/>
  <c r="E43" i="2"/>
</calcChain>
</file>

<file path=xl/sharedStrings.xml><?xml version="1.0" encoding="utf-8"?>
<sst xmlns="http://schemas.openxmlformats.org/spreadsheetml/2006/main" count="268" uniqueCount="212">
  <si>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</si>
  <si>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</si>
  <si>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</si>
  <si>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</si>
  <si>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</si>
  <si>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</si>
  <si>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</si>
  <si>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</si>
  <si>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</si>
  <si>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</si>
  <si>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</si>
  <si>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</si>
  <si>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</si>
  <si>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</si>
  <si>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</si>
  <si>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</si>
  <si>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</si>
  <si>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</si>
  <si>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</si>
  <si>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</si>
  <si>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</si>
  <si>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</si>
  <si>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</si>
  <si>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</si>
  <si>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</si>
  <si>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</si>
  <si>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</si>
  <si>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</si>
  <si>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</si>
  <si>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</si>
  <si>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</si>
  <si>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</si>
  <si>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</si>
  <si>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</si>
  <si>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</si>
  <si>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</si>
  <si>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</si>
  <si>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</si>
  <si>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</si>
  <si>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</si>
  <si>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</si>
  <si>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</si>
  <si>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</si>
  <si>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</si>
  <si>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</si>
  <si>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</si>
  <si>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</si>
  <si>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</si>
  <si>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</si>
  <si>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</si>
  <si>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</si>
  <si>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</si>
  <si>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</si>
  <si>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</si>
  <si>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</si>
  <si>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</si>
  <si>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</si>
  <si>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</si>
  <si>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</si>
  <si>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</si>
  <si>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</si>
  <si>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</si>
  <si>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</si>
  <si>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</si>
  <si>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</si>
  <si>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</si>
  <si>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</si>
  <si>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</si>
  <si>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</si>
  <si>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</si>
  <si>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</si>
  <si>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</si>
  <si>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</si>
  <si>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</si>
  <si>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</si>
  <si>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</si>
  <si>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</si>
  <si>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</si>
  <si>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</si>
  <si>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</si>
  <si>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</si>
  <si>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</si>
  <si>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</si>
  <si>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</si>
  <si>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</si>
  <si>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</si>
  <si>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</si>
  <si>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</si>
  <si>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</si>
  <si>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</si>
  <si>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</si>
  <si>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</si>
  <si>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</si>
  <si>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</si>
  <si>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</si>
  <si>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</si>
  <si>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</si>
  <si>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</si>
  <si>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</si>
  <si>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</si>
  <si>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</si>
  <si>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</si>
  <si>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</si>
  <si>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</si>
  <si>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</si>
  <si>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</si>
  <si>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</si>
  <si>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</si>
  <si>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</si>
  <si>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</si>
  <si>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</si>
  <si>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</si>
  <si>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</si>
  <si>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</si>
  <si>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</si>
  <si>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</si>
  <si>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</si>
  <si>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</si>
  <si>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</si>
  <si>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</si>
  <si>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</si>
  <si>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</si>
  <si>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</si>
  <si>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</si>
  <si>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</si>
  <si>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</si>
  <si>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</si>
  <si>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</si>
  <si>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</si>
  <si>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</si>
  <si>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</si>
  <si>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</si>
  <si>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</si>
  <si>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</si>
  <si>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</si>
  <si>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</si>
  <si>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</si>
  <si>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</si>
  <si>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</si>
  <si>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</si>
  <si>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</si>
  <si>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</si>
  <si>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</si>
  <si>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</si>
  <si>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</si>
  <si>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</si>
  <si>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</si>
  <si>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</si>
  <si>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</si>
  <si>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</si>
  <si>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</si>
  <si>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</si>
  <si>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</si>
  <si>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</si>
  <si>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</si>
  <si>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</si>
  <si>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</si>
  <si>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</si>
  <si>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</si>
  <si>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</si>
  <si>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</si>
  <si>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</si>
  <si>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</si>
  <si>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</si>
  <si>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</si>
  <si>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</si>
  <si>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</si>
  <si>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</si>
  <si>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</si>
  <si>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</si>
  <si>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</si>
  <si>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</si>
  <si>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</si>
  <si>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</si>
  <si>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</si>
  <si>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</si>
  <si>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مرحلة التخطيط</t>
  </si>
  <si>
    <t>ب. أن تكون محمية ومستورة.</t>
  </si>
  <si>
    <t xml:space="preserve">جـ. أن تكون واسعة بحيث تساعد القوات على الانفتاح والانتشار </t>
  </si>
  <si>
    <t>هـ. أن يتم وضع الإشارات والعلامات فيها بعناية وحذر.</t>
  </si>
  <si>
    <t>مرحلة التنفيذ</t>
  </si>
  <si>
    <t>ب. إنشاء دفاع محلي.</t>
  </si>
  <si>
    <t>جـ. تخصيص المواقع في منطقة التجمع.</t>
  </si>
  <si>
    <t>ب. التأكد من حالة الأسلحة وتضبيط الموجهات واختبار الرماية وأي تحضيرات أخرى ضرورية.</t>
  </si>
  <si>
    <t>جـ. تنفيذ عمليات إعادة التزويد للإمداد والوقود والذخيرة.</t>
  </si>
  <si>
    <t>2.    تطبق إجراءات الحماية أثناء الحركة.</t>
  </si>
  <si>
    <t>3.    تنظيم الدخول لمنطقة التجمع وحسب تسلسل بدء الحركة ونظام المسير لكل فصيل ويأخذ كل فصيل قطاع محدد.</t>
  </si>
  <si>
    <t>4.    السيطرة على الطرق المؤدية من وإلى منطقة التجمع.</t>
  </si>
  <si>
    <t>6.    تنفيذ إجراءات الحماية في منطقة التجمع وكما يلي:</t>
  </si>
  <si>
    <t>7.    استكمال التحضيرات والتفتيشات وسد النقص وكما يلي:</t>
  </si>
  <si>
    <t>8.    المكوث في منطقة التجمع أقل وقت ممكن لتنفيذ الواجبات والعمل بشكل متوازي للجميع لتحقيق أقل وقت ممكن في منطقة التجمع.</t>
  </si>
  <si>
    <t>أ.   أن تكون خارج مدى مراقبة العدو الأرضية من مواقعه الأمامية.</t>
  </si>
  <si>
    <t>د.  لها مداخل ومخارج جيدة.</t>
  </si>
  <si>
    <t>أ.   وصول القوة إلى منطقة التجمع.</t>
  </si>
  <si>
    <t>أ.   إدامة الآليات ومعدات الاتصال والأسلحة.</t>
  </si>
  <si>
    <t>1.    حركة فصيل الـ م/د وتأمين منطقة التجمع حسب الخطة الموضوعة.</t>
  </si>
  <si>
    <t>1.    فهم قائد فصيل الـ م/د للموقف باستخدام معدات الاتصال المتوفرة، والخرائط، وتقارير الموقف، ومصادر المعلومات المتوفرة الأخرى.</t>
  </si>
  <si>
    <t>3.    التخطيط لتأمين منطقة التجمع التي يجب أن توفر ما يلي:</t>
  </si>
  <si>
    <t>4.    يقوم فصيل الـ م/د بتحديد موقع الجماعات في منطقة التجمع.</t>
  </si>
  <si>
    <t xml:space="preserve">د.  توضيع نقاط الالتقاء. </t>
  </si>
  <si>
    <t>هـ. توضيع مواقع الآليات (ليلاً / نهاراً).</t>
  </si>
  <si>
    <t>و.  توضيع مواقع القيادة .</t>
  </si>
  <si>
    <t>ز. توضيع مواقع الإسناد (الصيانة - الإسناد الطبي - الأرزاق).</t>
  </si>
  <si>
    <t>أ. تأسيس الاتصالات مع الوحدات المجاورة / التنسيق مع الأجنحة.</t>
  </si>
  <si>
    <t>ب.  تحضير بطاقات المدى وخطط النيران.</t>
  </si>
  <si>
    <t>جـ. اختيار مواقع بديلة وثانوية ونقاط تجمع للآليات.</t>
  </si>
  <si>
    <t>د. تنفيذ إجراءات المعركة.</t>
  </si>
  <si>
    <t>2.    الاستطلاع من الخارطة أو من الأرض إذا أمكن</t>
  </si>
  <si>
    <t>5.    توزيع القوة في منطقة التجمع (الدفاع الدائري) وكما يلي:</t>
  </si>
  <si>
    <r>
      <rPr>
        <b/>
        <sz val="14"/>
        <color rgb="FF000000"/>
        <rFont val="Arial"/>
        <family val="2"/>
      </rPr>
      <t>تقييم تأمين فصيل الـ م د لمنطقة التجمع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</si>
  <si>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ملازم/١</t>
  </si>
  <si>
    <t xml:space="preserve">صالح هادف المنصوري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</si>
</sst>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vertical="center" wrapText="1" readingOrder="2"/>
    </xf>
    <xf numFmtId="0" fontId="1" fillId="5" borderId="25" xfId="0" applyFont="1" applyFill="1" applyBorder="1" applyAlignment="1">
      <alignment vertical="center" wrapText="1" readingOrder="2"/>
    </xf>
    <xf numFmtId="0" fontId="1" fillId="5" borderId="26" xfId="0" applyFont="1" applyFill="1" applyBorder="1" applyAlignment="1">
      <alignment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عادي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371295</xdr:colOff>
      <xdr:row>43</xdr:row>
      <xdr:rowOff>76880</xdr:rowOff>
    </xdr:from>
    <xdr:to>
      <xdr:col>9</xdr:col>
      <xdr:colOff>316743</xdr:colOff>
      <xdr:row>47</xdr:row>
      <xdr:rowOff>86480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حبر 1">
              <a:extLst>
                <a:ext uri="{FF2B5EF4-FFF2-40B4-BE49-F238E27FC236}">
                  <a16:creationId xmlns:a16="http://schemas.microsoft.com/office/drawing/2014/main" id="{0B1033B0-F904-22CF-EBF0-E1878E9EBCE8}"/>
                </a:ext>
              </a:extLst>
            </xdr14:cNvPr>
            <xdr14:cNvContentPartPr/>
          </xdr14:nvContentPartPr>
          <xdr14:nvPr macro=""/>
          <xdr14:xfrm>
            <a:off x="11438122985" y="16967880"/>
            <a:ext cx="2808720" cy="1533600"/>
          </xdr14:xfrm>
        </xdr:contentPart>
      </mc:Choice>
      <mc:Fallback>
        <xdr:pic>
          <xdr:nvPicPr>
            <xdr:cNvPr id="2" name="حبر 1">
              <a:extLst>
                <a:ext uri="{FF2B5EF4-FFF2-40B4-BE49-F238E27FC236}">
                  <a16:creationId xmlns:a16="http://schemas.microsoft.com/office/drawing/2014/main" id="{0B1033B0-F904-22CF-EBF0-E1878E9EBCE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8113985" y="16959240"/>
              <a:ext cx="2826360" cy="1551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0T04:04:55.1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1090 2060,'0'0,"0"0,0 0,0 0,0 0,0 0,-14 16,11-13,-28 26,-17 36,41-55,-82 92,-39 42,109-120,-106 128,-20 57,121-175,-113 140,10 19,105-161,-52 96,9-16,55-94,-12 45,102-47,-68-14,168-85,78-61,-218 121,273-178,72-56,-322 216,290-207,97-40,-378 242,464-293,42-62,-482 335,337-237,17-17,-376 266,220-133,11-5,-257 161,128-83,-32 18,-120 80,65-32,-41 48,-40 0,-81 80,-71 48,120-107,-144 135,-8 20,147-148,-134 104,1 13,114-103,-192 172,-18 11,222-193,-86 64,25-16,81-67,-1 6,-31 30,40-42,1-14,22 23,-13-14,61-85,81 3,-120 67,113-86,70-29,-173 107,141-103,49-20,-188 122,89-52,-12 10,-96 54,14-12,-16 22,-13 0,-19 48,-65 48,70-81,-86 98,-32 48,111-136,-154 142,-3 57,147-189,-151 139,35-46,129-111,-64 62,18-14,52-60,-29 22,15-11,63-48,-22 32,14-32,-26 27,24-23,2 12,-24 14,34-28,-24 14,-15 14,10 4,-2-2,-34 16,7 0,15-14,-13 12,1-14,11 0,-11 16,31-32,-3 0,-11 14,28-12,48-66,-67 68,121-72,59-60,-161 121,179-99,95-70,-257 161,241-131,48 2,-287 136,203-112,52-9,-257 123,193-84,-18-6,-187 94,90-44,-13-2,-97 54,47-12,-15 6,-41 13,-45 38,35-33,-59 28,-51 50,98-68,-163 120,-93 28,227-134,-249 173,-109 58,342-217,-344 224,-94 41,423-258,-379 227,-90 78,458-296,-374 225,-52 40,437-275,-317 196,-7-1,334-203,-207 116,15-9,218-124,-83 22,26 5,81-40,-33 16,14-8,30-13,25-22,-18 18,25-14,-25 14,43-30,83-49,-112 69,125-74,51-60,-160 121,174-128,67-41,-226 160,207-158,20-50,-234 204,221-182,91-54,-295 229,204-216,60-29,-271 244,187-215,51 4,-246 216,169-177,-34-7,-152 187,106-119,-35 28,-80 108,14-72,-14 12,-15 67,-21-39,-29-12,40 54,-95-28,-27-42,111 68,-121-24,-38-12,154 41,-175 14,-11 25,182-27,-102 38,-63 37,164-68,-72 72,-9-4,93-68,-62 57,30 11,40-67,-47 54,56-3,0-54,17 60,31 27,-40-82,95 98,58-17,-134-81,155 82,59-1,-203-80,179 33,57-1,-235-41,163 34,-10-9,-163-27,86 6,-4 21,-94-27,31 38,-17 5,-31-38,-14 44,-34 59,38-95,-62 108,-55 50,110-153,-142 131,-34 38,162-167,-130 110,48-38,96-83,-62 36,31-18,40-27,-16 6,56-27,-25 13,82-58,55-35,-122 81,149-115,117-46,-242 148,228-185,128-43,-340 213,278-187,44-10,-326 203,269-151,-7-20,-267 174,183-45,-61-17,-148 82,59-20,-37 18,-42 13,-142 86,125-77,-189 84,-42 71,205-137,-233 144,-130 73,338-205,-360 216,-45 21,394-230,-320 187,-73 26,388-214,-295 157,-13 9,322-174,-194 125,-1 1,225-138,-78 52,-2-10,96-53,-14 10,0-5,26-13,27-22,-20 18,10-14,36-17,-38 27,110-86,56-5,-150 81,171-114,44-64,-195 159,-92 68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5"/>
  <sheetViews>
    <sheetView rightToLeft="1" tabSelected="1" view="pageBreakPreview" topLeftCell="D34" zoomScale="160" zoomScaleNormal="100" zoomScaleSheetLayoutView="160" workbookViewId="0">
      <selection activeCell="G45" sqref="G45:J45"/>
    </sheetView>
  </sheetViews>
  <sheetFormatPr defaultColWidth="8.94921875" defaultRowHeight="13.5" x14ac:dyDescent="0.15"/>
  <cols>
    <col min="1" max="1" width="5.1484375" style="1" customWidth="1"/>
    <col min="2" max="2" width="12.13671875" style="1" customWidth="1"/>
    <col min="3" max="3" width="8.94921875" style="1"/>
    <col min="4" max="4" width="28.07421875" style="1" customWidth="1"/>
    <col min="5" max="7" width="9.19140625" style="1" customWidth="1"/>
    <col min="8" max="8" width="9.19140625" style="3" customWidth="1"/>
    <col min="9" max="9" width="9.19140625" style="1" customWidth="1"/>
    <col min="10" max="10" width="15.4453125" style="1" customWidth="1"/>
    <col min="11" max="16384" width="8.94921875" style="1"/>
  </cols>
  <sheetData>
    <row r="1" spans="1:10" ht="45" customHeight="1" x14ac:dyDescent="0.15">
      <c r="B1" s="65" t="s">
        <v>209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2">
      <c r="B2" s="12" t="s">
        <v>8</v>
      </c>
      <c r="C2" s="71" t="s">
        <v>27</v>
      </c>
      <c r="D2" s="71"/>
      <c r="E2" s="12" t="s">
        <v>7</v>
      </c>
      <c r="F2" s="66">
        <v>45909</v>
      </c>
      <c r="G2" s="66"/>
      <c r="H2" s="66"/>
      <c r="I2" s="66"/>
      <c r="J2" s="66"/>
    </row>
    <row r="3" spans="1:10" ht="30" customHeight="1" x14ac:dyDescent="0.2">
      <c r="B3" s="12" t="s">
        <v>9</v>
      </c>
      <c r="C3" s="71" t="s">
        <v>60</v>
      </c>
      <c r="D3" s="71"/>
      <c r="E3" s="12" t="s">
        <v>6</v>
      </c>
      <c r="F3" s="71" t="s">
        <v>116</v>
      </c>
      <c r="G3" s="71"/>
      <c r="H3" s="71"/>
      <c r="I3" s="71"/>
      <c r="J3" s="71"/>
    </row>
    <row r="4" spans="1:10" ht="30" customHeight="1" thickBot="1" x14ac:dyDescent="0.25">
      <c r="B4" s="6"/>
      <c r="C4" s="7" t="s">
        <v>210</v>
      </c>
      <c r="D4" s="7" t="s">
        <v>211</v>
      </c>
      <c r="E4" s="6"/>
      <c r="F4" s="7"/>
      <c r="G4" s="7"/>
      <c r="H4" s="8"/>
      <c r="I4" s="7"/>
      <c r="J4" s="7"/>
    </row>
    <row r="5" spans="1:10" ht="24.95" customHeight="1" x14ac:dyDescent="0.15">
      <c r="A5" s="10"/>
      <c r="B5" s="67" t="s">
        <v>0</v>
      </c>
      <c r="C5" s="68"/>
      <c r="D5" s="68"/>
      <c r="E5" s="72" t="s">
        <v>1</v>
      </c>
      <c r="F5" s="72"/>
      <c r="G5" s="72"/>
      <c r="H5" s="72"/>
      <c r="I5" s="72" t="s">
        <v>2</v>
      </c>
      <c r="J5" s="73"/>
    </row>
    <row r="6" spans="1:10" ht="24.95" customHeight="1" thickBot="1" x14ac:dyDescent="0.25">
      <c r="A6" s="10"/>
      <c r="B6" s="69"/>
      <c r="C6" s="70"/>
      <c r="D6" s="70"/>
      <c r="E6" s="11" t="s">
        <v>3</v>
      </c>
      <c r="F6" s="11" t="s">
        <v>4</v>
      </c>
      <c r="G6" s="11" t="s">
        <v>23</v>
      </c>
      <c r="H6" s="11" t="s">
        <v>24</v>
      </c>
      <c r="I6" s="74"/>
      <c r="J6" s="75"/>
    </row>
    <row r="7" spans="1:10" ht="24.95" customHeight="1" thickBot="1" x14ac:dyDescent="0.25">
      <c r="A7" s="10"/>
      <c r="B7" s="76" t="s">
        <v>21</v>
      </c>
      <c r="C7" s="77"/>
      <c r="D7" s="77"/>
      <c r="E7" s="28" t="s">
        <v>18</v>
      </c>
      <c r="F7" s="28" t="s">
        <v>19</v>
      </c>
      <c r="G7" s="28" t="s">
        <v>22</v>
      </c>
      <c r="H7" s="28" t="s">
        <v>20</v>
      </c>
      <c r="I7" s="78" t="s">
        <v>25</v>
      </c>
      <c r="J7" s="79"/>
    </row>
    <row r="8" spans="1:10" ht="30" customHeight="1" x14ac:dyDescent="0.15">
      <c r="A8" s="10"/>
      <c r="B8" s="41" t="s">
        <v>176</v>
      </c>
      <c r="C8" s="42"/>
      <c r="D8" s="42"/>
      <c r="E8" s="42"/>
      <c r="F8" s="42"/>
      <c r="G8" s="42"/>
      <c r="H8" s="42"/>
      <c r="I8" s="42"/>
      <c r="J8" s="43"/>
    </row>
    <row r="9" spans="1:10" ht="39.950000000000003" customHeight="1" x14ac:dyDescent="0.15">
      <c r="A9" s="10"/>
      <c r="B9" s="37" t="s">
        <v>196</v>
      </c>
      <c r="C9" s="38"/>
      <c r="D9" s="38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6"/>
      <c r="J9" s="47"/>
    </row>
    <row r="10" spans="1:10" ht="30" customHeight="1" x14ac:dyDescent="0.15">
      <c r="A10" s="10"/>
      <c r="B10" s="37" t="s">
        <v>207</v>
      </c>
      <c r="C10" s="38"/>
      <c r="D10" s="38"/>
      <c r="E10" s="9">
        <v>5</v>
      </c>
      <c r="F10" s="26">
        <v>3.75</v>
      </c>
      <c r="G10" s="30">
        <f t="shared" ref="G10:G40" si="0">IFERROR(F10/E10,"")</f>
        <v>0.75</v>
      </c>
      <c r="H10" s="31" t="str">
        <f t="shared" ref="H10:H40" si="1">_xlfn.IFS(F10="أدخل العلامة","",F10="لا ينطبق","تم الإلغاء",G10&gt;=90%,"ممتاز",G10&gt;=80%,"جيد جداً",G10&gt;=70%,"جيد",G10&gt;=60%,"مقبول",G10&lt;60%,"راسب")</f>
        <v>جيد</v>
      </c>
      <c r="I10" s="46"/>
      <c r="J10" s="47"/>
    </row>
    <row r="11" spans="1:10" ht="30" customHeight="1" x14ac:dyDescent="0.15">
      <c r="A11" s="10"/>
      <c r="B11" s="37" t="s">
        <v>197</v>
      </c>
      <c r="C11" s="38"/>
      <c r="D11" s="38"/>
      <c r="E11" s="9"/>
      <c r="F11" s="26"/>
      <c r="G11" s="30"/>
      <c r="H11" s="31"/>
      <c r="I11" s="46"/>
      <c r="J11" s="47"/>
    </row>
    <row r="12" spans="1:10" ht="30" customHeight="1" x14ac:dyDescent="0.15">
      <c r="A12" s="10"/>
      <c r="B12" s="35" t="s">
        <v>191</v>
      </c>
      <c r="C12" s="36"/>
      <c r="D12" s="36"/>
      <c r="E12" s="9">
        <v>5</v>
      </c>
      <c r="F12" s="26">
        <v>4.25</v>
      </c>
      <c r="G12" s="30">
        <f t="shared" si="0"/>
        <v>0.85</v>
      </c>
      <c r="H12" s="31" t="str">
        <f t="shared" si="1"/>
        <v>جيد جداً</v>
      </c>
      <c r="I12" s="46"/>
      <c r="J12" s="47"/>
    </row>
    <row r="13" spans="1:10" ht="30" customHeight="1" x14ac:dyDescent="0.15">
      <c r="A13" s="10"/>
      <c r="B13" s="35" t="s">
        <v>177</v>
      </c>
      <c r="C13" s="36"/>
      <c r="D13" s="36"/>
      <c r="E13" s="9">
        <v>5</v>
      </c>
      <c r="F13" s="26">
        <v>4</v>
      </c>
      <c r="G13" s="30">
        <f t="shared" si="0"/>
        <v>0.8</v>
      </c>
      <c r="H13" s="31" t="str">
        <f t="shared" si="1"/>
        <v>جيد جداً</v>
      </c>
      <c r="I13" s="46"/>
      <c r="J13" s="47"/>
    </row>
    <row r="14" spans="1:10" ht="30" customHeight="1" x14ac:dyDescent="0.15">
      <c r="A14" s="10"/>
      <c r="B14" s="35" t="s">
        <v>178</v>
      </c>
      <c r="C14" s="36"/>
      <c r="D14" s="36"/>
      <c r="E14" s="9">
        <v>5</v>
      </c>
      <c r="F14" s="26">
        <v>4</v>
      </c>
      <c r="G14" s="30">
        <f t="shared" si="0"/>
        <v>0.8</v>
      </c>
      <c r="H14" s="31" t="str">
        <f t="shared" si="1"/>
        <v>جيد جداً</v>
      </c>
      <c r="I14" s="46"/>
      <c r="J14" s="47"/>
    </row>
    <row r="15" spans="1:10" ht="30" customHeight="1" x14ac:dyDescent="0.15">
      <c r="A15" s="10"/>
      <c r="B15" s="35" t="s">
        <v>192</v>
      </c>
      <c r="C15" s="36"/>
      <c r="D15" s="36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6"/>
      <c r="J15" s="47"/>
    </row>
    <row r="16" spans="1:10" ht="30" customHeight="1" x14ac:dyDescent="0.15">
      <c r="A16" s="10"/>
      <c r="B16" s="35" t="s">
        <v>179</v>
      </c>
      <c r="C16" s="36"/>
      <c r="D16" s="36"/>
      <c r="E16" s="9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46"/>
      <c r="J16" s="47"/>
    </row>
    <row r="17" spans="1:10" ht="30" customHeight="1" thickBot="1" x14ac:dyDescent="0.2">
      <c r="A17" s="10"/>
      <c r="B17" s="37" t="s">
        <v>198</v>
      </c>
      <c r="C17" s="38"/>
      <c r="D17" s="38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46"/>
      <c r="J17" s="47"/>
    </row>
    <row r="18" spans="1:10" ht="30" customHeight="1" x14ac:dyDescent="0.15">
      <c r="A18" s="10"/>
      <c r="B18" s="41" t="s">
        <v>180</v>
      </c>
      <c r="C18" s="42"/>
      <c r="D18" s="42"/>
      <c r="E18" s="42"/>
      <c r="F18" s="42"/>
      <c r="G18" s="42"/>
      <c r="H18" s="42"/>
      <c r="I18" s="42"/>
      <c r="J18" s="43"/>
    </row>
    <row r="19" spans="1:10" ht="30" customHeight="1" x14ac:dyDescent="0.15">
      <c r="A19" s="10"/>
      <c r="B19" s="37" t="s">
        <v>195</v>
      </c>
      <c r="C19" s="38"/>
      <c r="D19" s="38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6"/>
      <c r="J19" s="47"/>
    </row>
    <row r="20" spans="1:10" ht="30" customHeight="1" x14ac:dyDescent="0.15">
      <c r="A20" s="10"/>
      <c r="B20" s="37" t="s">
        <v>185</v>
      </c>
      <c r="C20" s="38"/>
      <c r="D20" s="38"/>
      <c r="E20" s="9">
        <v>5</v>
      </c>
      <c r="F20" s="26">
        <v>3.75</v>
      </c>
      <c r="G20" s="30">
        <f t="shared" si="0"/>
        <v>0.75</v>
      </c>
      <c r="H20" s="31" t="str">
        <f t="shared" si="1"/>
        <v>جيد</v>
      </c>
      <c r="I20" s="46"/>
      <c r="J20" s="47"/>
    </row>
    <row r="21" spans="1:10" ht="39.950000000000003" customHeight="1" x14ac:dyDescent="0.15">
      <c r="A21" s="10"/>
      <c r="B21" s="37" t="s">
        <v>186</v>
      </c>
      <c r="C21" s="38"/>
      <c r="D21" s="38"/>
      <c r="E21" s="9">
        <v>5</v>
      </c>
      <c r="F21" s="26">
        <v>3.5</v>
      </c>
      <c r="G21" s="30">
        <f t="shared" si="0"/>
        <v>0.7</v>
      </c>
      <c r="H21" s="31" t="str">
        <f t="shared" si="1"/>
        <v>جيد</v>
      </c>
      <c r="I21" s="46"/>
      <c r="J21" s="47"/>
    </row>
    <row r="22" spans="1:10" ht="30" customHeight="1" x14ac:dyDescent="0.15">
      <c r="A22" s="10"/>
      <c r="B22" s="37" t="s">
        <v>187</v>
      </c>
      <c r="C22" s="38"/>
      <c r="D22" s="38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46"/>
      <c r="J22" s="47"/>
    </row>
    <row r="23" spans="1:10" ht="30" customHeight="1" x14ac:dyDescent="0.15">
      <c r="A23" s="10"/>
      <c r="B23" s="37" t="s">
        <v>208</v>
      </c>
      <c r="C23" s="38"/>
      <c r="D23" s="38"/>
      <c r="E23" s="9"/>
      <c r="F23" s="26"/>
      <c r="G23" s="30"/>
      <c r="H23" s="31"/>
      <c r="I23" s="46"/>
      <c r="J23" s="47"/>
    </row>
    <row r="24" spans="1:10" ht="30" customHeight="1" x14ac:dyDescent="0.15">
      <c r="A24" s="10"/>
      <c r="B24" s="35" t="s">
        <v>193</v>
      </c>
      <c r="C24" s="36"/>
      <c r="D24" s="36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46"/>
      <c r="J24" s="47"/>
    </row>
    <row r="25" spans="1:10" ht="30" customHeight="1" x14ac:dyDescent="0.15">
      <c r="A25" s="10"/>
      <c r="B25" s="35" t="s">
        <v>181</v>
      </c>
      <c r="C25" s="36"/>
      <c r="D25" s="36"/>
      <c r="E25" s="9">
        <v>5</v>
      </c>
      <c r="F25" s="26">
        <v>3.75</v>
      </c>
      <c r="G25" s="30">
        <f t="shared" si="0"/>
        <v>0.75</v>
      </c>
      <c r="H25" s="31" t="str">
        <f t="shared" si="1"/>
        <v>جيد</v>
      </c>
      <c r="I25" s="46"/>
      <c r="J25" s="47"/>
    </row>
    <row r="26" spans="1:10" ht="30" customHeight="1" x14ac:dyDescent="0.15">
      <c r="A26" s="10"/>
      <c r="B26" s="35" t="s">
        <v>182</v>
      </c>
      <c r="C26" s="36"/>
      <c r="D26" s="36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46"/>
      <c r="J26" s="47"/>
    </row>
    <row r="27" spans="1:10" ht="30" customHeight="1" x14ac:dyDescent="0.15">
      <c r="A27" s="10"/>
      <c r="B27" s="35" t="s">
        <v>199</v>
      </c>
      <c r="C27" s="36"/>
      <c r="D27" s="36"/>
      <c r="E27" s="9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46"/>
      <c r="J27" s="47"/>
    </row>
    <row r="28" spans="1:10" ht="30" customHeight="1" x14ac:dyDescent="0.15">
      <c r="A28" s="10"/>
      <c r="B28" s="35" t="s">
        <v>200</v>
      </c>
      <c r="C28" s="36"/>
      <c r="D28" s="36"/>
      <c r="E28" s="9">
        <v>5</v>
      </c>
      <c r="F28" s="26">
        <v>4</v>
      </c>
      <c r="G28" s="30">
        <f t="shared" si="0"/>
        <v>0.8</v>
      </c>
      <c r="H28" s="31" t="str">
        <f t="shared" si="1"/>
        <v>جيد جداً</v>
      </c>
      <c r="I28" s="46"/>
      <c r="J28" s="47"/>
    </row>
    <row r="29" spans="1:10" ht="30" customHeight="1" x14ac:dyDescent="0.15">
      <c r="A29" s="10"/>
      <c r="B29" s="35" t="s">
        <v>201</v>
      </c>
      <c r="C29" s="36"/>
      <c r="D29" s="36"/>
      <c r="E29" s="9">
        <v>5</v>
      </c>
      <c r="F29" s="26">
        <v>4</v>
      </c>
      <c r="G29" s="30">
        <f t="shared" si="0"/>
        <v>0.8</v>
      </c>
      <c r="H29" s="31" t="str">
        <f t="shared" si="1"/>
        <v>جيد جداً</v>
      </c>
      <c r="I29" s="46"/>
      <c r="J29" s="47"/>
    </row>
    <row r="30" spans="1:10" ht="30" customHeight="1" x14ac:dyDescent="0.15">
      <c r="A30" s="10"/>
      <c r="B30" s="35" t="s">
        <v>202</v>
      </c>
      <c r="C30" s="36"/>
      <c r="D30" s="36"/>
      <c r="E30" s="9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46"/>
      <c r="J30" s="47"/>
    </row>
    <row r="31" spans="1:10" ht="30" customHeight="1" x14ac:dyDescent="0.15">
      <c r="A31" s="10"/>
      <c r="B31" s="37" t="s">
        <v>188</v>
      </c>
      <c r="C31" s="38"/>
      <c r="D31" s="38"/>
      <c r="E31" s="9"/>
      <c r="F31" s="26"/>
      <c r="G31" s="30"/>
      <c r="H31" s="31"/>
      <c r="I31" s="46"/>
      <c r="J31" s="47"/>
    </row>
    <row r="32" spans="1:10" ht="30" customHeight="1" x14ac:dyDescent="0.15">
      <c r="A32" s="10"/>
      <c r="B32" s="35" t="s">
        <v>203</v>
      </c>
      <c r="C32" s="36"/>
      <c r="D32" s="36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46"/>
      <c r="J32" s="47"/>
    </row>
    <row r="33" spans="1:10" ht="30" customHeight="1" x14ac:dyDescent="0.15">
      <c r="A33" s="10"/>
      <c r="B33" s="35" t="s">
        <v>204</v>
      </c>
      <c r="C33" s="36"/>
      <c r="D33" s="36"/>
      <c r="E33" s="9">
        <v>5</v>
      </c>
      <c r="F33" s="26">
        <v>3.75</v>
      </c>
      <c r="G33" s="30">
        <f t="shared" si="0"/>
        <v>0.75</v>
      </c>
      <c r="H33" s="31" t="str">
        <f t="shared" si="1"/>
        <v>جيد</v>
      </c>
      <c r="I33" s="46"/>
      <c r="J33" s="47"/>
    </row>
    <row r="34" spans="1:10" ht="30" customHeight="1" x14ac:dyDescent="0.15">
      <c r="A34" s="10"/>
      <c r="B34" s="35" t="s">
        <v>205</v>
      </c>
      <c r="C34" s="36"/>
      <c r="D34" s="36"/>
      <c r="E34" s="9">
        <v>5</v>
      </c>
      <c r="F34" s="26">
        <v>3.75</v>
      </c>
      <c r="G34" s="30">
        <f t="shared" si="0"/>
        <v>0.75</v>
      </c>
      <c r="H34" s="31" t="str">
        <f t="shared" si="1"/>
        <v>جيد</v>
      </c>
      <c r="I34" s="46"/>
      <c r="J34" s="47"/>
    </row>
    <row r="35" spans="1:10" ht="30" customHeight="1" x14ac:dyDescent="0.15">
      <c r="A35" s="10"/>
      <c r="B35" s="35" t="s">
        <v>206</v>
      </c>
      <c r="C35" s="36"/>
      <c r="D35" s="36"/>
      <c r="E35" s="9">
        <v>5</v>
      </c>
      <c r="F35" s="26">
        <v>3.5</v>
      </c>
      <c r="G35" s="30">
        <f t="shared" si="0"/>
        <v>0.7</v>
      </c>
      <c r="H35" s="31" t="str">
        <f t="shared" si="1"/>
        <v>جيد</v>
      </c>
      <c r="I35" s="46"/>
      <c r="J35" s="47"/>
    </row>
    <row r="36" spans="1:10" ht="30" customHeight="1" x14ac:dyDescent="0.15">
      <c r="A36" s="10"/>
      <c r="B36" s="37" t="s">
        <v>189</v>
      </c>
      <c r="C36" s="38"/>
      <c r="D36" s="38"/>
      <c r="E36" s="9"/>
      <c r="F36" s="26"/>
      <c r="G36" s="30"/>
      <c r="H36" s="31"/>
      <c r="I36" s="46"/>
      <c r="J36" s="47"/>
    </row>
    <row r="37" spans="1:10" ht="30" customHeight="1" x14ac:dyDescent="0.15">
      <c r="A37" s="10"/>
      <c r="B37" s="35" t="s">
        <v>194</v>
      </c>
      <c r="C37" s="36"/>
      <c r="D37" s="36"/>
      <c r="E37" s="9">
        <v>5</v>
      </c>
      <c r="F37" s="26">
        <v>3.75</v>
      </c>
      <c r="G37" s="30">
        <f t="shared" si="0"/>
        <v>0.75</v>
      </c>
      <c r="H37" s="31" t="str">
        <f t="shared" si="1"/>
        <v>جيد</v>
      </c>
      <c r="I37" s="46"/>
      <c r="J37" s="47"/>
    </row>
    <row r="38" spans="1:10" ht="39.950000000000003" customHeight="1" x14ac:dyDescent="0.15">
      <c r="A38" s="10"/>
      <c r="B38" s="35" t="s">
        <v>183</v>
      </c>
      <c r="C38" s="36"/>
      <c r="D38" s="36"/>
      <c r="E38" s="9">
        <v>5</v>
      </c>
      <c r="F38" s="26">
        <v>3.75</v>
      </c>
      <c r="G38" s="30">
        <f t="shared" si="0"/>
        <v>0.75</v>
      </c>
      <c r="H38" s="31" t="str">
        <f t="shared" si="1"/>
        <v>جيد</v>
      </c>
      <c r="I38" s="46"/>
      <c r="J38" s="47"/>
    </row>
    <row r="39" spans="1:10" ht="30" customHeight="1" x14ac:dyDescent="0.15">
      <c r="A39" s="10"/>
      <c r="B39" s="37" t="s">
        <v>184</v>
      </c>
      <c r="C39" s="38"/>
      <c r="D39" s="38"/>
      <c r="E39" s="9">
        <v>5</v>
      </c>
      <c r="F39" s="26">
        <v>3.5</v>
      </c>
      <c r="G39" s="30">
        <f t="shared" si="0"/>
        <v>0.7</v>
      </c>
      <c r="H39" s="31" t="str">
        <f t="shared" si="1"/>
        <v>جيد</v>
      </c>
      <c r="I39" s="46"/>
      <c r="J39" s="47"/>
    </row>
    <row r="40" spans="1:10" ht="39.950000000000003" customHeight="1" thickBot="1" x14ac:dyDescent="0.2">
      <c r="A40" s="10"/>
      <c r="B40" s="39" t="s">
        <v>190</v>
      </c>
      <c r="C40" s="40"/>
      <c r="D40" s="40"/>
      <c r="E40" s="32">
        <v>5</v>
      </c>
      <c r="F40" s="27">
        <v>3.75</v>
      </c>
      <c r="G40" s="33">
        <f t="shared" si="0"/>
        <v>0.75</v>
      </c>
      <c r="H40" s="34" t="str">
        <f t="shared" si="1"/>
        <v>جيد</v>
      </c>
      <c r="I40" s="58"/>
      <c r="J40" s="59"/>
    </row>
    <row r="41" spans="1:10" ht="30" customHeight="1" thickBot="1" x14ac:dyDescent="0.2">
      <c r="A41" s="4"/>
      <c r="B41" s="48" t="s">
        <v>5</v>
      </c>
      <c r="C41" s="49"/>
      <c r="D41" s="49"/>
      <c r="E41" s="29">
        <f>SUM(E8:E40)</f>
        <v>135</v>
      </c>
      <c r="F41" s="29">
        <f>SUM(F8:F40)</f>
        <v>100.75</v>
      </c>
      <c r="G41" s="62"/>
      <c r="H41" s="63"/>
      <c r="I41" s="63"/>
      <c r="J41" s="64"/>
    </row>
    <row r="42" spans="1:10" ht="30" customHeight="1" thickBot="1" x14ac:dyDescent="0.2">
      <c r="A42" s="4"/>
      <c r="B42" s="44" t="s">
        <v>54</v>
      </c>
      <c r="C42" s="45"/>
      <c r="D42" s="45"/>
      <c r="E42" s="56">
        <f>F41/E41/100*100</f>
        <v>0.74629629629629635</v>
      </c>
      <c r="F42" s="56"/>
      <c r="G42" s="56"/>
      <c r="H42" s="56"/>
      <c r="I42" s="56"/>
      <c r="J42" s="57"/>
    </row>
    <row r="43" spans="1:10" ht="30" customHeight="1" thickBot="1" x14ac:dyDescent="0.2">
      <c r="A43" s="4"/>
      <c r="B43" s="44" t="s">
        <v>55</v>
      </c>
      <c r="C43" s="45"/>
      <c r="D43" s="45"/>
      <c r="E43" s="54" t="str">
        <f>_xlfn.IFS(E42&gt;=90%,"ممتاز",E42&gt;=80%,"جيد جداً",E42&gt;=70%,"جيد",E42&gt;=60%,"مقبول",E42&lt;60%,"راسب")</f>
        <v>جيد</v>
      </c>
      <c r="F43" s="54"/>
      <c r="G43" s="54"/>
      <c r="H43" s="54"/>
      <c r="I43" s="54"/>
      <c r="J43" s="55"/>
    </row>
    <row r="44" spans="1:10" ht="42" customHeight="1" x14ac:dyDescent="0.15">
      <c r="B44" s="50" t="s">
        <v>175</v>
      </c>
      <c r="C44" s="50"/>
      <c r="D44" s="50"/>
      <c r="E44" s="60" t="s">
        <v>52</v>
      </c>
      <c r="F44" s="60"/>
      <c r="G44" s="52" t="s">
        <v>116</v>
      </c>
      <c r="H44" s="52"/>
      <c r="I44" s="52"/>
      <c r="J44" s="52"/>
    </row>
    <row r="45" spans="1:10" ht="51" customHeight="1" x14ac:dyDescent="0.15">
      <c r="A45" s="5"/>
      <c r="B45" s="51"/>
      <c r="C45" s="51"/>
      <c r="D45" s="51"/>
      <c r="E45" s="61" t="s">
        <v>53</v>
      </c>
      <c r="F45" s="61"/>
      <c r="G45" s="53"/>
      <c r="H45" s="53"/>
      <c r="I45" s="53"/>
      <c r="J45" s="5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5">
    <mergeCell ref="I9:J9"/>
    <mergeCell ref="B7:D7"/>
    <mergeCell ref="I32:J32"/>
    <mergeCell ref="I27:J27"/>
    <mergeCell ref="I28:J28"/>
    <mergeCell ref="I7:J7"/>
    <mergeCell ref="I10:J10"/>
    <mergeCell ref="I19:J19"/>
    <mergeCell ref="I20:J20"/>
    <mergeCell ref="I21:J21"/>
    <mergeCell ref="I22:J22"/>
    <mergeCell ref="I23:J23"/>
    <mergeCell ref="I24:J24"/>
    <mergeCell ref="I29:J29"/>
    <mergeCell ref="I30:J30"/>
    <mergeCell ref="B9:D9"/>
    <mergeCell ref="B1:J1"/>
    <mergeCell ref="F2:J2"/>
    <mergeCell ref="B5:D6"/>
    <mergeCell ref="C2:D2"/>
    <mergeCell ref="C3:D3"/>
    <mergeCell ref="F3:J3"/>
    <mergeCell ref="E5:H5"/>
    <mergeCell ref="I5:J6"/>
    <mergeCell ref="B44:D45"/>
    <mergeCell ref="G44:J44"/>
    <mergeCell ref="G45:J45"/>
    <mergeCell ref="E43:J43"/>
    <mergeCell ref="I33:J33"/>
    <mergeCell ref="I34:J34"/>
    <mergeCell ref="I35:J35"/>
    <mergeCell ref="I36:J36"/>
    <mergeCell ref="I37:J37"/>
    <mergeCell ref="E42:J42"/>
    <mergeCell ref="I38:J38"/>
    <mergeCell ref="I39:J39"/>
    <mergeCell ref="I40:J40"/>
    <mergeCell ref="E44:F44"/>
    <mergeCell ref="E45:F45"/>
    <mergeCell ref="G41:J41"/>
    <mergeCell ref="B29:D29"/>
    <mergeCell ref="B43:D43"/>
    <mergeCell ref="I11:J11"/>
    <mergeCell ref="I12:J12"/>
    <mergeCell ref="I13:J13"/>
    <mergeCell ref="I14:J14"/>
    <mergeCell ref="I15:J15"/>
    <mergeCell ref="I16:J16"/>
    <mergeCell ref="I17:J17"/>
    <mergeCell ref="I25:J25"/>
    <mergeCell ref="I26:J26"/>
    <mergeCell ref="I31:J31"/>
    <mergeCell ref="B41:D41"/>
    <mergeCell ref="B42:D42"/>
    <mergeCell ref="B14:D14"/>
    <mergeCell ref="B15:D15"/>
    <mergeCell ref="B26:D26"/>
    <mergeCell ref="B27:D27"/>
    <mergeCell ref="B28:D28"/>
    <mergeCell ref="B10:D10"/>
    <mergeCell ref="B11:D11"/>
    <mergeCell ref="B12:D12"/>
    <mergeCell ref="B13:D13"/>
    <mergeCell ref="B16:D16"/>
    <mergeCell ref="B20:D20"/>
    <mergeCell ref="B21:D21"/>
    <mergeCell ref="B22:D22"/>
    <mergeCell ref="B24:D24"/>
    <mergeCell ref="B25:D25"/>
    <mergeCell ref="B37:D37"/>
    <mergeCell ref="B38:D38"/>
    <mergeCell ref="B39:D39"/>
    <mergeCell ref="B40:D40"/>
    <mergeCell ref="B8:J8"/>
    <mergeCell ref="B18:J18"/>
    <mergeCell ref="B32:D32"/>
    <mergeCell ref="B33:D33"/>
    <mergeCell ref="B34:D34"/>
    <mergeCell ref="B35:D35"/>
    <mergeCell ref="B36:D36"/>
    <mergeCell ref="B23:D23"/>
    <mergeCell ref="B30:D30"/>
    <mergeCell ref="B31:D31"/>
    <mergeCell ref="B17:D17"/>
    <mergeCell ref="B19:D19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3">
    <cfRule type="expression" dxfId="20" priority="57">
      <formula>$E43="راسب"</formula>
    </cfRule>
  </conditionalFormatting>
  <conditionalFormatting sqref="E43:J43">
    <cfRule type="expression" dxfId="19" priority="58">
      <formula>$E43="مقبول"</formula>
    </cfRule>
    <cfRule type="expression" dxfId="18" priority="59">
      <formula>$E43="جيد"</formula>
    </cfRule>
    <cfRule type="expression" dxfId="17" priority="60">
      <formula>$E43="جيد جداً"</formula>
    </cfRule>
    <cfRule type="expression" dxfId="16" priority="61">
      <formula>$E43="ممتاز"</formula>
    </cfRule>
  </conditionalFormatting>
  <conditionalFormatting sqref="F9:F17">
    <cfRule type="containsText" dxfId="15" priority="4" operator="containsText" text="أدخل العلامة">
      <formula>NOT(ISERROR(SEARCH("أدخل العلامة",F9)))</formula>
    </cfRule>
  </conditionalFormatting>
  <conditionalFormatting sqref="F19:F40 H19:H40">
    <cfRule type="containsText" dxfId="14" priority="38" operator="containsText" text="أدخل العلامة">
      <formula>NOT(ISERROR(SEARCH("أدخل العلامة",F19)))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44:J44">
    <cfRule type="containsText" dxfId="11" priority="15" operator="containsText" text="أدخل اسم المحكم">
      <formula>NOT(ISERROR(SEARCH("أدخل اسم المحكم",G44)))</formula>
    </cfRule>
  </conditionalFormatting>
  <conditionalFormatting sqref="H9:H17">
    <cfRule type="containsText" dxfId="10" priority="5" operator="containsText" text="أدخل العلامة">
      <formula>NOT(ISERROR(SEARCH("أدخل العلامة",H9)))</formula>
    </cfRule>
    <cfRule type="containsText" dxfId="9" priority="6" operator="containsText" text="ممتاز">
      <formula>NOT(ISERROR(SEARCH("ممتاز",H9)))</formula>
    </cfRule>
    <cfRule type="containsText" dxfId="8" priority="7" operator="containsText" text="جيد جداً">
      <formula>NOT(ISERROR(SEARCH("جيد جداً",H9)))</formula>
    </cfRule>
    <cfRule type="containsText" dxfId="7" priority="8" operator="containsText" text="جيد">
      <formula>NOT(ISERROR(SEARCH("جيد",H9)))</formula>
    </cfRule>
    <cfRule type="containsText" dxfId="6" priority="9" operator="containsText" text="مقبول">
      <formula>NOT(ISERROR(SEARCH("مقبول",H9)))</formula>
    </cfRule>
    <cfRule type="containsText" dxfId="5" priority="10" operator="containsText" text="راسب">
      <formula>NOT(ISERROR(SEARCH("راسب",H9)))</formula>
    </cfRule>
  </conditionalFormatting>
  <conditionalFormatting sqref="H19:H40">
    <cfRule type="containsText" dxfId="4" priority="39" operator="containsText" text="ممتاز">
      <formula>NOT(ISERROR(SEARCH("ممتاز",H19)))</formula>
    </cfRule>
    <cfRule type="containsText" dxfId="3" priority="40" operator="containsText" text="جيد جداً">
      <formula>NOT(ISERROR(SEARCH("جيد جداً",H19)))</formula>
    </cfRule>
    <cfRule type="containsText" dxfId="2" priority="41" operator="containsText" text="جيد">
      <formula>NOT(ISERROR(SEARCH("جيد",H19)))</formula>
    </cfRule>
    <cfRule type="containsText" dxfId="1" priority="42" operator="containsText" text="مقبول">
      <formula>NOT(ISERROR(SEARCH("مقبول",H19)))</formula>
    </cfRule>
    <cfRule type="containsText" dxfId="0" priority="43" operator="containsText" text="راسب">
      <formula>NOT(ISERROR(SEARCH("راسب",H19)))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35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F37:F40 F24:F30 F19:F22 F9:F10 F12:F17 F32:F35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G44:J44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15"/>
  <cols>
    <col min="1" max="1" width="42.5390625" style="1" customWidth="1"/>
    <col min="2" max="2" width="24.88671875" style="1" customWidth="1"/>
    <col min="3" max="3" width="59.82421875" style="1" customWidth="1"/>
    <col min="4" max="9" width="8.94921875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9" t="s">
        <v>62</v>
      </c>
    </row>
    <row r="3" spans="1:3" ht="20.100000000000001" customHeight="1" thickBot="1" x14ac:dyDescent="0.25">
      <c r="A3" s="2" t="s">
        <v>26</v>
      </c>
      <c r="C3" s="19" t="s">
        <v>63</v>
      </c>
    </row>
    <row r="4" spans="1:3" ht="20.100000000000001" customHeight="1" thickBot="1" x14ac:dyDescent="0.25">
      <c r="A4" s="2" t="s">
        <v>36</v>
      </c>
      <c r="C4" s="19" t="s">
        <v>64</v>
      </c>
    </row>
    <row r="5" spans="1:3" ht="20.100000000000001" customHeight="1" thickBot="1" x14ac:dyDescent="0.25">
      <c r="A5" s="2" t="s">
        <v>37</v>
      </c>
      <c r="C5" s="19" t="s">
        <v>65</v>
      </c>
    </row>
    <row r="6" spans="1:3" ht="20.100000000000001" customHeight="1" thickBot="1" x14ac:dyDescent="0.25">
      <c r="A6" s="2" t="s">
        <v>38</v>
      </c>
      <c r="C6" s="19" t="s">
        <v>66</v>
      </c>
    </row>
    <row r="7" spans="1:3" ht="20.100000000000001" customHeight="1" thickBot="1" x14ac:dyDescent="0.25">
      <c r="A7" s="2" t="s">
        <v>39</v>
      </c>
      <c r="C7" s="19" t="s">
        <v>67</v>
      </c>
    </row>
    <row r="8" spans="1:3" ht="20.100000000000001" customHeight="1" thickBot="1" x14ac:dyDescent="0.25">
      <c r="A8" s="2" t="s">
        <v>40</v>
      </c>
      <c r="C8" s="19" t="s">
        <v>68</v>
      </c>
    </row>
    <row r="9" spans="1:3" ht="20.100000000000001" customHeight="1" thickBot="1" x14ac:dyDescent="0.25">
      <c r="A9" s="2" t="s">
        <v>41</v>
      </c>
      <c r="C9" s="19" t="s">
        <v>69</v>
      </c>
    </row>
    <row r="10" spans="1:3" ht="20.100000000000001" customHeight="1" thickBot="1" x14ac:dyDescent="0.25">
      <c r="A10" s="2" t="s">
        <v>42</v>
      </c>
      <c r="C10" s="19" t="s">
        <v>70</v>
      </c>
    </row>
    <row r="11" spans="1:3" ht="20.100000000000001" customHeight="1" thickBot="1" x14ac:dyDescent="0.25">
      <c r="A11" s="2" t="s">
        <v>43</v>
      </c>
      <c r="C11" s="19" t="s">
        <v>71</v>
      </c>
    </row>
    <row r="12" spans="1:3" ht="20.100000000000001" customHeight="1" thickBot="1" x14ac:dyDescent="0.25">
      <c r="A12" s="2" t="s">
        <v>44</v>
      </c>
      <c r="C12" s="19" t="s">
        <v>72</v>
      </c>
    </row>
    <row r="13" spans="1:3" ht="20.100000000000001" customHeight="1" thickBot="1" x14ac:dyDescent="0.25">
      <c r="A13" s="2" t="s">
        <v>45</v>
      </c>
      <c r="C13" s="19" t="s">
        <v>73</v>
      </c>
    </row>
    <row r="14" spans="1:3" ht="20.100000000000001" customHeight="1" thickBot="1" x14ac:dyDescent="0.25">
      <c r="A14" s="2" t="s">
        <v>46</v>
      </c>
      <c r="C14" s="19" t="s">
        <v>74</v>
      </c>
    </row>
    <row r="15" spans="1:3" ht="20.100000000000001" customHeight="1" thickBot="1" x14ac:dyDescent="0.25">
      <c r="A15" s="2" t="s">
        <v>47</v>
      </c>
      <c r="C15" s="19" t="s">
        <v>75</v>
      </c>
    </row>
    <row r="16" spans="1:3" ht="20.100000000000001" customHeight="1" thickBot="1" x14ac:dyDescent="0.25">
      <c r="A16" s="2" t="s">
        <v>10</v>
      </c>
      <c r="C16" s="19" t="s">
        <v>76</v>
      </c>
    </row>
    <row r="17" spans="1:3" ht="20.100000000000001" customHeight="1" thickBot="1" x14ac:dyDescent="0.25">
      <c r="A17" s="2" t="s">
        <v>27</v>
      </c>
      <c r="C17" s="19" t="s">
        <v>77</v>
      </c>
    </row>
    <row r="18" spans="1:3" ht="20.100000000000001" customHeight="1" thickBot="1" x14ac:dyDescent="0.25">
      <c r="A18" s="2" t="s">
        <v>48</v>
      </c>
      <c r="C18" s="19" t="s">
        <v>78</v>
      </c>
    </row>
    <row r="19" spans="1:3" ht="20.100000000000001" customHeight="1" thickBot="1" x14ac:dyDescent="0.25">
      <c r="A19" s="2" t="s">
        <v>49</v>
      </c>
      <c r="C19" s="19" t="s">
        <v>79</v>
      </c>
    </row>
    <row r="20" spans="1:3" ht="20.100000000000001" customHeight="1" thickBot="1" x14ac:dyDescent="0.25">
      <c r="A20" s="2" t="s">
        <v>50</v>
      </c>
      <c r="C20" s="19" t="s">
        <v>80</v>
      </c>
    </row>
    <row r="21" spans="1:3" ht="20.100000000000001" customHeight="1" thickBot="1" x14ac:dyDescent="0.25">
      <c r="A21" s="2" t="s">
        <v>51</v>
      </c>
      <c r="C21" s="19" t="s">
        <v>81</v>
      </c>
    </row>
    <row r="22" spans="1:3" ht="20.100000000000001" customHeight="1" thickBot="1" x14ac:dyDescent="0.25">
      <c r="A22" s="2" t="s">
        <v>11</v>
      </c>
      <c r="C22" s="19" t="s">
        <v>82</v>
      </c>
    </row>
    <row r="23" spans="1:3" ht="20.100000000000001" customHeight="1" thickBot="1" x14ac:dyDescent="0.25">
      <c r="A23" s="2" t="s">
        <v>12</v>
      </c>
      <c r="C23" s="19" t="s">
        <v>83</v>
      </c>
    </row>
    <row r="24" spans="1:3" ht="20.100000000000001" customHeight="1" thickBot="1" x14ac:dyDescent="0.25">
      <c r="A24" s="2" t="s">
        <v>15</v>
      </c>
      <c r="C24" s="19" t="s">
        <v>84</v>
      </c>
    </row>
    <row r="25" spans="1:3" ht="20.100000000000001" customHeight="1" thickBot="1" x14ac:dyDescent="0.25">
      <c r="A25" s="2" t="s">
        <v>28</v>
      </c>
      <c r="C25" s="19" t="s">
        <v>85</v>
      </c>
    </row>
    <row r="26" spans="1:3" ht="20.100000000000001" customHeight="1" thickBot="1" x14ac:dyDescent="0.25">
      <c r="A26" s="2" t="s">
        <v>29</v>
      </c>
      <c r="C26" s="19" t="s">
        <v>86</v>
      </c>
    </row>
    <row r="27" spans="1:3" ht="20.100000000000001" customHeight="1" thickBot="1" x14ac:dyDescent="0.25">
      <c r="A27" s="2" t="s">
        <v>13</v>
      </c>
      <c r="C27" s="19" t="s">
        <v>87</v>
      </c>
    </row>
    <row r="28" spans="1:3" ht="20.100000000000001" customHeight="1" thickBot="1" x14ac:dyDescent="0.25">
      <c r="A28" s="2" t="s">
        <v>30</v>
      </c>
      <c r="C28" s="19" t="s">
        <v>88</v>
      </c>
    </row>
    <row r="29" spans="1:3" ht="20.100000000000001" customHeight="1" thickBot="1" x14ac:dyDescent="0.25">
      <c r="A29" s="2" t="s">
        <v>31</v>
      </c>
      <c r="C29" s="2"/>
    </row>
    <row r="30" spans="1:3" ht="20.100000000000001" customHeight="1" thickBot="1" x14ac:dyDescent="0.25">
      <c r="A30" s="2" t="s">
        <v>32</v>
      </c>
      <c r="C30" s="2"/>
    </row>
    <row r="31" spans="1:3" ht="20.100000000000001" customHeight="1" thickBot="1" x14ac:dyDescent="0.25">
      <c r="A31" s="2" t="s">
        <v>33</v>
      </c>
      <c r="C31" s="2"/>
    </row>
    <row r="32" spans="1:3" ht="20.100000000000001" customHeight="1" thickBot="1" x14ac:dyDescent="0.25">
      <c r="A32" s="2" t="s">
        <v>16</v>
      </c>
      <c r="C32" s="2"/>
    </row>
    <row r="33" spans="1:9" ht="20.100000000000001" customHeight="1" thickBot="1" x14ac:dyDescent="0.25">
      <c r="A33" s="2" t="s">
        <v>14</v>
      </c>
      <c r="C33" s="2"/>
    </row>
    <row r="34" spans="1:9" ht="20.100000000000001" customHeight="1" thickBot="1" x14ac:dyDescent="0.25">
      <c r="A34" s="2" t="s">
        <v>34</v>
      </c>
      <c r="C34" s="2"/>
    </row>
    <row r="35" spans="1:9" ht="20.100000000000001" customHeight="1" x14ac:dyDescent="0.15">
      <c r="A35" s="18"/>
    </row>
    <row r="36" spans="1:9" s="17" customFormat="1" ht="20.100000000000001" customHeight="1" x14ac:dyDescent="0.15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3">
        <v>45901</v>
      </c>
    </row>
    <row r="40" spans="1:9" ht="20.100000000000001" customHeight="1" thickBot="1" x14ac:dyDescent="0.25">
      <c r="A40" s="13">
        <v>45902</v>
      </c>
    </row>
    <row r="41" spans="1:9" ht="20.100000000000001" customHeight="1" thickBot="1" x14ac:dyDescent="0.25">
      <c r="A41" s="13">
        <v>45903</v>
      </c>
    </row>
    <row r="42" spans="1:9" ht="20.100000000000001" customHeight="1" thickBot="1" x14ac:dyDescent="0.25">
      <c r="A42" s="13">
        <v>45904</v>
      </c>
    </row>
    <row r="43" spans="1:9" ht="20.100000000000001" customHeight="1" thickBot="1" x14ac:dyDescent="0.25">
      <c r="A43" s="13">
        <v>45905</v>
      </c>
    </row>
    <row r="44" spans="1:9" ht="20.100000000000001" customHeight="1" thickBot="1" x14ac:dyDescent="0.25">
      <c r="A44" s="13">
        <v>45906</v>
      </c>
    </row>
    <row r="45" spans="1:9" ht="20.100000000000001" customHeight="1" thickBot="1" x14ac:dyDescent="0.25">
      <c r="A45" s="13">
        <v>45907</v>
      </c>
    </row>
    <row r="46" spans="1:9" ht="20.100000000000001" customHeight="1" thickBot="1" x14ac:dyDescent="0.25">
      <c r="A46" s="13">
        <v>45908</v>
      </c>
    </row>
    <row r="47" spans="1:9" ht="20.100000000000001" customHeight="1" thickBot="1" x14ac:dyDescent="0.25">
      <c r="A47" s="13">
        <v>45909</v>
      </c>
    </row>
    <row r="48" spans="1:9" ht="20.100000000000001" customHeight="1" thickBot="1" x14ac:dyDescent="0.25">
      <c r="A48" s="13">
        <v>45910</v>
      </c>
    </row>
    <row r="49" spans="1:1" ht="20.100000000000001" customHeight="1" thickBot="1" x14ac:dyDescent="0.25">
      <c r="A49" s="13">
        <v>45911</v>
      </c>
    </row>
    <row r="50" spans="1:1" ht="20.100000000000001" customHeight="1" thickBot="1" x14ac:dyDescent="0.25">
      <c r="A50" s="13">
        <v>45912</v>
      </c>
    </row>
    <row r="51" spans="1:1" ht="20.100000000000001" customHeight="1" thickBot="1" x14ac:dyDescent="0.25">
      <c r="A51" s="13">
        <v>45913</v>
      </c>
    </row>
    <row r="52" spans="1:1" ht="20.100000000000001" customHeight="1" thickBot="1" x14ac:dyDescent="0.25">
      <c r="A52" s="13">
        <v>45914</v>
      </c>
    </row>
    <row r="53" spans="1:1" ht="20.100000000000001" customHeight="1" thickBot="1" x14ac:dyDescent="0.25">
      <c r="A53" s="13">
        <v>45915</v>
      </c>
    </row>
    <row r="54" spans="1:1" ht="20.100000000000001" customHeight="1" thickBot="1" x14ac:dyDescent="0.25">
      <c r="A54" s="13">
        <v>45916</v>
      </c>
    </row>
    <row r="55" spans="1:1" ht="20.100000000000001" customHeight="1" thickBot="1" x14ac:dyDescent="0.25">
      <c r="A55" s="13">
        <v>45917</v>
      </c>
    </row>
    <row r="56" spans="1:1" ht="20.100000000000001" customHeight="1" thickBot="1" x14ac:dyDescent="0.25">
      <c r="A56" s="13">
        <v>45918</v>
      </c>
    </row>
    <row r="57" spans="1:1" ht="20.100000000000001" customHeight="1" thickBot="1" x14ac:dyDescent="0.25">
      <c r="A57" s="13">
        <v>45919</v>
      </c>
    </row>
    <row r="58" spans="1:1" ht="20.100000000000001" customHeight="1" thickBot="1" x14ac:dyDescent="0.25">
      <c r="A58" s="13">
        <v>45920</v>
      </c>
    </row>
    <row r="59" spans="1:1" ht="20.100000000000001" customHeight="1" thickBot="1" x14ac:dyDescent="0.25">
      <c r="A59" s="13">
        <v>45921</v>
      </c>
    </row>
    <row r="60" spans="1:1" ht="20.100000000000001" customHeight="1" thickBot="1" x14ac:dyDescent="0.25">
      <c r="A60" s="13">
        <v>45922</v>
      </c>
    </row>
    <row r="61" spans="1:1" ht="20.100000000000001" customHeight="1" thickBot="1" x14ac:dyDescent="0.25">
      <c r="A61" s="13">
        <v>45923</v>
      </c>
    </row>
    <row r="62" spans="1:1" ht="20.100000000000001" customHeight="1" thickBot="1" x14ac:dyDescent="0.25">
      <c r="A62" s="13">
        <v>45924</v>
      </c>
    </row>
    <row r="63" spans="1:1" ht="20.100000000000001" customHeight="1" thickBot="1" x14ac:dyDescent="0.25">
      <c r="A63" s="13">
        <v>45925</v>
      </c>
    </row>
    <row r="64" spans="1:1" ht="20.100000000000001" customHeight="1" thickBot="1" x14ac:dyDescent="0.25">
      <c r="A64" s="13">
        <v>45926</v>
      </c>
    </row>
    <row r="65" spans="1:1" ht="20.100000000000001" customHeight="1" thickBot="1" x14ac:dyDescent="0.25">
      <c r="A65" s="13">
        <v>45927</v>
      </c>
    </row>
    <row r="66" spans="1:1" ht="20.100000000000001" customHeight="1" thickBot="1" x14ac:dyDescent="0.25">
      <c r="A66" s="13">
        <v>45928</v>
      </c>
    </row>
    <row r="67" spans="1:1" ht="20.100000000000001" customHeight="1" thickBot="1" x14ac:dyDescent="0.25">
      <c r="A67" s="13">
        <v>45929</v>
      </c>
    </row>
    <row r="68" spans="1:1" ht="20.100000000000001" customHeight="1" thickBot="1" x14ac:dyDescent="0.25">
      <c r="A68" s="13">
        <v>45930</v>
      </c>
    </row>
    <row r="69" spans="1:1" ht="20.100000000000001" customHeight="1" thickBot="1" x14ac:dyDescent="0.25">
      <c r="A69" s="13">
        <v>45931</v>
      </c>
    </row>
    <row r="70" spans="1:1" ht="20.100000000000001" customHeight="1" thickBot="1" x14ac:dyDescent="0.25">
      <c r="A70" s="13">
        <v>45932</v>
      </c>
    </row>
    <row r="71" spans="1:1" ht="20.100000000000001" customHeight="1" thickBot="1" x14ac:dyDescent="0.25">
      <c r="A71" s="13">
        <v>45933</v>
      </c>
    </row>
    <row r="72" spans="1:1" ht="20.100000000000001" customHeight="1" thickBot="1" x14ac:dyDescent="0.25">
      <c r="A72" s="13">
        <v>45934</v>
      </c>
    </row>
    <row r="73" spans="1:1" ht="20.100000000000001" customHeight="1" thickBot="1" x14ac:dyDescent="0.25">
      <c r="A73" s="13">
        <v>45935</v>
      </c>
    </row>
    <row r="74" spans="1:1" ht="20.100000000000001" customHeight="1" thickBot="1" x14ac:dyDescent="0.25">
      <c r="A74" s="13">
        <v>45936</v>
      </c>
    </row>
    <row r="75" spans="1:1" ht="20.100000000000001" customHeight="1" thickBot="1" x14ac:dyDescent="0.25">
      <c r="A75" s="13">
        <v>45937</v>
      </c>
    </row>
    <row r="76" spans="1:1" ht="20.100000000000001" customHeight="1" thickBot="1" x14ac:dyDescent="0.25">
      <c r="A76" s="13">
        <v>45938</v>
      </c>
    </row>
    <row r="77" spans="1:1" ht="20.100000000000001" customHeight="1" thickBot="1" x14ac:dyDescent="0.25">
      <c r="A77" s="13">
        <v>45939</v>
      </c>
    </row>
    <row r="78" spans="1:1" ht="20.100000000000001" customHeight="1" thickBot="1" x14ac:dyDescent="0.25">
      <c r="A78" s="13">
        <v>45940</v>
      </c>
    </row>
    <row r="79" spans="1:1" ht="20.100000000000001" customHeight="1" thickBot="1" x14ac:dyDescent="0.25">
      <c r="A79" s="13">
        <v>45941</v>
      </c>
    </row>
    <row r="80" spans="1:1" ht="20.100000000000001" customHeight="1" thickBot="1" x14ac:dyDescent="0.25">
      <c r="A80" s="13">
        <v>45942</v>
      </c>
    </row>
    <row r="81" spans="1:1" ht="20.100000000000001" customHeight="1" thickBot="1" x14ac:dyDescent="0.25">
      <c r="A81" s="13">
        <v>45943</v>
      </c>
    </row>
    <row r="82" spans="1:1" ht="20.100000000000001" customHeight="1" thickBot="1" x14ac:dyDescent="0.25">
      <c r="A82" s="13">
        <v>45944</v>
      </c>
    </row>
    <row r="83" spans="1:1" ht="20.100000000000001" customHeight="1" thickBot="1" x14ac:dyDescent="0.25">
      <c r="A83" s="13">
        <v>45945</v>
      </c>
    </row>
    <row r="84" spans="1:1" ht="20.100000000000001" customHeight="1" thickBot="1" x14ac:dyDescent="0.25">
      <c r="A84" s="13">
        <v>45946</v>
      </c>
    </row>
    <row r="85" spans="1:1" ht="20.100000000000001" customHeight="1" thickBot="1" x14ac:dyDescent="0.25">
      <c r="A85" s="13">
        <v>45947</v>
      </c>
    </row>
    <row r="86" spans="1:1" ht="20.100000000000001" customHeight="1" thickBot="1" x14ac:dyDescent="0.25">
      <c r="A86" s="13">
        <v>45948</v>
      </c>
    </row>
    <row r="87" spans="1:1" ht="20.100000000000001" customHeight="1" thickBot="1" x14ac:dyDescent="0.25">
      <c r="A87" s="13">
        <v>45949</v>
      </c>
    </row>
    <row r="88" spans="1:1" ht="20.100000000000001" customHeight="1" thickBot="1" x14ac:dyDescent="0.25">
      <c r="A88" s="13">
        <v>45950</v>
      </c>
    </row>
    <row r="89" spans="1:1" ht="20.100000000000001" customHeight="1" thickBot="1" x14ac:dyDescent="0.25">
      <c r="A89" s="13">
        <v>45951</v>
      </c>
    </row>
    <row r="90" spans="1:1" ht="20.100000000000001" customHeight="1" thickBot="1" x14ac:dyDescent="0.25">
      <c r="A90" s="13">
        <v>45952</v>
      </c>
    </row>
    <row r="91" spans="1:1" ht="20.100000000000001" customHeight="1" thickBot="1" x14ac:dyDescent="0.25">
      <c r="A91" s="13">
        <v>45953</v>
      </c>
    </row>
    <row r="92" spans="1:1" ht="20.100000000000001" customHeight="1" thickBot="1" x14ac:dyDescent="0.25">
      <c r="A92" s="13">
        <v>45954</v>
      </c>
    </row>
    <row r="93" spans="1:1" ht="20.100000000000001" customHeight="1" thickBot="1" x14ac:dyDescent="0.25">
      <c r="A93" s="13">
        <v>45955</v>
      </c>
    </row>
    <row r="94" spans="1:1" ht="20.100000000000001" customHeight="1" thickBot="1" x14ac:dyDescent="0.25">
      <c r="A94" s="13">
        <v>45956</v>
      </c>
    </row>
    <row r="95" spans="1:1" ht="20.100000000000001" customHeight="1" thickBot="1" x14ac:dyDescent="0.25">
      <c r="A95" s="13">
        <v>45957</v>
      </c>
    </row>
    <row r="96" spans="1:1" ht="20.100000000000001" customHeight="1" thickBot="1" x14ac:dyDescent="0.25">
      <c r="A96" s="13">
        <v>45958</v>
      </c>
    </row>
    <row r="97" spans="1:9" ht="20.100000000000001" customHeight="1" thickBot="1" x14ac:dyDescent="0.25">
      <c r="A97" s="13">
        <v>45959</v>
      </c>
    </row>
    <row r="98" spans="1:9" ht="20.100000000000001" customHeight="1" thickBot="1" x14ac:dyDescent="0.25">
      <c r="A98" s="13">
        <v>45960</v>
      </c>
    </row>
    <row r="99" spans="1:9" ht="20.100000000000001" customHeight="1" thickBot="1" x14ac:dyDescent="0.25">
      <c r="A99" s="13">
        <v>45961</v>
      </c>
    </row>
    <row r="100" spans="1:9" ht="20.100000000000001" customHeight="1" thickBot="1" x14ac:dyDescent="0.25">
      <c r="A100" s="13">
        <v>45962</v>
      </c>
    </row>
    <row r="101" spans="1:9" ht="20.100000000000001" customHeight="1" thickBot="1" x14ac:dyDescent="0.25">
      <c r="A101" s="13">
        <v>45963</v>
      </c>
    </row>
    <row r="102" spans="1:9" ht="20.100000000000001" customHeight="1" thickBot="1" x14ac:dyDescent="0.25">
      <c r="A102" s="13">
        <v>45964</v>
      </c>
    </row>
    <row r="103" spans="1:9" ht="20.100000000000001" customHeight="1" thickBot="1" x14ac:dyDescent="0.25">
      <c r="A103" s="13">
        <v>45965</v>
      </c>
    </row>
    <row r="104" spans="1:9" ht="20.100000000000001" customHeight="1" thickBot="1" x14ac:dyDescent="0.25">
      <c r="A104" s="13">
        <v>45966</v>
      </c>
    </row>
    <row r="105" spans="1:9" ht="20.100000000000001" customHeight="1" thickBot="1" x14ac:dyDescent="0.25">
      <c r="A105" s="13">
        <v>45967</v>
      </c>
    </row>
    <row r="106" spans="1:9" ht="20.100000000000001" customHeight="1" thickBot="1" x14ac:dyDescent="0.25">
      <c r="A106" s="13">
        <v>45968</v>
      </c>
    </row>
    <row r="107" spans="1:9" ht="20.100000000000001" customHeight="1" x14ac:dyDescent="0.15">
      <c r="A107" s="14"/>
    </row>
    <row r="108" spans="1:9" ht="20.100000000000001" customHeight="1" x14ac:dyDescent="0.15">
      <c r="A108" s="14"/>
    </row>
    <row r="109" spans="1:9" s="17" customFormat="1" ht="20.100000000000001" customHeight="1" x14ac:dyDescent="0.15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"/>
    <row r="111" spans="1:9" ht="20.100000000000001" customHeight="1" thickBot="1" x14ac:dyDescent="0.25">
      <c r="A111" s="2" t="s">
        <v>61</v>
      </c>
    </row>
    <row r="112" spans="1:9" ht="20.100000000000001" customHeight="1" thickBot="1" x14ac:dyDescent="0.25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"/>
    <row r="198" spans="1:1" ht="20.100000000000001" customHeight="1" thickBot="1" x14ac:dyDescent="0.25">
      <c r="A198" s="2" t="s">
        <v>59</v>
      </c>
    </row>
    <row r="199" spans="1:1" ht="20.100000000000001" customHeight="1" x14ac:dyDescent="0.15">
      <c r="A199" s="20" t="s">
        <v>89</v>
      </c>
    </row>
    <row r="200" spans="1:1" ht="20.100000000000001" customHeight="1" x14ac:dyDescent="0.15">
      <c r="A200" s="20" t="s">
        <v>90</v>
      </c>
    </row>
    <row r="201" spans="1:1" ht="20.100000000000001" customHeight="1" x14ac:dyDescent="0.15">
      <c r="A201" s="20" t="s">
        <v>91</v>
      </c>
    </row>
    <row r="202" spans="1:1" ht="20.100000000000001" customHeight="1" x14ac:dyDescent="0.15">
      <c r="A202" s="20" t="s">
        <v>92</v>
      </c>
    </row>
    <row r="203" spans="1:1" ht="20.100000000000001" customHeight="1" x14ac:dyDescent="0.15">
      <c r="A203" s="20" t="s">
        <v>93</v>
      </c>
    </row>
    <row r="204" spans="1:1" ht="20.100000000000001" customHeight="1" x14ac:dyDescent="0.15">
      <c r="A204" s="20" t="s">
        <v>94</v>
      </c>
    </row>
    <row r="205" spans="1:1" ht="20.100000000000001" customHeight="1" x14ac:dyDescent="0.15">
      <c r="A205" s="20" t="s">
        <v>95</v>
      </c>
    </row>
    <row r="206" spans="1:1" ht="20.100000000000001" customHeight="1" x14ac:dyDescent="0.15">
      <c r="A206" s="20" t="s">
        <v>96</v>
      </c>
    </row>
    <row r="207" spans="1:1" ht="20.100000000000001" customHeight="1" x14ac:dyDescent="0.15">
      <c r="A207" s="20" t="s">
        <v>97</v>
      </c>
    </row>
    <row r="208" spans="1:1" ht="20.100000000000001" customHeight="1" x14ac:dyDescent="0.15">
      <c r="A208" s="21" t="s">
        <v>98</v>
      </c>
    </row>
    <row r="209" spans="1:1" ht="20.100000000000001" customHeight="1" x14ac:dyDescent="0.15">
      <c r="A209" s="21" t="s">
        <v>99</v>
      </c>
    </row>
    <row r="210" spans="1:1" ht="20.100000000000001" customHeight="1" x14ac:dyDescent="0.15">
      <c r="A210" s="20" t="s">
        <v>100</v>
      </c>
    </row>
    <row r="211" spans="1:1" ht="20.100000000000001" customHeight="1" x14ac:dyDescent="0.15">
      <c r="A211" s="20" t="s">
        <v>101</v>
      </c>
    </row>
    <row r="212" spans="1:1" ht="20.100000000000001" customHeight="1" x14ac:dyDescent="0.15">
      <c r="A212" s="20" t="s">
        <v>102</v>
      </c>
    </row>
    <row r="213" spans="1:1" ht="20.100000000000001" customHeight="1" x14ac:dyDescent="0.15">
      <c r="A213" s="20" t="s">
        <v>103</v>
      </c>
    </row>
    <row r="214" spans="1:1" ht="20.100000000000001" customHeight="1" x14ac:dyDescent="0.15">
      <c r="A214" s="20" t="s">
        <v>104</v>
      </c>
    </row>
    <row r="215" spans="1:1" ht="20.100000000000001" customHeight="1" x14ac:dyDescent="0.15">
      <c r="A215" s="20" t="s">
        <v>105</v>
      </c>
    </row>
    <row r="216" spans="1:1" ht="20.100000000000001" customHeight="1" x14ac:dyDescent="0.15">
      <c r="A216" s="20" t="s">
        <v>106</v>
      </c>
    </row>
    <row r="217" spans="1:1" ht="20.100000000000001" customHeight="1" x14ac:dyDescent="0.15">
      <c r="A217" s="20" t="s">
        <v>107</v>
      </c>
    </row>
    <row r="218" spans="1:1" ht="20.100000000000001" customHeight="1" x14ac:dyDescent="0.15">
      <c r="A218" s="20" t="s">
        <v>108</v>
      </c>
    </row>
    <row r="219" spans="1:1" ht="20.100000000000001" customHeight="1" x14ac:dyDescent="0.15">
      <c r="A219" s="20" t="s">
        <v>109</v>
      </c>
    </row>
    <row r="220" spans="1:1" ht="20.100000000000001" customHeight="1" x14ac:dyDescent="0.15">
      <c r="A220" s="20" t="s">
        <v>110</v>
      </c>
    </row>
    <row r="221" spans="1:1" ht="20.100000000000001" customHeight="1" x14ac:dyDescent="0.15">
      <c r="A221" s="20" t="s">
        <v>111</v>
      </c>
    </row>
    <row r="222" spans="1:1" ht="20.100000000000001" customHeight="1" x14ac:dyDescent="0.15">
      <c r="A222" s="20" t="s">
        <v>112</v>
      </c>
    </row>
    <row r="223" spans="1:1" ht="20.100000000000001" customHeight="1" x14ac:dyDescent="0.15">
      <c r="A223" s="20" t="s">
        <v>113</v>
      </c>
    </row>
    <row r="224" spans="1:1" ht="20.100000000000001" customHeight="1" x14ac:dyDescent="0.15">
      <c r="A224" s="20" t="s">
        <v>114</v>
      </c>
    </row>
    <row r="225" spans="1:1" ht="20.100000000000001" customHeight="1" x14ac:dyDescent="0.15">
      <c r="A225" s="20" t="s">
        <v>115</v>
      </c>
    </row>
    <row r="226" spans="1:1" ht="20.100000000000001" customHeight="1" x14ac:dyDescent="0.15">
      <c r="A226" s="20" t="s">
        <v>116</v>
      </c>
    </row>
    <row r="227" spans="1:1" ht="20.100000000000001" customHeight="1" x14ac:dyDescent="0.15">
      <c r="A227" s="20" t="s">
        <v>117</v>
      </c>
    </row>
    <row r="228" spans="1:1" ht="20.100000000000001" customHeight="1" x14ac:dyDescent="0.15">
      <c r="A228" s="20" t="s">
        <v>118</v>
      </c>
    </row>
    <row r="229" spans="1:1" ht="20.100000000000001" customHeight="1" x14ac:dyDescent="0.15">
      <c r="A229" s="20" t="s">
        <v>119</v>
      </c>
    </row>
    <row r="230" spans="1:1" ht="20.100000000000001" customHeight="1" x14ac:dyDescent="0.15">
      <c r="A230" s="20" t="s">
        <v>120</v>
      </c>
    </row>
    <row r="231" spans="1:1" ht="20.100000000000001" customHeight="1" x14ac:dyDescent="0.15">
      <c r="A231" s="20" t="s">
        <v>121</v>
      </c>
    </row>
    <row r="232" spans="1:1" ht="20.100000000000001" customHeight="1" x14ac:dyDescent="0.15">
      <c r="A232" s="20" t="s">
        <v>122</v>
      </c>
    </row>
    <row r="233" spans="1:1" ht="20.100000000000001" customHeight="1" x14ac:dyDescent="0.15">
      <c r="A233" s="20" t="s">
        <v>123</v>
      </c>
    </row>
    <row r="234" spans="1:1" ht="20.100000000000001" customHeight="1" x14ac:dyDescent="0.15">
      <c r="A234" s="20" t="s">
        <v>124</v>
      </c>
    </row>
    <row r="235" spans="1:1" ht="20.100000000000001" customHeight="1" x14ac:dyDescent="0.15">
      <c r="A235" s="22" t="s">
        <v>125</v>
      </c>
    </row>
    <row r="236" spans="1:1" ht="20.100000000000001" customHeight="1" x14ac:dyDescent="0.15">
      <c r="A236" s="20" t="s">
        <v>126</v>
      </c>
    </row>
    <row r="237" spans="1:1" ht="20.100000000000001" customHeight="1" x14ac:dyDescent="0.15">
      <c r="A237" s="20" t="s">
        <v>127</v>
      </c>
    </row>
    <row r="238" spans="1:1" ht="20.100000000000001" customHeight="1" x14ac:dyDescent="0.15">
      <c r="A238" s="20" t="s">
        <v>128</v>
      </c>
    </row>
    <row r="239" spans="1:1" ht="20.100000000000001" customHeight="1" x14ac:dyDescent="0.15">
      <c r="A239" s="20" t="s">
        <v>129</v>
      </c>
    </row>
    <row r="240" spans="1:1" ht="20.100000000000001" customHeight="1" x14ac:dyDescent="0.15">
      <c r="A240" s="20" t="s">
        <v>130</v>
      </c>
    </row>
    <row r="241" spans="1:1" ht="20.100000000000001" customHeight="1" x14ac:dyDescent="0.15">
      <c r="A241" s="20" t="s">
        <v>131</v>
      </c>
    </row>
    <row r="242" spans="1:1" ht="20.100000000000001" customHeight="1" x14ac:dyDescent="0.15">
      <c r="A242" s="20" t="s">
        <v>132</v>
      </c>
    </row>
    <row r="243" spans="1:1" ht="20.100000000000001" customHeight="1" x14ac:dyDescent="0.15">
      <c r="A243" s="20" t="s">
        <v>133</v>
      </c>
    </row>
    <row r="244" spans="1:1" ht="20.100000000000001" customHeight="1" x14ac:dyDescent="0.15">
      <c r="A244" s="20" t="s">
        <v>134</v>
      </c>
    </row>
    <row r="245" spans="1:1" ht="20.100000000000001" customHeight="1" x14ac:dyDescent="0.15">
      <c r="A245" s="20" t="s">
        <v>135</v>
      </c>
    </row>
    <row r="246" spans="1:1" ht="20.100000000000001" customHeight="1" x14ac:dyDescent="0.15">
      <c r="A246" s="20" t="s">
        <v>136</v>
      </c>
    </row>
    <row r="247" spans="1:1" ht="20.100000000000001" customHeight="1" x14ac:dyDescent="0.15">
      <c r="A247" s="20" t="s">
        <v>127</v>
      </c>
    </row>
    <row r="248" spans="1:1" ht="20.100000000000001" customHeight="1" x14ac:dyDescent="0.15">
      <c r="A248" s="20" t="s">
        <v>137</v>
      </c>
    </row>
    <row r="249" spans="1:1" ht="20.100000000000001" customHeight="1" x14ac:dyDescent="0.15">
      <c r="A249" s="20" t="s">
        <v>138</v>
      </c>
    </row>
    <row r="250" spans="1:1" ht="20.100000000000001" customHeight="1" x14ac:dyDescent="0.15">
      <c r="A250" s="22" t="s">
        <v>139</v>
      </c>
    </row>
    <row r="251" spans="1:1" ht="20.100000000000001" customHeight="1" x14ac:dyDescent="0.15">
      <c r="A251" s="23" t="s">
        <v>140</v>
      </c>
    </row>
    <row r="252" spans="1:1" ht="20.100000000000001" customHeight="1" x14ac:dyDescent="0.15">
      <c r="A252" s="20" t="s">
        <v>141</v>
      </c>
    </row>
    <row r="253" spans="1:1" ht="20.100000000000001" customHeight="1" x14ac:dyDescent="0.15">
      <c r="A253" s="20" t="s">
        <v>142</v>
      </c>
    </row>
    <row r="254" spans="1:1" ht="20.100000000000001" customHeight="1" x14ac:dyDescent="0.15">
      <c r="A254" s="24" t="s">
        <v>143</v>
      </c>
    </row>
    <row r="255" spans="1:1" ht="20.100000000000001" customHeight="1" x14ac:dyDescent="0.15">
      <c r="A255" s="24" t="s">
        <v>144</v>
      </c>
    </row>
    <row r="256" spans="1:1" ht="20.100000000000001" customHeight="1" x14ac:dyDescent="0.15">
      <c r="A256" s="25" t="s">
        <v>145</v>
      </c>
    </row>
    <row r="257" spans="1:1" ht="20.100000000000001" customHeight="1" x14ac:dyDescent="0.15">
      <c r="A257" s="20" t="s">
        <v>146</v>
      </c>
    </row>
    <row r="258" spans="1:1" ht="20.100000000000001" customHeight="1" x14ac:dyDescent="0.15">
      <c r="A258" s="25" t="s">
        <v>147</v>
      </c>
    </row>
    <row r="259" spans="1:1" ht="20.100000000000001" customHeight="1" x14ac:dyDescent="0.15">
      <c r="A259" s="20" t="s">
        <v>148</v>
      </c>
    </row>
    <row r="260" spans="1:1" ht="20.100000000000001" customHeight="1" x14ac:dyDescent="0.15">
      <c r="A260" s="25" t="s">
        <v>149</v>
      </c>
    </row>
    <row r="261" spans="1:1" ht="20.100000000000001" customHeight="1" x14ac:dyDescent="0.15">
      <c r="A261" s="20" t="s">
        <v>150</v>
      </c>
    </row>
    <row r="262" spans="1:1" ht="20.100000000000001" customHeight="1" x14ac:dyDescent="0.15">
      <c r="A262" s="20" t="s">
        <v>151</v>
      </c>
    </row>
    <row r="263" spans="1:1" ht="20.100000000000001" customHeight="1" x14ac:dyDescent="0.15">
      <c r="A263" s="25" t="s">
        <v>152</v>
      </c>
    </row>
    <row r="264" spans="1:1" ht="20.100000000000001" customHeight="1" x14ac:dyDescent="0.15">
      <c r="A264" s="25" t="s">
        <v>153</v>
      </c>
    </row>
    <row r="265" spans="1:1" ht="20.100000000000001" customHeight="1" x14ac:dyDescent="0.15">
      <c r="A265" s="25" t="s">
        <v>154</v>
      </c>
    </row>
    <row r="266" spans="1:1" ht="20.100000000000001" customHeight="1" x14ac:dyDescent="0.15">
      <c r="A266" s="20" t="s">
        <v>155</v>
      </c>
    </row>
    <row r="267" spans="1:1" ht="20.100000000000001" customHeight="1" x14ac:dyDescent="0.15">
      <c r="A267" s="20" t="s">
        <v>156</v>
      </c>
    </row>
    <row r="268" spans="1:1" ht="20.100000000000001" customHeight="1" x14ac:dyDescent="0.15">
      <c r="A268" s="20" t="s">
        <v>157</v>
      </c>
    </row>
    <row r="269" spans="1:1" ht="20.100000000000001" customHeight="1" x14ac:dyDescent="0.15">
      <c r="A269" s="20" t="s">
        <v>158</v>
      </c>
    </row>
    <row r="270" spans="1:1" ht="20.100000000000001" customHeight="1" x14ac:dyDescent="0.15">
      <c r="A270" s="25" t="s">
        <v>159</v>
      </c>
    </row>
    <row r="271" spans="1:1" ht="20.100000000000001" customHeight="1" x14ac:dyDescent="0.15">
      <c r="A271" s="25" t="s">
        <v>160</v>
      </c>
    </row>
    <row r="272" spans="1:1" ht="20.100000000000001" customHeight="1" x14ac:dyDescent="0.15">
      <c r="A272" s="20" t="s">
        <v>161</v>
      </c>
    </row>
    <row r="273" spans="1:1" ht="20.100000000000001" customHeight="1" x14ac:dyDescent="0.15">
      <c r="A273" s="25" t="s">
        <v>162</v>
      </c>
    </row>
    <row r="274" spans="1:1" ht="20.100000000000001" customHeight="1" x14ac:dyDescent="0.15">
      <c r="A274" s="25" t="s">
        <v>163</v>
      </c>
    </row>
    <row r="275" spans="1:1" ht="20.100000000000001" customHeight="1" x14ac:dyDescent="0.15">
      <c r="A275" s="20" t="s">
        <v>164</v>
      </c>
    </row>
    <row r="276" spans="1:1" ht="20.100000000000001" customHeight="1" x14ac:dyDescent="0.15">
      <c r="A276" s="20" t="s">
        <v>165</v>
      </c>
    </row>
    <row r="277" spans="1:1" ht="20.100000000000001" customHeight="1" x14ac:dyDescent="0.15">
      <c r="A277" s="25" t="s">
        <v>166</v>
      </c>
    </row>
    <row r="278" spans="1:1" ht="20.100000000000001" customHeight="1" x14ac:dyDescent="0.15">
      <c r="A278" s="20" t="s">
        <v>167</v>
      </c>
    </row>
    <row r="279" spans="1:1" ht="20.100000000000001" customHeight="1" x14ac:dyDescent="0.15">
      <c r="A279" s="20" t="s">
        <v>168</v>
      </c>
    </row>
    <row r="280" spans="1:1" ht="20.100000000000001" customHeight="1" x14ac:dyDescent="0.15">
      <c r="A280" s="20" t="s">
        <v>169</v>
      </c>
    </row>
    <row r="281" spans="1:1" ht="20.100000000000001" customHeight="1" x14ac:dyDescent="0.15">
      <c r="A281" s="20" t="s">
        <v>170</v>
      </c>
    </row>
    <row r="282" spans="1:1" ht="20.100000000000001" customHeight="1" x14ac:dyDescent="0.15">
      <c r="A282" s="25" t="s">
        <v>171</v>
      </c>
    </row>
    <row r="283" spans="1:1" ht="20.100000000000001" customHeight="1" x14ac:dyDescent="0.15">
      <c r="A283" s="25" t="s">
        <v>172</v>
      </c>
    </row>
    <row r="284" spans="1:1" ht="20.100000000000001" customHeight="1" x14ac:dyDescent="0.15">
      <c r="A284" s="25" t="s">
        <v>173</v>
      </c>
    </row>
    <row r="285" spans="1:1" ht="20.100000000000001" customHeight="1" thickBot="1" x14ac:dyDescent="0.2">
      <c r="A285" s="20" t="s">
        <v>174</v>
      </c>
    </row>
    <row r="286" spans="1:1" ht="20.100000000000001" customHeight="1" thickBot="1" x14ac:dyDescent="0.2">
      <c r="A286" s="2" t="s">
        <v>58</v>
      </c>
    </row>
    <row r="287" spans="1:1" ht="20.100000000000001" customHeight="1" thickBot="1" x14ac:dyDescent="0.2">
      <c r="A287" s="2" t="s">
        <v>58</v>
      </c>
    </row>
    <row r="288" spans="1:1" ht="20.100000000000001" customHeight="1" thickBot="1" x14ac:dyDescent="0.2">
      <c r="A288" s="2" t="s">
        <v>58</v>
      </c>
    </row>
    <row r="289" spans="1:1" ht="20.100000000000001" customHeight="1" thickBot="1" x14ac:dyDescent="0.2">
      <c r="A289" s="2" t="s">
        <v>58</v>
      </c>
    </row>
    <row r="290" spans="1:1" ht="20.100000000000001" customHeight="1" thickBot="1" x14ac:dyDescent="0.2">
      <c r="A290" s="2" t="s">
        <v>58</v>
      </c>
    </row>
    <row r="291" spans="1:1" ht="20.100000000000001" customHeight="1" thickBot="1" x14ac:dyDescent="0.2">
      <c r="A291" s="2" t="s">
        <v>58</v>
      </c>
    </row>
    <row r="292" spans="1:1" ht="20.100000000000001" customHeight="1" thickBot="1" x14ac:dyDescent="0.2">
      <c r="A292" s="2" t="s">
        <v>58</v>
      </c>
    </row>
    <row r="293" spans="1:1" ht="20.100000000000001" customHeight="1" thickBot="1" x14ac:dyDescent="0.2">
      <c r="A293" s="2" t="s">
        <v>58</v>
      </c>
    </row>
    <row r="294" spans="1:1" ht="20.100000000000001" customHeight="1" thickBot="1" x14ac:dyDescent="0.2">
      <c r="A294" s="2" t="s">
        <v>58</v>
      </c>
    </row>
    <row r="295" spans="1:1" ht="20.100000000000001" customHeight="1" thickBot="1" x14ac:dyDescent="0.2">
      <c r="A295" s="2" t="s">
        <v>58</v>
      </c>
    </row>
    <row r="296" spans="1:1" ht="20.100000000000001" customHeight="1" thickBot="1" x14ac:dyDescent="0.2">
      <c r="A296" s="2" t="s">
        <v>58</v>
      </c>
    </row>
    <row r="297" spans="1:1" ht="20.100000000000001" customHeight="1" thickBot="1" x14ac:dyDescent="0.2">
      <c r="A297" s="2" t="s">
        <v>58</v>
      </c>
    </row>
    <row r="298" spans="1:1" ht="20.100000000000001" customHeight="1" thickBot="1" x14ac:dyDescent="0.2">
      <c r="A298" s="2" t="s">
        <v>58</v>
      </c>
    </row>
    <row r="299" spans="1:1" ht="20.100000000000001" customHeight="1" thickBot="1" x14ac:dyDescent="0.2">
      <c r="A299" s="2" t="s">
        <v>58</v>
      </c>
    </row>
    <row r="300" spans="1:1" ht="20.100000000000001" customHeight="1" thickBot="1" x14ac:dyDescent="0.2">
      <c r="A300" s="2" t="s">
        <v>58</v>
      </c>
    </row>
    <row r="301" spans="1:1" ht="20.100000000000001" customHeight="1" thickBot="1" x14ac:dyDescent="0.2">
      <c r="A301" s="2" t="s">
        <v>58</v>
      </c>
    </row>
    <row r="302" spans="1:1" ht="20.100000000000001" customHeight="1" thickBot="1" x14ac:dyDescent="0.2">
      <c r="A302" s="2" t="s">
        <v>58</v>
      </c>
    </row>
    <row r="303" spans="1:1" ht="20.100000000000001" customHeight="1" thickBot="1" x14ac:dyDescent="0.2">
      <c r="A303" s="2" t="s">
        <v>58</v>
      </c>
    </row>
    <row r="304" spans="1:1" ht="20.100000000000001" customHeight="1" thickBot="1" x14ac:dyDescent="0.2">
      <c r="A304" s="2" t="s">
        <v>58</v>
      </c>
    </row>
    <row r="305" spans="1:1" ht="20.100000000000001" customHeight="1" thickBot="1" x14ac:dyDescent="0.2">
      <c r="A305" s="2" t="s">
        <v>58</v>
      </c>
    </row>
    <row r="306" spans="1:1" ht="20.100000000000001" customHeight="1" thickBot="1" x14ac:dyDescent="0.2">
      <c r="A306" s="2" t="s">
        <v>58</v>
      </c>
    </row>
    <row r="307" spans="1:1" ht="20.100000000000001" customHeight="1" thickBot="1" x14ac:dyDescent="0.2">
      <c r="A307" s="2" t="s">
        <v>58</v>
      </c>
    </row>
    <row r="308" spans="1:1" ht="20.100000000000001" customHeight="1" thickBot="1" x14ac:dyDescent="0.2">
      <c r="A308" s="2" t="s">
        <v>58</v>
      </c>
    </row>
    <row r="309" spans="1:1" ht="20.100000000000001" customHeight="1" thickBot="1" x14ac:dyDescent="0.2">
      <c r="A309" s="2" t="s">
        <v>58</v>
      </c>
    </row>
    <row r="310" spans="1:1" ht="20.100000000000001" customHeight="1" thickBot="1" x14ac:dyDescent="0.2">
      <c r="A310" s="2" t="s">
        <v>58</v>
      </c>
    </row>
    <row r="311" spans="1:1" ht="20.100000000000001" customHeight="1" thickBot="1" x14ac:dyDescent="0.2">
      <c r="A311" s="2" t="s">
        <v>58</v>
      </c>
    </row>
    <row r="312" spans="1:1" ht="20.100000000000001" customHeight="1" thickBot="1" x14ac:dyDescent="0.2">
      <c r="A312" s="2" t="s">
        <v>58</v>
      </c>
    </row>
    <row r="313" spans="1:1" ht="20.100000000000001" customHeight="1" thickBot="1" x14ac:dyDescent="0.2">
      <c r="A313" s="2" t="s">
        <v>58</v>
      </c>
    </row>
    <row r="314" spans="1:1" ht="20.100000000000001" customHeight="1" thickBot="1" x14ac:dyDescent="0.2">
      <c r="A314" s="2" t="s">
        <v>58</v>
      </c>
    </row>
    <row r="315" spans="1:1" ht="20.100000000000001" customHeight="1" thickBot="1" x14ac:dyDescent="0.2">
      <c r="A315" s="2" t="s">
        <v>58</v>
      </c>
    </row>
    <row r="316" spans="1:1" ht="20.100000000000001" customHeight="1" thickBot="1" x14ac:dyDescent="0.2">
      <c r="A316" s="2" t="s">
        <v>58</v>
      </c>
    </row>
    <row r="317" spans="1:1" ht="20.100000000000001" customHeight="1" thickBot="1" x14ac:dyDescent="0.2">
      <c r="A317" s="2" t="s">
        <v>58</v>
      </c>
    </row>
    <row r="318" spans="1:1" ht="20.100000000000001" customHeight="1" thickBot="1" x14ac:dyDescent="0.2">
      <c r="A318" s="2" t="s">
        <v>58</v>
      </c>
    </row>
    <row r="319" spans="1:1" ht="20.100000000000001" customHeight="1" thickBot="1" x14ac:dyDescent="0.2">
      <c r="A319" s="2" t="s">
        <v>58</v>
      </c>
    </row>
    <row r="320" spans="1:1" ht="20.100000000000001" customHeight="1" thickBot="1" x14ac:dyDescent="0.2">
      <c r="A320" s="2" t="s">
        <v>58</v>
      </c>
    </row>
    <row r="321" spans="1:1" ht="20.100000000000001" customHeight="1" thickBot="1" x14ac:dyDescent="0.2">
      <c r="A321" s="2" t="s">
        <v>58</v>
      </c>
    </row>
    <row r="322" spans="1:1" ht="20.100000000000001" customHeight="1" thickBot="1" x14ac:dyDescent="0.2">
      <c r="A322" s="2" t="s">
        <v>58</v>
      </c>
    </row>
    <row r="323" spans="1:1" ht="20.100000000000001" customHeight="1" thickBot="1" x14ac:dyDescent="0.2">
      <c r="A323" s="2" t="s">
        <v>58</v>
      </c>
    </row>
    <row r="324" spans="1:1" ht="20.100000000000001" customHeight="1" thickBot="1" x14ac:dyDescent="0.2">
      <c r="A324" s="2" t="s">
        <v>58</v>
      </c>
    </row>
    <row r="325" spans="1:1" ht="20.100000000000001" customHeight="1" thickBot="1" x14ac:dyDescent="0.2">
      <c r="A325" s="2" t="s">
        <v>58</v>
      </c>
    </row>
    <row r="326" spans="1:1" ht="20.100000000000001" customHeight="1" thickBot="1" x14ac:dyDescent="0.2">
      <c r="A326" s="2" t="s">
        <v>58</v>
      </c>
    </row>
    <row r="327" spans="1:1" ht="20.100000000000001" customHeight="1" thickBot="1" x14ac:dyDescent="0.2">
      <c r="A327" s="2" t="s">
        <v>58</v>
      </c>
    </row>
    <row r="328" spans="1:1" ht="20.100000000000001" customHeight="1" thickBot="1" x14ac:dyDescent="0.2">
      <c r="A328" s="2" t="s">
        <v>58</v>
      </c>
    </row>
    <row r="329" spans="1:1" ht="20.100000000000001" customHeight="1" thickBot="1" x14ac:dyDescent="0.2">
      <c r="A329" s="2" t="s">
        <v>58</v>
      </c>
    </row>
    <row r="330" spans="1:1" ht="20.100000000000001" customHeight="1" thickBot="1" x14ac:dyDescent="0.2">
      <c r="A330" s="2" t="s">
        <v>58</v>
      </c>
    </row>
    <row r="331" spans="1:1" ht="20.100000000000001" customHeight="1" thickBot="1" x14ac:dyDescent="0.2">
      <c r="A331" s="2" t="s">
        <v>58</v>
      </c>
    </row>
    <row r="332" spans="1:1" ht="20.100000000000001" customHeight="1" thickBot="1" x14ac:dyDescent="0.2">
      <c r="A332" s="2" t="s">
        <v>58</v>
      </c>
    </row>
    <row r="333" spans="1:1" ht="20.100000000000001" customHeight="1" thickBot="1" x14ac:dyDescent="0.2">
      <c r="A333" s="2" t="s">
        <v>58</v>
      </c>
    </row>
    <row r="334" spans="1:1" ht="20.100000000000001" customHeight="1" thickBot="1" x14ac:dyDescent="0.2">
      <c r="A334" s="2" t="s">
        <v>58</v>
      </c>
    </row>
    <row r="335" spans="1:1" ht="20.100000000000001" customHeight="1" thickBot="1" x14ac:dyDescent="0.2">
      <c r="A335" s="2" t="s">
        <v>58</v>
      </c>
    </row>
    <row r="336" spans="1:1" ht="20.100000000000001" customHeight="1" thickBot="1" x14ac:dyDescent="0.2">
      <c r="A336" s="2" t="s">
        <v>58</v>
      </c>
    </row>
    <row r="337" spans="1:1" ht="20.100000000000001" customHeight="1" thickBot="1" x14ac:dyDescent="0.2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2025-10-06T08:26:58Z</dcterms:modified>
</cp:coreProperties>
</file>