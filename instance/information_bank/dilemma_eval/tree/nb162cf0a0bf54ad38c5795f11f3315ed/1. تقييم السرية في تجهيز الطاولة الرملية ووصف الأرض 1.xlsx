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83D6293-94BE-47CE-8314-2A500786AD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3" i="2"/>
  <c r="H63" i="2"/>
  <c r="G64" i="2"/>
  <c r="H64" i="2" s="1"/>
  <c r="G65" i="2"/>
  <c r="H65" i="2"/>
  <c r="G66" i="2"/>
  <c r="H66" i="2"/>
  <c r="G67" i="2"/>
  <c r="H67" i="2"/>
  <c r="G68" i="2"/>
  <c r="H68" i="2"/>
  <c r="G69" i="2"/>
  <c r="H69" i="2"/>
  <c r="F70" i="2"/>
  <c r="E71" i="2" s="1"/>
  <c r="E72" i="2" s="1"/>
  <c r="E70" i="2"/>
</calcChain>
</file>

<file path=xl/sharedStrings.xml><?xml version="1.0" encoding="utf-8"?>
<sst xmlns="http://schemas.openxmlformats.org/spreadsheetml/2006/main" count="308" uniqueCount="246">
  <si>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</si>
  <si>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</si>
  <si>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</si>
  <si>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</si>
  <si>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</si>
  <si>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</si>
  <si>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</si>
  <si>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</si>
  <si>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</si>
  <si>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</si>
  <si>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</si>
  <si>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</si>
  <si>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</si>
  <si>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</si>
  <si>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</si>
  <si>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</si>
  <si>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</si>
  <si>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</si>
  <si>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</si>
  <si>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</si>
  <si>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</si>
  <si>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</si>
  <si>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</si>
  <si>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</si>
  <si>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</si>
  <si>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</si>
  <si>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</si>
  <si>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</si>
  <si>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</si>
  <si>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</si>
  <si>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</si>
  <si>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</si>
  <si>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</si>
  <si>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</si>
  <si>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</si>
  <si>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</si>
  <si>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</si>
  <si>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</si>
  <si>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</si>
  <si>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</si>
  <si>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</si>
  <si>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</si>
  <si>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</si>
  <si>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</si>
  <si>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</si>
  <si>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</si>
  <si>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</si>
  <si>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</si>
  <si>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</si>
  <si>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</si>
  <si>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</si>
  <si>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</si>
  <si>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</si>
  <si>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</si>
  <si>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</si>
  <si>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</si>
  <si>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</si>
  <si>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</si>
  <si>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</si>
  <si>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</si>
  <si>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</si>
  <si>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</si>
  <si>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</si>
  <si>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</si>
  <si>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تجهيز الطاولة الرملية</t>
    </r>
    <r>
      <rPr>
        <b/>
        <sz val="12"/>
        <color rgb="FF000000"/>
        <rFont val="Arial"/>
        <family val="2"/>
      </rPr>
      <t>.</t>
    </r>
  </si>
  <si>
    <t>أ.    تحديد طول وعرض الطاولة الرملية على ضوء دراسة الخريطة والمنطقة المراد تصميمها وحسب الأبعاد التالية:</t>
  </si>
  <si>
    <t>المستوى</t>
  </si>
  <si>
    <t>الطول</t>
  </si>
  <si>
    <t>العرض</t>
  </si>
  <si>
    <t>ب.  استخدام مقياس رسم الطاولة يعكس التشابه والتناسب مع الخريطة (مطابقة الطاولة للخارطة) مع بيان مقياس الطاولة وما يعادله على الطبيعة.</t>
  </si>
  <si>
    <t>جـ.  تقسيـم الطاولـة إلـى أجـزاء صغيـرة طـول كل جزء 20 سم بلونين مختلفين على التوالي ( أبيض / أسود ).</t>
  </si>
  <si>
    <t>د.    عمل مؤشر بطول مناسب قياسياً على حجم الطاولة (واحد ونصف متر مناسب) ويمكن أن يقسم إلى أجزاء (20 سم للجزء ويكون أبيض وأسود).</t>
  </si>
  <si>
    <t>هـ.  توجيه الطاولة الرملية باتجاه الشمال/العملية قدر الإمكان.</t>
  </si>
  <si>
    <t>و.    عمل شبكة الإحداثيات بواسطة الخيوط (لتحديد المواقع لاحقاً) وتوضح أرقام الإحداثيات على مربعات بلاستيكية أو ورق مقوى.</t>
  </si>
  <si>
    <t>ز.    تمثيل المرتفعات الطبيعية والاصطناعية بمقياس الرسم واقعي.</t>
  </si>
  <si>
    <t>ح.    رش الطاولة بالماء بغرض تماسك الرمل واستخدام الألوان الصحيحة في الطاولة الرملية لتوضيح الهيئات الطبيعية والصناعية، على أن يكون لون المزروعـات أخضـر، المرتفعات بنـي، مناطق الميـاه والأودية أزرق ... الخ.</t>
  </si>
  <si>
    <t>ط.    استخدام بعض الأعشاب أو القطن الملون لتمثيل المزروعات والمكعبات الخشبية لتمثيل المناطق المبنية.</t>
  </si>
  <si>
    <t>ي.    تمثيل الأسلحـة والدبابـات والآليـات والمدافع بنماذج معينة، والأشرطة الملونة لتمثيل الطرق (أبيض) والحدود (أسود).</t>
  </si>
  <si>
    <t>ك.    كتابة أسماء المعالم الهامة على لوحات صغيرة من البلاستيك أو الورق المقوى بحيث تسهل قراءتها من كل الجهات.</t>
  </si>
  <si>
    <t>ل.    وضـع مفهوم العمليات أو الخطة بالنماذج التي تمثل الرموز العسكرية للعدو ولقواتنا، أحمر/أزرق، الموانع أخضر، أسلحة التدمير الشامل أصفر.</t>
  </si>
  <si>
    <t>م.    وضع سهم يبين اتجاه الشمال لمعرفة الاتجاهات الصحيحة ومقياس الرسم لقياس المسافات والارتفاعات.</t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</si>
  <si>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</si>
  <si>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t>أ.    وصف الطاولة من قبل ضابط العمليات ويمكن أن يقوم بذلك ضابط الاستخبارات.</t>
  </si>
  <si>
    <t>ب.  اختيار مكان وقوف مناسب في مواجهة قسم الأمر وتمكن جميع الحاضرين من رؤية الطاولة الرملية واستخدام المؤشر في التأشير.</t>
  </si>
  <si>
    <t>جـ.  البسملة (بسم الله الرحمن الرحيم).</t>
  </si>
  <si>
    <t>د.    تعريف الطاولة الرملية.</t>
  </si>
  <si>
    <t>هـ.  تحديد اتجاه الشمال.</t>
  </si>
  <si>
    <t>و.    تحديد مقياس رسم الطاولة الرملية.</t>
  </si>
  <si>
    <t>ز.    التعريف بالألوان والرموز المستخدمة.</t>
  </si>
  <si>
    <t>ح.    وصف الأرض بشكل عام وتأشير المعالم البارزة في اتجاه دوران عقارب الساعة.</t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</si>
  <si>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</si>
  <si>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</si>
  <si>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</si>
  <si>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</si>
  <si>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</si>
  <si>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</si>
  <si>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</si>
  <si>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</si>
  <si>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</si>
  <si>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</si>
  <si>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</si>
  <si>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</si>
  <si>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</si>
  <si>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</si>
  <si>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</si>
  <si>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</si>
  <si>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</si>
  <si>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</si>
  <si>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</si>
  <si>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</si>
  <si>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</si>
  <si>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</si>
  <si>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</si>
  <si>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</si>
  <si>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</si>
  <si>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</si>
  <si>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</si>
  <si>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</si>
  <si>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</si>
  <si>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</si>
  <si>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</si>
  <si>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</si>
  <si>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</si>
  <si>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</si>
  <si>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</si>
  <si>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</si>
  <si>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r>
      <t>6.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</si>
  <si>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لا يطبق على الطاولات الرملية في المدارس والمعاهد ومراكز التدريب لوجود طاولات كبيرة مسبقة لغايات التدريب</t>
  </si>
  <si>
    <t>السرية</t>
  </si>
  <si>
    <t>6  م</t>
  </si>
  <si>
    <t>3 م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</si>
  <si>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</si>
  <si>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</si>
  <si>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</si>
  <si>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</si>
  <si>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</si>
  <si>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</si>
  <si>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</si>
  <si>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</si>
  <si>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</si>
  <si>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</si>
  <si>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</si>
  <si>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</si>
  <si>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</si>
  <si>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</si>
  <si>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</si>
  <si>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</si>
  <si>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</si>
  <si>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</si>
  <si>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</si>
  <si>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</si>
  <si>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</si>
  <si>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</si>
  <si>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</si>
  <si>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</si>
  <si>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</si>
  <si>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</si>
  <si>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</si>
  <si>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</si>
  <si>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</si>
  <si>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</si>
  <si>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</si>
  <si>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</si>
  <si>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</si>
  <si>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</si>
  <si>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</si>
  <si>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</si>
  <si>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</si>
  <si>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</si>
  <si>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</si>
  <si>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</si>
  <si>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</si>
  <si>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</si>
  <si>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</si>
  <si>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</si>
  <si>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</si>
  <si>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</si>
  <si>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</si>
  <si>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</si>
  <si>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</si>
  <si>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</si>
  <si>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</si>
  <si>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</si>
  <si>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</si>
  <si>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</si>
  <si>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</si>
  <si>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</si>
  <si>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</si>
  <si>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</si>
  <si>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</si>
  <si>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</si>
  <si>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</si>
  <si>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</si>
  <si>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</si>
  <si>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</si>
  <si>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</si>
  <si>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</si>
  <si>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</si>
  <si>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</si>
  <si>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</si>
  <si>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</si>
  <si>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</si>
  <si>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</si>
  <si>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</si>
  <si>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</si>
  <si>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</si>
  <si>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</si>
  <si>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</si>
  <si>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</si>
  <si>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</si>
  <si>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</si>
  <si>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</si>
  <si>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</si>
  <si>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</si>
  <si>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</si>
  <si>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</si>
  <si>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</si>
  <si>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</si>
  <si>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</si>
  <si>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</si>
  <si>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</si>
  <si>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</si>
  <si>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</si>
  <si>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</si>
  <si>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</si>
  <si>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</si>
  <si>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</si>
  <si>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</si>
  <si>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</si>
  <si>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</si>
  <si>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</si>
  <si>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</si>
  <si>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</si>
  <si>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</si>
  <si>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</si>
  <si>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</si>
  <si>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</si>
  <si>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</si>
  <si>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</si>
  <si>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</si>
  <si>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</si>
  <si>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</si>
  <si>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</si>
  <si>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</si>
  <si>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تقييم السرية/فريق القتال في تجهيز الطاولة الرملية ووصف الأرض - العمليات التعرضية
تمرين جاهزية مجموعة لواء الإمارات/1 (جندي الصحراء 2025/20)</t>
  </si>
  <si>
    <t>ملازم/1 يوسف سالم المصعبي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</si>
</sst>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5" borderId="14" xfId="0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9" fillId="0" borderId="14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9" fillId="0" borderId="14" xfId="0" applyFont="1" applyBorder="1" applyAlignment="1">
      <alignment horizontal="right" vertical="center" wrapText="1" indent="3" readingOrder="2"/>
    </xf>
    <xf numFmtId="0" fontId="9" fillId="0" borderId="3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 indent="2"/>
    </xf>
    <xf numFmtId="0" fontId="9" fillId="0" borderId="3" xfId="0" applyFont="1" applyBorder="1" applyAlignment="1">
      <alignment horizontal="right" vertical="center" wrapText="1" indent="2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9" fontId="3" fillId="0" borderId="29" xfId="0" applyNumberFormat="1" applyFont="1" applyBorder="1" applyAlignment="1">
      <alignment horizontal="center" vertical="center" wrapText="1" readingOrder="2"/>
    </xf>
    <xf numFmtId="9" fontId="3" fillId="0" borderId="30" xfId="0" applyNumberFormat="1" applyFont="1" applyBorder="1" applyAlignment="1">
      <alignment horizontal="center" vertical="center" wrapText="1" readingOrder="2"/>
    </xf>
    <xf numFmtId="9" fontId="3" fillId="0" borderId="31" xfId="0" applyNumberFormat="1" applyFont="1" applyBorder="1" applyAlignment="1">
      <alignment horizontal="center" vertical="center" wrapText="1" readingOrder="2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1"/>
    </xf>
    <xf numFmtId="0" fontId="2" fillId="0" borderId="31" xfId="0" applyFont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right" vertical="center" wrapText="1" readingOrder="2"/>
    </xf>
    <xf numFmtId="0" fontId="9" fillId="0" borderId="9" xfId="0" applyFont="1" applyBorder="1" applyAlignment="1">
      <alignment horizontal="right" vertical="center" wrapText="1" readingOrder="2"/>
    </xf>
    <xf numFmtId="0" fontId="9" fillId="0" borderId="23" xfId="0" applyFont="1" applyBorder="1" applyAlignment="1">
      <alignment horizontal="right" vertical="center" wrapText="1" readingOrder="2"/>
    </xf>
    <xf numFmtId="0" fontId="9" fillId="0" borderId="24" xfId="0" applyFont="1" applyBorder="1" applyAlignment="1">
      <alignment horizontal="right" vertical="center" wrapText="1" readingOrder="2"/>
    </xf>
    <xf numFmtId="0" fontId="9" fillId="0" borderId="25" xfId="0" applyFont="1" applyBorder="1" applyAlignment="1">
      <alignment horizontal="right" vertical="center" wrapText="1" readingOrder="2"/>
    </xf>
    <xf numFmtId="0" fontId="9" fillId="0" borderId="26" xfId="0" applyFont="1" applyBorder="1" applyAlignment="1">
      <alignment horizontal="right" vertical="center" wrapText="1" indent="1" readingOrder="2"/>
    </xf>
    <xf numFmtId="0" fontId="9" fillId="0" borderId="27" xfId="0" applyFont="1" applyBorder="1" applyAlignment="1">
      <alignment horizontal="right" vertical="center" wrapText="1" indent="1" readingOrder="2"/>
    </xf>
    <xf numFmtId="0" fontId="9" fillId="0" borderId="28" xfId="0" applyFont="1" applyBorder="1" applyAlignment="1">
      <alignment horizontal="right" vertical="center" wrapText="1" indent="1" readingOrder="2"/>
    </xf>
    <xf numFmtId="0" fontId="9" fillId="0" borderId="11" xfId="0" applyFont="1" applyBorder="1" applyAlignment="1">
      <alignment horizontal="right" vertical="center" wrapText="1" indent="3" readingOrder="2"/>
    </xf>
    <xf numFmtId="0" fontId="9" fillId="0" borderId="12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391179</xdr:colOff>
      <xdr:row>72</xdr:row>
      <xdr:rowOff>248737</xdr:rowOff>
    </xdr:from>
    <xdr:to>
      <xdr:col>9</xdr:col>
      <xdr:colOff>171795</xdr:colOff>
      <xdr:row>73</xdr:row>
      <xdr:rowOff>621556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69DEC85-6FC1-2D9C-982F-A7EFE624C711}"/>
                </a:ext>
              </a:extLst>
            </xdr14:cNvPr>
            <xdr14:cNvContentPartPr/>
          </xdr14:nvContentPartPr>
          <xdr14:nvPr macro=""/>
          <xdr14:xfrm>
            <a:off x="10428904334" y="30851640"/>
            <a:ext cx="1758240" cy="9054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69DEC85-6FC1-2D9C-982F-A7EFE624C71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8898214" y="30845520"/>
              <a:ext cx="1770480" cy="917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8T08:19:49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939 2486,'0'0,"0"0,0 0,0 0,9-10,-9-2,0 3,12-11,-8 13,1 3,25-68,5-2,-9 24,22-64,-13 32,-9 28,44-101,-29 50,-13 34,33-84,-26 70,-10 25,36-96,-31 65,-12 27,43-81,-33 73,-8 10,31-62,-25 64,-3 6,29-51,-32 57,-1 3,11-17,-21 36,2 0,9-25,-9 30,-2 0,1-10,1 21,-1 0,-1-11,-9 10,0 1,9 0,-9 5,0-1,-14 14,10-5,-17 28,-9 1,-1-2,-47 53,33-31,-1-1,-73 73,59-56,-1 0,-69 66,70-66,2-1,-72 57,69-56,1-2,-70 59,63-56,5-3,-47 58,46-65,4-4,-41 48,49-49,3-4,-22 22,40-45,0-2,-20 16,30-24,1-3,-1 7,15-15,0-2,-15 7,15-6,0 0,15-15,-6 4,0 1,57-57,-13 29,-5 4,66-53,-35 32,-9 6,95-59,-57 42,-16 8,92-30,-79 39,-9 6,108-46,-97 39,-13 7,101-24,-102 29,-7 4,80-33,-87 34,-8 4,51-7,-72 20,-8 1,33-10,-42 20,-8 0,23 0,-30 5,1 0,7-5,-5 11,-2-1,7 10,-16-3,0-2,-5 36,-10-18,-1-4,-19 75,10-38,0-7,-41 65,29-52,6-9,-34 81,23-72,4-9,-17 51,22-70,7-6,-21 57,28-62,0-4,-16 33,18-40,3-3,-1 22,-1-24,2-2,-1 16,5-20,1-2,4 12,0-16,0 0,9 6,-4-11,0 0,15-11,-5 0,1 2,32-33,-24 20,-8 3,35-33,-23 35,-8 3,23-27,-23 24,-1 3,11 3,-16 6,2 0,3 15,-10-10,3 0,18 11,-21 5,1-1,2 16,-4-9,2-3,-1 22,-9-18,0-4,11 22,-11-24,0-3,0 17,0-20,0-1,0 11,0-16,0 0,0 0,0-20,0 9,0 1,10-15,-10 9,0 1,10-11,-10 10,0 2,11-12,-6 11,-10 10,5-3,9 16,-9-8,0 0,10 6,-10-6,0 0,11 5,-6-4,0-1,-5 5,0-5,0 0,0 6,0-6,8 0,-8 3,0-6,7 6,-4-5,9 7,-7-5,-1 0,0-5,1 0,16-10,-12 10,3 0,16-21,-7 11,0 0,18-32,-7 20,-4 3,22-33,-27 30,-8 3,36-12,-36 9,1 2,14 0,-21 9,1 1,1 0,-1 4,-1 1,12-15,-16 20,-1 0,-4-11,0 6,0 21,0-6,4-5,1 0,-5 16,0-10,0-1,0 0,7 1,-2-1,-5 10,5-14,-1-1,6 5,-6-4,4-2,0-4,2 0,2 0,6-10,-8 5,1 0,19-6,-20 0,-2 2,23-12,-22 10,3 1,6 0,-6-1,-3 1,1 0,-6 4,3 2,2 4,-9-6,0 1,10 5,-10 6,0-1,0 5,0-5,0 0,0 26,0-20,0-1,0 31,0-24,0-3,0 17,0-19,0-3,0 12,5-10,-1-1,-4 0,7-5,-2 0,4-5,-5-5,1 0,7-5,-3 4,0 1,3-15,-3 3,0 2,12-5,-11 14,-1 1,12-15,-11 14,1 1,8 5,-11 6,4-1,19 5,-23-4,2-2,20 27,-14-19,-2-3,7 22,-6-20,0-1,4 21,-3-20,-2-1,8 10,-14-9,2-1,2 0,-8-4,0-1,6 5,-5-5,-20-20,-5-6,10 5,2 1,-14-37,-6-3,7 7,-20-66,22 38,-2 6,3-106,18 71,0 14,18-96,5 93,-6 13,55-76,-35 87,-4 6,24-40,-24 66,-6 4,34-28,-33 35,-5 2,26-6,-21 20,-5 2,26-2,-21 6,-5 0,25 5,-20 5,-4 0,15 16,-21-5,4-1,17 26,-17-8,-4-4,2 33,-10-23,1-5,-1 38,-15-33,0-5,-16 38,1-23,2-5,-53 40,23-35,6-5,-67 60,42-41,4-2,-97 53,69-65,12-5,-102 49,74-37,14-9,93-47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4"/>
  <sheetViews>
    <sheetView rightToLeft="1" tabSelected="1" view="pageBreakPreview" topLeftCell="A12" zoomScale="130" zoomScaleNormal="100" zoomScaleSheetLayoutView="130" workbookViewId="0">
      <selection activeCell="F39" sqref="F3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8" t="s">
        <v>244</v>
      </c>
      <c r="C1" s="49"/>
      <c r="D1" s="49"/>
      <c r="E1" s="49"/>
      <c r="F1" s="49"/>
      <c r="G1" s="49"/>
      <c r="H1" s="49"/>
      <c r="I1" s="49"/>
      <c r="J1" s="49"/>
    </row>
    <row r="2" spans="1:10" ht="30" customHeight="1" x14ac:dyDescent="0.3">
      <c r="B2" s="13" t="s">
        <v>8</v>
      </c>
      <c r="C2" s="55" t="s">
        <v>37</v>
      </c>
      <c r="D2" s="55"/>
      <c r="E2" s="13" t="s">
        <v>7</v>
      </c>
      <c r="F2" s="50" t="s">
        <v>56</v>
      </c>
      <c r="G2" s="50"/>
      <c r="H2" s="50"/>
      <c r="I2" s="50"/>
      <c r="J2" s="50"/>
    </row>
    <row r="3" spans="1:10" ht="30" customHeight="1" x14ac:dyDescent="0.3">
      <c r="B3" s="13" t="s">
        <v>9</v>
      </c>
      <c r="C3" s="55" t="s">
        <v>60</v>
      </c>
      <c r="D3" s="55"/>
      <c r="E3" s="13" t="s">
        <v>6</v>
      </c>
      <c r="F3" s="55" t="s">
        <v>170</v>
      </c>
      <c r="G3" s="55"/>
      <c r="H3" s="55"/>
      <c r="I3" s="55"/>
      <c r="J3" s="55"/>
    </row>
    <row r="4" spans="1:10" ht="30" customHeight="1" thickBot="1" x14ac:dyDescent="0.35">
      <c r="B4" s="6"/>
      <c r="C4" s="7"/>
      <c r="D4" s="7" t="s">
        <v>245</v>
      </c>
      <c r="E4" s="6"/>
      <c r="F4" s="7"/>
      <c r="G4" s="7"/>
      <c r="H4" s="8"/>
      <c r="I4" s="7"/>
      <c r="J4" s="7"/>
    </row>
    <row r="5" spans="1:10" ht="24.9" customHeight="1" x14ac:dyDescent="0.3">
      <c r="A5" s="11"/>
      <c r="B5" s="51" t="s">
        <v>0</v>
      </c>
      <c r="C5" s="52"/>
      <c r="D5" s="52"/>
      <c r="E5" s="62" t="s">
        <v>1</v>
      </c>
      <c r="F5" s="62"/>
      <c r="G5" s="62"/>
      <c r="H5" s="62"/>
      <c r="I5" s="62" t="s">
        <v>2</v>
      </c>
      <c r="J5" s="65"/>
    </row>
    <row r="6" spans="1:10" ht="24.9" customHeight="1" thickBot="1" x14ac:dyDescent="0.35">
      <c r="A6" s="11"/>
      <c r="B6" s="53"/>
      <c r="C6" s="54"/>
      <c r="D6" s="54"/>
      <c r="E6" s="12" t="s">
        <v>3</v>
      </c>
      <c r="F6" s="12" t="s">
        <v>4</v>
      </c>
      <c r="G6" s="12" t="s">
        <v>23</v>
      </c>
      <c r="H6" s="12" t="s">
        <v>24</v>
      </c>
      <c r="I6" s="66"/>
      <c r="J6" s="67"/>
    </row>
    <row r="7" spans="1:10" ht="24.9" customHeight="1" thickBot="1" x14ac:dyDescent="0.35">
      <c r="A7" s="11"/>
      <c r="B7" s="58" t="s">
        <v>21</v>
      </c>
      <c r="C7" s="59"/>
      <c r="D7" s="59"/>
      <c r="E7" s="30" t="s">
        <v>18</v>
      </c>
      <c r="F7" s="30" t="s">
        <v>19</v>
      </c>
      <c r="G7" s="30" t="s">
        <v>22</v>
      </c>
      <c r="H7" s="30" t="s">
        <v>20</v>
      </c>
      <c r="I7" s="68" t="s">
        <v>25</v>
      </c>
      <c r="J7" s="69"/>
    </row>
    <row r="8" spans="1:10" ht="30" customHeight="1" x14ac:dyDescent="0.3">
      <c r="A8" s="11"/>
      <c r="B8" s="106" t="s">
        <v>64</v>
      </c>
      <c r="C8" s="107"/>
      <c r="D8" s="107"/>
      <c r="E8" s="107"/>
      <c r="F8" s="107"/>
      <c r="G8" s="107"/>
      <c r="H8" s="107"/>
      <c r="I8" s="107"/>
      <c r="J8" s="108"/>
    </row>
    <row r="9" spans="1:10" ht="39.9" customHeight="1" x14ac:dyDescent="0.3">
      <c r="A9" s="11"/>
      <c r="B9" s="84" t="s">
        <v>65</v>
      </c>
      <c r="C9" s="85"/>
      <c r="D9" s="85"/>
      <c r="E9" s="92">
        <v>5</v>
      </c>
      <c r="F9" s="95">
        <v>3.75</v>
      </c>
      <c r="G9" s="98">
        <f>IFERROR(F9/E9,"")</f>
        <v>0.75</v>
      </c>
      <c r="H9" s="10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90" t="s">
        <v>127</v>
      </c>
      <c r="J9" s="91"/>
    </row>
    <row r="10" spans="1:10" ht="30" customHeight="1" x14ac:dyDescent="0.3">
      <c r="A10" s="11"/>
      <c r="B10" s="23" t="s">
        <v>66</v>
      </c>
      <c r="C10" s="24" t="s">
        <v>67</v>
      </c>
      <c r="D10" s="24" t="s">
        <v>68</v>
      </c>
      <c r="E10" s="92"/>
      <c r="F10" s="96"/>
      <c r="G10" s="99"/>
      <c r="H10" s="102"/>
      <c r="I10" s="90"/>
      <c r="J10" s="91"/>
    </row>
    <row r="11" spans="1:10" ht="30" customHeight="1" x14ac:dyDescent="0.3">
      <c r="A11" s="11"/>
      <c r="B11" s="23" t="s">
        <v>128</v>
      </c>
      <c r="C11" s="25" t="s">
        <v>129</v>
      </c>
      <c r="D11" s="25" t="s">
        <v>130</v>
      </c>
      <c r="E11" s="92"/>
      <c r="F11" s="97"/>
      <c r="G11" s="100"/>
      <c r="H11" s="103"/>
      <c r="I11" s="90"/>
      <c r="J11" s="91"/>
    </row>
    <row r="12" spans="1:10" ht="50.1" customHeight="1" x14ac:dyDescent="0.3">
      <c r="A12" s="11"/>
      <c r="B12" s="84" t="s">
        <v>69</v>
      </c>
      <c r="C12" s="85"/>
      <c r="D12" s="85"/>
      <c r="E12" s="9">
        <v>5</v>
      </c>
      <c r="F12" s="20">
        <v>3.5</v>
      </c>
      <c r="G12" s="32">
        <f t="shared" ref="G12:G69" si="0">IFERROR(F12/E12,"")</f>
        <v>0.7</v>
      </c>
      <c r="H12" s="33" t="str">
        <f t="shared" ref="H12:H69" si="1">_xlfn.IFS(F12="أدخل العلامة","",F12="لا ينطبق","تم الإلغاء",G12&gt;=90%,"ممتاز",G12&gt;=80%,"جيد جداً",G12&gt;=70%,"جيد",G12&gt;=60%,"مقبول",G12&lt;60%,"راسب")</f>
        <v>جيد</v>
      </c>
      <c r="I12" s="90"/>
      <c r="J12" s="91"/>
    </row>
    <row r="13" spans="1:10" ht="39.9" customHeight="1" x14ac:dyDescent="0.3">
      <c r="A13" s="11"/>
      <c r="B13" s="93" t="s">
        <v>70</v>
      </c>
      <c r="C13" s="94"/>
      <c r="D13" s="94"/>
      <c r="E13" s="9">
        <v>5</v>
      </c>
      <c r="F13" s="20">
        <v>3.75</v>
      </c>
      <c r="G13" s="32">
        <f t="shared" si="0"/>
        <v>0.75</v>
      </c>
      <c r="H13" s="33" t="str">
        <f t="shared" si="1"/>
        <v>جيد</v>
      </c>
      <c r="I13" s="60"/>
      <c r="J13" s="61"/>
    </row>
    <row r="14" spans="1:10" ht="50.1" customHeight="1" x14ac:dyDescent="0.3">
      <c r="A14" s="11"/>
      <c r="B14" s="84" t="s">
        <v>71</v>
      </c>
      <c r="C14" s="85"/>
      <c r="D14" s="85"/>
      <c r="E14" s="9">
        <v>5</v>
      </c>
      <c r="F14" s="20">
        <v>3.75</v>
      </c>
      <c r="G14" s="32">
        <f t="shared" si="0"/>
        <v>0.75</v>
      </c>
      <c r="H14" s="33" t="str">
        <f t="shared" si="1"/>
        <v>جيد</v>
      </c>
      <c r="I14" s="60"/>
      <c r="J14" s="61"/>
    </row>
    <row r="15" spans="1:10" ht="30" customHeight="1" x14ac:dyDescent="0.3">
      <c r="A15" s="11"/>
      <c r="B15" s="84" t="s">
        <v>72</v>
      </c>
      <c r="C15" s="85"/>
      <c r="D15" s="85"/>
      <c r="E15" s="9">
        <v>5</v>
      </c>
      <c r="F15" s="20">
        <v>3.5</v>
      </c>
      <c r="G15" s="32">
        <f t="shared" si="0"/>
        <v>0.7</v>
      </c>
      <c r="H15" s="33" t="str">
        <f t="shared" si="1"/>
        <v>جيد</v>
      </c>
      <c r="I15" s="60"/>
      <c r="J15" s="61"/>
    </row>
    <row r="16" spans="1:10" ht="39.9" customHeight="1" x14ac:dyDescent="0.3">
      <c r="A16" s="11"/>
      <c r="B16" s="84" t="s">
        <v>73</v>
      </c>
      <c r="C16" s="85"/>
      <c r="D16" s="85"/>
      <c r="E16" s="9">
        <v>5</v>
      </c>
      <c r="F16" s="20">
        <v>3.5</v>
      </c>
      <c r="G16" s="32">
        <f t="shared" si="0"/>
        <v>0.7</v>
      </c>
      <c r="H16" s="33" t="str">
        <f t="shared" si="1"/>
        <v>جيد</v>
      </c>
      <c r="I16" s="60"/>
      <c r="J16" s="61"/>
    </row>
    <row r="17" spans="1:10" ht="30" customHeight="1" x14ac:dyDescent="0.3">
      <c r="A17" s="11"/>
      <c r="B17" s="84" t="s">
        <v>74</v>
      </c>
      <c r="C17" s="85"/>
      <c r="D17" s="85"/>
      <c r="E17" s="9">
        <v>5</v>
      </c>
      <c r="F17" s="20">
        <v>3.5</v>
      </c>
      <c r="G17" s="32">
        <f t="shared" si="0"/>
        <v>0.7</v>
      </c>
      <c r="H17" s="33" t="str">
        <f t="shared" si="1"/>
        <v>جيد</v>
      </c>
      <c r="I17" s="60"/>
      <c r="J17" s="61"/>
    </row>
    <row r="18" spans="1:10" ht="68.25" customHeight="1" x14ac:dyDescent="0.3">
      <c r="A18" s="11"/>
      <c r="B18" s="84" t="s">
        <v>75</v>
      </c>
      <c r="C18" s="85"/>
      <c r="D18" s="85"/>
      <c r="E18" s="9">
        <v>5</v>
      </c>
      <c r="F18" s="20">
        <v>4.25</v>
      </c>
      <c r="G18" s="32">
        <f t="shared" si="0"/>
        <v>0.85</v>
      </c>
      <c r="H18" s="33" t="str">
        <f t="shared" si="1"/>
        <v>جيد جداً</v>
      </c>
      <c r="I18" s="60"/>
      <c r="J18" s="61"/>
    </row>
    <row r="19" spans="1:10" ht="39.9" customHeight="1" x14ac:dyDescent="0.3">
      <c r="A19" s="11"/>
      <c r="B19" s="84" t="s">
        <v>76</v>
      </c>
      <c r="C19" s="85"/>
      <c r="D19" s="85"/>
      <c r="E19" s="9">
        <v>5</v>
      </c>
      <c r="F19" s="20">
        <v>3.5</v>
      </c>
      <c r="G19" s="32">
        <f t="shared" si="0"/>
        <v>0.7</v>
      </c>
      <c r="H19" s="33" t="str">
        <f t="shared" si="1"/>
        <v>جيد</v>
      </c>
      <c r="I19" s="60"/>
      <c r="J19" s="61"/>
    </row>
    <row r="20" spans="1:10" ht="39.9" customHeight="1" x14ac:dyDescent="0.3">
      <c r="A20" s="11"/>
      <c r="B20" s="84" t="s">
        <v>77</v>
      </c>
      <c r="C20" s="85"/>
      <c r="D20" s="85"/>
      <c r="E20" s="9">
        <v>5</v>
      </c>
      <c r="F20" s="20">
        <v>3.75</v>
      </c>
      <c r="G20" s="32">
        <f t="shared" si="0"/>
        <v>0.75</v>
      </c>
      <c r="H20" s="33" t="str">
        <f t="shared" si="1"/>
        <v>جيد</v>
      </c>
      <c r="I20" s="60"/>
      <c r="J20" s="61"/>
    </row>
    <row r="21" spans="1:10" ht="39.9" customHeight="1" x14ac:dyDescent="0.3">
      <c r="A21" s="11"/>
      <c r="B21" s="84" t="s">
        <v>78</v>
      </c>
      <c r="C21" s="85"/>
      <c r="D21" s="85"/>
      <c r="E21" s="9">
        <v>5</v>
      </c>
      <c r="F21" s="20">
        <v>3.75</v>
      </c>
      <c r="G21" s="32">
        <f t="shared" si="0"/>
        <v>0.75</v>
      </c>
      <c r="H21" s="33" t="str">
        <f t="shared" si="1"/>
        <v>جيد</v>
      </c>
      <c r="I21" s="60"/>
      <c r="J21" s="61"/>
    </row>
    <row r="22" spans="1:10" ht="50.1" customHeight="1" x14ac:dyDescent="0.3">
      <c r="A22" s="11"/>
      <c r="B22" s="84" t="s">
        <v>79</v>
      </c>
      <c r="C22" s="85"/>
      <c r="D22" s="85"/>
      <c r="E22" s="9">
        <v>5</v>
      </c>
      <c r="F22" s="20">
        <v>3.75</v>
      </c>
      <c r="G22" s="32">
        <f t="shared" si="0"/>
        <v>0.75</v>
      </c>
      <c r="H22" s="33" t="str">
        <f t="shared" si="1"/>
        <v>جيد</v>
      </c>
      <c r="I22" s="60"/>
      <c r="J22" s="61"/>
    </row>
    <row r="23" spans="1:10" ht="39.9" customHeight="1" thickBot="1" x14ac:dyDescent="0.35">
      <c r="A23" s="11"/>
      <c r="B23" s="86" t="s">
        <v>80</v>
      </c>
      <c r="C23" s="87"/>
      <c r="D23" s="87"/>
      <c r="E23" s="26">
        <v>5</v>
      </c>
      <c r="F23" s="22">
        <v>3.75</v>
      </c>
      <c r="G23" s="34">
        <f t="shared" si="0"/>
        <v>0.75</v>
      </c>
      <c r="H23" s="35" t="str">
        <f t="shared" si="1"/>
        <v>جيد</v>
      </c>
      <c r="I23" s="63"/>
      <c r="J23" s="64"/>
    </row>
    <row r="24" spans="1:10" ht="30" customHeight="1" x14ac:dyDescent="0.3">
      <c r="A24" s="11"/>
      <c r="B24" s="106" t="s">
        <v>81</v>
      </c>
      <c r="C24" s="107"/>
      <c r="D24" s="107"/>
      <c r="E24" s="107"/>
      <c r="F24" s="107"/>
      <c r="G24" s="107"/>
      <c r="H24" s="107"/>
      <c r="I24" s="107"/>
      <c r="J24" s="108"/>
    </row>
    <row r="25" spans="1:10" ht="39.9" customHeight="1" x14ac:dyDescent="0.3">
      <c r="A25" s="11"/>
      <c r="B25" s="84" t="s">
        <v>82</v>
      </c>
      <c r="C25" s="85"/>
      <c r="D25" s="85"/>
      <c r="E25" s="9">
        <v>5</v>
      </c>
      <c r="F25" s="20">
        <v>3.75</v>
      </c>
      <c r="G25" s="32">
        <f t="shared" si="0"/>
        <v>0.75</v>
      </c>
      <c r="H25" s="33" t="str">
        <f t="shared" si="1"/>
        <v>جيد</v>
      </c>
      <c r="I25" s="60"/>
      <c r="J25" s="61"/>
    </row>
    <row r="26" spans="1:10" ht="39.9" customHeight="1" x14ac:dyDescent="0.3">
      <c r="A26" s="11"/>
      <c r="B26" s="84" t="s">
        <v>83</v>
      </c>
      <c r="C26" s="85"/>
      <c r="D26" s="85"/>
      <c r="E26" s="9">
        <v>10</v>
      </c>
      <c r="F26" s="20">
        <v>7</v>
      </c>
      <c r="G26" s="32">
        <f t="shared" si="0"/>
        <v>0.7</v>
      </c>
      <c r="H26" s="33" t="str">
        <f t="shared" si="1"/>
        <v>جيد</v>
      </c>
      <c r="I26" s="60"/>
      <c r="J26" s="61"/>
    </row>
    <row r="27" spans="1:10" ht="30" customHeight="1" x14ac:dyDescent="0.3">
      <c r="A27" s="11"/>
      <c r="B27" s="84" t="s">
        <v>84</v>
      </c>
      <c r="C27" s="85"/>
      <c r="D27" s="85"/>
      <c r="E27" s="9">
        <v>5</v>
      </c>
      <c r="F27" s="20">
        <v>4</v>
      </c>
      <c r="G27" s="32">
        <f t="shared" si="0"/>
        <v>0.8</v>
      </c>
      <c r="H27" s="33" t="str">
        <f t="shared" si="1"/>
        <v>جيد جداً</v>
      </c>
      <c r="I27" s="60"/>
      <c r="J27" s="61"/>
    </row>
    <row r="28" spans="1:10" ht="30" customHeight="1" x14ac:dyDescent="0.3">
      <c r="A28" s="11"/>
      <c r="B28" s="84" t="s">
        <v>85</v>
      </c>
      <c r="C28" s="85"/>
      <c r="D28" s="85"/>
      <c r="E28" s="9">
        <v>5</v>
      </c>
      <c r="F28" s="20">
        <v>3.5</v>
      </c>
      <c r="G28" s="32">
        <f t="shared" si="0"/>
        <v>0.7</v>
      </c>
      <c r="H28" s="33" t="str">
        <f t="shared" si="1"/>
        <v>جيد</v>
      </c>
      <c r="I28" s="60"/>
      <c r="J28" s="61"/>
    </row>
    <row r="29" spans="1:10" ht="30" customHeight="1" x14ac:dyDescent="0.3">
      <c r="A29" s="11"/>
      <c r="B29" s="84" t="s">
        <v>86</v>
      </c>
      <c r="C29" s="85"/>
      <c r="D29" s="85"/>
      <c r="E29" s="9">
        <v>5</v>
      </c>
      <c r="F29" s="20">
        <v>3.5</v>
      </c>
      <c r="G29" s="32">
        <f t="shared" si="0"/>
        <v>0.7</v>
      </c>
      <c r="H29" s="33" t="str">
        <f t="shared" si="1"/>
        <v>جيد</v>
      </c>
      <c r="I29" s="60"/>
      <c r="J29" s="61"/>
    </row>
    <row r="30" spans="1:10" ht="30" customHeight="1" x14ac:dyDescent="0.3">
      <c r="A30" s="11"/>
      <c r="B30" s="84" t="s">
        <v>87</v>
      </c>
      <c r="C30" s="85"/>
      <c r="D30" s="85"/>
      <c r="E30" s="9">
        <v>5</v>
      </c>
      <c r="F30" s="20">
        <v>4.25</v>
      </c>
      <c r="G30" s="32">
        <f t="shared" si="0"/>
        <v>0.85</v>
      </c>
      <c r="H30" s="33" t="str">
        <f t="shared" si="1"/>
        <v>جيد جداً</v>
      </c>
      <c r="I30" s="60"/>
      <c r="J30" s="61"/>
    </row>
    <row r="31" spans="1:10" ht="30" customHeight="1" x14ac:dyDescent="0.3">
      <c r="A31" s="11"/>
      <c r="B31" s="84" t="s">
        <v>88</v>
      </c>
      <c r="C31" s="85"/>
      <c r="D31" s="85"/>
      <c r="E31" s="9">
        <v>5</v>
      </c>
      <c r="F31" s="20">
        <v>3.5</v>
      </c>
      <c r="G31" s="32">
        <f t="shared" si="0"/>
        <v>0.7</v>
      </c>
      <c r="H31" s="33" t="str">
        <f t="shared" si="1"/>
        <v>جيد</v>
      </c>
      <c r="I31" s="60"/>
      <c r="J31" s="61"/>
    </row>
    <row r="32" spans="1:10" ht="50.1" customHeight="1" thickBot="1" x14ac:dyDescent="0.35">
      <c r="A32" s="11"/>
      <c r="B32" s="86" t="s">
        <v>89</v>
      </c>
      <c r="C32" s="87"/>
      <c r="D32" s="87"/>
      <c r="E32" s="26">
        <v>10</v>
      </c>
      <c r="F32" s="22">
        <v>7.75</v>
      </c>
      <c r="G32" s="34">
        <f t="shared" si="0"/>
        <v>0.77500000000000002</v>
      </c>
      <c r="H32" s="35" t="str">
        <f t="shared" si="1"/>
        <v>جيد</v>
      </c>
      <c r="I32" s="63"/>
      <c r="J32" s="64"/>
    </row>
    <row r="33" spans="1:10" ht="30" customHeight="1" x14ac:dyDescent="0.3">
      <c r="A33" s="11"/>
      <c r="B33" s="106" t="s">
        <v>90</v>
      </c>
      <c r="C33" s="107"/>
      <c r="D33" s="107"/>
      <c r="E33" s="107"/>
      <c r="F33" s="107"/>
      <c r="G33" s="107"/>
      <c r="H33" s="107"/>
      <c r="I33" s="107"/>
      <c r="J33" s="108"/>
    </row>
    <row r="34" spans="1:10" ht="30" customHeight="1" x14ac:dyDescent="0.3">
      <c r="A34" s="11"/>
      <c r="B34" s="84" t="s">
        <v>91</v>
      </c>
      <c r="C34" s="85"/>
      <c r="D34" s="85"/>
      <c r="E34" s="9">
        <v>10</v>
      </c>
      <c r="F34" s="20">
        <v>7.75</v>
      </c>
      <c r="G34" s="32">
        <f t="shared" si="0"/>
        <v>0.77500000000000002</v>
      </c>
      <c r="H34" s="33" t="str">
        <f t="shared" si="1"/>
        <v>جيد</v>
      </c>
      <c r="I34" s="60"/>
      <c r="J34" s="61"/>
    </row>
    <row r="35" spans="1:10" ht="30" customHeight="1" x14ac:dyDescent="0.3">
      <c r="A35" s="11"/>
      <c r="B35" s="84" t="s">
        <v>92</v>
      </c>
      <c r="C35" s="85"/>
      <c r="D35" s="85"/>
      <c r="E35" s="9">
        <v>10</v>
      </c>
      <c r="F35" s="20">
        <v>7.75</v>
      </c>
      <c r="G35" s="32">
        <f t="shared" si="0"/>
        <v>0.77500000000000002</v>
      </c>
      <c r="H35" s="33" t="str">
        <f t="shared" si="1"/>
        <v>جيد</v>
      </c>
      <c r="I35" s="60"/>
      <c r="J35" s="61"/>
    </row>
    <row r="36" spans="1:10" ht="30" customHeight="1" x14ac:dyDescent="0.3">
      <c r="A36" s="11"/>
      <c r="B36" s="84" t="s">
        <v>93</v>
      </c>
      <c r="C36" s="85"/>
      <c r="D36" s="85"/>
      <c r="E36" s="9">
        <v>10</v>
      </c>
      <c r="F36" s="20">
        <v>7.75</v>
      </c>
      <c r="G36" s="32">
        <f t="shared" si="0"/>
        <v>0.77500000000000002</v>
      </c>
      <c r="H36" s="33" t="str">
        <f t="shared" si="1"/>
        <v>جيد</v>
      </c>
      <c r="I36" s="60"/>
      <c r="J36" s="61"/>
    </row>
    <row r="37" spans="1:10" ht="30" customHeight="1" thickBot="1" x14ac:dyDescent="0.35">
      <c r="A37" s="11"/>
      <c r="B37" s="86" t="s">
        <v>94</v>
      </c>
      <c r="C37" s="87"/>
      <c r="D37" s="87"/>
      <c r="E37" s="26">
        <v>10</v>
      </c>
      <c r="F37" s="22">
        <v>7.75</v>
      </c>
      <c r="G37" s="34">
        <f t="shared" si="0"/>
        <v>0.77500000000000002</v>
      </c>
      <c r="H37" s="35" t="str">
        <f t="shared" si="1"/>
        <v>جيد</v>
      </c>
      <c r="I37" s="63"/>
      <c r="J37" s="64"/>
    </row>
    <row r="38" spans="1:10" ht="30" customHeight="1" x14ac:dyDescent="0.3">
      <c r="A38" s="11"/>
      <c r="B38" s="106" t="s">
        <v>95</v>
      </c>
      <c r="C38" s="107"/>
      <c r="D38" s="107"/>
      <c r="E38" s="107"/>
      <c r="F38" s="107"/>
      <c r="G38" s="107"/>
      <c r="H38" s="107"/>
      <c r="I38" s="107"/>
      <c r="J38" s="108"/>
    </row>
    <row r="39" spans="1:10" ht="30" customHeight="1" x14ac:dyDescent="0.3">
      <c r="A39" s="11"/>
      <c r="B39" s="84" t="s">
        <v>96</v>
      </c>
      <c r="C39" s="85"/>
      <c r="D39" s="85"/>
      <c r="E39" s="9">
        <v>5</v>
      </c>
      <c r="F39" s="20">
        <v>3.5</v>
      </c>
      <c r="G39" s="32">
        <f t="shared" si="0"/>
        <v>0.7</v>
      </c>
      <c r="H39" s="33" t="str">
        <f t="shared" si="1"/>
        <v>جيد</v>
      </c>
      <c r="I39" s="60"/>
      <c r="J39" s="61"/>
    </row>
    <row r="40" spans="1:10" ht="50.1" customHeight="1" x14ac:dyDescent="0.3">
      <c r="A40" s="11"/>
      <c r="B40" s="84" t="s">
        <v>97</v>
      </c>
      <c r="C40" s="85"/>
      <c r="D40" s="85"/>
      <c r="E40" s="9">
        <v>5</v>
      </c>
      <c r="F40" s="20">
        <v>3.5</v>
      </c>
      <c r="G40" s="32">
        <f t="shared" si="0"/>
        <v>0.7</v>
      </c>
      <c r="H40" s="33" t="str">
        <f t="shared" si="1"/>
        <v>جيد</v>
      </c>
      <c r="I40" s="60"/>
      <c r="J40" s="61"/>
    </row>
    <row r="41" spans="1:10" ht="30" customHeight="1" x14ac:dyDescent="0.3">
      <c r="A41" s="11"/>
      <c r="B41" s="84" t="s">
        <v>98</v>
      </c>
      <c r="C41" s="85"/>
      <c r="D41" s="85"/>
      <c r="E41" s="9">
        <v>5</v>
      </c>
      <c r="F41" s="20">
        <v>3.5</v>
      </c>
      <c r="G41" s="32">
        <f t="shared" si="0"/>
        <v>0.7</v>
      </c>
      <c r="H41" s="33" t="str">
        <f t="shared" si="1"/>
        <v>جيد</v>
      </c>
      <c r="I41" s="60"/>
      <c r="J41" s="61"/>
    </row>
    <row r="42" spans="1:10" ht="30" customHeight="1" x14ac:dyDescent="0.3">
      <c r="A42" s="11"/>
      <c r="B42" s="84" t="s">
        <v>99</v>
      </c>
      <c r="C42" s="85"/>
      <c r="D42" s="85"/>
      <c r="E42" s="9">
        <v>5</v>
      </c>
      <c r="F42" s="20">
        <v>3.5</v>
      </c>
      <c r="G42" s="32">
        <f t="shared" si="0"/>
        <v>0.7</v>
      </c>
      <c r="H42" s="33" t="str">
        <f t="shared" si="1"/>
        <v>جيد</v>
      </c>
      <c r="I42" s="60"/>
      <c r="J42" s="61"/>
    </row>
    <row r="43" spans="1:10" ht="30" customHeight="1" x14ac:dyDescent="0.3">
      <c r="A43" s="11"/>
      <c r="B43" s="84" t="s">
        <v>100</v>
      </c>
      <c r="C43" s="85"/>
      <c r="D43" s="85"/>
      <c r="E43" s="9">
        <v>5</v>
      </c>
      <c r="F43" s="20">
        <v>3.75</v>
      </c>
      <c r="G43" s="32">
        <f t="shared" si="0"/>
        <v>0.75</v>
      </c>
      <c r="H43" s="33" t="str">
        <f t="shared" si="1"/>
        <v>جيد</v>
      </c>
      <c r="I43" s="60"/>
      <c r="J43" s="61"/>
    </row>
    <row r="44" spans="1:10" ht="30" customHeight="1" x14ac:dyDescent="0.3">
      <c r="A44" s="11"/>
      <c r="B44" s="84" t="s">
        <v>101</v>
      </c>
      <c r="C44" s="85"/>
      <c r="D44" s="85"/>
      <c r="E44" s="9">
        <v>5</v>
      </c>
      <c r="F44" s="20">
        <v>3.75</v>
      </c>
      <c r="G44" s="32">
        <f t="shared" si="0"/>
        <v>0.75</v>
      </c>
      <c r="H44" s="33" t="str">
        <f t="shared" si="1"/>
        <v>جيد</v>
      </c>
      <c r="I44" s="60"/>
      <c r="J44" s="61"/>
    </row>
    <row r="45" spans="1:10" ht="39.9" customHeight="1" x14ac:dyDescent="0.3">
      <c r="A45" s="11"/>
      <c r="B45" s="84" t="s">
        <v>102</v>
      </c>
      <c r="C45" s="85"/>
      <c r="D45" s="85"/>
      <c r="E45" s="9">
        <v>5</v>
      </c>
      <c r="F45" s="20">
        <v>3.75</v>
      </c>
      <c r="G45" s="32">
        <f t="shared" si="0"/>
        <v>0.75</v>
      </c>
      <c r="H45" s="33" t="str">
        <f t="shared" si="1"/>
        <v>جيد</v>
      </c>
      <c r="I45" s="60"/>
      <c r="J45" s="61"/>
    </row>
    <row r="46" spans="1:10" ht="30" customHeight="1" x14ac:dyDescent="0.3">
      <c r="A46" s="11"/>
      <c r="B46" s="84" t="s">
        <v>103</v>
      </c>
      <c r="C46" s="85"/>
      <c r="D46" s="85"/>
      <c r="E46" s="9">
        <v>5</v>
      </c>
      <c r="F46" s="20">
        <v>3.75</v>
      </c>
      <c r="G46" s="32">
        <f t="shared" si="0"/>
        <v>0.75</v>
      </c>
      <c r="H46" s="33" t="str">
        <f t="shared" si="1"/>
        <v>جيد</v>
      </c>
      <c r="I46" s="60"/>
      <c r="J46" s="61"/>
    </row>
    <row r="47" spans="1:10" ht="30" customHeight="1" x14ac:dyDescent="0.3">
      <c r="A47" s="11"/>
      <c r="B47" s="84" t="s">
        <v>104</v>
      </c>
      <c r="C47" s="85"/>
      <c r="D47" s="85"/>
      <c r="E47" s="9">
        <v>5</v>
      </c>
      <c r="F47" s="20">
        <v>3.75</v>
      </c>
      <c r="G47" s="32">
        <f t="shared" si="0"/>
        <v>0.75</v>
      </c>
      <c r="H47" s="33" t="str">
        <f t="shared" si="1"/>
        <v>جيد</v>
      </c>
      <c r="I47" s="60"/>
      <c r="J47" s="61"/>
    </row>
    <row r="48" spans="1:10" ht="30" customHeight="1" x14ac:dyDescent="0.3">
      <c r="A48" s="11"/>
      <c r="B48" s="84" t="s">
        <v>105</v>
      </c>
      <c r="C48" s="85"/>
      <c r="D48" s="85"/>
      <c r="E48" s="9">
        <v>5</v>
      </c>
      <c r="F48" s="20">
        <v>3.75</v>
      </c>
      <c r="G48" s="32">
        <f t="shared" si="0"/>
        <v>0.75</v>
      </c>
      <c r="H48" s="33" t="str">
        <f t="shared" si="1"/>
        <v>جيد</v>
      </c>
      <c r="I48" s="60"/>
      <c r="J48" s="61"/>
    </row>
    <row r="49" spans="1:10" ht="30" customHeight="1" x14ac:dyDescent="0.3">
      <c r="A49" s="11"/>
      <c r="B49" s="109" t="s">
        <v>106</v>
      </c>
      <c r="C49" s="110"/>
      <c r="D49" s="111"/>
      <c r="E49" s="27"/>
      <c r="F49" s="20"/>
      <c r="G49" s="32"/>
      <c r="H49" s="33"/>
      <c r="I49" s="60"/>
      <c r="J49" s="61"/>
    </row>
    <row r="50" spans="1:10" ht="30" customHeight="1" x14ac:dyDescent="0.3">
      <c r="A50" s="11"/>
      <c r="B50" s="88" t="s">
        <v>107</v>
      </c>
      <c r="C50" s="89"/>
      <c r="D50" s="89"/>
      <c r="E50" s="28">
        <v>5</v>
      </c>
      <c r="F50" s="20">
        <v>3.75</v>
      </c>
      <c r="G50" s="32">
        <f t="shared" si="0"/>
        <v>0.75</v>
      </c>
      <c r="H50" s="33" t="str">
        <f t="shared" si="1"/>
        <v>جيد</v>
      </c>
      <c r="I50" s="60"/>
      <c r="J50" s="61"/>
    </row>
    <row r="51" spans="1:10" ht="30" customHeight="1" x14ac:dyDescent="0.3">
      <c r="A51" s="11"/>
      <c r="B51" s="88" t="s">
        <v>108</v>
      </c>
      <c r="C51" s="89"/>
      <c r="D51" s="89"/>
      <c r="E51" s="28">
        <v>5</v>
      </c>
      <c r="F51" s="20">
        <v>3.5</v>
      </c>
      <c r="G51" s="32">
        <f t="shared" si="0"/>
        <v>0.7</v>
      </c>
      <c r="H51" s="33" t="str">
        <f t="shared" si="1"/>
        <v>جيد</v>
      </c>
      <c r="I51" s="60"/>
      <c r="J51" s="61"/>
    </row>
    <row r="52" spans="1:10" ht="50.1" customHeight="1" x14ac:dyDescent="0.3">
      <c r="A52" s="11"/>
      <c r="B52" s="88" t="s">
        <v>109</v>
      </c>
      <c r="C52" s="89"/>
      <c r="D52" s="89"/>
      <c r="E52" s="28">
        <v>5</v>
      </c>
      <c r="F52" s="20">
        <v>3.5</v>
      </c>
      <c r="G52" s="32">
        <f t="shared" si="0"/>
        <v>0.7</v>
      </c>
      <c r="H52" s="33" t="str">
        <f t="shared" si="1"/>
        <v>جيد</v>
      </c>
      <c r="I52" s="60"/>
      <c r="J52" s="61"/>
    </row>
    <row r="53" spans="1:10" ht="30" customHeight="1" x14ac:dyDescent="0.3">
      <c r="A53" s="11"/>
      <c r="B53" s="88" t="s">
        <v>110</v>
      </c>
      <c r="C53" s="89"/>
      <c r="D53" s="89"/>
      <c r="E53" s="28">
        <v>5</v>
      </c>
      <c r="F53" s="20">
        <v>3.5</v>
      </c>
      <c r="G53" s="32">
        <f t="shared" si="0"/>
        <v>0.7</v>
      </c>
      <c r="H53" s="33" t="str">
        <f t="shared" si="1"/>
        <v>جيد</v>
      </c>
      <c r="I53" s="60"/>
      <c r="J53" s="61"/>
    </row>
    <row r="54" spans="1:10" ht="30" customHeight="1" x14ac:dyDescent="0.3">
      <c r="A54" s="11"/>
      <c r="B54" s="88" t="s">
        <v>111</v>
      </c>
      <c r="C54" s="89"/>
      <c r="D54" s="89"/>
      <c r="E54" s="28">
        <v>5</v>
      </c>
      <c r="F54" s="20">
        <v>3.75</v>
      </c>
      <c r="G54" s="32">
        <f t="shared" si="0"/>
        <v>0.75</v>
      </c>
      <c r="H54" s="33" t="str">
        <f t="shared" si="1"/>
        <v>جيد</v>
      </c>
      <c r="I54" s="60"/>
      <c r="J54" s="61"/>
    </row>
    <row r="55" spans="1:10" ht="30" customHeight="1" x14ac:dyDescent="0.3">
      <c r="A55" s="11"/>
      <c r="B55" s="88" t="s">
        <v>112</v>
      </c>
      <c r="C55" s="89"/>
      <c r="D55" s="89"/>
      <c r="E55" s="28">
        <v>5</v>
      </c>
      <c r="F55" s="20">
        <v>3.75</v>
      </c>
      <c r="G55" s="32">
        <f t="shared" si="0"/>
        <v>0.75</v>
      </c>
      <c r="H55" s="33" t="str">
        <f t="shared" si="1"/>
        <v>جيد</v>
      </c>
      <c r="I55" s="60"/>
      <c r="J55" s="61"/>
    </row>
    <row r="56" spans="1:10" ht="30" customHeight="1" x14ac:dyDescent="0.3">
      <c r="A56" s="11"/>
      <c r="B56" s="88" t="s">
        <v>113</v>
      </c>
      <c r="C56" s="89"/>
      <c r="D56" s="89"/>
      <c r="E56" s="28">
        <v>5</v>
      </c>
      <c r="F56" s="20">
        <v>3.75</v>
      </c>
      <c r="G56" s="32">
        <f t="shared" si="0"/>
        <v>0.75</v>
      </c>
      <c r="H56" s="33" t="str">
        <f t="shared" si="1"/>
        <v>جيد</v>
      </c>
      <c r="I56" s="60"/>
      <c r="J56" s="61"/>
    </row>
    <row r="57" spans="1:10" ht="30" customHeight="1" x14ac:dyDescent="0.3">
      <c r="A57" s="11"/>
      <c r="B57" s="88" t="s">
        <v>114</v>
      </c>
      <c r="C57" s="89"/>
      <c r="D57" s="89"/>
      <c r="E57" s="28">
        <v>5</v>
      </c>
      <c r="F57" s="20">
        <v>3.5</v>
      </c>
      <c r="G57" s="32">
        <f t="shared" si="0"/>
        <v>0.7</v>
      </c>
      <c r="H57" s="33" t="str">
        <f t="shared" si="1"/>
        <v>جيد</v>
      </c>
      <c r="I57" s="60"/>
      <c r="J57" s="61"/>
    </row>
    <row r="58" spans="1:10" ht="30" customHeight="1" x14ac:dyDescent="0.3">
      <c r="A58" s="11"/>
      <c r="B58" s="88" t="s">
        <v>115</v>
      </c>
      <c r="C58" s="89"/>
      <c r="D58" s="89"/>
      <c r="E58" s="28">
        <v>5</v>
      </c>
      <c r="F58" s="20">
        <v>3.5</v>
      </c>
      <c r="G58" s="32">
        <f t="shared" si="0"/>
        <v>0.7</v>
      </c>
      <c r="H58" s="33" t="str">
        <f t="shared" si="1"/>
        <v>جيد</v>
      </c>
      <c r="I58" s="60"/>
      <c r="J58" s="61"/>
    </row>
    <row r="59" spans="1:10" ht="30" customHeight="1" x14ac:dyDescent="0.3">
      <c r="A59" s="11"/>
      <c r="B59" s="88" t="s">
        <v>116</v>
      </c>
      <c r="C59" s="89"/>
      <c r="D59" s="89"/>
      <c r="E59" s="28">
        <v>5</v>
      </c>
      <c r="F59" s="20">
        <v>3.5</v>
      </c>
      <c r="G59" s="32">
        <f t="shared" si="0"/>
        <v>0.7</v>
      </c>
      <c r="H59" s="33" t="str">
        <f t="shared" si="1"/>
        <v>جيد</v>
      </c>
      <c r="I59" s="60"/>
      <c r="J59" s="61"/>
    </row>
    <row r="60" spans="1:10" ht="30" customHeight="1" x14ac:dyDescent="0.3">
      <c r="A60" s="11"/>
      <c r="B60" s="88" t="s">
        <v>117</v>
      </c>
      <c r="C60" s="89"/>
      <c r="D60" s="89"/>
      <c r="E60" s="28">
        <v>5</v>
      </c>
      <c r="F60" s="20">
        <v>3.5</v>
      </c>
      <c r="G60" s="32">
        <f t="shared" si="0"/>
        <v>0.7</v>
      </c>
      <c r="H60" s="33" t="str">
        <f t="shared" si="1"/>
        <v>جيد</v>
      </c>
      <c r="I60" s="60"/>
      <c r="J60" s="61"/>
    </row>
    <row r="61" spans="1:10" ht="30" customHeight="1" thickBot="1" x14ac:dyDescent="0.35">
      <c r="A61" s="11"/>
      <c r="B61" s="112" t="s">
        <v>118</v>
      </c>
      <c r="C61" s="113"/>
      <c r="D61" s="113"/>
      <c r="E61" s="29">
        <v>5</v>
      </c>
      <c r="F61" s="22">
        <v>3.5</v>
      </c>
      <c r="G61" s="34">
        <f t="shared" si="0"/>
        <v>0.7</v>
      </c>
      <c r="H61" s="35" t="str">
        <f t="shared" si="1"/>
        <v>جيد</v>
      </c>
      <c r="I61" s="63"/>
      <c r="J61" s="64"/>
    </row>
    <row r="62" spans="1:10" ht="30" customHeight="1" x14ac:dyDescent="0.3">
      <c r="A62" s="11"/>
      <c r="B62" s="106" t="s">
        <v>119</v>
      </c>
      <c r="C62" s="107"/>
      <c r="D62" s="107"/>
      <c r="E62" s="107"/>
      <c r="F62" s="107"/>
      <c r="G62" s="107"/>
      <c r="H62" s="107"/>
      <c r="I62" s="107"/>
      <c r="J62" s="108"/>
    </row>
    <row r="63" spans="1:10" ht="30" customHeight="1" x14ac:dyDescent="0.3">
      <c r="A63" s="11"/>
      <c r="B63" s="84" t="s">
        <v>120</v>
      </c>
      <c r="C63" s="85"/>
      <c r="D63" s="85"/>
      <c r="E63" s="9">
        <v>5</v>
      </c>
      <c r="F63" s="20">
        <v>3.75</v>
      </c>
      <c r="G63" s="32">
        <f t="shared" si="0"/>
        <v>0.75</v>
      </c>
      <c r="H63" s="33" t="str">
        <f t="shared" si="1"/>
        <v>جيد</v>
      </c>
      <c r="I63" s="60"/>
      <c r="J63" s="61"/>
    </row>
    <row r="64" spans="1:10" ht="30" customHeight="1" x14ac:dyDescent="0.3">
      <c r="A64" s="11"/>
      <c r="B64" s="84" t="s">
        <v>121</v>
      </c>
      <c r="C64" s="85"/>
      <c r="D64" s="85"/>
      <c r="E64" s="9">
        <v>5</v>
      </c>
      <c r="F64" s="20">
        <v>3.5</v>
      </c>
      <c r="G64" s="32">
        <f t="shared" si="0"/>
        <v>0.7</v>
      </c>
      <c r="H64" s="33" t="str">
        <f t="shared" si="1"/>
        <v>جيد</v>
      </c>
      <c r="I64" s="60"/>
      <c r="J64" s="61"/>
    </row>
    <row r="65" spans="1:10" ht="30" customHeight="1" x14ac:dyDescent="0.3">
      <c r="A65" s="11"/>
      <c r="B65" s="84" t="s">
        <v>122</v>
      </c>
      <c r="C65" s="85"/>
      <c r="D65" s="85"/>
      <c r="E65" s="9">
        <v>5</v>
      </c>
      <c r="F65" s="20">
        <v>3.5</v>
      </c>
      <c r="G65" s="32">
        <f t="shared" si="0"/>
        <v>0.7</v>
      </c>
      <c r="H65" s="33" t="str">
        <f t="shared" si="1"/>
        <v>جيد</v>
      </c>
      <c r="I65" s="60"/>
      <c r="J65" s="61"/>
    </row>
    <row r="66" spans="1:10" ht="30" customHeight="1" x14ac:dyDescent="0.3">
      <c r="A66" s="11"/>
      <c r="B66" s="84" t="s">
        <v>123</v>
      </c>
      <c r="C66" s="85"/>
      <c r="D66" s="85"/>
      <c r="E66" s="9">
        <v>5</v>
      </c>
      <c r="F66" s="20">
        <v>3.5</v>
      </c>
      <c r="G66" s="32">
        <f t="shared" si="0"/>
        <v>0.7</v>
      </c>
      <c r="H66" s="33" t="str">
        <f t="shared" si="1"/>
        <v>جيد</v>
      </c>
      <c r="I66" s="60"/>
      <c r="J66" s="61"/>
    </row>
    <row r="67" spans="1:10" ht="30" customHeight="1" x14ac:dyDescent="0.3">
      <c r="A67" s="11"/>
      <c r="B67" s="84" t="s">
        <v>124</v>
      </c>
      <c r="C67" s="85"/>
      <c r="D67" s="85"/>
      <c r="E67" s="9">
        <v>5</v>
      </c>
      <c r="F67" s="20">
        <v>3.5</v>
      </c>
      <c r="G67" s="32">
        <f t="shared" si="0"/>
        <v>0.7</v>
      </c>
      <c r="H67" s="33" t="str">
        <f t="shared" si="1"/>
        <v>جيد</v>
      </c>
      <c r="I67" s="60"/>
      <c r="J67" s="61"/>
    </row>
    <row r="68" spans="1:10" ht="30" customHeight="1" thickBot="1" x14ac:dyDescent="0.35">
      <c r="A68" s="11"/>
      <c r="B68" s="86" t="s">
        <v>125</v>
      </c>
      <c r="C68" s="87"/>
      <c r="D68" s="87"/>
      <c r="E68" s="26">
        <v>5</v>
      </c>
      <c r="F68" s="22">
        <v>3</v>
      </c>
      <c r="G68" s="34">
        <f t="shared" si="0"/>
        <v>0.6</v>
      </c>
      <c r="H68" s="35" t="str">
        <f t="shared" si="1"/>
        <v>مقبول</v>
      </c>
      <c r="I68" s="63"/>
      <c r="J68" s="64"/>
    </row>
    <row r="69" spans="1:10" ht="30" customHeight="1" thickBot="1" x14ac:dyDescent="0.35">
      <c r="A69" s="11"/>
      <c r="B69" s="104" t="s">
        <v>126</v>
      </c>
      <c r="C69" s="105"/>
      <c r="D69" s="105"/>
      <c r="E69" s="10">
        <v>5</v>
      </c>
      <c r="F69" s="36">
        <v>3.75</v>
      </c>
      <c r="G69" s="37">
        <f t="shared" si="0"/>
        <v>0.75</v>
      </c>
      <c r="H69" s="21" t="str">
        <f t="shared" si="1"/>
        <v>جيد</v>
      </c>
      <c r="I69" s="82"/>
      <c r="J69" s="83"/>
    </row>
    <row r="70" spans="1:10" ht="30" customHeight="1" thickBot="1" x14ac:dyDescent="0.35">
      <c r="A70" s="4"/>
      <c r="B70" s="78" t="s">
        <v>5</v>
      </c>
      <c r="C70" s="79"/>
      <c r="D70" s="79"/>
      <c r="E70" s="31">
        <f>SUM(E8:E69)</f>
        <v>300</v>
      </c>
      <c r="F70" s="31">
        <f>SUM(F8:F69)</f>
        <v>220.25</v>
      </c>
      <c r="G70" s="45"/>
      <c r="H70" s="46"/>
      <c r="I70" s="46"/>
      <c r="J70" s="47"/>
    </row>
    <row r="71" spans="1:10" ht="30" customHeight="1" thickBot="1" x14ac:dyDescent="0.35">
      <c r="A71" s="4"/>
      <c r="B71" s="80" t="s">
        <v>54</v>
      </c>
      <c r="C71" s="81"/>
      <c r="D71" s="81"/>
      <c r="E71" s="56">
        <f>F70/E70/100*100</f>
        <v>0.73416666666666663</v>
      </c>
      <c r="F71" s="56"/>
      <c r="G71" s="56"/>
      <c r="H71" s="56"/>
      <c r="I71" s="56"/>
      <c r="J71" s="57"/>
    </row>
    <row r="72" spans="1:10" ht="30" customHeight="1" thickBot="1" x14ac:dyDescent="0.35">
      <c r="A72" s="4"/>
      <c r="B72" s="80" t="s">
        <v>55</v>
      </c>
      <c r="C72" s="81"/>
      <c r="D72" s="81"/>
      <c r="E72" s="74" t="str">
        <f>_xlfn.IFS(E71&gt;=90%,"ممتاز",E71&gt;=80%,"جيد جداً",E71&gt;=70%,"جيد",E71&gt;=60%,"مقبول",E71&lt;60%,"راسب")</f>
        <v>جيد</v>
      </c>
      <c r="F72" s="74"/>
      <c r="G72" s="74"/>
      <c r="H72" s="74"/>
      <c r="I72" s="74"/>
      <c r="J72" s="75"/>
    </row>
    <row r="73" spans="1:10" ht="42" customHeight="1" x14ac:dyDescent="0.3">
      <c r="B73" s="70" t="s">
        <v>63</v>
      </c>
      <c r="C73" s="70"/>
      <c r="D73" s="70"/>
      <c r="E73" s="76" t="s">
        <v>52</v>
      </c>
      <c r="F73" s="76"/>
      <c r="G73" s="72" t="s">
        <v>170</v>
      </c>
      <c r="H73" s="72"/>
      <c r="I73" s="72"/>
      <c r="J73" s="72"/>
    </row>
    <row r="74" spans="1:10" ht="51" customHeight="1" x14ac:dyDescent="0.3">
      <c r="A74" s="5"/>
      <c r="B74" s="71"/>
      <c r="C74" s="71"/>
      <c r="D74" s="71"/>
      <c r="E74" s="77" t="s">
        <v>53</v>
      </c>
      <c r="F74" s="77"/>
      <c r="G74" s="73"/>
      <c r="H74" s="73"/>
      <c r="I74" s="73"/>
      <c r="J74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0">
    <mergeCell ref="G9:G11"/>
    <mergeCell ref="H9:H11"/>
    <mergeCell ref="B68:D68"/>
    <mergeCell ref="B69:D69"/>
    <mergeCell ref="I9:J11"/>
    <mergeCell ref="B8:J8"/>
    <mergeCell ref="B24:J24"/>
    <mergeCell ref="B33:J33"/>
    <mergeCell ref="B38:J38"/>
    <mergeCell ref="B49:D49"/>
    <mergeCell ref="B62:J62"/>
    <mergeCell ref="B58:D58"/>
    <mergeCell ref="B59:D59"/>
    <mergeCell ref="B60:D60"/>
    <mergeCell ref="B61:D61"/>
    <mergeCell ref="B63:D63"/>
    <mergeCell ref="B64:D64"/>
    <mergeCell ref="B65:D65"/>
    <mergeCell ref="B66:D66"/>
    <mergeCell ref="B67:D67"/>
    <mergeCell ref="B48:D48"/>
    <mergeCell ref="B50:D50"/>
    <mergeCell ref="B51:D51"/>
    <mergeCell ref="B52:D52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9:D9"/>
    <mergeCell ref="E9:E11"/>
    <mergeCell ref="B12:D12"/>
    <mergeCell ref="B13:D13"/>
    <mergeCell ref="B14:D14"/>
    <mergeCell ref="B15:D15"/>
    <mergeCell ref="B16:D16"/>
    <mergeCell ref="B17:D17"/>
    <mergeCell ref="I32:J32"/>
    <mergeCell ref="B18:D18"/>
    <mergeCell ref="B19:D19"/>
    <mergeCell ref="B20:D20"/>
    <mergeCell ref="B21:D21"/>
    <mergeCell ref="B22:D22"/>
    <mergeCell ref="B23:D23"/>
    <mergeCell ref="B25:D25"/>
    <mergeCell ref="B26:D26"/>
    <mergeCell ref="B27:D27"/>
    <mergeCell ref="B28:D28"/>
    <mergeCell ref="B29:D29"/>
    <mergeCell ref="B30:D30"/>
    <mergeCell ref="B31:D31"/>
    <mergeCell ref="B32:D32"/>
    <mergeCell ref="F9:F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64:J64"/>
    <mergeCell ref="I34:J34"/>
    <mergeCell ref="I35:J35"/>
    <mergeCell ref="I36:J36"/>
    <mergeCell ref="B70:D70"/>
    <mergeCell ref="B71:D71"/>
    <mergeCell ref="B72:D72"/>
    <mergeCell ref="I59:J59"/>
    <mergeCell ref="I60:J60"/>
    <mergeCell ref="I61:J61"/>
    <mergeCell ref="I65:J65"/>
    <mergeCell ref="I66:J66"/>
    <mergeCell ref="I67:J67"/>
    <mergeCell ref="I68:J68"/>
    <mergeCell ref="I69:J69"/>
    <mergeCell ref="B34:D34"/>
    <mergeCell ref="B35:D35"/>
    <mergeCell ref="B36:D36"/>
    <mergeCell ref="B37:D37"/>
    <mergeCell ref="B55:D55"/>
    <mergeCell ref="B56:D56"/>
    <mergeCell ref="B57:D57"/>
    <mergeCell ref="B53:D53"/>
    <mergeCell ref="B54:D54"/>
    <mergeCell ref="B73:D74"/>
    <mergeCell ref="G73:J73"/>
    <mergeCell ref="G74:J74"/>
    <mergeCell ref="E72:J7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47:J47"/>
    <mergeCell ref="E73:F73"/>
    <mergeCell ref="E74:F74"/>
    <mergeCell ref="I48:J48"/>
    <mergeCell ref="G70:J70"/>
    <mergeCell ref="B1:J1"/>
    <mergeCell ref="F2:J2"/>
    <mergeCell ref="B5:D6"/>
    <mergeCell ref="C2:D2"/>
    <mergeCell ref="C3:D3"/>
    <mergeCell ref="F3:J3"/>
    <mergeCell ref="E71:J71"/>
    <mergeCell ref="B7:D7"/>
    <mergeCell ref="I39:J39"/>
    <mergeCell ref="I30:J30"/>
    <mergeCell ref="I31:J31"/>
    <mergeCell ref="E5:H5"/>
    <mergeCell ref="I37:J37"/>
    <mergeCell ref="I5:J6"/>
    <mergeCell ref="I7:J7"/>
    <mergeCell ref="I19:J19"/>
    <mergeCell ref="I20:J20"/>
    <mergeCell ref="I21:J21"/>
    <mergeCell ref="I22:J22"/>
    <mergeCell ref="I23:J23"/>
    <mergeCell ref="I25:J25"/>
    <mergeCell ref="I45:J45"/>
    <mergeCell ref="I63:J63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2">
    <cfRule type="expression" dxfId="21" priority="57">
      <formula>$E72="راسب"</formula>
    </cfRule>
  </conditionalFormatting>
  <conditionalFormatting sqref="E72:J72">
    <cfRule type="expression" dxfId="20" priority="60">
      <formula>$E72="جيد جداً"</formula>
    </cfRule>
    <cfRule type="expression" dxfId="19" priority="59">
      <formula>$E72="جيد"</formula>
    </cfRule>
    <cfRule type="expression" dxfId="18" priority="58">
      <formula>$E72="مقبول"</formula>
    </cfRule>
    <cfRule type="expression" dxfId="17" priority="61">
      <formula>$E72="ممتاز"</formula>
    </cfRule>
  </conditionalFormatting>
  <conditionalFormatting sqref="F9">
    <cfRule type="containsText" dxfId="16" priority="4" operator="containsText" text="أدخل العلامة">
      <formula>NOT(ISERROR(SEARCH("أدخل العلامة",F9)))</formula>
    </cfRule>
  </conditionalFormatting>
  <conditionalFormatting sqref="F12:F23 F25:F32 F34:F37 F39:F61 F63:F69">
    <cfRule type="containsText" dxfId="15" priority="14" operator="containsText" text="أدخل العلامة">
      <formula>NOT(ISERROR(SEARCH("أدخل العلامة",F12)))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73:J73">
    <cfRule type="containsText" dxfId="12" priority="15" operator="containsText" text="أدخل اسم المحكم">
      <formula>NOT(ISERROR(SEARCH("أدخل اسم المحكم",G73)))</formula>
    </cfRule>
  </conditionalFormatting>
  <conditionalFormatting sqref="H9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2:H23 H25:H32 H34:H37 H39:H61 H63:H69">
    <cfRule type="containsText" dxfId="5" priority="38" operator="containsText" text="أدخل العلامة">
      <formula>NOT(ISERROR(SEARCH("أدخل العلامة",H12)))</formula>
    </cfRule>
    <cfRule type="containsText" dxfId="4" priority="39" operator="containsText" text="ممتاز">
      <formula>NOT(ISERROR(SEARCH("ممتاز",H12)))</formula>
    </cfRule>
    <cfRule type="containsText" dxfId="3" priority="40" operator="containsText" text="جيد جداً">
      <formula>NOT(ISERROR(SEARCH("جيد جداً",H12)))</formula>
    </cfRule>
    <cfRule type="containsText" dxfId="2" priority="41" operator="containsText" text="جيد">
      <formula>NOT(ISERROR(SEARCH("جيد",H12)))</formula>
    </cfRule>
    <cfRule type="containsText" dxfId="1" priority="42" operator="containsText" text="مقبول">
      <formula>NOT(ISERROR(SEARCH("مقبول",H12)))</formula>
    </cfRule>
    <cfRule type="containsText" dxfId="0" priority="43" operator="containsText" text="راسب">
      <formula>NOT(ISERROR(SEARCH("راسب",H12)))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F27:F31 F39:F61 F63:F69 F25 F9 F12:F23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G73:J73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81AA991B-18C9-4522-884D-F8DBEE73D860}">
          <x14:formula1>
            <xm:f>'بيانات التقييم'!$A$111:$A$153</xm:f>
          </x14:formula1>
          <xm:sqref>F26 F32 F34 F35 F36 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84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38" t="s">
        <v>131</v>
      </c>
    </row>
    <row r="3" spans="1:3" ht="20.100000000000001" customHeight="1" thickBot="1" x14ac:dyDescent="0.35">
      <c r="A3" s="2" t="s">
        <v>26</v>
      </c>
      <c r="C3" s="38" t="s">
        <v>132</v>
      </c>
    </row>
    <row r="4" spans="1:3" ht="20.100000000000001" customHeight="1" thickBot="1" x14ac:dyDescent="0.35">
      <c r="A4" s="2" t="s">
        <v>36</v>
      </c>
      <c r="C4" s="38" t="s">
        <v>133</v>
      </c>
    </row>
    <row r="5" spans="1:3" ht="20.100000000000001" customHeight="1" thickBot="1" x14ac:dyDescent="0.35">
      <c r="A5" s="2" t="s">
        <v>37</v>
      </c>
      <c r="C5" s="38" t="s">
        <v>134</v>
      </c>
    </row>
    <row r="6" spans="1:3" ht="20.100000000000001" customHeight="1" thickBot="1" x14ac:dyDescent="0.35">
      <c r="A6" s="2" t="s">
        <v>38</v>
      </c>
      <c r="C6" s="38" t="s">
        <v>135</v>
      </c>
    </row>
    <row r="7" spans="1:3" ht="20.100000000000001" customHeight="1" thickBot="1" x14ac:dyDescent="0.35">
      <c r="A7" s="2" t="s">
        <v>39</v>
      </c>
      <c r="C7" s="38" t="s">
        <v>136</v>
      </c>
    </row>
    <row r="8" spans="1:3" ht="20.100000000000001" customHeight="1" thickBot="1" x14ac:dyDescent="0.35">
      <c r="A8" s="2" t="s">
        <v>40</v>
      </c>
      <c r="C8" s="38" t="s">
        <v>137</v>
      </c>
    </row>
    <row r="9" spans="1:3" ht="20.100000000000001" customHeight="1" thickBot="1" x14ac:dyDescent="0.35">
      <c r="A9" s="2" t="s">
        <v>41</v>
      </c>
      <c r="C9" s="38" t="s">
        <v>138</v>
      </c>
    </row>
    <row r="10" spans="1:3" ht="20.100000000000001" customHeight="1" thickBot="1" x14ac:dyDescent="0.35">
      <c r="A10" s="2" t="s">
        <v>42</v>
      </c>
      <c r="C10" s="38" t="s">
        <v>139</v>
      </c>
    </row>
    <row r="11" spans="1:3" ht="20.100000000000001" customHeight="1" thickBot="1" x14ac:dyDescent="0.35">
      <c r="A11" s="2" t="s">
        <v>43</v>
      </c>
      <c r="C11" s="38" t="s">
        <v>140</v>
      </c>
    </row>
    <row r="12" spans="1:3" ht="20.100000000000001" customHeight="1" thickBot="1" x14ac:dyDescent="0.35">
      <c r="A12" s="2" t="s">
        <v>44</v>
      </c>
      <c r="C12" s="38" t="s">
        <v>141</v>
      </c>
    </row>
    <row r="13" spans="1:3" ht="20.100000000000001" customHeight="1" thickBot="1" x14ac:dyDescent="0.35">
      <c r="A13" s="2" t="s">
        <v>45</v>
      </c>
      <c r="C13" s="38" t="s">
        <v>142</v>
      </c>
    </row>
    <row r="14" spans="1:3" ht="20.100000000000001" customHeight="1" thickBot="1" x14ac:dyDescent="0.35">
      <c r="A14" s="2" t="s">
        <v>46</v>
      </c>
      <c r="C14" s="38" t="s">
        <v>143</v>
      </c>
    </row>
    <row r="15" spans="1:3" ht="20.100000000000001" customHeight="1" thickBot="1" x14ac:dyDescent="0.35">
      <c r="A15" s="2" t="s">
        <v>47</v>
      </c>
      <c r="C15" s="38" t="s">
        <v>144</v>
      </c>
    </row>
    <row r="16" spans="1:3" ht="20.100000000000001" customHeight="1" thickBot="1" x14ac:dyDescent="0.35">
      <c r="A16" s="2" t="s">
        <v>10</v>
      </c>
      <c r="C16" s="38" t="s">
        <v>145</v>
      </c>
    </row>
    <row r="17" spans="1:3" ht="20.100000000000001" customHeight="1" thickBot="1" x14ac:dyDescent="0.35">
      <c r="A17" s="2" t="s">
        <v>27</v>
      </c>
      <c r="C17" s="38" t="s">
        <v>146</v>
      </c>
    </row>
    <row r="18" spans="1:3" ht="20.100000000000001" customHeight="1" thickBot="1" x14ac:dyDescent="0.35">
      <c r="A18" s="2" t="s">
        <v>48</v>
      </c>
      <c r="C18" s="38" t="s">
        <v>147</v>
      </c>
    </row>
    <row r="19" spans="1:3" ht="20.100000000000001" customHeight="1" thickBot="1" x14ac:dyDescent="0.35">
      <c r="A19" s="2" t="s">
        <v>49</v>
      </c>
      <c r="C19" s="38" t="s">
        <v>148</v>
      </c>
    </row>
    <row r="20" spans="1:3" ht="20.100000000000001" customHeight="1" thickBot="1" x14ac:dyDescent="0.35">
      <c r="A20" s="2" t="s">
        <v>50</v>
      </c>
      <c r="C20" s="38" t="s">
        <v>149</v>
      </c>
    </row>
    <row r="21" spans="1:3" ht="20.100000000000001" customHeight="1" thickBot="1" x14ac:dyDescent="0.35">
      <c r="A21" s="2" t="s">
        <v>51</v>
      </c>
      <c r="C21" s="38" t="s">
        <v>150</v>
      </c>
    </row>
    <row r="22" spans="1:3" ht="20.100000000000001" customHeight="1" thickBot="1" x14ac:dyDescent="0.35">
      <c r="A22" s="2" t="s">
        <v>11</v>
      </c>
      <c r="C22" s="38" t="s">
        <v>151</v>
      </c>
    </row>
    <row r="23" spans="1:3" ht="20.100000000000001" customHeight="1" thickBot="1" x14ac:dyDescent="0.35">
      <c r="A23" s="2" t="s">
        <v>12</v>
      </c>
      <c r="C23" s="38" t="s">
        <v>152</v>
      </c>
    </row>
    <row r="24" spans="1:3" ht="20.100000000000001" customHeight="1" thickBot="1" x14ac:dyDescent="0.35">
      <c r="A24" s="2" t="s">
        <v>15</v>
      </c>
      <c r="C24" s="38" t="s">
        <v>153</v>
      </c>
    </row>
    <row r="25" spans="1:3" ht="20.100000000000001" customHeight="1" thickBot="1" x14ac:dyDescent="0.35">
      <c r="A25" s="2" t="s">
        <v>28</v>
      </c>
      <c r="C25" s="38" t="s">
        <v>154</v>
      </c>
    </row>
    <row r="26" spans="1:3" ht="20.100000000000001" customHeight="1" thickBot="1" x14ac:dyDescent="0.35">
      <c r="A26" s="2" t="s">
        <v>29</v>
      </c>
      <c r="C26" s="38" t="s">
        <v>155</v>
      </c>
    </row>
    <row r="27" spans="1:3" ht="20.100000000000001" customHeight="1" thickBot="1" x14ac:dyDescent="0.35">
      <c r="A27" s="2" t="s">
        <v>13</v>
      </c>
      <c r="C27" s="38" t="s">
        <v>156</v>
      </c>
    </row>
    <row r="28" spans="1:3" ht="20.100000000000001" customHeight="1" thickBot="1" x14ac:dyDescent="0.35">
      <c r="A28" s="2" t="s">
        <v>30</v>
      </c>
      <c r="C28" s="38" t="s">
        <v>157</v>
      </c>
    </row>
    <row r="29" spans="1:3" ht="20.100000000000001" customHeight="1" thickBot="1" x14ac:dyDescent="0.35">
      <c r="A29" s="2" t="s">
        <v>31</v>
      </c>
      <c r="C29" s="2" t="s">
        <v>61</v>
      </c>
    </row>
    <row r="30" spans="1:3" ht="20.100000000000001" customHeight="1" thickBot="1" x14ac:dyDescent="0.35">
      <c r="A30" s="2" t="s">
        <v>32</v>
      </c>
      <c r="C30" s="2" t="s">
        <v>61</v>
      </c>
    </row>
    <row r="31" spans="1:3" ht="20.100000000000001" customHeight="1" thickBot="1" x14ac:dyDescent="0.35">
      <c r="A31" s="2" t="s">
        <v>33</v>
      </c>
      <c r="C31" s="2" t="s">
        <v>61</v>
      </c>
    </row>
    <row r="32" spans="1:3" ht="20.100000000000001" customHeight="1" thickBot="1" x14ac:dyDescent="0.35">
      <c r="A32" s="2" t="s">
        <v>16</v>
      </c>
      <c r="C32" s="2" t="s">
        <v>61</v>
      </c>
    </row>
    <row r="33" spans="1:9" ht="20.100000000000001" customHeight="1" thickBot="1" x14ac:dyDescent="0.35">
      <c r="A33" s="2" t="s">
        <v>14</v>
      </c>
      <c r="C33" s="2" t="s">
        <v>61</v>
      </c>
    </row>
    <row r="34" spans="1:9" ht="20.100000000000001" customHeight="1" thickBot="1" x14ac:dyDescent="0.35">
      <c r="A34" s="2" t="s">
        <v>34</v>
      </c>
      <c r="C34" s="2" t="s">
        <v>61</v>
      </c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62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39" t="s">
        <v>158</v>
      </c>
    </row>
    <row r="200" spans="1:1" ht="20.100000000000001" customHeight="1" x14ac:dyDescent="0.3">
      <c r="A200" s="39" t="s">
        <v>159</v>
      </c>
    </row>
    <row r="201" spans="1:1" ht="20.100000000000001" customHeight="1" x14ac:dyDescent="0.3">
      <c r="A201" s="39" t="s">
        <v>160</v>
      </c>
    </row>
    <row r="202" spans="1:1" ht="20.100000000000001" customHeight="1" x14ac:dyDescent="0.3">
      <c r="A202" s="39" t="s">
        <v>161</v>
      </c>
    </row>
    <row r="203" spans="1:1" ht="20.100000000000001" customHeight="1" x14ac:dyDescent="0.3">
      <c r="A203" s="39" t="s">
        <v>162</v>
      </c>
    </row>
    <row r="204" spans="1:1" ht="20.100000000000001" customHeight="1" x14ac:dyDescent="0.3">
      <c r="A204" s="39" t="s">
        <v>163</v>
      </c>
    </row>
    <row r="205" spans="1:1" ht="20.100000000000001" customHeight="1" x14ac:dyDescent="0.3">
      <c r="A205" s="39" t="s">
        <v>164</v>
      </c>
    </row>
    <row r="206" spans="1:1" ht="20.100000000000001" customHeight="1" x14ac:dyDescent="0.3">
      <c r="A206" s="39" t="s">
        <v>165</v>
      </c>
    </row>
    <row r="207" spans="1:1" ht="20.100000000000001" customHeight="1" x14ac:dyDescent="0.3">
      <c r="A207" s="39" t="s">
        <v>166</v>
      </c>
    </row>
    <row r="208" spans="1:1" ht="20.100000000000001" customHeight="1" x14ac:dyDescent="0.3">
      <c r="A208" s="40" t="s">
        <v>167</v>
      </c>
    </row>
    <row r="209" spans="1:1" ht="20.100000000000001" customHeight="1" x14ac:dyDescent="0.3">
      <c r="A209" s="40" t="s">
        <v>168</v>
      </c>
    </row>
    <row r="210" spans="1:1" ht="20.100000000000001" customHeight="1" x14ac:dyDescent="0.3">
      <c r="A210" s="39" t="s">
        <v>169</v>
      </c>
    </row>
    <row r="211" spans="1:1" ht="20.100000000000001" customHeight="1" x14ac:dyDescent="0.3">
      <c r="A211" s="39" t="s">
        <v>170</v>
      </c>
    </row>
    <row r="212" spans="1:1" ht="20.100000000000001" customHeight="1" x14ac:dyDescent="0.3">
      <c r="A212" s="39" t="s">
        <v>171</v>
      </c>
    </row>
    <row r="213" spans="1:1" ht="20.100000000000001" customHeight="1" x14ac:dyDescent="0.3">
      <c r="A213" s="39" t="s">
        <v>172</v>
      </c>
    </row>
    <row r="214" spans="1:1" ht="20.100000000000001" customHeight="1" x14ac:dyDescent="0.3">
      <c r="A214" s="39" t="s">
        <v>173</v>
      </c>
    </row>
    <row r="215" spans="1:1" ht="20.100000000000001" customHeight="1" x14ac:dyDescent="0.3">
      <c r="A215" s="39" t="s">
        <v>174</v>
      </c>
    </row>
    <row r="216" spans="1:1" ht="20.100000000000001" customHeight="1" x14ac:dyDescent="0.3">
      <c r="A216" s="39" t="s">
        <v>175</v>
      </c>
    </row>
    <row r="217" spans="1:1" ht="20.100000000000001" customHeight="1" x14ac:dyDescent="0.3">
      <c r="A217" s="39" t="s">
        <v>176</v>
      </c>
    </row>
    <row r="218" spans="1:1" ht="20.100000000000001" customHeight="1" x14ac:dyDescent="0.3">
      <c r="A218" s="39" t="s">
        <v>177</v>
      </c>
    </row>
    <row r="219" spans="1:1" ht="20.100000000000001" customHeight="1" x14ac:dyDescent="0.3">
      <c r="A219" s="39" t="s">
        <v>178</v>
      </c>
    </row>
    <row r="220" spans="1:1" ht="20.100000000000001" customHeight="1" x14ac:dyDescent="0.3">
      <c r="A220" s="39" t="s">
        <v>179</v>
      </c>
    </row>
    <row r="221" spans="1:1" ht="20.100000000000001" customHeight="1" x14ac:dyDescent="0.3">
      <c r="A221" s="39" t="s">
        <v>180</v>
      </c>
    </row>
    <row r="222" spans="1:1" ht="20.100000000000001" customHeight="1" x14ac:dyDescent="0.3">
      <c r="A222" s="39" t="s">
        <v>181</v>
      </c>
    </row>
    <row r="223" spans="1:1" ht="20.100000000000001" customHeight="1" x14ac:dyDescent="0.3">
      <c r="A223" s="39" t="s">
        <v>182</v>
      </c>
    </row>
    <row r="224" spans="1:1" ht="20.100000000000001" customHeight="1" x14ac:dyDescent="0.3">
      <c r="A224" s="39" t="s">
        <v>183</v>
      </c>
    </row>
    <row r="225" spans="1:1" ht="20.100000000000001" customHeight="1" x14ac:dyDescent="0.3">
      <c r="A225" s="39" t="s">
        <v>184</v>
      </c>
    </row>
    <row r="226" spans="1:1" ht="20.100000000000001" customHeight="1" x14ac:dyDescent="0.3">
      <c r="A226" s="39" t="s">
        <v>185</v>
      </c>
    </row>
    <row r="227" spans="1:1" ht="20.100000000000001" customHeight="1" x14ac:dyDescent="0.3">
      <c r="A227" s="39" t="s">
        <v>186</v>
      </c>
    </row>
    <row r="228" spans="1:1" ht="20.100000000000001" customHeight="1" x14ac:dyDescent="0.3">
      <c r="A228" s="39" t="s">
        <v>187</v>
      </c>
    </row>
    <row r="229" spans="1:1" ht="20.100000000000001" customHeight="1" x14ac:dyDescent="0.3">
      <c r="A229" s="39" t="s">
        <v>188</v>
      </c>
    </row>
    <row r="230" spans="1:1" ht="20.100000000000001" customHeight="1" x14ac:dyDescent="0.3">
      <c r="A230" s="39" t="s">
        <v>189</v>
      </c>
    </row>
    <row r="231" spans="1:1" ht="20.100000000000001" customHeight="1" x14ac:dyDescent="0.3">
      <c r="A231" s="39" t="s">
        <v>190</v>
      </c>
    </row>
    <row r="232" spans="1:1" ht="20.100000000000001" customHeight="1" x14ac:dyDescent="0.3">
      <c r="A232" s="39" t="s">
        <v>191</v>
      </c>
    </row>
    <row r="233" spans="1:1" ht="20.100000000000001" customHeight="1" x14ac:dyDescent="0.3">
      <c r="A233" s="39" t="s">
        <v>192</v>
      </c>
    </row>
    <row r="234" spans="1:1" ht="20.100000000000001" customHeight="1" x14ac:dyDescent="0.3">
      <c r="A234" s="39" t="s">
        <v>193</v>
      </c>
    </row>
    <row r="235" spans="1:1" ht="20.100000000000001" customHeight="1" x14ac:dyDescent="0.3">
      <c r="A235" s="41" t="s">
        <v>194</v>
      </c>
    </row>
    <row r="236" spans="1:1" ht="20.100000000000001" customHeight="1" x14ac:dyDescent="0.3">
      <c r="A236" s="39" t="s">
        <v>195</v>
      </c>
    </row>
    <row r="237" spans="1:1" ht="20.100000000000001" customHeight="1" x14ac:dyDescent="0.3">
      <c r="A237" s="39" t="s">
        <v>196</v>
      </c>
    </row>
    <row r="238" spans="1:1" ht="20.100000000000001" customHeight="1" x14ac:dyDescent="0.3">
      <c r="A238" s="39" t="s">
        <v>197</v>
      </c>
    </row>
    <row r="239" spans="1:1" ht="20.100000000000001" customHeight="1" x14ac:dyDescent="0.3">
      <c r="A239" s="39" t="s">
        <v>198</v>
      </c>
    </row>
    <row r="240" spans="1:1" ht="20.100000000000001" customHeight="1" x14ac:dyDescent="0.3">
      <c r="A240" s="39" t="s">
        <v>199</v>
      </c>
    </row>
    <row r="241" spans="1:1" ht="20.100000000000001" customHeight="1" x14ac:dyDescent="0.3">
      <c r="A241" s="39" t="s">
        <v>200</v>
      </c>
    </row>
    <row r="242" spans="1:1" ht="20.100000000000001" customHeight="1" x14ac:dyDescent="0.3">
      <c r="A242" s="39" t="s">
        <v>201</v>
      </c>
    </row>
    <row r="243" spans="1:1" ht="20.100000000000001" customHeight="1" x14ac:dyDescent="0.3">
      <c r="A243" s="39" t="s">
        <v>202</v>
      </c>
    </row>
    <row r="244" spans="1:1" ht="20.100000000000001" customHeight="1" x14ac:dyDescent="0.3">
      <c r="A244" s="39" t="s">
        <v>203</v>
      </c>
    </row>
    <row r="245" spans="1:1" ht="20.100000000000001" customHeight="1" x14ac:dyDescent="0.3">
      <c r="A245" s="39" t="s">
        <v>204</v>
      </c>
    </row>
    <row r="246" spans="1:1" ht="20.100000000000001" customHeight="1" x14ac:dyDescent="0.3">
      <c r="A246" s="39" t="s">
        <v>205</v>
      </c>
    </row>
    <row r="247" spans="1:1" ht="20.100000000000001" customHeight="1" x14ac:dyDescent="0.3">
      <c r="A247" s="39" t="s">
        <v>196</v>
      </c>
    </row>
    <row r="248" spans="1:1" ht="20.100000000000001" customHeight="1" x14ac:dyDescent="0.3">
      <c r="A248" s="39" t="s">
        <v>206</v>
      </c>
    </row>
    <row r="249" spans="1:1" ht="20.100000000000001" customHeight="1" x14ac:dyDescent="0.3">
      <c r="A249" s="39" t="s">
        <v>207</v>
      </c>
    </row>
    <row r="250" spans="1:1" ht="20.100000000000001" customHeight="1" x14ac:dyDescent="0.3">
      <c r="A250" s="41" t="s">
        <v>208</v>
      </c>
    </row>
    <row r="251" spans="1:1" ht="20.100000000000001" customHeight="1" x14ac:dyDescent="0.3">
      <c r="A251" s="42" t="s">
        <v>209</v>
      </c>
    </row>
    <row r="252" spans="1:1" ht="20.100000000000001" customHeight="1" x14ac:dyDescent="0.3">
      <c r="A252" s="39" t="s">
        <v>210</v>
      </c>
    </row>
    <row r="253" spans="1:1" ht="20.100000000000001" customHeight="1" x14ac:dyDescent="0.3">
      <c r="A253" s="39" t="s">
        <v>211</v>
      </c>
    </row>
    <row r="254" spans="1:1" ht="20.100000000000001" customHeight="1" x14ac:dyDescent="0.3">
      <c r="A254" s="43" t="s">
        <v>212</v>
      </c>
    </row>
    <row r="255" spans="1:1" ht="20.100000000000001" customHeight="1" x14ac:dyDescent="0.3">
      <c r="A255" s="43" t="s">
        <v>213</v>
      </c>
    </row>
    <row r="256" spans="1:1" ht="20.100000000000001" customHeight="1" x14ac:dyDescent="0.3">
      <c r="A256" s="44" t="s">
        <v>214</v>
      </c>
    </row>
    <row r="257" spans="1:1" ht="20.100000000000001" customHeight="1" x14ac:dyDescent="0.3">
      <c r="A257" s="39" t="s">
        <v>215</v>
      </c>
    </row>
    <row r="258" spans="1:1" ht="20.100000000000001" customHeight="1" x14ac:dyDescent="0.3">
      <c r="A258" s="44" t="s">
        <v>216</v>
      </c>
    </row>
    <row r="259" spans="1:1" ht="20.100000000000001" customHeight="1" x14ac:dyDescent="0.3">
      <c r="A259" s="39" t="s">
        <v>217</v>
      </c>
    </row>
    <row r="260" spans="1:1" ht="20.100000000000001" customHeight="1" x14ac:dyDescent="0.3">
      <c r="A260" s="44" t="s">
        <v>218</v>
      </c>
    </row>
    <row r="261" spans="1:1" ht="20.100000000000001" customHeight="1" x14ac:dyDescent="0.3">
      <c r="A261" s="39" t="s">
        <v>219</v>
      </c>
    </row>
    <row r="262" spans="1:1" ht="20.100000000000001" customHeight="1" x14ac:dyDescent="0.3">
      <c r="A262" s="39" t="s">
        <v>220</v>
      </c>
    </row>
    <row r="263" spans="1:1" ht="20.100000000000001" customHeight="1" x14ac:dyDescent="0.3">
      <c r="A263" s="44" t="s">
        <v>221</v>
      </c>
    </row>
    <row r="264" spans="1:1" ht="20.100000000000001" customHeight="1" x14ac:dyDescent="0.3">
      <c r="A264" s="44" t="s">
        <v>222</v>
      </c>
    </row>
    <row r="265" spans="1:1" ht="20.100000000000001" customHeight="1" x14ac:dyDescent="0.3">
      <c r="A265" s="44" t="s">
        <v>223</v>
      </c>
    </row>
    <row r="266" spans="1:1" ht="20.100000000000001" customHeight="1" x14ac:dyDescent="0.3">
      <c r="A266" s="39" t="s">
        <v>224</v>
      </c>
    </row>
    <row r="267" spans="1:1" ht="20.100000000000001" customHeight="1" x14ac:dyDescent="0.3">
      <c r="A267" s="39" t="s">
        <v>225</v>
      </c>
    </row>
    <row r="268" spans="1:1" ht="20.100000000000001" customHeight="1" x14ac:dyDescent="0.3">
      <c r="A268" s="39" t="s">
        <v>226</v>
      </c>
    </row>
    <row r="269" spans="1:1" ht="20.100000000000001" customHeight="1" x14ac:dyDescent="0.3">
      <c r="A269" s="39" t="s">
        <v>227</v>
      </c>
    </row>
    <row r="270" spans="1:1" ht="20.100000000000001" customHeight="1" x14ac:dyDescent="0.3">
      <c r="A270" s="44" t="s">
        <v>228</v>
      </c>
    </row>
    <row r="271" spans="1:1" ht="20.100000000000001" customHeight="1" x14ac:dyDescent="0.3">
      <c r="A271" s="44" t="s">
        <v>229</v>
      </c>
    </row>
    <row r="272" spans="1:1" ht="20.100000000000001" customHeight="1" x14ac:dyDescent="0.3">
      <c r="A272" s="39" t="s">
        <v>230</v>
      </c>
    </row>
    <row r="273" spans="1:1" ht="20.100000000000001" customHeight="1" x14ac:dyDescent="0.3">
      <c r="A273" s="44" t="s">
        <v>231</v>
      </c>
    </row>
    <row r="274" spans="1:1" ht="20.100000000000001" customHeight="1" x14ac:dyDescent="0.3">
      <c r="A274" s="44" t="s">
        <v>232</v>
      </c>
    </row>
    <row r="275" spans="1:1" ht="20.100000000000001" customHeight="1" x14ac:dyDescent="0.3">
      <c r="A275" s="39" t="s">
        <v>233</v>
      </c>
    </row>
    <row r="276" spans="1:1" ht="20.100000000000001" customHeight="1" x14ac:dyDescent="0.3">
      <c r="A276" s="39" t="s">
        <v>234</v>
      </c>
    </row>
    <row r="277" spans="1:1" ht="20.100000000000001" customHeight="1" x14ac:dyDescent="0.3">
      <c r="A277" s="44" t="s">
        <v>235</v>
      </c>
    </row>
    <row r="278" spans="1:1" ht="20.100000000000001" customHeight="1" x14ac:dyDescent="0.3">
      <c r="A278" s="39" t="s">
        <v>236</v>
      </c>
    </row>
    <row r="279" spans="1:1" ht="20.100000000000001" customHeight="1" x14ac:dyDescent="0.3">
      <c r="A279" s="39" t="s">
        <v>237</v>
      </c>
    </row>
    <row r="280" spans="1:1" ht="20.100000000000001" customHeight="1" x14ac:dyDescent="0.3">
      <c r="A280" s="39" t="s">
        <v>238</v>
      </c>
    </row>
    <row r="281" spans="1:1" ht="20.100000000000001" customHeight="1" x14ac:dyDescent="0.3">
      <c r="A281" s="39" t="s">
        <v>239</v>
      </c>
    </row>
    <row r="282" spans="1:1" ht="20.100000000000001" customHeight="1" x14ac:dyDescent="0.3">
      <c r="A282" s="44" t="s">
        <v>240</v>
      </c>
    </row>
    <row r="283" spans="1:1" ht="20.100000000000001" customHeight="1" x14ac:dyDescent="0.3">
      <c r="A283" s="44" t="s">
        <v>241</v>
      </c>
    </row>
    <row r="284" spans="1:1" ht="20.100000000000001" customHeight="1" x14ac:dyDescent="0.3">
      <c r="A284" s="44" t="s">
        <v>242</v>
      </c>
    </row>
    <row r="285" spans="1:1" ht="20.100000000000001" customHeight="1" thickBot="1" x14ac:dyDescent="0.35">
      <c r="A285" s="39" t="s">
        <v>243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2025-10-28T20:27:56Z</dcterms:modified>
</cp:coreProperties>
</file>