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78FE4BE-7C36-4CE5-B705-08E71136D9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8" i="2"/>
  <c r="H8" i="2"/>
  <c r="F33" i="2"/>
  <c r="E33" i="2"/>
  <c r="E34" i="2"/>
  <c r="E35" i="2"/>
</calcChain>
</file>

<file path=xl/sharedStrings.xml><?xml version="1.0" encoding="utf-8"?>
<sst xmlns="http://schemas.openxmlformats.org/spreadsheetml/2006/main" count="262" uniqueCount="206">
  <si>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</si>
  <si>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</si>
  <si>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</si>
  <si>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</si>
  <si>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</si>
  <si>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</si>
  <si>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</si>
  <si>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</si>
  <si>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</si>
  <si>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</si>
  <si>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</si>
  <si>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</si>
  <si>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</si>
  <si>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</si>
  <si>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</si>
  <si>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</si>
  <si>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</si>
  <si>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</si>
  <si>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</si>
  <si>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</si>
  <si>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</si>
  <si>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</si>
  <si>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</si>
  <si>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</si>
  <si>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</si>
  <si>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</si>
  <si>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</si>
  <si>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</si>
  <si>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</si>
  <si>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</si>
  <si>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</si>
  <si>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</si>
  <si>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</si>
  <si>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</si>
  <si>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</si>
  <si>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</si>
  <si>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</si>
  <si>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</si>
  <si>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</si>
  <si>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</si>
  <si>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</si>
  <si>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</si>
  <si>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</si>
  <si>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</si>
  <si>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</si>
  <si>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</si>
  <si>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</si>
  <si>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</si>
  <si>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</si>
  <si>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</si>
  <si>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</si>
  <si>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</si>
  <si>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</si>
  <si>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</si>
  <si>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</si>
  <si>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</si>
  <si>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</si>
  <si>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</si>
  <si>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</si>
  <si>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</si>
  <si>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</si>
  <si>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</si>
  <si>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</si>
  <si>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</si>
  <si>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</si>
  <si>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</si>
  <si>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</si>
  <si>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</si>
  <si>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</si>
  <si>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</si>
  <si>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</si>
  <si>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</si>
  <si>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</si>
  <si>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</si>
  <si>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</si>
  <si>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</si>
  <si>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</si>
  <si>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</si>
  <si>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</si>
  <si>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</si>
  <si>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</si>
  <si>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</si>
  <si>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</si>
  <si>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</si>
  <si>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</si>
  <si>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</si>
  <si>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</si>
  <si>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</si>
  <si>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</si>
  <si>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</si>
  <si>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</si>
  <si>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</si>
  <si>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</si>
  <si>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</si>
  <si>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</si>
  <si>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</si>
  <si>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</si>
  <si>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</si>
  <si>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</si>
  <si>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</si>
  <si>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</si>
  <si>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</si>
  <si>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</si>
  <si>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</si>
  <si>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</si>
  <si>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</si>
  <si>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</si>
  <si>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</si>
  <si>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</si>
  <si>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</si>
  <si>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</si>
  <si>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</si>
  <si>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</si>
  <si>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</si>
  <si>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</si>
  <si>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</si>
  <si>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</si>
  <si>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</si>
  <si>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</si>
  <si>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</si>
  <si>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</si>
  <si>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</si>
  <si>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</si>
  <si>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</si>
  <si>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</si>
  <si>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</si>
  <si>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</si>
  <si>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</si>
  <si>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</si>
  <si>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</si>
  <si>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</si>
  <si>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</si>
  <si>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</si>
  <si>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</si>
  <si>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</si>
  <si>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</si>
  <si>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</si>
  <si>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</si>
  <si>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</si>
  <si>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</si>
  <si>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</si>
  <si>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</si>
  <si>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</si>
  <si>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</si>
  <si>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</si>
  <si>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</si>
  <si>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</si>
  <si>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</si>
  <si>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</si>
  <si>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</si>
  <si>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</si>
  <si>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</si>
  <si>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</si>
  <si>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</si>
  <si>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</si>
  <si>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</si>
  <si>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</si>
  <si>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</si>
  <si>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</si>
  <si>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</si>
  <si>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</si>
  <si>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</si>
  <si>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</si>
  <si>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</si>
  <si>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</si>
  <si>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</si>
  <si>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</si>
  <si>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</si>
  <si>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</si>
  <si>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</si>
  <si>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</si>
  <si>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</si>
  <si>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</si>
  <si>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</si>
  <si>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</si>
  <si>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</si>
  <si>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</si>
  <si>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</si>
  <si>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</si>
  <si>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</si>
  <si>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إسناد سرية الإشارة للتنقل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</si>
  <si>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تهيئة وتحضير القوة للحركة وإصدار امر التنقل.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</si>
  <si>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يحدد القائد نوع الاتصال اثناء التنقل ويوفر آليات الأتصال التالية: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</si>
  <si>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توزيع قادة الفصائل والجماعات إثناء التنقل وكما يلي</t>
    </r>
    <r>
      <rPr>
        <sz val="12"/>
        <color rgb="FF000000"/>
        <rFont val="Arial"/>
        <family val="2"/>
      </rPr>
      <t>:</t>
    </r>
  </si>
  <si>
    <t>ز.   قائد جماعة الإشارة الثانية مع قائد كتيبة.</t>
  </si>
  <si>
    <t>ح.  قائد جماعة الإشارة الثالثة مع قائد كتيبة.</t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</si>
  <si>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تأمين الاتصالات والقيادة والسيطرة أثناء التنقل وكما يلي</t>
    </r>
    <r>
      <rPr>
        <sz val="12"/>
        <color theme="1"/>
        <rFont val="Arial"/>
        <family val="2"/>
      </rPr>
      <t>: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</si>
  <si>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تأمين الاتصال من بدء الحركة الي منطقة التجمع وكما يلي:</t>
    </r>
  </si>
  <si>
    <t>و.   قائد جماعة الإشارة الأولى مع قائد كتيبة.</t>
  </si>
  <si>
    <t>هـ.   قائد فصيل الخطوط مع قيادة اللواء.</t>
  </si>
  <si>
    <t>د.    قائد فصيل الحاسب الالي مع شلاتر العمليات.</t>
  </si>
  <si>
    <t>جـ.   قائد فصيل إشارة اللواء مع شلاتر الاتصال.</t>
  </si>
  <si>
    <t>ب.   نائب قائد سرية الإشارة مع قائد كتيبة الاسناد.</t>
  </si>
  <si>
    <t>أ.    قائد سرية الإشارة مع قيادة اللواء.</t>
  </si>
  <si>
    <t>أ.    عدد (5) آليات اتصال لاسلكي.</t>
  </si>
  <si>
    <t>ب.  عدد (3) آليات زاجل.</t>
  </si>
  <si>
    <t>د.   عدد (3) آليات معيد البث.</t>
  </si>
  <si>
    <t>جـ.  عدد (3) شلاتر اتصال عمليات.</t>
  </si>
  <si>
    <t>جـ.  التقيد بالكلمات رمزية أثناء التنقل.</t>
  </si>
  <si>
    <t>ب.  التأكد من تفعيل نظام المسارات في المنظومة.</t>
  </si>
  <si>
    <t>أ.    التأكد من تفعيل نظام التتبع في المنظومة.</t>
  </si>
  <si>
    <t>د.    كشف الكلمات الرمزية.</t>
  </si>
  <si>
    <t>هـ.   كشف بالإنذارات.</t>
  </si>
  <si>
    <t>أ.    الاتصالات اللاسلكية.</t>
  </si>
  <si>
    <t>ب.   تأمين نظام القيادة والسيطرة.</t>
  </si>
  <si>
    <t>جـ.   تأمين آلية معيد البث.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</si>
</sst>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12" fillId="0" borderId="11" xfId="0" applyFont="1" applyBorder="1" applyAlignment="1">
      <alignment horizontal="right" vertical="center" wrapText="1" indent="4" readingOrder="2"/>
    </xf>
    <xf numFmtId="0" fontId="12" fillId="0" borderId="12" xfId="0" applyFont="1" applyBorder="1" applyAlignment="1">
      <alignment horizontal="right" vertical="center" wrapText="1" indent="4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344057</xdr:colOff>
      <xdr:row>36</xdr:row>
      <xdr:rowOff>216388</xdr:rowOff>
    </xdr:from>
    <xdr:to>
      <xdr:col>6</xdr:col>
      <xdr:colOff>561857</xdr:colOff>
      <xdr:row>36</xdr:row>
      <xdr:rowOff>542188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C632C62-FFEE-6AAF-51EB-55D10462000B}"/>
                </a:ext>
              </a:extLst>
            </xdr14:cNvPr>
            <xdr14:cNvContentPartPr/>
          </xdr14:nvContentPartPr>
          <xdr14:nvPr macro=""/>
          <xdr14:xfrm>
            <a:off x="10399999233" y="14082480"/>
            <a:ext cx="217800" cy="325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C632C62-FFEE-6AAF-51EB-55D1046200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993113" y="14076360"/>
              <a:ext cx="230040" cy="33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524057</xdr:colOff>
      <xdr:row>36</xdr:row>
      <xdr:rowOff>147988</xdr:rowOff>
    </xdr:from>
    <xdr:to>
      <xdr:col>6</xdr:col>
      <xdr:colOff>624137</xdr:colOff>
      <xdr:row>36</xdr:row>
      <xdr:rowOff>249148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A800614-3252-923B-B82F-D998D3591C0C}"/>
                </a:ext>
              </a:extLst>
            </xdr14:cNvPr>
            <xdr14:cNvContentPartPr/>
          </xdr14:nvContentPartPr>
          <xdr14:nvPr macro=""/>
          <xdr14:xfrm>
            <a:off x="10399936953" y="14014080"/>
            <a:ext cx="100080" cy="101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A800614-3252-923B-B82F-D998D3591C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30833" y="14007960"/>
              <a:ext cx="11232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515417</xdr:colOff>
      <xdr:row>36</xdr:row>
      <xdr:rowOff>357868</xdr:rowOff>
    </xdr:from>
    <xdr:to>
      <xdr:col>7</xdr:col>
      <xdr:colOff>553207</xdr:colOff>
      <xdr:row>36</xdr:row>
      <xdr:rowOff>526708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321C635-8243-D21E-279A-98DE2F281ED1}"/>
                </a:ext>
              </a:extLst>
            </xdr14:cNvPr>
            <xdr14:cNvContentPartPr/>
          </xdr14:nvContentPartPr>
          <xdr14:nvPr macro=""/>
          <xdr14:xfrm>
            <a:off x="10399349793" y="14223960"/>
            <a:ext cx="695880" cy="168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321C635-8243-D21E-279A-98DE2F281E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343673" y="14217840"/>
              <a:ext cx="7081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581647</xdr:colOff>
      <xdr:row>36</xdr:row>
      <xdr:rowOff>301708</xdr:rowOff>
    </xdr:from>
    <xdr:to>
      <xdr:col>8</xdr:col>
      <xdr:colOff>148916</xdr:colOff>
      <xdr:row>36</xdr:row>
      <xdr:rowOff>554428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16E5697-543F-DAA1-6E4D-7DF76CA77FF2}"/>
                </a:ext>
              </a:extLst>
            </xdr14:cNvPr>
            <xdr14:cNvContentPartPr/>
          </xdr14:nvContentPartPr>
          <xdr14:nvPr macro=""/>
          <xdr14:xfrm>
            <a:off x="10399095993" y="14167800"/>
            <a:ext cx="225360" cy="252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16E5697-543F-DAA1-6E4D-7DF76CA77FF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089873" y="14161680"/>
              <a:ext cx="23760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340817</xdr:colOff>
      <xdr:row>36</xdr:row>
      <xdr:rowOff>27388</xdr:rowOff>
    </xdr:from>
    <xdr:to>
      <xdr:col>9</xdr:col>
      <xdr:colOff>50986</xdr:colOff>
      <xdr:row>36</xdr:row>
      <xdr:rowOff>536428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BF7A42E-2570-5260-6B3C-8F6D5003EE62}"/>
                </a:ext>
              </a:extLst>
            </xdr14:cNvPr>
            <xdr14:cNvContentPartPr/>
          </xdr14:nvContentPartPr>
          <xdr14:nvPr macro=""/>
          <xdr14:xfrm>
            <a:off x="10398535833" y="13893480"/>
            <a:ext cx="1684440" cy="5090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BF7A42E-2570-5260-6B3C-8F6D5003EE6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529713" y="13887360"/>
              <a:ext cx="1696680" cy="52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428996</xdr:colOff>
      <xdr:row>36</xdr:row>
      <xdr:rowOff>543268</xdr:rowOff>
    </xdr:from>
    <xdr:to>
      <xdr:col>8</xdr:col>
      <xdr:colOff>533396</xdr:colOff>
      <xdr:row>36</xdr:row>
      <xdr:rowOff>563068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A4D144A-291C-9725-A0F3-4C5B5EBB0984}"/>
                </a:ext>
              </a:extLst>
            </xdr14:cNvPr>
            <xdr14:cNvContentPartPr/>
          </xdr14:nvContentPartPr>
          <xdr14:nvPr macro=""/>
          <xdr14:xfrm>
            <a:off x="10398711513" y="14409360"/>
            <a:ext cx="104400" cy="19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A4D144A-291C-9725-A0F3-4C5B5EBB098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705393" y="14403240"/>
              <a:ext cx="116640" cy="32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20:30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116 162 7121,'0'0'0,"-14"-20"1264,-1-1-207,15 21-1057,-17-24 1192,3 4-200,11 4-104,-9 1-144,12 15-744,-4-13 552,-8 1-135,7 8-113,2-7-112,3 11-192,-4-2 136,-1 1-16,0-1-96,5 1-16,0 1-8,-2 0-80,2 0-48,0 0 32,2 11 24,-2-11 72,5 5-32,0 15 24,7-2-72,0 3 40,-12-21 40,16 26-40,4 2 8,4 4 8,2 5 24,-26-37 0,29 42-24,2 4-24,3 4-8,0 1-24,-34-51 80,36 52-128,-3 1-81,6-5-167,-5-1-240,-34-47 616,36 44-832,-5-1-232,-2-1-264,-3 1-145,-26-43 1473,27 41-1568,-6-4 192,1-3 335,-3-1-1239,-19-33 2280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20:32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171 179 200,'0'0'0,"0"-16"192,0 16-192,0-13 160,0-2-48,0-1-40,-2 15 32,2 1-104,-3-5 88,-1 1 88,-1 0 40,5-2 80,0 6-296,-3-4 392,1-8-8,-3 11 24,3-3-48,2 4-360,-3-5 320,1 1-64,-1 0-88,-1 0-120,4 4-48,0-5 24,-5 1 24,2 0-48,1 1 48,2 3-48,-2-3 0,-1 0 32,-2 1 0,3-1 64,2 3-96,-2-3 72,-1 0 24,1 0 48,-1 0 9,3 3-153,-2-3 184,0 2-8,-1 0 16,3-1 24,0 2-216,-2-1 248,-1-1 40,3 0-16,0 0-24,0 2-248,0-1 240,-2-1-16,2 1 24,0-1 16,0 2-264,-2-1 224,2 1-40,0 0-80,0 0-40,0 0-64,0 0 40,0 0-24,0 0 8,0 0-32,0 0 8,0 0 0,0 0-16,-3 0 16,3 3 0,0-3 0,0 3-8,0 0 8,0 1-40,0 7 24,0-11 16,0 3-32,3 8 8,-1-8 8,0 10-40,-2-13 56,5 3-16,-2 8-24,9-7 56,-10 8-32,-2-12 16,12 4-32,-10 7 16,3-8-56,10 9 96,-15-12-24,2 3 24,8 1-24,-5 0 0,4 0-16,-9-4 16,5 3-24,5 0 88,-6-3-16,8 0 48,-12 0-96,3 0 64,9 0-48,-10 0 40,3 0-48,-5 0-8,12 0 0,-10-1 40,1-2-24,2-2 0,-5 5-16,12-2 8,-12-3 40,5 1-8,-3 1 24,-2 3-64,5-3 48,-3 1 48,1-1 8,-3-2 48,0 5-152,2-1 296,-2-2 41,0 2 111,0-1 72,0 2-520,0 0 464,0 0-152,0 0-144,0 0-128,0 0-40,-2 0-24,2 0-8,-3 0-48,1 3 8,2-3 72,-3 4 0,1 1-48,2-1 56,-2 0-8,2-4 0,-3 13-72,1-10 80,-1 8 8,1-8-24,2-3 8,0 12-8,-2-10 40,2 10-48,-5-9 72,5-3-56,-5 11 48,-7-8-40,9 1 40,-13 7-24,16-11-24,-12 0 16,0 5-16,-3-1-40,1 0 16,14-4 24,-15 4-32,-2 8-32,1-9 40,1 0-96,15-3 120,-14 4-88,-3 0-64,2 0-456,1 9-433,14-13 1041,-12 0-1480,5 4-72,-3 1 304,5 6-2257,5-11 3505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20:33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1538 1 3960,'0'0'0,"2"3"376,-2 11-128,0-14-248,3 4 185,-3 10-113,0-14-56,2-1-8,-2 1-8,5-2-24,-5 0-8,2-1 8,1 1 0,-3 2 24,0-4-24,0 3 32,2-2-16,-2 1-8,0 2 16,3-1-8,-3 1-8,0 0-9,0 0 34,0 0-9,4 4 24,-4 9 56,3-9 0,-3-4-80,2 15 64,3-4-24,-4 0-40,2 1 32,-3-12-32,5 12 0,7 1-16,-8-1-24,7 2-40,-11-14 80,15 13-104,-1-1-33,2 0-39,-1-9-16,-15-3 192,18 11-144,-1-11 64,-2 3 56,2-3 48,-17 0-24,17 0 0,-1 0 24,1-2-16,-4-2-24,-13 4 16,17-11 40,-3 7-24,0-2 16,-2-7 112,-12 13-144,2-4 144,12-9 56,-9 9 113,-3-8 63,-2 12-376,0-2 528,0-3 128,0 1-8,-5 0-112,5 4-536,-5-3 432,1 1-168,-7 1-120,3 1-24,8 0-120,-16 0 24,4 3-8,-7 10-8,3-9-24,-10 14 32,26-18-16,-23 13 16,0 0 0,-1 0 8,3-9 8,21-4-32,-23 17-8,1-13 24,-3 11-32,25-15 16,-22 4-16,-1 9 8,3-11 0,0 4-24,2-2 16,18-4 16,-19 4 16,3 8-32,2-12 56,-1 3-16,15-3-24,-13 0-16,8 0 32,-7 0 0,10 0 0,2 0-16,-3 0 40,1 0-112,2-2-8,0-2-72,0 4 152,0-4-168,5-1 24,-3 1-16,0-3 8,-2 7 152,5-5-64,7-1 24,-9 0 0,-1 2 72,-2 4-32,2-4 56,-2-1 24,0 3 160,0 0-8,0 2-232,0-1 272,-4 1 0,-6 0-112,-2 0-32,12 0-128,-13 4 32,-7 0-8,0 9-8,-2-10 32,22-3-48,-23 14-16,-5-10 40,2 9-7,0-9-74,26-4 57,-25 13 0,2-10-8,1 1-16,1 7-24,21-11 48,-21 3 0,0 0-8,4 1 16,1-1 48,16-3-56,-16 3-16,5-3-16,6 0 40,-5 0 32,10 0-40,-2 0 81,-1 0-17,1 0-32,2-1-8,0 1-24,0-3-16,0 0 32,0 0 24,0-1-32,0 4-8,0-4 64,-3-1 32,1 1 8,2 0 80,0 4-184,-5-5 256,1 1 48,2 0 8,-5 1-88,7 3-224,-5-3 168,-7 2-104,10-1-56,-9 2-16,11 0 8,-8 0-16,-6 0-48,0 3 24,5 0 16,9-3 24,-15 3-56,4 0 40,-1 1-64,5-1 16,7-3 64,-13 3-40,8 0 8,-7-1 32,5 1-88,7-3 88,-12 0-32,10 3-8,-5 0 16,-7-3 96,14 0-72,-3 3-8,-10-3 8,8 3-8,-7-3-8,12 0 16,-3 0 0,-11 0 0,8 0 56,-6 0-48,12 0-8,-3 0 32,-9-2 24,9 1 0,-2-2-16,5 3-40,-5-3 72,-7 2-48,7-1-24,-4 2 0,9 0 0,-7 0-16,-5 0 16,0 3-56,1 1 16,11-4 40,-14 13-8,-4-10-16,3 10 0,-6-9 16,21-4 8,-19 13-40,1-9 16,-1 10 8,3-9 8,16-5 8,-17 14-40,0-11 40,4 8 24,-4-8-40,17-3 16,-16 11-8,2-8 0,2 0 0,-2 1 8,14-4 0,-12 3 24,7-3-24,-8 3-8,11-3 16,2 0-8,-3 0-16,-4 0 16,5-2 0,2 1 16,0 1-16,-5-4 16,0 0 40,2-1-24,-3-6 48,6 11-80,-12-3 88,7-3-24,-7-5 64,1 7-8,11 4-120,-12-5 144,0 1 48,-1 1-48,1 2-40,12 1-104,-12 0 88,-2 0-16,0 0-64,1 3 8,13-3-16,-15 4 8,3 7-40,1-8-24,-3 1-16,14-4 72,-12 15-72,1-12-8,3 9-96,-6-7-112,14-5 288,-2 12-464,-10-9-224,8 10-152,-8-10-297,12-3 1137,-5 11-1448,-7-8 232,10 1 215,-2-1 105,4-3 896,-12 4-2840,12-4 2840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20:33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63 4112,'0'0'0,"0"-11"753,-3 5-17,3 6-736,-5-17 872,3 13-40,-2-8-64,4 11-48,0 1-720,-2-3 593,2 0-145,0 2-112,0-1-128,0 2-208,0-1 104,0-1-56,0 2-80,0 0-16,0 0 48,0 0-64,0 0-16,2 0 40,2 5 8,-4-5 32,5 4 8,6 9 16,-9-2 8,1 3 8,-3-14-40,12 16 48,-1 1 0,5 4-16,-3 2 24,-13-23-56,15 27 48,5 6-8,1 2-16,1 5-48,-22-40 24,25 39-24,2 0-16,2-2-8,-1 0-24,-28-37 72,33 34-48,0 2-32,-2-3 0,0-2-72,-31-31 152,31 28-256,-3-1-88,1-4-113,-5-3-127,-24-20 584,22 18-856,-4-3-432,-3-4 160,-4-8 159,-11-3 969,0 11-2960,0-11 2960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20:35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1220 924 5961,'0'0'0,"0"0"0,-15-3 2280,-2 0-991,-6-1 15,4 3-224,19 1-1080,-19-5 784,1 0-216,-3 0-96,2 1-119,19 4-353,-16-3 288,-2 2 0,1 0-88,6-1-56,11 2-144,-12 0 104,5 0-80,-2 0 8,4 0 16,5 0-48,-2 3 56,0 0-40,-3 0 8,5 1-32,0-4 8,-3 11 8,3-8-16,0 10 48,0-9-8,0-4-32,5 14 56,7-9 120,-8 12-64,10-4 24,-14-13-136,14 12 128,5 3-48,2 0 56,2 5-32,-23-20-104,23 20 56,3 1 0,-3 1-32,3-3 8,-26-19-32,30 22 24,-7-1-24,0 0-24,3 1-48,-26-22 72,23 18-8,-2 1-24,0-4 32,-5 1-48,-16-16 48,17 16-24,-4-2 0,-3-1 8,2-2 32,-12-11-16,4 4-8,10 11 8,-12-11-24,3 7-16,-5-11 40,5 3-24,-4 1-24,4 8 24,0-12-64,-5 0 88,2 4-80,1-1 24,-3 0 16,0-3 48,0 0-8,5 0 32,-5 2 16,-5-2 8,0 0 24,5 0-80,-5 0 40,-6 0 16,6 0 0,-9 0 0,14 0-56,-11 0 56,-6-1-32,4-2-24,-7-1 16,20 4-16,-20-4-40,-3-8 120,0 8-64,0-9 16,23 13-32,-24-5 32,1-11-64,0 3 56,-1 0 32,24 13-56,-27-15 8,1-2 72,-2-2-32,5-1-48,23 20 0,-32-18 32,4-2-32,-5-1 0,-2-1-16,35 22 16,-35-20 16,1 0 24,-1 0-8,-3 1-8,38 19-24,-43-19 8,5-1-16,-2 0 16,1 2 64,39 18-72,-37-19 48,-6 4-64,2 0 16,-1 1-24,42 14 24,-41-13-32,1 2 80,1-2 8,6-1-32,33 14-24,-33-11 0,10-3 8,0 1-16,6-1-48,17 14 56,-11-15-16,4 3 16,2 0 24,1 1-16,4 11-8,-3-12 16,3 0-88,0-4 8,3 2-16,-3 14 80,18-17-96,-4-1 32,9-1 8,0 1-16,-23 18 72,35-20-104,3 1 16,1-1-48,6 0-8,-45 20 144,48-21-168,5-3 16,6-2-96,3 2 32,-62 24 216,68-25-208,4-1-16,3 0 8,4 1 40,-79 25 176,78-27-184,6 1 23,4 2 73,3 1-8,-91 23 96,92-24-72,4 1 32,2 1 0,-3-1 16,-95 23 24,98-23-8,-3 2-24,2-2 16,1 3 40,-98 20-24,102-18 24,2 2 16,4 2-32,-4 3-16,-104 11 8,104-13-32,2 7 40,-7-7-24,-1 9 0,-98 4 16,97-4 0,-1 1-32,-3 2 56,-1 1-16,-92 0-8,84 2-8,2 11 8,-9-1-32,-5 0-16,-72-12 48,68 16-16,-2 0-8,0 2 32,-3 2-16,-63-20 8,58 23 24,0-1 0,-5 0-16,0-1 56,-53-21-64,49 20 0,-2 1 8,-3 1-8,0-1-32,-44-21 32,42 21-56,0-2 16,-3 1-24,-4-2-8,-35-18 72,28 20-32,-3-1-40,-4-2 24,-4-2-16,-17-15 64,11 13-56,-6-2-40,-3-6 8,3 10 64,-5-15 24,0 5-16,0 10 72,0-11 16,-5 11-8,5-15-64,-13 4 88,1 9 24,-2-9-8,-5 13 16,19-17-120,-23 4 88,0 11 16,0-11-24,-7 9-64,30-13-16,-31 4 56,-1 11-24,-6-10-16,-1 6 80,39-11-96,-35 4 32,-5 9-24,-1-9 57,-4 11 31,45-15-96,-46 4 160,-2 12 0,-4-12 32,1 13-24,51-17-168,-54 12 168,-1-7 48,-3 12-40,-3-13-16,61-4-160,-64 15 168,-6-3 48,-4-8-72,-1 13 0,75-17-144,-82 13 112,1-2-192,0 2 56,-5 0 24,86-13 0,-88 13-32,-3 1 64,-6 0 48,-6 0-80,103-14 0,-109 16-8,-5 0-16,-7 1-40,2 0 40,119-17 24,-125 17 24,7 0 8,-3 0 48,0 1-48,121-18-32,-123 19 56,2-2-56,5 0 48,4 0 32,112-17-80,-109 14 0,7 2 56,4 0 0,5-2-88,93-14 32,-91 17 24,4 0-24,2 0-120,9 1 88,76-18 32,-71 19-24,5-2 24,6 1 104,6 1-96,54-19-8,-46 16 16,4-1-176,7-2 56,7 0 48,28-13 56,-23 13-32,7-9 16,-3 11-72,10-12 32,9-3 56,-2 5-88,-3 6-72,3-11-136,2 3-152,0-3 448,0 3-496,4-1 88,7-2 135,-8 0 97,-3 0 176,14 0-184,-3 0 48,1 0 56,0-1-104,-12 1 184,14-1-280,-5-2-184,-4 0-280,11 0-224,-16 3 968,12-3-1120,-1-1-513,1 0 57,-7-1 416,-5 5 1160,16-4-881,-2-9-327,-10 12-1312,-4 1 2520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20:35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 6 4040,'0'0'0,"-3"-1"1889,3-1-849,-5 1-312,5 1-728,-2-2 448,2 2-192,0 0-160,-3 0-72,3 0-24,0 0 0,-2 3-24,-5 0 16,-5 1 16,12-4-8,-5 5 24,-14-1-56,2 0-16,-2 0-16,19-4 64,-22 5-136,-2 6-32,-2-11-232,-1 4-280,27-4 680,-24 5-1024,-2-3 72,4-2-9,-2 0-2215,24 0 3176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7"/>
  <sheetViews>
    <sheetView rightToLeft="1" tabSelected="1" view="pageBreakPreview" topLeftCell="D1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180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3">
      <c r="B2" s="11" t="s">
        <v>8</v>
      </c>
      <c r="C2" s="70" t="s">
        <v>15</v>
      </c>
      <c r="D2" s="70"/>
      <c r="E2" s="11" t="s">
        <v>7</v>
      </c>
      <c r="F2" s="65">
        <v>45952</v>
      </c>
      <c r="G2" s="65"/>
      <c r="H2" s="65"/>
      <c r="I2" s="65"/>
      <c r="J2" s="65"/>
    </row>
    <row r="3" spans="1:10" ht="30" customHeight="1" x14ac:dyDescent="0.3">
      <c r="B3" s="11" t="s">
        <v>9</v>
      </c>
      <c r="C3" s="70" t="s">
        <v>75</v>
      </c>
      <c r="D3" s="70"/>
      <c r="E3" s="11" t="s">
        <v>6</v>
      </c>
      <c r="F3" s="70" t="s">
        <v>122</v>
      </c>
      <c r="G3" s="70"/>
      <c r="H3" s="70"/>
      <c r="I3" s="70"/>
      <c r="J3" s="70"/>
    </row>
    <row r="4" spans="1:10" ht="30" customHeight="1" thickBot="1" x14ac:dyDescent="0.35">
      <c r="B4" s="6"/>
      <c r="C4" s="71"/>
      <c r="D4" s="71"/>
      <c r="E4" s="6"/>
      <c r="F4" s="71"/>
      <c r="G4" s="71"/>
      <c r="H4" s="71"/>
      <c r="I4" s="71"/>
      <c r="J4" s="71"/>
    </row>
    <row r="5" spans="1:10" ht="24.9" customHeight="1" x14ac:dyDescent="0.3">
      <c r="A5" s="9"/>
      <c r="B5" s="66" t="s">
        <v>0</v>
      </c>
      <c r="C5" s="67"/>
      <c r="D5" s="67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9"/>
      <c r="B6" s="68"/>
      <c r="C6" s="69"/>
      <c r="D6" s="69"/>
      <c r="E6" s="10" t="s">
        <v>3</v>
      </c>
      <c r="F6" s="10" t="s">
        <v>4</v>
      </c>
      <c r="G6" s="10" t="s">
        <v>23</v>
      </c>
      <c r="H6" s="10" t="s">
        <v>24</v>
      </c>
      <c r="I6" s="56"/>
      <c r="J6" s="57"/>
    </row>
    <row r="7" spans="1:10" ht="24.9" customHeight="1" thickBot="1" x14ac:dyDescent="0.35">
      <c r="A7" s="9"/>
      <c r="B7" s="52" t="s">
        <v>21</v>
      </c>
      <c r="C7" s="53"/>
      <c r="D7" s="53"/>
      <c r="E7" s="28" t="s">
        <v>18</v>
      </c>
      <c r="F7" s="28" t="s">
        <v>19</v>
      </c>
      <c r="G7" s="28" t="s">
        <v>22</v>
      </c>
      <c r="H7" s="28" t="s">
        <v>20</v>
      </c>
      <c r="I7" s="58" t="s">
        <v>25</v>
      </c>
      <c r="J7" s="59"/>
    </row>
    <row r="8" spans="1:10" ht="30" customHeight="1" thickBot="1" x14ac:dyDescent="0.35">
      <c r="A8" s="9"/>
      <c r="B8" s="50" t="s">
        <v>181</v>
      </c>
      <c r="C8" s="51"/>
      <c r="D8" s="51"/>
      <c r="E8" s="8">
        <v>5</v>
      </c>
      <c r="F8" s="39">
        <v>3.75</v>
      </c>
      <c r="G8" s="40">
        <f>IFERROR(F8/E8,"")</f>
        <v>0.75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87"/>
      <c r="J8" s="88"/>
    </row>
    <row r="9" spans="1:10" ht="30" customHeight="1" x14ac:dyDescent="0.3">
      <c r="A9" s="9"/>
      <c r="B9" s="44" t="s">
        <v>182</v>
      </c>
      <c r="C9" s="45"/>
      <c r="D9" s="45"/>
      <c r="E9" s="32"/>
      <c r="F9" s="33"/>
      <c r="G9" s="34"/>
      <c r="H9" s="35"/>
      <c r="I9" s="60"/>
      <c r="J9" s="61"/>
    </row>
    <row r="10" spans="1:10" ht="30" customHeight="1" x14ac:dyDescent="0.3">
      <c r="A10" s="9"/>
      <c r="B10" s="46" t="s">
        <v>194</v>
      </c>
      <c r="C10" s="47"/>
      <c r="D10" s="47"/>
      <c r="E10" s="7">
        <v>5</v>
      </c>
      <c r="F10" s="25">
        <v>4.25</v>
      </c>
      <c r="G10" s="30">
        <f t="shared" ref="G10:G32" si="0">IFERROR(F10/E10,"")</f>
        <v>0.85</v>
      </c>
      <c r="H10" s="31" t="str">
        <f t="shared" ref="H10:H32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8"/>
      <c r="J10" s="49"/>
    </row>
    <row r="11" spans="1:10" ht="30" customHeight="1" x14ac:dyDescent="0.3">
      <c r="A11" s="9"/>
      <c r="B11" s="46" t="s">
        <v>195</v>
      </c>
      <c r="C11" s="47"/>
      <c r="D11" s="47"/>
      <c r="E11" s="7">
        <v>5</v>
      </c>
      <c r="F11" s="25">
        <v>3.5</v>
      </c>
      <c r="G11" s="30">
        <f t="shared" si="0"/>
        <v>0.7</v>
      </c>
      <c r="H11" s="31" t="str">
        <f t="shared" si="1"/>
        <v>جيد</v>
      </c>
      <c r="I11" s="48"/>
      <c r="J11" s="49"/>
    </row>
    <row r="12" spans="1:10" ht="30" customHeight="1" x14ac:dyDescent="0.3">
      <c r="A12" s="9"/>
      <c r="B12" s="46" t="s">
        <v>197</v>
      </c>
      <c r="C12" s="47"/>
      <c r="D12" s="47"/>
      <c r="E12" s="7">
        <v>5</v>
      </c>
      <c r="F12" s="25">
        <v>3.75</v>
      </c>
      <c r="G12" s="30">
        <f t="shared" si="0"/>
        <v>0.75</v>
      </c>
      <c r="H12" s="31" t="str">
        <f t="shared" si="1"/>
        <v>جيد</v>
      </c>
      <c r="I12" s="48"/>
      <c r="J12" s="49"/>
    </row>
    <row r="13" spans="1:10" ht="30" customHeight="1" thickBot="1" x14ac:dyDescent="0.35">
      <c r="A13" s="9"/>
      <c r="B13" s="42" t="s">
        <v>196</v>
      </c>
      <c r="C13" s="43"/>
      <c r="D13" s="43"/>
      <c r="E13" s="36">
        <v>5</v>
      </c>
      <c r="F13" s="26">
        <v>3.5</v>
      </c>
      <c r="G13" s="37">
        <f t="shared" si="0"/>
        <v>0.7</v>
      </c>
      <c r="H13" s="38" t="str">
        <f t="shared" si="1"/>
        <v>جيد</v>
      </c>
      <c r="I13" s="62"/>
      <c r="J13" s="63"/>
    </row>
    <row r="14" spans="1:10" ht="30" customHeight="1" x14ac:dyDescent="0.3">
      <c r="A14" s="9"/>
      <c r="B14" s="44" t="s">
        <v>183</v>
      </c>
      <c r="C14" s="45"/>
      <c r="D14" s="45"/>
      <c r="E14" s="32"/>
      <c r="F14" s="33"/>
      <c r="G14" s="34"/>
      <c r="H14" s="35"/>
      <c r="I14" s="60"/>
      <c r="J14" s="61"/>
    </row>
    <row r="15" spans="1:10" ht="30" customHeight="1" x14ac:dyDescent="0.3">
      <c r="A15" s="9"/>
      <c r="B15" s="46" t="s">
        <v>193</v>
      </c>
      <c r="C15" s="47"/>
      <c r="D15" s="47"/>
      <c r="E15" s="7">
        <v>5</v>
      </c>
      <c r="F15" s="25">
        <v>4.25</v>
      </c>
      <c r="G15" s="30">
        <f t="shared" si="0"/>
        <v>0.85</v>
      </c>
      <c r="H15" s="31" t="str">
        <f t="shared" si="1"/>
        <v>جيد جداً</v>
      </c>
      <c r="I15" s="48"/>
      <c r="J15" s="49"/>
    </row>
    <row r="16" spans="1:10" ht="30" customHeight="1" x14ac:dyDescent="0.3">
      <c r="A16" s="9"/>
      <c r="B16" s="46" t="s">
        <v>192</v>
      </c>
      <c r="C16" s="47"/>
      <c r="D16" s="47"/>
      <c r="E16" s="7">
        <v>5</v>
      </c>
      <c r="F16" s="25">
        <v>3.5</v>
      </c>
      <c r="G16" s="30">
        <f t="shared" si="0"/>
        <v>0.7</v>
      </c>
      <c r="H16" s="31" t="str">
        <f t="shared" si="1"/>
        <v>جيد</v>
      </c>
      <c r="I16" s="48"/>
      <c r="J16" s="49"/>
    </row>
    <row r="17" spans="1:10" ht="30" customHeight="1" x14ac:dyDescent="0.3">
      <c r="A17" s="9"/>
      <c r="B17" s="46" t="s">
        <v>191</v>
      </c>
      <c r="C17" s="47"/>
      <c r="D17" s="47"/>
      <c r="E17" s="7">
        <v>5</v>
      </c>
      <c r="F17" s="25">
        <v>3.5</v>
      </c>
      <c r="G17" s="30">
        <f t="shared" si="0"/>
        <v>0.7</v>
      </c>
      <c r="H17" s="31" t="str">
        <f t="shared" si="1"/>
        <v>جيد</v>
      </c>
      <c r="I17" s="48"/>
      <c r="J17" s="49"/>
    </row>
    <row r="18" spans="1:10" ht="30" customHeight="1" x14ac:dyDescent="0.3">
      <c r="A18" s="9"/>
      <c r="B18" s="46" t="s">
        <v>190</v>
      </c>
      <c r="C18" s="47"/>
      <c r="D18" s="47"/>
      <c r="E18" s="7">
        <v>5</v>
      </c>
      <c r="F18" s="25">
        <v>3.5</v>
      </c>
      <c r="G18" s="30">
        <f t="shared" si="0"/>
        <v>0.7</v>
      </c>
      <c r="H18" s="31" t="str">
        <f t="shared" si="1"/>
        <v>جيد</v>
      </c>
      <c r="I18" s="48"/>
      <c r="J18" s="49"/>
    </row>
    <row r="19" spans="1:10" ht="30" customHeight="1" x14ac:dyDescent="0.3">
      <c r="A19" s="9"/>
      <c r="B19" s="46" t="s">
        <v>189</v>
      </c>
      <c r="C19" s="47"/>
      <c r="D19" s="47"/>
      <c r="E19" s="7">
        <v>5</v>
      </c>
      <c r="F19" s="25">
        <v>3.5</v>
      </c>
      <c r="G19" s="30">
        <f t="shared" si="0"/>
        <v>0.7</v>
      </c>
      <c r="H19" s="31" t="str">
        <f t="shared" si="1"/>
        <v>جيد</v>
      </c>
      <c r="I19" s="48"/>
      <c r="J19" s="49"/>
    </row>
    <row r="20" spans="1:10" ht="30" customHeight="1" x14ac:dyDescent="0.3">
      <c r="A20" s="9"/>
      <c r="B20" s="46" t="s">
        <v>188</v>
      </c>
      <c r="C20" s="47"/>
      <c r="D20" s="47"/>
      <c r="E20" s="7">
        <v>5</v>
      </c>
      <c r="F20" s="25">
        <v>4</v>
      </c>
      <c r="G20" s="30">
        <f t="shared" si="0"/>
        <v>0.8</v>
      </c>
      <c r="H20" s="31" t="str">
        <f t="shared" si="1"/>
        <v>جيد جداً</v>
      </c>
      <c r="I20" s="48"/>
      <c r="J20" s="49"/>
    </row>
    <row r="21" spans="1:10" ht="30" customHeight="1" x14ac:dyDescent="0.3">
      <c r="A21" s="9"/>
      <c r="B21" s="46" t="s">
        <v>184</v>
      </c>
      <c r="C21" s="47"/>
      <c r="D21" s="47"/>
      <c r="E21" s="7">
        <v>5</v>
      </c>
      <c r="F21" s="25">
        <v>4</v>
      </c>
      <c r="G21" s="30">
        <f t="shared" si="0"/>
        <v>0.8</v>
      </c>
      <c r="H21" s="31" t="str">
        <f t="shared" si="1"/>
        <v>جيد جداً</v>
      </c>
      <c r="I21" s="48"/>
      <c r="J21" s="49"/>
    </row>
    <row r="22" spans="1:10" ht="30" customHeight="1" thickBot="1" x14ac:dyDescent="0.35">
      <c r="A22" s="9"/>
      <c r="B22" s="42" t="s">
        <v>185</v>
      </c>
      <c r="C22" s="43"/>
      <c r="D22" s="43"/>
      <c r="E22" s="36">
        <v>5</v>
      </c>
      <c r="F22" s="26">
        <v>4</v>
      </c>
      <c r="G22" s="37">
        <f t="shared" si="0"/>
        <v>0.8</v>
      </c>
      <c r="H22" s="38" t="str">
        <f t="shared" si="1"/>
        <v>جيد جداً</v>
      </c>
      <c r="I22" s="62"/>
      <c r="J22" s="63"/>
    </row>
    <row r="23" spans="1:10" ht="30" customHeight="1" x14ac:dyDescent="0.3">
      <c r="A23" s="9"/>
      <c r="B23" s="44" t="s">
        <v>186</v>
      </c>
      <c r="C23" s="45"/>
      <c r="D23" s="45"/>
      <c r="E23" s="41"/>
      <c r="F23" s="33"/>
      <c r="G23" s="34"/>
      <c r="H23" s="35"/>
      <c r="I23" s="60"/>
      <c r="J23" s="61"/>
    </row>
    <row r="24" spans="1:10" ht="30" customHeight="1" x14ac:dyDescent="0.3">
      <c r="A24" s="9"/>
      <c r="B24" s="46" t="s">
        <v>200</v>
      </c>
      <c r="C24" s="47"/>
      <c r="D24" s="47"/>
      <c r="E24" s="7">
        <v>5</v>
      </c>
      <c r="F24" s="25">
        <v>3.5</v>
      </c>
      <c r="G24" s="30">
        <f t="shared" si="0"/>
        <v>0.7</v>
      </c>
      <c r="H24" s="31" t="str">
        <f t="shared" si="1"/>
        <v>جيد</v>
      </c>
      <c r="I24" s="48"/>
      <c r="J24" s="49"/>
    </row>
    <row r="25" spans="1:10" ht="30" customHeight="1" x14ac:dyDescent="0.3">
      <c r="A25" s="9"/>
      <c r="B25" s="46" t="s">
        <v>199</v>
      </c>
      <c r="C25" s="47"/>
      <c r="D25" s="47"/>
      <c r="E25" s="7">
        <v>5</v>
      </c>
      <c r="F25" s="25">
        <v>3.5</v>
      </c>
      <c r="G25" s="30">
        <f t="shared" si="0"/>
        <v>0.7</v>
      </c>
      <c r="H25" s="31" t="str">
        <f t="shared" si="1"/>
        <v>جيد</v>
      </c>
      <c r="I25" s="48"/>
      <c r="J25" s="49"/>
    </row>
    <row r="26" spans="1:10" ht="30" customHeight="1" x14ac:dyDescent="0.3">
      <c r="A26" s="9"/>
      <c r="B26" s="46" t="s">
        <v>198</v>
      </c>
      <c r="C26" s="47"/>
      <c r="D26" s="47"/>
      <c r="E26" s="7">
        <v>5</v>
      </c>
      <c r="F26" s="25">
        <v>3.75</v>
      </c>
      <c r="G26" s="30">
        <f t="shared" si="0"/>
        <v>0.75</v>
      </c>
      <c r="H26" s="31" t="str">
        <f t="shared" si="1"/>
        <v>جيد</v>
      </c>
      <c r="I26" s="48"/>
      <c r="J26" s="49"/>
    </row>
    <row r="27" spans="1:10" ht="30" customHeight="1" x14ac:dyDescent="0.3">
      <c r="A27" s="9"/>
      <c r="B27" s="46" t="s">
        <v>201</v>
      </c>
      <c r="C27" s="47"/>
      <c r="D27" s="47"/>
      <c r="E27" s="7">
        <v>5</v>
      </c>
      <c r="F27" s="25">
        <v>3.5</v>
      </c>
      <c r="G27" s="30">
        <f t="shared" si="0"/>
        <v>0.7</v>
      </c>
      <c r="H27" s="31" t="str">
        <f t="shared" si="1"/>
        <v>جيد</v>
      </c>
      <c r="I27" s="48"/>
      <c r="J27" s="49"/>
    </row>
    <row r="28" spans="1:10" ht="30" customHeight="1" thickBot="1" x14ac:dyDescent="0.35">
      <c r="A28" s="9"/>
      <c r="B28" s="42" t="s">
        <v>202</v>
      </c>
      <c r="C28" s="43"/>
      <c r="D28" s="43"/>
      <c r="E28" s="36">
        <v>5</v>
      </c>
      <c r="F28" s="26">
        <v>3.75</v>
      </c>
      <c r="G28" s="37">
        <f t="shared" si="0"/>
        <v>0.75</v>
      </c>
      <c r="H28" s="38" t="str">
        <f t="shared" si="1"/>
        <v>جيد</v>
      </c>
      <c r="I28" s="62"/>
      <c r="J28" s="63"/>
    </row>
    <row r="29" spans="1:10" ht="30" customHeight="1" x14ac:dyDescent="0.3">
      <c r="A29" s="9"/>
      <c r="B29" s="44" t="s">
        <v>187</v>
      </c>
      <c r="C29" s="45"/>
      <c r="D29" s="45"/>
      <c r="E29" s="32"/>
      <c r="F29" s="33"/>
      <c r="G29" s="34"/>
      <c r="H29" s="35"/>
      <c r="I29" s="60"/>
      <c r="J29" s="61"/>
    </row>
    <row r="30" spans="1:10" ht="30" customHeight="1" x14ac:dyDescent="0.3">
      <c r="A30" s="9"/>
      <c r="B30" s="46" t="s">
        <v>203</v>
      </c>
      <c r="C30" s="47"/>
      <c r="D30" s="47"/>
      <c r="E30" s="7">
        <v>5</v>
      </c>
      <c r="F30" s="25">
        <v>4</v>
      </c>
      <c r="G30" s="30">
        <f t="shared" si="0"/>
        <v>0.8</v>
      </c>
      <c r="H30" s="31" t="str">
        <f t="shared" si="1"/>
        <v>جيد جداً</v>
      </c>
      <c r="I30" s="48"/>
      <c r="J30" s="49"/>
    </row>
    <row r="31" spans="1:10" ht="30" customHeight="1" x14ac:dyDescent="0.3">
      <c r="A31" s="9"/>
      <c r="B31" s="46" t="s">
        <v>204</v>
      </c>
      <c r="C31" s="47"/>
      <c r="D31" s="47"/>
      <c r="E31" s="7">
        <v>5</v>
      </c>
      <c r="F31" s="25">
        <v>4</v>
      </c>
      <c r="G31" s="30">
        <f t="shared" si="0"/>
        <v>0.8</v>
      </c>
      <c r="H31" s="31" t="str">
        <f t="shared" si="1"/>
        <v>جيد جداً</v>
      </c>
      <c r="I31" s="48"/>
      <c r="J31" s="49"/>
    </row>
    <row r="32" spans="1:10" ht="30" customHeight="1" thickBot="1" x14ac:dyDescent="0.35">
      <c r="A32" s="9"/>
      <c r="B32" s="42" t="s">
        <v>205</v>
      </c>
      <c r="C32" s="43"/>
      <c r="D32" s="43"/>
      <c r="E32" s="36">
        <v>5</v>
      </c>
      <c r="F32" s="26">
        <v>4</v>
      </c>
      <c r="G32" s="37">
        <f t="shared" si="0"/>
        <v>0.8</v>
      </c>
      <c r="H32" s="38" t="str">
        <f t="shared" si="1"/>
        <v>جيد جداً</v>
      </c>
      <c r="I32" s="62"/>
      <c r="J32" s="63"/>
    </row>
    <row r="33" spans="1:10" ht="30" customHeight="1" thickBot="1" x14ac:dyDescent="0.35">
      <c r="A33" s="4"/>
      <c r="B33" s="89" t="s">
        <v>5</v>
      </c>
      <c r="C33" s="90"/>
      <c r="D33" s="90"/>
      <c r="E33" s="29">
        <f>SUM(E8:E32)</f>
        <v>105</v>
      </c>
      <c r="F33" s="29">
        <f>SUM(F8:F32)</f>
        <v>79</v>
      </c>
      <c r="G33" s="72"/>
      <c r="H33" s="73"/>
      <c r="I33" s="73"/>
      <c r="J33" s="74"/>
    </row>
    <row r="34" spans="1:10" ht="30" customHeight="1" thickBot="1" x14ac:dyDescent="0.35">
      <c r="A34" s="4"/>
      <c r="B34" s="83" t="s">
        <v>54</v>
      </c>
      <c r="C34" s="84"/>
      <c r="D34" s="84"/>
      <c r="E34" s="75">
        <f>F33/E33/100*100</f>
        <v>0.75238095238095237</v>
      </c>
      <c r="F34" s="75"/>
      <c r="G34" s="75"/>
      <c r="H34" s="75"/>
      <c r="I34" s="75"/>
      <c r="J34" s="76"/>
    </row>
    <row r="35" spans="1:10" ht="30" customHeight="1" thickBot="1" x14ac:dyDescent="0.35">
      <c r="A35" s="4"/>
      <c r="B35" s="83" t="s">
        <v>55</v>
      </c>
      <c r="C35" s="84"/>
      <c r="D35" s="84"/>
      <c r="E35" s="81" t="str">
        <f>_xlfn.IFS(E34&gt;=90%,"ممتاز",E34&gt;=80%,"جيد جداً",E34&gt;=70%,"جيد",E34&gt;=60%,"مقبول",E34&lt;60%,"راسب")</f>
        <v>جيد</v>
      </c>
      <c r="F35" s="81"/>
      <c r="G35" s="81"/>
      <c r="H35" s="81"/>
      <c r="I35" s="81"/>
      <c r="J35" s="82"/>
    </row>
    <row r="36" spans="1:10" ht="42" customHeight="1" x14ac:dyDescent="0.3">
      <c r="B36" s="77" t="s">
        <v>174</v>
      </c>
      <c r="C36" s="77"/>
      <c r="D36" s="77"/>
      <c r="E36" s="85" t="s">
        <v>52</v>
      </c>
      <c r="F36" s="85"/>
      <c r="G36" s="79" t="s">
        <v>122</v>
      </c>
      <c r="H36" s="79"/>
      <c r="I36" s="79"/>
      <c r="J36" s="79"/>
    </row>
    <row r="37" spans="1:10" ht="51" customHeight="1" x14ac:dyDescent="0.3">
      <c r="A37" s="5"/>
      <c r="B37" s="78"/>
      <c r="C37" s="78"/>
      <c r="D37" s="78"/>
      <c r="E37" s="86" t="s">
        <v>53</v>
      </c>
      <c r="F37" s="86"/>
      <c r="G37" s="80"/>
      <c r="H37" s="80"/>
      <c r="I37" s="80"/>
      <c r="J37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I26:J26"/>
    <mergeCell ref="I27:J27"/>
    <mergeCell ref="I17:J17"/>
    <mergeCell ref="I18:J18"/>
    <mergeCell ref="I28:J28"/>
    <mergeCell ref="I19:J19"/>
    <mergeCell ref="I20:J20"/>
    <mergeCell ref="I21:J21"/>
    <mergeCell ref="I22:J22"/>
    <mergeCell ref="I23:J23"/>
    <mergeCell ref="I24:J24"/>
    <mergeCell ref="I25:J25"/>
    <mergeCell ref="B36:D37"/>
    <mergeCell ref="G36:J36"/>
    <mergeCell ref="G37:J37"/>
    <mergeCell ref="E35:J35"/>
    <mergeCell ref="B34:D34"/>
    <mergeCell ref="B35:D35"/>
    <mergeCell ref="E36:F36"/>
    <mergeCell ref="E37:F37"/>
    <mergeCell ref="G33:J33"/>
    <mergeCell ref="E34:J34"/>
    <mergeCell ref="B31:D31"/>
    <mergeCell ref="B32:D32"/>
    <mergeCell ref="B27:D27"/>
    <mergeCell ref="B28:D28"/>
    <mergeCell ref="B29:D29"/>
    <mergeCell ref="B30:D30"/>
    <mergeCell ref="I32:J32"/>
    <mergeCell ref="B33:D33"/>
    <mergeCell ref="I29:J29"/>
    <mergeCell ref="B1:J1"/>
    <mergeCell ref="F2:J2"/>
    <mergeCell ref="B5:D6"/>
    <mergeCell ref="C2:D2"/>
    <mergeCell ref="C3:D3"/>
    <mergeCell ref="F3:J3"/>
    <mergeCell ref="F4:J4"/>
    <mergeCell ref="C4:D4"/>
    <mergeCell ref="B7:D7"/>
    <mergeCell ref="I30:J30"/>
    <mergeCell ref="I31:J31"/>
    <mergeCell ref="E5:H5"/>
    <mergeCell ref="I5:J6"/>
    <mergeCell ref="I7:J7"/>
    <mergeCell ref="B13:D13"/>
    <mergeCell ref="B14:D14"/>
    <mergeCell ref="B15:D15"/>
    <mergeCell ref="B16:D16"/>
    <mergeCell ref="I9:J9"/>
    <mergeCell ref="I10:J10"/>
    <mergeCell ref="I11:J11"/>
    <mergeCell ref="I12:J12"/>
    <mergeCell ref="I13:J13"/>
    <mergeCell ref="I14:J14"/>
    <mergeCell ref="I15:J15"/>
    <mergeCell ref="I16:J16"/>
    <mergeCell ref="B8:D8"/>
    <mergeCell ref="B9:D9"/>
    <mergeCell ref="B10:D10"/>
    <mergeCell ref="B11:D11"/>
    <mergeCell ref="B12:D12"/>
    <mergeCell ref="I8:J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5">
    <cfRule type="expression" dxfId="14" priority="57">
      <formula>$E35="راسب"</formula>
    </cfRule>
  </conditionalFormatting>
  <conditionalFormatting sqref="E35:J35">
    <cfRule type="expression" dxfId="13" priority="58">
      <formula>$E35="مقبول"</formula>
    </cfRule>
    <cfRule type="expression" dxfId="12" priority="59">
      <formula>$E35="جيد"</formula>
    </cfRule>
    <cfRule type="expression" dxfId="11" priority="60">
      <formula>$E35="جيد جداً"</formula>
    </cfRule>
    <cfRule type="expression" dxfId="10" priority="61">
      <formula>$E35="ممتاز"</formula>
    </cfRule>
  </conditionalFormatting>
  <conditionalFormatting sqref="F8:F3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6:J36">
    <cfRule type="containsText" dxfId="6" priority="15" operator="containsText" text="أدخل اسم المحكم">
      <formula>NOT(ISERROR(SEARCH("أدخل اسم المحكم",G36)))</formula>
    </cfRule>
  </conditionalFormatting>
  <conditionalFormatting sqref="H8:H3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F10:F13 F15:F22 F8 F24:F28 F30:F32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G36:J36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2025-10-23T15:04:42Z</dcterms:modified>
</cp:coreProperties>
</file>