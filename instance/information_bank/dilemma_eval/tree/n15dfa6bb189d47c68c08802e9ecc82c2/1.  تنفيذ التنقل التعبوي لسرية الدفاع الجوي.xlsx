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BE5D3CF-2EFE-4CF3-AB5D-FFBCA181E5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1" i="2"/>
  <c r="G12" i="2"/>
  <c r="G14" i="2"/>
  <c r="G15" i="2"/>
  <c r="G16" i="2"/>
  <c r="G17" i="2"/>
  <c r="G18" i="2"/>
  <c r="G20" i="2"/>
  <c r="G21" i="2"/>
  <c r="G22" i="2"/>
  <c r="G23" i="2"/>
  <c r="G24" i="2"/>
  <c r="G25" i="2"/>
  <c r="G26" i="2"/>
  <c r="G27" i="2"/>
  <c r="G29" i="2"/>
  <c r="G30" i="2"/>
  <c r="G31" i="2"/>
  <c r="G32" i="2"/>
  <c r="G33" i="2"/>
  <c r="G34" i="2"/>
  <c r="G35" i="2"/>
  <c r="G36" i="2"/>
  <c r="G37" i="2"/>
  <c r="G38" i="2"/>
  <c r="G40" i="2"/>
  <c r="G41" i="2"/>
  <c r="G42" i="2"/>
  <c r="G43" i="2"/>
  <c r="G44" i="2"/>
  <c r="G45" i="2"/>
  <c r="G46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H9" i="2"/>
  <c r="H11" i="2"/>
  <c r="H12" i="2"/>
  <c r="H14" i="2"/>
  <c r="H15" i="2"/>
  <c r="H16" i="2"/>
  <c r="H17" i="2"/>
  <c r="H18" i="2"/>
  <c r="H20" i="2"/>
  <c r="H21" i="2"/>
  <c r="H22" i="2"/>
  <c r="H23" i="2"/>
  <c r="H24" i="2"/>
  <c r="H25" i="2"/>
  <c r="H26" i="2"/>
  <c r="H27" i="2"/>
  <c r="H29" i="2"/>
  <c r="H30" i="2"/>
  <c r="H31" i="2"/>
  <c r="H32" i="2"/>
  <c r="H33" i="2"/>
  <c r="H34" i="2"/>
  <c r="H35" i="2"/>
  <c r="H36" i="2"/>
  <c r="H37" i="2"/>
  <c r="H38" i="2"/>
  <c r="H40" i="2"/>
  <c r="H41" i="2"/>
  <c r="H42" i="2"/>
  <c r="H43" i="2"/>
  <c r="H44" i="2"/>
  <c r="H45" i="2"/>
  <c r="H46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F65" i="2"/>
  <c r="E65" i="2"/>
  <c r="E66" i="2"/>
  <c r="E67" i="2"/>
</calcChain>
</file>

<file path=xl/sharedStrings.xml><?xml version="1.0" encoding="utf-8"?>
<sst xmlns="http://schemas.openxmlformats.org/spreadsheetml/2006/main" count="296" uniqueCount="240">
  <si>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</si>
  <si>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</si>
  <si>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</si>
  <si>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</si>
  <si>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</si>
  <si>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</si>
  <si>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</si>
  <si>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</si>
  <si>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</si>
  <si>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</si>
  <si>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</si>
  <si>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</si>
  <si>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</si>
  <si>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</si>
  <si>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</si>
  <si>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</si>
  <si>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</si>
  <si>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</si>
  <si>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</si>
  <si>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</si>
  <si>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</si>
  <si>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</si>
  <si>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</si>
  <si>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</si>
  <si>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</si>
  <si>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</si>
  <si>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</si>
  <si>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</si>
  <si>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</si>
  <si>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</si>
  <si>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</si>
  <si>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</si>
  <si>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</si>
  <si>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</si>
  <si>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</si>
  <si>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</si>
  <si>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</si>
  <si>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</si>
  <si>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</si>
  <si>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</si>
  <si>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</si>
  <si>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</si>
  <si>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</si>
  <si>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</si>
  <si>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</si>
  <si>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</si>
  <si>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</si>
  <si>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</si>
  <si>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</si>
  <si>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</si>
  <si>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</si>
  <si>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</si>
  <si>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</si>
  <si>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</si>
  <si>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</si>
  <si>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</si>
  <si>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</si>
  <si>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</si>
  <si>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</si>
  <si>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</si>
  <si>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</si>
  <si>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</si>
  <si>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</si>
  <si>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</si>
  <si>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</si>
  <si>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</si>
  <si>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</si>
  <si>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</si>
  <si>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</si>
  <si>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</si>
  <si>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</si>
  <si>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</si>
  <si>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</si>
  <si>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</si>
  <si>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</si>
  <si>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</si>
  <si>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</si>
  <si>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</si>
  <si>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</si>
  <si>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</si>
  <si>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</si>
  <si>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</si>
  <si>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</si>
  <si>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</si>
  <si>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</si>
  <si>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</si>
  <si>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</si>
  <si>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</si>
  <si>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</si>
  <si>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</si>
  <si>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</si>
  <si>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</si>
  <si>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</si>
  <si>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</si>
  <si>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</si>
  <si>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</si>
  <si>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</si>
  <si>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</si>
  <si>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</si>
  <si>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</si>
  <si>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</si>
  <si>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</si>
  <si>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</si>
  <si>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</si>
  <si>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</si>
  <si>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</si>
  <si>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</si>
  <si>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</si>
  <si>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</si>
  <si>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</si>
  <si>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</si>
  <si>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</si>
  <si>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</si>
  <si>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</si>
  <si>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</si>
  <si>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</si>
  <si>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</si>
  <si>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</si>
  <si>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</si>
  <si>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</si>
  <si>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</si>
  <si>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</si>
  <si>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</si>
  <si>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</si>
  <si>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</si>
  <si>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</si>
  <si>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</si>
  <si>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</si>
  <si>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</si>
  <si>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</si>
  <si>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</si>
  <si>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</si>
  <si>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</si>
  <si>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</si>
  <si>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</si>
  <si>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</si>
  <si>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</si>
  <si>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</si>
  <si>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</si>
  <si>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</si>
  <si>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</si>
  <si>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</si>
  <si>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</si>
  <si>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</si>
  <si>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</si>
  <si>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</si>
  <si>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</si>
  <si>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</si>
  <si>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</si>
  <si>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</si>
  <si>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</si>
  <si>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</si>
  <si>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</si>
  <si>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</si>
  <si>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</si>
  <si>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</si>
  <si>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</si>
  <si>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</si>
  <si>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</si>
  <si>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</si>
  <si>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</si>
  <si>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</si>
  <si>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</si>
  <si>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</si>
  <si>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</si>
  <si>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</si>
  <si>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</si>
  <si>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</si>
  <si>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</si>
  <si>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</si>
  <si>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</si>
  <si>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</si>
  <si>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</si>
  <si>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</si>
  <si>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</si>
  <si>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</si>
  <si>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</si>
  <si>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</si>
  <si>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</si>
  <si>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</si>
  <si>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الدفاع الجوي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</si>
  <si>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</si>
  <si>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يعمل القادة في سرية الدفاع الجوي على فهم الموقف باستخدام معدات الاتصال المتوفرة، والخرائط، ، وتقارير الموقف، ومصادر المعلومات المتوفرة الأخرى.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</si>
  <si>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سرية الدفاع الجوي أمر العمليات أو الأمر المجزأ لتنفيذ عملية التنقل التعبوي ويتم البدء بإجراءات التخطيط وكما يلي:</t>
    </r>
  </si>
  <si>
    <t>أ.    تحديد متطلبات التنقل.</t>
  </si>
  <si>
    <t>ب.  طلب مخرجات الاستخبارية المحدّثة من مجموعة اللواء في حالة عدم استلامها مع أمر العمليات.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</si>
  <si>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الخارطة لتحديد ما يلي:</t>
    </r>
  </si>
  <si>
    <t>أ.   طريق/ طرق التنقل في حالة عدم تحديدها في أمر مجموعة اللواء.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</si>
  <si>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</si>
  <si>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</si>
  <si>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</si>
  <si>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منطقة التجمع ومنطقة المأوى.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</si>
  <si>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وضع إجراءات السيطرة التالية للمساعدة في عملية التنقل:</t>
    </r>
  </si>
  <si>
    <t>أ.    وضع أولويات التنقل للوحدات المرؤوسة.</t>
  </si>
  <si>
    <t>ب.  تحديد أسلوب التنقل الذي سيتم استخدامه.</t>
  </si>
  <si>
    <t>جـ.  تحديد معدل سرعة المسير.</t>
  </si>
  <si>
    <t>د.   تحديد المسافات الفاصلة بين الآليات.</t>
  </si>
  <si>
    <t>هـ.  تحديد الوقت الذي تجتاز فيه مقدمة أو ذيل الرتل النقاط الحرجة.</t>
  </si>
  <si>
    <t>و.   تحديد أماكن ونقاط التوقف المبرمج حسب الحاجة.</t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</si>
  <si>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إجراءات الحماية التي سيتم تطبيقها قبل بدء التنقل، أثناء التنقل وبعد الوصول.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</si>
  <si>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وجود تغطية كافية أثناء التنقل وأثناء العمل في منطقة التجمع.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</si>
  <si>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التخطيط للإدامة وكما يلي:</t>
    </r>
  </si>
  <si>
    <t>أ.    التأكد من توفر الإدامة الكافية لإسناد جهود السرية.</t>
  </si>
  <si>
    <t>ب.  تخطيط وتنسيق عمليات إخلاء الإصابات.</t>
  </si>
  <si>
    <t>جـ.  تخطيط عمليات إنقاذ المعدات.</t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</si>
  <si>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أوامر للمرؤوسين، وتقديم إيجازات تأكيدية من القادة المرؤوسين فور استلامهم للأوامر للتأكد من فهمهم لقصد القائد ومفهوم عملياته.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</si>
  <si>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توفر الطرق والظروف المناسبة للتنقل إذا لم يتم تحديد الطرق من قبل مجموعة اللواء.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</si>
  <si>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ملائمة نقطة البدء ونقطة الانتشار.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</si>
  <si>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المسافة بين نقاط الضبط والسيطرة على الطرق والمسافة الكلية من نقطة البدء وحتى نقطة الانتشار.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</si>
  <si>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موقع منطقة التجمع أو المأوى.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</si>
  <si>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مواقع نقاط الضبط والسيطرة على الطريق.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</si>
  <si>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تحديد وتأشير الموانع.</t>
    </r>
  </si>
  <si>
    <t>مرحلة 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</si>
  <si>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استطلاع الطريق المؤدي إلى نقطة البدء وتحديد الوقت الدقيق للوصول إليها.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</si>
  <si>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تفقدات وتفتيشات ما قبل المعركة.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</si>
  <si>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الإشراف على إجراءات التأكد من أن جهود التخطيط والتحضير تجري في الاتجاه الصحيح وتتوافق مع قصد القائد.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</si>
  <si>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إجراء التجارب خلال ساعات النهار وفي ظل ظروف الرؤية المحدودة إن أمكن.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</si>
  <si>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تحميل كافة الآليات وفقاً لخطة التحميل وخطة الإدامة.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</si>
  <si>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فحص أجهزة الاتصالات في كافة الآليات قبل البدء بالحركة.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</si>
  <si>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عناصر الدفاع الجوي ضمن نظام المسير الصحيح.</t>
    </r>
  </si>
  <si>
    <t>مرحلة التنفيذ.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</si>
  <si>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اجتياز نقطة البدء في الوقت المحدد في أمر العمليات أو الأمر المجزأ.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</si>
  <si>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التشكيلة المحددة، أسلوب التنقل ومعدل المسير والمحافظة على السرعة الملائمة للوصول إلى نقاط الضبط والسيطرة في الأوقات المحددة في الأمر.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</si>
  <si>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إشارات التعارف البصرية أو الأجهزة اللاسلكية للاتصال مع الوحدات وبما يتوافق مع أمر العمليات والأوامر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</si>
  <si>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إدامة المراقبة لجميع الجهات بما في ذلك المراقبة الجوية أثناء الحركة والوقفات.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</si>
  <si>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المعلومات عند اجتياز نقاط الضبط والسيطرة بما يتوافق مع أمر العمليات والأوامر التعبوية المستديمة.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</si>
  <si>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</si>
  <si>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التعامل مع الموانع حسب الأوامر.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</si>
  <si>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مواقع الوحدات لمجموعة اللواء وحسب الطلب.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</si>
  <si>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العربات حسب أولويات الحماية والتي يعتمدها قائد مجموعة اللواء.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</si>
  <si>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الاتصال بين العربات القتالية وقيادة مجموعة اللواء.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</si>
  <si>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تطبيق إجراءات التماس مع قوات العدو حسب أمر العمليات أو الأوامر التعبوية المستديمة.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</si>
  <si>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عمليات التزويد حسب الحاجة.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</si>
  <si>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عمليات الصيانة والإنقاذ حسب الحاجة.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</si>
  <si>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الوصول إلى نقاط الانتشار واجتيازها حسب الوقت المحدد في أمر العمليات.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</si>
  <si>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تمرير المعلومات الوصول إلى نقاط الانتشار واتمام اجتيازها دون توقف.</t>
    </r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</si>
  <si>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تعين الأدلاء منطقة التجمع الخاصة بقيادة اللواء.</t>
    </r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</si>
  <si>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تطبيق الانتشار وإجراءات التخفية والتمويه الملائمة.</t>
    </r>
  </si>
  <si>
    <t>رائد حمد الشامسي</t>
  </si>
  <si>
    <t>نفيب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</si>
</sst>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6" borderId="12" xfId="0" applyFont="1" applyFill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vertical="center" wrapText="1" readingOrder="2"/>
    </xf>
    <xf numFmtId="0" fontId="13" fillId="5" borderId="4" xfId="0" applyFont="1" applyFill="1" applyBorder="1" applyAlignment="1">
      <alignment vertical="center" wrapText="1" readingOrder="2"/>
    </xf>
    <xf numFmtId="0" fontId="13" fillId="5" borderId="6" xfId="0" applyFont="1" applyFill="1" applyBorder="1" applyAlignment="1">
      <alignment vertical="center" wrapText="1" readingOrder="2"/>
    </xf>
    <xf numFmtId="0" fontId="3" fillId="5" borderId="5" xfId="0" applyFont="1" applyFill="1" applyBorder="1" applyAlignment="1">
      <alignment vertical="center" wrapText="1" readingOrder="2"/>
    </xf>
    <xf numFmtId="0" fontId="3" fillId="5" borderId="4" xfId="0" applyFont="1" applyFill="1" applyBorder="1" applyAlignment="1">
      <alignment vertical="center" wrapText="1" readingOrder="2"/>
    </xf>
    <xf numFmtId="0" fontId="3" fillId="5" borderId="6" xfId="0" applyFont="1" applyFill="1" applyBorder="1" applyAlignment="1">
      <alignment vertical="center" wrapText="1" readingOrder="2"/>
    </xf>
    <xf numFmtId="0" fontId="14" fillId="6" borderId="24" xfId="0" applyFont="1" applyFill="1" applyBorder="1" applyAlignment="1">
      <alignment horizontal="right" vertical="center" wrapText="1" readingOrder="2"/>
    </xf>
    <xf numFmtId="0" fontId="14" fillId="6" borderId="3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4" fillId="6" borderId="11" xfId="0" applyFont="1" applyFill="1" applyBorder="1" applyAlignment="1">
      <alignment horizontal="right" vertical="center" wrapText="1" readingOrder="2"/>
    </xf>
    <xf numFmtId="0" fontId="14" fillId="6" borderId="12" xfId="0" applyFont="1" applyFill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14" fillId="6" borderId="24" xfId="0" applyFont="1" applyFill="1" applyBorder="1" applyAlignment="1">
      <alignment horizontal="right" vertical="center" wrapText="1" indent="2" readingOrder="2"/>
    </xf>
    <xf numFmtId="0" fontId="14" fillId="6" borderId="3" xfId="0" applyFont="1" applyFill="1" applyBorder="1" applyAlignment="1">
      <alignment horizontal="right" vertical="center" wrapText="1" indent="2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228690</xdr:colOff>
      <xdr:row>68</xdr:row>
      <xdr:rowOff>50276</xdr:rowOff>
    </xdr:from>
    <xdr:to>
      <xdr:col>7</xdr:col>
      <xdr:colOff>544610</xdr:colOff>
      <xdr:row>68</xdr:row>
      <xdr:rowOff>422516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20A56AB-0977-FC22-E7A6-D130EA2F3882}"/>
                </a:ext>
              </a:extLst>
            </xdr14:cNvPr>
            <xdr14:cNvContentPartPr/>
          </xdr14:nvContentPartPr>
          <xdr14:nvPr macro=""/>
          <xdr14:xfrm>
            <a:off x="10437169753" y="30216240"/>
            <a:ext cx="976320" cy="372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20A56AB-0977-FC22-E7A6-D130EA2F38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163633" y="30210120"/>
              <a:ext cx="98856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554850</xdr:colOff>
      <xdr:row>67</xdr:row>
      <xdr:rowOff>527665</xdr:rowOff>
    </xdr:from>
    <xdr:to>
      <xdr:col>9</xdr:col>
      <xdr:colOff>350970</xdr:colOff>
      <xdr:row>68</xdr:row>
      <xdr:rowOff>513236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3BB54F1-1500-1EA1-83B7-1E5C3D543CD2}"/>
                </a:ext>
              </a:extLst>
            </xdr14:cNvPr>
            <xdr14:cNvContentPartPr/>
          </xdr14:nvContentPartPr>
          <xdr14:nvPr macro=""/>
          <xdr14:xfrm>
            <a:off x="10436042593" y="30157920"/>
            <a:ext cx="1777320" cy="521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3BB54F1-1500-1EA1-83B7-1E5C3D543CD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036473" y="30151800"/>
              <a:ext cx="1789560" cy="53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39:1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2276 928 24,'0'0'0,"17"3"16,-3 0-8,4 7 8,-18-10-16,19 0 32,-2 0 0,-6-1-8,4 0 0,-15 1-24,12-2 8,-1-2-8,-2 1 16,1-2-16,-10 5 0,10-9 8,-6 6 16,10-1-8,-9 1 24,-5 3-40,9-5 32,3 1 0,-2-5 8,-1 4 0,-9 5-40,16-13 56,-4 0 0,4-1 16,-4 0 16,-12 14-88,17-14 104,-3 0 32,2 0 416,-4-1 1608,-12 15-2160,5-16 3265,0-1 984,-5 0-520,6 0-3169,-6 17-560,3-17 176,6 1-32,-4 2-8,-2 3-8,-3 11-128,0-9 192,0 5-56,0 2-80,0 1-136,0 1 80,0 0-280,-3 2-112,-2 1-56,3 9 48,2-12 400,-11 10-280,-4 5 120,1 2 112,-4 4 56,18-21-8,-24 23-8,3 1 56,2-1 32,-3 1-16,22-24-64,-18 22 48,-1-1-48,3-2-32,-1-4 16,17-15 16,-14 11 0,-2 0 16,4-8 16,-3 1 0,15-4-32,-11 3 88,2-1 40,-1-2 80,0-1 32,10 1-240,-2-3 208,-8-6 0,4 4-24,4-9-16,2 14-168,-5-11 136,5-4-56,0-1-128,0-2-40,0 18 88,5-20-120,3-2-16,-5 0 40,9 0-16,-12 22 112,9-21 40,-4 3 152,7 4 232,-10 5 216,-2 9-640,0-3 592,0 2-72,0 0-272,0 1-184,0 0-64,0 0-144,-2 3-120,-7 7 48,-3 2-16,12-12 232,-17 15-120,-1 5 64,-2 0 24,2-2 8,18-18 24,-17 14-56,5-2 8,1-9 48,6 6-48,5-9 48,-2 0 72,0 0 96,2 0 8,0 0 136,0 0-312,0-1 280,0-4-16,0-6-48,0 1-79,0 10-137,0-13 72,2 0-48,7-4 0,-7 1 0,-2 16-24,5-15 160,-5 3 48,0 3 88,0 6 0,0 3-296,-5-3 224,3-1-112,-5 2-184,5 2-96,2 0 168,-10 0-232,8 2-16,-12 8 96,2 1 8,12-11 144,-12 11-136,-4 1 104,-1 1-32,6-4 24,11-9 40,-10 3 32,8 7-72,2-10 40,-5 0 88,5 0-88,0 0 168,0 0 80,0 0 0,0-2 0,0 2-248,0-3 232,0-8-32,0 0 136,5-1-184,-5 12-152,2-15 176,-2-2-8,0 0 0,0-1 144,0 18-312,0-20 296,0 1 88,-2-2-56,-3-2 24,5 23-352,-2-23 320,-1-2-111,3-1-73,0-1-32,0 27-104,3-29 32,-1-2 64,8 1-32,4-2-64,-14 32 0,11-32 72,1 0-64,5 0 40,-6 3-40,-11 29-8,14-29-8,-4 4 48,-10 1 0,12 2 40,-12 22-80,2-22 80,3 2 48,-3 0-16,0 4 40,-2 16-152,0-13 152,5 1 0,-5 8-104,-5-5 72,5 9-120,-2-1 72,-7-1-152,7 1 80,-8 1-112,10 0 112,-10 11-200,-8 3 72,-11 10 48,-6 9-16,35-33 96,-35 39 56,-2 6-88,3 5-48,1 3 80,33-53 0,-32 53-72,-1 1-24,-1-2 32,-3 0-64,37-52 128,-38 50-80,-4 1 120,2-2-120,-5-1-48,45-48 128,-49 46-64,-1-3 72,-4-3-48,-5-4 136,59-36-96,-61 35-40,5-4-24,-1-3 280,1-3-240,56-25 24,-57 22-16,8-4-96,-1-4 96,6-4-8,44-10 24,-38 3 112,3 1-72,1-4-56,7 0 48,27 0-32,-28-4 48,1-7 176,2 1-224,3-3 120,22 13-120,-20-12 208,0-4-80,4 0 24,0-2-24,16 18-128,-12-22-200,2-1 40,10-5 104,0-3-184,0 31 240,2-36-96,15-5-80,-5-3 48,6-4 48,-18 48 80,25-50-56,-2-1 32,5 0-128,5 2 128,-33 49 24,30-47-16,5 4 72,4 0-16,-6 4-16,-33 39-24,42-35 152,-5 4-136,3 6 104,-2 6 72,-38 19-192,37-15 112,-1 5-40,-5 6 80,-6 1-336,-25 3 184,24-1-136,-5 1 112,-3 10-280,-6-1 360,-10-9-56,2 11-40,-2 2-16,0 4 256,-12 2-200,12-19 0,-16 24-8,2 3-64,-10 3-80,-4 2 88,28-32 64,-33 34-32,-3 1 72,-1 5-64,-3 2-56,40-42 80,-35 41-16,0 1-48,-3-2 64,5-1-72,33-39 72,-43 38-233,3-3 209,-14 3 64,-2-3-64,56-35 24,-59 34 24,-7-2-184,0-3 24,-7-2-224,73-27 360,-68 24-1184,0-3-2601,2-1-2712,2-7 1416,64-13 5081,-56 0-3321,7-2 1849,7-20 1176,8-5 96,34 27 200,-26-33-184,10-5 40,2-3 40,7-1 24,7 42 80,-7-44-96,7 1 16,5 0 32,4-1 0,-9 44 48,11-44-8,-11 44 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39:13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3487 240 8,'0'0'0,"0"0"0,0 9 8,0 1-8,0 3 16,0-1-16,0-12 0,0 10 16,2-6 0,7 11 8,-9-12 0,0-3-24,2 12 24,8-8 0,-6 5-8,5-6-8,-9-3-8,12 10 0,-2-7 8,-8 11 0,2-2 8,-4-12-16,10 16 16,-8 1-8,0 0 16,3-1-8,-5-16-16,0 16 16,0-1 8,-5-4-8,-7-7 0,12-4-16,-6 10 0,-3-10 0,6 0-16,-9-1 8,12 1 8,-4-9-16,2-2-8,-1-1 0,-4-3 16,7 15 8,0-15-16,0-1-8,7-2 8,2-1-8,-9 19 24,0-18-24,3-1 8,6 2-24,-6 0-8,-3 17 48,9-16-16,-5 0-8,6 0 24,-10 3 8,0 13-8,12-16-8,-12 1 24,2-1-16,11 0 0,-13 16 0,0-16 8,3 0-16,-1 2 8,7 0 8,-9 14-8,5-15 0,4 1 8,-6 2 24,-1-1-24,-2 13-8,0-11 8,0 2 24,0 4-8,0-6-8,0 11-16,5-3 32,-3-2-24,-2 1 0,2-1 8,-2 5-16,5-3 16,-5 1 8,2 2 0,-2 0 8,0 0-32,0 3 40,0 6 32,0-6 24,0 11 40,0-14-136,0 11 184,0-8 696,0-1 2433,0-2 1704,0 0-5017,-9-10 6561,0-2-1048,6 0-4593,-1 1-247,4 11-673,-3-9 744,3 6-384,-2 0-216,2-1-48,0 4-96,0-1-56,0 0 24,-5 1-160,5 0-128,0 0 320,0 0-192,0 0 40,0 3 112,0 1-88,0-4 128,5 11-24,-3-1 8,8 3 56,-8 2 264,-2-15-304,14 18-24,-5 3 8,1 6-8,-2 1-160,-8-28 184,12 36 16,4 5-112,-1 4-40,3 4 56,-18-49 80,18 51-529,-1 2-711,1 0-1248,-2-1-2489,-16-52 4977,10 50-5338,-1-1 1226,-9-2 1615,0-2 1529,0-45 968,-9 41-312,-5-3 168,-5-4-8,1-3 24,18-31 128,-18 28-120,6-4 8,0-6 32,12-5 8,0-13 72,0 3-72,2-1 16,15-2 0,-9 0-8,-8 0 64,10-9-32,-10 0-40,2-2 8,-2 11 64</inkml:trace>
  <inkml:trace contextRef="#ctx0" brushRef="#br0" timeOffset="1">2939 689 56,'0'0'0,"-34"-4"24,4-1 0,-8-4 24,38 9-48,-34 0 56,9 0-24,-3 3 16,4 8 8,24-11-56,-28 3 88,2 8 32,1-2 56,7-5 184,18-4-360,-19 2 2784,1-3 1777,9-13 1489,-1-3 663,10 17-6713,0-17 296,5 1-384,18-1-56,9-1 16,-32 18 128,47-20-104,8-3 56,11-1 24,10-1 8,-76 25 16,90-28-8,8-3-32,11 0 0,1-1-24,-110 32 64,121-31-48,2 1 8,7 1 16,-4 2-32,-126 27 56,124-25 16,-7 2-32,-7 5 56,-3 0-16,-107 18-24,98-15-48,-11 3 48,-8 0-16,-11 3 8,-68 9 8,58-3 32,-7 0-32,-15 1-32,-12 2 32,-24 0 0,14 0-40,-24 2 24,-15 9 8,25-11 8,-37 12 0,-19 6-16,-15 4-72,-8 2 0,79-24 88,-98 26-104,-9 1 16,-10 4 32,-7 5-32,124-36 88,-134 40-56,-5 4-16,-9 2 32,-3 3 80,151-49-40,-155 49 0,1-1 16,2-1 16,1 0-80,151-47 48,-142 45-40,3-3 16,5-4 0,11-2 72,123-36-48,-120 31 32,9-1-8,6-2 48,7-3-88,98-25 16,-87 24 88,3-1 24,6-2-112,7-2 192,71-19-192,-62 17 168,7-1-8,9-2 56,6-3-112,40-11-104,-33 9 88,20-9 32,-2 4 8,7-1 40,8-3-168,-12 3 120,2 0-16,1-1 32,7 0 24,2-2-160,-10 2 176,5-2-72,4 0 56,-1 0-112,2 0-48,-5 0 64,5 0 112,-3 0-160,3 0 224,0 0-240,-2 0 256,-3-1-39,5 0-17,-2 0-72,2 1-128,0-1 176,0 0-120,0 0 104,0-1-168,0 2 8,0 0-48,0-1 96,0 1-120,0 0 128,0 0-56,0 0-32,0 0 48,0 0-96,0 0 96,0 0 64,0-1-64,0 0-32,0-1 0,0 0 32,0 2-16,-3-4-56,3-6 80,0 5 64,-4-7-48,4 12-40,0-12-56,-4-1 56,-1-2 56,3-3-56,2 18 0,-10-20-32,4-1 80,-6-1-136,0-2 48,12 24 40,-14-24 96,0-1-192,-4 0 16,2 1 64,16 24 16,-17-22 32,3 1 48,0 4 32,3 1-72,11 16-40,-12-11 0,7 2-32,-3 5 24,5 1-64,3 3 72,-2-1-232,-8 3 104,6 9 8,-10 2-16,14-13 136,-7 17-80,-4 4-57,-6 1-15,-1 4 32,18-26 120,-19 29-40,0-2-40,1 2-64,0-2 128,18-27 16,-19 24-24,0 1 48,1-2 40,2-3-104,16-20 40,-12 18 72,-4-2 24,4-2 24,-4-3-56,16-11-64,-14 10 120,-4 0-23,-5-7 135,1 7 136,22-10-368,-16 0 480,3 4-64,-7-1 144,-3 7-104,23-10-456,-27 4 216,3 7 112,-3-2-184,-6 1 72,33-10-216,-29 13 48,-6 2-136,2-1-88,-2 2 32,35-16 144,-34 16-560,-4 3-840,6-1-1161,-2 1-3968,34-19 6529,-36 18-6890,9-1 2209,-1-2 2105,5-2 1864,23-13 712,-23 3-120,3 7 48,7-10 8,-2 0 24,15 0 40,-1-2-32,-9-9 16,8-1-16,2-4 0,0 16 32,0-18-8,2-3 0,9-4-8,-1-3 24,-10 28-8,15-29-24,-2-3-72,3-2 80,-16 34 16</inkml:trace>
  <inkml:trace contextRef="#ctx0" brushRef="#br0" timeOffset="2">475 523 344,'0'0'0,"-2"14"3680,-14-12 2602,4 0 3072,12-2-9354,-14 3 10898,2 0-11218,-3-1 856,3 2-1608,12-4 1072,-16 3-3169,4 0-4889,1 7-287,-4-8 2719,15-2 5626,-8 3-3120,-2 0 2360,0-3 544,8-5-48,2 5 264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9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9" t="s">
        <v>8</v>
      </c>
      <c r="C2" s="65" t="s">
        <v>29</v>
      </c>
      <c r="D2" s="65"/>
      <c r="E2" s="9" t="s">
        <v>7</v>
      </c>
      <c r="F2" s="60">
        <v>45952</v>
      </c>
      <c r="G2" s="60"/>
      <c r="H2" s="60"/>
      <c r="I2" s="60"/>
      <c r="J2" s="60"/>
    </row>
    <row r="3" spans="1:10" ht="30" customHeight="1" x14ac:dyDescent="0.3">
      <c r="B3" s="9" t="s">
        <v>9</v>
      </c>
      <c r="C3" s="65" t="s">
        <v>60</v>
      </c>
      <c r="D3" s="65"/>
      <c r="E3" s="9" t="s">
        <v>6</v>
      </c>
      <c r="F3" s="65" t="s">
        <v>59</v>
      </c>
      <c r="G3" s="65"/>
      <c r="H3" s="65"/>
      <c r="I3" s="65"/>
      <c r="J3" s="65"/>
    </row>
    <row r="4" spans="1:10" ht="30" customHeight="1" thickBot="1" x14ac:dyDescent="0.35">
      <c r="B4" s="6"/>
      <c r="C4" s="33" t="s">
        <v>238</v>
      </c>
      <c r="D4" s="33"/>
      <c r="E4" s="6"/>
      <c r="F4" s="33" t="s">
        <v>239</v>
      </c>
      <c r="G4" s="33"/>
      <c r="H4" s="33"/>
      <c r="I4" s="33"/>
      <c r="J4" s="33"/>
    </row>
    <row r="5" spans="1:10" ht="24.9" customHeight="1" x14ac:dyDescent="0.3">
      <c r="A5" s="7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" customHeight="1" thickBot="1" x14ac:dyDescent="0.35">
      <c r="A6" s="7"/>
      <c r="B6" s="63"/>
      <c r="C6" s="64"/>
      <c r="D6" s="64"/>
      <c r="E6" s="8" t="s">
        <v>3</v>
      </c>
      <c r="F6" s="8" t="s">
        <v>4</v>
      </c>
      <c r="G6" s="8" t="s">
        <v>23</v>
      </c>
      <c r="H6" s="8" t="s">
        <v>24</v>
      </c>
      <c r="I6" s="72"/>
      <c r="J6" s="73"/>
    </row>
    <row r="7" spans="1:10" ht="24.9" customHeight="1" thickBot="1" x14ac:dyDescent="0.35">
      <c r="A7" s="7"/>
      <c r="B7" s="68" t="s">
        <v>21</v>
      </c>
      <c r="C7" s="69"/>
      <c r="D7" s="69"/>
      <c r="E7" s="27" t="s">
        <v>18</v>
      </c>
      <c r="F7" s="27" t="s">
        <v>19</v>
      </c>
      <c r="G7" s="27" t="s">
        <v>22</v>
      </c>
      <c r="H7" s="27" t="s">
        <v>20</v>
      </c>
      <c r="I7" s="74" t="s">
        <v>25</v>
      </c>
      <c r="J7" s="75"/>
    </row>
    <row r="8" spans="1:10" ht="30" customHeight="1" x14ac:dyDescent="0.3">
      <c r="A8" s="7"/>
      <c r="B8" s="40" t="s">
        <v>181</v>
      </c>
      <c r="C8" s="41"/>
      <c r="D8" s="41"/>
      <c r="E8" s="41"/>
      <c r="F8" s="41"/>
      <c r="G8" s="41"/>
      <c r="H8" s="41"/>
      <c r="I8" s="41"/>
      <c r="J8" s="42"/>
    </row>
    <row r="9" spans="1:10" ht="50.1" customHeight="1" x14ac:dyDescent="0.3">
      <c r="A9" s="7"/>
      <c r="B9" s="46" t="s">
        <v>182</v>
      </c>
      <c r="C9" s="47"/>
      <c r="D9" s="47"/>
      <c r="E9" s="25">
        <v>5</v>
      </c>
      <c r="F9" s="23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4"/>
      <c r="J9" s="35"/>
    </row>
    <row r="10" spans="1:10" ht="39.9" customHeight="1" x14ac:dyDescent="0.3">
      <c r="A10" s="7"/>
      <c r="B10" s="46" t="s">
        <v>183</v>
      </c>
      <c r="C10" s="47"/>
      <c r="D10" s="47"/>
      <c r="E10" s="25"/>
      <c r="F10" s="23"/>
      <c r="G10" s="29"/>
      <c r="H10" s="30"/>
      <c r="I10" s="34"/>
      <c r="J10" s="35"/>
    </row>
    <row r="11" spans="1:10" ht="30" customHeight="1" x14ac:dyDescent="0.3">
      <c r="A11" s="7"/>
      <c r="B11" s="80" t="s">
        <v>184</v>
      </c>
      <c r="C11" s="81"/>
      <c r="D11" s="81"/>
      <c r="E11" s="25">
        <v>5</v>
      </c>
      <c r="F11" s="23">
        <v>3.75</v>
      </c>
      <c r="G11" s="29">
        <f t="shared" ref="G11:G64" si="0">IFERROR(F11/E11,"")</f>
        <v>0.75</v>
      </c>
      <c r="H11" s="30" t="str">
        <f t="shared" ref="H11:H64" si="1">_xlfn.IFS(F11="أدخل العلامة","",F11="لا ينطبق","تم الإلغاء",G11&gt;=90%,"ممتاز",G11&gt;=80%,"جيد جداً",G11&gt;=70%,"جيد",G11&gt;=60%,"مقبول",G11&lt;60%,"راسب")</f>
        <v>جيد</v>
      </c>
      <c r="I11" s="34"/>
      <c r="J11" s="35"/>
    </row>
    <row r="12" spans="1:10" ht="39.9" customHeight="1" x14ac:dyDescent="0.3">
      <c r="A12" s="7"/>
      <c r="B12" s="80" t="s">
        <v>185</v>
      </c>
      <c r="C12" s="81"/>
      <c r="D12" s="81"/>
      <c r="E12" s="25">
        <v>5</v>
      </c>
      <c r="F12" s="23">
        <v>4</v>
      </c>
      <c r="G12" s="29">
        <f t="shared" si="0"/>
        <v>0.8</v>
      </c>
      <c r="H12" s="30" t="str">
        <f t="shared" si="1"/>
        <v>جيد جداً</v>
      </c>
      <c r="I12" s="34"/>
      <c r="J12" s="35"/>
    </row>
    <row r="13" spans="1:10" ht="30" customHeight="1" x14ac:dyDescent="0.3">
      <c r="A13" s="7"/>
      <c r="B13" s="46" t="s">
        <v>186</v>
      </c>
      <c r="C13" s="47"/>
      <c r="D13" s="47"/>
      <c r="E13" s="25"/>
      <c r="F13" s="23"/>
      <c r="G13" s="29"/>
      <c r="H13" s="30"/>
      <c r="I13" s="34"/>
      <c r="J13" s="35"/>
    </row>
    <row r="14" spans="1:10" ht="30" customHeight="1" x14ac:dyDescent="0.3">
      <c r="A14" s="7"/>
      <c r="B14" s="80" t="s">
        <v>187</v>
      </c>
      <c r="C14" s="81"/>
      <c r="D14" s="81"/>
      <c r="E14" s="25">
        <v>5</v>
      </c>
      <c r="F14" s="23">
        <v>3.75</v>
      </c>
      <c r="G14" s="29">
        <f t="shared" si="0"/>
        <v>0.75</v>
      </c>
      <c r="H14" s="30" t="str">
        <f t="shared" si="1"/>
        <v>جيد</v>
      </c>
      <c r="I14" s="34"/>
      <c r="J14" s="35"/>
    </row>
    <row r="15" spans="1:10" ht="39.9" customHeight="1" x14ac:dyDescent="0.3">
      <c r="A15" s="7"/>
      <c r="B15" s="80" t="s">
        <v>188</v>
      </c>
      <c r="C15" s="81"/>
      <c r="D15" s="81"/>
      <c r="E15" s="25">
        <v>5</v>
      </c>
      <c r="F15" s="23">
        <v>3.75</v>
      </c>
      <c r="G15" s="29">
        <f t="shared" si="0"/>
        <v>0.75</v>
      </c>
      <c r="H15" s="30" t="str">
        <f t="shared" si="1"/>
        <v>جيد</v>
      </c>
      <c r="I15" s="34"/>
      <c r="J15" s="35"/>
    </row>
    <row r="16" spans="1:10" ht="30" customHeight="1" x14ac:dyDescent="0.3">
      <c r="A16" s="7"/>
      <c r="B16" s="80" t="s">
        <v>189</v>
      </c>
      <c r="C16" s="81"/>
      <c r="D16" s="81"/>
      <c r="E16" s="25">
        <v>5</v>
      </c>
      <c r="F16" s="23">
        <v>3.75</v>
      </c>
      <c r="G16" s="29">
        <f t="shared" si="0"/>
        <v>0.75</v>
      </c>
      <c r="H16" s="30" t="str">
        <f t="shared" si="1"/>
        <v>جيد</v>
      </c>
      <c r="I16" s="34"/>
      <c r="J16" s="35"/>
    </row>
    <row r="17" spans="1:10" ht="39.9" customHeight="1" x14ac:dyDescent="0.3">
      <c r="A17" s="7"/>
      <c r="B17" s="80" t="s">
        <v>190</v>
      </c>
      <c r="C17" s="81"/>
      <c r="D17" s="81"/>
      <c r="E17" s="25">
        <v>5</v>
      </c>
      <c r="F17" s="23">
        <v>3.75</v>
      </c>
      <c r="G17" s="29">
        <f t="shared" si="0"/>
        <v>0.75</v>
      </c>
      <c r="H17" s="30" t="str">
        <f t="shared" si="1"/>
        <v>جيد</v>
      </c>
      <c r="I17" s="34"/>
      <c r="J17" s="35"/>
    </row>
    <row r="18" spans="1:10" ht="30" customHeight="1" x14ac:dyDescent="0.3">
      <c r="A18" s="7"/>
      <c r="B18" s="80" t="s">
        <v>191</v>
      </c>
      <c r="C18" s="81"/>
      <c r="D18" s="81"/>
      <c r="E18" s="25">
        <v>5</v>
      </c>
      <c r="F18" s="23">
        <v>3.75</v>
      </c>
      <c r="G18" s="29">
        <f t="shared" si="0"/>
        <v>0.75</v>
      </c>
      <c r="H18" s="30" t="str">
        <f t="shared" si="1"/>
        <v>جيد</v>
      </c>
      <c r="I18" s="34"/>
      <c r="J18" s="35"/>
    </row>
    <row r="19" spans="1:10" ht="30" customHeight="1" x14ac:dyDescent="0.3">
      <c r="A19" s="7"/>
      <c r="B19" s="46" t="s">
        <v>192</v>
      </c>
      <c r="C19" s="47"/>
      <c r="D19" s="47"/>
      <c r="E19" s="25"/>
      <c r="F19" s="23"/>
      <c r="G19" s="29"/>
      <c r="H19" s="30"/>
      <c r="I19" s="34"/>
      <c r="J19" s="35"/>
    </row>
    <row r="20" spans="1:10" ht="30" customHeight="1" x14ac:dyDescent="0.3">
      <c r="A20" s="7"/>
      <c r="B20" s="80" t="s">
        <v>193</v>
      </c>
      <c r="C20" s="81"/>
      <c r="D20" s="81"/>
      <c r="E20" s="25">
        <v>5</v>
      </c>
      <c r="F20" s="23">
        <v>3.5</v>
      </c>
      <c r="G20" s="29">
        <f t="shared" si="0"/>
        <v>0.7</v>
      </c>
      <c r="H20" s="30" t="str">
        <f t="shared" si="1"/>
        <v>جيد</v>
      </c>
      <c r="I20" s="34"/>
      <c r="J20" s="35"/>
    </row>
    <row r="21" spans="1:10" ht="30" customHeight="1" x14ac:dyDescent="0.3">
      <c r="A21" s="7"/>
      <c r="B21" s="80" t="s">
        <v>194</v>
      </c>
      <c r="C21" s="81"/>
      <c r="D21" s="81"/>
      <c r="E21" s="25">
        <v>5</v>
      </c>
      <c r="F21" s="23">
        <v>3.75</v>
      </c>
      <c r="G21" s="29">
        <f t="shared" si="0"/>
        <v>0.75</v>
      </c>
      <c r="H21" s="30" t="str">
        <f t="shared" si="1"/>
        <v>جيد</v>
      </c>
      <c r="I21" s="34"/>
      <c r="J21" s="35"/>
    </row>
    <row r="22" spans="1:10" ht="30" customHeight="1" x14ac:dyDescent="0.3">
      <c r="A22" s="7"/>
      <c r="B22" s="80" t="s">
        <v>195</v>
      </c>
      <c r="C22" s="81"/>
      <c r="D22" s="81"/>
      <c r="E22" s="25">
        <v>5</v>
      </c>
      <c r="F22" s="23">
        <v>3.75</v>
      </c>
      <c r="G22" s="29">
        <f t="shared" si="0"/>
        <v>0.75</v>
      </c>
      <c r="H22" s="30" t="str">
        <f t="shared" si="1"/>
        <v>جيد</v>
      </c>
      <c r="I22" s="34"/>
      <c r="J22" s="35"/>
    </row>
    <row r="23" spans="1:10" ht="30" customHeight="1" x14ac:dyDescent="0.3">
      <c r="A23" s="7"/>
      <c r="B23" s="80" t="s">
        <v>196</v>
      </c>
      <c r="C23" s="81"/>
      <c r="D23" s="81"/>
      <c r="E23" s="25">
        <v>5</v>
      </c>
      <c r="F23" s="23">
        <v>3.75</v>
      </c>
      <c r="G23" s="29">
        <f t="shared" si="0"/>
        <v>0.75</v>
      </c>
      <c r="H23" s="30" t="str">
        <f t="shared" si="1"/>
        <v>جيد</v>
      </c>
      <c r="I23" s="34"/>
      <c r="J23" s="35"/>
    </row>
    <row r="24" spans="1:10" ht="30" customHeight="1" x14ac:dyDescent="0.3">
      <c r="A24" s="7"/>
      <c r="B24" s="80" t="s">
        <v>197</v>
      </c>
      <c r="C24" s="81"/>
      <c r="D24" s="81"/>
      <c r="E24" s="25">
        <v>5</v>
      </c>
      <c r="F24" s="23">
        <v>3.75</v>
      </c>
      <c r="G24" s="29">
        <f t="shared" si="0"/>
        <v>0.75</v>
      </c>
      <c r="H24" s="30" t="str">
        <f t="shared" si="1"/>
        <v>جيد</v>
      </c>
      <c r="I24" s="34"/>
      <c r="J24" s="35"/>
    </row>
    <row r="25" spans="1:10" ht="30" customHeight="1" x14ac:dyDescent="0.3">
      <c r="A25" s="7"/>
      <c r="B25" s="80" t="s">
        <v>198</v>
      </c>
      <c r="C25" s="81"/>
      <c r="D25" s="81"/>
      <c r="E25" s="25">
        <v>5</v>
      </c>
      <c r="F25" s="23">
        <v>3.75</v>
      </c>
      <c r="G25" s="29">
        <f t="shared" si="0"/>
        <v>0.75</v>
      </c>
      <c r="H25" s="30" t="str">
        <f t="shared" si="1"/>
        <v>جيد</v>
      </c>
      <c r="I25" s="34"/>
      <c r="J25" s="35"/>
    </row>
    <row r="26" spans="1:10" ht="39.9" customHeight="1" x14ac:dyDescent="0.3">
      <c r="A26" s="7"/>
      <c r="B26" s="46" t="s">
        <v>199</v>
      </c>
      <c r="C26" s="47"/>
      <c r="D26" s="47"/>
      <c r="E26" s="25">
        <v>5</v>
      </c>
      <c r="F26" s="23">
        <v>3.75</v>
      </c>
      <c r="G26" s="29">
        <f t="shared" si="0"/>
        <v>0.75</v>
      </c>
      <c r="H26" s="30" t="str">
        <f t="shared" si="1"/>
        <v>جيد</v>
      </c>
      <c r="I26" s="34"/>
      <c r="J26" s="35"/>
    </row>
    <row r="27" spans="1:10" ht="30" customHeight="1" x14ac:dyDescent="0.3">
      <c r="A27" s="7"/>
      <c r="B27" s="46" t="s">
        <v>200</v>
      </c>
      <c r="C27" s="47"/>
      <c r="D27" s="47"/>
      <c r="E27" s="25">
        <v>5</v>
      </c>
      <c r="F27" s="23">
        <v>3.75</v>
      </c>
      <c r="G27" s="29">
        <f t="shared" si="0"/>
        <v>0.75</v>
      </c>
      <c r="H27" s="30" t="str">
        <f t="shared" si="1"/>
        <v>جيد</v>
      </c>
      <c r="I27" s="34"/>
      <c r="J27" s="35"/>
    </row>
    <row r="28" spans="1:10" ht="30" customHeight="1" x14ac:dyDescent="0.3">
      <c r="A28" s="7"/>
      <c r="B28" s="46" t="s">
        <v>201</v>
      </c>
      <c r="C28" s="47"/>
      <c r="D28" s="47"/>
      <c r="E28" s="25"/>
      <c r="F28" s="23"/>
      <c r="G28" s="29"/>
      <c r="H28" s="30"/>
      <c r="I28" s="34"/>
      <c r="J28" s="35"/>
    </row>
    <row r="29" spans="1:10" ht="30" customHeight="1" x14ac:dyDescent="0.3">
      <c r="A29" s="7"/>
      <c r="B29" s="80" t="s">
        <v>202</v>
      </c>
      <c r="C29" s="81"/>
      <c r="D29" s="81"/>
      <c r="E29" s="25">
        <v>5</v>
      </c>
      <c r="F29" s="23">
        <v>3.75</v>
      </c>
      <c r="G29" s="29">
        <f t="shared" si="0"/>
        <v>0.75</v>
      </c>
      <c r="H29" s="30" t="str">
        <f t="shared" si="1"/>
        <v>جيد</v>
      </c>
      <c r="I29" s="34"/>
      <c r="J29" s="35"/>
    </row>
    <row r="30" spans="1:10" ht="30" customHeight="1" x14ac:dyDescent="0.3">
      <c r="A30" s="7"/>
      <c r="B30" s="80" t="s">
        <v>203</v>
      </c>
      <c r="C30" s="81"/>
      <c r="D30" s="81"/>
      <c r="E30" s="25">
        <v>5</v>
      </c>
      <c r="F30" s="23">
        <v>3.75</v>
      </c>
      <c r="G30" s="29">
        <f t="shared" si="0"/>
        <v>0.75</v>
      </c>
      <c r="H30" s="30" t="str">
        <f t="shared" si="1"/>
        <v>جيد</v>
      </c>
      <c r="I30" s="34"/>
      <c r="J30" s="35"/>
    </row>
    <row r="31" spans="1:10" ht="30" customHeight="1" x14ac:dyDescent="0.3">
      <c r="A31" s="7"/>
      <c r="B31" s="80" t="s">
        <v>204</v>
      </c>
      <c r="C31" s="81"/>
      <c r="D31" s="81"/>
      <c r="E31" s="25">
        <v>5</v>
      </c>
      <c r="F31" s="23">
        <v>3.75</v>
      </c>
      <c r="G31" s="29">
        <f t="shared" si="0"/>
        <v>0.75</v>
      </c>
      <c r="H31" s="30" t="str">
        <f t="shared" si="1"/>
        <v>جيد</v>
      </c>
      <c r="I31" s="34"/>
      <c r="J31" s="35"/>
    </row>
    <row r="32" spans="1:10" ht="50.1" customHeight="1" x14ac:dyDescent="0.3">
      <c r="A32" s="7"/>
      <c r="B32" s="46" t="s">
        <v>205</v>
      </c>
      <c r="C32" s="47"/>
      <c r="D32" s="47"/>
      <c r="E32" s="25">
        <v>5</v>
      </c>
      <c r="F32" s="23">
        <v>3.75</v>
      </c>
      <c r="G32" s="29">
        <f t="shared" si="0"/>
        <v>0.75</v>
      </c>
      <c r="H32" s="30" t="str">
        <f t="shared" si="1"/>
        <v>جيد</v>
      </c>
      <c r="I32" s="34"/>
      <c r="J32" s="35"/>
    </row>
    <row r="33" spans="1:10" ht="39.9" customHeight="1" x14ac:dyDescent="0.3">
      <c r="A33" s="7"/>
      <c r="B33" s="46" t="s">
        <v>206</v>
      </c>
      <c r="C33" s="47"/>
      <c r="D33" s="47"/>
      <c r="E33" s="25">
        <v>5</v>
      </c>
      <c r="F33" s="23">
        <v>3.75</v>
      </c>
      <c r="G33" s="29">
        <f t="shared" si="0"/>
        <v>0.75</v>
      </c>
      <c r="H33" s="30" t="str">
        <f t="shared" si="1"/>
        <v>جيد</v>
      </c>
      <c r="I33" s="34"/>
      <c r="J33" s="35"/>
    </row>
    <row r="34" spans="1:10" ht="30" customHeight="1" x14ac:dyDescent="0.3">
      <c r="A34" s="7"/>
      <c r="B34" s="46" t="s">
        <v>207</v>
      </c>
      <c r="C34" s="47"/>
      <c r="D34" s="47"/>
      <c r="E34" s="25">
        <v>5</v>
      </c>
      <c r="F34" s="23">
        <v>3.75</v>
      </c>
      <c r="G34" s="29">
        <f t="shared" si="0"/>
        <v>0.75</v>
      </c>
      <c r="H34" s="30" t="str">
        <f t="shared" si="1"/>
        <v>جيد</v>
      </c>
      <c r="I34" s="34"/>
      <c r="J34" s="35"/>
    </row>
    <row r="35" spans="1:10" ht="39.9" customHeight="1" x14ac:dyDescent="0.3">
      <c r="A35" s="7"/>
      <c r="B35" s="46" t="s">
        <v>208</v>
      </c>
      <c r="C35" s="47"/>
      <c r="D35" s="47"/>
      <c r="E35" s="25">
        <v>5</v>
      </c>
      <c r="F35" s="23">
        <v>3.75</v>
      </c>
      <c r="G35" s="29">
        <f t="shared" si="0"/>
        <v>0.75</v>
      </c>
      <c r="H35" s="30" t="str">
        <f t="shared" si="1"/>
        <v>جيد</v>
      </c>
      <c r="I35" s="34"/>
      <c r="J35" s="35"/>
    </row>
    <row r="36" spans="1:10" ht="30" customHeight="1" x14ac:dyDescent="0.3">
      <c r="A36" s="7"/>
      <c r="B36" s="46" t="s">
        <v>209</v>
      </c>
      <c r="C36" s="47"/>
      <c r="D36" s="47"/>
      <c r="E36" s="25">
        <v>5</v>
      </c>
      <c r="F36" s="23">
        <v>3.75</v>
      </c>
      <c r="G36" s="29">
        <f t="shared" si="0"/>
        <v>0.75</v>
      </c>
      <c r="H36" s="30" t="str">
        <f t="shared" si="1"/>
        <v>جيد</v>
      </c>
      <c r="I36" s="34"/>
      <c r="J36" s="35"/>
    </row>
    <row r="37" spans="1:10" ht="30" customHeight="1" x14ac:dyDescent="0.3">
      <c r="A37" s="7"/>
      <c r="B37" s="46" t="s">
        <v>210</v>
      </c>
      <c r="C37" s="47"/>
      <c r="D37" s="47"/>
      <c r="E37" s="25">
        <v>5</v>
      </c>
      <c r="F37" s="23">
        <v>3.75</v>
      </c>
      <c r="G37" s="29">
        <f t="shared" si="0"/>
        <v>0.75</v>
      </c>
      <c r="H37" s="30" t="str">
        <f t="shared" si="1"/>
        <v>جيد</v>
      </c>
      <c r="I37" s="34"/>
      <c r="J37" s="35"/>
    </row>
    <row r="38" spans="1:10" ht="30" customHeight="1" thickBot="1" x14ac:dyDescent="0.35">
      <c r="A38" s="7"/>
      <c r="B38" s="76" t="s">
        <v>211</v>
      </c>
      <c r="C38" s="77"/>
      <c r="D38" s="77"/>
      <c r="E38" s="26">
        <v>5</v>
      </c>
      <c r="F38" s="24">
        <v>3.75</v>
      </c>
      <c r="G38" s="31">
        <f t="shared" si="0"/>
        <v>0.75</v>
      </c>
      <c r="H38" s="32" t="str">
        <f t="shared" si="1"/>
        <v>جيد</v>
      </c>
      <c r="I38" s="38"/>
      <c r="J38" s="39"/>
    </row>
    <row r="39" spans="1:10" ht="30" customHeight="1" x14ac:dyDescent="0.3">
      <c r="A39" s="7"/>
      <c r="B39" s="43" t="s">
        <v>212</v>
      </c>
      <c r="C39" s="44"/>
      <c r="D39" s="44"/>
      <c r="E39" s="44"/>
      <c r="F39" s="44"/>
      <c r="G39" s="44"/>
      <c r="H39" s="44"/>
      <c r="I39" s="44"/>
      <c r="J39" s="45"/>
    </row>
    <row r="40" spans="1:10" ht="39.9" customHeight="1" x14ac:dyDescent="0.3">
      <c r="A40" s="7"/>
      <c r="B40" s="46" t="s">
        <v>213</v>
      </c>
      <c r="C40" s="47"/>
      <c r="D40" s="47"/>
      <c r="E40" s="25">
        <v>5</v>
      </c>
      <c r="F40" s="23">
        <v>3.75</v>
      </c>
      <c r="G40" s="29">
        <f t="shared" si="0"/>
        <v>0.75</v>
      </c>
      <c r="H40" s="30" t="str">
        <f t="shared" si="1"/>
        <v>جيد</v>
      </c>
      <c r="I40" s="34"/>
      <c r="J40" s="35"/>
    </row>
    <row r="41" spans="1:10" ht="30" customHeight="1" x14ac:dyDescent="0.3">
      <c r="A41" s="7"/>
      <c r="B41" s="46" t="s">
        <v>214</v>
      </c>
      <c r="C41" s="47"/>
      <c r="D41" s="47"/>
      <c r="E41" s="25">
        <v>5</v>
      </c>
      <c r="F41" s="23">
        <v>4</v>
      </c>
      <c r="G41" s="29">
        <f t="shared" si="0"/>
        <v>0.8</v>
      </c>
      <c r="H41" s="30" t="str">
        <f t="shared" si="1"/>
        <v>جيد جداً</v>
      </c>
      <c r="I41" s="34"/>
      <c r="J41" s="35"/>
    </row>
    <row r="42" spans="1:10" ht="39.9" customHeight="1" x14ac:dyDescent="0.3">
      <c r="A42" s="7"/>
      <c r="B42" s="46" t="s">
        <v>215</v>
      </c>
      <c r="C42" s="47"/>
      <c r="D42" s="47"/>
      <c r="E42" s="25">
        <v>5</v>
      </c>
      <c r="F42" s="23">
        <v>3.75</v>
      </c>
      <c r="G42" s="29">
        <f t="shared" si="0"/>
        <v>0.75</v>
      </c>
      <c r="H42" s="30" t="str">
        <f t="shared" si="1"/>
        <v>جيد</v>
      </c>
      <c r="I42" s="34"/>
      <c r="J42" s="35"/>
    </row>
    <row r="43" spans="1:10" ht="39.9" customHeight="1" x14ac:dyDescent="0.3">
      <c r="A43" s="7"/>
      <c r="B43" s="46" t="s">
        <v>216</v>
      </c>
      <c r="C43" s="47"/>
      <c r="D43" s="47"/>
      <c r="E43" s="25">
        <v>5</v>
      </c>
      <c r="F43" s="23">
        <v>3.75</v>
      </c>
      <c r="G43" s="29">
        <f t="shared" si="0"/>
        <v>0.75</v>
      </c>
      <c r="H43" s="30" t="str">
        <f t="shared" si="1"/>
        <v>جيد</v>
      </c>
      <c r="I43" s="34"/>
      <c r="J43" s="35"/>
    </row>
    <row r="44" spans="1:10" ht="30" customHeight="1" x14ac:dyDescent="0.3">
      <c r="A44" s="7"/>
      <c r="B44" s="46" t="s">
        <v>217</v>
      </c>
      <c r="C44" s="47"/>
      <c r="D44" s="47"/>
      <c r="E44" s="25">
        <v>5</v>
      </c>
      <c r="F44" s="23">
        <v>3.75</v>
      </c>
      <c r="G44" s="29">
        <f t="shared" si="0"/>
        <v>0.75</v>
      </c>
      <c r="H44" s="30" t="str">
        <f t="shared" si="1"/>
        <v>جيد</v>
      </c>
      <c r="I44" s="34"/>
      <c r="J44" s="35"/>
    </row>
    <row r="45" spans="1:10" ht="30" customHeight="1" x14ac:dyDescent="0.3">
      <c r="A45" s="7"/>
      <c r="B45" s="46" t="s">
        <v>218</v>
      </c>
      <c r="C45" s="47"/>
      <c r="D45" s="47"/>
      <c r="E45" s="25">
        <v>5</v>
      </c>
      <c r="F45" s="23">
        <v>3.75</v>
      </c>
      <c r="G45" s="29">
        <f t="shared" si="0"/>
        <v>0.75</v>
      </c>
      <c r="H45" s="30" t="str">
        <f t="shared" si="1"/>
        <v>جيد</v>
      </c>
      <c r="I45" s="34"/>
      <c r="J45" s="35"/>
    </row>
    <row r="46" spans="1:10" ht="30" customHeight="1" thickBot="1" x14ac:dyDescent="0.35">
      <c r="A46" s="7"/>
      <c r="B46" s="76" t="s">
        <v>219</v>
      </c>
      <c r="C46" s="77"/>
      <c r="D46" s="77"/>
      <c r="E46" s="26">
        <v>5</v>
      </c>
      <c r="F46" s="24">
        <v>4</v>
      </c>
      <c r="G46" s="31">
        <f t="shared" si="0"/>
        <v>0.8</v>
      </c>
      <c r="H46" s="32" t="str">
        <f t="shared" si="1"/>
        <v>جيد جداً</v>
      </c>
      <c r="I46" s="38"/>
      <c r="J46" s="39"/>
    </row>
    <row r="47" spans="1:10" ht="50.1" customHeight="1" x14ac:dyDescent="0.3">
      <c r="A47" s="7"/>
      <c r="B47" s="43" t="s">
        <v>220</v>
      </c>
      <c r="C47" s="44"/>
      <c r="D47" s="44"/>
      <c r="E47" s="44"/>
      <c r="F47" s="44"/>
      <c r="G47" s="44"/>
      <c r="H47" s="44"/>
      <c r="I47" s="44"/>
      <c r="J47" s="45"/>
    </row>
    <row r="48" spans="1:10" ht="30" customHeight="1" x14ac:dyDescent="0.3">
      <c r="A48" s="7"/>
      <c r="B48" s="46" t="s">
        <v>221</v>
      </c>
      <c r="C48" s="47"/>
      <c r="D48" s="47"/>
      <c r="E48" s="25">
        <v>5</v>
      </c>
      <c r="F48" s="23">
        <v>3.75</v>
      </c>
      <c r="G48" s="29">
        <f t="shared" si="0"/>
        <v>0.75</v>
      </c>
      <c r="H48" s="30" t="str">
        <f t="shared" si="1"/>
        <v>جيد</v>
      </c>
      <c r="I48" s="34"/>
      <c r="J48" s="35"/>
    </row>
    <row r="49" spans="1:10" ht="50.1" customHeight="1" x14ac:dyDescent="0.3">
      <c r="A49" s="7"/>
      <c r="B49" s="46" t="s">
        <v>222</v>
      </c>
      <c r="C49" s="47"/>
      <c r="D49" s="47"/>
      <c r="E49" s="25">
        <v>5</v>
      </c>
      <c r="F49" s="23">
        <v>3.75</v>
      </c>
      <c r="G49" s="29">
        <f t="shared" si="0"/>
        <v>0.75</v>
      </c>
      <c r="H49" s="30" t="str">
        <f t="shared" si="1"/>
        <v>جيد</v>
      </c>
      <c r="I49" s="34"/>
      <c r="J49" s="35"/>
    </row>
    <row r="50" spans="1:10" ht="39.9" customHeight="1" x14ac:dyDescent="0.3">
      <c r="A50" s="7"/>
      <c r="B50" s="46" t="s">
        <v>223</v>
      </c>
      <c r="C50" s="47"/>
      <c r="D50" s="47"/>
      <c r="E50" s="25">
        <v>5</v>
      </c>
      <c r="F50" s="23">
        <v>3.75</v>
      </c>
      <c r="G50" s="29">
        <f t="shared" si="0"/>
        <v>0.75</v>
      </c>
      <c r="H50" s="30" t="str">
        <f t="shared" si="1"/>
        <v>جيد</v>
      </c>
      <c r="I50" s="34"/>
      <c r="J50" s="35"/>
    </row>
    <row r="51" spans="1:10" ht="39.9" customHeight="1" x14ac:dyDescent="0.3">
      <c r="A51" s="7"/>
      <c r="B51" s="46" t="s">
        <v>224</v>
      </c>
      <c r="C51" s="47"/>
      <c r="D51" s="47"/>
      <c r="E51" s="25">
        <v>5</v>
      </c>
      <c r="F51" s="23">
        <v>3.75</v>
      </c>
      <c r="G51" s="29">
        <f t="shared" si="0"/>
        <v>0.75</v>
      </c>
      <c r="H51" s="30" t="str">
        <f t="shared" si="1"/>
        <v>جيد</v>
      </c>
      <c r="I51" s="34"/>
      <c r="J51" s="35"/>
    </row>
    <row r="52" spans="1:10" ht="39.9" customHeight="1" x14ac:dyDescent="0.3">
      <c r="A52" s="7"/>
      <c r="B52" s="46" t="s">
        <v>225</v>
      </c>
      <c r="C52" s="47"/>
      <c r="D52" s="47"/>
      <c r="E52" s="25">
        <v>5</v>
      </c>
      <c r="F52" s="23">
        <v>3.75</v>
      </c>
      <c r="G52" s="29">
        <f t="shared" si="0"/>
        <v>0.75</v>
      </c>
      <c r="H52" s="30" t="str">
        <f t="shared" si="1"/>
        <v>جيد</v>
      </c>
      <c r="I52" s="34"/>
      <c r="J52" s="35"/>
    </row>
    <row r="53" spans="1:10" ht="57.75" customHeight="1" x14ac:dyDescent="0.3">
      <c r="A53" s="7"/>
      <c r="B53" s="46" t="s">
        <v>226</v>
      </c>
      <c r="C53" s="47"/>
      <c r="D53" s="47"/>
      <c r="E53" s="25">
        <v>5</v>
      </c>
      <c r="F53" s="23">
        <v>3.75</v>
      </c>
      <c r="G53" s="29">
        <f t="shared" si="0"/>
        <v>0.75</v>
      </c>
      <c r="H53" s="30" t="str">
        <f t="shared" si="1"/>
        <v>جيد</v>
      </c>
      <c r="I53" s="34"/>
      <c r="J53" s="35"/>
    </row>
    <row r="54" spans="1:10" ht="30" customHeight="1" x14ac:dyDescent="0.3">
      <c r="A54" s="7"/>
      <c r="B54" s="46" t="s">
        <v>227</v>
      </c>
      <c r="C54" s="47"/>
      <c r="D54" s="47"/>
      <c r="E54" s="25">
        <v>5</v>
      </c>
      <c r="F54" s="23">
        <v>3.75</v>
      </c>
      <c r="G54" s="29">
        <f t="shared" si="0"/>
        <v>0.75</v>
      </c>
      <c r="H54" s="30" t="str">
        <f t="shared" si="1"/>
        <v>جيد</v>
      </c>
      <c r="I54" s="34"/>
      <c r="J54" s="35"/>
    </row>
    <row r="55" spans="1:10" ht="39.9" customHeight="1" x14ac:dyDescent="0.3">
      <c r="A55" s="7"/>
      <c r="B55" s="46" t="s">
        <v>228</v>
      </c>
      <c r="C55" s="47"/>
      <c r="D55" s="47"/>
      <c r="E55" s="25">
        <v>5</v>
      </c>
      <c r="F55" s="23">
        <v>3.75</v>
      </c>
      <c r="G55" s="29">
        <f t="shared" si="0"/>
        <v>0.75</v>
      </c>
      <c r="H55" s="30" t="str">
        <f t="shared" si="1"/>
        <v>جيد</v>
      </c>
      <c r="I55" s="34"/>
      <c r="J55" s="35"/>
    </row>
    <row r="56" spans="1:10" ht="39.9" customHeight="1" x14ac:dyDescent="0.3">
      <c r="A56" s="7"/>
      <c r="B56" s="46" t="s">
        <v>229</v>
      </c>
      <c r="C56" s="47"/>
      <c r="D56" s="47"/>
      <c r="E56" s="25">
        <v>5</v>
      </c>
      <c r="F56" s="23">
        <v>4</v>
      </c>
      <c r="G56" s="29">
        <f t="shared" si="0"/>
        <v>0.8</v>
      </c>
      <c r="H56" s="30" t="str">
        <f t="shared" si="1"/>
        <v>جيد جداً</v>
      </c>
      <c r="I56" s="34"/>
      <c r="J56" s="35"/>
    </row>
    <row r="57" spans="1:10" ht="39.9" customHeight="1" x14ac:dyDescent="0.3">
      <c r="A57" s="7"/>
      <c r="B57" s="46" t="s">
        <v>230</v>
      </c>
      <c r="C57" s="47"/>
      <c r="D57" s="47"/>
      <c r="E57" s="25">
        <v>5</v>
      </c>
      <c r="F57" s="23">
        <v>3.75</v>
      </c>
      <c r="G57" s="29">
        <f t="shared" si="0"/>
        <v>0.75</v>
      </c>
      <c r="H57" s="30" t="str">
        <f t="shared" si="1"/>
        <v>جيد</v>
      </c>
      <c r="I57" s="34"/>
      <c r="J57" s="35"/>
    </row>
    <row r="58" spans="1:10" ht="39.9" customHeight="1" x14ac:dyDescent="0.3">
      <c r="A58" s="7"/>
      <c r="B58" s="46" t="s">
        <v>231</v>
      </c>
      <c r="C58" s="47"/>
      <c r="D58" s="47"/>
      <c r="E58" s="25">
        <v>5</v>
      </c>
      <c r="F58" s="23">
        <v>3.75</v>
      </c>
      <c r="G58" s="29">
        <f t="shared" si="0"/>
        <v>0.75</v>
      </c>
      <c r="H58" s="30" t="str">
        <f t="shared" si="1"/>
        <v>جيد</v>
      </c>
      <c r="I58" s="34"/>
      <c r="J58" s="35"/>
    </row>
    <row r="59" spans="1:10" ht="39.9" customHeight="1" x14ac:dyDescent="0.3">
      <c r="A59" s="7"/>
      <c r="B59" s="46" t="s">
        <v>232</v>
      </c>
      <c r="C59" s="47"/>
      <c r="D59" s="47"/>
      <c r="E59" s="25">
        <v>5</v>
      </c>
      <c r="F59" s="23">
        <v>3.75</v>
      </c>
      <c r="G59" s="29">
        <f t="shared" si="0"/>
        <v>0.75</v>
      </c>
      <c r="H59" s="30" t="str">
        <f t="shared" si="1"/>
        <v>جيد</v>
      </c>
      <c r="I59" s="34"/>
      <c r="J59" s="35"/>
    </row>
    <row r="60" spans="1:10" ht="39.9" customHeight="1" x14ac:dyDescent="0.3">
      <c r="A60" s="7"/>
      <c r="B60" s="46" t="s">
        <v>233</v>
      </c>
      <c r="C60" s="47"/>
      <c r="D60" s="47"/>
      <c r="E60" s="25">
        <v>5</v>
      </c>
      <c r="F60" s="23">
        <v>3.75</v>
      </c>
      <c r="G60" s="29">
        <f t="shared" si="0"/>
        <v>0.75</v>
      </c>
      <c r="H60" s="30" t="str">
        <f t="shared" si="1"/>
        <v>جيد</v>
      </c>
      <c r="I60" s="34"/>
      <c r="J60" s="35"/>
    </row>
    <row r="61" spans="1:10" ht="39.9" customHeight="1" x14ac:dyDescent="0.3">
      <c r="A61" s="7"/>
      <c r="B61" s="46" t="s">
        <v>234</v>
      </c>
      <c r="C61" s="47"/>
      <c r="D61" s="47"/>
      <c r="E61" s="25">
        <v>5</v>
      </c>
      <c r="F61" s="23">
        <v>3.75</v>
      </c>
      <c r="G61" s="29">
        <f t="shared" si="0"/>
        <v>0.75</v>
      </c>
      <c r="H61" s="30" t="str">
        <f t="shared" si="1"/>
        <v>جيد</v>
      </c>
      <c r="I61" s="34"/>
      <c r="J61" s="35"/>
    </row>
    <row r="62" spans="1:10" ht="39.9" customHeight="1" x14ac:dyDescent="0.3">
      <c r="A62" s="7"/>
      <c r="B62" s="46" t="s">
        <v>235</v>
      </c>
      <c r="C62" s="47"/>
      <c r="D62" s="47"/>
      <c r="E62" s="25">
        <v>5</v>
      </c>
      <c r="F62" s="23">
        <v>4</v>
      </c>
      <c r="G62" s="29">
        <f t="shared" si="0"/>
        <v>0.8</v>
      </c>
      <c r="H62" s="30" t="str">
        <f t="shared" si="1"/>
        <v>جيد جداً</v>
      </c>
      <c r="I62" s="34"/>
      <c r="J62" s="35"/>
    </row>
    <row r="63" spans="1:10" ht="30" customHeight="1" x14ac:dyDescent="0.3">
      <c r="A63" s="7"/>
      <c r="B63" s="46" t="s">
        <v>236</v>
      </c>
      <c r="C63" s="47"/>
      <c r="D63" s="47"/>
      <c r="E63" s="25">
        <v>5</v>
      </c>
      <c r="F63" s="23">
        <v>3.75</v>
      </c>
      <c r="G63" s="29">
        <f t="shared" si="0"/>
        <v>0.75</v>
      </c>
      <c r="H63" s="30" t="str">
        <f t="shared" si="1"/>
        <v>جيد</v>
      </c>
      <c r="I63" s="34"/>
      <c r="J63" s="35"/>
    </row>
    <row r="64" spans="1:10" ht="30" customHeight="1" thickBot="1" x14ac:dyDescent="0.35">
      <c r="A64" s="7"/>
      <c r="B64" s="76" t="s">
        <v>237</v>
      </c>
      <c r="C64" s="77"/>
      <c r="D64" s="77"/>
      <c r="E64" s="26">
        <v>5</v>
      </c>
      <c r="F64" s="24">
        <v>3.75</v>
      </c>
      <c r="G64" s="31">
        <f t="shared" si="0"/>
        <v>0.75</v>
      </c>
      <c r="H64" s="32" t="str">
        <f t="shared" si="1"/>
        <v>جيد</v>
      </c>
      <c r="I64" s="38"/>
      <c r="J64" s="39"/>
    </row>
    <row r="65" spans="1:10" ht="30" customHeight="1" thickBot="1" x14ac:dyDescent="0.35">
      <c r="A65" s="4"/>
      <c r="B65" s="36" t="s">
        <v>5</v>
      </c>
      <c r="C65" s="37"/>
      <c r="D65" s="37"/>
      <c r="E65" s="28">
        <f>SUM(E8:E64)</f>
        <v>250</v>
      </c>
      <c r="F65" s="28">
        <f>SUM(F8:F64)</f>
        <v>188.75</v>
      </c>
      <c r="G65" s="56"/>
      <c r="H65" s="57"/>
      <c r="I65" s="57"/>
      <c r="J65" s="58"/>
    </row>
    <row r="66" spans="1:10" ht="30" customHeight="1" thickBot="1" x14ac:dyDescent="0.35">
      <c r="A66" s="4"/>
      <c r="B66" s="48" t="s">
        <v>54</v>
      </c>
      <c r="C66" s="49"/>
      <c r="D66" s="49"/>
      <c r="E66" s="66">
        <f>F65/E65/100*100</f>
        <v>0.755</v>
      </c>
      <c r="F66" s="66"/>
      <c r="G66" s="66"/>
      <c r="H66" s="66"/>
      <c r="I66" s="66"/>
      <c r="J66" s="67"/>
    </row>
    <row r="67" spans="1:10" ht="30" customHeight="1" thickBot="1" x14ac:dyDescent="0.35">
      <c r="A67" s="4"/>
      <c r="B67" s="48" t="s">
        <v>55</v>
      </c>
      <c r="C67" s="49"/>
      <c r="D67" s="49"/>
      <c r="E67" s="52" t="str">
        <f>_xlfn.IFS(E66&gt;=90%,"ممتاز",E66&gt;=80%,"جيد جداً",E66&gt;=70%,"جيد",E66&gt;=60%,"مقبول",E66&lt;60%,"راسب")</f>
        <v>جيد</v>
      </c>
      <c r="F67" s="52"/>
      <c r="G67" s="52"/>
      <c r="H67" s="52"/>
      <c r="I67" s="52"/>
      <c r="J67" s="53"/>
    </row>
    <row r="68" spans="1:10" ht="42" customHeight="1" x14ac:dyDescent="0.3">
      <c r="B68" s="78" t="s">
        <v>174</v>
      </c>
      <c r="C68" s="78"/>
      <c r="D68" s="78"/>
      <c r="E68" s="54" t="s">
        <v>52</v>
      </c>
      <c r="F68" s="54"/>
      <c r="G68" s="50" t="s">
        <v>59</v>
      </c>
      <c r="H68" s="50"/>
      <c r="I68" s="50"/>
      <c r="J68" s="50"/>
    </row>
    <row r="69" spans="1:10" ht="51" customHeight="1" x14ac:dyDescent="0.3">
      <c r="A69" s="5"/>
      <c r="B69" s="79"/>
      <c r="C69" s="79"/>
      <c r="D69" s="79"/>
      <c r="E69" s="55" t="s">
        <v>53</v>
      </c>
      <c r="F69" s="55"/>
      <c r="G69" s="51"/>
      <c r="H69" s="51"/>
      <c r="I69" s="51"/>
      <c r="J69" s="5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34">
    <mergeCell ref="B37:D37"/>
    <mergeCell ref="B38:D38"/>
    <mergeCell ref="B40:D40"/>
    <mergeCell ref="B41:D41"/>
    <mergeCell ref="B42:D42"/>
    <mergeCell ref="B43:D43"/>
    <mergeCell ref="B44:D44"/>
    <mergeCell ref="B45:D45"/>
    <mergeCell ref="B27:D27"/>
    <mergeCell ref="B28:D28"/>
    <mergeCell ref="B29:D29"/>
    <mergeCell ref="B30:D30"/>
    <mergeCell ref="B31:D31"/>
    <mergeCell ref="B32:D32"/>
    <mergeCell ref="B68:D6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33:D33"/>
    <mergeCell ref="B34:D34"/>
    <mergeCell ref="B35:D35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1:J1"/>
    <mergeCell ref="F2:J2"/>
    <mergeCell ref="B5:D6"/>
    <mergeCell ref="C2:D2"/>
    <mergeCell ref="C3:D3"/>
    <mergeCell ref="F3:J3"/>
    <mergeCell ref="E66:J66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B64:D64"/>
    <mergeCell ref="B46:D46"/>
    <mergeCell ref="B48:D48"/>
    <mergeCell ref="B49:D49"/>
    <mergeCell ref="B50:D50"/>
    <mergeCell ref="B51:D51"/>
    <mergeCell ref="B52:D52"/>
    <mergeCell ref="B53:D53"/>
    <mergeCell ref="G68:J68"/>
    <mergeCell ref="G69:J69"/>
    <mergeCell ref="E67:J67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E68:F68"/>
    <mergeCell ref="E69:F69"/>
    <mergeCell ref="G65:J65"/>
    <mergeCell ref="I62:J62"/>
    <mergeCell ref="I63:J63"/>
    <mergeCell ref="I64:J64"/>
    <mergeCell ref="B66:D66"/>
    <mergeCell ref="B67:D67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19:J19"/>
    <mergeCell ref="I20:J20"/>
    <mergeCell ref="I21:J21"/>
    <mergeCell ref="I22:J22"/>
    <mergeCell ref="I23:J23"/>
    <mergeCell ref="I24:J24"/>
    <mergeCell ref="I25:J25"/>
    <mergeCell ref="B54:D54"/>
    <mergeCell ref="B55:D55"/>
    <mergeCell ref="F4:J4"/>
    <mergeCell ref="C4:D4"/>
    <mergeCell ref="I32:J32"/>
    <mergeCell ref="I33:J33"/>
    <mergeCell ref="I34:J34"/>
    <mergeCell ref="I35:J35"/>
    <mergeCell ref="I36:J36"/>
    <mergeCell ref="B65:D65"/>
    <mergeCell ref="I26:J26"/>
    <mergeCell ref="I27:J27"/>
    <mergeCell ref="I45:J45"/>
    <mergeCell ref="I46:J46"/>
    <mergeCell ref="I48:J48"/>
    <mergeCell ref="I9:J9"/>
    <mergeCell ref="B8:J8"/>
    <mergeCell ref="B39:J39"/>
    <mergeCell ref="B47:J47"/>
    <mergeCell ref="B56:D56"/>
    <mergeCell ref="B57:D57"/>
    <mergeCell ref="B58:D58"/>
    <mergeCell ref="B59:D59"/>
    <mergeCell ref="B60:D60"/>
    <mergeCell ref="B61:D61"/>
    <mergeCell ref="B36:D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7">
    <cfRule type="expression" dxfId="21" priority="57">
      <formula>$E67="راسب"</formula>
    </cfRule>
  </conditionalFormatting>
  <conditionalFormatting sqref="E67:J67">
    <cfRule type="expression" dxfId="20" priority="60">
      <formula>$E67="جيد جداً"</formula>
    </cfRule>
    <cfRule type="expression" dxfId="19" priority="59">
      <formula>$E67="جيد"</formula>
    </cfRule>
    <cfRule type="expression" dxfId="18" priority="58">
      <formula>$E67="مقبول"</formula>
    </cfRule>
    <cfRule type="expression" dxfId="17" priority="61">
      <formula>$E67="ممتاز"</formula>
    </cfRule>
  </conditionalFormatting>
  <conditionalFormatting sqref="F9:F38">
    <cfRule type="containsText" dxfId="16" priority="4" operator="containsText" text="أدخل العلامة">
      <formula>NOT(ISERROR(SEARCH("أدخل العلامة",F9)))</formula>
    </cfRule>
  </conditionalFormatting>
  <conditionalFormatting sqref="F40:F46 F48:F64">
    <cfRule type="containsText" dxfId="15" priority="14" operator="containsText" text="أدخل العلامة">
      <formula>NOT(ISERROR(SEARCH("أدخل العلامة",F40)))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68:J68">
    <cfRule type="containsText" dxfId="12" priority="15" operator="containsText" text="أدخل اسم المحكم">
      <formula>NOT(ISERROR(SEARCH("أدخل اسم المحكم",G68)))</formula>
    </cfRule>
  </conditionalFormatting>
  <conditionalFormatting sqref="H9:H38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40:H46 H48:H64">
    <cfRule type="containsText" dxfId="5" priority="38" operator="containsText" text="أدخل العلامة">
      <formula>NOT(ISERROR(SEARCH("أدخل العلامة",H40)))</formula>
    </cfRule>
    <cfRule type="containsText" dxfId="4" priority="39" operator="containsText" text="ممتاز">
      <formula>NOT(ISERROR(SEARCH("ممتاز",H40)))</formula>
    </cfRule>
    <cfRule type="containsText" dxfId="3" priority="40" operator="containsText" text="جيد جداً">
      <formula>NOT(ISERROR(SEARCH("جيد جداً",H40)))</formula>
    </cfRule>
    <cfRule type="containsText" dxfId="2" priority="41" operator="containsText" text="جيد">
      <formula>NOT(ISERROR(SEARCH("جيد",H40)))</formula>
    </cfRule>
    <cfRule type="containsText" dxfId="1" priority="42" operator="containsText" text="مقبول">
      <formula>NOT(ISERROR(SEARCH("مقبول",H40)))</formula>
    </cfRule>
    <cfRule type="containsText" dxfId="0" priority="43" operator="containsText" text="راسب">
      <formula>NOT(ISERROR(SEARCH("راسب",H40)))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F48:F64 F40:F46 F29:F38 F20:F27 F14:F18 F11:F12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G68:J68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2025-10-23T04:03:37Z</dcterms:modified>
</cp:coreProperties>
</file>