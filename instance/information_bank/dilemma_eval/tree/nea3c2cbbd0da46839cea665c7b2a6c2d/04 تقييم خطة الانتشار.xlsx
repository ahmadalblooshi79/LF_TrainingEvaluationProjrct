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2090CC7A-7FBB-2C47-8747-B4F23E2E4EFD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F17" i="2"/>
  <c r="E17" i="2"/>
  <c r="E18" i="2"/>
  <c r="E19" i="2"/>
</calcChain>
</file>

<file path=xl/sharedStrings.xml><?xml version="1.0" encoding="utf-8"?>
<sst xmlns="http://schemas.openxmlformats.org/spreadsheetml/2006/main" count="246" uniqueCount="190">
  <si>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</si>
  <si>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</si>
  <si>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</si>
  <si>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</si>
  <si>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</si>
  <si>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</si>
  <si>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</si>
  <si>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</si>
  <si>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</si>
  <si>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</si>
  <si>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</si>
  <si>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</si>
  <si>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</si>
  <si>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</si>
  <si>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</si>
  <si>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</si>
  <si>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</si>
  <si>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</si>
  <si>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</si>
  <si>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</si>
  <si>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</si>
  <si>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</si>
  <si>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</si>
  <si>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</si>
  <si>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</si>
  <si>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</si>
  <si>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</si>
  <si>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</si>
  <si>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</si>
  <si>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</si>
  <si>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</si>
  <si>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</si>
  <si>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</si>
  <si>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</si>
  <si>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</si>
  <si>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</si>
  <si>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</si>
  <si>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</si>
  <si>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</si>
  <si>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</si>
  <si>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</si>
  <si>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</si>
  <si>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</si>
  <si>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</si>
  <si>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</si>
  <si>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</si>
  <si>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</si>
  <si>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</si>
  <si>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</si>
  <si>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</si>
  <si>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</si>
  <si>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</si>
  <si>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</si>
  <si>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</si>
  <si>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</si>
  <si>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</si>
  <si>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</si>
  <si>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</si>
  <si>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</si>
  <si>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</si>
  <si>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</si>
  <si>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</si>
  <si>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</si>
  <si>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</si>
  <si>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</si>
  <si>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</si>
  <si>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</si>
  <si>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</si>
  <si>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</si>
  <si>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</si>
  <si>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</si>
  <si>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</si>
  <si>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</si>
  <si>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</si>
  <si>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</si>
  <si>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</si>
  <si>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</si>
  <si>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</si>
  <si>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</si>
  <si>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</si>
  <si>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</si>
  <si>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</si>
  <si>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</si>
  <si>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</si>
  <si>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</si>
  <si>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</si>
  <si>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</si>
  <si>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</si>
  <si>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</si>
  <si>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</si>
  <si>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</si>
  <si>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</si>
  <si>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</si>
  <si>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</si>
  <si>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</si>
  <si>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</si>
  <si>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</si>
  <si>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</si>
  <si>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</si>
  <si>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</si>
  <si>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</si>
  <si>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</si>
  <si>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</si>
  <si>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</si>
  <si>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</si>
  <si>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</si>
  <si>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</si>
  <si>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</si>
  <si>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</si>
  <si>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</si>
  <si>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</si>
  <si>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</si>
  <si>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</si>
  <si>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</si>
  <si>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</si>
  <si>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</si>
  <si>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</si>
  <si>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</si>
  <si>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</si>
  <si>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</si>
  <si>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</si>
  <si>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</si>
  <si>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</si>
  <si>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</si>
  <si>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</si>
  <si>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</si>
  <si>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</si>
  <si>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</si>
  <si>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</si>
  <si>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</si>
  <si>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</si>
  <si>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</si>
  <si>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</si>
  <si>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</si>
  <si>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</si>
  <si>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</si>
  <si>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</si>
  <si>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</si>
  <si>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</si>
  <si>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</si>
  <si>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</si>
  <si>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</si>
  <si>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</si>
  <si>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</si>
  <si>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</si>
  <si>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</si>
  <si>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</si>
  <si>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</si>
  <si>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</si>
  <si>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</si>
  <si>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</si>
  <si>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</si>
  <si>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</si>
  <si>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</si>
  <si>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</si>
  <si>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</si>
  <si>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</si>
  <si>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</si>
  <si>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</si>
  <si>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</si>
  <si>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</si>
  <si>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</si>
  <si>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</si>
  <si>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</si>
  <si>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</si>
  <si>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</si>
  <si>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</si>
  <si>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</si>
  <si>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</si>
  <si>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</si>
  <si>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</si>
  <si>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</si>
  <si>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</si>
  <si>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</si>
  <si>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</si>
  <si>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</si>
  <si>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</si>
  <si>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</si>
  <si>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</si>
  <si>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</si>
  <si>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تقييم خطة الانتشار في وحدات المناورة - تمرين جاهزية مجموعة لواء الإمارات/1 (جندي الصحراء 2025/20)</t>
  </si>
  <si>
    <r>
      <rPr>
        <b/>
        <sz val="12"/>
        <color theme="1"/>
        <rFont val="Arial"/>
        <family val="2"/>
      </rPr>
      <t xml:space="preserve">1.   </t>
    </r>
    <r>
      <rPr>
        <b/>
        <u/>
        <sz val="12"/>
        <color theme="1"/>
        <rFont val="Arial"/>
        <family val="2"/>
      </rPr>
      <t>الخطة</t>
    </r>
    <r>
      <rPr>
        <b/>
        <sz val="12"/>
        <color theme="1"/>
        <rFont val="Arial"/>
        <family val="2"/>
      </rPr>
      <t xml:space="preserve"> (يتم التأكد من التالي): </t>
    </r>
  </si>
  <si>
    <t>أ.    وجود الخطة واعتمادها.</t>
  </si>
  <si>
    <t>ب.  التقيد بالإطار العام.</t>
  </si>
  <si>
    <t>جـ.  التقيد بواجبات الأركان الصغرى في إعداد الخطة.</t>
  </si>
  <si>
    <t>2.   التقيد بالتدريب على تنفيذ الخطة ومدى واقعيتها للتطبيق (التدريب على مهام العمليات).</t>
  </si>
  <si>
    <t>3.   مدى إلمام المرتب بالخطة ومتطلباتها والواجبات المحددة لكل منهم.</t>
  </si>
  <si>
    <t>4.   مدى توفر المهمات والمعدات المطلوبة لتنفيذ الخطة (آليات، معدات، إلخ...).</t>
  </si>
  <si>
    <t>5.   التأكد من التنسيق مع المعنيين لتنفيذ الخطة.</t>
  </si>
  <si>
    <t>6.   مدى تنفيذ المستوى الخاضع للتقييم لجميع الإجراءات المطلوبة منهم في تطبيق الخطة حسب المعاضل التي تفرض من قبل فريق التقييم.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</si>
</sst>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3" fillId="0" borderId="8" xfId="0" applyFont="1" applyBorder="1" applyAlignment="1">
      <alignment horizontal="right" vertical="center" wrapText="1" readingOrder="2"/>
    </xf>
    <xf numFmtId="0" fontId="3" fillId="0" borderId="9" xfId="0" applyFont="1" applyBorder="1" applyAlignment="1">
      <alignment horizontal="right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indent="2" readingOrder="2"/>
    </xf>
    <xf numFmtId="0" fontId="14" fillId="0" borderId="3" xfId="0" applyFont="1" applyBorder="1" applyAlignment="1">
      <alignment horizontal="right" vertical="center" wrapText="1" indent="2" readingOrder="2"/>
    </xf>
    <xf numFmtId="0" fontId="14" fillId="0" borderId="11" xfId="0" applyFont="1" applyBorder="1" applyAlignment="1">
      <alignment horizontal="right" vertical="center" wrapText="1" indent="2" readingOrder="2"/>
    </xf>
    <xf numFmtId="0" fontId="14" fillId="0" borderId="12" xfId="0" applyFont="1" applyBorder="1" applyAlignment="1">
      <alignment horizontal="right" vertical="center" wrapText="1" indent="2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515625</xdr:colOff>
      <xdr:row>20</xdr:row>
      <xdr:rowOff>39388</xdr:rowOff>
    </xdr:from>
    <xdr:to>
      <xdr:col>9</xdr:col>
      <xdr:colOff>122114</xdr:colOff>
      <xdr:row>21</xdr:row>
      <xdr:rowOff>103843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0CD590F-500D-1483-00D9-40DDD4C0FE41}"/>
                </a:ext>
              </a:extLst>
            </xdr14:cNvPr>
            <xdr14:cNvContentPartPr/>
          </xdr14:nvContentPartPr>
          <xdr14:nvPr macro=""/>
          <xdr14:xfrm>
            <a:off x="10398464705" y="8952480"/>
            <a:ext cx="1580760" cy="71100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0CD590F-500D-1483-00D9-40DDD4C0FE4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456065" y="8943840"/>
              <a:ext cx="1598400" cy="72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50855</xdr:colOff>
      <xdr:row>20</xdr:row>
      <xdr:rowOff>499108</xdr:rowOff>
    </xdr:from>
    <xdr:to>
      <xdr:col>7</xdr:col>
      <xdr:colOff>79655</xdr:colOff>
      <xdr:row>20</xdr:row>
      <xdr:rowOff>573268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51A04614-2E71-3296-5112-16BE7D462F18}"/>
                </a:ext>
              </a:extLst>
            </xdr14:cNvPr>
            <xdr14:cNvContentPartPr/>
          </xdr14:nvContentPartPr>
          <xdr14:nvPr macro=""/>
          <xdr14:xfrm>
            <a:off x="10399823345" y="9412200"/>
            <a:ext cx="28800" cy="7416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51A04614-2E71-3296-5112-16BE7D462F1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814705" y="9403200"/>
              <a:ext cx="46440" cy="918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8:08:38.26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4215 238 14083,'0'0'0,"19"-37"384,-7 3 72,-12 34-456,15-37 472,-10 13-80,-1 10-200,8 10-16,-12 4-176,0-5 16,0 1-88,0 4-80,5 0 8,-5 0 144,3 3-168,1 8 64,11-6 120,-3 13-160,-12-18 144,14 17-24,-4 3-40,2 4 32,-7 5 32,-5-29 0,14 34-48,-11 3 40,-1 5-112,3 4 0,-5-46 120,5 51-32,-5 2-40,-3-2 80,-2-1 72,5-50-80,-4 45-48,-4-1 16,-6-3 0,2-2-24,12-39 56,-10 35-72,-2-3 64,0-3-48,7-2 32,5-27 24,-21 25 64,4-3-64,-5 0 32,-2-2-72,24-20 40,-26 19-56,-8 0 72,-2-1-32,-5-1 16,41-17 0,-46 17 112,-11 1-48,-3-4 48,-10-1 8,70-13-120,-72 4 64,-5 10-16,-7-11-16,-5 1 48,89-4-80,-92 12 48,-7-12 88,-4 4-40,-8 0 48,111-4-144,-113 11 216,-4-8-16,-6 2 8,0 6-48,123-11-160,-125 11 152,5-6-16,-8 10-8,6-3 40,122-12-168,-121 4 128,-4 11-48,7-10-8,1 12-40,117-17-32,-121 4 64,8 13-40,-5-6-24,1-6 32,117-5-32,-116 17-32,-2-13 96,10 12 104,-7-12-200,115-4 32,-106 11 64,7-8-72,5 0 8,5-3-16,89 0 16,-81 0-40,8 0-8,13-4 0,12-8 144,48 12-96,-34-4 40,8-10 8,4 10 48,13-9 8,9 13-104,-5-3 232,5 0-64,0 0-88,0 0-16,0 3-64,22-2-40,2-1 88,14-1 16,10-2-104,-48 6 40,60-12 48,17 8-72,10-7-8,2 7 88,-89 4-56,99-6-48,6 0 40,6 1-80,9-1 104,-120 6-16,128-12 0,4 8 104,5-10-16,5 0-112,-142 14 24,140-17-24,-1-2-64,3-1 40,-3-1 16,-139 21 32,138-24 80,-9-2-56,-8 1 40,-11 0 8,-110 25-72,109-22-48,-13-2 72,-7 1 32,-10 0 17,-79 23-73,68-21 144,-8-2-80,-10 0-64,-6 1 24,-44 22-24,33-23-24,-4-1 48,-5-2 144,-9 0-112,-15 26-56,14-28 96,-9 1 0,0-3-80,-5-1 120,0 31-136,0-31 24,-5-5-16,-14-1-32,-3 0-24,22 37 48,-19-37 48,-10 3-24,0 1-24,-5 1-8,34 32 8,-41-32-64,0 3 80,5-1-40,-2 1-8,38 29 32,-46-27 64,10 2-48,0-1 40,2 2 24,34 24-80,-29-21-24,-2 2 8,5 3 8,4 4-8,22 12 16,-17-6 40,5-5-16,5 8 0,-5 1-88,12 2 64,0-1-112,-5 1-8,3 11-16,-3 2 48,5-13 88,-2 20-64,-3 7 8,5 6-64,0 7 40,0-40 80,0 45-56,2 6 32,10 3 56,-2 7-8,-10-61-24,5 64 0,11 3-24,-1 1 0,-1 1 16,-14-69 8,17 65-16,2 5 56,-4 1 16,4 0-16,-19-71-40,22 72-48,-3-2 0,0-2 80,0-1-80,-19-67 48,22 64 48,0-3 40,-1-1-224,-4-6 128,-17-54 8,17 50 96,-2-5-112,-3-5 8,2-3 40,-14-37-32,2 32-32,13 0-16,-10-4 72,-1-2-24,-4-26 0,3 23 88,9-2-88,-12-1 104,0-3-64,0-17-40,0 18-144,0-2 144,0 0-16,0-1-24,0-15 40,-3 16-96,1-1-25,-3 4-599,-9 1-520,14-20 1240,-12 20-2336,9-5-1009,-18 2-3841,21-17 7186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8:08:38.71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63 205 22172,'0'0'0,"12"-61"200,-9 7-136,-1-1 56,-2 55-120,0-27 80,0 22-208,-2 2-256,2 3-312,0 0 696,-3 13-704,-1 3-104,-8 7-88,-3 6-305,15-29 1201,-14 33-2088,-1 1-673,1 0-5288,14-34 8049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1"/>
  <sheetViews>
    <sheetView rightToLeft="1" tabSelected="1" view="pageBreakPreview" topLeftCell="C5" zoomScale="130" zoomScaleNormal="100" zoomScaleSheetLayoutView="130" workbookViewId="0">
      <selection activeCell="G21" sqref="G21:J21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56" t="s">
        <v>180</v>
      </c>
      <c r="C1" s="56"/>
      <c r="D1" s="56"/>
      <c r="E1" s="56"/>
      <c r="F1" s="56"/>
      <c r="G1" s="56"/>
      <c r="H1" s="56"/>
      <c r="I1" s="56"/>
      <c r="J1" s="56"/>
    </row>
    <row r="2" spans="1:10" ht="30" customHeight="1" x14ac:dyDescent="0.2">
      <c r="B2" s="11" t="s">
        <v>8</v>
      </c>
      <c r="C2" s="62" t="s">
        <v>37</v>
      </c>
      <c r="D2" s="62"/>
      <c r="E2" s="11" t="s">
        <v>7</v>
      </c>
      <c r="F2" s="57">
        <v>45905</v>
      </c>
      <c r="G2" s="57"/>
      <c r="H2" s="57"/>
      <c r="I2" s="57"/>
      <c r="J2" s="57"/>
    </row>
    <row r="3" spans="1:10" ht="30" customHeight="1" x14ac:dyDescent="0.2">
      <c r="B3" s="11" t="s">
        <v>9</v>
      </c>
      <c r="C3" s="62" t="s">
        <v>78</v>
      </c>
      <c r="D3" s="62"/>
      <c r="E3" s="11" t="s">
        <v>6</v>
      </c>
      <c r="F3" s="62" t="s">
        <v>133</v>
      </c>
      <c r="G3" s="62"/>
      <c r="H3" s="62"/>
      <c r="I3" s="62"/>
      <c r="J3" s="62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9"/>
      <c r="B5" s="58" t="s">
        <v>0</v>
      </c>
      <c r="C5" s="59"/>
      <c r="D5" s="59"/>
      <c r="E5" s="67" t="s">
        <v>1</v>
      </c>
      <c r="F5" s="67"/>
      <c r="G5" s="67"/>
      <c r="H5" s="67"/>
      <c r="I5" s="67" t="s">
        <v>2</v>
      </c>
      <c r="J5" s="68"/>
    </row>
    <row r="6" spans="1:10" ht="24.95" customHeight="1" thickBot="1" x14ac:dyDescent="0.25">
      <c r="A6" s="9"/>
      <c r="B6" s="60"/>
      <c r="C6" s="61"/>
      <c r="D6" s="61"/>
      <c r="E6" s="10" t="s">
        <v>3</v>
      </c>
      <c r="F6" s="10" t="s">
        <v>4</v>
      </c>
      <c r="G6" s="10" t="s">
        <v>23</v>
      </c>
      <c r="H6" s="10" t="s">
        <v>24</v>
      </c>
      <c r="I6" s="69"/>
      <c r="J6" s="70"/>
    </row>
    <row r="7" spans="1:10" ht="24.95" customHeight="1" thickBot="1" x14ac:dyDescent="0.25">
      <c r="A7" s="9"/>
      <c r="B7" s="65" t="s">
        <v>21</v>
      </c>
      <c r="C7" s="66"/>
      <c r="D7" s="66"/>
      <c r="E7" s="32" t="s">
        <v>18</v>
      </c>
      <c r="F7" s="32" t="s">
        <v>19</v>
      </c>
      <c r="G7" s="32" t="s">
        <v>22</v>
      </c>
      <c r="H7" s="32" t="s">
        <v>20</v>
      </c>
      <c r="I7" s="71" t="s">
        <v>25</v>
      </c>
      <c r="J7" s="72"/>
    </row>
    <row r="8" spans="1:10" ht="39.950000000000003" customHeight="1" x14ac:dyDescent="0.2">
      <c r="A8" s="9"/>
      <c r="B8" s="85" t="s">
        <v>181</v>
      </c>
      <c r="C8" s="86"/>
      <c r="D8" s="86"/>
      <c r="E8" s="28"/>
      <c r="F8" s="36"/>
      <c r="G8" s="37"/>
      <c r="H8" s="38"/>
      <c r="I8" s="83"/>
      <c r="J8" s="84"/>
    </row>
    <row r="9" spans="1:10" ht="39.950000000000003" customHeight="1" x14ac:dyDescent="0.2">
      <c r="A9" s="9"/>
      <c r="B9" s="87" t="s">
        <v>182</v>
      </c>
      <c r="C9" s="88"/>
      <c r="D9" s="88"/>
      <c r="E9" s="29">
        <v>10</v>
      </c>
      <c r="F9" s="25">
        <v>7.25</v>
      </c>
      <c r="G9" s="34">
        <f>IFERROR(F9/E9,"")</f>
        <v>0.72499999999999998</v>
      </c>
      <c r="H9" s="35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8"/>
      <c r="J9" s="49"/>
    </row>
    <row r="10" spans="1:10" ht="39.950000000000003" customHeight="1" x14ac:dyDescent="0.2">
      <c r="A10" s="9"/>
      <c r="B10" s="87" t="s">
        <v>183</v>
      </c>
      <c r="C10" s="88"/>
      <c r="D10" s="88"/>
      <c r="E10" s="29">
        <v>5</v>
      </c>
      <c r="F10" s="25">
        <v>3.25</v>
      </c>
      <c r="G10" s="34">
        <f t="shared" ref="G10:G16" si="0">IFERROR(F10/E10,"")</f>
        <v>0.65</v>
      </c>
      <c r="H10" s="35" t="str">
        <f t="shared" ref="H10:H16" si="1">_xlfn.IFS(F10="أدخل العلامة","",F10="لا ينطبق","تم الإلغاء",G10&gt;=90%,"ممتاز",G10&gt;=80%,"جيد جداً",G10&gt;=70%,"جيد",G10&gt;=60%,"مقبول",G10&lt;60%,"راسب")</f>
        <v>مقبول</v>
      </c>
      <c r="I10" s="48"/>
      <c r="J10" s="49"/>
    </row>
    <row r="11" spans="1:10" ht="39.950000000000003" customHeight="1" thickBot="1" x14ac:dyDescent="0.25">
      <c r="A11" s="9"/>
      <c r="B11" s="89" t="s">
        <v>184</v>
      </c>
      <c r="C11" s="90"/>
      <c r="D11" s="90"/>
      <c r="E11" s="30">
        <v>5</v>
      </c>
      <c r="F11" s="27">
        <v>3.5</v>
      </c>
      <c r="G11" s="39">
        <f t="shared" si="0"/>
        <v>0.7</v>
      </c>
      <c r="H11" s="40" t="str">
        <f t="shared" si="1"/>
        <v>جيد</v>
      </c>
      <c r="I11" s="77"/>
      <c r="J11" s="78"/>
    </row>
    <row r="12" spans="1:10" ht="39.950000000000003" customHeight="1" thickBot="1" x14ac:dyDescent="0.25">
      <c r="A12" s="9"/>
      <c r="B12" s="81" t="s">
        <v>185</v>
      </c>
      <c r="C12" s="82"/>
      <c r="D12" s="82"/>
      <c r="E12" s="31">
        <v>20</v>
      </c>
      <c r="F12" s="41">
        <v>14.5</v>
      </c>
      <c r="G12" s="42">
        <f t="shared" si="0"/>
        <v>0.72499999999999998</v>
      </c>
      <c r="H12" s="26" t="str">
        <f t="shared" si="1"/>
        <v>جيد</v>
      </c>
      <c r="I12" s="79"/>
      <c r="J12" s="80"/>
    </row>
    <row r="13" spans="1:10" ht="39.950000000000003" customHeight="1" thickBot="1" x14ac:dyDescent="0.25">
      <c r="A13" s="9"/>
      <c r="B13" s="81" t="s">
        <v>186</v>
      </c>
      <c r="C13" s="82"/>
      <c r="D13" s="82"/>
      <c r="E13" s="31">
        <v>10</v>
      </c>
      <c r="F13" s="41">
        <v>7</v>
      </c>
      <c r="G13" s="42">
        <f t="shared" si="0"/>
        <v>0.7</v>
      </c>
      <c r="H13" s="26" t="str">
        <f t="shared" si="1"/>
        <v>جيد</v>
      </c>
      <c r="I13" s="79"/>
      <c r="J13" s="80"/>
    </row>
    <row r="14" spans="1:10" ht="39.950000000000003" customHeight="1" thickBot="1" x14ac:dyDescent="0.25">
      <c r="A14" s="9"/>
      <c r="B14" s="81" t="s">
        <v>187</v>
      </c>
      <c r="C14" s="82"/>
      <c r="D14" s="82"/>
      <c r="E14" s="31">
        <v>10</v>
      </c>
      <c r="F14" s="41">
        <v>7.25</v>
      </c>
      <c r="G14" s="42">
        <f t="shared" si="0"/>
        <v>0.72499999999999998</v>
      </c>
      <c r="H14" s="26" t="str">
        <f t="shared" si="1"/>
        <v>جيد</v>
      </c>
      <c r="I14" s="79"/>
      <c r="J14" s="80"/>
    </row>
    <row r="15" spans="1:10" ht="39.950000000000003" customHeight="1" thickBot="1" x14ac:dyDescent="0.25">
      <c r="A15" s="9"/>
      <c r="B15" s="81" t="s">
        <v>188</v>
      </c>
      <c r="C15" s="82"/>
      <c r="D15" s="82"/>
      <c r="E15" s="31">
        <v>5</v>
      </c>
      <c r="F15" s="41">
        <v>3.25</v>
      </c>
      <c r="G15" s="42">
        <f t="shared" si="0"/>
        <v>0.65</v>
      </c>
      <c r="H15" s="26" t="str">
        <f t="shared" si="1"/>
        <v>مقبول</v>
      </c>
      <c r="I15" s="79"/>
      <c r="J15" s="80"/>
    </row>
    <row r="16" spans="1:10" ht="39.950000000000003" customHeight="1" thickBot="1" x14ac:dyDescent="0.25">
      <c r="A16" s="9"/>
      <c r="B16" s="81" t="s">
        <v>189</v>
      </c>
      <c r="C16" s="82"/>
      <c r="D16" s="82"/>
      <c r="E16" s="31">
        <v>5</v>
      </c>
      <c r="F16" s="41">
        <v>3.5</v>
      </c>
      <c r="G16" s="42">
        <f t="shared" si="0"/>
        <v>0.7</v>
      </c>
      <c r="H16" s="26" t="str">
        <f t="shared" si="1"/>
        <v>جيد</v>
      </c>
      <c r="I16" s="79"/>
      <c r="J16" s="80"/>
    </row>
    <row r="17" spans="1:10" ht="30" customHeight="1" thickBot="1" x14ac:dyDescent="0.25">
      <c r="A17" s="4"/>
      <c r="B17" s="73" t="s">
        <v>5</v>
      </c>
      <c r="C17" s="74"/>
      <c r="D17" s="74"/>
      <c r="E17" s="33">
        <f>SUM(E8:E16)</f>
        <v>70</v>
      </c>
      <c r="F17" s="33">
        <f>SUM(F8:F16)</f>
        <v>49.5</v>
      </c>
      <c r="G17" s="45"/>
      <c r="H17" s="46"/>
      <c r="I17" s="46"/>
      <c r="J17" s="47"/>
    </row>
    <row r="18" spans="1:10" ht="30" customHeight="1" thickBot="1" x14ac:dyDescent="0.25">
      <c r="A18" s="4"/>
      <c r="B18" s="75" t="s">
        <v>54</v>
      </c>
      <c r="C18" s="76"/>
      <c r="D18" s="76"/>
      <c r="E18" s="63">
        <f>F17/E17/100*100</f>
        <v>0.70714285714285718</v>
      </c>
      <c r="F18" s="63"/>
      <c r="G18" s="63"/>
      <c r="H18" s="63"/>
      <c r="I18" s="63"/>
      <c r="J18" s="64"/>
    </row>
    <row r="19" spans="1:10" ht="30" customHeight="1" thickBot="1" x14ac:dyDescent="0.25">
      <c r="A19" s="4"/>
      <c r="B19" s="75" t="s">
        <v>55</v>
      </c>
      <c r="C19" s="76"/>
      <c r="D19" s="76"/>
      <c r="E19" s="54" t="str">
        <f>_xlfn.IFS(E18&gt;=90%,"ممتاز",E18&gt;=80%,"جيد جداً",E18&gt;=70%,"جيد",E18&gt;=60%,"مقبول",E18&lt;60%,"راسب")</f>
        <v>جيد</v>
      </c>
      <c r="F19" s="54"/>
      <c r="G19" s="54"/>
      <c r="H19" s="54"/>
      <c r="I19" s="54"/>
      <c r="J19" s="55"/>
    </row>
    <row r="20" spans="1:10" ht="42" customHeight="1" x14ac:dyDescent="0.2">
      <c r="B20" s="50" t="s">
        <v>174</v>
      </c>
      <c r="C20" s="50"/>
      <c r="D20" s="50"/>
      <c r="E20" s="43" t="s">
        <v>52</v>
      </c>
      <c r="F20" s="43"/>
      <c r="G20" s="52" t="s">
        <v>133</v>
      </c>
      <c r="H20" s="52"/>
      <c r="I20" s="52"/>
      <c r="J20" s="52"/>
    </row>
    <row r="21" spans="1:10" ht="51" customHeight="1" x14ac:dyDescent="0.2">
      <c r="A21" s="5"/>
      <c r="B21" s="51"/>
      <c r="C21" s="51"/>
      <c r="D21" s="51"/>
      <c r="E21" s="44" t="s">
        <v>53</v>
      </c>
      <c r="F21" s="44"/>
      <c r="G21" s="53"/>
      <c r="H21" s="53"/>
      <c r="I21" s="53"/>
      <c r="J21" s="53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9">
    <mergeCell ref="B11:D11"/>
    <mergeCell ref="B12:D12"/>
    <mergeCell ref="I15:J15"/>
    <mergeCell ref="I16:J16"/>
    <mergeCell ref="B13:D13"/>
    <mergeCell ref="B14:D14"/>
    <mergeCell ref="B15:D15"/>
    <mergeCell ref="B16:D16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B1:J1"/>
    <mergeCell ref="F2:J2"/>
    <mergeCell ref="B5:D6"/>
    <mergeCell ref="C2:D2"/>
    <mergeCell ref="C3:D3"/>
    <mergeCell ref="F3:J3"/>
    <mergeCell ref="E20:F20"/>
    <mergeCell ref="E21:F21"/>
    <mergeCell ref="G17:J17"/>
    <mergeCell ref="I9:J9"/>
    <mergeCell ref="B20:D21"/>
    <mergeCell ref="G20:J20"/>
    <mergeCell ref="G21:J21"/>
    <mergeCell ref="E19:J19"/>
    <mergeCell ref="E18:J18"/>
    <mergeCell ref="B17:D17"/>
    <mergeCell ref="B18:D18"/>
    <mergeCell ref="B19:D19"/>
    <mergeCell ref="I11:J11"/>
    <mergeCell ref="I12:J12"/>
    <mergeCell ref="I13:J13"/>
    <mergeCell ref="I14:J14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9">
    <cfRule type="expression" dxfId="14" priority="57">
      <formula>$E19="راسب"</formula>
    </cfRule>
  </conditionalFormatting>
  <conditionalFormatting sqref="E19:J19">
    <cfRule type="expression" dxfId="13" priority="58">
      <formula>$E19="مقبول"</formula>
    </cfRule>
    <cfRule type="expression" dxfId="12" priority="59">
      <formula>$E19="جيد"</formula>
    </cfRule>
    <cfRule type="expression" dxfId="11" priority="60">
      <formula>$E19="جيد جداً"</formula>
    </cfRule>
    <cfRule type="expression" dxfId="10" priority="61">
      <formula>$E19="ممتاز"</formula>
    </cfRule>
  </conditionalFormatting>
  <conditionalFormatting sqref="F8:F16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0:J20">
    <cfRule type="containsText" dxfId="6" priority="15" operator="containsText" text="أدخل اسم المحكم">
      <formula>NOT(ISERROR(SEARCH("أدخل اسم المحكم",G20)))</formula>
    </cfRule>
  </conditionalFormatting>
  <conditionalFormatting sqref="H8:H16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F15:F16 F10:F11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G20:J20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3FA2703D-2ECF-43C5-A3F7-82FDA389B93E}">
          <x14:formula1>
            <xm:f>'بيانات التقييم'!$A$111:$A$153</xm:f>
          </x14:formula1>
          <xm:sqref>F9 F13 F14</xm:sqref>
        </x14:dataValidation>
        <x14:dataValidation type="list" allowBlank="1" showInputMessage="1" showErrorMessage="1" xr:uid="{146A380C-0401-491B-8FEE-C46060DDCED8}">
          <x14:formula1>
            <xm:f>'بيانات التقييم'!$A$111:$A$193</xm:f>
          </x14:formula1>
          <xm:sqref>F12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66" workbookViewId="0">
      <selection activeCell="C33" sqref="C33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8" t="s">
        <v>62</v>
      </c>
    </row>
    <row r="3" spans="1:3" ht="20.100000000000001" customHeight="1" thickBot="1" x14ac:dyDescent="0.3">
      <c r="A3" s="2" t="s">
        <v>26</v>
      </c>
      <c r="C3" s="18" t="s">
        <v>63</v>
      </c>
    </row>
    <row r="4" spans="1:3" ht="20.100000000000001" customHeight="1" thickBot="1" x14ac:dyDescent="0.3">
      <c r="A4" s="2" t="s">
        <v>36</v>
      </c>
      <c r="C4" s="18" t="s">
        <v>64</v>
      </c>
    </row>
    <row r="5" spans="1:3" ht="20.100000000000001" customHeight="1" thickBot="1" x14ac:dyDescent="0.3">
      <c r="A5" s="2" t="s">
        <v>37</v>
      </c>
      <c r="C5" s="18" t="s">
        <v>65</v>
      </c>
    </row>
    <row r="6" spans="1:3" ht="20.100000000000001" customHeight="1" thickBot="1" x14ac:dyDescent="0.3">
      <c r="A6" s="2" t="s">
        <v>38</v>
      </c>
      <c r="C6" s="18" t="s">
        <v>66</v>
      </c>
    </row>
    <row r="7" spans="1:3" ht="20.100000000000001" customHeight="1" thickBot="1" x14ac:dyDescent="0.3">
      <c r="A7" s="2" t="s">
        <v>39</v>
      </c>
      <c r="C7" s="18" t="s">
        <v>67</v>
      </c>
    </row>
    <row r="8" spans="1:3" ht="20.100000000000001" customHeight="1" thickBot="1" x14ac:dyDescent="0.3">
      <c r="A8" s="2" t="s">
        <v>40</v>
      </c>
      <c r="C8" s="18" t="s">
        <v>68</v>
      </c>
    </row>
    <row r="9" spans="1:3" ht="20.100000000000001" customHeight="1" thickBot="1" x14ac:dyDescent="0.3">
      <c r="A9" s="2" t="s">
        <v>41</v>
      </c>
      <c r="C9" s="18" t="s">
        <v>69</v>
      </c>
    </row>
    <row r="10" spans="1:3" ht="20.100000000000001" customHeight="1" thickBot="1" x14ac:dyDescent="0.3">
      <c r="A10" s="2" t="s">
        <v>42</v>
      </c>
      <c r="C10" s="18" t="s">
        <v>70</v>
      </c>
    </row>
    <row r="11" spans="1:3" ht="20.100000000000001" customHeight="1" thickBot="1" x14ac:dyDescent="0.3">
      <c r="A11" s="2" t="s">
        <v>43</v>
      </c>
      <c r="C11" s="18" t="s">
        <v>71</v>
      </c>
    </row>
    <row r="12" spans="1:3" ht="20.100000000000001" customHeight="1" thickBot="1" x14ac:dyDescent="0.3">
      <c r="A12" s="2" t="s">
        <v>44</v>
      </c>
      <c r="C12" s="18" t="s">
        <v>72</v>
      </c>
    </row>
    <row r="13" spans="1:3" ht="20.100000000000001" customHeight="1" thickBot="1" x14ac:dyDescent="0.3">
      <c r="A13" s="2" t="s">
        <v>45</v>
      </c>
      <c r="C13" s="18" t="s">
        <v>73</v>
      </c>
    </row>
    <row r="14" spans="1:3" ht="20.100000000000001" customHeight="1" thickBot="1" x14ac:dyDescent="0.3">
      <c r="A14" s="2" t="s">
        <v>46</v>
      </c>
      <c r="C14" s="18" t="s">
        <v>74</v>
      </c>
    </row>
    <row r="15" spans="1:3" ht="20.100000000000001" customHeight="1" thickBot="1" x14ac:dyDescent="0.3">
      <c r="A15" s="2" t="s">
        <v>47</v>
      </c>
      <c r="C15" s="18" t="s">
        <v>75</v>
      </c>
    </row>
    <row r="16" spans="1:3" ht="20.100000000000001" customHeight="1" thickBot="1" x14ac:dyDescent="0.3">
      <c r="A16" s="2" t="s">
        <v>10</v>
      </c>
      <c r="C16" s="18" t="s">
        <v>76</v>
      </c>
    </row>
    <row r="17" spans="1:3" ht="20.100000000000001" customHeight="1" thickBot="1" x14ac:dyDescent="0.3">
      <c r="A17" s="2" t="s">
        <v>27</v>
      </c>
      <c r="C17" s="18" t="s">
        <v>77</v>
      </c>
    </row>
    <row r="18" spans="1:3" ht="20.100000000000001" customHeight="1" thickBot="1" x14ac:dyDescent="0.3">
      <c r="A18" s="2" t="s">
        <v>48</v>
      </c>
      <c r="C18" s="18" t="s">
        <v>78</v>
      </c>
    </row>
    <row r="19" spans="1:3" ht="20.100000000000001" customHeight="1" thickBot="1" x14ac:dyDescent="0.3">
      <c r="A19" s="2" t="s">
        <v>49</v>
      </c>
      <c r="C19" s="18" t="s">
        <v>79</v>
      </c>
    </row>
    <row r="20" spans="1:3" ht="20.100000000000001" customHeight="1" thickBot="1" x14ac:dyDescent="0.3">
      <c r="A20" s="2" t="s">
        <v>50</v>
      </c>
      <c r="C20" s="18" t="s">
        <v>80</v>
      </c>
    </row>
    <row r="21" spans="1:3" ht="20.100000000000001" customHeight="1" thickBot="1" x14ac:dyDescent="0.3">
      <c r="A21" s="2" t="s">
        <v>51</v>
      </c>
      <c r="C21" s="18" t="s">
        <v>81</v>
      </c>
    </row>
    <row r="22" spans="1:3" ht="20.100000000000001" customHeight="1" thickBot="1" x14ac:dyDescent="0.3">
      <c r="A22" s="2" t="s">
        <v>11</v>
      </c>
      <c r="C22" s="18" t="s">
        <v>82</v>
      </c>
    </row>
    <row r="23" spans="1:3" ht="20.100000000000001" customHeight="1" thickBot="1" x14ac:dyDescent="0.3">
      <c r="A23" s="2" t="s">
        <v>12</v>
      </c>
      <c r="C23" s="18" t="s">
        <v>83</v>
      </c>
    </row>
    <row r="24" spans="1:3" ht="20.100000000000001" customHeight="1" thickBot="1" x14ac:dyDescent="0.3">
      <c r="A24" s="2" t="s">
        <v>15</v>
      </c>
      <c r="C24" s="18" t="s">
        <v>84</v>
      </c>
    </row>
    <row r="25" spans="1:3" ht="20.100000000000001" customHeight="1" thickBot="1" x14ac:dyDescent="0.3">
      <c r="A25" s="2" t="s">
        <v>28</v>
      </c>
      <c r="C25" s="18" t="s">
        <v>85</v>
      </c>
    </row>
    <row r="26" spans="1:3" ht="20.100000000000001" customHeight="1" thickBot="1" x14ac:dyDescent="0.3">
      <c r="A26" s="2" t="s">
        <v>29</v>
      </c>
      <c r="C26" s="18" t="s">
        <v>86</v>
      </c>
    </row>
    <row r="27" spans="1:3" ht="20.100000000000001" customHeight="1" thickBot="1" x14ac:dyDescent="0.3">
      <c r="A27" s="2" t="s">
        <v>13</v>
      </c>
      <c r="C27" s="18" t="s">
        <v>87</v>
      </c>
    </row>
    <row r="28" spans="1:3" ht="20.100000000000001" customHeight="1" thickBot="1" x14ac:dyDescent="0.3">
      <c r="A28" s="2" t="s">
        <v>30</v>
      </c>
      <c r="C28" s="18" t="s">
        <v>88</v>
      </c>
    </row>
    <row r="29" spans="1:3" ht="20.100000000000001" customHeight="1" thickBot="1" x14ac:dyDescent="0.3">
      <c r="A29" s="2" t="s">
        <v>31</v>
      </c>
      <c r="C29" s="18" t="s">
        <v>177</v>
      </c>
    </row>
    <row r="30" spans="1:3" ht="20.100000000000001" customHeight="1" thickBot="1" x14ac:dyDescent="0.3">
      <c r="A30" s="2" t="s">
        <v>32</v>
      </c>
      <c r="C30" s="18" t="s">
        <v>178</v>
      </c>
    </row>
    <row r="31" spans="1:3" ht="20.100000000000001" customHeight="1" thickBot="1" x14ac:dyDescent="0.3">
      <c r="A31" s="2" t="s">
        <v>33</v>
      </c>
      <c r="C31" s="18" t="s">
        <v>179</v>
      </c>
    </row>
    <row r="32" spans="1:3" ht="20.100000000000001" customHeight="1" thickBot="1" x14ac:dyDescent="0.3">
      <c r="A32" s="2" t="s">
        <v>16</v>
      </c>
      <c r="C32" s="18"/>
    </row>
    <row r="33" spans="1:9" ht="20.100000000000001" customHeight="1" thickBot="1" x14ac:dyDescent="0.3">
      <c r="A33" s="2" t="s">
        <v>14</v>
      </c>
      <c r="C33" s="18"/>
    </row>
    <row r="34" spans="1:9" ht="20.100000000000001" customHeight="1" thickBot="1" x14ac:dyDescent="0.3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2">
        <v>45901</v>
      </c>
    </row>
    <row r="40" spans="1:9" ht="20.100000000000001" customHeight="1" thickBot="1" x14ac:dyDescent="0.3">
      <c r="A40" s="12">
        <v>45902</v>
      </c>
    </row>
    <row r="41" spans="1:9" ht="20.100000000000001" customHeight="1" thickBot="1" x14ac:dyDescent="0.3">
      <c r="A41" s="12">
        <v>45903</v>
      </c>
    </row>
    <row r="42" spans="1:9" ht="20.100000000000001" customHeight="1" thickBot="1" x14ac:dyDescent="0.3">
      <c r="A42" s="12">
        <v>45904</v>
      </c>
    </row>
    <row r="43" spans="1:9" ht="20.100000000000001" customHeight="1" thickBot="1" x14ac:dyDescent="0.3">
      <c r="A43" s="12">
        <v>45905</v>
      </c>
    </row>
    <row r="44" spans="1:9" ht="20.100000000000001" customHeight="1" thickBot="1" x14ac:dyDescent="0.3">
      <c r="A44" s="12">
        <v>45906</v>
      </c>
    </row>
    <row r="45" spans="1:9" ht="20.100000000000001" customHeight="1" thickBot="1" x14ac:dyDescent="0.3">
      <c r="A45" s="12">
        <v>45907</v>
      </c>
    </row>
    <row r="46" spans="1:9" ht="20.100000000000001" customHeight="1" thickBot="1" x14ac:dyDescent="0.3">
      <c r="A46" s="12">
        <v>45908</v>
      </c>
    </row>
    <row r="47" spans="1:9" ht="20.100000000000001" customHeight="1" thickBot="1" x14ac:dyDescent="0.3">
      <c r="A47" s="12">
        <v>45909</v>
      </c>
    </row>
    <row r="48" spans="1:9" ht="20.100000000000001" customHeight="1" thickBot="1" x14ac:dyDescent="0.3">
      <c r="A48" s="12">
        <v>45910</v>
      </c>
    </row>
    <row r="49" spans="1:1" ht="20.100000000000001" customHeight="1" thickBot="1" x14ac:dyDescent="0.3">
      <c r="A49" s="12">
        <v>45911</v>
      </c>
    </row>
    <row r="50" spans="1:1" ht="20.100000000000001" customHeight="1" thickBot="1" x14ac:dyDescent="0.3">
      <c r="A50" s="12">
        <v>45912</v>
      </c>
    </row>
    <row r="51" spans="1:1" ht="20.100000000000001" customHeight="1" thickBot="1" x14ac:dyDescent="0.3">
      <c r="A51" s="12">
        <v>45913</v>
      </c>
    </row>
    <row r="52" spans="1:1" ht="20.100000000000001" customHeight="1" thickBot="1" x14ac:dyDescent="0.3">
      <c r="A52" s="12">
        <v>45914</v>
      </c>
    </row>
    <row r="53" spans="1:1" ht="20.100000000000001" customHeight="1" thickBot="1" x14ac:dyDescent="0.3">
      <c r="A53" s="12">
        <v>45915</v>
      </c>
    </row>
    <row r="54" spans="1:1" ht="20.100000000000001" customHeight="1" thickBot="1" x14ac:dyDescent="0.3">
      <c r="A54" s="12">
        <v>45916</v>
      </c>
    </row>
    <row r="55" spans="1:1" ht="20.100000000000001" customHeight="1" thickBot="1" x14ac:dyDescent="0.3">
      <c r="A55" s="12">
        <v>45917</v>
      </c>
    </row>
    <row r="56" spans="1:1" ht="20.100000000000001" customHeight="1" thickBot="1" x14ac:dyDescent="0.3">
      <c r="A56" s="12">
        <v>45918</v>
      </c>
    </row>
    <row r="57" spans="1:1" ht="20.100000000000001" customHeight="1" thickBot="1" x14ac:dyDescent="0.3">
      <c r="A57" s="12">
        <v>45919</v>
      </c>
    </row>
    <row r="58" spans="1:1" ht="20.100000000000001" customHeight="1" thickBot="1" x14ac:dyDescent="0.3">
      <c r="A58" s="12">
        <v>45920</v>
      </c>
    </row>
    <row r="59" spans="1:1" ht="20.100000000000001" customHeight="1" thickBot="1" x14ac:dyDescent="0.3">
      <c r="A59" s="12">
        <v>45921</v>
      </c>
    </row>
    <row r="60" spans="1:1" ht="20.100000000000001" customHeight="1" thickBot="1" x14ac:dyDescent="0.3">
      <c r="A60" s="12">
        <v>45922</v>
      </c>
    </row>
    <row r="61" spans="1:1" ht="20.100000000000001" customHeight="1" thickBot="1" x14ac:dyDescent="0.3">
      <c r="A61" s="12">
        <v>45923</v>
      </c>
    </row>
    <row r="62" spans="1:1" ht="20.100000000000001" customHeight="1" thickBot="1" x14ac:dyDescent="0.3">
      <c r="A62" s="12">
        <v>45924</v>
      </c>
    </row>
    <row r="63" spans="1:1" ht="20.100000000000001" customHeight="1" thickBot="1" x14ac:dyDescent="0.3">
      <c r="A63" s="12">
        <v>45925</v>
      </c>
    </row>
    <row r="64" spans="1:1" ht="20.100000000000001" customHeight="1" thickBot="1" x14ac:dyDescent="0.3">
      <c r="A64" s="12">
        <v>45926</v>
      </c>
    </row>
    <row r="65" spans="1:1" ht="20.100000000000001" customHeight="1" thickBot="1" x14ac:dyDescent="0.3">
      <c r="A65" s="12">
        <v>45927</v>
      </c>
    </row>
    <row r="66" spans="1:1" ht="20.100000000000001" customHeight="1" thickBot="1" x14ac:dyDescent="0.3">
      <c r="A66" s="12">
        <v>45928</v>
      </c>
    </row>
    <row r="67" spans="1:1" ht="20.100000000000001" customHeight="1" thickBot="1" x14ac:dyDescent="0.3">
      <c r="A67" s="12">
        <v>45929</v>
      </c>
    </row>
    <row r="68" spans="1:1" ht="20.100000000000001" customHeight="1" thickBot="1" x14ac:dyDescent="0.3">
      <c r="A68" s="12">
        <v>45930</v>
      </c>
    </row>
    <row r="69" spans="1:1" ht="20.100000000000001" customHeight="1" thickBot="1" x14ac:dyDescent="0.3">
      <c r="A69" s="12">
        <v>45931</v>
      </c>
    </row>
    <row r="70" spans="1:1" ht="20.100000000000001" customHeight="1" thickBot="1" x14ac:dyDescent="0.3">
      <c r="A70" s="12">
        <v>45932</v>
      </c>
    </row>
    <row r="71" spans="1:1" ht="20.100000000000001" customHeight="1" thickBot="1" x14ac:dyDescent="0.3">
      <c r="A71" s="12">
        <v>45933</v>
      </c>
    </row>
    <row r="72" spans="1:1" ht="20.100000000000001" customHeight="1" thickBot="1" x14ac:dyDescent="0.3">
      <c r="A72" s="12">
        <v>45934</v>
      </c>
    </row>
    <row r="73" spans="1:1" ht="20.100000000000001" customHeight="1" thickBot="1" x14ac:dyDescent="0.3">
      <c r="A73" s="12">
        <v>45935</v>
      </c>
    </row>
    <row r="74" spans="1:1" ht="20.100000000000001" customHeight="1" thickBot="1" x14ac:dyDescent="0.3">
      <c r="A74" s="12">
        <v>45936</v>
      </c>
    </row>
    <row r="75" spans="1:1" ht="20.100000000000001" customHeight="1" thickBot="1" x14ac:dyDescent="0.3">
      <c r="A75" s="12">
        <v>45937</v>
      </c>
    </row>
    <row r="76" spans="1:1" ht="20.100000000000001" customHeight="1" thickBot="1" x14ac:dyDescent="0.3">
      <c r="A76" s="12">
        <v>45938</v>
      </c>
    </row>
    <row r="77" spans="1:1" ht="20.100000000000001" customHeight="1" thickBot="1" x14ac:dyDescent="0.3">
      <c r="A77" s="12">
        <v>45939</v>
      </c>
    </row>
    <row r="78" spans="1:1" ht="20.100000000000001" customHeight="1" thickBot="1" x14ac:dyDescent="0.3">
      <c r="A78" s="12">
        <v>45940</v>
      </c>
    </row>
    <row r="79" spans="1:1" ht="20.100000000000001" customHeight="1" thickBot="1" x14ac:dyDescent="0.3">
      <c r="A79" s="12">
        <v>45941</v>
      </c>
    </row>
    <row r="80" spans="1:1" ht="20.100000000000001" customHeight="1" thickBot="1" x14ac:dyDescent="0.3">
      <c r="A80" s="12">
        <v>45942</v>
      </c>
    </row>
    <row r="81" spans="1:1" ht="20.100000000000001" customHeight="1" thickBot="1" x14ac:dyDescent="0.3">
      <c r="A81" s="12">
        <v>45943</v>
      </c>
    </row>
    <row r="82" spans="1:1" ht="20.100000000000001" customHeight="1" thickBot="1" x14ac:dyDescent="0.3">
      <c r="A82" s="12">
        <v>45944</v>
      </c>
    </row>
    <row r="83" spans="1:1" ht="20.100000000000001" customHeight="1" thickBot="1" x14ac:dyDescent="0.3">
      <c r="A83" s="12">
        <v>45945</v>
      </c>
    </row>
    <row r="84" spans="1:1" ht="20.100000000000001" customHeight="1" thickBot="1" x14ac:dyDescent="0.3">
      <c r="A84" s="12">
        <v>45946</v>
      </c>
    </row>
    <row r="85" spans="1:1" ht="20.100000000000001" customHeight="1" thickBot="1" x14ac:dyDescent="0.3">
      <c r="A85" s="12">
        <v>45947</v>
      </c>
    </row>
    <row r="86" spans="1:1" ht="20.100000000000001" customHeight="1" thickBot="1" x14ac:dyDescent="0.3">
      <c r="A86" s="12">
        <v>45948</v>
      </c>
    </row>
    <row r="87" spans="1:1" ht="20.100000000000001" customHeight="1" thickBot="1" x14ac:dyDescent="0.3">
      <c r="A87" s="12">
        <v>45949</v>
      </c>
    </row>
    <row r="88" spans="1:1" ht="20.100000000000001" customHeight="1" thickBot="1" x14ac:dyDescent="0.3">
      <c r="A88" s="12">
        <v>45950</v>
      </c>
    </row>
    <row r="89" spans="1:1" ht="20.100000000000001" customHeight="1" thickBot="1" x14ac:dyDescent="0.3">
      <c r="A89" s="12">
        <v>45951</v>
      </c>
    </row>
    <row r="90" spans="1:1" ht="20.100000000000001" customHeight="1" thickBot="1" x14ac:dyDescent="0.3">
      <c r="A90" s="12">
        <v>45952</v>
      </c>
    </row>
    <row r="91" spans="1:1" ht="20.100000000000001" customHeight="1" thickBot="1" x14ac:dyDescent="0.3">
      <c r="A91" s="12">
        <v>45953</v>
      </c>
    </row>
    <row r="92" spans="1:1" ht="20.100000000000001" customHeight="1" thickBot="1" x14ac:dyDescent="0.3">
      <c r="A92" s="12">
        <v>45954</v>
      </c>
    </row>
    <row r="93" spans="1:1" ht="20.100000000000001" customHeight="1" thickBot="1" x14ac:dyDescent="0.3">
      <c r="A93" s="12">
        <v>45955</v>
      </c>
    </row>
    <row r="94" spans="1:1" ht="20.100000000000001" customHeight="1" thickBot="1" x14ac:dyDescent="0.3">
      <c r="A94" s="12">
        <v>45956</v>
      </c>
    </row>
    <row r="95" spans="1:1" ht="20.100000000000001" customHeight="1" thickBot="1" x14ac:dyDescent="0.3">
      <c r="A95" s="12">
        <v>45957</v>
      </c>
    </row>
    <row r="96" spans="1:1" ht="20.100000000000001" customHeight="1" thickBot="1" x14ac:dyDescent="0.3">
      <c r="A96" s="12">
        <v>45958</v>
      </c>
    </row>
    <row r="97" spans="1:9" ht="20.100000000000001" customHeight="1" thickBot="1" x14ac:dyDescent="0.3">
      <c r="A97" s="12">
        <v>45959</v>
      </c>
    </row>
    <row r="98" spans="1:9" ht="20.100000000000001" customHeight="1" thickBot="1" x14ac:dyDescent="0.3">
      <c r="A98" s="12">
        <v>45960</v>
      </c>
    </row>
    <row r="99" spans="1:9" ht="20.100000000000001" customHeight="1" thickBot="1" x14ac:dyDescent="0.3">
      <c r="A99" s="12">
        <v>45961</v>
      </c>
    </row>
    <row r="100" spans="1:9" ht="20.100000000000001" customHeight="1" thickBot="1" x14ac:dyDescent="0.3">
      <c r="A100" s="12">
        <v>45962</v>
      </c>
    </row>
    <row r="101" spans="1:9" ht="20.100000000000001" customHeight="1" thickBot="1" x14ac:dyDescent="0.3">
      <c r="A101" s="12">
        <v>45963</v>
      </c>
    </row>
    <row r="102" spans="1:9" ht="20.100000000000001" customHeight="1" thickBot="1" x14ac:dyDescent="0.3">
      <c r="A102" s="12">
        <v>45964</v>
      </c>
    </row>
    <row r="103" spans="1:9" ht="20.100000000000001" customHeight="1" thickBot="1" x14ac:dyDescent="0.3">
      <c r="A103" s="12">
        <v>45965</v>
      </c>
    </row>
    <row r="104" spans="1:9" ht="20.100000000000001" customHeight="1" thickBot="1" x14ac:dyDescent="0.3">
      <c r="A104" s="12">
        <v>45966</v>
      </c>
    </row>
    <row r="105" spans="1:9" ht="20.100000000000001" customHeight="1" thickBot="1" x14ac:dyDescent="0.3">
      <c r="A105" s="12">
        <v>45967</v>
      </c>
    </row>
    <row r="106" spans="1:9" ht="20.100000000000001" customHeight="1" thickBot="1" x14ac:dyDescent="0.3">
      <c r="A106" s="12">
        <v>45968</v>
      </c>
    </row>
    <row r="107" spans="1:9" ht="20.100000000000001" customHeight="1" x14ac:dyDescent="0.2">
      <c r="A107" s="13"/>
    </row>
    <row r="108" spans="1:9" ht="20.100000000000001" customHeight="1" x14ac:dyDescent="0.2">
      <c r="A108" s="13"/>
    </row>
    <row r="109" spans="1:9" s="16" customFormat="1" ht="20.100000000000001" customHeight="1" x14ac:dyDescent="0.2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19" t="s">
        <v>89</v>
      </c>
    </row>
    <row r="200" spans="1:1" ht="20.100000000000001" customHeight="1" x14ac:dyDescent="0.2">
      <c r="A200" s="19" t="s">
        <v>90</v>
      </c>
    </row>
    <row r="201" spans="1:1" ht="20.100000000000001" customHeight="1" x14ac:dyDescent="0.2">
      <c r="A201" s="19" t="s">
        <v>91</v>
      </c>
    </row>
    <row r="202" spans="1:1" ht="20.100000000000001" customHeight="1" x14ac:dyDescent="0.2">
      <c r="A202" s="19" t="s">
        <v>92</v>
      </c>
    </row>
    <row r="203" spans="1:1" ht="20.100000000000001" customHeight="1" x14ac:dyDescent="0.2">
      <c r="A203" s="19" t="s">
        <v>93</v>
      </c>
    </row>
    <row r="204" spans="1:1" ht="20.100000000000001" customHeight="1" x14ac:dyDescent="0.2">
      <c r="A204" s="19" t="s">
        <v>94</v>
      </c>
    </row>
    <row r="205" spans="1:1" ht="20.100000000000001" customHeight="1" x14ac:dyDescent="0.2">
      <c r="A205" s="19" t="s">
        <v>95</v>
      </c>
    </row>
    <row r="206" spans="1:1" ht="20.100000000000001" customHeight="1" x14ac:dyDescent="0.2">
      <c r="A206" s="19" t="s">
        <v>96</v>
      </c>
    </row>
    <row r="207" spans="1:1" ht="20.100000000000001" customHeight="1" x14ac:dyDescent="0.2">
      <c r="A207" s="19" t="s">
        <v>97</v>
      </c>
    </row>
    <row r="208" spans="1:1" ht="20.100000000000001" customHeight="1" x14ac:dyDescent="0.2">
      <c r="A208" s="20" t="s">
        <v>98</v>
      </c>
    </row>
    <row r="209" spans="1:1" ht="20.100000000000001" customHeight="1" x14ac:dyDescent="0.2">
      <c r="A209" s="20" t="s">
        <v>99</v>
      </c>
    </row>
    <row r="210" spans="1:1" ht="20.100000000000001" customHeight="1" x14ac:dyDescent="0.2">
      <c r="A210" s="19" t="s">
        <v>100</v>
      </c>
    </row>
    <row r="211" spans="1:1" ht="20.100000000000001" customHeight="1" x14ac:dyDescent="0.2">
      <c r="A211" s="19" t="s">
        <v>101</v>
      </c>
    </row>
    <row r="212" spans="1:1" ht="20.100000000000001" customHeight="1" x14ac:dyDescent="0.2">
      <c r="A212" s="19" t="s">
        <v>175</v>
      </c>
    </row>
    <row r="213" spans="1:1" ht="20.100000000000001" customHeight="1" x14ac:dyDescent="0.2">
      <c r="A213" s="19" t="s">
        <v>102</v>
      </c>
    </row>
    <row r="214" spans="1:1" ht="20.100000000000001" customHeight="1" x14ac:dyDescent="0.2">
      <c r="A214" s="19" t="s">
        <v>103</v>
      </c>
    </row>
    <row r="215" spans="1:1" ht="20.100000000000001" customHeight="1" x14ac:dyDescent="0.2">
      <c r="A215" s="19" t="s">
        <v>104</v>
      </c>
    </row>
    <row r="216" spans="1:1" ht="20.100000000000001" customHeight="1" x14ac:dyDescent="0.2">
      <c r="A216" s="19" t="s">
        <v>105</v>
      </c>
    </row>
    <row r="217" spans="1:1" ht="20.100000000000001" customHeight="1" x14ac:dyDescent="0.2">
      <c r="A217" s="19" t="s">
        <v>106</v>
      </c>
    </row>
    <row r="218" spans="1:1" ht="20.100000000000001" customHeight="1" x14ac:dyDescent="0.2">
      <c r="A218" s="19" t="s">
        <v>107</v>
      </c>
    </row>
    <row r="219" spans="1:1" ht="20.100000000000001" customHeight="1" x14ac:dyDescent="0.2">
      <c r="A219" s="19" t="s">
        <v>108</v>
      </c>
    </row>
    <row r="220" spans="1:1" ht="20.100000000000001" customHeight="1" x14ac:dyDescent="0.2">
      <c r="A220" s="19" t="s">
        <v>109</v>
      </c>
    </row>
    <row r="221" spans="1:1" ht="20.100000000000001" customHeight="1" x14ac:dyDescent="0.2">
      <c r="A221" s="19" t="s">
        <v>110</v>
      </c>
    </row>
    <row r="222" spans="1:1" ht="20.100000000000001" customHeight="1" x14ac:dyDescent="0.2">
      <c r="A222" s="19" t="s">
        <v>111</v>
      </c>
    </row>
    <row r="223" spans="1:1" ht="20.100000000000001" customHeight="1" x14ac:dyDescent="0.2">
      <c r="A223" s="19" t="s">
        <v>112</v>
      </c>
    </row>
    <row r="224" spans="1:1" ht="20.100000000000001" customHeight="1" x14ac:dyDescent="0.2">
      <c r="A224" s="19" t="s">
        <v>176</v>
      </c>
    </row>
    <row r="225" spans="1:1" ht="20.100000000000001" customHeight="1" x14ac:dyDescent="0.2">
      <c r="A225" s="19" t="s">
        <v>113</v>
      </c>
    </row>
    <row r="226" spans="1:1" ht="20.100000000000001" customHeight="1" x14ac:dyDescent="0.2">
      <c r="A226" s="19" t="s">
        <v>114</v>
      </c>
    </row>
    <row r="227" spans="1:1" ht="20.100000000000001" customHeight="1" x14ac:dyDescent="0.2">
      <c r="A227" s="19" t="s">
        <v>115</v>
      </c>
    </row>
    <row r="228" spans="1:1" ht="20.100000000000001" customHeight="1" x14ac:dyDescent="0.2">
      <c r="A228" s="19" t="s">
        <v>116</v>
      </c>
    </row>
    <row r="229" spans="1:1" ht="20.100000000000001" customHeight="1" x14ac:dyDescent="0.2">
      <c r="A229" s="19" t="s">
        <v>117</v>
      </c>
    </row>
    <row r="230" spans="1:1" ht="20.100000000000001" customHeight="1" x14ac:dyDescent="0.2">
      <c r="A230" s="19" t="s">
        <v>118</v>
      </c>
    </row>
    <row r="231" spans="1:1" ht="20.100000000000001" customHeight="1" x14ac:dyDescent="0.2">
      <c r="A231" s="19" t="s">
        <v>119</v>
      </c>
    </row>
    <row r="232" spans="1:1" ht="20.100000000000001" customHeight="1" x14ac:dyDescent="0.2">
      <c r="A232" s="19" t="s">
        <v>120</v>
      </c>
    </row>
    <row r="233" spans="1:1" ht="20.100000000000001" customHeight="1" x14ac:dyDescent="0.2">
      <c r="A233" s="19" t="s">
        <v>121</v>
      </c>
    </row>
    <row r="234" spans="1:1" ht="20.100000000000001" customHeight="1" x14ac:dyDescent="0.2">
      <c r="A234" s="19" t="s">
        <v>122</v>
      </c>
    </row>
    <row r="235" spans="1:1" ht="20.100000000000001" customHeight="1" x14ac:dyDescent="0.2">
      <c r="A235" s="19" t="s">
        <v>123</v>
      </c>
    </row>
    <row r="236" spans="1:1" ht="20.100000000000001" customHeight="1" x14ac:dyDescent="0.2">
      <c r="A236" s="21" t="s">
        <v>124</v>
      </c>
    </row>
    <row r="237" spans="1:1" ht="20.100000000000001" customHeight="1" x14ac:dyDescent="0.2">
      <c r="A237" s="19" t="s">
        <v>125</v>
      </c>
    </row>
    <row r="238" spans="1:1" ht="20.100000000000001" customHeight="1" x14ac:dyDescent="0.2">
      <c r="A238" s="19" t="s">
        <v>126</v>
      </c>
    </row>
    <row r="239" spans="1:1" ht="20.100000000000001" customHeight="1" x14ac:dyDescent="0.2">
      <c r="A239" s="19" t="s">
        <v>127</v>
      </c>
    </row>
    <row r="240" spans="1:1" ht="20.100000000000001" customHeight="1" x14ac:dyDescent="0.2">
      <c r="A240" s="19" t="s">
        <v>128</v>
      </c>
    </row>
    <row r="241" spans="1:1" ht="20.100000000000001" customHeight="1" x14ac:dyDescent="0.2">
      <c r="A241" s="19" t="s">
        <v>129</v>
      </c>
    </row>
    <row r="242" spans="1:1" ht="20.100000000000001" customHeight="1" x14ac:dyDescent="0.2">
      <c r="A242" s="19" t="s">
        <v>130</v>
      </c>
    </row>
    <row r="243" spans="1:1" ht="20.100000000000001" customHeight="1" x14ac:dyDescent="0.2">
      <c r="A243" s="19" t="s">
        <v>131</v>
      </c>
    </row>
    <row r="244" spans="1:1" ht="20.100000000000001" customHeight="1" x14ac:dyDescent="0.2">
      <c r="A244" s="19" t="s">
        <v>132</v>
      </c>
    </row>
    <row r="245" spans="1:1" ht="20.100000000000001" customHeight="1" x14ac:dyDescent="0.2">
      <c r="A245" s="19" t="s">
        <v>133</v>
      </c>
    </row>
    <row r="246" spans="1:1" ht="20.100000000000001" customHeight="1" x14ac:dyDescent="0.2">
      <c r="A246" s="19" t="s">
        <v>134</v>
      </c>
    </row>
    <row r="247" spans="1:1" ht="20.100000000000001" customHeight="1" x14ac:dyDescent="0.2">
      <c r="A247" s="19" t="s">
        <v>135</v>
      </c>
    </row>
    <row r="248" spans="1:1" ht="20.100000000000001" customHeight="1" x14ac:dyDescent="0.2">
      <c r="A248" s="19" t="s">
        <v>126</v>
      </c>
    </row>
    <row r="249" spans="1:1" ht="20.100000000000001" customHeight="1" x14ac:dyDescent="0.2">
      <c r="A249" s="19" t="s">
        <v>136</v>
      </c>
    </row>
    <row r="250" spans="1:1" ht="20.100000000000001" customHeight="1" x14ac:dyDescent="0.2">
      <c r="A250" s="19" t="s">
        <v>137</v>
      </c>
    </row>
    <row r="251" spans="1:1" ht="20.100000000000001" customHeight="1" x14ac:dyDescent="0.2">
      <c r="A251" s="21" t="s">
        <v>138</v>
      </c>
    </row>
    <row r="252" spans="1:1" ht="20.100000000000001" customHeight="1" x14ac:dyDescent="0.2">
      <c r="A252" s="22" t="s">
        <v>139</v>
      </c>
    </row>
    <row r="253" spans="1:1" ht="20.100000000000001" customHeight="1" x14ac:dyDescent="0.2">
      <c r="A253" s="19" t="s">
        <v>140</v>
      </c>
    </row>
    <row r="254" spans="1:1" ht="20.100000000000001" customHeight="1" x14ac:dyDescent="0.2">
      <c r="A254" s="19" t="s">
        <v>141</v>
      </c>
    </row>
    <row r="255" spans="1:1" ht="20.100000000000001" customHeight="1" x14ac:dyDescent="0.2">
      <c r="A255" s="23" t="s">
        <v>142</v>
      </c>
    </row>
    <row r="256" spans="1:1" ht="20.100000000000001" customHeight="1" x14ac:dyDescent="0.2">
      <c r="A256" s="23" t="s">
        <v>143</v>
      </c>
    </row>
    <row r="257" spans="1:1" ht="20.100000000000001" customHeight="1" x14ac:dyDescent="0.2">
      <c r="A257" s="24" t="s">
        <v>144</v>
      </c>
    </row>
    <row r="258" spans="1:1" ht="20.100000000000001" customHeight="1" x14ac:dyDescent="0.2">
      <c r="A258" s="19" t="s">
        <v>145</v>
      </c>
    </row>
    <row r="259" spans="1:1" ht="20.100000000000001" customHeight="1" x14ac:dyDescent="0.2">
      <c r="A259" s="24" t="s">
        <v>146</v>
      </c>
    </row>
    <row r="260" spans="1:1" ht="20.100000000000001" customHeight="1" x14ac:dyDescent="0.2">
      <c r="A260" s="19" t="s">
        <v>147</v>
      </c>
    </row>
    <row r="261" spans="1:1" ht="20.100000000000001" customHeight="1" x14ac:dyDescent="0.2">
      <c r="A261" s="24" t="s">
        <v>148</v>
      </c>
    </row>
    <row r="262" spans="1:1" ht="20.100000000000001" customHeight="1" x14ac:dyDescent="0.2">
      <c r="A262" s="19" t="s">
        <v>149</v>
      </c>
    </row>
    <row r="263" spans="1:1" ht="20.100000000000001" customHeight="1" x14ac:dyDescent="0.2">
      <c r="A263" s="19" t="s">
        <v>150</v>
      </c>
    </row>
    <row r="264" spans="1:1" ht="20.100000000000001" customHeight="1" x14ac:dyDescent="0.2">
      <c r="A264" s="24" t="s">
        <v>151</v>
      </c>
    </row>
    <row r="265" spans="1:1" ht="20.100000000000001" customHeight="1" x14ac:dyDescent="0.2">
      <c r="A265" s="24" t="s">
        <v>152</v>
      </c>
    </row>
    <row r="266" spans="1:1" ht="20.100000000000001" customHeight="1" x14ac:dyDescent="0.2">
      <c r="A266" s="24" t="s">
        <v>153</v>
      </c>
    </row>
    <row r="267" spans="1:1" ht="20.100000000000001" customHeight="1" x14ac:dyDescent="0.2">
      <c r="A267" s="19" t="s">
        <v>154</v>
      </c>
    </row>
    <row r="268" spans="1:1" ht="20.100000000000001" customHeight="1" x14ac:dyDescent="0.2">
      <c r="A268" s="19" t="s">
        <v>155</v>
      </c>
    </row>
    <row r="269" spans="1:1" ht="20.100000000000001" customHeight="1" x14ac:dyDescent="0.2">
      <c r="A269" s="19" t="s">
        <v>156</v>
      </c>
    </row>
    <row r="270" spans="1:1" ht="20.100000000000001" customHeight="1" x14ac:dyDescent="0.2">
      <c r="A270" s="19" t="s">
        <v>157</v>
      </c>
    </row>
    <row r="271" spans="1:1" ht="20.100000000000001" customHeight="1" x14ac:dyDescent="0.2">
      <c r="A271" s="24" t="s">
        <v>158</v>
      </c>
    </row>
    <row r="272" spans="1:1" ht="20.100000000000001" customHeight="1" x14ac:dyDescent="0.2">
      <c r="A272" s="24" t="s">
        <v>159</v>
      </c>
    </row>
    <row r="273" spans="1:1" ht="20.100000000000001" customHeight="1" x14ac:dyDescent="0.2">
      <c r="A273" s="19" t="s">
        <v>160</v>
      </c>
    </row>
    <row r="274" spans="1:1" ht="20.100000000000001" customHeight="1" x14ac:dyDescent="0.2">
      <c r="A274" s="24" t="s">
        <v>161</v>
      </c>
    </row>
    <row r="275" spans="1:1" ht="20.100000000000001" customHeight="1" x14ac:dyDescent="0.2">
      <c r="A275" s="24" t="s">
        <v>162</v>
      </c>
    </row>
    <row r="276" spans="1:1" ht="20.100000000000001" customHeight="1" x14ac:dyDescent="0.2">
      <c r="A276" s="19" t="s">
        <v>163</v>
      </c>
    </row>
    <row r="277" spans="1:1" ht="20.100000000000001" customHeight="1" x14ac:dyDescent="0.2">
      <c r="A277" s="19" t="s">
        <v>164</v>
      </c>
    </row>
    <row r="278" spans="1:1" ht="20.100000000000001" customHeight="1" x14ac:dyDescent="0.2">
      <c r="A278" s="24" t="s">
        <v>165</v>
      </c>
    </row>
    <row r="279" spans="1:1" ht="20.100000000000001" customHeight="1" x14ac:dyDescent="0.2">
      <c r="A279" s="19" t="s">
        <v>166</v>
      </c>
    </row>
    <row r="280" spans="1:1" ht="20.100000000000001" customHeight="1" x14ac:dyDescent="0.2">
      <c r="A280" s="19" t="s">
        <v>167</v>
      </c>
    </row>
    <row r="281" spans="1:1" ht="20.100000000000001" customHeight="1" x14ac:dyDescent="0.2">
      <c r="A281" s="19" t="s">
        <v>168</v>
      </c>
    </row>
    <row r="282" spans="1:1" ht="20.100000000000001" customHeight="1" x14ac:dyDescent="0.2">
      <c r="A282" s="19" t="s">
        <v>169</v>
      </c>
    </row>
    <row r="283" spans="1:1" ht="20.100000000000001" customHeight="1" x14ac:dyDescent="0.2">
      <c r="A283" s="24" t="s">
        <v>170</v>
      </c>
    </row>
    <row r="284" spans="1:1" ht="20.100000000000001" customHeight="1" x14ac:dyDescent="0.2">
      <c r="A284" s="24" t="s">
        <v>171</v>
      </c>
    </row>
    <row r="285" spans="1:1" ht="20.100000000000001" customHeight="1" x14ac:dyDescent="0.2">
      <c r="A285" s="24" t="s">
        <v>172</v>
      </c>
    </row>
    <row r="286" spans="1:1" ht="20.100000000000001" customHeight="1" thickBot="1" x14ac:dyDescent="0.25">
      <c r="A286" s="19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2025-09-22T05:36:07Z</dcterms:modified>
</cp:coreProperties>
</file>