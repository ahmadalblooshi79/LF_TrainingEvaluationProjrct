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30EE996-2157-4182-94D5-828D2A6418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التقييم'!$A$1:$J$118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7" i="2"/>
  <c r="H17" i="2"/>
  <c r="G18" i="2"/>
  <c r="H18" i="2"/>
  <c r="G19" i="2"/>
  <c r="H19" i="2"/>
  <c r="G20" i="2"/>
  <c r="H20" i="2"/>
  <c r="G21" i="2"/>
  <c r="H21" i="2"/>
  <c r="G22" i="2"/>
  <c r="H22" i="2"/>
  <c r="G24" i="2"/>
  <c r="H24" i="2" s="1"/>
  <c r="G25" i="2"/>
  <c r="H25" i="2"/>
  <c r="G26" i="2"/>
  <c r="H26" i="2"/>
  <c r="G27" i="2"/>
  <c r="H27" i="2" s="1"/>
  <c r="G29" i="2"/>
  <c r="H29" i="2" s="1"/>
  <c r="G30" i="2"/>
  <c r="H30" i="2"/>
  <c r="G31" i="2"/>
  <c r="H31" i="2"/>
  <c r="G32" i="2"/>
  <c r="H32" i="2" s="1"/>
  <c r="G33" i="2"/>
  <c r="H33" i="2" s="1"/>
  <c r="G34" i="2"/>
  <c r="H34" i="2"/>
  <c r="G35" i="2"/>
  <c r="H35" i="2" s="1"/>
  <c r="G36" i="2"/>
  <c r="H36" i="2" s="1"/>
  <c r="G38" i="2"/>
  <c r="H38" i="2" s="1"/>
  <c r="G39" i="2"/>
  <c r="H39" i="2" s="1"/>
  <c r="G40" i="2"/>
  <c r="H40" i="2"/>
  <c r="G41" i="2"/>
  <c r="H41" i="2"/>
  <c r="G42" i="2"/>
  <c r="H42" i="2"/>
  <c r="G43" i="2"/>
  <c r="H43" i="2"/>
  <c r="G44" i="2"/>
  <c r="H44" i="2" s="1"/>
  <c r="G45" i="2"/>
  <c r="G46" i="2"/>
  <c r="H46" i="2"/>
  <c r="G47" i="2"/>
  <c r="H47" i="2"/>
  <c r="G48" i="2"/>
  <c r="H48" i="2"/>
  <c r="G49" i="2"/>
  <c r="H49" i="2" s="1"/>
  <c r="G50" i="2"/>
  <c r="G51" i="2"/>
  <c r="H51" i="2"/>
  <c r="G53" i="2"/>
  <c r="H53" i="2" s="1"/>
  <c r="G54" i="2"/>
  <c r="H54" i="2"/>
  <c r="G55" i="2"/>
  <c r="H55" i="2"/>
  <c r="G56" i="2"/>
  <c r="H56" i="2" s="1"/>
  <c r="G57" i="2"/>
  <c r="H57" i="2"/>
  <c r="G58" i="2"/>
  <c r="H58" i="2" s="1"/>
  <c r="G59" i="2"/>
  <c r="H59" i="2" s="1"/>
  <c r="G60" i="2"/>
  <c r="H60" i="2"/>
  <c r="G61" i="2"/>
  <c r="H61" i="2"/>
  <c r="G62" i="2"/>
  <c r="H62" i="2"/>
  <c r="G63" i="2"/>
  <c r="H63" i="2" s="1"/>
  <c r="G64" i="2"/>
  <c r="H64" i="2" s="1"/>
  <c r="G65" i="2"/>
  <c r="G66" i="2"/>
  <c r="H66" i="2" s="1"/>
  <c r="G67" i="2"/>
  <c r="H67" i="2"/>
  <c r="G68" i="2"/>
  <c r="H68" i="2"/>
  <c r="G70" i="2"/>
  <c r="H70" i="2"/>
  <c r="G71" i="2"/>
  <c r="G72" i="2"/>
  <c r="H72" i="2"/>
  <c r="G73" i="2"/>
  <c r="H73" i="2" s="1"/>
  <c r="G74" i="2"/>
  <c r="H74" i="2" s="1"/>
  <c r="G90" i="2"/>
  <c r="H90" i="2"/>
  <c r="G91" i="2"/>
  <c r="H91" i="2"/>
  <c r="G92" i="2"/>
  <c r="H92" i="2"/>
  <c r="G93" i="2"/>
  <c r="H93" i="2"/>
  <c r="G94" i="2"/>
  <c r="H94" i="2"/>
  <c r="G95" i="2"/>
  <c r="H95" i="2"/>
  <c r="G97" i="2"/>
  <c r="H97" i="2" s="1"/>
  <c r="G98" i="2"/>
  <c r="H98" i="2"/>
  <c r="G99" i="2"/>
  <c r="H99" i="2" s="1"/>
  <c r="G101" i="2"/>
  <c r="H101" i="2"/>
  <c r="G102" i="2"/>
  <c r="H102" i="2" s="1"/>
  <c r="G103" i="2"/>
  <c r="H103" i="2"/>
  <c r="G105" i="2"/>
  <c r="H105" i="2"/>
  <c r="G106" i="2"/>
  <c r="H106" i="2" s="1"/>
  <c r="G108" i="2"/>
  <c r="H108" i="2"/>
  <c r="G109" i="2"/>
  <c r="H109" i="2"/>
  <c r="G110" i="2"/>
  <c r="H110" i="2"/>
  <c r="G111" i="2"/>
  <c r="H111" i="2"/>
  <c r="G112" i="2"/>
  <c r="H112" i="2" s="1"/>
  <c r="G113" i="2"/>
  <c r="H113" i="2" s="1"/>
  <c r="F114" i="2"/>
  <c r="E114" i="2"/>
  <c r="E115" i="2" l="1"/>
  <c r="E116" i="2" s="1"/>
</calcChain>
</file>

<file path=xl/sharedStrings.xml><?xml version="1.0" encoding="utf-8"?>
<sst xmlns="http://schemas.openxmlformats.org/spreadsheetml/2006/main" count="343" uniqueCount="287">
  <si>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</si>
  <si>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</si>
  <si>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</si>
  <si>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</si>
  <si>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</si>
  <si>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</si>
  <si>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</si>
  <si>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</si>
  <si>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</si>
  <si>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</si>
  <si>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</si>
  <si>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</si>
  <si>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</si>
  <si>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</si>
  <si>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</si>
  <si>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</si>
  <si>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</si>
  <si>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</si>
  <si>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</si>
  <si>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</si>
  <si>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</si>
  <si>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</si>
  <si>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</si>
  <si>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</si>
  <si>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</si>
  <si>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</si>
  <si>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</si>
  <si>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</si>
  <si>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</si>
  <si>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</si>
  <si>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</si>
  <si>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</si>
  <si>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</si>
  <si>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</si>
  <si>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</si>
  <si>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</si>
  <si>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</si>
  <si>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</si>
  <si>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</si>
  <si>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</si>
  <si>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</si>
  <si>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</si>
  <si>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</si>
  <si>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</si>
  <si>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</si>
  <si>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</si>
  <si>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</si>
  <si>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</si>
  <si>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</si>
  <si>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</si>
  <si>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</si>
  <si>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</si>
  <si>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</si>
  <si>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</si>
  <si>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</si>
  <si>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</si>
  <si>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</si>
  <si>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</si>
  <si>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</si>
  <si>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</si>
  <si>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</si>
  <si>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</si>
  <si>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</si>
  <si>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</si>
  <si>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</si>
  <si>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</si>
  <si>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</si>
  <si>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</si>
  <si>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</si>
  <si>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</si>
  <si>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</si>
  <si>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</si>
  <si>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</si>
  <si>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</si>
  <si>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</si>
  <si>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</si>
  <si>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</si>
  <si>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</si>
  <si>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</si>
  <si>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</si>
  <si>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</si>
  <si>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</si>
  <si>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</si>
  <si>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</si>
  <si>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</si>
  <si>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</si>
  <si>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</si>
  <si>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</si>
  <si>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</si>
  <si>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</si>
  <si>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</si>
  <si>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</si>
  <si>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</si>
  <si>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</si>
  <si>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</si>
  <si>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</si>
  <si>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</si>
  <si>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</si>
  <si>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</si>
  <si>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</si>
  <si>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</si>
  <si>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</si>
  <si>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</si>
  <si>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</si>
  <si>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</si>
  <si>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</si>
  <si>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</si>
  <si>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</si>
  <si>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</si>
  <si>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</si>
  <si>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</si>
  <si>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</si>
  <si>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</si>
  <si>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</si>
  <si>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</si>
  <si>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</si>
  <si>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</si>
  <si>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</si>
  <si>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</si>
  <si>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</si>
  <si>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</si>
  <si>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</si>
  <si>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</si>
  <si>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</si>
  <si>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</si>
  <si>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</si>
  <si>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</si>
  <si>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</si>
  <si>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</si>
  <si>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</si>
  <si>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</si>
  <si>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</si>
  <si>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</si>
  <si>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</si>
  <si>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</si>
  <si>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</si>
  <si>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</si>
  <si>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</si>
  <si>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</si>
  <si>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</si>
  <si>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</si>
  <si>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</si>
  <si>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</si>
  <si>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</si>
  <si>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</si>
  <si>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</si>
  <si>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</si>
  <si>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</si>
  <si>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</si>
  <si>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</si>
  <si>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</si>
  <si>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</si>
  <si>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</si>
  <si>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</si>
  <si>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</si>
  <si>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</si>
  <si>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</si>
  <si>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</si>
  <si>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</si>
  <si>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</si>
  <si>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</si>
  <si>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</si>
  <si>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</si>
  <si>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</si>
  <si>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</si>
  <si>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</si>
  <si>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</si>
  <si>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</si>
  <si>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</si>
  <si>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</si>
  <si>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</si>
  <si>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</si>
  <si>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</si>
  <si>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</si>
  <si>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</si>
  <si>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</si>
  <si>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</si>
  <si>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</si>
  <si>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</si>
  <si>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</si>
  <si>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تقييم جاهزية الآليات ( أ ) لكتيبة المدفعية - تمرين جاهزية مجموعة لواء الإمارات/1 (جندي الصحراء 2025/20)
</t>
  </si>
  <si>
    <r>
      <t>السجلات والوثائق</t>
    </r>
    <r>
      <rPr>
        <b/>
        <sz val="12"/>
        <color rgb="FF000000"/>
        <rFont val="Arial"/>
        <family val="2"/>
      </rPr>
      <t>.</t>
    </r>
  </si>
  <si>
    <t>1. مدى استكمال المرتب من الآليات ونسبة الصلاحية.</t>
  </si>
  <si>
    <t>2. وجود كشف معتمد من القائد بالمرتب والموجود ونسبة الصلاحية للآليات.</t>
  </si>
  <si>
    <t>3. وجود وإدامة سجل تدوين إطلاق الذخائر من المدفع، الآلية، الراجمة.</t>
  </si>
  <si>
    <t>4. وجود وإدامة سجلات الصيانة الدورية لكل آلية.</t>
  </si>
  <si>
    <t>5. وجود تعليمات وإجراءات الصيانة الدورية واللوحات الإرشادية.</t>
  </si>
  <si>
    <t>6. وجود وإدامة السجلات الخاصة بكل آلية بواسطة الطاقم وتصديق الضابط المسئول بالإضافة لسندات الاستلام والتسليم وتصديقها وحفظها.</t>
  </si>
  <si>
    <t>7. وجود وإدامة سجل تسليم واستلام الآليات.</t>
  </si>
  <si>
    <r>
      <t>مجموعة الجسم</t>
    </r>
    <r>
      <rPr>
        <b/>
        <sz val="12"/>
        <color rgb="FF000000"/>
        <rFont val="Arial"/>
        <family val="2"/>
      </rPr>
      <t>.</t>
    </r>
  </si>
  <si>
    <t>8. التأكد من الفحص الداخلي والخارجي (النظافة، النواقص، الأضرار، الصبغ، إلخ...).</t>
  </si>
  <si>
    <t>9. الصلاحية العامة لمجموعة الجنزير وعجلات الدوران ونعل الجنزير ومسامير التثبيت للفقرات والرفارف.</t>
  </si>
  <si>
    <t>10. التأكد من صلاحية الإطارات ونظام ضغط الهواء ونفخ الإطارات.</t>
  </si>
  <si>
    <t>11. وجود صناديق العدة ومحتوياتها وصلاحية الطفاية اليدوية.</t>
  </si>
  <si>
    <t>12. التأكد من صلاحية مقاعد غرفة الطاقم والأبواب الخارجية.</t>
  </si>
  <si>
    <t>13. وجود وصلاحية أجهزة الرؤية (المراقيب، المناظير).</t>
  </si>
  <si>
    <r>
      <t>الزيوت / السوائل</t>
    </r>
    <r>
      <rPr>
        <sz val="12"/>
        <color rgb="FF000000"/>
        <rFont val="Arial"/>
        <family val="2"/>
      </rPr>
      <t>.</t>
    </r>
  </si>
  <si>
    <t>14. التأكد من مستـوى الزيـت / الماء (المحرك، نظام ناقل الحركـة، الفرامـل، المقــود، البطاريات، المبرد (RADIATOR)، عمود ناقل الحركة (DEFRATION، نظام الهيدروليك).</t>
  </si>
  <si>
    <t>15. التأكد من عدم تسرّب الزيت / الماء من الأجزاء.</t>
  </si>
  <si>
    <t>16. التقيد بتوقيتات تغيير الزيت / الماء.</t>
  </si>
  <si>
    <t>17. التأكد من التشحيم والتزييت.</t>
  </si>
  <si>
    <r>
      <t>مجموعة القوى.</t>
    </r>
    <r>
      <rPr>
        <sz val="12"/>
        <color rgb="FF000000"/>
        <rFont val="Arial"/>
        <family val="2"/>
      </rPr>
      <t xml:space="preserve">  يتم التأكد من الحالة العامة للاتي:</t>
    </r>
  </si>
  <si>
    <t>18. نظام المحرك.</t>
  </si>
  <si>
    <t>19. نظام ناقل الحركة.</t>
  </si>
  <si>
    <t>20. نظام التبريد.</t>
  </si>
  <si>
    <t>21. نظام الفرامل.</t>
  </si>
  <si>
    <t>22. نظام التوجيه.</t>
  </si>
  <si>
    <t xml:space="preserve">23. نظام الوقود. </t>
  </si>
  <si>
    <t>24. مولد الطاقة الرئيس / الإضافي.</t>
  </si>
  <si>
    <t>25. نظام العادم ونظام الهواء المضغوط.</t>
  </si>
  <si>
    <t>26. الفحص الداخلي والخارجي.</t>
  </si>
  <si>
    <t>27. فحص المدفع الرئيس وتوابعه.</t>
  </si>
  <si>
    <t>28. فحص الأسلحة الثانوية والأغطية المطاطية.</t>
  </si>
  <si>
    <t>29. نظام إدارة المعركة.</t>
  </si>
  <si>
    <t>30. نظام القواذف الدخانية.</t>
  </si>
  <si>
    <t xml:space="preserve">31. نظام الرؤية الليلية. </t>
  </si>
  <si>
    <t>32. نظام التعبئة.</t>
  </si>
  <si>
    <t>33. خادعات الصواريخ.</t>
  </si>
  <si>
    <t>34. نظام التعبئة الآلي.</t>
  </si>
  <si>
    <t>35. جهاز الاستقرار.</t>
  </si>
  <si>
    <t>36. جهـاز التسديـد الرئيس/ الاحتياطي الســوج.</t>
  </si>
  <si>
    <t>37. جهاز تسديد الآمـــر.</t>
  </si>
  <si>
    <t>38. الكاميرا والناموت.</t>
  </si>
  <si>
    <t>39. الحاسب الآلي.</t>
  </si>
  <si>
    <r>
      <t>المدفع M109/G6</t>
    </r>
    <r>
      <rPr>
        <sz val="12"/>
        <color rgb="FF000000"/>
        <rFont val="Arial"/>
        <family val="2"/>
      </rPr>
      <t xml:space="preserve"> يتم التأكد من التالي:</t>
    </r>
  </si>
  <si>
    <t>40. الحالة العامة للفوهة والسبطانة.</t>
  </si>
  <si>
    <t>41. نتاش الدخان.</t>
  </si>
  <si>
    <t>42. مشبك السبطانة.</t>
  </si>
  <si>
    <t>43. جهاز الرجوع والإعادة.</t>
  </si>
  <si>
    <t>44. المغلاق.</t>
  </si>
  <si>
    <t>45. الزناد الميكانيكي.</t>
  </si>
  <si>
    <t>46. جهاز المدك.</t>
  </si>
  <si>
    <t xml:space="preserve">47. وحدة الطاقة الخلفية. </t>
  </si>
  <si>
    <t>48. جهاز التوجيه والملاحة (الجايرو).</t>
  </si>
  <si>
    <t>49. نظام الدفع والخفض.</t>
  </si>
  <si>
    <t>50. لوحة ونظام التحكم بالمدفع.</t>
  </si>
  <si>
    <t>51. مقبض الدفع والخفض والانحراف الهيدروليكي.</t>
  </si>
  <si>
    <t xml:space="preserve">52. عجلات الفتح. </t>
  </si>
  <si>
    <t xml:space="preserve">53. مقرات تخزين الحشوات والذخائر. </t>
  </si>
  <si>
    <t>54. الزناد الميكانيكي ونظام الأطلاق الرئيس والاضطراري.</t>
  </si>
  <si>
    <t>55. حالة نظام أمن الرمي للمدفع.</t>
  </si>
  <si>
    <r>
      <t>نظام المورس للناقلة ظبيان</t>
    </r>
    <r>
      <rPr>
        <sz val="12"/>
        <color rgb="FF000000"/>
        <rFont val="Arial"/>
        <family val="2"/>
      </rPr>
      <t>. خاص لآلية ضابط الرصد - يتم التأكد من الحالة العامة للآتي:</t>
    </r>
  </si>
  <si>
    <t>56. الحاسب التعبوي للراصد.</t>
  </si>
  <si>
    <t xml:space="preserve">57. رادار دوبلار (راتاك). </t>
  </si>
  <si>
    <t>58. الكاميرا الحرارية.</t>
  </si>
  <si>
    <t>59. الكاميرا النهارية.</t>
  </si>
  <si>
    <t>60. جهاز قياس المسافة بالليزر.</t>
  </si>
  <si>
    <r>
      <t>آلية آر جي (الهاون 120 ملم).</t>
    </r>
    <r>
      <rPr>
        <sz val="12"/>
        <color rgb="FF000000"/>
        <rFont val="Arial"/>
        <family val="2"/>
      </rPr>
      <t xml:space="preserve">  يتم التأكد من الحالة العامة للآتي:</t>
    </r>
  </si>
  <si>
    <t xml:space="preserve">61. نظام أجهزة الرجوع. </t>
  </si>
  <si>
    <t>62. أجهزة الارتفاع.</t>
  </si>
  <si>
    <t>63. نظام الانحراف.</t>
  </si>
  <si>
    <t>64. نظام التعبية.</t>
  </si>
  <si>
    <t>65. نظام السيطرة على المعدات وإدارة النيران ولوحة السائق.</t>
  </si>
  <si>
    <r>
      <t>راجمات الصواريخ.</t>
    </r>
    <r>
      <rPr>
        <sz val="12"/>
        <color rgb="FF000000"/>
        <rFont val="Arial"/>
        <family val="2"/>
      </rPr>
      <t xml:space="preserve">  يتم التأكد من الحالة العامة للآتي:</t>
    </r>
  </si>
  <si>
    <t>66. آلية الوحدة المرافقة والروافع.</t>
  </si>
  <si>
    <t>67. نظام السيطرة على المعدات وإدارة النيران.</t>
  </si>
  <si>
    <t xml:space="preserve">68. نظام الرماية عن بعد. </t>
  </si>
  <si>
    <t>69. حركة منصات الصواريخ (عجلات الانحراف والارتفاع).</t>
  </si>
  <si>
    <t>70. نظام تشغيل الطاقة الرئيس.</t>
  </si>
  <si>
    <t>71. لوحة السائق.</t>
  </si>
  <si>
    <t>72. نظام التعبئة والتفريغ لمنصات الإطلاق.</t>
  </si>
  <si>
    <r>
      <t>الأنظمة الكهربائية والإلكترونية</t>
    </r>
    <r>
      <rPr>
        <sz val="12"/>
        <color rgb="FF000000"/>
        <rFont val="Arial"/>
        <family val="2"/>
      </rPr>
      <t>. يتم التأكد من الحالة العامة للآتي:</t>
    </r>
  </si>
  <si>
    <t>73. البطاريات ونظام الشحن.</t>
  </si>
  <si>
    <t>74. نظام التشغيل وبدء الحركة.</t>
  </si>
  <si>
    <t>75. الإنارة الداخلية والخارجية.</t>
  </si>
  <si>
    <t>76. لوحات العرض.</t>
  </si>
  <si>
    <t>78. نظام الملاحة.</t>
  </si>
  <si>
    <t>79. أجهزة التحكم والسيطرة وإدارة المعركة (الحاسب الآلي، أجهزة الاتصال، إلخ...).</t>
  </si>
  <si>
    <r>
      <t>أنظمة البيئة.</t>
    </r>
    <r>
      <rPr>
        <sz val="12"/>
        <color rgb="FF000000"/>
        <rFont val="Arial"/>
        <family val="2"/>
      </rPr>
      <t xml:space="preserve">  يتم التأكد من الحالة العامة للآتي:</t>
    </r>
  </si>
  <si>
    <t>80. نظام التكييف.</t>
  </si>
  <si>
    <t>81. نظام الوقاية من أسلحة الدمار الشامل.</t>
  </si>
  <si>
    <t>82. نظام إطفاء الحريق.</t>
  </si>
  <si>
    <r>
      <t>المهمات الإضافية</t>
    </r>
    <r>
      <rPr>
        <sz val="12"/>
        <color rgb="FF000000"/>
        <rFont val="Arial"/>
        <family val="2"/>
      </rPr>
      <t>.</t>
    </r>
  </si>
  <si>
    <t>83. وجود وصلاحية قطع الغيار الاحتياطية.</t>
  </si>
  <si>
    <t>84. وجود وصلاحية الأغطية الكتانية مع الركائز.</t>
  </si>
  <si>
    <t>85. وجود وصلاحية معدات مطابقة محاور المدفع (على مستوى سرية / قسم).</t>
  </si>
  <si>
    <r>
      <t>المستوى الفني للطاقم</t>
    </r>
    <r>
      <rPr>
        <sz val="12"/>
        <color rgb="FF000000"/>
        <rFont val="Arial"/>
        <family val="2"/>
      </rPr>
      <t>.</t>
    </r>
  </si>
  <si>
    <t xml:space="preserve">86. التأكد من اكتمال الطاقم المؤهل (نسبة لعدد الآليات). </t>
  </si>
  <si>
    <t>87. مدى إلمام الطاقم بواجباته والأجهزة والمعدات.</t>
  </si>
  <si>
    <r>
      <t>الأنظمة المساعـدة للآليات</t>
    </r>
    <r>
      <rPr>
        <sz val="12"/>
        <color rgb="FF000000"/>
        <rFont val="Arial"/>
        <family val="2"/>
      </rPr>
      <t>. يتم التأكد من الحالة العامة للآتي:</t>
    </r>
  </si>
  <si>
    <t xml:space="preserve">89. وحدة القدرة المساعدة. </t>
  </si>
  <si>
    <t>90. أعمدة الارتكاز (حواضن الرفع والخفض للآلية).</t>
  </si>
  <si>
    <t>91. الأنظمة الهيدروليكية.</t>
  </si>
  <si>
    <t>92. نظام الوقود الاحتياطي.</t>
  </si>
  <si>
    <t>93. مدى توفر ونظافة المواقف المغطاة الخاصة للآليات.</t>
  </si>
  <si>
    <t>94. مدى التقيد بقيود الاستخدام.</t>
  </si>
  <si>
    <r>
      <t>المدفع</t>
    </r>
    <r>
      <rPr>
        <sz val="12"/>
        <color rgb="FF000000"/>
        <rFont val="Arial"/>
        <family val="2"/>
      </rPr>
      <t>. يتم التأكد من التالي: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</si>
</sst>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9" fontId="3" fillId="0" borderId="17" xfId="0" applyNumberFormat="1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vertical="top" wrapText="1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vertical="top" wrapText="1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vertical="center" wrapText="1"/>
    </xf>
    <xf numFmtId="0" fontId="13" fillId="0" borderId="0" xfId="0" applyFont="1" applyProtection="1"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7" xfId="0" applyFont="1" applyBorder="1" applyAlignment="1" applyProtection="1">
      <alignment horizontal="center" vertical="center" wrapText="1" readingOrder="2"/>
      <protection locked="0"/>
    </xf>
    <xf numFmtId="0" fontId="3" fillId="0" borderId="23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1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22" xfId="0" applyFont="1" applyBorder="1" applyAlignment="1">
      <alignment horizontal="right" vertical="center" wrapText="1" readingOrder="2"/>
    </xf>
    <xf numFmtId="0" fontId="12" fillId="0" borderId="17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513851</xdr:colOff>
      <xdr:row>116</xdr:row>
      <xdr:rowOff>318420</xdr:rowOff>
    </xdr:from>
    <xdr:to>
      <xdr:col>7</xdr:col>
      <xdr:colOff>554509</xdr:colOff>
      <xdr:row>117</xdr:row>
      <xdr:rowOff>567088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B94ED17-CD0F-F0C6-4A95-723B5E0F199D}"/>
                </a:ext>
              </a:extLst>
            </xdr14:cNvPr>
            <xdr14:cNvContentPartPr/>
          </xdr14:nvContentPartPr>
          <xdr14:nvPr macro=""/>
          <xdr14:xfrm>
            <a:off x="10399348491" y="45466920"/>
            <a:ext cx="1356840" cy="7797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B94ED17-CD0F-F0C6-4A95-723B5E0F199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339851" y="45458280"/>
              <a:ext cx="1374480" cy="797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29T12:51:44.4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1916,'0'0,"0"0,0 0,0 0,0 0,0 0,0 0,0 0,16 0,-14 0,11-16,18 0,-23 12,78-24,23-36,-83 48,88-34,57-46,-84 58,45-20,86-55,-125 55,48-29,123-42,-168 77,42-24,96-37,-138 60,42-23,95-53,-143 77,39-24,105-37,-157 73,33-17,61-39,-113 63,25-15,26 0,-77 28,13-8,2-4,-34 32,5 0,-39 11,11-6,-52 43,18-22,-21 12,-60 43,56-42,-34 18,-114 89,122-88,-44 28,-127 75,158-95,-48 29,-109 50,177-100,-42 22,-73 63,135-86,-35 24,-22 13,87-55,-17 12,7-6,30-12,-10 8,28 4,0-18,0 4,46-18,-1 7,20 2,60-9,-61-13,27-6,112-29,-105 28,37-8,115-52,-141 39,47-15,124-40,-188 49,35-20,75-29,-143 69,22-10,13-11,-68 35,11-6,-6-14,-38 39,-2 4,-100 55,51-32,-25 14,-119 49,114-50,-42 22,-88 60,113-75,-40 23,-105 52,153-74,-39 22,-35 36,112-79,-23 14,4 2,52-29,-10 8,-10 4,39-25,-2 2,9 7,6-16,4 0,21 0,-19 0,7 0,43-16,-17 3,20-6,75-45,-68 23,27-15,73-56,-104 67,767-715,-835 760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18"/>
  <sheetViews>
    <sheetView rightToLeft="1" tabSelected="1" view="pageBreakPreview" topLeftCell="A101" zoomScale="130" zoomScaleNormal="100" zoomScaleSheetLayoutView="130" workbookViewId="0">
      <selection activeCell="F58" sqref="F5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5" width="9.33203125" style="44" customWidth="1"/>
    <col min="6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180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13" t="s">
        <v>8</v>
      </c>
      <c r="C2" s="64" t="s">
        <v>48</v>
      </c>
      <c r="D2" s="64"/>
      <c r="E2" s="13" t="s">
        <v>7</v>
      </c>
      <c r="F2" s="59">
        <v>45931</v>
      </c>
      <c r="G2" s="59"/>
      <c r="H2" s="59"/>
      <c r="I2" s="59"/>
      <c r="J2" s="59"/>
    </row>
    <row r="3" spans="1:10" ht="30" customHeight="1" x14ac:dyDescent="0.3">
      <c r="B3" s="13" t="s">
        <v>9</v>
      </c>
      <c r="C3" s="64" t="s">
        <v>68</v>
      </c>
      <c r="D3" s="64"/>
      <c r="E3" s="13" t="s">
        <v>6</v>
      </c>
      <c r="F3" s="64" t="s">
        <v>176</v>
      </c>
      <c r="G3" s="64"/>
      <c r="H3" s="64"/>
      <c r="I3" s="64"/>
      <c r="J3" s="6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60" t="s">
        <v>0</v>
      </c>
      <c r="C5" s="61"/>
      <c r="D5" s="61"/>
      <c r="E5" s="69" t="s">
        <v>1</v>
      </c>
      <c r="F5" s="69"/>
      <c r="G5" s="69"/>
      <c r="H5" s="69"/>
      <c r="I5" s="69" t="s">
        <v>2</v>
      </c>
      <c r="J5" s="70"/>
    </row>
    <row r="6" spans="1:10" ht="24.9" customHeight="1" thickBot="1" x14ac:dyDescent="0.35">
      <c r="A6" s="11"/>
      <c r="B6" s="62"/>
      <c r="C6" s="63"/>
      <c r="D6" s="63"/>
      <c r="E6" s="28" t="s">
        <v>3</v>
      </c>
      <c r="F6" s="12" t="s">
        <v>4</v>
      </c>
      <c r="G6" s="12" t="s">
        <v>23</v>
      </c>
      <c r="H6" s="12" t="s">
        <v>24</v>
      </c>
      <c r="I6" s="71"/>
      <c r="J6" s="72"/>
    </row>
    <row r="7" spans="1:10" ht="24.9" customHeight="1" thickBot="1" x14ac:dyDescent="0.35">
      <c r="A7" s="11"/>
      <c r="B7" s="67" t="s">
        <v>21</v>
      </c>
      <c r="C7" s="68"/>
      <c r="D7" s="68"/>
      <c r="E7" s="29" t="s">
        <v>18</v>
      </c>
      <c r="F7" s="29" t="s">
        <v>19</v>
      </c>
      <c r="G7" s="29" t="s">
        <v>22</v>
      </c>
      <c r="H7" s="29" t="s">
        <v>20</v>
      </c>
      <c r="I7" s="73" t="s">
        <v>25</v>
      </c>
      <c r="J7" s="74"/>
    </row>
    <row r="8" spans="1:10" ht="30" customHeight="1" x14ac:dyDescent="0.3">
      <c r="A8" s="11"/>
      <c r="B8" s="85" t="s">
        <v>181</v>
      </c>
      <c r="C8" s="86"/>
      <c r="D8" s="86"/>
      <c r="E8" s="39"/>
      <c r="F8" s="32"/>
      <c r="G8" s="33"/>
      <c r="H8" s="34"/>
      <c r="I8" s="56"/>
      <c r="J8" s="57"/>
    </row>
    <row r="9" spans="1:10" ht="30" customHeight="1" x14ac:dyDescent="0.3">
      <c r="A9" s="11"/>
      <c r="B9" s="87" t="s">
        <v>182</v>
      </c>
      <c r="C9" s="88"/>
      <c r="D9" s="88"/>
      <c r="E9" s="9">
        <v>5</v>
      </c>
      <c r="F9" s="27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7"/>
      <c r="J9" s="48"/>
    </row>
    <row r="10" spans="1:10" ht="30" customHeight="1" x14ac:dyDescent="0.3">
      <c r="A10" s="11"/>
      <c r="B10" s="87" t="s">
        <v>183</v>
      </c>
      <c r="C10" s="88"/>
      <c r="D10" s="88"/>
      <c r="E10" s="9">
        <v>5</v>
      </c>
      <c r="F10" s="45">
        <v>4.25</v>
      </c>
      <c r="G10" s="30">
        <f t="shared" ref="G10:G73" si="0">IFERROR(F10/E10,"")</f>
        <v>0.85</v>
      </c>
      <c r="H10" s="31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7"/>
      <c r="J10" s="48"/>
    </row>
    <row r="11" spans="1:10" ht="30" customHeight="1" x14ac:dyDescent="0.3">
      <c r="A11" s="11"/>
      <c r="B11" s="87" t="s">
        <v>184</v>
      </c>
      <c r="C11" s="88"/>
      <c r="D11" s="88"/>
      <c r="E11" s="9">
        <v>5</v>
      </c>
      <c r="F11" s="45">
        <v>3.25</v>
      </c>
      <c r="G11" s="30">
        <f t="shared" si="0"/>
        <v>0.65</v>
      </c>
      <c r="H11" s="31" t="str">
        <f t="shared" si="1"/>
        <v>مقبول</v>
      </c>
      <c r="I11" s="47"/>
      <c r="J11" s="48"/>
    </row>
    <row r="12" spans="1:10" ht="30" customHeight="1" x14ac:dyDescent="0.3">
      <c r="A12" s="11"/>
      <c r="B12" s="87" t="s">
        <v>185</v>
      </c>
      <c r="C12" s="88"/>
      <c r="D12" s="88"/>
      <c r="E12" s="9">
        <v>5</v>
      </c>
      <c r="F12" s="45">
        <v>3.5</v>
      </c>
      <c r="G12" s="30">
        <f t="shared" si="0"/>
        <v>0.7</v>
      </c>
      <c r="H12" s="31" t="str">
        <f t="shared" si="1"/>
        <v>جيد</v>
      </c>
      <c r="I12" s="47"/>
      <c r="J12" s="48"/>
    </row>
    <row r="13" spans="1:10" ht="30" customHeight="1" x14ac:dyDescent="0.3">
      <c r="A13" s="11"/>
      <c r="B13" s="87" t="s">
        <v>186</v>
      </c>
      <c r="C13" s="88"/>
      <c r="D13" s="88"/>
      <c r="E13" s="9">
        <v>5</v>
      </c>
      <c r="F13" s="45">
        <v>4.25</v>
      </c>
      <c r="G13" s="30">
        <f t="shared" si="0"/>
        <v>0.85</v>
      </c>
      <c r="H13" s="31" t="str">
        <f t="shared" si="1"/>
        <v>جيد جداً</v>
      </c>
      <c r="I13" s="47"/>
      <c r="J13" s="48"/>
    </row>
    <row r="14" spans="1:10" ht="39.9" customHeight="1" x14ac:dyDescent="0.3">
      <c r="A14" s="11"/>
      <c r="B14" s="87" t="s">
        <v>187</v>
      </c>
      <c r="C14" s="88"/>
      <c r="D14" s="88"/>
      <c r="E14" s="9">
        <v>5</v>
      </c>
      <c r="F14" s="45">
        <v>3.75</v>
      </c>
      <c r="G14" s="30">
        <f t="shared" si="0"/>
        <v>0.75</v>
      </c>
      <c r="H14" s="31" t="str">
        <f t="shared" si="1"/>
        <v>جيد</v>
      </c>
      <c r="I14" s="47"/>
      <c r="J14" s="48"/>
    </row>
    <row r="15" spans="1:10" ht="30" customHeight="1" thickBot="1" x14ac:dyDescent="0.35">
      <c r="A15" s="11"/>
      <c r="B15" s="89" t="s">
        <v>188</v>
      </c>
      <c r="C15" s="90"/>
      <c r="D15" s="90"/>
      <c r="E15" s="40">
        <v>5</v>
      </c>
      <c r="F15" s="45">
        <v>3.5</v>
      </c>
      <c r="G15" s="37">
        <f t="shared" si="0"/>
        <v>0.7</v>
      </c>
      <c r="H15" s="38" t="str">
        <f t="shared" si="1"/>
        <v>جيد</v>
      </c>
      <c r="I15" s="83"/>
      <c r="J15" s="84"/>
    </row>
    <row r="16" spans="1:10" ht="30" customHeight="1" x14ac:dyDescent="0.3">
      <c r="A16" s="11"/>
      <c r="B16" s="85" t="s">
        <v>189</v>
      </c>
      <c r="C16" s="86"/>
      <c r="D16" s="86"/>
      <c r="E16" s="41"/>
      <c r="F16" s="32"/>
      <c r="G16" s="33"/>
      <c r="H16" s="34"/>
      <c r="I16" s="56"/>
      <c r="J16" s="57"/>
    </row>
    <row r="17" spans="1:10" ht="39.9" customHeight="1" x14ac:dyDescent="0.3">
      <c r="A17" s="11"/>
      <c r="B17" s="87" t="s">
        <v>190</v>
      </c>
      <c r="C17" s="88"/>
      <c r="D17" s="88"/>
      <c r="E17" s="9">
        <v>5</v>
      </c>
      <c r="F17" s="27">
        <v>4</v>
      </c>
      <c r="G17" s="30">
        <f t="shared" si="0"/>
        <v>0.8</v>
      </c>
      <c r="H17" s="31" t="str">
        <f t="shared" si="1"/>
        <v>جيد جداً</v>
      </c>
      <c r="I17" s="47"/>
      <c r="J17" s="48"/>
    </row>
    <row r="18" spans="1:10" ht="39.9" customHeight="1" x14ac:dyDescent="0.3">
      <c r="A18" s="11"/>
      <c r="B18" s="87" t="s">
        <v>191</v>
      </c>
      <c r="C18" s="88"/>
      <c r="D18" s="88"/>
      <c r="E18" s="9">
        <v>5</v>
      </c>
      <c r="F18" s="45">
        <v>4</v>
      </c>
      <c r="G18" s="30">
        <f t="shared" si="0"/>
        <v>0.8</v>
      </c>
      <c r="H18" s="31" t="str">
        <f t="shared" si="1"/>
        <v>جيد جداً</v>
      </c>
      <c r="I18" s="47"/>
      <c r="J18" s="48"/>
    </row>
    <row r="19" spans="1:10" ht="30" customHeight="1" x14ac:dyDescent="0.3">
      <c r="A19" s="11"/>
      <c r="B19" s="87" t="s">
        <v>192</v>
      </c>
      <c r="C19" s="88"/>
      <c r="D19" s="88"/>
      <c r="E19" s="9">
        <v>5</v>
      </c>
      <c r="F19" s="45">
        <v>3.75</v>
      </c>
      <c r="G19" s="30">
        <f t="shared" si="0"/>
        <v>0.75</v>
      </c>
      <c r="H19" s="31" t="str">
        <f t="shared" si="1"/>
        <v>جيد</v>
      </c>
      <c r="I19" s="47"/>
      <c r="J19" s="48"/>
    </row>
    <row r="20" spans="1:10" ht="30" customHeight="1" x14ac:dyDescent="0.3">
      <c r="A20" s="11"/>
      <c r="B20" s="87" t="s">
        <v>193</v>
      </c>
      <c r="C20" s="88"/>
      <c r="D20" s="88"/>
      <c r="E20" s="9">
        <v>5</v>
      </c>
      <c r="F20" s="45">
        <v>3.75</v>
      </c>
      <c r="G20" s="30">
        <f t="shared" si="0"/>
        <v>0.75</v>
      </c>
      <c r="H20" s="31" t="str">
        <f t="shared" si="1"/>
        <v>جيد</v>
      </c>
      <c r="I20" s="47"/>
      <c r="J20" s="48"/>
    </row>
    <row r="21" spans="1:10" ht="30" customHeight="1" x14ac:dyDescent="0.3">
      <c r="A21" s="11"/>
      <c r="B21" s="87" t="s">
        <v>194</v>
      </c>
      <c r="C21" s="88"/>
      <c r="D21" s="88"/>
      <c r="E21" s="9">
        <v>5</v>
      </c>
      <c r="F21" s="45">
        <v>3.75</v>
      </c>
      <c r="G21" s="30">
        <f t="shared" si="0"/>
        <v>0.75</v>
      </c>
      <c r="H21" s="31" t="str">
        <f t="shared" si="1"/>
        <v>جيد</v>
      </c>
      <c r="I21" s="47"/>
      <c r="J21" s="48"/>
    </row>
    <row r="22" spans="1:10" ht="30" customHeight="1" thickBot="1" x14ac:dyDescent="0.35">
      <c r="A22" s="11"/>
      <c r="B22" s="91" t="s">
        <v>195</v>
      </c>
      <c r="C22" s="92"/>
      <c r="D22" s="92"/>
      <c r="E22" s="42">
        <v>5</v>
      </c>
      <c r="F22" s="45">
        <v>4</v>
      </c>
      <c r="G22" s="35">
        <f t="shared" si="0"/>
        <v>0.8</v>
      </c>
      <c r="H22" s="36" t="str">
        <f t="shared" si="1"/>
        <v>جيد جداً</v>
      </c>
      <c r="I22" s="49"/>
      <c r="J22" s="50"/>
    </row>
    <row r="23" spans="1:10" ht="30" customHeight="1" x14ac:dyDescent="0.3">
      <c r="A23" s="11"/>
      <c r="B23" s="85" t="s">
        <v>196</v>
      </c>
      <c r="C23" s="86"/>
      <c r="D23" s="86"/>
      <c r="E23" s="43"/>
      <c r="F23" s="32"/>
      <c r="G23" s="33"/>
      <c r="H23" s="34"/>
      <c r="I23" s="56"/>
      <c r="J23" s="57"/>
    </row>
    <row r="24" spans="1:10" ht="54.75" customHeight="1" x14ac:dyDescent="0.3">
      <c r="A24" s="11"/>
      <c r="B24" s="87" t="s">
        <v>197</v>
      </c>
      <c r="C24" s="88"/>
      <c r="D24" s="88"/>
      <c r="E24" s="9">
        <v>10</v>
      </c>
      <c r="F24" s="27">
        <v>7</v>
      </c>
      <c r="G24" s="30">
        <f t="shared" si="0"/>
        <v>0.7</v>
      </c>
      <c r="H24" s="31" t="str">
        <f t="shared" si="1"/>
        <v>جيد</v>
      </c>
      <c r="I24" s="47"/>
      <c r="J24" s="48"/>
    </row>
    <row r="25" spans="1:10" ht="30" customHeight="1" x14ac:dyDescent="0.3">
      <c r="A25" s="11"/>
      <c r="B25" s="87" t="s">
        <v>198</v>
      </c>
      <c r="C25" s="88"/>
      <c r="D25" s="88"/>
      <c r="E25" s="9">
        <v>5</v>
      </c>
      <c r="F25" s="45">
        <v>3.75</v>
      </c>
      <c r="G25" s="30">
        <f t="shared" si="0"/>
        <v>0.75</v>
      </c>
      <c r="H25" s="31" t="str">
        <f t="shared" si="1"/>
        <v>جيد</v>
      </c>
      <c r="I25" s="47"/>
      <c r="J25" s="48"/>
    </row>
    <row r="26" spans="1:10" ht="30" customHeight="1" x14ac:dyDescent="0.3">
      <c r="A26" s="11"/>
      <c r="B26" s="87" t="s">
        <v>199</v>
      </c>
      <c r="C26" s="88"/>
      <c r="D26" s="88"/>
      <c r="E26" s="9">
        <v>5</v>
      </c>
      <c r="F26" s="45">
        <v>3.5</v>
      </c>
      <c r="G26" s="30">
        <f t="shared" si="0"/>
        <v>0.7</v>
      </c>
      <c r="H26" s="31" t="str">
        <f t="shared" si="1"/>
        <v>جيد</v>
      </c>
      <c r="I26" s="47"/>
      <c r="J26" s="48"/>
    </row>
    <row r="27" spans="1:10" ht="30" customHeight="1" thickBot="1" x14ac:dyDescent="0.35">
      <c r="A27" s="11"/>
      <c r="B27" s="91" t="s">
        <v>200</v>
      </c>
      <c r="C27" s="92"/>
      <c r="D27" s="92"/>
      <c r="E27" s="42">
        <v>5</v>
      </c>
      <c r="F27" s="45">
        <v>3.75</v>
      </c>
      <c r="G27" s="35">
        <f t="shared" si="0"/>
        <v>0.75</v>
      </c>
      <c r="H27" s="36" t="str">
        <f t="shared" si="1"/>
        <v>جيد</v>
      </c>
      <c r="I27" s="49"/>
      <c r="J27" s="50"/>
    </row>
    <row r="28" spans="1:10" ht="30" customHeight="1" x14ac:dyDescent="0.3">
      <c r="A28" s="11"/>
      <c r="B28" s="85" t="s">
        <v>201</v>
      </c>
      <c r="C28" s="86"/>
      <c r="D28" s="86"/>
      <c r="E28" s="43"/>
      <c r="F28" s="32"/>
      <c r="G28" s="33"/>
      <c r="H28" s="34"/>
      <c r="I28" s="56"/>
      <c r="J28" s="57"/>
    </row>
    <row r="29" spans="1:10" ht="30" customHeight="1" x14ac:dyDescent="0.3">
      <c r="A29" s="11"/>
      <c r="B29" s="87" t="s">
        <v>202</v>
      </c>
      <c r="C29" s="88"/>
      <c r="D29" s="88"/>
      <c r="E29" s="9">
        <v>5</v>
      </c>
      <c r="F29" s="27">
        <v>3.75</v>
      </c>
      <c r="G29" s="30">
        <f t="shared" si="0"/>
        <v>0.75</v>
      </c>
      <c r="H29" s="31" t="str">
        <f t="shared" si="1"/>
        <v>جيد</v>
      </c>
      <c r="I29" s="47"/>
      <c r="J29" s="48"/>
    </row>
    <row r="30" spans="1:10" ht="30" customHeight="1" x14ac:dyDescent="0.3">
      <c r="A30" s="11"/>
      <c r="B30" s="87" t="s">
        <v>203</v>
      </c>
      <c r="C30" s="88"/>
      <c r="D30" s="88"/>
      <c r="E30" s="9">
        <v>5</v>
      </c>
      <c r="F30" s="45">
        <v>4.25</v>
      </c>
      <c r="G30" s="30">
        <f t="shared" si="0"/>
        <v>0.85</v>
      </c>
      <c r="H30" s="31" t="str">
        <f t="shared" si="1"/>
        <v>جيد جداً</v>
      </c>
      <c r="I30" s="47"/>
      <c r="J30" s="48"/>
    </row>
    <row r="31" spans="1:10" ht="30" customHeight="1" x14ac:dyDescent="0.3">
      <c r="A31" s="11"/>
      <c r="B31" s="87" t="s">
        <v>204</v>
      </c>
      <c r="C31" s="88"/>
      <c r="D31" s="88"/>
      <c r="E31" s="9">
        <v>5</v>
      </c>
      <c r="F31" s="45">
        <v>3.75</v>
      </c>
      <c r="G31" s="30">
        <f t="shared" si="0"/>
        <v>0.75</v>
      </c>
      <c r="H31" s="31" t="str">
        <f t="shared" si="1"/>
        <v>جيد</v>
      </c>
      <c r="I31" s="47"/>
      <c r="J31" s="48"/>
    </row>
    <row r="32" spans="1:10" ht="30" customHeight="1" x14ac:dyDescent="0.3">
      <c r="A32" s="11"/>
      <c r="B32" s="87" t="s">
        <v>205</v>
      </c>
      <c r="C32" s="88"/>
      <c r="D32" s="88"/>
      <c r="E32" s="9">
        <v>5</v>
      </c>
      <c r="F32" s="45">
        <v>3.75</v>
      </c>
      <c r="G32" s="30">
        <f t="shared" si="0"/>
        <v>0.75</v>
      </c>
      <c r="H32" s="31" t="str">
        <f t="shared" si="1"/>
        <v>جيد</v>
      </c>
      <c r="I32" s="47"/>
      <c r="J32" s="48"/>
    </row>
    <row r="33" spans="1:10" ht="30" customHeight="1" x14ac:dyDescent="0.3">
      <c r="A33" s="11"/>
      <c r="B33" s="87" t="s">
        <v>206</v>
      </c>
      <c r="C33" s="88"/>
      <c r="D33" s="88"/>
      <c r="E33" s="9">
        <v>5</v>
      </c>
      <c r="F33" s="45">
        <v>3.75</v>
      </c>
      <c r="G33" s="30">
        <f t="shared" si="0"/>
        <v>0.75</v>
      </c>
      <c r="H33" s="31" t="str">
        <f t="shared" si="1"/>
        <v>جيد</v>
      </c>
      <c r="I33" s="47"/>
      <c r="J33" s="48"/>
    </row>
    <row r="34" spans="1:10" ht="30" customHeight="1" x14ac:dyDescent="0.3">
      <c r="A34" s="11"/>
      <c r="B34" s="87" t="s">
        <v>207</v>
      </c>
      <c r="C34" s="88"/>
      <c r="D34" s="88"/>
      <c r="E34" s="9">
        <v>5</v>
      </c>
      <c r="F34" s="45">
        <v>3.75</v>
      </c>
      <c r="G34" s="30">
        <f t="shared" si="0"/>
        <v>0.75</v>
      </c>
      <c r="H34" s="31" t="str">
        <f t="shared" si="1"/>
        <v>جيد</v>
      </c>
      <c r="I34" s="47"/>
      <c r="J34" s="48"/>
    </row>
    <row r="35" spans="1:10" ht="30" customHeight="1" x14ac:dyDescent="0.3">
      <c r="A35" s="11"/>
      <c r="B35" s="87" t="s">
        <v>208</v>
      </c>
      <c r="C35" s="88"/>
      <c r="D35" s="88"/>
      <c r="E35" s="9">
        <v>5</v>
      </c>
      <c r="F35" s="45">
        <v>3.5</v>
      </c>
      <c r="G35" s="30">
        <f t="shared" si="0"/>
        <v>0.7</v>
      </c>
      <c r="H35" s="31" t="str">
        <f t="shared" si="1"/>
        <v>جيد</v>
      </c>
      <c r="I35" s="47"/>
      <c r="J35" s="48"/>
    </row>
    <row r="36" spans="1:10" ht="30" customHeight="1" thickBot="1" x14ac:dyDescent="0.35">
      <c r="A36" s="11"/>
      <c r="B36" s="91" t="s">
        <v>209</v>
      </c>
      <c r="C36" s="92"/>
      <c r="D36" s="92"/>
      <c r="E36" s="42">
        <v>5</v>
      </c>
      <c r="F36" s="45">
        <v>3.75</v>
      </c>
      <c r="G36" s="35">
        <f t="shared" si="0"/>
        <v>0.75</v>
      </c>
      <c r="H36" s="36" t="str">
        <f t="shared" si="1"/>
        <v>جيد</v>
      </c>
      <c r="I36" s="49"/>
      <c r="J36" s="50"/>
    </row>
    <row r="37" spans="1:10" ht="30" customHeight="1" x14ac:dyDescent="0.3">
      <c r="A37" s="11"/>
      <c r="B37" s="85" t="s">
        <v>286</v>
      </c>
      <c r="C37" s="86"/>
      <c r="D37" s="86"/>
      <c r="E37" s="43"/>
      <c r="F37" s="32"/>
      <c r="G37" s="33"/>
      <c r="H37" s="34"/>
      <c r="I37" s="56"/>
      <c r="J37" s="57"/>
    </row>
    <row r="38" spans="1:10" ht="30" customHeight="1" x14ac:dyDescent="0.3">
      <c r="A38" s="11"/>
      <c r="B38" s="87" t="s">
        <v>210</v>
      </c>
      <c r="C38" s="88"/>
      <c r="D38" s="88"/>
      <c r="E38" s="9">
        <v>5</v>
      </c>
      <c r="F38" s="27">
        <v>3.75</v>
      </c>
      <c r="G38" s="30">
        <f t="shared" si="0"/>
        <v>0.75</v>
      </c>
      <c r="H38" s="31" t="str">
        <f t="shared" si="1"/>
        <v>جيد</v>
      </c>
      <c r="I38" s="47"/>
      <c r="J38" s="48"/>
    </row>
    <row r="39" spans="1:10" ht="30" customHeight="1" x14ac:dyDescent="0.3">
      <c r="A39" s="11"/>
      <c r="B39" s="87" t="s">
        <v>211</v>
      </c>
      <c r="C39" s="88"/>
      <c r="D39" s="88"/>
      <c r="E39" s="9">
        <v>5</v>
      </c>
      <c r="F39" s="45">
        <v>3.75</v>
      </c>
      <c r="G39" s="30">
        <f t="shared" si="0"/>
        <v>0.75</v>
      </c>
      <c r="H39" s="31" t="str">
        <f t="shared" si="1"/>
        <v>جيد</v>
      </c>
      <c r="I39" s="47"/>
      <c r="J39" s="48"/>
    </row>
    <row r="40" spans="1:10" ht="30" customHeight="1" x14ac:dyDescent="0.3">
      <c r="A40" s="11"/>
      <c r="B40" s="87" t="s">
        <v>212</v>
      </c>
      <c r="C40" s="88"/>
      <c r="D40" s="88"/>
      <c r="E40" s="9">
        <v>5</v>
      </c>
      <c r="F40" s="45">
        <v>3.5</v>
      </c>
      <c r="G40" s="30">
        <f t="shared" si="0"/>
        <v>0.7</v>
      </c>
      <c r="H40" s="31" t="str">
        <f t="shared" si="1"/>
        <v>جيد</v>
      </c>
      <c r="I40" s="47"/>
      <c r="J40" s="48"/>
    </row>
    <row r="41" spans="1:10" ht="30" customHeight="1" x14ac:dyDescent="0.3">
      <c r="A41" s="11"/>
      <c r="B41" s="87" t="s">
        <v>213</v>
      </c>
      <c r="C41" s="88"/>
      <c r="D41" s="88"/>
      <c r="E41" s="9">
        <v>5</v>
      </c>
      <c r="F41" s="45">
        <v>4.25</v>
      </c>
      <c r="G41" s="30">
        <f t="shared" si="0"/>
        <v>0.85</v>
      </c>
      <c r="H41" s="31" t="str">
        <f t="shared" si="1"/>
        <v>جيد جداً</v>
      </c>
      <c r="I41" s="47"/>
      <c r="J41" s="48"/>
    </row>
    <row r="42" spans="1:10" ht="30" customHeight="1" x14ac:dyDescent="0.3">
      <c r="A42" s="11"/>
      <c r="B42" s="87" t="s">
        <v>214</v>
      </c>
      <c r="C42" s="88"/>
      <c r="D42" s="88"/>
      <c r="E42" s="9">
        <v>5</v>
      </c>
      <c r="F42" s="45">
        <v>3.5</v>
      </c>
      <c r="G42" s="30">
        <f t="shared" si="0"/>
        <v>0.7</v>
      </c>
      <c r="H42" s="31" t="str">
        <f t="shared" si="1"/>
        <v>جيد</v>
      </c>
      <c r="I42" s="47"/>
      <c r="J42" s="48"/>
    </row>
    <row r="43" spans="1:10" ht="30" customHeight="1" x14ac:dyDescent="0.3">
      <c r="A43" s="11"/>
      <c r="B43" s="87" t="s">
        <v>215</v>
      </c>
      <c r="C43" s="88"/>
      <c r="D43" s="88"/>
      <c r="E43" s="9">
        <v>5</v>
      </c>
      <c r="F43" s="45">
        <v>3.75</v>
      </c>
      <c r="G43" s="30">
        <f t="shared" si="0"/>
        <v>0.75</v>
      </c>
      <c r="H43" s="31" t="str">
        <f t="shared" si="1"/>
        <v>جيد</v>
      </c>
      <c r="I43" s="47"/>
      <c r="J43" s="48"/>
    </row>
    <row r="44" spans="1:10" ht="30" customHeight="1" x14ac:dyDescent="0.3">
      <c r="A44" s="11"/>
      <c r="B44" s="87" t="s">
        <v>216</v>
      </c>
      <c r="C44" s="88"/>
      <c r="D44" s="88"/>
      <c r="E44" s="9">
        <v>5</v>
      </c>
      <c r="F44" s="45">
        <v>3.75</v>
      </c>
      <c r="G44" s="30">
        <f t="shared" si="0"/>
        <v>0.75</v>
      </c>
      <c r="H44" s="31" t="str">
        <f t="shared" si="1"/>
        <v>جيد</v>
      </c>
      <c r="I44" s="47"/>
      <c r="J44" s="48"/>
    </row>
    <row r="45" spans="1:10" ht="30" customHeight="1" x14ac:dyDescent="0.3">
      <c r="A45" s="11"/>
      <c r="B45" s="87" t="s">
        <v>217</v>
      </c>
      <c r="C45" s="88"/>
      <c r="D45" s="88"/>
      <c r="E45" s="9">
        <v>0</v>
      </c>
      <c r="F45" s="45"/>
      <c r="G45" s="30" t="str">
        <f t="shared" si="0"/>
        <v/>
      </c>
      <c r="H45" s="31"/>
      <c r="I45" s="47"/>
      <c r="J45" s="48"/>
    </row>
    <row r="46" spans="1:10" ht="30" customHeight="1" x14ac:dyDescent="0.3">
      <c r="A46" s="11"/>
      <c r="B46" s="87" t="s">
        <v>218</v>
      </c>
      <c r="C46" s="88"/>
      <c r="D46" s="88"/>
      <c r="E46" s="9">
        <v>5</v>
      </c>
      <c r="F46" s="45">
        <v>3.75</v>
      </c>
      <c r="G46" s="30">
        <f t="shared" si="0"/>
        <v>0.75</v>
      </c>
      <c r="H46" s="31" t="str">
        <f t="shared" si="1"/>
        <v>جيد</v>
      </c>
      <c r="I46" s="47"/>
      <c r="J46" s="48"/>
    </row>
    <row r="47" spans="1:10" ht="30" customHeight="1" x14ac:dyDescent="0.3">
      <c r="A47" s="11"/>
      <c r="B47" s="87" t="s">
        <v>219</v>
      </c>
      <c r="C47" s="88"/>
      <c r="D47" s="88"/>
      <c r="E47" s="9">
        <v>5</v>
      </c>
      <c r="F47" s="45">
        <v>4</v>
      </c>
      <c r="G47" s="30">
        <f t="shared" si="0"/>
        <v>0.8</v>
      </c>
      <c r="H47" s="31" t="str">
        <f t="shared" si="1"/>
        <v>جيد جداً</v>
      </c>
      <c r="I47" s="47"/>
      <c r="J47" s="48"/>
    </row>
    <row r="48" spans="1:10" ht="30" customHeight="1" x14ac:dyDescent="0.3">
      <c r="A48" s="11"/>
      <c r="B48" s="87" t="s">
        <v>220</v>
      </c>
      <c r="C48" s="88"/>
      <c r="D48" s="88"/>
      <c r="E48" s="9">
        <v>5</v>
      </c>
      <c r="F48" s="46">
        <v>3.75</v>
      </c>
      <c r="G48" s="30">
        <f t="shared" si="0"/>
        <v>0.75</v>
      </c>
      <c r="H48" s="31" t="str">
        <f t="shared" si="1"/>
        <v>جيد</v>
      </c>
      <c r="I48" s="47"/>
      <c r="J48" s="48"/>
    </row>
    <row r="49" spans="1:10" ht="30" customHeight="1" x14ac:dyDescent="0.3">
      <c r="A49" s="11"/>
      <c r="B49" s="87" t="s">
        <v>221</v>
      </c>
      <c r="C49" s="88"/>
      <c r="D49" s="88"/>
      <c r="E49" s="9">
        <v>5</v>
      </c>
      <c r="F49" s="46">
        <v>3.75</v>
      </c>
      <c r="G49" s="30">
        <f t="shared" si="0"/>
        <v>0.75</v>
      </c>
      <c r="H49" s="31" t="str">
        <f t="shared" si="1"/>
        <v>جيد</v>
      </c>
      <c r="I49" s="47"/>
      <c r="J49" s="48"/>
    </row>
    <row r="50" spans="1:10" ht="30" customHeight="1" x14ac:dyDescent="0.3">
      <c r="A50" s="11"/>
      <c r="B50" s="87" t="s">
        <v>222</v>
      </c>
      <c r="C50" s="88"/>
      <c r="D50" s="88"/>
      <c r="E50" s="9">
        <v>0</v>
      </c>
      <c r="F50" s="45"/>
      <c r="G50" s="30" t="str">
        <f t="shared" si="0"/>
        <v/>
      </c>
      <c r="H50" s="31"/>
      <c r="I50" s="47"/>
      <c r="J50" s="48"/>
    </row>
    <row r="51" spans="1:10" ht="30" customHeight="1" thickBot="1" x14ac:dyDescent="0.35">
      <c r="A51" s="11"/>
      <c r="B51" s="91" t="s">
        <v>223</v>
      </c>
      <c r="C51" s="92"/>
      <c r="D51" s="92"/>
      <c r="E51" s="42">
        <v>5</v>
      </c>
      <c r="F51" s="45">
        <v>3.75</v>
      </c>
      <c r="G51" s="35">
        <f t="shared" si="0"/>
        <v>0.75</v>
      </c>
      <c r="H51" s="36" t="str">
        <f t="shared" si="1"/>
        <v>جيد</v>
      </c>
      <c r="I51" s="49"/>
      <c r="J51" s="50"/>
    </row>
    <row r="52" spans="1:10" ht="30" customHeight="1" x14ac:dyDescent="0.3">
      <c r="A52" s="11"/>
      <c r="B52" s="85" t="s">
        <v>224</v>
      </c>
      <c r="C52" s="86"/>
      <c r="D52" s="86"/>
      <c r="E52" s="43"/>
      <c r="F52" s="32"/>
      <c r="G52" s="33"/>
      <c r="H52" s="34"/>
      <c r="I52" s="56"/>
      <c r="J52" s="57"/>
    </row>
    <row r="53" spans="1:10" ht="30" customHeight="1" x14ac:dyDescent="0.3">
      <c r="A53" s="11"/>
      <c r="B53" s="87" t="s">
        <v>225</v>
      </c>
      <c r="C53" s="88"/>
      <c r="D53" s="88"/>
      <c r="E53" s="9">
        <v>5</v>
      </c>
      <c r="F53" s="27">
        <v>3.75</v>
      </c>
      <c r="G53" s="30">
        <f t="shared" si="0"/>
        <v>0.75</v>
      </c>
      <c r="H53" s="31" t="str">
        <f t="shared" si="1"/>
        <v>جيد</v>
      </c>
      <c r="I53" s="47"/>
      <c r="J53" s="48"/>
    </row>
    <row r="54" spans="1:10" ht="30" customHeight="1" x14ac:dyDescent="0.3">
      <c r="A54" s="11"/>
      <c r="B54" s="87" t="s">
        <v>226</v>
      </c>
      <c r="C54" s="88"/>
      <c r="D54" s="88"/>
      <c r="E54" s="9">
        <v>5</v>
      </c>
      <c r="F54" s="45">
        <v>3.75</v>
      </c>
      <c r="G54" s="30">
        <f t="shared" si="0"/>
        <v>0.75</v>
      </c>
      <c r="H54" s="31" t="str">
        <f t="shared" si="1"/>
        <v>جيد</v>
      </c>
      <c r="I54" s="47"/>
      <c r="J54" s="48"/>
    </row>
    <row r="55" spans="1:10" ht="30" customHeight="1" x14ac:dyDescent="0.3">
      <c r="A55" s="11"/>
      <c r="B55" s="87" t="s">
        <v>227</v>
      </c>
      <c r="C55" s="88"/>
      <c r="D55" s="88"/>
      <c r="E55" s="9">
        <v>5</v>
      </c>
      <c r="F55" s="45">
        <v>3.75</v>
      </c>
      <c r="G55" s="30">
        <f t="shared" si="0"/>
        <v>0.75</v>
      </c>
      <c r="H55" s="31" t="str">
        <f t="shared" si="1"/>
        <v>جيد</v>
      </c>
      <c r="I55" s="47"/>
      <c r="J55" s="48"/>
    </row>
    <row r="56" spans="1:10" ht="30" customHeight="1" x14ac:dyDescent="0.3">
      <c r="A56" s="11"/>
      <c r="B56" s="87" t="s">
        <v>228</v>
      </c>
      <c r="C56" s="88"/>
      <c r="D56" s="88"/>
      <c r="E56" s="9">
        <v>5</v>
      </c>
      <c r="F56" s="45">
        <v>3.5</v>
      </c>
      <c r="G56" s="30">
        <f t="shared" si="0"/>
        <v>0.7</v>
      </c>
      <c r="H56" s="31" t="str">
        <f t="shared" si="1"/>
        <v>جيد</v>
      </c>
      <c r="I56" s="47"/>
      <c r="J56" s="48"/>
    </row>
    <row r="57" spans="1:10" ht="30" customHeight="1" x14ac:dyDescent="0.3">
      <c r="A57" s="11"/>
      <c r="B57" s="87" t="s">
        <v>229</v>
      </c>
      <c r="C57" s="88"/>
      <c r="D57" s="88"/>
      <c r="E57" s="9">
        <v>5</v>
      </c>
      <c r="F57" s="45">
        <v>3.5</v>
      </c>
      <c r="G57" s="30">
        <f t="shared" si="0"/>
        <v>0.7</v>
      </c>
      <c r="H57" s="31" t="str">
        <f t="shared" si="1"/>
        <v>جيد</v>
      </c>
      <c r="I57" s="47"/>
      <c r="J57" s="48"/>
    </row>
    <row r="58" spans="1:10" ht="30" customHeight="1" x14ac:dyDescent="0.3">
      <c r="A58" s="11"/>
      <c r="B58" s="87" t="s">
        <v>230</v>
      </c>
      <c r="C58" s="88"/>
      <c r="D58" s="88"/>
      <c r="E58" s="9">
        <v>5</v>
      </c>
      <c r="F58" s="45">
        <v>3.75</v>
      </c>
      <c r="G58" s="30">
        <f t="shared" si="0"/>
        <v>0.75</v>
      </c>
      <c r="H58" s="31" t="str">
        <f t="shared" si="1"/>
        <v>جيد</v>
      </c>
      <c r="I58" s="47"/>
      <c r="J58" s="48"/>
    </row>
    <row r="59" spans="1:10" ht="30" customHeight="1" x14ac:dyDescent="0.3">
      <c r="A59" s="11"/>
      <c r="B59" s="87" t="s">
        <v>231</v>
      </c>
      <c r="C59" s="88"/>
      <c r="D59" s="88"/>
      <c r="E59" s="9">
        <v>5</v>
      </c>
      <c r="F59" s="45">
        <v>3.75</v>
      </c>
      <c r="G59" s="30">
        <f t="shared" si="0"/>
        <v>0.75</v>
      </c>
      <c r="H59" s="31" t="str">
        <f t="shared" si="1"/>
        <v>جيد</v>
      </c>
      <c r="I59" s="47"/>
      <c r="J59" s="48"/>
    </row>
    <row r="60" spans="1:10" ht="30" customHeight="1" x14ac:dyDescent="0.3">
      <c r="A60" s="11"/>
      <c r="B60" s="87" t="s">
        <v>232</v>
      </c>
      <c r="C60" s="88"/>
      <c r="D60" s="88"/>
      <c r="E60" s="9">
        <v>5</v>
      </c>
      <c r="F60" s="45">
        <v>3.75</v>
      </c>
      <c r="G60" s="30">
        <f t="shared" si="0"/>
        <v>0.75</v>
      </c>
      <c r="H60" s="31" t="str">
        <f t="shared" si="1"/>
        <v>جيد</v>
      </c>
      <c r="I60" s="47"/>
      <c r="J60" s="48"/>
    </row>
    <row r="61" spans="1:10" ht="30" customHeight="1" x14ac:dyDescent="0.3">
      <c r="A61" s="11"/>
      <c r="B61" s="87" t="s">
        <v>233</v>
      </c>
      <c r="C61" s="88"/>
      <c r="D61" s="88"/>
      <c r="E61" s="9">
        <v>5</v>
      </c>
      <c r="F61" s="45">
        <v>4</v>
      </c>
      <c r="G61" s="30">
        <f t="shared" si="0"/>
        <v>0.8</v>
      </c>
      <c r="H61" s="31" t="str">
        <f t="shared" si="1"/>
        <v>جيد جداً</v>
      </c>
      <c r="I61" s="47"/>
      <c r="J61" s="48"/>
    </row>
    <row r="62" spans="1:10" ht="30" customHeight="1" x14ac:dyDescent="0.3">
      <c r="A62" s="11"/>
      <c r="B62" s="87" t="s">
        <v>234</v>
      </c>
      <c r="C62" s="88"/>
      <c r="D62" s="88"/>
      <c r="E62" s="9">
        <v>5</v>
      </c>
      <c r="F62" s="45">
        <v>4</v>
      </c>
      <c r="G62" s="30">
        <f t="shared" si="0"/>
        <v>0.8</v>
      </c>
      <c r="H62" s="31" t="str">
        <f t="shared" si="1"/>
        <v>جيد جداً</v>
      </c>
      <c r="I62" s="47"/>
      <c r="J62" s="48"/>
    </row>
    <row r="63" spans="1:10" ht="30" customHeight="1" x14ac:dyDescent="0.3">
      <c r="A63" s="11"/>
      <c r="B63" s="87" t="s">
        <v>235</v>
      </c>
      <c r="C63" s="88"/>
      <c r="D63" s="88"/>
      <c r="E63" s="9">
        <v>5</v>
      </c>
      <c r="F63" s="45">
        <v>4</v>
      </c>
      <c r="G63" s="30">
        <f t="shared" si="0"/>
        <v>0.8</v>
      </c>
      <c r="H63" s="31" t="str">
        <f t="shared" si="1"/>
        <v>جيد جداً</v>
      </c>
      <c r="I63" s="47"/>
      <c r="J63" s="48"/>
    </row>
    <row r="64" spans="1:10" ht="30" customHeight="1" x14ac:dyDescent="0.3">
      <c r="A64" s="11"/>
      <c r="B64" s="87" t="s">
        <v>236</v>
      </c>
      <c r="C64" s="88"/>
      <c r="D64" s="88"/>
      <c r="E64" s="9">
        <v>5</v>
      </c>
      <c r="F64" s="45">
        <v>3.75</v>
      </c>
      <c r="G64" s="30">
        <f t="shared" si="0"/>
        <v>0.75</v>
      </c>
      <c r="H64" s="31" t="str">
        <f t="shared" si="1"/>
        <v>جيد</v>
      </c>
      <c r="I64" s="47"/>
      <c r="J64" s="48"/>
    </row>
    <row r="65" spans="1:10" ht="30" customHeight="1" x14ac:dyDescent="0.3">
      <c r="A65" s="11"/>
      <c r="B65" s="87" t="s">
        <v>237</v>
      </c>
      <c r="C65" s="88"/>
      <c r="D65" s="88"/>
      <c r="E65" s="9">
        <v>0</v>
      </c>
      <c r="F65" s="45"/>
      <c r="G65" s="30" t="str">
        <f t="shared" si="0"/>
        <v/>
      </c>
      <c r="H65" s="31"/>
      <c r="I65" s="47"/>
      <c r="J65" s="48"/>
    </row>
    <row r="66" spans="1:10" ht="30" customHeight="1" x14ac:dyDescent="0.3">
      <c r="A66" s="11"/>
      <c r="B66" s="87" t="s">
        <v>238</v>
      </c>
      <c r="C66" s="88"/>
      <c r="D66" s="88"/>
      <c r="E66" s="9">
        <v>5</v>
      </c>
      <c r="F66" s="45">
        <v>3.75</v>
      </c>
      <c r="G66" s="30">
        <f t="shared" si="0"/>
        <v>0.75</v>
      </c>
      <c r="H66" s="31" t="str">
        <f t="shared" si="1"/>
        <v>جيد</v>
      </c>
      <c r="I66" s="47"/>
      <c r="J66" s="48"/>
    </row>
    <row r="67" spans="1:10" ht="30" customHeight="1" x14ac:dyDescent="0.3">
      <c r="A67" s="11"/>
      <c r="B67" s="87" t="s">
        <v>239</v>
      </c>
      <c r="C67" s="88"/>
      <c r="D67" s="88"/>
      <c r="E67" s="9">
        <v>5</v>
      </c>
      <c r="F67" s="45">
        <v>3.75</v>
      </c>
      <c r="G67" s="30">
        <f t="shared" si="0"/>
        <v>0.75</v>
      </c>
      <c r="H67" s="31" t="str">
        <f t="shared" si="1"/>
        <v>جيد</v>
      </c>
      <c r="I67" s="47"/>
      <c r="J67" s="48"/>
    </row>
    <row r="68" spans="1:10" ht="30" customHeight="1" thickBot="1" x14ac:dyDescent="0.35">
      <c r="A68" s="11"/>
      <c r="B68" s="91" t="s">
        <v>240</v>
      </c>
      <c r="C68" s="92"/>
      <c r="D68" s="92"/>
      <c r="E68" s="42">
        <v>5</v>
      </c>
      <c r="F68" s="45">
        <v>3.75</v>
      </c>
      <c r="G68" s="35">
        <f t="shared" si="0"/>
        <v>0.75</v>
      </c>
      <c r="H68" s="36" t="str">
        <f t="shared" si="1"/>
        <v>جيد</v>
      </c>
      <c r="I68" s="49"/>
      <c r="J68" s="50"/>
    </row>
    <row r="69" spans="1:10" ht="39.9" customHeight="1" x14ac:dyDescent="0.3">
      <c r="A69" s="11"/>
      <c r="B69" s="85" t="s">
        <v>241</v>
      </c>
      <c r="C69" s="86"/>
      <c r="D69" s="86"/>
      <c r="E69" s="43"/>
      <c r="F69" s="32"/>
      <c r="G69" s="33"/>
      <c r="H69" s="34"/>
      <c r="I69" s="56"/>
      <c r="J69" s="57"/>
    </row>
    <row r="70" spans="1:10" ht="30" customHeight="1" x14ac:dyDescent="0.3">
      <c r="A70" s="11"/>
      <c r="B70" s="87" t="s">
        <v>242</v>
      </c>
      <c r="C70" s="88"/>
      <c r="D70" s="88"/>
      <c r="E70" s="9">
        <v>5</v>
      </c>
      <c r="F70" s="27">
        <v>3.75</v>
      </c>
      <c r="G70" s="30">
        <f t="shared" si="0"/>
        <v>0.75</v>
      </c>
      <c r="H70" s="31" t="str">
        <f t="shared" si="1"/>
        <v>جيد</v>
      </c>
      <c r="I70" s="47"/>
      <c r="J70" s="48"/>
    </row>
    <row r="71" spans="1:10" ht="30" customHeight="1" x14ac:dyDescent="0.3">
      <c r="A71" s="11"/>
      <c r="B71" s="87" t="s">
        <v>243</v>
      </c>
      <c r="C71" s="88"/>
      <c r="D71" s="88"/>
      <c r="E71" s="9">
        <v>0</v>
      </c>
      <c r="F71" s="45"/>
      <c r="G71" s="30" t="str">
        <f t="shared" si="0"/>
        <v/>
      </c>
      <c r="H71" s="31"/>
      <c r="I71" s="47"/>
      <c r="J71" s="48"/>
    </row>
    <row r="72" spans="1:10" ht="30" customHeight="1" x14ac:dyDescent="0.3">
      <c r="A72" s="11"/>
      <c r="B72" s="87" t="s">
        <v>244</v>
      </c>
      <c r="C72" s="88"/>
      <c r="D72" s="88"/>
      <c r="E72" s="9">
        <v>5</v>
      </c>
      <c r="F72" s="45">
        <v>4</v>
      </c>
      <c r="G72" s="30">
        <f t="shared" si="0"/>
        <v>0.8</v>
      </c>
      <c r="H72" s="31" t="str">
        <f t="shared" si="1"/>
        <v>جيد جداً</v>
      </c>
      <c r="I72" s="47"/>
      <c r="J72" s="48"/>
    </row>
    <row r="73" spans="1:10" ht="30" customHeight="1" x14ac:dyDescent="0.3">
      <c r="A73" s="11"/>
      <c r="B73" s="87" t="s">
        <v>245</v>
      </c>
      <c r="C73" s="88"/>
      <c r="D73" s="88"/>
      <c r="E73" s="9">
        <v>5</v>
      </c>
      <c r="F73" s="46">
        <v>3.75</v>
      </c>
      <c r="G73" s="30">
        <f t="shared" si="0"/>
        <v>0.75</v>
      </c>
      <c r="H73" s="31" t="str">
        <f t="shared" si="1"/>
        <v>جيد</v>
      </c>
      <c r="I73" s="47"/>
      <c r="J73" s="48"/>
    </row>
    <row r="74" spans="1:10" ht="30" customHeight="1" thickBot="1" x14ac:dyDescent="0.35">
      <c r="A74" s="11"/>
      <c r="B74" s="91" t="s">
        <v>246</v>
      </c>
      <c r="C74" s="92"/>
      <c r="D74" s="92"/>
      <c r="E74" s="42">
        <v>5</v>
      </c>
      <c r="F74" s="46">
        <v>3.75</v>
      </c>
      <c r="G74" s="35">
        <f t="shared" ref="G74:G113" si="2">IFERROR(F74/E74,"")</f>
        <v>0.75</v>
      </c>
      <c r="H74" s="36" t="str">
        <f t="shared" ref="H74:H113" si="3">_xlfn.IFS(F74="أدخل العلامة","",F74="لا ينطبق","تم الإلغاء",G74&gt;=90%,"ممتاز",G74&gt;=80%,"جيد جداً",G74&gt;=70%,"جيد",G74&gt;=60%,"مقبول",G74&lt;60%,"راسب")</f>
        <v>جيد</v>
      </c>
      <c r="I74" s="49"/>
      <c r="J74" s="50"/>
    </row>
    <row r="75" spans="1:10" ht="30" customHeight="1" x14ac:dyDescent="0.3">
      <c r="A75" s="11"/>
      <c r="B75" s="85" t="s">
        <v>247</v>
      </c>
      <c r="C75" s="86"/>
      <c r="D75" s="86"/>
      <c r="E75" s="43"/>
      <c r="F75" s="32"/>
      <c r="G75" s="33"/>
      <c r="H75" s="34"/>
      <c r="I75" s="56"/>
      <c r="J75" s="57"/>
    </row>
    <row r="76" spans="1:10" ht="30" customHeight="1" x14ac:dyDescent="0.3">
      <c r="A76" s="11"/>
      <c r="B76" s="87" t="s">
        <v>248</v>
      </c>
      <c r="C76" s="88"/>
      <c r="D76" s="88"/>
      <c r="E76" s="9">
        <v>0</v>
      </c>
      <c r="F76" s="27"/>
      <c r="G76" s="30"/>
      <c r="H76" s="31"/>
      <c r="I76" s="47"/>
      <c r="J76" s="48"/>
    </row>
    <row r="77" spans="1:10" ht="30" customHeight="1" x14ac:dyDescent="0.3">
      <c r="A77" s="11"/>
      <c r="B77" s="87" t="s">
        <v>249</v>
      </c>
      <c r="C77" s="88"/>
      <c r="D77" s="88"/>
      <c r="E77" s="9">
        <v>0</v>
      </c>
      <c r="F77" s="45"/>
      <c r="G77" s="30"/>
      <c r="H77" s="31"/>
      <c r="I77" s="47"/>
      <c r="J77" s="48"/>
    </row>
    <row r="78" spans="1:10" ht="30" customHeight="1" x14ac:dyDescent="0.3">
      <c r="A78" s="11"/>
      <c r="B78" s="87" t="s">
        <v>250</v>
      </c>
      <c r="C78" s="88"/>
      <c r="D78" s="88"/>
      <c r="E78" s="9">
        <v>0</v>
      </c>
      <c r="F78" s="45"/>
      <c r="G78" s="30"/>
      <c r="H78" s="31"/>
      <c r="I78" s="47"/>
      <c r="J78" s="48"/>
    </row>
    <row r="79" spans="1:10" ht="30" customHeight="1" x14ac:dyDescent="0.3">
      <c r="A79" s="11"/>
      <c r="B79" s="87" t="s">
        <v>251</v>
      </c>
      <c r="C79" s="88"/>
      <c r="D79" s="88"/>
      <c r="E79" s="9">
        <v>0</v>
      </c>
      <c r="F79" s="45"/>
      <c r="G79" s="30"/>
      <c r="H79" s="31"/>
      <c r="I79" s="47"/>
      <c r="J79" s="48"/>
    </row>
    <row r="80" spans="1:10" ht="30" customHeight="1" thickBot="1" x14ac:dyDescent="0.35">
      <c r="A80" s="11"/>
      <c r="B80" s="91" t="s">
        <v>252</v>
      </c>
      <c r="C80" s="92"/>
      <c r="D80" s="92"/>
      <c r="E80" s="42">
        <v>0</v>
      </c>
      <c r="F80" s="45"/>
      <c r="G80" s="35"/>
      <c r="H80" s="36"/>
      <c r="I80" s="49"/>
      <c r="J80" s="50"/>
    </row>
    <row r="81" spans="1:10" ht="30" customHeight="1" x14ac:dyDescent="0.3">
      <c r="A81" s="11"/>
      <c r="B81" s="85" t="s">
        <v>253</v>
      </c>
      <c r="C81" s="86"/>
      <c r="D81" s="86"/>
      <c r="E81" s="43"/>
      <c r="F81" s="32"/>
      <c r="G81" s="33"/>
      <c r="H81" s="34"/>
      <c r="I81" s="56"/>
      <c r="J81" s="57"/>
    </row>
    <row r="82" spans="1:10" ht="30" customHeight="1" x14ac:dyDescent="0.3">
      <c r="A82" s="11"/>
      <c r="B82" s="87" t="s">
        <v>254</v>
      </c>
      <c r="C82" s="88"/>
      <c r="D82" s="88"/>
      <c r="E82" s="9">
        <v>0</v>
      </c>
      <c r="F82" s="27"/>
      <c r="G82" s="30"/>
      <c r="H82" s="31"/>
      <c r="I82" s="47"/>
      <c r="J82" s="48"/>
    </row>
    <row r="83" spans="1:10" ht="30" customHeight="1" x14ac:dyDescent="0.3">
      <c r="A83" s="11"/>
      <c r="B83" s="87" t="s">
        <v>255</v>
      </c>
      <c r="C83" s="88"/>
      <c r="D83" s="88"/>
      <c r="E83" s="9">
        <v>0</v>
      </c>
      <c r="F83" s="45"/>
      <c r="G83" s="30"/>
      <c r="H83" s="31"/>
      <c r="I83" s="47"/>
      <c r="J83" s="48"/>
    </row>
    <row r="84" spans="1:10" ht="30" customHeight="1" x14ac:dyDescent="0.3">
      <c r="A84" s="11"/>
      <c r="B84" s="87" t="s">
        <v>256</v>
      </c>
      <c r="C84" s="88"/>
      <c r="D84" s="88"/>
      <c r="E84" s="9">
        <v>0</v>
      </c>
      <c r="F84" s="45"/>
      <c r="G84" s="30"/>
      <c r="H84" s="31"/>
      <c r="I84" s="47"/>
      <c r="J84" s="48"/>
    </row>
    <row r="85" spans="1:10" ht="30" customHeight="1" x14ac:dyDescent="0.3">
      <c r="A85" s="11"/>
      <c r="B85" s="87" t="s">
        <v>257</v>
      </c>
      <c r="C85" s="88"/>
      <c r="D85" s="88"/>
      <c r="E85" s="9">
        <v>0</v>
      </c>
      <c r="F85" s="45"/>
      <c r="G85" s="30"/>
      <c r="H85" s="31"/>
      <c r="I85" s="47"/>
      <c r="J85" s="48"/>
    </row>
    <row r="86" spans="1:10" ht="30" customHeight="1" x14ac:dyDescent="0.3">
      <c r="A86" s="11"/>
      <c r="B86" s="87" t="s">
        <v>258</v>
      </c>
      <c r="C86" s="88"/>
      <c r="D86" s="88"/>
      <c r="E86" s="9">
        <v>0</v>
      </c>
      <c r="F86" s="45"/>
      <c r="G86" s="30"/>
      <c r="H86" s="31"/>
      <c r="I86" s="47"/>
      <c r="J86" s="48"/>
    </row>
    <row r="87" spans="1:10" ht="30" customHeight="1" x14ac:dyDescent="0.3">
      <c r="A87" s="11"/>
      <c r="B87" s="87" t="s">
        <v>259</v>
      </c>
      <c r="C87" s="88"/>
      <c r="D87" s="88"/>
      <c r="E87" s="9">
        <v>0</v>
      </c>
      <c r="F87" s="45"/>
      <c r="G87" s="30"/>
      <c r="H87" s="31"/>
      <c r="I87" s="47"/>
      <c r="J87" s="48"/>
    </row>
    <row r="88" spans="1:10" ht="30" customHeight="1" thickBot="1" x14ac:dyDescent="0.35">
      <c r="A88" s="11"/>
      <c r="B88" s="91" t="s">
        <v>260</v>
      </c>
      <c r="C88" s="92"/>
      <c r="D88" s="92"/>
      <c r="E88" s="42">
        <v>0</v>
      </c>
      <c r="F88" s="45"/>
      <c r="G88" s="35"/>
      <c r="H88" s="36"/>
      <c r="I88" s="49"/>
      <c r="J88" s="50"/>
    </row>
    <row r="89" spans="1:10" ht="30" customHeight="1" x14ac:dyDescent="0.3">
      <c r="A89" s="11"/>
      <c r="B89" s="85" t="s">
        <v>261</v>
      </c>
      <c r="C89" s="86"/>
      <c r="D89" s="86"/>
      <c r="E89" s="43"/>
      <c r="F89" s="32"/>
      <c r="G89" s="33"/>
      <c r="H89" s="34"/>
      <c r="I89" s="56"/>
      <c r="J89" s="57"/>
    </row>
    <row r="90" spans="1:10" ht="30" customHeight="1" x14ac:dyDescent="0.3">
      <c r="A90" s="11"/>
      <c r="B90" s="87" t="s">
        <v>262</v>
      </c>
      <c r="C90" s="88"/>
      <c r="D90" s="88"/>
      <c r="E90" s="9">
        <v>5</v>
      </c>
      <c r="F90" s="27">
        <v>3.5</v>
      </c>
      <c r="G90" s="30">
        <f t="shared" si="2"/>
        <v>0.7</v>
      </c>
      <c r="H90" s="31" t="str">
        <f t="shared" si="3"/>
        <v>جيد</v>
      </c>
      <c r="I90" s="47"/>
      <c r="J90" s="48"/>
    </row>
    <row r="91" spans="1:10" ht="30" customHeight="1" x14ac:dyDescent="0.3">
      <c r="A91" s="11"/>
      <c r="B91" s="87" t="s">
        <v>263</v>
      </c>
      <c r="C91" s="88"/>
      <c r="D91" s="88"/>
      <c r="E91" s="9">
        <v>5</v>
      </c>
      <c r="F91" s="45">
        <v>4</v>
      </c>
      <c r="G91" s="30">
        <f t="shared" si="2"/>
        <v>0.8</v>
      </c>
      <c r="H91" s="31" t="str">
        <f t="shared" si="3"/>
        <v>جيد جداً</v>
      </c>
      <c r="I91" s="47"/>
      <c r="J91" s="48"/>
    </row>
    <row r="92" spans="1:10" ht="30" customHeight="1" x14ac:dyDescent="0.3">
      <c r="A92" s="11"/>
      <c r="B92" s="87" t="s">
        <v>264</v>
      </c>
      <c r="C92" s="88"/>
      <c r="D92" s="88"/>
      <c r="E92" s="9">
        <v>5</v>
      </c>
      <c r="F92" s="45">
        <v>3.5</v>
      </c>
      <c r="G92" s="30">
        <f t="shared" si="2"/>
        <v>0.7</v>
      </c>
      <c r="H92" s="31" t="str">
        <f t="shared" si="3"/>
        <v>جيد</v>
      </c>
      <c r="I92" s="47"/>
      <c r="J92" s="48"/>
    </row>
    <row r="93" spans="1:10" ht="30" customHeight="1" x14ac:dyDescent="0.3">
      <c r="A93" s="11"/>
      <c r="B93" s="87" t="s">
        <v>265</v>
      </c>
      <c r="C93" s="88"/>
      <c r="D93" s="88"/>
      <c r="E93" s="9">
        <v>5</v>
      </c>
      <c r="F93" s="45">
        <v>4.25</v>
      </c>
      <c r="G93" s="30">
        <f t="shared" si="2"/>
        <v>0.85</v>
      </c>
      <c r="H93" s="31" t="str">
        <f t="shared" si="3"/>
        <v>جيد جداً</v>
      </c>
      <c r="I93" s="47"/>
      <c r="J93" s="48"/>
    </row>
    <row r="94" spans="1:10" ht="30" customHeight="1" x14ac:dyDescent="0.3">
      <c r="A94" s="11"/>
      <c r="B94" s="87" t="s">
        <v>266</v>
      </c>
      <c r="C94" s="88"/>
      <c r="D94" s="88"/>
      <c r="E94" s="9">
        <v>5</v>
      </c>
      <c r="F94" s="45">
        <v>3.5</v>
      </c>
      <c r="G94" s="30">
        <f t="shared" si="2"/>
        <v>0.7</v>
      </c>
      <c r="H94" s="31" t="str">
        <f t="shared" si="3"/>
        <v>جيد</v>
      </c>
      <c r="I94" s="47"/>
      <c r="J94" s="48"/>
    </row>
    <row r="95" spans="1:10" ht="39.9" customHeight="1" thickBot="1" x14ac:dyDescent="0.35">
      <c r="A95" s="11"/>
      <c r="B95" s="91" t="s">
        <v>267</v>
      </c>
      <c r="C95" s="92"/>
      <c r="D95" s="92"/>
      <c r="E95" s="42">
        <v>10</v>
      </c>
      <c r="F95" s="45">
        <v>8.25</v>
      </c>
      <c r="G95" s="35">
        <f t="shared" si="2"/>
        <v>0.82499999999999996</v>
      </c>
      <c r="H95" s="36" t="str">
        <f t="shared" si="3"/>
        <v>جيد جداً</v>
      </c>
      <c r="I95" s="49"/>
      <c r="J95" s="50"/>
    </row>
    <row r="96" spans="1:10" ht="30" customHeight="1" x14ac:dyDescent="0.3">
      <c r="A96" s="11"/>
      <c r="B96" s="85" t="s">
        <v>268</v>
      </c>
      <c r="C96" s="86"/>
      <c r="D96" s="86"/>
      <c r="E96" s="43"/>
      <c r="F96" s="32"/>
      <c r="G96" s="33"/>
      <c r="H96" s="34"/>
      <c r="I96" s="56"/>
      <c r="J96" s="57"/>
    </row>
    <row r="97" spans="1:10" ht="30" customHeight="1" x14ac:dyDescent="0.3">
      <c r="A97" s="11"/>
      <c r="B97" s="87" t="s">
        <v>269</v>
      </c>
      <c r="C97" s="88"/>
      <c r="D97" s="88"/>
      <c r="E97" s="9">
        <v>5</v>
      </c>
      <c r="F97" s="27">
        <v>4</v>
      </c>
      <c r="G97" s="30">
        <f t="shared" si="2"/>
        <v>0.8</v>
      </c>
      <c r="H97" s="31" t="str">
        <f t="shared" si="3"/>
        <v>جيد جداً</v>
      </c>
      <c r="I97" s="47"/>
      <c r="J97" s="48"/>
    </row>
    <row r="98" spans="1:10" ht="30" customHeight="1" x14ac:dyDescent="0.3">
      <c r="A98" s="11"/>
      <c r="B98" s="87" t="s">
        <v>270</v>
      </c>
      <c r="C98" s="88"/>
      <c r="D98" s="88"/>
      <c r="E98" s="9">
        <v>5</v>
      </c>
      <c r="F98" s="45">
        <v>3.75</v>
      </c>
      <c r="G98" s="30">
        <f t="shared" si="2"/>
        <v>0.75</v>
      </c>
      <c r="H98" s="31" t="str">
        <f t="shared" si="3"/>
        <v>جيد</v>
      </c>
      <c r="I98" s="47"/>
      <c r="J98" s="48"/>
    </row>
    <row r="99" spans="1:10" ht="30" customHeight="1" thickBot="1" x14ac:dyDescent="0.35">
      <c r="A99" s="11"/>
      <c r="B99" s="91" t="s">
        <v>271</v>
      </c>
      <c r="C99" s="92"/>
      <c r="D99" s="92"/>
      <c r="E99" s="42">
        <v>5</v>
      </c>
      <c r="F99" s="45">
        <v>3.75</v>
      </c>
      <c r="G99" s="35">
        <f t="shared" si="2"/>
        <v>0.75</v>
      </c>
      <c r="H99" s="36" t="str">
        <f t="shared" si="3"/>
        <v>جيد</v>
      </c>
      <c r="I99" s="49"/>
      <c r="J99" s="50"/>
    </row>
    <row r="100" spans="1:10" ht="30" customHeight="1" x14ac:dyDescent="0.3">
      <c r="A100" s="11"/>
      <c r="B100" s="85" t="s">
        <v>272</v>
      </c>
      <c r="C100" s="86"/>
      <c r="D100" s="86"/>
      <c r="E100" s="43"/>
      <c r="F100" s="32"/>
      <c r="G100" s="33"/>
      <c r="H100" s="34"/>
      <c r="I100" s="56"/>
      <c r="J100" s="57"/>
    </row>
    <row r="101" spans="1:10" ht="30" customHeight="1" x14ac:dyDescent="0.3">
      <c r="A101" s="11"/>
      <c r="B101" s="87" t="s">
        <v>273</v>
      </c>
      <c r="C101" s="88"/>
      <c r="D101" s="88"/>
      <c r="E101" s="9">
        <v>5</v>
      </c>
      <c r="F101" s="27">
        <v>3.75</v>
      </c>
      <c r="G101" s="30">
        <f t="shared" si="2"/>
        <v>0.75</v>
      </c>
      <c r="H101" s="31" t="str">
        <f t="shared" si="3"/>
        <v>جيد</v>
      </c>
      <c r="I101" s="47"/>
      <c r="J101" s="48"/>
    </row>
    <row r="102" spans="1:10" ht="30" customHeight="1" x14ac:dyDescent="0.3">
      <c r="A102" s="11"/>
      <c r="B102" s="87" t="s">
        <v>274</v>
      </c>
      <c r="C102" s="88"/>
      <c r="D102" s="88"/>
      <c r="E102" s="9">
        <v>5</v>
      </c>
      <c r="F102" s="45">
        <v>3.75</v>
      </c>
      <c r="G102" s="30">
        <f t="shared" si="2"/>
        <v>0.75</v>
      </c>
      <c r="H102" s="31" t="str">
        <f t="shared" si="3"/>
        <v>جيد</v>
      </c>
      <c r="I102" s="47"/>
      <c r="J102" s="48"/>
    </row>
    <row r="103" spans="1:10" ht="30" customHeight="1" thickBot="1" x14ac:dyDescent="0.35">
      <c r="A103" s="11"/>
      <c r="B103" s="91" t="s">
        <v>275</v>
      </c>
      <c r="C103" s="92"/>
      <c r="D103" s="92"/>
      <c r="E103" s="42">
        <v>5</v>
      </c>
      <c r="F103" s="45">
        <v>3.75</v>
      </c>
      <c r="G103" s="35">
        <f t="shared" si="2"/>
        <v>0.75</v>
      </c>
      <c r="H103" s="36" t="str">
        <f t="shared" si="3"/>
        <v>جيد</v>
      </c>
      <c r="I103" s="49"/>
      <c r="J103" s="50"/>
    </row>
    <row r="104" spans="1:10" ht="30" customHeight="1" x14ac:dyDescent="0.3">
      <c r="A104" s="11"/>
      <c r="B104" s="85" t="s">
        <v>276</v>
      </c>
      <c r="C104" s="86"/>
      <c r="D104" s="86"/>
      <c r="E104" s="43"/>
      <c r="F104" s="32"/>
      <c r="G104" s="33"/>
      <c r="H104" s="34"/>
      <c r="I104" s="56"/>
      <c r="J104" s="57"/>
    </row>
    <row r="105" spans="1:10" ht="30" customHeight="1" x14ac:dyDescent="0.3">
      <c r="A105" s="11"/>
      <c r="B105" s="87" t="s">
        <v>277</v>
      </c>
      <c r="C105" s="88"/>
      <c r="D105" s="88"/>
      <c r="E105" s="9">
        <v>10</v>
      </c>
      <c r="F105" s="27">
        <v>7</v>
      </c>
      <c r="G105" s="30">
        <f t="shared" si="2"/>
        <v>0.7</v>
      </c>
      <c r="H105" s="31" t="str">
        <f t="shared" si="3"/>
        <v>جيد</v>
      </c>
      <c r="I105" s="47"/>
      <c r="J105" s="48"/>
    </row>
    <row r="106" spans="1:10" ht="30" customHeight="1" thickBot="1" x14ac:dyDescent="0.35">
      <c r="A106" s="11"/>
      <c r="B106" s="91" t="s">
        <v>278</v>
      </c>
      <c r="C106" s="92"/>
      <c r="D106" s="92"/>
      <c r="E106" s="42">
        <v>10</v>
      </c>
      <c r="F106" s="45">
        <v>8</v>
      </c>
      <c r="G106" s="35">
        <f t="shared" si="2"/>
        <v>0.8</v>
      </c>
      <c r="H106" s="36" t="str">
        <f t="shared" si="3"/>
        <v>جيد جداً</v>
      </c>
      <c r="I106" s="49"/>
      <c r="J106" s="50"/>
    </row>
    <row r="107" spans="1:10" ht="30" customHeight="1" x14ac:dyDescent="0.3">
      <c r="A107" s="11"/>
      <c r="B107" s="85" t="s">
        <v>279</v>
      </c>
      <c r="C107" s="86"/>
      <c r="D107" s="86"/>
      <c r="E107" s="41"/>
      <c r="F107" s="32"/>
      <c r="G107" s="33"/>
      <c r="H107" s="34"/>
      <c r="I107" s="56"/>
      <c r="J107" s="57"/>
    </row>
    <row r="108" spans="1:10" ht="30" customHeight="1" x14ac:dyDescent="0.3">
      <c r="A108" s="11"/>
      <c r="B108" s="87" t="s">
        <v>280</v>
      </c>
      <c r="C108" s="88"/>
      <c r="D108" s="88"/>
      <c r="E108" s="9">
        <v>5</v>
      </c>
      <c r="F108" s="27">
        <v>3.75</v>
      </c>
      <c r="G108" s="30">
        <f t="shared" si="2"/>
        <v>0.75</v>
      </c>
      <c r="H108" s="31" t="str">
        <f t="shared" si="3"/>
        <v>جيد</v>
      </c>
      <c r="I108" s="47"/>
      <c r="J108" s="48"/>
    </row>
    <row r="109" spans="1:10" ht="30" customHeight="1" x14ac:dyDescent="0.3">
      <c r="A109" s="11"/>
      <c r="B109" s="87" t="s">
        <v>281</v>
      </c>
      <c r="C109" s="88"/>
      <c r="D109" s="88"/>
      <c r="E109" s="9">
        <v>5</v>
      </c>
      <c r="F109" s="45">
        <v>4</v>
      </c>
      <c r="G109" s="30">
        <f t="shared" si="2"/>
        <v>0.8</v>
      </c>
      <c r="H109" s="31" t="str">
        <f t="shared" si="3"/>
        <v>جيد جداً</v>
      </c>
      <c r="I109" s="47"/>
      <c r="J109" s="48"/>
    </row>
    <row r="110" spans="1:10" ht="30" customHeight="1" x14ac:dyDescent="0.3">
      <c r="A110" s="11"/>
      <c r="B110" s="87" t="s">
        <v>282</v>
      </c>
      <c r="C110" s="88"/>
      <c r="D110" s="88"/>
      <c r="E110" s="9">
        <v>5</v>
      </c>
      <c r="F110" s="45">
        <v>3.75</v>
      </c>
      <c r="G110" s="30">
        <f t="shared" si="2"/>
        <v>0.75</v>
      </c>
      <c r="H110" s="31" t="str">
        <f t="shared" si="3"/>
        <v>جيد</v>
      </c>
      <c r="I110" s="47"/>
      <c r="J110" s="48"/>
    </row>
    <row r="111" spans="1:10" ht="30" customHeight="1" x14ac:dyDescent="0.3">
      <c r="A111" s="11"/>
      <c r="B111" s="87" t="s">
        <v>283</v>
      </c>
      <c r="C111" s="88"/>
      <c r="D111" s="88"/>
      <c r="E111" s="9">
        <v>5</v>
      </c>
      <c r="F111" s="45">
        <v>3.5</v>
      </c>
      <c r="G111" s="30">
        <f t="shared" si="2"/>
        <v>0.7</v>
      </c>
      <c r="H111" s="31" t="str">
        <f t="shared" si="3"/>
        <v>جيد</v>
      </c>
      <c r="I111" s="47"/>
      <c r="J111" s="48"/>
    </row>
    <row r="112" spans="1:10" ht="30" customHeight="1" x14ac:dyDescent="0.3">
      <c r="A112" s="11"/>
      <c r="B112" s="87" t="s">
        <v>284</v>
      </c>
      <c r="C112" s="88"/>
      <c r="D112" s="88"/>
      <c r="E112" s="9">
        <v>10</v>
      </c>
      <c r="F112" s="45">
        <v>7.75</v>
      </c>
      <c r="G112" s="30">
        <f t="shared" si="2"/>
        <v>0.77500000000000002</v>
      </c>
      <c r="H112" s="31" t="str">
        <f t="shared" si="3"/>
        <v>جيد</v>
      </c>
      <c r="I112" s="47"/>
      <c r="J112" s="48"/>
    </row>
    <row r="113" spans="1:10" ht="30" customHeight="1" thickBot="1" x14ac:dyDescent="0.35">
      <c r="A113" s="11"/>
      <c r="B113" s="91" t="s">
        <v>285</v>
      </c>
      <c r="C113" s="92"/>
      <c r="D113" s="92"/>
      <c r="E113" s="42">
        <v>15</v>
      </c>
      <c r="F113" s="45">
        <v>10.75</v>
      </c>
      <c r="G113" s="35">
        <f t="shared" si="2"/>
        <v>0.71666666666666667</v>
      </c>
      <c r="H113" s="36" t="str">
        <f t="shared" si="3"/>
        <v>جيد</v>
      </c>
      <c r="I113" s="49"/>
      <c r="J113" s="50"/>
    </row>
    <row r="114" spans="1:10" ht="30" customHeight="1" thickBot="1" x14ac:dyDescent="0.35">
      <c r="A114" s="4"/>
      <c r="B114" s="81" t="s">
        <v>5</v>
      </c>
      <c r="C114" s="82"/>
      <c r="D114" s="82"/>
      <c r="E114" s="10">
        <f>SUM(E8:E113)</f>
        <v>415</v>
      </c>
      <c r="F114" s="10">
        <f>SUM(F8:F113)</f>
        <v>313</v>
      </c>
      <c r="G114" s="53"/>
      <c r="H114" s="54"/>
      <c r="I114" s="54"/>
      <c r="J114" s="55"/>
    </row>
    <row r="115" spans="1:10" ht="30" customHeight="1" thickBot="1" x14ac:dyDescent="0.35">
      <c r="A115" s="4"/>
      <c r="B115" s="81" t="s">
        <v>54</v>
      </c>
      <c r="C115" s="82"/>
      <c r="D115" s="82"/>
      <c r="E115" s="65">
        <f>F114/E114/100*100</f>
        <v>0.75421686746987948</v>
      </c>
      <c r="F115" s="65"/>
      <c r="G115" s="65"/>
      <c r="H115" s="65"/>
      <c r="I115" s="65"/>
      <c r="J115" s="66"/>
    </row>
    <row r="116" spans="1:10" ht="30" customHeight="1" thickBot="1" x14ac:dyDescent="0.35">
      <c r="A116" s="4"/>
      <c r="B116" s="81" t="s">
        <v>55</v>
      </c>
      <c r="C116" s="82"/>
      <c r="D116" s="82"/>
      <c r="E116" s="79" t="str">
        <f>_xlfn.IFS(E115&gt;=90%,"ممتاز",E115&gt;=80%,"جيد جداً",E115&gt;=70%,"جيد",E115&gt;=60%,"مقبول",E115&lt;60%,"راسب")</f>
        <v>جيد</v>
      </c>
      <c r="F116" s="79"/>
      <c r="G116" s="79"/>
      <c r="H116" s="79"/>
      <c r="I116" s="79"/>
      <c r="J116" s="80"/>
    </row>
    <row r="117" spans="1:10" ht="42" customHeight="1" x14ac:dyDescent="0.3">
      <c r="B117" s="75" t="s">
        <v>174</v>
      </c>
      <c r="C117" s="75"/>
      <c r="D117" s="75"/>
      <c r="E117" s="51" t="s">
        <v>52</v>
      </c>
      <c r="F117" s="51"/>
      <c r="G117" s="77" t="s">
        <v>176</v>
      </c>
      <c r="H117" s="77"/>
      <c r="I117" s="77"/>
      <c r="J117" s="77"/>
    </row>
    <row r="118" spans="1:10" ht="51" customHeight="1" x14ac:dyDescent="0.3">
      <c r="A118" s="5"/>
      <c r="B118" s="76"/>
      <c r="C118" s="76"/>
      <c r="D118" s="76"/>
      <c r="E118" s="52" t="s">
        <v>53</v>
      </c>
      <c r="F118" s="52"/>
      <c r="G118" s="78"/>
      <c r="H118" s="78"/>
      <c r="I118" s="78"/>
      <c r="J118" s="78"/>
    </row>
  </sheetData>
  <sheetProtection formatCells="0" formatColumns="0" formatRows="0" insertColumns="0" insertRows="0" insertHyperlinks="0" deleteColumns="0" deleteRows="0" selectLockedCells="1" sort="0" autoFilter="0" pivotTables="0"/>
  <mergeCells count="233">
    <mergeCell ref="B107:D107"/>
    <mergeCell ref="B108:D108"/>
    <mergeCell ref="B109:D109"/>
    <mergeCell ref="B110:D110"/>
    <mergeCell ref="B111:D111"/>
    <mergeCell ref="B112:D112"/>
    <mergeCell ref="B113:D113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I33:J33"/>
    <mergeCell ref="I34:J34"/>
    <mergeCell ref="I35:J35"/>
    <mergeCell ref="I36:J36"/>
    <mergeCell ref="I8:J8"/>
    <mergeCell ref="B114:D114"/>
    <mergeCell ref="B115:D115"/>
    <mergeCell ref="B116:D11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102:J102"/>
    <mergeCell ref="I89:J89"/>
    <mergeCell ref="B117:D118"/>
    <mergeCell ref="G117:J117"/>
    <mergeCell ref="G118:J118"/>
    <mergeCell ref="E116:J116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101:J101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B1:J1"/>
    <mergeCell ref="F2:J2"/>
    <mergeCell ref="B5:D6"/>
    <mergeCell ref="C2:D2"/>
    <mergeCell ref="C3:D3"/>
    <mergeCell ref="F3:J3"/>
    <mergeCell ref="E115:J115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47:J47"/>
    <mergeCell ref="I48:J48"/>
    <mergeCell ref="I108:J108"/>
    <mergeCell ref="I109:J109"/>
    <mergeCell ref="I110:J110"/>
    <mergeCell ref="I111:J111"/>
    <mergeCell ref="I112:J112"/>
    <mergeCell ref="I103:J103"/>
    <mergeCell ref="I104:J104"/>
    <mergeCell ref="I105:J105"/>
    <mergeCell ref="I106:J106"/>
    <mergeCell ref="I107:J107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9:J9"/>
    <mergeCell ref="I113:J113"/>
    <mergeCell ref="E117:F117"/>
    <mergeCell ref="E118:F118"/>
    <mergeCell ref="G114:J114"/>
    <mergeCell ref="I72:J72"/>
    <mergeCell ref="I73:J73"/>
    <mergeCell ref="I74:J74"/>
    <mergeCell ref="I75:J75"/>
    <mergeCell ref="I76:J76"/>
    <mergeCell ref="I77:J77"/>
    <mergeCell ref="I78:J78"/>
    <mergeCell ref="I79:J79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45:J45"/>
    <mergeCell ref="I46:J4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16">
    <cfRule type="expression" dxfId="14" priority="57">
      <formula>$E116="راسب"</formula>
    </cfRule>
  </conditionalFormatting>
  <conditionalFormatting sqref="E116:J116">
    <cfRule type="expression" dxfId="13" priority="58">
      <formula>$E116="مقبول"</formula>
    </cfRule>
    <cfRule type="expression" dxfId="12" priority="59">
      <formula>$E116="جيد"</formula>
    </cfRule>
    <cfRule type="expression" dxfId="11" priority="60">
      <formula>$E116="جيد جداً"</formula>
    </cfRule>
    <cfRule type="expression" dxfId="10" priority="61">
      <formula>$E116="ممتاز"</formula>
    </cfRule>
  </conditionalFormatting>
  <conditionalFormatting sqref="F8:F11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17:J117">
    <cfRule type="containsText" dxfId="6" priority="15" operator="containsText" text="أدخل اسم المحكم">
      <formula>NOT(ISERROR(SEARCH("أدخل اسم المحكم",G117)))</formula>
    </cfRule>
  </conditionalFormatting>
  <conditionalFormatting sqref="H8:H11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109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F9:F15 F25:F27 F101:F103 F97:F99 F108:F111 F82:F88 F76:F80 F70:F74 F53:F68 F38:F51 F29:F36 F90:F94 F17:F22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G117:J117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03CBC26D-3711-4534-8EF3-BCC7452F860C}">
          <x14:formula1>
            <xm:f>'بيانات التقييم'!$A$111:$A$153</xm:f>
          </x14:formula1>
          <xm:sqref>F24 F95 F105 F106 F112</xm:sqref>
        </x14:dataValidation>
        <x14:dataValidation type="list" allowBlank="1" showInputMessage="1" showErrorMessage="1" xr:uid="{56DFB71D-74C3-4D5C-95B9-39A23AD52FA5}">
          <x14:formula1>
            <xm:f>'بيانات التقييم'!$A$111:$A$173</xm:f>
          </x14:formula1>
          <xm:sqref>F113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48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2025-10-06T17:52:01Z</dcterms:modified>
</cp:coreProperties>
</file>