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C5EF0454-CC47-444B-A3C8-F550E137E09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6" i="2"/>
  <c r="H36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3" i="2"/>
  <c r="H53" i="2"/>
  <c r="G54" i="2"/>
  <c r="H54" i="2"/>
  <c r="G55" i="2"/>
  <c r="H55" i="2"/>
  <c r="G57" i="2"/>
  <c r="H57" i="2"/>
  <c r="G58" i="2"/>
  <c r="H58" i="2"/>
  <c r="G59" i="2"/>
  <c r="H59" i="2"/>
  <c r="F60" i="2"/>
  <c r="E60" i="2"/>
  <c r="E61" i="2"/>
  <c r="E62" i="2"/>
</calcChain>
</file>

<file path=xl/sharedStrings.xml><?xml version="1.0" encoding="utf-8"?>
<sst xmlns="http://schemas.openxmlformats.org/spreadsheetml/2006/main" count="289" uniqueCount="233">
  <si>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</si>
  <si>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</si>
  <si>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</si>
  <si>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</si>
  <si>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</si>
  <si>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</si>
  <si>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</si>
  <si>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</si>
  <si>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</si>
  <si>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</si>
  <si>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</si>
  <si>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</si>
  <si>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</si>
  <si>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</si>
  <si>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</si>
  <si>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</si>
  <si>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</si>
  <si>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</si>
  <si>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</si>
  <si>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</si>
  <si>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</si>
  <si>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</si>
  <si>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</si>
  <si>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</si>
  <si>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</si>
  <si>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</si>
  <si>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</si>
  <si>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</si>
  <si>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</si>
  <si>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</si>
  <si>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</si>
  <si>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</si>
  <si>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</si>
  <si>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</si>
  <si>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</si>
  <si>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</si>
  <si>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</si>
  <si>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</si>
  <si>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</si>
  <si>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</si>
  <si>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</si>
  <si>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</si>
  <si>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</si>
  <si>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</si>
  <si>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</si>
  <si>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</si>
  <si>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</si>
  <si>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</si>
  <si>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</si>
  <si>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</si>
  <si>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</si>
  <si>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</si>
  <si>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</si>
  <si>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</si>
  <si>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</si>
  <si>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</si>
  <si>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</si>
  <si>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</si>
  <si>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</si>
  <si>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</si>
  <si>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</si>
  <si>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</si>
  <si>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</si>
  <si>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</si>
  <si>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</si>
  <si>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</si>
  <si>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</si>
  <si>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</si>
  <si>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</si>
  <si>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</si>
  <si>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</si>
  <si>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</si>
  <si>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</si>
  <si>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</si>
  <si>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</si>
  <si>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</si>
  <si>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</si>
  <si>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</si>
  <si>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</si>
  <si>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</si>
  <si>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</si>
  <si>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</si>
  <si>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</si>
  <si>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</si>
  <si>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</si>
  <si>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</si>
  <si>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</si>
  <si>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</si>
  <si>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</si>
  <si>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</si>
  <si>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</si>
  <si>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</si>
  <si>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</si>
  <si>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</si>
  <si>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</si>
  <si>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</si>
  <si>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</si>
  <si>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</si>
  <si>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</si>
  <si>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</si>
  <si>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</si>
  <si>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</si>
  <si>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</si>
  <si>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</si>
  <si>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</si>
  <si>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</si>
  <si>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</si>
  <si>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</si>
  <si>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</si>
  <si>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</si>
  <si>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</si>
  <si>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</si>
  <si>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</si>
  <si>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</si>
  <si>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</si>
  <si>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</si>
  <si>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</si>
  <si>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</si>
  <si>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</si>
  <si>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</si>
  <si>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</si>
  <si>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</si>
  <si>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</si>
  <si>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</si>
  <si>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</si>
  <si>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</si>
  <si>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</si>
  <si>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</si>
  <si>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</si>
  <si>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</si>
  <si>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</si>
  <si>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</si>
  <si>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</si>
  <si>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</si>
  <si>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</si>
  <si>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</si>
  <si>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</si>
  <si>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</si>
  <si>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</si>
  <si>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</si>
  <si>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</si>
  <si>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</si>
  <si>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</si>
  <si>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</si>
  <si>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</si>
  <si>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</si>
  <si>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</si>
  <si>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</si>
  <si>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</si>
  <si>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</si>
  <si>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</si>
  <si>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</si>
  <si>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</si>
  <si>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</si>
  <si>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</si>
  <si>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</si>
  <si>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</si>
  <si>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</si>
  <si>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</si>
  <si>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</si>
  <si>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</si>
  <si>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</si>
  <si>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</si>
  <si>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</si>
  <si>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</si>
  <si>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</si>
  <si>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</si>
  <si>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</si>
  <si>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</si>
  <si>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</si>
  <si>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</si>
  <si>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</si>
  <si>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</si>
  <si>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</si>
  <si>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</si>
  <si>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</si>
  <si>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</si>
  <si>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</si>
  <si>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</si>
  <si>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</si>
  <si>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theme="1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</si>
  <si>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المرتب من الآليات ونسبة الصلاحية.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</si>
  <si>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الطاقم المؤهل بالنسبة لعدد الآليات (السواقين).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</si>
  <si>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كشف معتمد من القائد بالمرتب والموجود ونسبة الصلاحية للآليات.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</si>
  <si>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العهدة.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</si>
  <si>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ملف لحفظ سندات الصرف والاستلام للآليات والعـدة.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</si>
  <si>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الحركة.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</si>
  <si>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الحوادث.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</si>
  <si>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تسليم واستلام الآليات.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</si>
  <si>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الدخول والخروج من الورشة / المشاغل / مراكز الإصلاح.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</si>
  <si>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تعليمات وإجراءات الصيانة الدورية واللوحات الإرشادية.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</si>
  <si>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التقيد بالتعليمات والإجراءات لإدخال الآليات لمراكز الإصلاح.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</si>
  <si>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إدامة السجلات الخاصة بكل آلية بواسطة الطاقم وتصديق الضابط المسؤول.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</si>
  <si>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معرفة السائق بالآلية وإلمامه بالتعليمات والصيانة.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</si>
  <si>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إلمام ضابط النقليات بمهامه وواجباته.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</si>
  <si>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ملف لحفظ نماذج شطب الآليات.</t>
    </r>
  </si>
  <si>
    <r>
      <t>مجموعـة الجسم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</si>
  <si>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النظافة.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</si>
  <si>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وجود أي نواقص.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</si>
  <si>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الضرر.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</si>
  <si>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حالة الصبغ.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</si>
  <si>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فحص الإطارات.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</si>
  <si>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صندوق العدة ومحتوياته.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</si>
  <si>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مقاعد غرفة القيادة والركاب.</t>
    </r>
  </si>
  <si>
    <r>
      <t>الزيـوت / السوائـل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</si>
  <si>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مستـوى الزيـت / المياه (المحرك ، نظـام ناقل الحركة ، الفرامل ، مبرد المياه (الراديتر).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</si>
  <si>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تسرّب الزيت / المياه من أجزاء الآلية.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</si>
  <si>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التقيد بتوقيتات تغيير الزيت.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</si>
  <si>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التشحيــم.</t>
    </r>
  </si>
  <si>
    <r>
      <t>مجموعة القـوى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</si>
  <si>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المحرك.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</si>
  <si>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الوقود.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</si>
  <si>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ناقل الحركة.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</si>
  <si>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التبريد.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</si>
  <si>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الفرامل.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</si>
  <si>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التوجيه.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</si>
  <si>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إطفاء الحريق (طفاية الحريق وصلاحيتها).</t>
    </r>
  </si>
  <si>
    <r>
      <t>الأنظمة الكهربائية والإلكترونية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</si>
  <si>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البطاريات.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</si>
  <si>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التشغيل.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</si>
  <si>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المولــــد.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</si>
  <si>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الداخلية.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</si>
  <si>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الخارجية.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</si>
  <si>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لوحات العرض.</t>
    </r>
  </si>
  <si>
    <t>فحص الآلية أثناء السير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</si>
  <si>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السير على الطريق.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</si>
  <si>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أنظمة الآلية (الميكانيكية والكهربائية).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</si>
  <si>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التكييف / نظام التهوية.</t>
    </r>
  </si>
  <si>
    <t>المهمـات الإضافية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</si>
  <si>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مستــودع الـعــــدة وأغطيـــة التمويه وأعمدة التثبيت.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</si>
  <si>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مستودع قطع الغيار.</t>
    </r>
  </si>
  <si>
    <t>مدى توفر المواقف المغطاة المخصصة للآليات ونظافتها ووجود وصلاحية طفايات الحريق بها.</t>
  </si>
  <si>
    <t>تقييم الحالة الفنية للآليات (ب)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</si>
</sst>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b/>
      <u/>
      <sz val="12"/>
      <color theme="1"/>
      <name val="Arial"/>
      <family val="2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0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7" fillId="0" borderId="23" xfId="0" applyFont="1" applyBorder="1" applyAlignment="1">
      <alignment horizontal="right" vertical="center" wrapText="1" readingOrder="2"/>
    </xf>
    <xf numFmtId="0" fontId="17" fillId="0" borderId="3" xfId="0" applyFont="1" applyBorder="1" applyAlignment="1">
      <alignment horizontal="right" vertical="center" wrapText="1" readingOrder="2"/>
    </xf>
    <xf numFmtId="0" fontId="17" fillId="0" borderId="11" xfId="0" applyFont="1" applyBorder="1" applyAlignment="1">
      <alignment horizontal="right" vertical="center" wrapText="1" readingOrder="2"/>
    </xf>
    <xf numFmtId="0" fontId="17" fillId="0" borderId="12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30527</xdr:colOff>
      <xdr:row>63</xdr:row>
      <xdr:rowOff>148388</xdr:rowOff>
    </xdr:from>
    <xdr:to>
      <xdr:col>8</xdr:col>
      <xdr:colOff>394836</xdr:colOff>
      <xdr:row>63</xdr:row>
      <xdr:rowOff>498308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9363082-FACA-4C75-E191-F2EF0084DFB2}"/>
                </a:ext>
              </a:extLst>
            </xdr14:cNvPr>
            <xdr14:cNvContentPartPr/>
          </xdr14:nvContentPartPr>
          <xdr14:nvPr macro=""/>
          <xdr14:xfrm>
            <a:off x="10398850073" y="24936480"/>
            <a:ext cx="1022400" cy="3499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9363082-FACA-4C75-E191-F2EF0084DFB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841433" y="24927480"/>
              <a:ext cx="1040040" cy="367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4:12:07.5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1710 559 22572,'0'0'0,"-4"-14"656,-2 10-335,-7-8-169,13 12-152,-4 0 64,-2-1 88,1-1-176,-6 0 24,11 2 0,-4-2-56,-13-1 16,0 0-32,-7 2-8,24 1 80,-35-1-64,-6 1 24,-11 0 0,-8 0 8,60 0 32,-67 2-24,-10-2-16,-2 3 48,-6-3 8,85 0-16,-88 0 16,0 0-8,3-4-16,2 0-8,83 4 16,-77-13-57,4 9-23,3-10 16,5 8-112,65 6 176,-63-14-24,7 2-64,3 1 104,4-1 24,49 12-40,-49-14-40,6 1 112,6-2-104,7-1 32,30 16 0,-23-15 40,3-4-96,14 2 32,-5 1-152,11 16 176,0-17-200,13 2-8,8-2 0,9-5 32,-30 22 176,46-24-184,16-1 112,5-4-32,12 1 128,-79 28-24,87-26 24,12 2 32,7 4 16,4 3-56,-110 17-16,117-13 0,0 2-40,1 7-8,2-1 8,-120 5 40,118-3-56,-2 3 80,1 0-32,-1 3 56,-116-3-48,115 12 64,-4-9-88,-5 8-16,-4-8-88,-102-3 128,93 11-88,-1-7 112,-4 12 16,-4-5 40,-84-11-80,76 12 24,-10-8-88,-9 10 48,-12-10-8,-45-4 24,31 15-40,-11-11-24,-15 10-24,-2-11 88,-3-3 0,-3 11 24,-19-6 24,-15 7 112,-15 1-120,-15 1-8,67-14-32,-83 18 72,-10 1-144,-18 4 112,111-23-40,-121 26-24,-14 1 0,-14 4 88,-9-1-80,158-30 16,-165 33 56,-2-1-16,-4 1-32,1 1 32,2-4 16,168-30-56,-162 28 0,13-1 24,16-4-8,14-2-16,119-21 0,-103 19 40,18-3 24,17-5 16,19-7-32,49-4-48,-31 4 80,16 1-96,15-5-136,0 0 152,3 0-120,20 0-24,12-5 40,18-12 104,16-1-56,-69 18 56,79-24-48,7-5 8,7-3 16,9-2 64,-102 34-40,110-30 0,9-2-32,6 4 48,1 2-80,-126 26 64,120-27-16,-3 6 8,-6 4 16,-9 4-80,-102 13 72,93-4-32,-11 0 48,-19 2-64,-12 2 8,-51 0 40,37 0-32,-15 5-120,-9-1 144,-13 0 184,0-4-176,-11 11 104,-14-6 80,-16 17-72,-17 1-48,58-23-64,-74 29 40,-12 0 40,-12 6-80,-11 0 16,109-35-16,-117 38 8,-6 2-80,-6 3 0,-5 1-80,134-44 152,-129 45-192,1 2-232,3 2-776,6-1-1169,119-48 2369,-113 46-5201,4-7-2240,109-39 7441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4"/>
  <sheetViews>
    <sheetView rightToLeft="1" tabSelected="1" view="pageBreakPreview" topLeftCell="C62" zoomScale="130" zoomScaleNormal="100" zoomScaleSheetLayoutView="130" workbookViewId="0">
      <selection activeCell="E63" sqref="E63:F6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8" t="s">
        <v>232</v>
      </c>
      <c r="C1" s="78"/>
      <c r="D1" s="78"/>
      <c r="E1" s="78"/>
      <c r="F1" s="78"/>
      <c r="G1" s="78"/>
      <c r="H1" s="78"/>
      <c r="I1" s="78"/>
      <c r="J1" s="78"/>
    </row>
    <row r="2" spans="1:10" ht="30" customHeight="1" x14ac:dyDescent="0.3">
      <c r="B2" s="13" t="s">
        <v>8</v>
      </c>
      <c r="C2" s="84" t="s">
        <v>42</v>
      </c>
      <c r="D2" s="84"/>
      <c r="E2" s="13" t="s">
        <v>7</v>
      </c>
      <c r="F2" s="79">
        <v>45932</v>
      </c>
      <c r="G2" s="79"/>
      <c r="H2" s="79"/>
      <c r="I2" s="79"/>
      <c r="J2" s="79"/>
    </row>
    <row r="3" spans="1:10" ht="30" customHeight="1" x14ac:dyDescent="0.3">
      <c r="B3" s="13" t="s">
        <v>9</v>
      </c>
      <c r="C3" s="84" t="s">
        <v>83</v>
      </c>
      <c r="D3" s="84"/>
      <c r="E3" s="13" t="s">
        <v>6</v>
      </c>
      <c r="F3" s="84" t="s">
        <v>130</v>
      </c>
      <c r="G3" s="84"/>
      <c r="H3" s="84"/>
      <c r="I3" s="84"/>
      <c r="J3" s="84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80" t="s">
        <v>0</v>
      </c>
      <c r="C5" s="81"/>
      <c r="D5" s="81"/>
      <c r="E5" s="89" t="s">
        <v>1</v>
      </c>
      <c r="F5" s="89"/>
      <c r="G5" s="89"/>
      <c r="H5" s="89"/>
      <c r="I5" s="89" t="s">
        <v>2</v>
      </c>
      <c r="J5" s="90"/>
    </row>
    <row r="6" spans="1:10" ht="24.9" customHeight="1" thickBot="1" x14ac:dyDescent="0.35">
      <c r="A6" s="11"/>
      <c r="B6" s="82"/>
      <c r="C6" s="83"/>
      <c r="D6" s="83"/>
      <c r="E6" s="12" t="s">
        <v>3</v>
      </c>
      <c r="F6" s="12" t="s">
        <v>4</v>
      </c>
      <c r="G6" s="12" t="s">
        <v>23</v>
      </c>
      <c r="H6" s="12" t="s">
        <v>24</v>
      </c>
      <c r="I6" s="91"/>
      <c r="J6" s="92"/>
    </row>
    <row r="7" spans="1:10" ht="24.9" customHeight="1" thickBot="1" x14ac:dyDescent="0.35">
      <c r="A7" s="11"/>
      <c r="B7" s="87" t="s">
        <v>21</v>
      </c>
      <c r="C7" s="88"/>
      <c r="D7" s="88"/>
      <c r="E7" s="32" t="s">
        <v>18</v>
      </c>
      <c r="F7" s="32" t="s">
        <v>19</v>
      </c>
      <c r="G7" s="32" t="s">
        <v>22</v>
      </c>
      <c r="H7" s="32" t="s">
        <v>20</v>
      </c>
      <c r="I7" s="93" t="s">
        <v>25</v>
      </c>
      <c r="J7" s="94"/>
    </row>
    <row r="8" spans="1:10" ht="30" customHeight="1" x14ac:dyDescent="0.3">
      <c r="A8" s="11"/>
      <c r="B8" s="47" t="s">
        <v>180</v>
      </c>
      <c r="C8" s="48"/>
      <c r="D8" s="48"/>
      <c r="E8" s="29"/>
      <c r="F8" s="36"/>
      <c r="G8" s="37"/>
      <c r="H8" s="38"/>
      <c r="I8" s="64"/>
      <c r="J8" s="65"/>
    </row>
    <row r="9" spans="1:10" ht="30" customHeight="1" x14ac:dyDescent="0.3">
      <c r="A9" s="11"/>
      <c r="B9" s="43" t="s">
        <v>181</v>
      </c>
      <c r="C9" s="44"/>
      <c r="D9" s="44"/>
      <c r="E9" s="30">
        <v>10</v>
      </c>
      <c r="F9" s="27">
        <v>7</v>
      </c>
      <c r="G9" s="34">
        <f>IFERROR(F9/E9,"")</f>
        <v>0.7</v>
      </c>
      <c r="H9" s="35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5"/>
      <c r="J9" s="56"/>
    </row>
    <row r="10" spans="1:10" ht="30" customHeight="1" x14ac:dyDescent="0.3">
      <c r="A10" s="11"/>
      <c r="B10" s="43" t="s">
        <v>182</v>
      </c>
      <c r="C10" s="44"/>
      <c r="D10" s="44"/>
      <c r="E10" s="9">
        <v>10</v>
      </c>
      <c r="F10" s="27">
        <v>7</v>
      </c>
      <c r="G10" s="34">
        <f t="shared" ref="G10:G59" si="0">IFERROR(F10/E10,"")</f>
        <v>0.7</v>
      </c>
      <c r="H10" s="35" t="str">
        <f t="shared" ref="H10:H59" si="1">_xlfn.IFS(F10="أدخل العلامة","",F10="لا ينطبق","تم الإلغاء",G10&gt;=90%,"ممتاز",G10&gt;=80%,"جيد جداً",G10&gt;=70%,"جيد",G10&gt;=60%,"مقبول",G10&lt;60%,"راسب")</f>
        <v>جيد</v>
      </c>
      <c r="I10" s="55"/>
      <c r="J10" s="56"/>
    </row>
    <row r="11" spans="1:10" ht="39.9" customHeight="1" x14ac:dyDescent="0.3">
      <c r="A11" s="11"/>
      <c r="B11" s="43" t="s">
        <v>183</v>
      </c>
      <c r="C11" s="44"/>
      <c r="D11" s="44"/>
      <c r="E11" s="9">
        <v>8</v>
      </c>
      <c r="F11" s="27">
        <v>5.75</v>
      </c>
      <c r="G11" s="34">
        <f t="shared" si="0"/>
        <v>0.71875</v>
      </c>
      <c r="H11" s="35" t="str">
        <f t="shared" si="1"/>
        <v>جيد</v>
      </c>
      <c r="I11" s="55"/>
      <c r="J11" s="56"/>
    </row>
    <row r="12" spans="1:10" ht="30" customHeight="1" x14ac:dyDescent="0.3">
      <c r="A12" s="11"/>
      <c r="B12" s="43" t="s">
        <v>184</v>
      </c>
      <c r="C12" s="44"/>
      <c r="D12" s="44"/>
      <c r="E12" s="9">
        <v>8</v>
      </c>
      <c r="F12" s="27">
        <v>5.75</v>
      </c>
      <c r="G12" s="34">
        <f t="shared" si="0"/>
        <v>0.71875</v>
      </c>
      <c r="H12" s="35" t="str">
        <f t="shared" si="1"/>
        <v>جيد</v>
      </c>
      <c r="I12" s="55"/>
      <c r="J12" s="56"/>
    </row>
    <row r="13" spans="1:10" ht="30" customHeight="1" x14ac:dyDescent="0.3">
      <c r="A13" s="11"/>
      <c r="B13" s="43" t="s">
        <v>185</v>
      </c>
      <c r="C13" s="44"/>
      <c r="D13" s="44"/>
      <c r="E13" s="9">
        <v>5</v>
      </c>
      <c r="F13" s="27">
        <v>3.5</v>
      </c>
      <c r="G13" s="34">
        <f t="shared" si="0"/>
        <v>0.7</v>
      </c>
      <c r="H13" s="35" t="str">
        <f t="shared" si="1"/>
        <v>جيد</v>
      </c>
      <c r="I13" s="55"/>
      <c r="J13" s="56"/>
    </row>
    <row r="14" spans="1:10" ht="30" customHeight="1" x14ac:dyDescent="0.3">
      <c r="A14" s="11"/>
      <c r="B14" s="43" t="s">
        <v>186</v>
      </c>
      <c r="C14" s="44"/>
      <c r="D14" s="44"/>
      <c r="E14" s="9">
        <v>8</v>
      </c>
      <c r="F14" s="27">
        <v>5.75</v>
      </c>
      <c r="G14" s="34">
        <f t="shared" si="0"/>
        <v>0.71875</v>
      </c>
      <c r="H14" s="35" t="str">
        <f t="shared" si="1"/>
        <v>جيد</v>
      </c>
      <c r="I14" s="55"/>
      <c r="J14" s="56"/>
    </row>
    <row r="15" spans="1:10" ht="30" customHeight="1" x14ac:dyDescent="0.3">
      <c r="A15" s="11"/>
      <c r="B15" s="43" t="s">
        <v>187</v>
      </c>
      <c r="C15" s="44"/>
      <c r="D15" s="44"/>
      <c r="E15" s="9">
        <v>7</v>
      </c>
      <c r="F15" s="27">
        <v>5</v>
      </c>
      <c r="G15" s="34">
        <f t="shared" si="0"/>
        <v>0.7142857142857143</v>
      </c>
      <c r="H15" s="35" t="str">
        <f t="shared" si="1"/>
        <v>جيد</v>
      </c>
      <c r="I15" s="55"/>
      <c r="J15" s="56"/>
    </row>
    <row r="16" spans="1:10" ht="30" customHeight="1" x14ac:dyDescent="0.3">
      <c r="A16" s="11"/>
      <c r="B16" s="43" t="s">
        <v>188</v>
      </c>
      <c r="C16" s="44"/>
      <c r="D16" s="44"/>
      <c r="E16" s="9">
        <v>8</v>
      </c>
      <c r="F16" s="27">
        <v>5.75</v>
      </c>
      <c r="G16" s="34">
        <f t="shared" si="0"/>
        <v>0.71875</v>
      </c>
      <c r="H16" s="35" t="str">
        <f t="shared" si="1"/>
        <v>جيد</v>
      </c>
      <c r="I16" s="55"/>
      <c r="J16" s="56"/>
    </row>
    <row r="17" spans="1:10" ht="39.9" customHeight="1" x14ac:dyDescent="0.3">
      <c r="A17" s="11"/>
      <c r="B17" s="43" t="s">
        <v>189</v>
      </c>
      <c r="C17" s="44"/>
      <c r="D17" s="44"/>
      <c r="E17" s="9">
        <v>5</v>
      </c>
      <c r="F17" s="27">
        <v>3.5</v>
      </c>
      <c r="G17" s="34">
        <f t="shared" si="0"/>
        <v>0.7</v>
      </c>
      <c r="H17" s="35" t="str">
        <f t="shared" si="1"/>
        <v>جيد</v>
      </c>
      <c r="I17" s="55"/>
      <c r="J17" s="56"/>
    </row>
    <row r="18" spans="1:10" ht="30" customHeight="1" x14ac:dyDescent="0.3">
      <c r="A18" s="11"/>
      <c r="B18" s="59" t="s">
        <v>190</v>
      </c>
      <c r="C18" s="60"/>
      <c r="D18" s="60"/>
      <c r="E18" s="9">
        <v>5</v>
      </c>
      <c r="F18" s="27">
        <v>3.5</v>
      </c>
      <c r="G18" s="34">
        <f t="shared" si="0"/>
        <v>0.7</v>
      </c>
      <c r="H18" s="35" t="str">
        <f t="shared" si="1"/>
        <v>جيد</v>
      </c>
      <c r="I18" s="55"/>
      <c r="J18" s="56"/>
    </row>
    <row r="19" spans="1:10" ht="30" customHeight="1" x14ac:dyDescent="0.3">
      <c r="A19" s="11"/>
      <c r="B19" s="59" t="s">
        <v>191</v>
      </c>
      <c r="C19" s="60"/>
      <c r="D19" s="60"/>
      <c r="E19" s="9">
        <v>5</v>
      </c>
      <c r="F19" s="27">
        <v>3.5</v>
      </c>
      <c r="G19" s="34">
        <f t="shared" si="0"/>
        <v>0.7</v>
      </c>
      <c r="H19" s="35" t="str">
        <f t="shared" si="1"/>
        <v>جيد</v>
      </c>
      <c r="I19" s="55"/>
      <c r="J19" s="56"/>
    </row>
    <row r="20" spans="1:10" ht="39.9" customHeight="1" x14ac:dyDescent="0.3">
      <c r="A20" s="11"/>
      <c r="B20" s="59" t="s">
        <v>192</v>
      </c>
      <c r="C20" s="60"/>
      <c r="D20" s="60"/>
      <c r="E20" s="9">
        <v>10</v>
      </c>
      <c r="F20" s="27">
        <v>7</v>
      </c>
      <c r="G20" s="34">
        <f t="shared" si="0"/>
        <v>0.7</v>
      </c>
      <c r="H20" s="35" t="str">
        <f t="shared" si="1"/>
        <v>جيد</v>
      </c>
      <c r="I20" s="55"/>
      <c r="J20" s="56"/>
    </row>
    <row r="21" spans="1:10" ht="30" customHeight="1" x14ac:dyDescent="0.3">
      <c r="A21" s="11"/>
      <c r="B21" s="59" t="s">
        <v>193</v>
      </c>
      <c r="C21" s="60"/>
      <c r="D21" s="60"/>
      <c r="E21" s="9">
        <v>5</v>
      </c>
      <c r="F21" s="27">
        <v>3.5</v>
      </c>
      <c r="G21" s="34">
        <f t="shared" si="0"/>
        <v>0.7</v>
      </c>
      <c r="H21" s="35" t="str">
        <f t="shared" si="1"/>
        <v>جيد</v>
      </c>
      <c r="I21" s="55"/>
      <c r="J21" s="56"/>
    </row>
    <row r="22" spans="1:10" ht="30" customHeight="1" x14ac:dyDescent="0.3">
      <c r="A22" s="11"/>
      <c r="B22" s="59" t="s">
        <v>194</v>
      </c>
      <c r="C22" s="60"/>
      <c r="D22" s="60"/>
      <c r="E22" s="9">
        <v>5</v>
      </c>
      <c r="F22" s="42">
        <v>3.5</v>
      </c>
      <c r="G22" s="34">
        <f t="shared" si="0"/>
        <v>0.7</v>
      </c>
      <c r="H22" s="35" t="str">
        <f t="shared" si="1"/>
        <v>جيد</v>
      </c>
      <c r="I22" s="55"/>
      <c r="J22" s="56"/>
    </row>
    <row r="23" spans="1:10" ht="30" customHeight="1" thickBot="1" x14ac:dyDescent="0.35">
      <c r="A23" s="11"/>
      <c r="B23" s="61" t="s">
        <v>195</v>
      </c>
      <c r="C23" s="62"/>
      <c r="D23" s="62"/>
      <c r="E23" s="31">
        <v>5</v>
      </c>
      <c r="F23" s="42">
        <v>3.5</v>
      </c>
      <c r="G23" s="39">
        <f t="shared" si="0"/>
        <v>0.7</v>
      </c>
      <c r="H23" s="40" t="str">
        <f t="shared" si="1"/>
        <v>جيد</v>
      </c>
      <c r="I23" s="66"/>
      <c r="J23" s="67"/>
    </row>
    <row r="24" spans="1:10" ht="30" customHeight="1" x14ac:dyDescent="0.3">
      <c r="A24" s="11"/>
      <c r="B24" s="51" t="s">
        <v>196</v>
      </c>
      <c r="C24" s="52"/>
      <c r="D24" s="52"/>
      <c r="E24" s="29"/>
      <c r="F24" s="42"/>
      <c r="G24" s="37"/>
      <c r="H24" s="38"/>
      <c r="I24" s="64"/>
      <c r="J24" s="65"/>
    </row>
    <row r="25" spans="1:10" ht="30" customHeight="1" x14ac:dyDescent="0.3">
      <c r="A25" s="11"/>
      <c r="B25" s="43" t="s">
        <v>197</v>
      </c>
      <c r="C25" s="44"/>
      <c r="D25" s="44"/>
      <c r="E25" s="9">
        <v>6</v>
      </c>
      <c r="F25" s="42">
        <v>4.25</v>
      </c>
      <c r="G25" s="34">
        <f t="shared" si="0"/>
        <v>0.70833333333333337</v>
      </c>
      <c r="H25" s="35" t="str">
        <f t="shared" si="1"/>
        <v>جيد</v>
      </c>
      <c r="I25" s="55"/>
      <c r="J25" s="56"/>
    </row>
    <row r="26" spans="1:10" ht="30" customHeight="1" x14ac:dyDescent="0.3">
      <c r="A26" s="11"/>
      <c r="B26" s="43" t="s">
        <v>198</v>
      </c>
      <c r="C26" s="44"/>
      <c r="D26" s="44"/>
      <c r="E26" s="9">
        <v>5</v>
      </c>
      <c r="F26" s="42">
        <v>3.5</v>
      </c>
      <c r="G26" s="34">
        <f t="shared" si="0"/>
        <v>0.7</v>
      </c>
      <c r="H26" s="35" t="str">
        <f t="shared" si="1"/>
        <v>جيد</v>
      </c>
      <c r="I26" s="55"/>
      <c r="J26" s="56"/>
    </row>
    <row r="27" spans="1:10" ht="30" customHeight="1" x14ac:dyDescent="0.3">
      <c r="A27" s="11"/>
      <c r="B27" s="43" t="s">
        <v>199</v>
      </c>
      <c r="C27" s="44"/>
      <c r="D27" s="44"/>
      <c r="E27" s="9">
        <v>5</v>
      </c>
      <c r="F27" s="42">
        <v>3.5</v>
      </c>
      <c r="G27" s="34">
        <f t="shared" si="0"/>
        <v>0.7</v>
      </c>
      <c r="H27" s="35" t="str">
        <f t="shared" si="1"/>
        <v>جيد</v>
      </c>
      <c r="I27" s="55"/>
      <c r="J27" s="56"/>
    </row>
    <row r="28" spans="1:10" ht="30" customHeight="1" x14ac:dyDescent="0.3">
      <c r="A28" s="11"/>
      <c r="B28" s="43" t="s">
        <v>200</v>
      </c>
      <c r="C28" s="44"/>
      <c r="D28" s="44"/>
      <c r="E28" s="9">
        <v>5</v>
      </c>
      <c r="F28" s="42">
        <v>3.5</v>
      </c>
      <c r="G28" s="34">
        <f t="shared" si="0"/>
        <v>0.7</v>
      </c>
      <c r="H28" s="35" t="str">
        <f t="shared" si="1"/>
        <v>جيد</v>
      </c>
      <c r="I28" s="55"/>
      <c r="J28" s="56"/>
    </row>
    <row r="29" spans="1:10" ht="30" customHeight="1" x14ac:dyDescent="0.3">
      <c r="A29" s="11"/>
      <c r="B29" s="43" t="s">
        <v>201</v>
      </c>
      <c r="C29" s="44"/>
      <c r="D29" s="44"/>
      <c r="E29" s="9">
        <v>5</v>
      </c>
      <c r="F29" s="42">
        <v>3.5</v>
      </c>
      <c r="G29" s="34">
        <f t="shared" si="0"/>
        <v>0.7</v>
      </c>
      <c r="H29" s="35" t="str">
        <f t="shared" si="1"/>
        <v>جيد</v>
      </c>
      <c r="I29" s="55"/>
      <c r="J29" s="56"/>
    </row>
    <row r="30" spans="1:10" ht="30" customHeight="1" x14ac:dyDescent="0.3">
      <c r="A30" s="11"/>
      <c r="B30" s="43" t="s">
        <v>202</v>
      </c>
      <c r="C30" s="44"/>
      <c r="D30" s="44"/>
      <c r="E30" s="9">
        <v>5</v>
      </c>
      <c r="F30" s="42">
        <v>3.5</v>
      </c>
      <c r="G30" s="34">
        <f t="shared" si="0"/>
        <v>0.7</v>
      </c>
      <c r="H30" s="35" t="str">
        <f t="shared" si="1"/>
        <v>جيد</v>
      </c>
      <c r="I30" s="55"/>
      <c r="J30" s="56"/>
    </row>
    <row r="31" spans="1:10" ht="30" customHeight="1" thickBot="1" x14ac:dyDescent="0.35">
      <c r="A31" s="11"/>
      <c r="B31" s="45" t="s">
        <v>203</v>
      </c>
      <c r="C31" s="46"/>
      <c r="D31" s="46"/>
      <c r="E31" s="31">
        <v>5</v>
      </c>
      <c r="F31" s="42">
        <v>3.5</v>
      </c>
      <c r="G31" s="39">
        <f t="shared" si="0"/>
        <v>0.7</v>
      </c>
      <c r="H31" s="40" t="str">
        <f t="shared" si="1"/>
        <v>جيد</v>
      </c>
      <c r="I31" s="66"/>
      <c r="J31" s="67"/>
    </row>
    <row r="32" spans="1:10" ht="30" customHeight="1" x14ac:dyDescent="0.3">
      <c r="A32" s="11"/>
      <c r="B32" s="51" t="s">
        <v>204</v>
      </c>
      <c r="C32" s="52"/>
      <c r="D32" s="52"/>
      <c r="E32" s="29"/>
      <c r="F32" s="42"/>
      <c r="G32" s="37"/>
      <c r="H32" s="38"/>
      <c r="I32" s="64"/>
      <c r="J32" s="65"/>
    </row>
    <row r="33" spans="1:10" ht="39.9" customHeight="1" x14ac:dyDescent="0.3">
      <c r="A33" s="11"/>
      <c r="B33" s="43" t="s">
        <v>205</v>
      </c>
      <c r="C33" s="44"/>
      <c r="D33" s="44"/>
      <c r="E33" s="30">
        <v>6</v>
      </c>
      <c r="F33" s="42">
        <v>4.5</v>
      </c>
      <c r="G33" s="34">
        <f t="shared" si="0"/>
        <v>0.75</v>
      </c>
      <c r="H33" s="35" t="str">
        <f t="shared" si="1"/>
        <v>جيد</v>
      </c>
      <c r="I33" s="55"/>
      <c r="J33" s="56"/>
    </row>
    <row r="34" spans="1:10" ht="30" customHeight="1" x14ac:dyDescent="0.3">
      <c r="A34" s="11"/>
      <c r="B34" s="43" t="s">
        <v>206</v>
      </c>
      <c r="C34" s="44"/>
      <c r="D34" s="44"/>
      <c r="E34" s="9">
        <v>5</v>
      </c>
      <c r="F34" s="42">
        <v>3.5</v>
      </c>
      <c r="G34" s="34">
        <f t="shared" si="0"/>
        <v>0.7</v>
      </c>
      <c r="H34" s="35" t="str">
        <f t="shared" si="1"/>
        <v>جيد</v>
      </c>
      <c r="I34" s="55"/>
      <c r="J34" s="56"/>
    </row>
    <row r="35" spans="1:10" ht="30" customHeight="1" x14ac:dyDescent="0.3">
      <c r="A35" s="11"/>
      <c r="B35" s="43" t="s">
        <v>207</v>
      </c>
      <c r="C35" s="44"/>
      <c r="D35" s="44"/>
      <c r="E35" s="9">
        <v>5</v>
      </c>
      <c r="F35" s="42">
        <v>3.5</v>
      </c>
      <c r="G35" s="34">
        <f t="shared" si="0"/>
        <v>0.7</v>
      </c>
      <c r="H35" s="35" t="str">
        <f t="shared" si="1"/>
        <v>جيد</v>
      </c>
      <c r="I35" s="55"/>
      <c r="J35" s="56"/>
    </row>
    <row r="36" spans="1:10" ht="30" customHeight="1" thickBot="1" x14ac:dyDescent="0.35">
      <c r="A36" s="11"/>
      <c r="B36" s="45" t="s">
        <v>208</v>
      </c>
      <c r="C36" s="46"/>
      <c r="D36" s="46"/>
      <c r="E36" s="31">
        <v>5</v>
      </c>
      <c r="F36" s="42">
        <v>3.5</v>
      </c>
      <c r="G36" s="39">
        <f t="shared" si="0"/>
        <v>0.7</v>
      </c>
      <c r="H36" s="40" t="str">
        <f t="shared" si="1"/>
        <v>جيد</v>
      </c>
      <c r="I36" s="66"/>
      <c r="J36" s="67"/>
    </row>
    <row r="37" spans="1:10" ht="30" customHeight="1" x14ac:dyDescent="0.3">
      <c r="A37" s="11"/>
      <c r="B37" s="47" t="s">
        <v>209</v>
      </c>
      <c r="C37" s="48"/>
      <c r="D37" s="48"/>
      <c r="E37" s="29"/>
      <c r="F37" s="42"/>
      <c r="G37" s="37"/>
      <c r="H37" s="38"/>
      <c r="I37" s="64"/>
      <c r="J37" s="65"/>
    </row>
    <row r="38" spans="1:10" ht="30" customHeight="1" x14ac:dyDescent="0.3">
      <c r="A38" s="11"/>
      <c r="B38" s="43" t="s">
        <v>210</v>
      </c>
      <c r="C38" s="44"/>
      <c r="D38" s="44"/>
      <c r="E38" s="9">
        <v>6</v>
      </c>
      <c r="F38" s="42">
        <v>4.5</v>
      </c>
      <c r="G38" s="34">
        <f t="shared" si="0"/>
        <v>0.75</v>
      </c>
      <c r="H38" s="35" t="str">
        <f t="shared" si="1"/>
        <v>جيد</v>
      </c>
      <c r="I38" s="55"/>
      <c r="J38" s="56"/>
    </row>
    <row r="39" spans="1:10" ht="30" customHeight="1" x14ac:dyDescent="0.3">
      <c r="A39" s="11"/>
      <c r="B39" s="43" t="s">
        <v>211</v>
      </c>
      <c r="C39" s="44"/>
      <c r="D39" s="44"/>
      <c r="E39" s="9">
        <v>5</v>
      </c>
      <c r="F39" s="42">
        <v>3.5</v>
      </c>
      <c r="G39" s="34">
        <f t="shared" si="0"/>
        <v>0.7</v>
      </c>
      <c r="H39" s="35" t="str">
        <f t="shared" si="1"/>
        <v>جيد</v>
      </c>
      <c r="I39" s="55"/>
      <c r="J39" s="56"/>
    </row>
    <row r="40" spans="1:10" ht="30" customHeight="1" x14ac:dyDescent="0.3">
      <c r="A40" s="11"/>
      <c r="B40" s="43" t="s">
        <v>212</v>
      </c>
      <c r="C40" s="44"/>
      <c r="D40" s="44"/>
      <c r="E40" s="9">
        <v>5</v>
      </c>
      <c r="F40" s="42">
        <v>3.5</v>
      </c>
      <c r="G40" s="34">
        <f t="shared" si="0"/>
        <v>0.7</v>
      </c>
      <c r="H40" s="35" t="str">
        <f t="shared" si="1"/>
        <v>جيد</v>
      </c>
      <c r="I40" s="55"/>
      <c r="J40" s="56"/>
    </row>
    <row r="41" spans="1:10" ht="30" customHeight="1" x14ac:dyDescent="0.3">
      <c r="A41" s="11"/>
      <c r="B41" s="43" t="s">
        <v>213</v>
      </c>
      <c r="C41" s="44"/>
      <c r="D41" s="44"/>
      <c r="E41" s="9">
        <v>5</v>
      </c>
      <c r="F41" s="42">
        <v>3.5</v>
      </c>
      <c r="G41" s="34">
        <f t="shared" si="0"/>
        <v>0.7</v>
      </c>
      <c r="H41" s="35" t="str">
        <f t="shared" si="1"/>
        <v>جيد</v>
      </c>
      <c r="I41" s="55"/>
      <c r="J41" s="56"/>
    </row>
    <row r="42" spans="1:10" ht="30" customHeight="1" x14ac:dyDescent="0.3">
      <c r="A42" s="11"/>
      <c r="B42" s="43" t="s">
        <v>214</v>
      </c>
      <c r="C42" s="44"/>
      <c r="D42" s="44"/>
      <c r="E42" s="9">
        <v>5</v>
      </c>
      <c r="F42" s="42">
        <v>3.5</v>
      </c>
      <c r="G42" s="34">
        <f t="shared" si="0"/>
        <v>0.7</v>
      </c>
      <c r="H42" s="35" t="str">
        <f t="shared" si="1"/>
        <v>جيد</v>
      </c>
      <c r="I42" s="55"/>
      <c r="J42" s="56"/>
    </row>
    <row r="43" spans="1:10" ht="30" customHeight="1" x14ac:dyDescent="0.3">
      <c r="A43" s="11"/>
      <c r="B43" s="43" t="s">
        <v>215</v>
      </c>
      <c r="C43" s="44"/>
      <c r="D43" s="44"/>
      <c r="E43" s="9">
        <v>5</v>
      </c>
      <c r="F43" s="42">
        <v>3.5</v>
      </c>
      <c r="G43" s="34">
        <f t="shared" si="0"/>
        <v>0.7</v>
      </c>
      <c r="H43" s="35" t="str">
        <f t="shared" si="1"/>
        <v>جيد</v>
      </c>
      <c r="I43" s="55"/>
      <c r="J43" s="56"/>
    </row>
    <row r="44" spans="1:10" ht="30" customHeight="1" thickBot="1" x14ac:dyDescent="0.35">
      <c r="A44" s="11"/>
      <c r="B44" s="45" t="s">
        <v>216</v>
      </c>
      <c r="C44" s="46"/>
      <c r="D44" s="46"/>
      <c r="E44" s="31">
        <v>5</v>
      </c>
      <c r="F44" s="42">
        <v>3.5</v>
      </c>
      <c r="G44" s="39">
        <f t="shared" si="0"/>
        <v>0.7</v>
      </c>
      <c r="H44" s="40" t="str">
        <f t="shared" si="1"/>
        <v>جيد</v>
      </c>
      <c r="I44" s="66"/>
      <c r="J44" s="67"/>
    </row>
    <row r="45" spans="1:10" ht="30" customHeight="1" x14ac:dyDescent="0.3">
      <c r="A45" s="11"/>
      <c r="B45" s="51" t="s">
        <v>217</v>
      </c>
      <c r="C45" s="52"/>
      <c r="D45" s="52"/>
      <c r="E45" s="29"/>
      <c r="F45" s="42"/>
      <c r="G45" s="37"/>
      <c r="H45" s="38"/>
      <c r="I45" s="64"/>
      <c r="J45" s="65"/>
    </row>
    <row r="46" spans="1:10" ht="30" customHeight="1" x14ac:dyDescent="0.3">
      <c r="A46" s="11"/>
      <c r="B46" s="43" t="s">
        <v>218</v>
      </c>
      <c r="C46" s="44"/>
      <c r="D46" s="44"/>
      <c r="E46" s="9">
        <v>5</v>
      </c>
      <c r="F46" s="42">
        <v>3.5</v>
      </c>
      <c r="G46" s="34">
        <f t="shared" si="0"/>
        <v>0.7</v>
      </c>
      <c r="H46" s="35" t="str">
        <f t="shared" si="1"/>
        <v>جيد</v>
      </c>
      <c r="I46" s="55"/>
      <c r="J46" s="56"/>
    </row>
    <row r="47" spans="1:10" ht="30" customHeight="1" x14ac:dyDescent="0.3">
      <c r="A47" s="11"/>
      <c r="B47" s="43" t="s">
        <v>219</v>
      </c>
      <c r="C47" s="44"/>
      <c r="D47" s="44"/>
      <c r="E47" s="9">
        <v>8</v>
      </c>
      <c r="F47" s="42">
        <v>5.75</v>
      </c>
      <c r="G47" s="34">
        <f t="shared" si="0"/>
        <v>0.71875</v>
      </c>
      <c r="H47" s="35" t="str">
        <f t="shared" si="1"/>
        <v>جيد</v>
      </c>
      <c r="I47" s="55"/>
      <c r="J47" s="56"/>
    </row>
    <row r="48" spans="1:10" ht="30" customHeight="1" x14ac:dyDescent="0.3">
      <c r="A48" s="11"/>
      <c r="B48" s="43" t="s">
        <v>220</v>
      </c>
      <c r="C48" s="44"/>
      <c r="D48" s="44"/>
      <c r="E48" s="9">
        <v>5</v>
      </c>
      <c r="F48" s="42">
        <v>3.5</v>
      </c>
      <c r="G48" s="34">
        <f t="shared" si="0"/>
        <v>0.7</v>
      </c>
      <c r="H48" s="35" t="str">
        <f t="shared" si="1"/>
        <v>جيد</v>
      </c>
      <c r="I48" s="55"/>
      <c r="J48" s="56"/>
    </row>
    <row r="49" spans="1:10" ht="30" customHeight="1" x14ac:dyDescent="0.3">
      <c r="A49" s="11"/>
      <c r="B49" s="43" t="s">
        <v>221</v>
      </c>
      <c r="C49" s="44"/>
      <c r="D49" s="44"/>
      <c r="E49" s="9">
        <v>5</v>
      </c>
      <c r="F49" s="42">
        <v>3.5</v>
      </c>
      <c r="G49" s="34">
        <f t="shared" si="0"/>
        <v>0.7</v>
      </c>
      <c r="H49" s="35" t="str">
        <f t="shared" si="1"/>
        <v>جيد</v>
      </c>
      <c r="I49" s="55"/>
      <c r="J49" s="56"/>
    </row>
    <row r="50" spans="1:10" ht="30" customHeight="1" x14ac:dyDescent="0.3">
      <c r="A50" s="11"/>
      <c r="B50" s="43" t="s">
        <v>222</v>
      </c>
      <c r="C50" s="44"/>
      <c r="D50" s="44"/>
      <c r="E50" s="9">
        <v>5</v>
      </c>
      <c r="F50" s="42">
        <v>3.5</v>
      </c>
      <c r="G50" s="34">
        <f t="shared" si="0"/>
        <v>0.7</v>
      </c>
      <c r="H50" s="35" t="str">
        <f t="shared" si="1"/>
        <v>جيد</v>
      </c>
      <c r="I50" s="55"/>
      <c r="J50" s="56"/>
    </row>
    <row r="51" spans="1:10" ht="30" customHeight="1" thickBot="1" x14ac:dyDescent="0.35">
      <c r="A51" s="11"/>
      <c r="B51" s="45" t="s">
        <v>223</v>
      </c>
      <c r="C51" s="46"/>
      <c r="D51" s="46"/>
      <c r="E51" s="31">
        <v>5</v>
      </c>
      <c r="F51" s="42">
        <v>3.5</v>
      </c>
      <c r="G51" s="39">
        <f t="shared" si="0"/>
        <v>0.7</v>
      </c>
      <c r="H51" s="40" t="str">
        <f t="shared" si="1"/>
        <v>جيد</v>
      </c>
      <c r="I51" s="66"/>
      <c r="J51" s="67"/>
    </row>
    <row r="52" spans="1:10" ht="30" customHeight="1" x14ac:dyDescent="0.3">
      <c r="A52" s="11"/>
      <c r="B52" s="47" t="s">
        <v>224</v>
      </c>
      <c r="C52" s="48"/>
      <c r="D52" s="48"/>
      <c r="E52" s="29"/>
      <c r="F52" s="42"/>
      <c r="G52" s="37"/>
      <c r="H52" s="38"/>
      <c r="I52" s="64"/>
      <c r="J52" s="65"/>
    </row>
    <row r="53" spans="1:10" ht="30" customHeight="1" x14ac:dyDescent="0.3">
      <c r="A53" s="11"/>
      <c r="B53" s="43" t="s">
        <v>225</v>
      </c>
      <c r="C53" s="44"/>
      <c r="D53" s="44"/>
      <c r="E53" s="9">
        <v>10</v>
      </c>
      <c r="F53" s="42">
        <v>7</v>
      </c>
      <c r="G53" s="34">
        <f t="shared" si="0"/>
        <v>0.7</v>
      </c>
      <c r="H53" s="35" t="str">
        <f t="shared" si="1"/>
        <v>جيد</v>
      </c>
      <c r="I53" s="55"/>
      <c r="J53" s="56"/>
    </row>
    <row r="54" spans="1:10" ht="30" customHeight="1" x14ac:dyDescent="0.3">
      <c r="A54" s="11"/>
      <c r="B54" s="43" t="s">
        <v>226</v>
      </c>
      <c r="C54" s="44"/>
      <c r="D54" s="44"/>
      <c r="E54" s="9">
        <v>10</v>
      </c>
      <c r="F54" s="42">
        <v>7</v>
      </c>
      <c r="G54" s="34">
        <f t="shared" si="0"/>
        <v>0.7</v>
      </c>
      <c r="H54" s="35" t="str">
        <f t="shared" si="1"/>
        <v>جيد</v>
      </c>
      <c r="I54" s="55"/>
      <c r="J54" s="56"/>
    </row>
    <row r="55" spans="1:10" ht="30" customHeight="1" thickBot="1" x14ac:dyDescent="0.35">
      <c r="A55" s="11"/>
      <c r="B55" s="45" t="s">
        <v>227</v>
      </c>
      <c r="C55" s="46"/>
      <c r="D55" s="46"/>
      <c r="E55" s="31">
        <v>5</v>
      </c>
      <c r="F55" s="42">
        <v>3.5</v>
      </c>
      <c r="G55" s="39">
        <f t="shared" si="0"/>
        <v>0.7</v>
      </c>
      <c r="H55" s="40" t="str">
        <f t="shared" si="1"/>
        <v>جيد</v>
      </c>
      <c r="I55" s="66"/>
      <c r="J55" s="67"/>
    </row>
    <row r="56" spans="1:10" ht="30" customHeight="1" x14ac:dyDescent="0.3">
      <c r="A56" s="11"/>
      <c r="B56" s="47" t="s">
        <v>228</v>
      </c>
      <c r="C56" s="48"/>
      <c r="D56" s="48"/>
      <c r="E56" s="29"/>
      <c r="F56" s="42"/>
      <c r="G56" s="37"/>
      <c r="H56" s="38"/>
      <c r="I56" s="64"/>
      <c r="J56" s="65"/>
    </row>
    <row r="57" spans="1:10" ht="30" customHeight="1" x14ac:dyDescent="0.3">
      <c r="A57" s="11"/>
      <c r="B57" s="43" t="s">
        <v>229</v>
      </c>
      <c r="C57" s="44"/>
      <c r="D57" s="44"/>
      <c r="E57" s="9">
        <v>5</v>
      </c>
      <c r="F57" s="42">
        <v>3.5</v>
      </c>
      <c r="G57" s="34">
        <f t="shared" si="0"/>
        <v>0.7</v>
      </c>
      <c r="H57" s="35" t="str">
        <f t="shared" si="1"/>
        <v>جيد</v>
      </c>
      <c r="I57" s="55"/>
      <c r="J57" s="56"/>
    </row>
    <row r="58" spans="1:10" ht="30" customHeight="1" thickBot="1" x14ac:dyDescent="0.35">
      <c r="A58" s="11"/>
      <c r="B58" s="45" t="s">
        <v>230</v>
      </c>
      <c r="C58" s="46"/>
      <c r="D58" s="46"/>
      <c r="E58" s="31">
        <v>5</v>
      </c>
      <c r="F58" s="42">
        <v>3.5</v>
      </c>
      <c r="G58" s="39">
        <f t="shared" si="0"/>
        <v>0.7</v>
      </c>
      <c r="H58" s="40" t="str">
        <f t="shared" si="1"/>
        <v>جيد</v>
      </c>
      <c r="I58" s="66"/>
      <c r="J58" s="67"/>
    </row>
    <row r="59" spans="1:10" ht="39.9" customHeight="1" thickBot="1" x14ac:dyDescent="0.35">
      <c r="A59" s="11"/>
      <c r="B59" s="49" t="s">
        <v>231</v>
      </c>
      <c r="C59" s="50"/>
      <c r="D59" s="50"/>
      <c r="E59" s="10">
        <v>5</v>
      </c>
      <c r="F59" s="42">
        <v>3.5</v>
      </c>
      <c r="G59" s="41">
        <f t="shared" si="0"/>
        <v>0.7</v>
      </c>
      <c r="H59" s="28" t="str">
        <f t="shared" si="1"/>
        <v>جيد</v>
      </c>
      <c r="I59" s="57"/>
      <c r="J59" s="58"/>
    </row>
    <row r="60" spans="1:10" ht="30" customHeight="1" thickBot="1" x14ac:dyDescent="0.35">
      <c r="A60" s="4"/>
      <c r="B60" s="95" t="s">
        <v>5</v>
      </c>
      <c r="C60" s="96"/>
      <c r="D60" s="96"/>
      <c r="E60" s="33">
        <f>SUM(E8:E59)</f>
        <v>270</v>
      </c>
      <c r="F60" s="33">
        <f>SUM(F8:F59)</f>
        <v>190.5</v>
      </c>
      <c r="G60" s="75"/>
      <c r="H60" s="76"/>
      <c r="I60" s="76"/>
      <c r="J60" s="77"/>
    </row>
    <row r="61" spans="1:10" ht="30" customHeight="1" thickBot="1" x14ac:dyDescent="0.35">
      <c r="A61" s="4"/>
      <c r="B61" s="53" t="s">
        <v>54</v>
      </c>
      <c r="C61" s="54"/>
      <c r="D61" s="54"/>
      <c r="E61" s="85">
        <f>F60/E60/100*100</f>
        <v>0.7055555555555556</v>
      </c>
      <c r="F61" s="85"/>
      <c r="G61" s="85"/>
      <c r="H61" s="85"/>
      <c r="I61" s="85"/>
      <c r="J61" s="86"/>
    </row>
    <row r="62" spans="1:10" ht="30" customHeight="1" thickBot="1" x14ac:dyDescent="0.35">
      <c r="A62" s="4"/>
      <c r="B62" s="53" t="s">
        <v>55</v>
      </c>
      <c r="C62" s="54"/>
      <c r="D62" s="54"/>
      <c r="E62" s="72" t="str">
        <f>_xlfn.IFS(E61&gt;=90%,"ممتاز",E61&gt;=80%,"جيد جداً",E61&gt;=70%,"جيد",E61&gt;=60%,"مقبول",E61&lt;60%,"راسب")</f>
        <v>جيد</v>
      </c>
      <c r="F62" s="72"/>
      <c r="G62" s="72"/>
      <c r="H62" s="72"/>
      <c r="I62" s="72"/>
      <c r="J62" s="73"/>
    </row>
    <row r="63" spans="1:10" ht="42" customHeight="1" x14ac:dyDescent="0.3">
      <c r="B63" s="68" t="s">
        <v>174</v>
      </c>
      <c r="C63" s="68"/>
      <c r="D63" s="68"/>
      <c r="E63" s="63" t="s">
        <v>52</v>
      </c>
      <c r="F63" s="63"/>
      <c r="G63" s="70" t="s">
        <v>130</v>
      </c>
      <c r="H63" s="70"/>
      <c r="I63" s="70"/>
      <c r="J63" s="70"/>
    </row>
    <row r="64" spans="1:10" ht="51" customHeight="1" x14ac:dyDescent="0.3">
      <c r="A64" s="5"/>
      <c r="B64" s="69"/>
      <c r="C64" s="69"/>
      <c r="D64" s="69"/>
      <c r="E64" s="74" t="s">
        <v>53</v>
      </c>
      <c r="F64" s="74"/>
      <c r="G64" s="71"/>
      <c r="H64" s="71"/>
      <c r="I64" s="71"/>
      <c r="J64" s="7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25">
    <mergeCell ref="B1:J1"/>
    <mergeCell ref="F2:J2"/>
    <mergeCell ref="B5:D6"/>
    <mergeCell ref="C2:D2"/>
    <mergeCell ref="C3:D3"/>
    <mergeCell ref="F3:J3"/>
    <mergeCell ref="E61:J61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48:J48"/>
    <mergeCell ref="B60:D60"/>
    <mergeCell ref="B61:D61"/>
    <mergeCell ref="B63:D64"/>
    <mergeCell ref="G63:J63"/>
    <mergeCell ref="G64:J64"/>
    <mergeCell ref="E62:J62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E64:F64"/>
    <mergeCell ref="G60:J60"/>
    <mergeCell ref="I47:J47"/>
    <mergeCell ref="E63:F63"/>
    <mergeCell ref="I32:J32"/>
    <mergeCell ref="I33:J33"/>
    <mergeCell ref="I34:J34"/>
    <mergeCell ref="I35:J35"/>
    <mergeCell ref="I36:J36"/>
    <mergeCell ref="I8:J8"/>
    <mergeCell ref="I23:J23"/>
    <mergeCell ref="I24:J24"/>
    <mergeCell ref="I25:J25"/>
    <mergeCell ref="I9:J9"/>
    <mergeCell ref="B62:D62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26:J26"/>
    <mergeCell ref="I27:J27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53:D53"/>
    <mergeCell ref="B54:D54"/>
    <mergeCell ref="B55:D55"/>
    <mergeCell ref="B56:D56"/>
    <mergeCell ref="B57:D57"/>
    <mergeCell ref="B58:D58"/>
    <mergeCell ref="B59:D59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2">
    <cfRule type="expression" dxfId="14" priority="57">
      <formula>$E62="راسب"</formula>
    </cfRule>
  </conditionalFormatting>
  <conditionalFormatting sqref="E62:J62">
    <cfRule type="expression" dxfId="13" priority="58">
      <formula>$E62="مقبول"</formula>
    </cfRule>
    <cfRule type="expression" dxfId="12" priority="59">
      <formula>$E62="جيد"</formula>
    </cfRule>
    <cfRule type="expression" dxfId="11" priority="60">
      <formula>$E62="جيد جداً"</formula>
    </cfRule>
    <cfRule type="expression" dxfId="10" priority="61">
      <formula>$E62="ممتاز"</formula>
    </cfRule>
  </conditionalFormatting>
  <conditionalFormatting sqref="F8:F5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3:J63">
    <cfRule type="containsText" dxfId="6" priority="15" operator="containsText" text="أدخل اسم المحكم">
      <formula>NOT(ISERROR(SEARCH("أدخل اسم المحكم",G63)))</formula>
    </cfRule>
  </conditionalFormatting>
  <conditionalFormatting sqref="H8:H5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F55 F34:F36 F39:F44 F13 F48:F51 F57:F59 F21:F23 F46 F17:F19 F26:F31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G63:J63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D3765AD8-38E9-4D95-8B43-1EC54C6FE078}">
          <x14:formula1>
            <xm:f>'بيانات التقييم'!$A$111:$A$153</xm:f>
          </x14:formula1>
          <xm:sqref>F9 F10 F20 F53 F54</xm:sqref>
        </x14:dataValidation>
        <x14:dataValidation type="list" allowBlank="1" showInputMessage="1" showErrorMessage="1" xr:uid="{CC9803AA-C47A-4931-BC5C-30841294FC77}">
          <x14:formula1>
            <xm:f>'بيانات التقييم'!$A$111:$A$145</xm:f>
          </x14:formula1>
          <xm:sqref>F11 F12 F14 F16 F47</xm:sqref>
        </x14:dataValidation>
        <x14:dataValidation type="list" allowBlank="1" showInputMessage="1" showErrorMessage="1" xr:uid="{A33B5F11-B3BC-41C7-9952-337F6DB82F3C}">
          <x14:formula1>
            <xm:f>'بيانات التقييم'!$A$111:$A$141</xm:f>
          </x14:formula1>
          <xm:sqref>F15</xm:sqref>
        </x14:dataValidation>
        <x14:dataValidation type="list" allowBlank="1" showInputMessage="1" showErrorMessage="1" xr:uid="{07F39051-9254-4F84-B294-CE9D0A7AC44B}">
          <x14:formula1>
            <xm:f>'بيانات التقييم'!$A$111:$A$137</xm:f>
          </x14:formula1>
          <xm:sqref>F25 F33 F38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2025-10-27T18:39:52Z</dcterms:modified>
</cp:coreProperties>
</file>