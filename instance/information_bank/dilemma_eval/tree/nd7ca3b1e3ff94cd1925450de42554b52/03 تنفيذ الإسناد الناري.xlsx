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9B4D2AD-7347-6843-BAF7-C00D8A27F27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<sst xmlns="http://schemas.openxmlformats.org/spreadsheetml/2006/main" count="259" uniqueCount="203">
  <si>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</si>
  <si>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</si>
  <si>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</si>
  <si>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</si>
  <si>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</si>
  <si>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</si>
  <si>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</si>
  <si>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</si>
  <si>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</si>
  <si>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</si>
  <si>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</si>
  <si>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</si>
  <si>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</si>
  <si>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</si>
  <si>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</si>
  <si>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</si>
  <si>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</si>
  <si>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</si>
  <si>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</si>
  <si>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</si>
  <si>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</si>
  <si>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</si>
  <si>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</si>
  <si>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</si>
  <si>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</si>
  <si>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</si>
  <si>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</si>
  <si>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</si>
  <si>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</si>
  <si>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</si>
  <si>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</si>
  <si>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</si>
  <si>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</si>
  <si>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</si>
  <si>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</si>
  <si>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</si>
  <si>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</si>
  <si>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</si>
  <si>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</si>
  <si>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</si>
  <si>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</si>
  <si>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</si>
  <si>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</si>
  <si>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</si>
  <si>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</si>
  <si>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</si>
  <si>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</si>
  <si>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</si>
  <si>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</si>
  <si>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</si>
  <si>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</si>
  <si>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</si>
  <si>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</si>
  <si>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</si>
  <si>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</si>
  <si>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</si>
  <si>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</si>
  <si>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</si>
  <si>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</si>
  <si>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</si>
  <si>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</si>
  <si>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</si>
  <si>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</si>
  <si>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</si>
  <si>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</si>
  <si>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</si>
  <si>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</si>
  <si>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</si>
  <si>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</si>
  <si>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</si>
  <si>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</si>
  <si>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</si>
  <si>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</si>
  <si>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</si>
  <si>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</si>
  <si>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</si>
  <si>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</si>
  <si>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</si>
  <si>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</si>
  <si>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</si>
  <si>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</si>
  <si>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</si>
  <si>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</si>
  <si>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</si>
  <si>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</si>
  <si>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</si>
  <si>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</si>
  <si>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</si>
  <si>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</si>
  <si>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</si>
  <si>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</si>
  <si>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</si>
  <si>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</si>
  <si>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</si>
  <si>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</si>
  <si>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</si>
  <si>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</si>
  <si>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</si>
  <si>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</si>
  <si>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</si>
  <si>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</si>
  <si>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</si>
  <si>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</si>
  <si>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</si>
  <si>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</si>
  <si>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</si>
  <si>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</si>
  <si>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</si>
  <si>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</si>
  <si>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</si>
  <si>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</si>
  <si>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</si>
  <si>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</si>
  <si>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</si>
  <si>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</si>
  <si>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</si>
  <si>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</si>
  <si>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</si>
  <si>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</si>
  <si>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</si>
  <si>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</si>
  <si>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</si>
  <si>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</si>
  <si>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</si>
  <si>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</si>
  <si>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</si>
  <si>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</si>
  <si>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</si>
  <si>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</si>
  <si>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</si>
  <si>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</si>
  <si>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</si>
  <si>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</si>
  <si>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</si>
  <si>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</si>
  <si>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</si>
  <si>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</si>
  <si>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</si>
  <si>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</si>
  <si>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</si>
  <si>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</si>
  <si>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</si>
  <si>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</si>
  <si>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</si>
  <si>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</si>
  <si>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</si>
  <si>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</si>
  <si>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</si>
  <si>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</si>
  <si>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</si>
  <si>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</si>
  <si>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</si>
  <si>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</si>
  <si>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</si>
  <si>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</si>
  <si>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</si>
  <si>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</si>
  <si>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</si>
  <si>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</si>
  <si>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</si>
  <si>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</si>
  <si>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</si>
  <si>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</si>
  <si>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</si>
  <si>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</si>
  <si>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</si>
  <si>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</si>
  <si>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</si>
  <si>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</si>
  <si>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</si>
  <si>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</si>
  <si>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</si>
  <si>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</si>
  <si>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</si>
  <si>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</si>
  <si>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</si>
  <si>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</si>
  <si>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</si>
  <si>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</si>
  <si>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</si>
  <si>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تنفيذ الاسناد الناري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</si>
  <si>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 والتخطيط</t>
    </r>
    <r>
      <rPr>
        <sz val="12"/>
        <color rgb="FF000000"/>
        <rFont val="Arial"/>
        <family val="2"/>
      </rPr>
      <t>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</si>
  <si>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قام ضابط الإسناد الناري وعناصر الإسناد الناري الاخرين بمعالجة طلبات النيران المخطط لها:</t>
    </r>
  </si>
  <si>
    <t>أ. التأكد من خلو منطقة الهدف من القوات الصديقة (التصريح بالرماية).</t>
  </si>
  <si>
    <t>ب. التأكد من أن المهمة تلبي جميع المتطلبات وحسب مخطط تنفيذ الهجوم/جدول الواجبات على الاهداف.</t>
  </si>
  <si>
    <t>جـ. التأكد من أن المهمة تحقق توجيهات القائد المتعلقة بالنيران (الواجبات الأساسية للإسناد الناري والقصد من المهمة ).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</si>
  <si>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تقييم القتال من قبل ضابط الإسناد الناري وكما يلي:</t>
    </r>
  </si>
  <si>
    <t>أ. يطلب ضابط صف الإسناد الناري لتقارير تقييم القتال (تقارير الرميات وتقييم أضرار المعركة) من عناصر الإسناد الناري في الوحدات (ضباط الرصد).</t>
  </si>
  <si>
    <t>ب. يطلب ضابط الإسناد الناري من خلال ركن الاستخبارات أن يقوم مصدر المعلومات الاستخبارية المناسب بتقرير مدى التأثير على الأهداف المنتخبة والتي تم تحديدها خلال مرحلة (قرر) في الاستهداف.</t>
  </si>
  <si>
    <t>جـ. يقرر ضابط الإسناد الناري فيما إذا تم تحقيق النتيجة النهائية وتقديم التوصيات إمَّا الاستمرار في تنفيذ الواجب الأساسي الحالي أو الانتقال الى الواجب الاساسي اللاحق.</t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</si>
  <si>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</si>
  <si>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إدامة الموقف الحالي لجميع مصادر الإسناد الناري بحيث يُغطي تقرير الموقف ما يلي:</t>
    </r>
  </si>
  <si>
    <t>أ. المواقع.</t>
  </si>
  <si>
    <t>ب. المهام.</t>
  </si>
  <si>
    <t>جـ. القدرات.</t>
  </si>
  <si>
    <t>د. موقف الذخيرة.</t>
  </si>
  <si>
    <t>هـ. موقف المعدات/المهمات.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</si>
  <si>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جمع وادامة موقف القوات الصديقة وموقف العدو المعروف ليشمل:</t>
    </r>
  </si>
  <si>
    <t>أ. اجراءات السيطرة وادامتها على الشفافات.</t>
  </si>
  <si>
    <t>ب. مواقع المناورة وعناصر الاسناد الناري غير المباشرة ( هاونات الكتيبة، وحدات الرمي للمدفعية، وعناصر التزويد الميدانية.</t>
  </si>
  <si>
    <t>جـ. معايير تنسيق نيران الإسناد.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</si>
  <si>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وإدامة خارطة الموقف وشفاف قائمة الاهداف.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</si>
  <si>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تمرير المعلومات الاستخبارية إلى ركن الاستخبارات واستلامها منه.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</si>
</sst>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6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3" xfId="0" applyFont="1" applyFill="1" applyBorder="1" applyAlignment="1">
      <alignment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121055</xdr:colOff>
      <xdr:row>33</xdr:row>
      <xdr:rowOff>214673</xdr:rowOff>
    </xdr:from>
    <xdr:to>
      <xdr:col>7</xdr:col>
      <xdr:colOff>271535</xdr:colOff>
      <xdr:row>33</xdr:row>
      <xdr:rowOff>642353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A8DCB30-9290-BF63-F54B-875B0BD1E960}"/>
                </a:ext>
              </a:extLst>
            </xdr14:cNvPr>
            <xdr14:cNvContentPartPr/>
          </xdr14:nvContentPartPr>
          <xdr14:nvPr macro=""/>
          <xdr14:xfrm>
            <a:off x="10399631465" y="14369400"/>
            <a:ext cx="150480" cy="427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A8DCB30-9290-BF63-F54B-875B0BD1E9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22825" y="14360400"/>
              <a:ext cx="168120" cy="44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380985</xdr:colOff>
      <xdr:row>32</xdr:row>
      <xdr:rowOff>479363</xdr:rowOff>
    </xdr:from>
    <xdr:to>
      <xdr:col>8</xdr:col>
      <xdr:colOff>421644</xdr:colOff>
      <xdr:row>33</xdr:row>
      <xdr:rowOff>486473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D21A3E1-0F41-9E9C-9DC5-B689EF8AAAA5}"/>
                </a:ext>
              </a:extLst>
            </xdr14:cNvPr>
            <xdr14:cNvContentPartPr/>
          </xdr14:nvContentPartPr>
          <xdr14:nvPr macro=""/>
          <xdr14:xfrm>
            <a:off x="10398823265" y="14103000"/>
            <a:ext cx="1356840" cy="538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D21A3E1-0F41-9E9C-9DC5-B689EF8AAAA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814625" y="14094000"/>
              <a:ext cx="1374480" cy="55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06:38.1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177 0,'0'0,"0"0,0 0,0 0,0 0,0 0,0 0,0 0,0 0,0 0,0 0,0 0,0 0,0 0,0 0,0 0,0 0,0 0,0 0,0 0,0 0,0 0,16 0,-14 0,12 16,2 0,-14-14,28 12,2 18,-29-29,26 26,3 20,-29-45,27 40,-14 20,-15-58,13 68,-29 6,13-72,-12 96,-34 25,43-117,-39 104,-20-4,58-101,-68 90,10-20,57-73,-66 64,73-72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06:39.5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1684 1334,'0'0,"0"0,0 0,0 0,0 0,0 0,0 0,0 0,0 0,0 0,0 0,0 0,16 0,1 0,-16 0,29 0,3 16,-29-14,56 12,20 2,-80-16</inkml:trace>
  <inkml:trace contextRef="#ctx0" brushRef="#br0" timeOffset="1">3769 596,'0'0,"0"0,0 0,0 0,0 0,-16 0,0 0,14 0,-44 0,-50 16,82-14,-117 12,-61 2,165-14,-171 44,-74 2,235-41,-231 50,-69 7,290-55,-242 79,-16-8,262-69,-235 74,-26-5,259-68,-151 56,-28-3,193-57,-67 32,-14-8,97-28,-50 24,17-28,41 0,-2 16,25-16,-14 0,28-16,34 0,-55 14,62-12,41-2,-96 14,129-28,31-18,-152 41,177-51,39-6,-205 55,171-46,34-9,-207 55,127-30,-48-9,-96 41,64-18,-16 9,-54 13,28-10,-6 13,-27 0,-26 0,-11 16,28-14,-56 12,-20-14,68 0,-104 16,-28 16,125-28,-139 8,-34 20,165-28,-123 8,6 4,123-14,-86 12,42-14,57 0,-32 0,24 0,14 0,20-16,30 0,-40 14,49-12,55-34,-97 41,82-18,47-39,-124 55,121-47,19-8,-137 55,131-46,-10-9,-123 55,70-30,-27 7,-55 28,14-24,-23-4,0 27,-32-6,-64-21,83 27,-102-22,2-38,97 56,-80-30,0-9,81 41,-66-50,1 9,67 41,-54-34,34 9,29 27,-8-22,12 11,0 13,16-10,0-3,-13 13,11 22,34-3,-41-14,50 28,55 50,-94-67,108 54,35 29,-135-80,140 81,42 15,-174-94,157 76,17 18,-172-93,-72-38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A15" zoomScale="130" zoomScaleNormal="100" zoomScaleSheetLayoutView="130" workbookViewId="0">
      <selection activeCell="F19" sqref="F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7" t="s">
        <v>180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">
      <c r="B2" s="12" t="s">
        <v>8</v>
      </c>
      <c r="C2" s="63" t="s">
        <v>49</v>
      </c>
      <c r="D2" s="63"/>
      <c r="E2" s="12" t="s">
        <v>7</v>
      </c>
      <c r="F2" s="58">
        <v>45953</v>
      </c>
      <c r="G2" s="58"/>
      <c r="H2" s="58"/>
      <c r="I2" s="58"/>
      <c r="J2" s="58"/>
    </row>
    <row r="3" spans="1:10" ht="30" customHeight="1" x14ac:dyDescent="0.2">
      <c r="B3" s="12" t="s">
        <v>9</v>
      </c>
      <c r="C3" s="63" t="s">
        <v>68</v>
      </c>
      <c r="D3" s="63"/>
      <c r="E3" s="12" t="s">
        <v>6</v>
      </c>
      <c r="F3" s="63" t="s">
        <v>176</v>
      </c>
      <c r="G3" s="63"/>
      <c r="H3" s="63"/>
      <c r="I3" s="63"/>
      <c r="J3" s="6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9" t="s">
        <v>0</v>
      </c>
      <c r="C5" s="60"/>
      <c r="D5" s="60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61"/>
      <c r="C6" s="62"/>
      <c r="D6" s="62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7" t="s">
        <v>18</v>
      </c>
      <c r="F7" s="27" t="s">
        <v>19</v>
      </c>
      <c r="G7" s="27" t="s">
        <v>22</v>
      </c>
      <c r="H7" s="27" t="s">
        <v>20</v>
      </c>
      <c r="I7" s="70" t="s">
        <v>25</v>
      </c>
      <c r="J7" s="71"/>
    </row>
    <row r="8" spans="1:10" ht="30" customHeight="1" x14ac:dyDescent="0.2">
      <c r="A8" s="10"/>
      <c r="B8" s="41" t="s">
        <v>181</v>
      </c>
      <c r="C8" s="42"/>
      <c r="D8" s="42"/>
      <c r="E8" s="42"/>
      <c r="F8" s="42"/>
      <c r="G8" s="42"/>
      <c r="H8" s="42"/>
      <c r="I8" s="42"/>
      <c r="J8" s="43"/>
    </row>
    <row r="9" spans="1:10" ht="30" customHeight="1" x14ac:dyDescent="0.2">
      <c r="A9" s="10"/>
      <c r="B9" s="37" t="s">
        <v>182</v>
      </c>
      <c r="C9" s="38"/>
      <c r="D9" s="38"/>
      <c r="E9" s="9"/>
      <c r="F9" s="26"/>
      <c r="G9" s="29"/>
      <c r="H9" s="30"/>
      <c r="I9" s="46"/>
      <c r="J9" s="47"/>
    </row>
    <row r="10" spans="1:10" ht="30" customHeight="1" x14ac:dyDescent="0.2">
      <c r="A10" s="10"/>
      <c r="B10" s="35" t="s">
        <v>183</v>
      </c>
      <c r="C10" s="36"/>
      <c r="D10" s="36"/>
      <c r="E10" s="9">
        <v>5</v>
      </c>
      <c r="F10" s="26">
        <v>4</v>
      </c>
      <c r="G10" s="29">
        <f t="shared" ref="G10:G29" si="0">IFERROR(F10/E10,"")</f>
        <v>0.8</v>
      </c>
      <c r="H10" s="30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9.950000000000003" customHeight="1" x14ac:dyDescent="0.2">
      <c r="A11" s="10"/>
      <c r="B11" s="35" t="s">
        <v>184</v>
      </c>
      <c r="C11" s="36"/>
      <c r="D11" s="36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9.950000000000003" customHeight="1" x14ac:dyDescent="0.2">
      <c r="A12" s="10"/>
      <c r="B12" s="35" t="s">
        <v>185</v>
      </c>
      <c r="C12" s="36"/>
      <c r="D12" s="36"/>
      <c r="E12" s="9">
        <v>5</v>
      </c>
      <c r="F12" s="34">
        <v>3.5</v>
      </c>
      <c r="G12" s="29">
        <f t="shared" si="0"/>
        <v>0.7</v>
      </c>
      <c r="H12" s="30" t="str">
        <f t="shared" si="1"/>
        <v>جيد</v>
      </c>
      <c r="I12" s="46"/>
      <c r="J12" s="47"/>
    </row>
    <row r="13" spans="1:10" ht="30" customHeight="1" x14ac:dyDescent="0.2">
      <c r="A13" s="10"/>
      <c r="B13" s="37" t="s">
        <v>186</v>
      </c>
      <c r="C13" s="38"/>
      <c r="D13" s="38"/>
      <c r="E13" s="9"/>
      <c r="F13" s="26"/>
      <c r="G13" s="29"/>
      <c r="H13" s="30"/>
      <c r="I13" s="46"/>
      <c r="J13" s="47"/>
    </row>
    <row r="14" spans="1:10" ht="54" customHeight="1" x14ac:dyDescent="0.2">
      <c r="A14" s="10"/>
      <c r="B14" s="35" t="s">
        <v>187</v>
      </c>
      <c r="C14" s="36"/>
      <c r="D14" s="36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46"/>
      <c r="J14" s="47"/>
    </row>
    <row r="15" spans="1:10" ht="59.25" customHeight="1" x14ac:dyDescent="0.2">
      <c r="A15" s="10"/>
      <c r="B15" s="35" t="s">
        <v>188</v>
      </c>
      <c r="C15" s="36"/>
      <c r="D15" s="36"/>
      <c r="E15" s="9">
        <v>5</v>
      </c>
      <c r="F15" s="34">
        <v>3.5</v>
      </c>
      <c r="G15" s="29">
        <f t="shared" si="0"/>
        <v>0.7</v>
      </c>
      <c r="H15" s="30" t="str">
        <f t="shared" si="1"/>
        <v>جيد</v>
      </c>
      <c r="I15" s="46"/>
      <c r="J15" s="47"/>
    </row>
    <row r="16" spans="1:10" ht="49.5" customHeight="1" thickBot="1" x14ac:dyDescent="0.25">
      <c r="A16" s="10"/>
      <c r="B16" s="44" t="s">
        <v>189</v>
      </c>
      <c r="C16" s="45"/>
      <c r="D16" s="45"/>
      <c r="E16" s="31">
        <v>5</v>
      </c>
      <c r="F16" s="34">
        <v>3.5</v>
      </c>
      <c r="G16" s="32">
        <f t="shared" si="0"/>
        <v>0.7</v>
      </c>
      <c r="H16" s="33" t="str">
        <f t="shared" si="1"/>
        <v>جيد</v>
      </c>
      <c r="I16" s="80"/>
      <c r="J16" s="81"/>
    </row>
    <row r="17" spans="1:10" ht="30" customHeight="1" x14ac:dyDescent="0.2">
      <c r="A17" s="10"/>
      <c r="B17" s="41" t="s">
        <v>190</v>
      </c>
      <c r="C17" s="42"/>
      <c r="D17" s="42"/>
      <c r="E17" s="42"/>
      <c r="F17" s="42"/>
      <c r="G17" s="42"/>
      <c r="H17" s="42"/>
      <c r="I17" s="42"/>
      <c r="J17" s="43"/>
    </row>
    <row r="18" spans="1:10" ht="39.950000000000003" customHeight="1" x14ac:dyDescent="0.2">
      <c r="A18" s="10"/>
      <c r="B18" s="37" t="s">
        <v>191</v>
      </c>
      <c r="C18" s="38"/>
      <c r="D18" s="38"/>
      <c r="E18" s="9"/>
      <c r="F18" s="26"/>
      <c r="G18" s="29"/>
      <c r="H18" s="30"/>
      <c r="I18" s="46"/>
      <c r="J18" s="47"/>
    </row>
    <row r="19" spans="1:10" ht="30" customHeight="1" x14ac:dyDescent="0.2">
      <c r="A19" s="10"/>
      <c r="B19" s="35" t="s">
        <v>192</v>
      </c>
      <c r="C19" s="36"/>
      <c r="D19" s="36"/>
      <c r="E19" s="9">
        <v>5</v>
      </c>
      <c r="F19" s="26">
        <v>4</v>
      </c>
      <c r="G19" s="29">
        <f t="shared" si="0"/>
        <v>0.8</v>
      </c>
      <c r="H19" s="30" t="str">
        <f t="shared" si="1"/>
        <v>جيد جداً</v>
      </c>
      <c r="I19" s="46"/>
      <c r="J19" s="47"/>
    </row>
    <row r="20" spans="1:10" ht="30" customHeight="1" x14ac:dyDescent="0.2">
      <c r="A20" s="10"/>
      <c r="B20" s="35" t="s">
        <v>193</v>
      </c>
      <c r="C20" s="36"/>
      <c r="D20" s="36"/>
      <c r="E20" s="9">
        <v>5</v>
      </c>
      <c r="F20" s="34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0" customHeight="1" x14ac:dyDescent="0.2">
      <c r="A21" s="10"/>
      <c r="B21" s="35" t="s">
        <v>194</v>
      </c>
      <c r="C21" s="36"/>
      <c r="D21" s="36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30" customHeight="1" x14ac:dyDescent="0.2">
      <c r="A22" s="10"/>
      <c r="B22" s="35" t="s">
        <v>195</v>
      </c>
      <c r="C22" s="36"/>
      <c r="D22" s="36"/>
      <c r="E22" s="9">
        <v>5</v>
      </c>
      <c r="F22" s="34">
        <v>3.5</v>
      </c>
      <c r="G22" s="29">
        <f t="shared" si="0"/>
        <v>0.7</v>
      </c>
      <c r="H22" s="30" t="str">
        <f t="shared" si="1"/>
        <v>جيد</v>
      </c>
      <c r="I22" s="46"/>
      <c r="J22" s="47"/>
    </row>
    <row r="23" spans="1:10" ht="30" customHeight="1" x14ac:dyDescent="0.2">
      <c r="A23" s="10"/>
      <c r="B23" s="35" t="s">
        <v>196</v>
      </c>
      <c r="C23" s="36"/>
      <c r="D23" s="36"/>
      <c r="E23" s="9">
        <v>5</v>
      </c>
      <c r="F23" s="34">
        <v>3.5</v>
      </c>
      <c r="G23" s="29">
        <f t="shared" si="0"/>
        <v>0.7</v>
      </c>
      <c r="H23" s="30" t="str">
        <f t="shared" si="1"/>
        <v>جيد</v>
      </c>
      <c r="I23" s="46"/>
      <c r="J23" s="47"/>
    </row>
    <row r="24" spans="1:10" ht="30" customHeight="1" x14ac:dyDescent="0.2">
      <c r="A24" s="10"/>
      <c r="B24" s="37" t="s">
        <v>197</v>
      </c>
      <c r="C24" s="38"/>
      <c r="D24" s="38"/>
      <c r="E24" s="9"/>
      <c r="F24" s="26"/>
      <c r="G24" s="29"/>
      <c r="H24" s="30"/>
      <c r="I24" s="46"/>
      <c r="J24" s="47"/>
    </row>
    <row r="25" spans="1:10" ht="30" customHeight="1" x14ac:dyDescent="0.2">
      <c r="A25" s="10"/>
      <c r="B25" s="35" t="s">
        <v>198</v>
      </c>
      <c r="C25" s="36"/>
      <c r="D25" s="36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46"/>
      <c r="J25" s="47"/>
    </row>
    <row r="26" spans="1:10" ht="39.950000000000003" customHeight="1" x14ac:dyDescent="0.2">
      <c r="A26" s="10"/>
      <c r="B26" s="35" t="s">
        <v>199</v>
      </c>
      <c r="C26" s="36"/>
      <c r="D26" s="36"/>
      <c r="E26" s="9">
        <v>5</v>
      </c>
      <c r="F26" s="34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0" customHeight="1" x14ac:dyDescent="0.2">
      <c r="A27" s="10"/>
      <c r="B27" s="35" t="s">
        <v>200</v>
      </c>
      <c r="C27" s="36"/>
      <c r="D27" s="36"/>
      <c r="E27" s="9">
        <v>5</v>
      </c>
      <c r="F27" s="34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0" customHeight="1" x14ac:dyDescent="0.2">
      <c r="A28" s="10"/>
      <c r="B28" s="37" t="s">
        <v>201</v>
      </c>
      <c r="C28" s="38"/>
      <c r="D28" s="38"/>
      <c r="E28" s="9">
        <v>5</v>
      </c>
      <c r="F28" s="34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0" customHeight="1" thickBot="1" x14ac:dyDescent="0.25">
      <c r="A29" s="10"/>
      <c r="B29" s="39" t="s">
        <v>202</v>
      </c>
      <c r="C29" s="40"/>
      <c r="D29" s="40"/>
      <c r="E29" s="31">
        <v>5</v>
      </c>
      <c r="F29" s="34">
        <v>3.5</v>
      </c>
      <c r="G29" s="32">
        <f t="shared" si="0"/>
        <v>0.7</v>
      </c>
      <c r="H29" s="33" t="str">
        <f t="shared" si="1"/>
        <v>جيد</v>
      </c>
      <c r="I29" s="80"/>
      <c r="J29" s="81"/>
    </row>
    <row r="30" spans="1:10" ht="30" customHeight="1" thickBot="1" x14ac:dyDescent="0.25">
      <c r="A30" s="4"/>
      <c r="B30" s="76" t="s">
        <v>5</v>
      </c>
      <c r="C30" s="77"/>
      <c r="D30" s="77"/>
      <c r="E30" s="28">
        <f>SUM(E8:E29)</f>
        <v>80</v>
      </c>
      <c r="F30" s="28">
        <f>SUM(F8:F29)</f>
        <v>57</v>
      </c>
      <c r="G30" s="50"/>
      <c r="H30" s="51"/>
      <c r="I30" s="51"/>
      <c r="J30" s="52"/>
    </row>
    <row r="31" spans="1:10" ht="30" customHeight="1" thickBot="1" x14ac:dyDescent="0.25">
      <c r="A31" s="4"/>
      <c r="B31" s="78" t="s">
        <v>54</v>
      </c>
      <c r="C31" s="79"/>
      <c r="D31" s="79"/>
      <c r="E31" s="53">
        <f>F30/E30/100*100</f>
        <v>0.71250000000000002</v>
      </c>
      <c r="F31" s="53"/>
      <c r="G31" s="53"/>
      <c r="H31" s="53"/>
      <c r="I31" s="53"/>
      <c r="J31" s="54"/>
    </row>
    <row r="32" spans="1:10" ht="30" customHeight="1" thickBot="1" x14ac:dyDescent="0.25">
      <c r="A32" s="4"/>
      <c r="B32" s="78" t="s">
        <v>55</v>
      </c>
      <c r="C32" s="79"/>
      <c r="D32" s="79"/>
      <c r="E32" s="74" t="str">
        <f>_xlfn.IFS(E31&gt;=90%,"ممتاز",E31&gt;=80%,"جيد جداً",E31&gt;=70%,"جيد",E31&gt;=60%,"مقبول",E31&lt;60%,"راسب")</f>
        <v>جيد</v>
      </c>
      <c r="F32" s="74"/>
      <c r="G32" s="74"/>
      <c r="H32" s="74"/>
      <c r="I32" s="74"/>
      <c r="J32" s="75"/>
    </row>
    <row r="33" spans="1:10" ht="42" customHeight="1" x14ac:dyDescent="0.2">
      <c r="B33" s="55" t="s">
        <v>174</v>
      </c>
      <c r="C33" s="55"/>
      <c r="D33" s="55"/>
      <c r="E33" s="48" t="s">
        <v>52</v>
      </c>
      <c r="F33" s="48"/>
      <c r="G33" s="72" t="s">
        <v>176</v>
      </c>
      <c r="H33" s="72"/>
      <c r="I33" s="72"/>
      <c r="J33" s="72"/>
    </row>
    <row r="34" spans="1:10" ht="51" customHeight="1" x14ac:dyDescent="0.2">
      <c r="A34" s="5"/>
      <c r="B34" s="56"/>
      <c r="C34" s="56"/>
      <c r="D34" s="56"/>
      <c r="E34" s="49" t="s">
        <v>53</v>
      </c>
      <c r="F34" s="49"/>
      <c r="G34" s="73"/>
      <c r="H34" s="73"/>
      <c r="I34" s="73"/>
      <c r="J3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3">
    <mergeCell ref="I16:J16"/>
    <mergeCell ref="I18:J18"/>
    <mergeCell ref="I28:J28"/>
    <mergeCell ref="I29:J29"/>
    <mergeCell ref="I11:J11"/>
    <mergeCell ref="I12:J12"/>
    <mergeCell ref="I13:J13"/>
    <mergeCell ref="I14:J14"/>
    <mergeCell ref="I15:J15"/>
    <mergeCell ref="G33:J33"/>
    <mergeCell ref="G34:J34"/>
    <mergeCell ref="E32:J32"/>
    <mergeCell ref="B30:D30"/>
    <mergeCell ref="B31:D31"/>
    <mergeCell ref="B32:D32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B16:D16"/>
    <mergeCell ref="I9:J9"/>
    <mergeCell ref="E33:F33"/>
    <mergeCell ref="E34:F34"/>
    <mergeCell ref="G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1:J31"/>
    <mergeCell ref="B33:D34"/>
    <mergeCell ref="B11:D11"/>
    <mergeCell ref="B12:D12"/>
    <mergeCell ref="B13:D13"/>
    <mergeCell ref="B14:D14"/>
    <mergeCell ref="B15:D15"/>
    <mergeCell ref="B26:D26"/>
    <mergeCell ref="B27:D27"/>
    <mergeCell ref="B28:D28"/>
    <mergeCell ref="B29:D29"/>
    <mergeCell ref="B8:J8"/>
    <mergeCell ref="B17:J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6">
    <cfRule type="containsText" dxfId="16" priority="4" operator="containsText" text="أدخل العلامة">
      <formula>NOT(ISERROR(SEARCH("أدخل العلامة",F9)))</formula>
    </cfRule>
  </conditionalFormatting>
  <conditionalFormatting sqref="F18:F29">
    <cfRule type="containsText" dxfId="15" priority="14" operator="containsText" text="أدخل العلامة">
      <formula>NOT(ISERROR(SEARCH("أدخل العلامة",F18)))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6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8:H29">
    <cfRule type="containsText" dxfId="5" priority="38" operator="containsText" text="أدخل العلامة">
      <formula>NOT(ISERROR(SEARCH("أدخل العلامة",H18)))</formula>
    </cfRule>
    <cfRule type="containsText" dxfId="4" priority="39" operator="containsText" text="ممتاز">
      <formula>NOT(ISERROR(SEARCH("ممتاز",H18)))</formula>
    </cfRule>
    <cfRule type="containsText" dxfId="3" priority="40" operator="containsText" text="جيد جداً">
      <formula>NOT(ISERROR(SEARCH("جيد جداً",H18)))</formula>
    </cfRule>
    <cfRule type="containsText" dxfId="2" priority="41" operator="containsText" text="جيد">
      <formula>NOT(ISERROR(SEARCH("جيد",H18)))</formula>
    </cfRule>
    <cfRule type="containsText" dxfId="1" priority="42" operator="containsText" text="مقبول">
      <formula>NOT(ISERROR(SEARCH("مقبول",H18)))</formula>
    </cfRule>
    <cfRule type="containsText" dxfId="0" priority="43" operator="containsText" text="راسب">
      <formula>NOT(ISERROR(SEARCH("راسب",H18)))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F25:F29 F19:F23 F14:F16 F10:F12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G33:J33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2025-10-22T08:11:24Z</dcterms:modified>
</cp:coreProperties>
</file>