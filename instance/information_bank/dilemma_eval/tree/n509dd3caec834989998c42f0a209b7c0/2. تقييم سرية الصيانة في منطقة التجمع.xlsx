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3E55BF3-53D9-4BFE-8923-31E58A5E08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/>
  <c r="G12" i="2"/>
  <c r="H12" i="2"/>
  <c r="G13" i="2"/>
  <c r="H13" i="2"/>
  <c r="G15" i="2"/>
  <c r="H15" i="2"/>
  <c r="G16" i="2"/>
  <c r="H16" i="2" s="1"/>
  <c r="G17" i="2"/>
  <c r="H17" i="2"/>
  <c r="G18" i="2"/>
  <c r="H18" i="2"/>
  <c r="G19" i="2"/>
  <c r="H19" i="2" s="1"/>
  <c r="G21" i="2"/>
  <c r="H21" i="2" s="1"/>
  <c r="G22" i="2"/>
  <c r="H22" i="2" s="1"/>
  <c r="G23" i="2"/>
  <c r="H23" i="2"/>
  <c r="G24" i="2"/>
  <c r="H24" i="2"/>
  <c r="G25" i="2"/>
  <c r="H25" i="2" s="1"/>
  <c r="F26" i="2"/>
  <c r="E27" i="2" s="1"/>
  <c r="E28" i="2" s="1"/>
  <c r="E26" i="2"/>
</calcChain>
</file>

<file path=xl/sharedStrings.xml><?xml version="1.0" encoding="utf-8"?>
<sst xmlns="http://schemas.openxmlformats.org/spreadsheetml/2006/main" count="255" uniqueCount="199">
  <si>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</si>
  <si>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</si>
  <si>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</si>
  <si>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</si>
  <si>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</si>
  <si>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</si>
  <si>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</si>
  <si>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</si>
  <si>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</si>
  <si>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</si>
  <si>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</si>
  <si>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</si>
  <si>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</si>
  <si>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</si>
  <si>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</si>
  <si>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</si>
  <si>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</si>
  <si>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</si>
  <si>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</si>
  <si>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</si>
  <si>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</si>
  <si>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</si>
  <si>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</si>
  <si>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</si>
  <si>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</si>
  <si>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</si>
  <si>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</si>
  <si>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</si>
  <si>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</si>
  <si>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</si>
  <si>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</si>
  <si>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</si>
  <si>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</si>
  <si>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</si>
  <si>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</si>
  <si>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</si>
  <si>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</si>
  <si>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</si>
  <si>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</si>
  <si>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</si>
  <si>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</si>
  <si>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</si>
  <si>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</si>
  <si>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</si>
  <si>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</si>
  <si>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</si>
  <si>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</si>
  <si>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</si>
  <si>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</si>
  <si>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</si>
  <si>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</si>
  <si>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</si>
  <si>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</si>
  <si>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</si>
  <si>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</si>
  <si>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</si>
  <si>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</si>
  <si>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</si>
  <si>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</si>
  <si>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</si>
  <si>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</si>
  <si>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</si>
  <si>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</si>
  <si>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</si>
  <si>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</si>
  <si>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</si>
  <si>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</si>
  <si>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</si>
  <si>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</si>
  <si>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</si>
  <si>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</si>
  <si>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</si>
  <si>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</si>
  <si>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</si>
  <si>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</si>
  <si>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</si>
  <si>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</si>
  <si>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</si>
  <si>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</si>
  <si>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</si>
  <si>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</si>
  <si>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</si>
  <si>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</si>
  <si>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</si>
  <si>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</si>
  <si>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</si>
  <si>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</si>
  <si>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</si>
  <si>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</si>
  <si>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</si>
  <si>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</si>
  <si>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</si>
  <si>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</si>
  <si>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</si>
  <si>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</si>
  <si>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</si>
  <si>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</si>
  <si>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</si>
  <si>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</si>
  <si>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</si>
  <si>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</si>
  <si>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</si>
  <si>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</si>
  <si>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</si>
  <si>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</si>
  <si>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</si>
  <si>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</si>
  <si>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</si>
  <si>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</si>
  <si>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</si>
  <si>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</si>
  <si>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</si>
  <si>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</si>
  <si>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</si>
  <si>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</si>
  <si>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</si>
  <si>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</si>
  <si>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</si>
  <si>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</si>
  <si>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</si>
  <si>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</si>
  <si>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</si>
  <si>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</si>
  <si>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</si>
  <si>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</si>
  <si>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</si>
  <si>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</si>
  <si>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</si>
  <si>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</si>
  <si>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</si>
  <si>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</si>
  <si>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</si>
  <si>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</si>
  <si>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</si>
  <si>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</si>
  <si>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</si>
  <si>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</si>
  <si>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</si>
  <si>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</si>
  <si>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</si>
  <si>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</si>
  <si>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</si>
  <si>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</si>
  <si>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</si>
  <si>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</si>
  <si>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</si>
  <si>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</si>
  <si>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</si>
  <si>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</si>
  <si>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</si>
  <si>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</si>
  <si>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</si>
  <si>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</si>
  <si>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</si>
  <si>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</si>
  <si>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</si>
  <si>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</si>
  <si>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</si>
  <si>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</si>
  <si>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</si>
  <si>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</si>
  <si>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</si>
  <si>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</si>
  <si>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</si>
  <si>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</si>
  <si>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</si>
  <si>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</si>
  <si>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</si>
  <si>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</si>
  <si>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</si>
  <si>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</si>
  <si>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</si>
  <si>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</si>
  <si>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</si>
  <si>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</si>
  <si>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</si>
  <si>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</si>
  <si>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</si>
  <si>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</si>
  <si>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</si>
  <si>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إجراءات سرية الصيانة في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</si>
  <si>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توزيع القوة في منطقة التجمع (الانتشار في منطقة التجمع على شكل الدفاع الدائري).</t>
    </r>
  </si>
  <si>
    <t>أ.   التمركز في الموقع المنتخب لسرية الصيانة.</t>
  </si>
  <si>
    <t>ب. معرفة الطرق الرئيسية والبديلة لخطوط الاخلاء.</t>
  </si>
  <si>
    <t>جـ. توضيح المهمة والواجبات على المرتب.</t>
  </si>
  <si>
    <t>د.  ابلاغ قائد كتيبة الاسناد لمجموعة اللواء.</t>
  </si>
  <si>
    <t>هـ. معرفة مواقع الإسناد (السرية الطبية - مواقع الأرزاق).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</si>
  <si>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إجراءات الحماية والدفاع الدائري في منطقه التجمع</t>
    </r>
    <r>
      <rPr>
        <b/>
        <sz val="12"/>
        <color rgb="FF000000"/>
        <rFont val="Arial"/>
        <family val="2"/>
      </rPr>
      <t>.</t>
    </r>
  </si>
  <si>
    <t>أ.   التأكد من التوزيع الدائري في منطقه التجمع.</t>
  </si>
  <si>
    <t>ب. التنسيق مع قوة الحماية لسرية الصيانة.</t>
  </si>
  <si>
    <t>جـ. تحديد المواقع البديلة في حال التعرض للهجوم.</t>
  </si>
  <si>
    <t>د.  التأكد من استخدام وفاعلية أجهزة المراقبة الليلية.</t>
  </si>
  <si>
    <t>هـ. انتخاب نقاط مرجع (GPS) حول منطقة التجمع.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</si>
  <si>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استكمال التحضيرات والتفتيشات وسد النقص</t>
    </r>
    <r>
      <rPr>
        <b/>
        <sz val="12"/>
        <color rgb="FF000000"/>
        <rFont val="Arial"/>
        <family val="2"/>
      </rPr>
      <t>.</t>
    </r>
  </si>
  <si>
    <t>أ.   استكمال النقص في المعدات الفنية.</t>
  </si>
  <si>
    <t>ب. استكمال النقص في الوقود.</t>
  </si>
  <si>
    <t>جـ. استكمال مواد الإسناد الإداري.</t>
  </si>
  <si>
    <t>د.  تفقد شبكات الاتصالات.</t>
  </si>
  <si>
    <t>هـ. تفقد وصيانته الآليات والأسلحة.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</si>
</sst>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4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584735</xdr:colOff>
      <xdr:row>29</xdr:row>
      <xdr:rowOff>241353</xdr:rowOff>
    </xdr:from>
    <xdr:to>
      <xdr:col>8</xdr:col>
      <xdr:colOff>37164</xdr:colOff>
      <xdr:row>29</xdr:row>
      <xdr:rowOff>543753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E27C889-3A8E-2DDF-129F-804234DD4D37}"/>
                </a:ext>
              </a:extLst>
            </xdr14:cNvPr>
            <xdr14:cNvContentPartPr/>
          </xdr14:nvContentPartPr>
          <xdr14:nvPr macro=""/>
          <xdr14:xfrm>
            <a:off x="10399207745" y="11602080"/>
            <a:ext cx="110520" cy="302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E27C889-3A8E-2DDF-129F-804234DD4D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01625" y="11595960"/>
              <a:ext cx="122760" cy="31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177575</xdr:colOff>
      <xdr:row>29</xdr:row>
      <xdr:rowOff>88353</xdr:rowOff>
    </xdr:from>
    <xdr:to>
      <xdr:col>8</xdr:col>
      <xdr:colOff>211044</xdr:colOff>
      <xdr:row>29</xdr:row>
      <xdr:rowOff>485433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13FFCF7-4691-0AED-47C6-52086E539001}"/>
                </a:ext>
              </a:extLst>
            </xdr14:cNvPr>
            <xdr14:cNvContentPartPr/>
          </xdr14:nvContentPartPr>
          <xdr14:nvPr macro=""/>
          <xdr14:xfrm>
            <a:off x="10399033865" y="11449080"/>
            <a:ext cx="691560" cy="3970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13FFCF7-4691-0AED-47C6-52086E53900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027745" y="11442960"/>
              <a:ext cx="703800" cy="40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349116</xdr:colOff>
      <xdr:row>29</xdr:row>
      <xdr:rowOff>287793</xdr:rowOff>
    </xdr:from>
    <xdr:to>
      <xdr:col>8</xdr:col>
      <xdr:colOff>423996</xdr:colOff>
      <xdr:row>29</xdr:row>
      <xdr:rowOff>370953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606872E-4AB5-A0B6-B7BD-822D3E8BB72E}"/>
                </a:ext>
              </a:extLst>
            </xdr14:cNvPr>
            <xdr14:cNvContentPartPr/>
          </xdr14:nvContentPartPr>
          <xdr14:nvPr macro=""/>
          <xdr14:xfrm>
            <a:off x="10398820913" y="11648520"/>
            <a:ext cx="74880" cy="831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606872E-4AB5-A0B6-B7BD-822D3E8BB72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814793" y="11642400"/>
              <a:ext cx="8712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480516</xdr:colOff>
      <xdr:row>29</xdr:row>
      <xdr:rowOff>389673</xdr:rowOff>
    </xdr:from>
    <xdr:to>
      <xdr:col>8</xdr:col>
      <xdr:colOff>559716</xdr:colOff>
      <xdr:row>29</xdr:row>
      <xdr:rowOff>418833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5BF74D7-DA2A-A445-E623-64C1C0CBBCE6}"/>
                </a:ext>
              </a:extLst>
            </xdr14:cNvPr>
            <xdr14:cNvContentPartPr/>
          </xdr14:nvContentPartPr>
          <xdr14:nvPr macro=""/>
          <xdr14:xfrm>
            <a:off x="10398685193" y="11750400"/>
            <a:ext cx="79200" cy="29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5BF74D7-DA2A-A445-E623-64C1C0CBBCE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679073" y="11744280"/>
              <a:ext cx="91440" cy="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412127</xdr:colOff>
      <xdr:row>29</xdr:row>
      <xdr:rowOff>37233</xdr:rowOff>
    </xdr:from>
    <xdr:to>
      <xdr:col>9</xdr:col>
      <xdr:colOff>330386</xdr:colOff>
      <xdr:row>29</xdr:row>
      <xdr:rowOff>567153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811F621-9928-F802-B8D6-44A9942454C0}"/>
                </a:ext>
              </a:extLst>
            </xdr14:cNvPr>
            <xdr14:cNvContentPartPr/>
          </xdr14:nvContentPartPr>
          <xdr14:nvPr macro=""/>
          <xdr14:xfrm>
            <a:off x="10398256433" y="11397960"/>
            <a:ext cx="1234440" cy="529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811F621-9928-F802-B8D6-44A9942454C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8250313" y="11391840"/>
              <a:ext cx="1246680" cy="542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4:10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96 36 5593,'0'0'0,"0"0"1928,0 3-1192,0 0-616,0-3-120,0 2-208,0 1-184,5-3-64,-1 3 24,-4-3 432,0 3-304,4 0 64,-2 0 64,2 0 72,-4-3 104,0 2-64,0 1 56,0 0 40,0-3 24,0 0-56,0 3 128,0-3 96,0 3 208,-3-3 104,3 0-536,-3 0 528,-1 3-64,0-3-176,-8 0-128,12 0-160,-4 0 112,-6 0-32,0 0-16,6 0 40,4 0-104,-13 0 161,10-2 79,-9-1 48,10 2 32,2 1-320,-4-3 312,2 0-32,2-1-24,0 0-104,0 4-152,0-5 112,3 1-120,7 0-160,-5-2-72,-5 6 240,14-5-256,-4-1 48,0 2 104,4-1-1193,-14 5 1297,14-3-1272,-4-1 112,5 0 96,-3 0 1008,-12 4 56,8-3-8,2 1 24,-5 2-48,4 0-48,-9 0 80,0 0-88,5 3-96,-1 0-112,-3 1-9,-1-4 305,0 5-320,0-1 32,0 0 136,-1 0 88,1-4 64,-4 12 0,-1-9 80,-6 9 0,0 0-16,11-12-64,-16 11 48,2 3-8,-2 1 40,5 0-8,11-15-72,-17 17 160,4 2 16,0-2 17,2 0 15,-2 3-112,13-20-96,-3 20 64,-7 2 16,8 3 32,2-25-112,-5 25 64,1-1-8,3 3-72,-1 0-48,2 0 32,0-27 32,0 29 8,3-2 24,8 0-8,1 0 8,-12-27-32,10 27-8,1 1-8,6-1 0,-5 0-24,-12-27 40,15 26-24,2-3-32,-4-2 32,1 0-8,-14-21 32,19 20-16,-4-3-88,1 0-160,-2 0-145,-14-17 409,14 13-552,0 0-96,-2-9 40,1 12-672,-13-16 1280,1 4-1136,-1-4 1136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4:12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1216 3 12698,'0'0'0,"-4"-3"1409,-10 3-2442,7 0-1367,7 0 2400,-5 3-2289,0 1 185,5-4 1232,0 12 760,0-12 112,0 11-96,0 3 48,0 3 72,5 5-80,-5-22 56,12 20-40,-3 1-40,7-1-16,6 0-32,-22-20 128,23 18-169,5-2-15,7-2-8,7-1 8,-42-13 184,40 4-152,5 9 72,-4-10 0,-1 1-32,-40-4 112,40 4-120,-3 1-32,1-1 56,-1-1 40,-37-3 56,35 3-32,-2 1 24,-5 0-48,-2 0 32,-26-4 24,19 12-24,-3-9 24,-5 8 8,-8-7-40,-3-4 32,5 13-56,-5-9 16,0 9-16,-3-9 48,3-4 8,-14 15 8,-4-3-16,-5 4 40,-10 1-32,33-17 0,-38 19 0,-6 0-16,-8 3-8,-9-1 24,61-21 0,-70 23 8,-7 1 8,-7 2 8,-8-2 24,92-24-48,-93 24 72,0 0 48,-1-3-16,12-2-56,82-19-48,-77 17 16,7-3-40,8-2-8,11-1 72,51-11-40,-49 11 48,3-6 8,4 9-24,6-10-24,36-4-8,-25 11-8,3-8-24,4 0 32,8 0-16,10-3 16,-4 3 8,1-3 16,1 3-32,2-3 0,0 0 8,0 2 0,0 1 0,0-3 8,0 0-8,0 3 8,2 0-24,-2-3 16,0 0-32,3 0 16,-3 0 16,4 3 8,-1-3 0,-3 0 8,2 3-8,-2-3-8,0 0 8,3 3 16,-3-1-16,0 3-40,0-5 32,2 4-16,-2 0-24,0 8 24,0-10 24,0-2-8,0 12 0,0-9 0,-5 8 8,-9-7-8,14-4 0,-9 14 16,-5-11 8,-3 12 0,4-11-16,13-4-8,-17 11 16,1-7-8,-1 1 24,5 6-32,12-11 0,-11 3 0,4 0-16,-3 1-8,-1 0 40,11-4-16,-5 5 0,-7-3 8,10 1-24,-3 0 8,5-3 8,-7 3 0,5-3 0,-2 3 16,-1-3-16,5 0 0,-3 3 8,1-3-8,-3 0 0,3 2 0,2-2 0,0 0 8,0 0 0,0 0-8,0 0 32,0 0-32,0 0-48,0 0 40,-3 0-24,3 0 32,-2 0 24,0 0-32,-3 0 8,3-1 0,2 1 0,-12-1 0,8-2 0,-11 0-8,13 0 0,2 3 8,-16-4 0,6 0-8,-3-1 56,3 1-32,10 4-16,-14-4-16,7 1 24,-4 1-56,6 0 56,5 2-8,-15-2 24,13-1-16,-1 2-48,-3 0 40,6 1 0,-2-2 0,-1 1 0,3-1 48,-2 2-56,2 0 8,0 0 24,0-1-16,-2 1 8,2 0-24,0 0 8,0 0 8,-3-2-24,3 2 32,0 0 48,0 0-64,0 0 64,0 0 32,0 0-64,0 0 24,0 0-304,5 0 512,-3 0-256,3 3-8,4 2 8,-9-5-8,7 11 8,5-8 8,0 8 64,-1-7-80,-11-4 0,12 13-8,-9-9-32,15 12 8,-16-12 8,-2-4 24,15 16-16,-13-12 48,9 8-32,-8-10 0,-3-2 0,4 12-16,-1-9-24,2 1 8,-1 7 8,-4-11 24,3 0-32,-3 5-56,0-1 32,0 0-16,0-4 72,0 4-80,0 1 24,0-3-24,0 3-88,0-5 168,0 4-208,0 0-40,0 1-144,0-1-240,0-4 632,0 4-952,0-4 952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5:04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79 392,'0'0'0,"-2"0"400,-1-2-112,3 2-288,-5-1 304,1-2 80,1-1-24,-2-2 24,5 6-384,-4-5 480,-1-1-104,0-7 72,2 9-72,3 4-376,-4-6 160,-1 0-96,2 1-88,3 1 48,0 4-24,-2-5 8,2 2 8,-2 2 0,-1 0-96,3 1 80,-2-2-96,2 1-16,0 1-16,0 0 16,0 0 112,0 0-128,0 3 32,0 1-8,0 0 8,0-4 96,0 13-16,5-10-32,-1 11 24,-1-10 48,-3-4-24,12 17-80,-7-5 0,9 0-48,-2 0-80,-12-12 208,12 14-224,3-1-72,-3 1-40,7 0 72,-19-14 264,17 14-240,2 1 80,0 0-56,0 1-112,-19-16 328,20 17-664,-20-17 664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5:05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 96,'0'0'0,"0"0"112,0 0-112,0 0 168,-3 2 24,1 1-48,-1 2-48,3-5-96,0 2 88,-4 3-72,4-1 8,0-1 8,0-3-32,0 0 40,0 0-64,-3 0-16,3 0-40,0 0 80,0 0-72,0 0 24,0 0 0,3 0 40,-3 0 8,4 0-48,11 0 8,-10 3 32,7-3 0,-12 0 8,12 2 8,2 1-8,3 0-72,-3 1-24,-14-4 96,20 3-16,-1 2-56,3-1-16,-1 7 56,-21-11 32,19 3-128,3 11 48,-22-14 80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5:06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1033 1245 128,'0'0'0,"-2"-4"280,0-7 104,2 11-384,-4-4 376,-1-9 0,-7 7-56,9-10-96,3 16-224,-7-11 224,-4-2-56,6 2-160,-7-2 24,12 13-32,-2-13-8,-12 0 0,10 1-16,-11-1-32,15 13 56,-1-13-80,-4 7-112,-7-5-8,9 10 24,3 1 176,-2-5-152,-3 3 72,3 0 8,-2 2 8,4 0 64,0 0-72,0 0 16,-2 0 0,2 3-24,0-3 80,0 4-72,0 0-16,0 1 0,0 6 40,0-11 48,0 3-96,2 1 32,-2 9-80,4-10-88,-4-3 232,5 4-192,-5-4 192</inkml:trace>
  <inkml:trace contextRef="#ctx0" brushRef="#br0" timeOffset="1">537 1471 32,'0'0'0,"-14"-4"48,0 0-48,-3 0 72,-4-2 8,1 0-8,-3 1 24,-6-1-40,-1-5-16,-1 6 16,-4 0 0,35 5-56,-34-12 72,-1 8 16,0-2-40,2 1-56,33 5 8,-30-12 32,2 8-8,2 0 0,0-1-8,26 5-16,-20-4-88,3 0-64,3-2-8,12 0 24,2 6 136,-2-12-88,2 7 80,14-9 32,9 3-48,-23 11 24,28-13 48,7-3-16,7 1 0,4-4 16,-46 19-48,59-20 48,6-2-8,82-27-32,13-2 40,-160 51-48,173-54 40,-2 0 16,-6 0-32,-4 2-40,-161 52 16,147-52 8,-10 1-48,106-43 16,-36 13 40,-207 81-16,182-69 16,-42 17 8,-26 10 104,-9 2-48,-105 40-80,89-36 72,-7 2 24,-3 5-48,-7 0-24,-72 29-24,66-25 16,-6 2 24,-11 3-24,-12 1 56,-37 19-72,33-15 112,-3-2-48,-7 1 0,1 2-40,-24 14-24,19-13 0,-1-1 0,-1 1-16,-2 0-8,-15 13 24,12-13-16,0 8-8,0-11 16,-10 5 0,-2 11 8,2-6-16,3-7-16,-5 12 0,0-2-8,0 3 40,0-3-48,-5 3-264,1 0-376,4 0 688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0"/>
  <sheetViews>
    <sheetView rightToLeft="1" tabSelected="1" view="pageBreakPreview" topLeftCell="A17" zoomScale="130" zoomScaleNormal="100" zoomScaleSheetLayoutView="130" workbookViewId="0">
      <selection activeCell="F25" sqref="F25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0" t="s">
        <v>180</v>
      </c>
      <c r="C1" s="50"/>
      <c r="D1" s="50"/>
      <c r="E1" s="50"/>
      <c r="F1" s="50"/>
      <c r="G1" s="50"/>
      <c r="H1" s="50"/>
      <c r="I1" s="50"/>
      <c r="J1" s="50"/>
    </row>
    <row r="2" spans="1:10" ht="30" customHeight="1" x14ac:dyDescent="0.3">
      <c r="B2" s="10" t="s">
        <v>8</v>
      </c>
      <c r="C2" s="56" t="s">
        <v>32</v>
      </c>
      <c r="D2" s="56"/>
      <c r="E2" s="10" t="s">
        <v>7</v>
      </c>
      <c r="F2" s="51">
        <v>45952</v>
      </c>
      <c r="G2" s="51"/>
      <c r="H2" s="51"/>
      <c r="I2" s="51"/>
      <c r="J2" s="51"/>
    </row>
    <row r="3" spans="1:10" ht="30" customHeight="1" x14ac:dyDescent="0.3">
      <c r="B3" s="10" t="s">
        <v>9</v>
      </c>
      <c r="C3" s="56" t="s">
        <v>67</v>
      </c>
      <c r="D3" s="56"/>
      <c r="E3" s="10" t="s">
        <v>6</v>
      </c>
      <c r="F3" s="56" t="s">
        <v>136</v>
      </c>
      <c r="G3" s="56"/>
      <c r="H3" s="56"/>
      <c r="I3" s="56"/>
      <c r="J3" s="56"/>
    </row>
    <row r="4" spans="1:10" ht="30" customHeight="1" thickBot="1" x14ac:dyDescent="0.35">
      <c r="B4" s="6"/>
      <c r="C4" s="81"/>
      <c r="D4" s="81"/>
      <c r="E4" s="6"/>
      <c r="F4" s="81"/>
      <c r="G4" s="81"/>
      <c r="H4" s="81"/>
      <c r="I4" s="81"/>
      <c r="J4" s="81"/>
    </row>
    <row r="5" spans="1:10" ht="24.9" customHeight="1" x14ac:dyDescent="0.3">
      <c r="A5" s="8"/>
      <c r="B5" s="52" t="s">
        <v>0</v>
      </c>
      <c r="C5" s="53"/>
      <c r="D5" s="53"/>
      <c r="E5" s="61" t="s">
        <v>1</v>
      </c>
      <c r="F5" s="61"/>
      <c r="G5" s="61"/>
      <c r="H5" s="61"/>
      <c r="I5" s="61" t="s">
        <v>2</v>
      </c>
      <c r="J5" s="62"/>
    </row>
    <row r="6" spans="1:10" ht="24.9" customHeight="1" thickBot="1" x14ac:dyDescent="0.35">
      <c r="A6" s="8"/>
      <c r="B6" s="54"/>
      <c r="C6" s="55"/>
      <c r="D6" s="55"/>
      <c r="E6" s="9" t="s">
        <v>3</v>
      </c>
      <c r="F6" s="9" t="s">
        <v>4</v>
      </c>
      <c r="G6" s="9" t="s">
        <v>23</v>
      </c>
      <c r="H6" s="9" t="s">
        <v>24</v>
      </c>
      <c r="I6" s="63"/>
      <c r="J6" s="64"/>
    </row>
    <row r="7" spans="1:10" ht="24.9" customHeight="1" thickBot="1" x14ac:dyDescent="0.35">
      <c r="A7" s="8"/>
      <c r="B7" s="59" t="s">
        <v>21</v>
      </c>
      <c r="C7" s="60"/>
      <c r="D7" s="60"/>
      <c r="E7" s="28" t="s">
        <v>18</v>
      </c>
      <c r="F7" s="28" t="s">
        <v>19</v>
      </c>
      <c r="G7" s="28" t="s">
        <v>22</v>
      </c>
      <c r="H7" s="28" t="s">
        <v>20</v>
      </c>
      <c r="I7" s="65" t="s">
        <v>25</v>
      </c>
      <c r="J7" s="66"/>
    </row>
    <row r="8" spans="1:10" ht="42.75" customHeight="1" x14ac:dyDescent="0.3">
      <c r="A8" s="8"/>
      <c r="B8" s="41" t="s">
        <v>181</v>
      </c>
      <c r="C8" s="42"/>
      <c r="D8" s="42"/>
      <c r="E8" s="26"/>
      <c r="F8" s="32"/>
      <c r="G8" s="33"/>
      <c r="H8" s="34"/>
      <c r="I8" s="69"/>
      <c r="J8" s="70"/>
    </row>
    <row r="9" spans="1:10" ht="30" customHeight="1" x14ac:dyDescent="0.3">
      <c r="A9" s="8"/>
      <c r="B9" s="37" t="s">
        <v>182</v>
      </c>
      <c r="C9" s="38"/>
      <c r="D9" s="38"/>
      <c r="E9" s="7"/>
      <c r="F9" s="24"/>
      <c r="G9" s="30"/>
      <c r="H9" s="31"/>
      <c r="I9" s="43"/>
      <c r="J9" s="44"/>
    </row>
    <row r="10" spans="1:10" ht="30" customHeight="1" x14ac:dyDescent="0.3">
      <c r="A10" s="8"/>
      <c r="B10" s="37" t="s">
        <v>183</v>
      </c>
      <c r="C10" s="38"/>
      <c r="D10" s="38"/>
      <c r="E10" s="7">
        <v>5</v>
      </c>
      <c r="F10" s="24">
        <v>4</v>
      </c>
      <c r="G10" s="30">
        <f t="shared" ref="G10:G25" si="0">IFERROR(F10/E10,"")</f>
        <v>0.8</v>
      </c>
      <c r="H10" s="31" t="str">
        <f t="shared" ref="H10:H25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3"/>
      <c r="J10" s="44"/>
    </row>
    <row r="11" spans="1:10" ht="30" customHeight="1" x14ac:dyDescent="0.3">
      <c r="A11" s="8"/>
      <c r="B11" s="37" t="s">
        <v>184</v>
      </c>
      <c r="C11" s="38"/>
      <c r="D11" s="38"/>
      <c r="E11" s="7">
        <v>5</v>
      </c>
      <c r="F11" s="24">
        <v>3.75</v>
      </c>
      <c r="G11" s="30">
        <f t="shared" si="0"/>
        <v>0.75</v>
      </c>
      <c r="H11" s="31" t="str">
        <f t="shared" si="1"/>
        <v>جيد</v>
      </c>
      <c r="I11" s="43"/>
      <c r="J11" s="44"/>
    </row>
    <row r="12" spans="1:10" ht="30" customHeight="1" x14ac:dyDescent="0.3">
      <c r="A12" s="8"/>
      <c r="B12" s="37" t="s">
        <v>185</v>
      </c>
      <c r="C12" s="38"/>
      <c r="D12" s="38"/>
      <c r="E12" s="7">
        <v>5</v>
      </c>
      <c r="F12" s="24">
        <v>3.75</v>
      </c>
      <c r="G12" s="30">
        <f t="shared" si="0"/>
        <v>0.75</v>
      </c>
      <c r="H12" s="31" t="str">
        <f t="shared" si="1"/>
        <v>جيد</v>
      </c>
      <c r="I12" s="43"/>
      <c r="J12" s="44"/>
    </row>
    <row r="13" spans="1:10" ht="30" customHeight="1" thickBot="1" x14ac:dyDescent="0.35">
      <c r="A13" s="8"/>
      <c r="B13" s="79" t="s">
        <v>186</v>
      </c>
      <c r="C13" s="80"/>
      <c r="D13" s="80"/>
      <c r="E13" s="27">
        <v>5</v>
      </c>
      <c r="F13" s="25">
        <v>3.75</v>
      </c>
      <c r="G13" s="35">
        <f t="shared" si="0"/>
        <v>0.75</v>
      </c>
      <c r="H13" s="36" t="str">
        <f t="shared" si="1"/>
        <v>جيد</v>
      </c>
      <c r="I13" s="67"/>
      <c r="J13" s="68"/>
    </row>
    <row r="14" spans="1:10" ht="30" customHeight="1" x14ac:dyDescent="0.3">
      <c r="A14" s="8"/>
      <c r="B14" s="41" t="s">
        <v>187</v>
      </c>
      <c r="C14" s="42"/>
      <c r="D14" s="42"/>
      <c r="E14" s="26"/>
      <c r="F14" s="32"/>
      <c r="G14" s="33"/>
      <c r="H14" s="34"/>
      <c r="I14" s="69"/>
      <c r="J14" s="70"/>
    </row>
    <row r="15" spans="1:10" ht="30" customHeight="1" x14ac:dyDescent="0.3">
      <c r="A15" s="8"/>
      <c r="B15" s="37" t="s">
        <v>188</v>
      </c>
      <c r="C15" s="38"/>
      <c r="D15" s="38"/>
      <c r="E15" s="7">
        <v>5</v>
      </c>
      <c r="F15" s="24">
        <v>3.75</v>
      </c>
      <c r="G15" s="30">
        <f t="shared" si="0"/>
        <v>0.75</v>
      </c>
      <c r="H15" s="31" t="str">
        <f t="shared" si="1"/>
        <v>جيد</v>
      </c>
      <c r="I15" s="43"/>
      <c r="J15" s="44"/>
    </row>
    <row r="16" spans="1:10" ht="30" customHeight="1" x14ac:dyDescent="0.3">
      <c r="A16" s="8"/>
      <c r="B16" s="37" t="s">
        <v>189</v>
      </c>
      <c r="C16" s="38"/>
      <c r="D16" s="38"/>
      <c r="E16" s="7">
        <v>5</v>
      </c>
      <c r="F16" s="24">
        <v>4</v>
      </c>
      <c r="G16" s="30">
        <f t="shared" si="0"/>
        <v>0.8</v>
      </c>
      <c r="H16" s="31" t="str">
        <f t="shared" si="1"/>
        <v>جيد جداً</v>
      </c>
      <c r="I16" s="43"/>
      <c r="J16" s="44"/>
    </row>
    <row r="17" spans="1:10" ht="30" customHeight="1" x14ac:dyDescent="0.3">
      <c r="A17" s="8"/>
      <c r="B17" s="37" t="s">
        <v>190</v>
      </c>
      <c r="C17" s="38"/>
      <c r="D17" s="38"/>
      <c r="E17" s="7">
        <v>5</v>
      </c>
      <c r="F17" s="24">
        <v>3.5</v>
      </c>
      <c r="G17" s="30">
        <f t="shared" si="0"/>
        <v>0.7</v>
      </c>
      <c r="H17" s="31" t="str">
        <f t="shared" si="1"/>
        <v>جيد</v>
      </c>
      <c r="I17" s="43"/>
      <c r="J17" s="44"/>
    </row>
    <row r="18" spans="1:10" ht="30" customHeight="1" x14ac:dyDescent="0.3">
      <c r="A18" s="8"/>
      <c r="B18" s="37" t="s">
        <v>191</v>
      </c>
      <c r="C18" s="38"/>
      <c r="D18" s="38"/>
      <c r="E18" s="7">
        <v>5</v>
      </c>
      <c r="F18" s="24">
        <v>3.75</v>
      </c>
      <c r="G18" s="30">
        <f t="shared" si="0"/>
        <v>0.75</v>
      </c>
      <c r="H18" s="31" t="str">
        <f t="shared" si="1"/>
        <v>جيد</v>
      </c>
      <c r="I18" s="43"/>
      <c r="J18" s="44"/>
    </row>
    <row r="19" spans="1:10" ht="30" customHeight="1" thickBot="1" x14ac:dyDescent="0.35">
      <c r="A19" s="8"/>
      <c r="B19" s="39" t="s">
        <v>192</v>
      </c>
      <c r="C19" s="40"/>
      <c r="D19" s="40"/>
      <c r="E19" s="27">
        <v>5</v>
      </c>
      <c r="F19" s="25">
        <v>3.75</v>
      </c>
      <c r="G19" s="35">
        <f t="shared" si="0"/>
        <v>0.75</v>
      </c>
      <c r="H19" s="36" t="str">
        <f t="shared" si="1"/>
        <v>جيد</v>
      </c>
      <c r="I19" s="67"/>
      <c r="J19" s="68"/>
    </row>
    <row r="20" spans="1:10" ht="30" customHeight="1" x14ac:dyDescent="0.3">
      <c r="A20" s="8"/>
      <c r="B20" s="41" t="s">
        <v>193</v>
      </c>
      <c r="C20" s="42"/>
      <c r="D20" s="42"/>
      <c r="E20" s="26"/>
      <c r="F20" s="32"/>
      <c r="G20" s="33"/>
      <c r="H20" s="34"/>
      <c r="I20" s="69"/>
      <c r="J20" s="70"/>
    </row>
    <row r="21" spans="1:10" ht="30" customHeight="1" x14ac:dyDescent="0.3">
      <c r="A21" s="8"/>
      <c r="B21" s="37" t="s">
        <v>194</v>
      </c>
      <c r="C21" s="38"/>
      <c r="D21" s="38"/>
      <c r="E21" s="7">
        <v>5</v>
      </c>
      <c r="F21" s="24">
        <v>4</v>
      </c>
      <c r="G21" s="30">
        <f t="shared" si="0"/>
        <v>0.8</v>
      </c>
      <c r="H21" s="31" t="str">
        <f t="shared" si="1"/>
        <v>جيد جداً</v>
      </c>
      <c r="I21" s="43"/>
      <c r="J21" s="44"/>
    </row>
    <row r="22" spans="1:10" ht="30" customHeight="1" x14ac:dyDescent="0.3">
      <c r="A22" s="8"/>
      <c r="B22" s="37" t="s">
        <v>195</v>
      </c>
      <c r="C22" s="38"/>
      <c r="D22" s="38"/>
      <c r="E22" s="7">
        <v>5</v>
      </c>
      <c r="F22" s="24">
        <v>4</v>
      </c>
      <c r="G22" s="30">
        <f t="shared" si="0"/>
        <v>0.8</v>
      </c>
      <c r="H22" s="31" t="str">
        <f t="shared" si="1"/>
        <v>جيد جداً</v>
      </c>
      <c r="I22" s="43"/>
      <c r="J22" s="44"/>
    </row>
    <row r="23" spans="1:10" ht="30" customHeight="1" x14ac:dyDescent="0.3">
      <c r="A23" s="8"/>
      <c r="B23" s="37" t="s">
        <v>196</v>
      </c>
      <c r="C23" s="38"/>
      <c r="D23" s="38"/>
      <c r="E23" s="7">
        <v>5</v>
      </c>
      <c r="F23" s="24">
        <v>3.75</v>
      </c>
      <c r="G23" s="30">
        <f t="shared" si="0"/>
        <v>0.75</v>
      </c>
      <c r="H23" s="31" t="str">
        <f t="shared" si="1"/>
        <v>جيد</v>
      </c>
      <c r="I23" s="43"/>
      <c r="J23" s="44"/>
    </row>
    <row r="24" spans="1:10" ht="30" customHeight="1" x14ac:dyDescent="0.3">
      <c r="A24" s="8"/>
      <c r="B24" s="37" t="s">
        <v>197</v>
      </c>
      <c r="C24" s="38"/>
      <c r="D24" s="38"/>
      <c r="E24" s="7">
        <v>5</v>
      </c>
      <c r="F24" s="24">
        <v>3.5</v>
      </c>
      <c r="G24" s="30">
        <f t="shared" si="0"/>
        <v>0.7</v>
      </c>
      <c r="H24" s="31" t="str">
        <f t="shared" si="1"/>
        <v>جيد</v>
      </c>
      <c r="I24" s="43"/>
      <c r="J24" s="44"/>
    </row>
    <row r="25" spans="1:10" ht="30" customHeight="1" thickBot="1" x14ac:dyDescent="0.35">
      <c r="A25" s="8"/>
      <c r="B25" s="39" t="s">
        <v>198</v>
      </c>
      <c r="C25" s="40"/>
      <c r="D25" s="40"/>
      <c r="E25" s="27">
        <v>5</v>
      </c>
      <c r="F25" s="25">
        <v>4</v>
      </c>
      <c r="G25" s="35">
        <f t="shared" si="0"/>
        <v>0.8</v>
      </c>
      <c r="H25" s="36" t="str">
        <f t="shared" si="1"/>
        <v>جيد جداً</v>
      </c>
      <c r="I25" s="67"/>
      <c r="J25" s="68"/>
    </row>
    <row r="26" spans="1:10" ht="30" customHeight="1" thickBot="1" x14ac:dyDescent="0.35">
      <c r="A26" s="4"/>
      <c r="B26" s="82" t="s">
        <v>5</v>
      </c>
      <c r="C26" s="83"/>
      <c r="D26" s="83"/>
      <c r="E26" s="29">
        <f>SUM(E8:E25)</f>
        <v>70</v>
      </c>
      <c r="F26" s="29">
        <f>SUM(F8:F25)</f>
        <v>53.25</v>
      </c>
      <c r="G26" s="47"/>
      <c r="H26" s="48"/>
      <c r="I26" s="48"/>
      <c r="J26" s="49"/>
    </row>
    <row r="27" spans="1:10" ht="30" customHeight="1" thickBot="1" x14ac:dyDescent="0.35">
      <c r="A27" s="4"/>
      <c r="B27" s="77" t="s">
        <v>54</v>
      </c>
      <c r="C27" s="78"/>
      <c r="D27" s="78"/>
      <c r="E27" s="57">
        <f>F26/E26/100*100</f>
        <v>0.76071428571428568</v>
      </c>
      <c r="F27" s="57"/>
      <c r="G27" s="57"/>
      <c r="H27" s="57"/>
      <c r="I27" s="57"/>
      <c r="J27" s="58"/>
    </row>
    <row r="28" spans="1:10" ht="30" customHeight="1" thickBot="1" x14ac:dyDescent="0.35">
      <c r="A28" s="4"/>
      <c r="B28" s="77" t="s">
        <v>55</v>
      </c>
      <c r="C28" s="78"/>
      <c r="D28" s="78"/>
      <c r="E28" s="75" t="str">
        <f>_xlfn.IFS(E27&gt;=90%,"ممتاز",E27&gt;=80%,"جيد جداً",E27&gt;=70%,"جيد",E27&gt;=60%,"مقبول",E27&lt;60%,"راسب")</f>
        <v>جيد</v>
      </c>
      <c r="F28" s="75"/>
      <c r="G28" s="75"/>
      <c r="H28" s="75"/>
      <c r="I28" s="75"/>
      <c r="J28" s="76"/>
    </row>
    <row r="29" spans="1:10" ht="42" customHeight="1" x14ac:dyDescent="0.3">
      <c r="B29" s="71" t="s">
        <v>174</v>
      </c>
      <c r="C29" s="71"/>
      <c r="D29" s="71"/>
      <c r="E29" s="45" t="s">
        <v>52</v>
      </c>
      <c r="F29" s="45"/>
      <c r="G29" s="73" t="s">
        <v>136</v>
      </c>
      <c r="H29" s="73"/>
      <c r="I29" s="73"/>
      <c r="J29" s="73"/>
    </row>
    <row r="30" spans="1:10" ht="51" customHeight="1" x14ac:dyDescent="0.3">
      <c r="A30" s="5"/>
      <c r="B30" s="72"/>
      <c r="C30" s="72"/>
      <c r="D30" s="72"/>
      <c r="E30" s="46" t="s">
        <v>53</v>
      </c>
      <c r="F30" s="46"/>
      <c r="G30" s="74"/>
      <c r="H30" s="74"/>
      <c r="I30" s="74"/>
      <c r="J30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9">
    <mergeCell ref="F4:J4"/>
    <mergeCell ref="C4:D4"/>
    <mergeCell ref="I8:J8"/>
    <mergeCell ref="B26:D26"/>
    <mergeCell ref="I21:J21"/>
    <mergeCell ref="I22:J22"/>
    <mergeCell ref="I23:J23"/>
    <mergeCell ref="I24:J24"/>
    <mergeCell ref="I25:J25"/>
    <mergeCell ref="I16:J16"/>
    <mergeCell ref="I17:J17"/>
    <mergeCell ref="I18:J18"/>
    <mergeCell ref="I19:J19"/>
    <mergeCell ref="I20:J20"/>
    <mergeCell ref="I11:J11"/>
    <mergeCell ref="I12:J12"/>
    <mergeCell ref="I13:J13"/>
    <mergeCell ref="I14:J14"/>
    <mergeCell ref="I15:J15"/>
    <mergeCell ref="B29:D30"/>
    <mergeCell ref="G29:J29"/>
    <mergeCell ref="G30:J30"/>
    <mergeCell ref="E28:J28"/>
    <mergeCell ref="B27:D27"/>
    <mergeCell ref="B28:D28"/>
    <mergeCell ref="B22:D22"/>
    <mergeCell ref="B23:D23"/>
    <mergeCell ref="B24:D24"/>
    <mergeCell ref="B25:D25"/>
    <mergeCell ref="B13:D13"/>
    <mergeCell ref="B14:D14"/>
    <mergeCell ref="B15:D15"/>
    <mergeCell ref="I9:J9"/>
    <mergeCell ref="E29:F29"/>
    <mergeCell ref="E30:F30"/>
    <mergeCell ref="G26:J26"/>
    <mergeCell ref="B1:J1"/>
    <mergeCell ref="F2:J2"/>
    <mergeCell ref="B5:D6"/>
    <mergeCell ref="C2:D2"/>
    <mergeCell ref="C3:D3"/>
    <mergeCell ref="F3:J3"/>
    <mergeCell ref="E27:J27"/>
    <mergeCell ref="B7:D7"/>
    <mergeCell ref="E5:H5"/>
    <mergeCell ref="I5:J6"/>
    <mergeCell ref="I7:J7"/>
    <mergeCell ref="I10:J10"/>
    <mergeCell ref="B8:D8"/>
    <mergeCell ref="B9:D9"/>
    <mergeCell ref="B10:D10"/>
    <mergeCell ref="B11:D11"/>
    <mergeCell ref="B12:D12"/>
    <mergeCell ref="B21:D21"/>
    <mergeCell ref="B16:D16"/>
    <mergeCell ref="B17:D17"/>
    <mergeCell ref="B18:D18"/>
    <mergeCell ref="B19:D19"/>
    <mergeCell ref="B20:D2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8">
    <cfRule type="expression" dxfId="14" priority="57">
      <formula>$E28="راسب"</formula>
    </cfRule>
  </conditionalFormatting>
  <conditionalFormatting sqref="E28:J28">
    <cfRule type="expression" dxfId="13" priority="58">
      <formula>$E28="مقبول"</formula>
    </cfRule>
    <cfRule type="expression" dxfId="12" priority="59">
      <formula>$E28="جيد"</formula>
    </cfRule>
    <cfRule type="expression" dxfId="11" priority="60">
      <formula>$E28="جيد جداً"</formula>
    </cfRule>
    <cfRule type="expression" dxfId="10" priority="61">
      <formula>$E28="ممتاز"</formula>
    </cfRule>
  </conditionalFormatting>
  <conditionalFormatting sqref="F8:F2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9:J29">
    <cfRule type="containsText" dxfId="6" priority="15" operator="containsText" text="أدخل اسم المحكم">
      <formula>NOT(ISERROR(SEARCH("أدخل اسم المحكم",G29)))</formula>
    </cfRule>
  </conditionalFormatting>
  <conditionalFormatting sqref="H8:H2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F21:F25 F15:F19 F10:F13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G29:J29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2025-10-25T03:21:33Z</dcterms:modified>
</cp:coreProperties>
</file>