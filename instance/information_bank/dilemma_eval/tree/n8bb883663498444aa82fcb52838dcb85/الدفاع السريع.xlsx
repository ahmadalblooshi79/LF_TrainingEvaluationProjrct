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3AA6246F-10E0-604D-ABF0-93877942D2D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<sst xmlns="http://schemas.openxmlformats.org/spreadsheetml/2006/main" count="263" uniqueCount="207">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</sst>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131110</xdr:colOff>
      <xdr:row>37</xdr:row>
      <xdr:rowOff>32372</xdr:rowOff>
    </xdr:from>
    <xdr:to>
      <xdr:col>7</xdr:col>
      <xdr:colOff>488230</xdr:colOff>
      <xdr:row>37</xdr:row>
      <xdr:rowOff>329732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601DEAF-30E0-C20B-96CA-725B597971C1}"/>
                </a:ext>
              </a:extLst>
            </xdr14:cNvPr>
            <xdr14:cNvContentPartPr/>
          </xdr14:nvContentPartPr>
          <xdr14:nvPr macro=""/>
          <xdr14:xfrm>
            <a:off x="10423868993" y="17535960"/>
            <a:ext cx="357120" cy="297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601DEAF-30E0-C20B-96CA-725B597971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859993" y="17527320"/>
              <a:ext cx="374760" cy="31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608413</xdr:colOff>
      <xdr:row>37</xdr:row>
      <xdr:rowOff>73052</xdr:rowOff>
    </xdr:from>
    <xdr:to>
      <xdr:col>8</xdr:col>
      <xdr:colOff>283087</xdr:colOff>
      <xdr:row>37</xdr:row>
      <xdr:rowOff>481292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3AB69B9-A4A9-12A5-F35C-69A1D3CA428C}"/>
                </a:ext>
              </a:extLst>
            </xdr14:cNvPr>
            <xdr14:cNvContentPartPr/>
          </xdr14:nvContentPartPr>
          <xdr14:nvPr macro=""/>
          <xdr14:xfrm>
            <a:off x="10423419713" y="17576640"/>
            <a:ext cx="983520" cy="4082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3AB69B9-A4A9-12A5-F35C-69A1D3CA428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410713" y="17568000"/>
              <a:ext cx="1001160" cy="425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6:47:13.9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792 825 7537,'0'0'0,"-3"-2"4161,3 2-4161,-10-4 1816,6 1-1175,0-1-481,0 1-232,3 0-145,0 1-119,1 2 336,0-4-352,0 3-16,0 0 72,0 0 56,0-1 8,0 1 8,0 1 224,0 0-272,0-1-40,0 1-24,0-1 0,0 0 64,0 1 56,0 0 216,2 0-168,-2 0 40,2 0-32,-2 0-16,3 0 0,-3 0-25,0 0 201,2 0-248,1 0 48,-1-2 0,0 2 40,1 0 56,-1-1-16,-2 1 120,3 0-96,0 0 16,1-1-8,-1 1 0,7-1 16,-8 0-64,-2 1 136,4-2-16,7 1-40,-9-1 0,9-1 64,-9 1-136,9-2 104,-11 4 24,4-2-112,7-2 32,-8 2 16,7 1-32,-8-2 56,8 2-40,-10 1 80,2-1-40,2 0 0,5 0-16,-6 1 24,-1 0-40,0 0 64,-2 0 8,3 0-96,-3 0 24,0 0-40,0 0-64,0 0-16,0 0-24,0 0 216,0 2-208,0-2-16,-1 2 104,-3 1 80,2-1 104,-2-2 112,4 0-176,-3 3 208,-7-3 0,6 2-24,-5 0-32,-1 1-24,1-1 96,9-2-224,-11 3 216,-1-1 32,0-2 56,-1 2-80,-3-2 96,0 3-56,16-3-264,-15 0 320,-4 2-64,1-2-88,1 3 96,-3-3-256,0 0 112,20 0-120,-21 0 112,-2 0-71,2 0 119,-2 0-56,-1 0-24,2 0 40,22 0-120,-24-2 104,-1 1-16,2-1 80,-2-2-64,4 2 120,-2-2 0,23 4-224,-24-9 152,3 5 40,-3-1-40,4-7 24,0 9 8,-1-9-24,21 12-160,-20-10 128,-1 1 40,0-2 40,1 1 64,-1-1 8,2-1-16,19 12-264,-19-10 200,4-1 24,1 1-64,3-1-40,-1 7-16,0-10-40,12 14-64,-5-9 73,-10-1-1,11 1 16,0-1-112,-6 1-24,9 4-48,1 5 96,-5-13-137,1 2 41,1 0-24,-1 0-32,1 0-8,1 2-96,2 9 256,-1-11-248,0 0-16,1 0-72,0 1-192,4-1-104,6 0-8,-10 11 640,3-13-600,6-1 160,1-1 31,-7 0 1,13 0 0,-3 0-8,-13 15 416,12-15-392,3 0 40,0 0 40,3 0 56,1 0 72,4 1 32,-23 14 152,24-16-152,3 1-48,0 0-88,1-1-8,0-1-16,3-1 71,-31 18 241,32-16-192,1 1-40,2 2-40,2-1-128,2 1-112,-1 2-56,-38 11 568,40-12-464,1 2 144,0 0 136,1 5 128,-1-4 24,-2 5 0,-39 4 32,41-5-16,-1 0 8,-1 2-8,1-1-8,-2 2-1264,-38 2 1288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6:47:15.1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2732 1 712,'0'0'0,"-4"10"648,4-10-648,-11 14 32,0 1 0,0-1 8,-1 0 0,-2-2 0,-1 1 16,15-13-56,-17 12 48,-2 1 8,-2 0-8,-1 2-16,-1 1-8,-2 0 16,25-16-40,-28 17 24,1 1 24,-2 0 16,-2 1-8,0 1 32,-2 1 8,33-21-96,-33 19 128,-2 1 40,-3-1 56,-2 2 64,-1-1 56,0 2 32,41-22-376,-41 21 360,-1 0 0,-3 1-63,0 1-33,-2 2 40,-1 0-24,48-25-280,-48 26 296,-2 0 0,1 0-96,-1 1 8,1-2-16,2 0-16,47-25-176,-50 24 144,2 0-48,3 0-48,3-4-56,4 2 16,3-4 24,35-18-32,-34 17 16,4-2 16,0-3-32,4 0-24,2-1-32,2-1-72,22-10 128,-20 10-232,0-6-232,3 9-416,0-9-465,3 5 1,14-9 1344,-14 3-984,3 0 400,-1 1 360,7-2 176,-6-2 8,9 0-952,2 0 992</inkml:trace>
  <inkml:trace contextRef="#ctx0" brushRef="#br0" timeOffset="1">1726 518 4817,'0'0'0,"-2"0"2664,-2 0-415,4 0-2249,-3 0 944,-2 0-672,-5 0-264,7 0-168,-10 0-8,2 0 56,11 0 112,-10 0 8,-1 0-72,-1 3 8,-1 0-8,-2 1-136,-2 7 32,17-11 168,-19 3-192,-2 10 0,-2-2 24,-2 0 31,0 1 33,-1 1-128,26-13 232,-29 12-224,0 1-40,-1-1-88,0 0 88,3 0-8,-2-1-8,29-11 280,-26 10-288,-1-1-48,2-5-104,2 9-80,0-11-128,2 8-137,21-10 785,-20 0-776,2 2 48,0 1 96,6-3 200,0 0 144,1 0 104,11 0 184,-5-3-80,-7 0 40,10-1 16,-1-5 0,0 5-8,-1-1 24,4 5 8,-1-11-16,1 8 16,0-1 24,0 1-24,0-1 32,0 2-16,0 2-16,0-2 16,0 2 24,-1 0-8,-1 0 16,0 3 40,-1-1 24,3-2-112,-4 3 128,0-1 40,0 0-8,-6 1-16,6-1 8,-6 1-24,10-3-128,-5 3 128,-10 1 16,5 5-40,-2-6 8,0 6 40,-2-6-8,14-3-144,-14 11 200,-1-9 16,-1 9-16,0-9 8,2 8-16,0-8-16,14-2-176,-15 10 160,1-8-8,-2 2-47,2-1 15,0 1-8,0-2-32,14-2-80,-13 3 112,0-1-40,1 1-24,-2-3 16,-1 2-16,0-2-8,15 0-40,-15 0 72,0 0-48,1 0 16,0 0 16,-2 0 8,3 0 24,13 0-88,-15 0 64,0 0 8,1 0 64,0 0 32,-3 0 24,-1 0 72,18 0-264,-19 0 200,0 0 0,-1 0-40,1 0-40,-1 0-40,-1 0 0,21 0-80,-21 0 64,0 0 0,1 0-16,2 0-16,-1-1 8,1 1 0,18 0-40,-17-1 56,-1-2 0,3 1 0,-1-2-8,3 1-24,1-2-8,12 5-16,-13-10-16,2 7-32,-1-2-24,1-5-48,2 5-16,5-8-48,4 13 184,-11-9-248,8-1-48,-2-1 0,1 0 48,1 1-40,1-1-56,2 11 344,-1-12-400,0 1-128,1-1 15,0-1 9,0 1 16,2-1 80,-2 13 408,4-15-312,7 1 88,-8-2 72,12 1 64,-6-1 16,3 1 32,-12 15 40,11-14-8,1 1-8,0 1 24,0 2 0,1 5 8,-2-7 8,-11 12-24,12-4 32,-3-1 24,1 1 0,-6 0 8,5 3-8,-9 0 8,0 1-64,3 0 40,-1 0-16,-2 2-32,0 2-8,0 5 0,-2-6 16,2-3 0,-3 9 16,0-5 16,-1 7 0,-5-1 0,6 2-8,-6 3 0,9-15-24,-5 15 8,-8 4 8,2 2-8,-1 3-16,0 1 8,0 1 8,12-26-8,-14 27 40,0 0 24,2 2 32,-1 0 56,1 0 40,0 2 56,12-31-248,-11 30 248,2-2 8,-1 0 8,7-3 0,-7-2 8,8 0 49,2-23-321,-4 19 336,2-1 56,0 1 16,2-3-8,3-2-16,0 0-56,-3-14-328,12 12 328,-8 0-16,10-2 24,-2-6 48,0 9 56,4-10 81,-16-3-521,19 11 512,3-9 8,2 2-56,3 0-96,2-2-40,3-2-120,-32 0-208,35 0 168,1-2-48,4-2-32,-1-6-16,3 7-32,1-9-32,-43 12-8,46-10-40,2-2-40,3-1-152,3 0-240,0-3-640,4 0-1025,-58 16 2137,58-18-2600,4-2 279,2-2 833,5-5 816,0-1-600,-69 28 1272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C22" zoomScale="130" zoomScaleNormal="100" zoomScaleSheetLayoutView="130" workbookViewId="0">
      <selection activeCell="G38" sqref="G38:J38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3" t="s">
        <v>206</v>
      </c>
      <c r="C1" s="63"/>
      <c r="D1" s="63"/>
      <c r="E1" s="63"/>
      <c r="F1" s="63"/>
      <c r="G1" s="63"/>
      <c r="H1" s="63"/>
      <c r="I1" s="63"/>
      <c r="J1" s="63"/>
    </row>
    <row r="2" spans="1:10" ht="30" customHeight="1" x14ac:dyDescent="0.2">
      <c r="B2" s="12" t="s">
        <v>8</v>
      </c>
      <c r="C2" s="69" t="s">
        <v>40</v>
      </c>
      <c r="D2" s="69"/>
      <c r="E2" s="12" t="s">
        <v>7</v>
      </c>
      <c r="F2" s="64">
        <v>45956</v>
      </c>
      <c r="G2" s="64"/>
      <c r="H2" s="64"/>
      <c r="I2" s="64"/>
      <c r="J2" s="64"/>
    </row>
    <row r="3" spans="1:10" ht="30" customHeight="1" x14ac:dyDescent="0.2">
      <c r="B3" s="12" t="s">
        <v>9</v>
      </c>
      <c r="C3" s="69" t="s">
        <v>81</v>
      </c>
      <c r="D3" s="69"/>
      <c r="E3" s="12" t="s">
        <v>6</v>
      </c>
      <c r="F3" s="69" t="s">
        <v>92</v>
      </c>
      <c r="G3" s="69"/>
      <c r="H3" s="69"/>
      <c r="I3" s="69"/>
      <c r="J3" s="69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5" t="s">
        <v>0</v>
      </c>
      <c r="C5" s="66"/>
      <c r="D5" s="66"/>
      <c r="E5" s="55" t="s">
        <v>1</v>
      </c>
      <c r="F5" s="55"/>
      <c r="G5" s="55"/>
      <c r="H5" s="55"/>
      <c r="I5" s="55" t="s">
        <v>2</v>
      </c>
      <c r="J5" s="56"/>
    </row>
    <row r="6" spans="1:10" ht="24.95" customHeight="1" thickBot="1" x14ac:dyDescent="0.25">
      <c r="A6" s="10"/>
      <c r="B6" s="67"/>
      <c r="C6" s="68"/>
      <c r="D6" s="68"/>
      <c r="E6" s="11" t="s">
        <v>3</v>
      </c>
      <c r="F6" s="11" t="s">
        <v>4</v>
      </c>
      <c r="G6" s="11" t="s">
        <v>23</v>
      </c>
      <c r="H6" s="11" t="s">
        <v>24</v>
      </c>
      <c r="I6" s="57"/>
      <c r="J6" s="58"/>
    </row>
    <row r="7" spans="1:10" ht="24.95" customHeight="1" thickBot="1" x14ac:dyDescent="0.25">
      <c r="A7" s="10"/>
      <c r="B7" s="53" t="s">
        <v>21</v>
      </c>
      <c r="C7" s="54"/>
      <c r="D7" s="54"/>
      <c r="E7" s="28" t="s">
        <v>18</v>
      </c>
      <c r="F7" s="28" t="s">
        <v>19</v>
      </c>
      <c r="G7" s="28" t="s">
        <v>22</v>
      </c>
      <c r="H7" s="28" t="s">
        <v>20</v>
      </c>
      <c r="I7" s="59" t="s">
        <v>25</v>
      </c>
      <c r="J7" s="60"/>
    </row>
    <row r="8" spans="1:10" ht="39.950000000000003" customHeight="1" x14ac:dyDescent="0.2">
      <c r="A8" s="10"/>
      <c r="B8" s="81" t="s">
        <v>180</v>
      </c>
      <c r="C8" s="82"/>
      <c r="D8" s="82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61"/>
      <c r="J8" s="62"/>
    </row>
    <row r="9" spans="1:10" ht="39.950000000000003" customHeight="1" x14ac:dyDescent="0.2">
      <c r="A9" s="10"/>
      <c r="B9" s="79" t="s">
        <v>181</v>
      </c>
      <c r="C9" s="80"/>
      <c r="D9" s="80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50000000000003" customHeight="1" x14ac:dyDescent="0.2">
      <c r="A10" s="10"/>
      <c r="B10" s="79" t="s">
        <v>182</v>
      </c>
      <c r="C10" s="80"/>
      <c r="D10" s="80"/>
      <c r="E10" s="9">
        <v>5</v>
      </c>
      <c r="F10" s="26">
        <v>3.75</v>
      </c>
      <c r="G10" s="30">
        <f t="shared" ref="G10:G33" si="0">IFERROR(F10/E10,"")</f>
        <v>0.75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50000000000003" customHeight="1" x14ac:dyDescent="0.2">
      <c r="A11" s="10"/>
      <c r="B11" s="79" t="s">
        <v>183</v>
      </c>
      <c r="C11" s="80"/>
      <c r="D11" s="80"/>
      <c r="E11" s="9">
        <v>5</v>
      </c>
      <c r="F11" s="26">
        <v>4</v>
      </c>
      <c r="G11" s="30">
        <f t="shared" si="0"/>
        <v>0.8</v>
      </c>
      <c r="H11" s="31" t="str">
        <f t="shared" si="1"/>
        <v>جيد جداً</v>
      </c>
      <c r="I11" s="45"/>
      <c r="J11" s="46"/>
    </row>
    <row r="12" spans="1:10" ht="39.950000000000003" customHeight="1" x14ac:dyDescent="0.2">
      <c r="A12" s="10"/>
      <c r="B12" s="79" t="s">
        <v>184</v>
      </c>
      <c r="C12" s="80"/>
      <c r="D12" s="80"/>
      <c r="E12" s="9">
        <v>5</v>
      </c>
      <c r="F12" s="26">
        <v>4</v>
      </c>
      <c r="G12" s="30">
        <f t="shared" si="0"/>
        <v>0.8</v>
      </c>
      <c r="H12" s="31" t="str">
        <f t="shared" si="1"/>
        <v>جيد جداً</v>
      </c>
      <c r="I12" s="45"/>
      <c r="J12" s="46"/>
    </row>
    <row r="13" spans="1:10" ht="39.950000000000003" customHeight="1" x14ac:dyDescent="0.2">
      <c r="A13" s="10"/>
      <c r="B13" s="79" t="s">
        <v>185</v>
      </c>
      <c r="C13" s="80"/>
      <c r="D13" s="80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5"/>
      <c r="J13" s="46"/>
    </row>
    <row r="14" spans="1:10" ht="39.950000000000003" customHeight="1" x14ac:dyDescent="0.2">
      <c r="A14" s="10"/>
      <c r="B14" s="79" t="s">
        <v>186</v>
      </c>
      <c r="C14" s="80"/>
      <c r="D14" s="80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5"/>
      <c r="J14" s="46"/>
    </row>
    <row r="15" spans="1:10" ht="39.950000000000003" customHeight="1" x14ac:dyDescent="0.2">
      <c r="A15" s="10"/>
      <c r="B15" s="79" t="s">
        <v>187</v>
      </c>
      <c r="C15" s="80"/>
      <c r="D15" s="8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50000000000003" customHeight="1" x14ac:dyDescent="0.2">
      <c r="A16" s="10"/>
      <c r="B16" s="79" t="s">
        <v>188</v>
      </c>
      <c r="C16" s="80"/>
      <c r="D16" s="80"/>
      <c r="E16" s="9">
        <v>5</v>
      </c>
      <c r="F16" s="26">
        <v>4</v>
      </c>
      <c r="G16" s="30">
        <f t="shared" si="0"/>
        <v>0.8</v>
      </c>
      <c r="H16" s="31" t="str">
        <f t="shared" si="1"/>
        <v>جيد جداً</v>
      </c>
      <c r="I16" s="45"/>
      <c r="J16" s="46"/>
    </row>
    <row r="17" spans="1:10" ht="39.950000000000003" customHeight="1" x14ac:dyDescent="0.2">
      <c r="A17" s="10"/>
      <c r="B17" s="79" t="s">
        <v>189</v>
      </c>
      <c r="C17" s="80"/>
      <c r="D17" s="80"/>
      <c r="E17" s="9">
        <v>5</v>
      </c>
      <c r="F17" s="26">
        <v>4</v>
      </c>
      <c r="G17" s="30">
        <f t="shared" si="0"/>
        <v>0.8</v>
      </c>
      <c r="H17" s="31" t="str">
        <f t="shared" si="1"/>
        <v>جيد جداً</v>
      </c>
      <c r="I17" s="45"/>
      <c r="J17" s="46"/>
    </row>
    <row r="18" spans="1:10" ht="39.950000000000003" customHeight="1" x14ac:dyDescent="0.2">
      <c r="A18" s="10"/>
      <c r="B18" s="79" t="s">
        <v>190</v>
      </c>
      <c r="C18" s="80"/>
      <c r="D18" s="80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5"/>
      <c r="J18" s="46"/>
    </row>
    <row r="19" spans="1:10" ht="39.950000000000003" customHeight="1" x14ac:dyDescent="0.2">
      <c r="A19" s="10"/>
      <c r="B19" s="79" t="s">
        <v>191</v>
      </c>
      <c r="C19" s="80"/>
      <c r="D19" s="80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45"/>
      <c r="J19" s="46"/>
    </row>
    <row r="20" spans="1:10" ht="39.950000000000003" customHeight="1" x14ac:dyDescent="0.2">
      <c r="A20" s="10"/>
      <c r="B20" s="79" t="s">
        <v>192</v>
      </c>
      <c r="C20" s="80"/>
      <c r="D20" s="80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45"/>
      <c r="J20" s="46"/>
    </row>
    <row r="21" spans="1:10" ht="39.950000000000003" customHeight="1" x14ac:dyDescent="0.2">
      <c r="A21" s="10"/>
      <c r="B21" s="77" t="s">
        <v>193</v>
      </c>
      <c r="C21" s="78"/>
      <c r="D21" s="78"/>
      <c r="E21" s="9">
        <v>5</v>
      </c>
      <c r="F21" s="26">
        <v>4</v>
      </c>
      <c r="G21" s="30">
        <f t="shared" si="0"/>
        <v>0.8</v>
      </c>
      <c r="H21" s="31" t="str">
        <f t="shared" si="1"/>
        <v>جيد جداً</v>
      </c>
      <c r="I21" s="45"/>
      <c r="J21" s="46"/>
    </row>
    <row r="22" spans="1:10" ht="39.950000000000003" customHeight="1" x14ac:dyDescent="0.2">
      <c r="A22" s="10"/>
      <c r="B22" s="77" t="s">
        <v>194</v>
      </c>
      <c r="C22" s="78"/>
      <c r="D22" s="78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45"/>
      <c r="J22" s="46"/>
    </row>
    <row r="23" spans="1:10" ht="39.950000000000003" customHeight="1" x14ac:dyDescent="0.2">
      <c r="A23" s="10"/>
      <c r="B23" s="77" t="s">
        <v>195</v>
      </c>
      <c r="C23" s="78"/>
      <c r="D23" s="78"/>
      <c r="E23" s="9">
        <v>5</v>
      </c>
      <c r="F23" s="26">
        <v>4</v>
      </c>
      <c r="G23" s="30">
        <f t="shared" si="0"/>
        <v>0.8</v>
      </c>
      <c r="H23" s="31" t="str">
        <f t="shared" si="1"/>
        <v>جيد جداً</v>
      </c>
      <c r="I23" s="45"/>
      <c r="J23" s="46"/>
    </row>
    <row r="24" spans="1:10" ht="39.950000000000003" customHeight="1" x14ac:dyDescent="0.2">
      <c r="A24" s="10"/>
      <c r="B24" s="77" t="s">
        <v>196</v>
      </c>
      <c r="C24" s="78"/>
      <c r="D24" s="78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45"/>
      <c r="J24" s="46"/>
    </row>
    <row r="25" spans="1:10" ht="39.950000000000003" customHeight="1" x14ac:dyDescent="0.2">
      <c r="A25" s="10"/>
      <c r="B25" s="77" t="s">
        <v>197</v>
      </c>
      <c r="C25" s="78"/>
      <c r="D25" s="78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5"/>
      <c r="J25" s="46"/>
    </row>
    <row r="26" spans="1:10" ht="39.950000000000003" customHeight="1" x14ac:dyDescent="0.2">
      <c r="A26" s="10"/>
      <c r="B26" s="77" t="s">
        <v>198</v>
      </c>
      <c r="C26" s="78"/>
      <c r="D26" s="78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45"/>
      <c r="J26" s="46"/>
    </row>
    <row r="27" spans="1:10" ht="39.950000000000003" customHeight="1" x14ac:dyDescent="0.2">
      <c r="A27" s="10"/>
      <c r="B27" s="77" t="s">
        <v>199</v>
      </c>
      <c r="C27" s="78"/>
      <c r="D27" s="78"/>
      <c r="E27" s="9">
        <v>5</v>
      </c>
      <c r="F27" s="26">
        <v>4</v>
      </c>
      <c r="G27" s="30">
        <f t="shared" si="0"/>
        <v>0.8</v>
      </c>
      <c r="H27" s="31" t="str">
        <f t="shared" si="1"/>
        <v>جيد جداً</v>
      </c>
      <c r="I27" s="45"/>
      <c r="J27" s="46"/>
    </row>
    <row r="28" spans="1:10" ht="39.950000000000003" customHeight="1" x14ac:dyDescent="0.2">
      <c r="A28" s="10"/>
      <c r="B28" s="77" t="s">
        <v>200</v>
      </c>
      <c r="C28" s="78"/>
      <c r="D28" s="78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5"/>
      <c r="J28" s="46"/>
    </row>
    <row r="29" spans="1:10" ht="39.950000000000003" customHeight="1" x14ac:dyDescent="0.2">
      <c r="A29" s="10"/>
      <c r="B29" s="77" t="s">
        <v>201</v>
      </c>
      <c r="C29" s="78"/>
      <c r="D29" s="78"/>
      <c r="E29" s="9">
        <v>5</v>
      </c>
      <c r="F29" s="26">
        <v>4</v>
      </c>
      <c r="G29" s="30">
        <f t="shared" si="0"/>
        <v>0.8</v>
      </c>
      <c r="H29" s="31" t="str">
        <f t="shared" si="1"/>
        <v>جيد جداً</v>
      </c>
      <c r="I29" s="45"/>
      <c r="J29" s="46"/>
    </row>
    <row r="30" spans="1:10" ht="39.950000000000003" customHeight="1" x14ac:dyDescent="0.2">
      <c r="A30" s="10"/>
      <c r="B30" s="77" t="s">
        <v>202</v>
      </c>
      <c r="C30" s="78"/>
      <c r="D30" s="78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5"/>
      <c r="J30" s="46"/>
    </row>
    <row r="31" spans="1:10" ht="39.950000000000003" customHeight="1" x14ac:dyDescent="0.2">
      <c r="A31" s="10"/>
      <c r="B31" s="77" t="s">
        <v>203</v>
      </c>
      <c r="C31" s="78"/>
      <c r="D31" s="78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5"/>
      <c r="J31" s="46"/>
    </row>
    <row r="32" spans="1:10" ht="39.950000000000003" customHeight="1" x14ac:dyDescent="0.2">
      <c r="A32" s="10"/>
      <c r="B32" s="77" t="s">
        <v>204</v>
      </c>
      <c r="C32" s="78"/>
      <c r="D32" s="78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5"/>
      <c r="J32" s="46"/>
    </row>
    <row r="33" spans="1:10" ht="39.950000000000003" customHeight="1" thickBot="1" x14ac:dyDescent="0.25">
      <c r="A33" s="10"/>
      <c r="B33" s="83" t="s">
        <v>205</v>
      </c>
      <c r="C33" s="84"/>
      <c r="D33" s="84"/>
      <c r="E33" s="36">
        <v>5</v>
      </c>
      <c r="F33" s="27">
        <v>4</v>
      </c>
      <c r="G33" s="37">
        <f t="shared" si="0"/>
        <v>0.8</v>
      </c>
      <c r="H33" s="38" t="str">
        <f t="shared" si="1"/>
        <v>جيد جداً</v>
      </c>
      <c r="I33" s="47"/>
      <c r="J33" s="48"/>
    </row>
    <row r="34" spans="1:10" ht="30" customHeight="1" thickBot="1" x14ac:dyDescent="0.25">
      <c r="A34" s="4"/>
      <c r="B34" s="49" t="s">
        <v>5</v>
      </c>
      <c r="C34" s="50"/>
      <c r="D34" s="50"/>
      <c r="E34" s="29">
        <f>SUM(E8:E33)</f>
        <v>130</v>
      </c>
      <c r="F34" s="29">
        <f>SUM(F8:F33)</f>
        <v>98.75</v>
      </c>
      <c r="G34" s="72"/>
      <c r="H34" s="73"/>
      <c r="I34" s="73"/>
      <c r="J34" s="74"/>
    </row>
    <row r="35" spans="1:10" ht="30" customHeight="1" thickBot="1" x14ac:dyDescent="0.25">
      <c r="A35" s="4"/>
      <c r="B35" s="51" t="s">
        <v>54</v>
      </c>
      <c r="C35" s="52"/>
      <c r="D35" s="52"/>
      <c r="E35" s="75">
        <f>F34/E34/100*100</f>
        <v>0.75961538461538458</v>
      </c>
      <c r="F35" s="75"/>
      <c r="G35" s="75"/>
      <c r="H35" s="75"/>
      <c r="I35" s="75"/>
      <c r="J35" s="76"/>
    </row>
    <row r="36" spans="1:10" ht="30" customHeight="1" thickBot="1" x14ac:dyDescent="0.25">
      <c r="A36" s="4"/>
      <c r="B36" s="51" t="s">
        <v>55</v>
      </c>
      <c r="C36" s="52"/>
      <c r="D36" s="52"/>
      <c r="E36" s="43" t="str">
        <f>_xlfn.IFS(E35&gt;=90%,"ممتاز",E35&gt;=80%,"جيد جداً",E35&gt;=70%,"جيد",E35&gt;=60%,"مقبول",E35&lt;60%,"راسب")</f>
        <v>جيد</v>
      </c>
      <c r="F36" s="43"/>
      <c r="G36" s="43"/>
      <c r="H36" s="43"/>
      <c r="I36" s="43"/>
      <c r="J36" s="44"/>
    </row>
    <row r="37" spans="1:10" ht="42" customHeight="1" x14ac:dyDescent="0.2">
      <c r="B37" s="39" t="s">
        <v>174</v>
      </c>
      <c r="C37" s="39"/>
      <c r="D37" s="39"/>
      <c r="E37" s="70" t="s">
        <v>52</v>
      </c>
      <c r="F37" s="70"/>
      <c r="G37" s="41" t="s">
        <v>92</v>
      </c>
      <c r="H37" s="41"/>
      <c r="I37" s="41"/>
      <c r="J37" s="41"/>
    </row>
    <row r="38" spans="1:10" ht="51" customHeight="1" x14ac:dyDescent="0.2">
      <c r="A38" s="5"/>
      <c r="B38" s="40"/>
      <c r="C38" s="40"/>
      <c r="D38" s="40"/>
      <c r="E38" s="71" t="s">
        <v>53</v>
      </c>
      <c r="F38" s="71"/>
      <c r="G38" s="42"/>
      <c r="H38" s="42"/>
      <c r="I38" s="42"/>
      <c r="J38" s="4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29:D29"/>
    <mergeCell ref="B30:D30"/>
    <mergeCell ref="B31:D31"/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  <mergeCell ref="B17:D1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33:D3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2025-10-22T06:06:29Z</dcterms:modified>
</cp:coreProperties>
</file>