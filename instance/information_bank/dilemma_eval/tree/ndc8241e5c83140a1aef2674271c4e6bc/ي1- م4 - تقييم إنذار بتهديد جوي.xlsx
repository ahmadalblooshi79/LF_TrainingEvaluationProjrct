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1DCF0BF-F90E-0041-9F08-357C597459C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<sst xmlns="http://schemas.openxmlformats.org/spreadsheetml/2006/main" count="247" uniqueCount="191">
  <si>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</si>
  <si>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</si>
  <si>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</si>
  <si>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</si>
  <si>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</si>
  <si>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</si>
  <si>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</si>
  <si>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</si>
  <si>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</si>
  <si>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</si>
  <si>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</si>
  <si>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</si>
  <si>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</si>
  <si>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</si>
  <si>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</si>
  <si>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</si>
  <si>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</si>
  <si>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</si>
  <si>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</si>
  <si>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</si>
  <si>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</si>
  <si>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</si>
  <si>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</si>
  <si>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</si>
  <si>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</si>
  <si>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</si>
  <si>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</si>
  <si>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</si>
  <si>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</si>
  <si>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</si>
  <si>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</si>
  <si>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</si>
  <si>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</si>
  <si>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</si>
  <si>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</si>
  <si>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</si>
  <si>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</si>
  <si>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</si>
  <si>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</si>
  <si>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</si>
  <si>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</si>
  <si>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</si>
  <si>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</si>
  <si>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</si>
  <si>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</si>
  <si>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</si>
  <si>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</si>
  <si>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</si>
  <si>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</si>
  <si>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</si>
  <si>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</si>
  <si>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</si>
  <si>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</si>
  <si>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</si>
  <si>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</si>
  <si>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</si>
  <si>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</si>
  <si>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</si>
  <si>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</si>
  <si>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</si>
  <si>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</si>
  <si>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</si>
  <si>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</si>
  <si>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</si>
  <si>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</si>
  <si>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</si>
  <si>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</si>
  <si>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</si>
  <si>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</si>
  <si>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</si>
  <si>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</si>
  <si>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</si>
  <si>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</si>
  <si>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</si>
  <si>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</si>
  <si>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</si>
  <si>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</si>
  <si>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</si>
  <si>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</si>
  <si>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</si>
  <si>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</si>
  <si>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</si>
  <si>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</si>
  <si>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</si>
  <si>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</si>
  <si>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</si>
  <si>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</si>
  <si>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</si>
  <si>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</si>
  <si>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</si>
  <si>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</si>
  <si>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</si>
  <si>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</si>
  <si>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</si>
  <si>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</si>
  <si>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</si>
  <si>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</si>
  <si>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</si>
  <si>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</si>
  <si>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</si>
  <si>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</si>
  <si>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</si>
  <si>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</si>
  <si>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</si>
  <si>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</si>
  <si>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</si>
  <si>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</si>
  <si>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</si>
  <si>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</si>
  <si>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</si>
  <si>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</si>
  <si>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</si>
  <si>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</si>
  <si>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</si>
  <si>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</si>
  <si>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</si>
  <si>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</si>
  <si>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</si>
  <si>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</si>
  <si>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</si>
  <si>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</si>
  <si>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</si>
  <si>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</si>
  <si>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</si>
  <si>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</si>
  <si>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</si>
  <si>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</si>
  <si>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</si>
  <si>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</si>
  <si>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</si>
  <si>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</si>
  <si>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</si>
  <si>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</si>
  <si>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</si>
  <si>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</si>
  <si>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</si>
  <si>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</si>
  <si>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</si>
  <si>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</si>
  <si>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</si>
  <si>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</si>
  <si>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</si>
  <si>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</si>
  <si>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</si>
  <si>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</si>
  <si>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</si>
  <si>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</si>
  <si>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</si>
  <si>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</si>
  <si>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</si>
  <si>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</si>
  <si>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</si>
  <si>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</si>
  <si>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</si>
  <si>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</si>
  <si>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</si>
  <si>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</si>
  <si>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</si>
  <si>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</si>
  <si>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</si>
  <si>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</si>
  <si>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</si>
  <si>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</si>
  <si>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</si>
  <si>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</si>
  <si>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</si>
  <si>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</si>
  <si>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</si>
  <si>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</si>
  <si>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</si>
  <si>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</si>
  <si>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</si>
  <si>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</si>
  <si>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</si>
  <si>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</si>
  <si>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</si>
  <si>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</si>
  <si>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</si>
  <si>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</si>
  <si>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</si>
  <si>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</si>
  <si>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</si>
  <si>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</si>
  <si>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</si>
  <si>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</si>
  <si>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</si>
  <si>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</si>
  <si>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</si>
  <si>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</si>
  <si>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</si>
  <si>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اليوم/1 - تقييم معضلة/4 -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</si>
</sst>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412334</xdr:colOff>
      <xdr:row>21</xdr:row>
      <xdr:rowOff>523480</xdr:rowOff>
    </xdr:from>
    <xdr:to>
      <xdr:col>8</xdr:col>
      <xdr:colOff>523553</xdr:colOff>
      <xdr:row>23</xdr:row>
      <xdr:rowOff>17963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0525BD-5EC1-5417-4740-CCA2BDDB1E79}"/>
                </a:ext>
              </a:extLst>
            </xdr14:cNvPr>
            <xdr14:cNvContentPartPr/>
          </xdr14:nvContentPartPr>
          <xdr14:nvPr macro=""/>
          <xdr14:xfrm>
            <a:off x="10398721356" y="10302480"/>
            <a:ext cx="1427400" cy="672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0525BD-5EC1-5417-4740-CCA2BDDB1E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12716" y="10293840"/>
              <a:ext cx="1445040" cy="68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593054</xdr:colOff>
      <xdr:row>22</xdr:row>
      <xdr:rowOff>415028</xdr:rowOff>
    </xdr:from>
    <xdr:to>
      <xdr:col>6</xdr:col>
      <xdr:colOff>622934</xdr:colOff>
      <xdr:row>22</xdr:row>
      <xdr:rowOff>473708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7CE6B6E-D86B-AA92-B7A5-216E8D2FED20}"/>
                </a:ext>
              </a:extLst>
            </xdr14:cNvPr>
            <xdr14:cNvContentPartPr/>
          </xdr14:nvContentPartPr>
          <xdr14:nvPr macro=""/>
          <xdr14:xfrm>
            <a:off x="10399938156" y="10725120"/>
            <a:ext cx="29880" cy="58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7CE6B6E-D86B-AA92-B7A5-216E8D2FED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29156" y="10716480"/>
              <a:ext cx="47520" cy="76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04:37.7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3527 478 16819,'0'0'0,"-2"-19"1056,2 19-1056,-5-18 776,0-1-327,5 7-185,0 8-120,0 4-144,0-4 112,0-2 0,0 2 24,0-1 16,0 5-152,2-1 176,-2 0-40,0-1-72,5 1-24,-5 1-40,3 0 8,11 0-16,0 0-8,3 3 16,-17-3 0,22 12 24,0-7-8,4 16-32,0-4-8,-26-17 24,29 21-48,3 2 32,-8 1 0,5-1 32,-29-23-16,28 24-40,-1 2-24,-3-2-24,-2 0 40,-22-24 48,16 24-72,4-2 56,-6-3-48,-2 1 40,-12-20 24,2 19-24,11-1 0,-11-1 72,3-1-72,-5-16 24,0 14 24,0 0 16,-3 1-24,-9 0 56,12-15-72,-9 17 88,-11 2-40,1-1 120,-7-1 8,26-17-176,-29 17 224,-2 1 72,-5-1-8,-5 0-8,41-17-280,-48 18 264,-10 2 88,-5 1-32,-7 1-32,70-22-288,-76 22 328,-6 1-63,-10 0-1,-9 0 88,101-23-352,-103 24 304,-5-3-16,2-1 24,2 1-136,104-21-176,-103 20 224,7 0-64,0 0-32,4-1 0,92-19-128,-91 17 112,7-2-16,4 1-24,10-2-88,70-14 16,-60 11 32,10-6 0,6 6-32,16-8 80,28-3-80,-22 3 0,5 0 32,12-1 56,1-2-64,4 0-24,-3 0-24,3 0-24,0 0-80,5 0 16,-5 0 112,14-1-88,8-2-8,7-2 40,17-11 80,-46 16-24,52-16 16,13-4 0,3-2 56,4-4-64,-72 26-8,72-24 32,-5-2 0,-6 2-32,-6 1-16,-55 23 16,41-18 0,-8 4 40,-8 2-64,-11 8 32,-14 4-8,5-4 48,-3 1 64,-2 1 104,-2-2-120,2 4-96,-17-4 72,-7-2-144,-15-7-8,-14 9-8,53 4 88,-67-5-16,-19-1 16,-15 0 16,-10 2-32,111 4 16,-120-4 16,-13 1 8,-6 1-64,-8 1 144,147 1-104,-156 0 40,-3 0-128,-2 0 48,7 0-64,154 0 104,-142 0 0,2 0 104,15 0 8,15 0-24,110 0-88,-99-3 72,20-1-112,16 0 24,18-2 72,45 6-56,-34-6-56,19 2 96,8 0-8,5-1-104,2 5 72,0-2-176,0-1-64,21-9-32,6-6-8,-27 18 280,55-30-16,17-11-16,25-12-8,18-9 80,-115 62-40,137-70-112,12-7 56,8-2 16,16-2-16,-173 81 56,173-79-32,0 5 48,-12 8 0,-12 6-88,-149 60 72,140-54-24,-17 4 48,-8 3-40,-24 9 88,-91 38-72,68-31 40,-22 12 8,-20 13 8,-24 2 24,-2 4-80,0-1 72,-2 1-56,-20 3 56,-11 15-128,33-18 56,-48 26 0,-17 15 56,-20 10-144,-8 12 48,93-63 40,-109 72-48,1 8-16,7 4 120,7 4 8,94-88-64,-79 88 88,16 0 0,18 0-32,18-4 0,27-84-56,-2 82 88,2-6-152,14-7 96,10-3-144,-24-66 112,32 57-216,8-3 264,9-6-80,4-7 16,-53-41 16,64 37 128,6-7-128,5-3-96,-1-1 280,-74-26-184,72 24 0,-2 1-32,-10 1 32,-9 0-224,-51-26 224,43 27-352,-7 2-216,-7 3-216,-5 0-241,-24-32 1025,15 35-1200,-8 3-728,-5 2-1817,-2 5-5873,0-45 9618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04:38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82 62 23228,'0'0'0,"0"-23"1601,0 6-825,0 17-776,-5-15 496,5 12-272,-2 1-88,-1 1-24,3 1-112,0 0 32,-2 0-32,2 0 8,0 0-32,0 0 24,0 0-128,0 3 24,-2 0-128,-3 11-176,5-14 408,-5 16-624,-7 5-456,0 9-521,-5 7-2015,17-37 3616,-17 38-11099,17-38 11099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D9" zoomScale="130" zoomScaleNormal="100" zoomScaleSheetLayoutView="130" workbookViewId="0">
      <selection activeCell="G23" sqref="G23:J2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2" t="s">
        <v>190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>
      <c r="B2" s="11" t="s">
        <v>8</v>
      </c>
      <c r="C2" s="58" t="s">
        <v>37</v>
      </c>
      <c r="D2" s="58"/>
      <c r="E2" s="11" t="s">
        <v>7</v>
      </c>
      <c r="F2" s="53">
        <v>45912</v>
      </c>
      <c r="G2" s="53"/>
      <c r="H2" s="53"/>
      <c r="I2" s="53"/>
      <c r="J2" s="53"/>
    </row>
    <row r="3" spans="1:10" ht="30" customHeight="1">
      <c r="B3" s="11" t="s">
        <v>9</v>
      </c>
      <c r="C3" s="58" t="s">
        <v>78</v>
      </c>
      <c r="D3" s="58"/>
      <c r="E3" s="11" t="s">
        <v>6</v>
      </c>
      <c r="F3" s="58" t="s">
        <v>134</v>
      </c>
      <c r="G3" s="58"/>
      <c r="H3" s="58"/>
      <c r="I3" s="58"/>
      <c r="J3" s="58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>
      <c r="A6" s="9"/>
      <c r="B6" s="56"/>
      <c r="C6" s="57"/>
      <c r="D6" s="57"/>
      <c r="E6" s="10" t="s">
        <v>3</v>
      </c>
      <c r="F6" s="10" t="s">
        <v>4</v>
      </c>
      <c r="G6" s="10" t="s">
        <v>23</v>
      </c>
      <c r="H6" s="10" t="s">
        <v>24</v>
      </c>
      <c r="I6" s="61"/>
      <c r="J6" s="62"/>
    </row>
    <row r="7" spans="1:10" ht="24.95" customHeight="1">
      <c r="A7" s="9"/>
      <c r="B7" s="63" t="s">
        <v>21</v>
      </c>
      <c r="C7" s="64"/>
      <c r="D7" s="64"/>
      <c r="E7" s="30" t="s">
        <v>18</v>
      </c>
      <c r="F7" s="30" t="s">
        <v>19</v>
      </c>
      <c r="G7" s="30" t="s">
        <v>22</v>
      </c>
      <c r="H7" s="30" t="s">
        <v>20</v>
      </c>
      <c r="I7" s="65" t="s">
        <v>25</v>
      </c>
      <c r="J7" s="66"/>
    </row>
    <row r="8" spans="1:10" ht="60" customHeight="1">
      <c r="A8" s="9"/>
      <c r="B8" s="48" t="s">
        <v>188</v>
      </c>
      <c r="C8" s="48"/>
      <c r="D8" s="48"/>
      <c r="E8" s="32">
        <v>3</v>
      </c>
      <c r="F8" s="25">
        <v>2</v>
      </c>
      <c r="G8" s="33">
        <f>IFERROR(F8/E8,"")</f>
        <v>0.66666666666666663</v>
      </c>
      <c r="H8" s="34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43"/>
      <c r="J8" s="43"/>
    </row>
    <row r="9" spans="1:10" ht="39.950000000000003" customHeight="1">
      <c r="A9" s="9"/>
      <c r="B9" s="48" t="s">
        <v>180</v>
      </c>
      <c r="C9" s="48"/>
      <c r="D9" s="48"/>
      <c r="E9" s="32">
        <v>3</v>
      </c>
      <c r="F9" s="25">
        <v>2</v>
      </c>
      <c r="G9" s="33">
        <f t="shared" ref="G9" si="0">IFERROR(F9/E9,"")</f>
        <v>0.66666666666666663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مقبول</v>
      </c>
      <c r="I9" s="43"/>
      <c r="J9" s="43"/>
    </row>
    <row r="10" spans="1:10" ht="39.950000000000003" customHeight="1">
      <c r="A10" s="9"/>
      <c r="B10" s="48" t="s">
        <v>182</v>
      </c>
      <c r="C10" s="49"/>
      <c r="D10" s="49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3"/>
    </row>
    <row r="11" spans="1:10" ht="30" customHeight="1">
      <c r="A11" s="9"/>
      <c r="B11" s="48" t="s">
        <v>178</v>
      </c>
      <c r="C11" s="48"/>
      <c r="D11" s="48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3"/>
      <c r="J11" s="43"/>
    </row>
    <row r="12" spans="1:10" ht="30" customHeight="1">
      <c r="A12" s="9"/>
      <c r="B12" s="48" t="s">
        <v>179</v>
      </c>
      <c r="C12" s="48"/>
      <c r="D12" s="48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3"/>
      <c r="J12" s="43"/>
    </row>
    <row r="13" spans="1:10" ht="39.950000000000003" customHeight="1">
      <c r="A13" s="9"/>
      <c r="B13" s="48" t="s">
        <v>189</v>
      </c>
      <c r="C13" s="48"/>
      <c r="D13" s="48"/>
      <c r="E13" s="32">
        <v>3</v>
      </c>
      <c r="F13" s="2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3"/>
      <c r="J13" s="43"/>
    </row>
    <row r="14" spans="1:10" ht="30" customHeight="1">
      <c r="A14" s="9"/>
      <c r="B14" s="48" t="s">
        <v>183</v>
      </c>
      <c r="C14" s="48"/>
      <c r="D14" s="48"/>
      <c r="E14" s="32">
        <v>3</v>
      </c>
      <c r="F14" s="25">
        <v>2</v>
      </c>
      <c r="G14" s="33">
        <f t="shared" ref="G14" si="6">IFERROR(F14/E14,"")</f>
        <v>0.66666666666666663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مقبول</v>
      </c>
      <c r="I14" s="43"/>
      <c r="J14" s="43"/>
    </row>
    <row r="15" spans="1:10" ht="39.950000000000003" customHeight="1">
      <c r="A15" s="9"/>
      <c r="B15" s="48" t="s">
        <v>184</v>
      </c>
      <c r="C15" s="48"/>
      <c r="D15" s="48"/>
      <c r="E15" s="32">
        <v>3</v>
      </c>
      <c r="F15" s="25">
        <v>2.25</v>
      </c>
      <c r="G15" s="33">
        <f t="shared" ref="G15" si="8">IFERROR(F15/E15,"")</f>
        <v>0.75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3"/>
      <c r="J15" s="43"/>
    </row>
    <row r="16" spans="1:10" ht="60" customHeight="1">
      <c r="A16" s="9"/>
      <c r="B16" s="76" t="s">
        <v>185</v>
      </c>
      <c r="C16" s="77"/>
      <c r="D16" s="78"/>
      <c r="E16" s="32">
        <v>3</v>
      </c>
      <c r="F16" s="25">
        <v>2</v>
      </c>
      <c r="G16" s="33">
        <f t="shared" si="4"/>
        <v>0.66666666666666663</v>
      </c>
      <c r="H16" s="34" t="str">
        <f t="shared" si="5"/>
        <v>مقبول</v>
      </c>
      <c r="I16" s="43"/>
      <c r="J16" s="43"/>
    </row>
    <row r="17" spans="1:10" ht="39.950000000000003" customHeight="1">
      <c r="A17" s="9"/>
      <c r="B17" s="48" t="s">
        <v>186</v>
      </c>
      <c r="C17" s="49"/>
      <c r="D17" s="49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3"/>
      <c r="J17" s="43"/>
    </row>
    <row r="18" spans="1:10" ht="60" customHeight="1">
      <c r="A18" s="9"/>
      <c r="B18" s="48" t="s">
        <v>181</v>
      </c>
      <c r="C18" s="48"/>
      <c r="D18" s="48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3"/>
      <c r="J18" s="43"/>
    </row>
    <row r="19" spans="1:10" ht="30" customHeight="1" thickBot="1">
      <c r="A19" s="4"/>
      <c r="B19" s="44" t="s">
        <v>5</v>
      </c>
      <c r="C19" s="45"/>
      <c r="D19" s="45"/>
      <c r="E19" s="31">
        <f>SUM(E8:E18)</f>
        <v>33</v>
      </c>
      <c r="F19" s="31">
        <f>SUM(F8:F18)</f>
        <v>23.25</v>
      </c>
      <c r="G19" s="71"/>
      <c r="H19" s="72"/>
      <c r="I19" s="72"/>
      <c r="J19" s="73"/>
    </row>
    <row r="20" spans="1:10" ht="30" customHeight="1" thickBot="1">
      <c r="A20" s="4"/>
      <c r="B20" s="46" t="s">
        <v>54</v>
      </c>
      <c r="C20" s="47"/>
      <c r="D20" s="47"/>
      <c r="E20" s="74">
        <f>F19/E19/100*100</f>
        <v>0.70454545454545459</v>
      </c>
      <c r="F20" s="74"/>
      <c r="G20" s="74"/>
      <c r="H20" s="74"/>
      <c r="I20" s="74"/>
      <c r="J20" s="75"/>
    </row>
    <row r="21" spans="1:10" ht="30" customHeight="1" thickBot="1">
      <c r="A21" s="4"/>
      <c r="B21" s="46" t="s">
        <v>55</v>
      </c>
      <c r="C21" s="47"/>
      <c r="D21" s="47"/>
      <c r="E21" s="35" t="str">
        <f>_xlfn.IFS(E20&gt;=90%,"ممتاز",E20&gt;=80%,"جيد جداً",E20&gt;=70%,"جيد",E20&gt;=60%,"مقبول",E20&lt;60%,"راسب")</f>
        <v>جيد</v>
      </c>
      <c r="F21" s="35"/>
      <c r="G21" s="35"/>
      <c r="H21" s="35"/>
      <c r="I21" s="35"/>
      <c r="J21" s="36"/>
    </row>
    <row r="22" spans="1:10" ht="42" customHeight="1">
      <c r="B22" s="67" t="s">
        <v>187</v>
      </c>
      <c r="C22" s="67"/>
      <c r="D22" s="67"/>
      <c r="E22" s="50" t="s">
        <v>52</v>
      </c>
      <c r="F22" s="50"/>
      <c r="G22" s="69" t="s">
        <v>134</v>
      </c>
      <c r="H22" s="69"/>
      <c r="I22" s="69"/>
      <c r="J22" s="69"/>
    </row>
    <row r="23" spans="1:10" ht="51" customHeight="1">
      <c r="A23" s="5"/>
      <c r="B23" s="68"/>
      <c r="C23" s="68"/>
      <c r="D23" s="68"/>
      <c r="E23" s="51" t="s">
        <v>53</v>
      </c>
      <c r="F23" s="51"/>
      <c r="G23" s="70"/>
      <c r="H23" s="70"/>
      <c r="I23" s="70"/>
      <c r="J23" s="70"/>
    </row>
    <row r="24" spans="1:10">
      <c r="A24" s="26">
        <v>3</v>
      </c>
      <c r="B24" s="37" t="s">
        <v>175</v>
      </c>
      <c r="C24" s="38"/>
    </row>
    <row r="25" spans="1:10">
      <c r="A25" s="27">
        <v>2</v>
      </c>
      <c r="B25" s="39" t="s">
        <v>176</v>
      </c>
      <c r="C25" s="40"/>
    </row>
    <row r="26" spans="1:10">
      <c r="A26" s="28">
        <v>1</v>
      </c>
      <c r="B26" s="41" t="s">
        <v>177</v>
      </c>
      <c r="C26" s="4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  <mergeCell ref="B7:D7"/>
    <mergeCell ref="I7:J7"/>
    <mergeCell ref="I13:J13"/>
    <mergeCell ref="B8:D8"/>
    <mergeCell ref="B13:D13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2025-10-09T09:47:24Z</dcterms:modified>
</cp:coreProperties>
</file>