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2AF7F8C7-69DE-B544-86FE-917461C84B92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9" i="2"/>
  <c r="H39" i="2"/>
  <c r="G40" i="2"/>
  <c r="H40" i="2"/>
  <c r="G41" i="2"/>
  <c r="H41" i="2"/>
  <c r="F42" i="2"/>
  <c r="E42" i="2"/>
  <c r="E43" i="2"/>
  <c r="E44" i="2"/>
</calcChain>
</file>

<file path=xl/sharedStrings.xml><?xml version="1.0" encoding="utf-8"?>
<sst xmlns="http://schemas.openxmlformats.org/spreadsheetml/2006/main" count="271" uniqueCount="215">
  <si>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</si>
  <si>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</si>
  <si>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</si>
  <si>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</si>
  <si>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</si>
  <si>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</si>
  <si>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</si>
  <si>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</si>
  <si>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</si>
  <si>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</si>
  <si>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</si>
  <si>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</si>
  <si>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</si>
  <si>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</si>
  <si>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</si>
  <si>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</si>
  <si>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</si>
  <si>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</si>
  <si>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</si>
  <si>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</si>
  <si>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</si>
  <si>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</si>
  <si>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</si>
  <si>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</si>
  <si>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</si>
  <si>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</si>
  <si>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</si>
  <si>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</si>
  <si>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</si>
  <si>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</si>
  <si>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</si>
  <si>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</si>
  <si>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</si>
  <si>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</si>
  <si>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</si>
  <si>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</si>
  <si>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</si>
  <si>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</si>
  <si>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</si>
  <si>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</si>
  <si>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</si>
  <si>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</si>
  <si>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</si>
  <si>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</si>
  <si>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</si>
  <si>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</si>
  <si>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</si>
  <si>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</si>
  <si>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</si>
  <si>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</si>
  <si>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</si>
  <si>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</si>
  <si>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</si>
  <si>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</si>
  <si>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</si>
  <si>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</si>
  <si>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</si>
  <si>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</si>
  <si>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</si>
  <si>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</si>
  <si>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</si>
  <si>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</si>
  <si>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</si>
  <si>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</si>
  <si>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</si>
  <si>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</si>
  <si>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</si>
  <si>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</si>
  <si>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</si>
  <si>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</si>
  <si>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</si>
  <si>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</si>
  <si>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</si>
  <si>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</si>
  <si>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</si>
  <si>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</si>
  <si>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</si>
  <si>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</si>
  <si>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</si>
  <si>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</si>
  <si>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</si>
  <si>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</si>
  <si>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</si>
  <si>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</si>
  <si>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</si>
  <si>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</si>
  <si>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</si>
  <si>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</si>
  <si>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</si>
  <si>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</si>
  <si>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</si>
  <si>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</si>
  <si>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</si>
  <si>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</si>
  <si>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</si>
  <si>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</si>
  <si>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</si>
  <si>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</si>
  <si>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</si>
  <si>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</si>
  <si>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</si>
  <si>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</si>
  <si>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</si>
  <si>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</si>
  <si>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</si>
  <si>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</si>
  <si>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</si>
  <si>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</si>
  <si>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</si>
  <si>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</si>
  <si>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</si>
  <si>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</si>
  <si>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</si>
  <si>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</si>
  <si>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</si>
  <si>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</si>
  <si>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</si>
  <si>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</si>
  <si>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</si>
  <si>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</si>
  <si>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</si>
  <si>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</si>
  <si>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</si>
  <si>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</si>
  <si>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</si>
  <si>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</si>
  <si>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</si>
  <si>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</si>
  <si>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</si>
  <si>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</si>
  <si>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</si>
  <si>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</si>
  <si>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</si>
  <si>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</si>
  <si>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</si>
  <si>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</si>
  <si>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</si>
  <si>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</si>
  <si>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</si>
  <si>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</si>
  <si>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</si>
  <si>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</si>
  <si>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</si>
  <si>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</si>
  <si>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</si>
  <si>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</si>
  <si>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</si>
  <si>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</si>
  <si>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</si>
  <si>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</si>
  <si>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</si>
  <si>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</si>
  <si>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</si>
  <si>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</si>
  <si>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</si>
  <si>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</si>
  <si>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</si>
  <si>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</si>
  <si>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</si>
  <si>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</si>
  <si>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</si>
  <si>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</si>
  <si>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</si>
  <si>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</si>
  <si>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</si>
  <si>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</si>
  <si>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</si>
  <si>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</si>
  <si>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</si>
  <si>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</si>
  <si>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</si>
  <si>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</si>
  <si>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</si>
  <si>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</si>
  <si>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</si>
  <si>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</si>
  <si>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</si>
  <si>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</si>
  <si>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</si>
  <si>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</si>
  <si>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 إعادة التنظيم </t>
  </si>
  <si>
    <t>2.     إجراءات إعادة التنظيم</t>
  </si>
  <si>
    <t xml:space="preserve">3.     مدى المام مرتب الفصيلة في الهجوم </t>
  </si>
  <si>
    <t>1.     بدء الحركة حسب التوقيتات.</t>
  </si>
  <si>
    <t>2.     نظام السير حسب أولية الدخول للتشكيل.</t>
  </si>
  <si>
    <t>3.     حماية الاجنحة و المؤخرة أثناء الحركة.</t>
  </si>
  <si>
    <t>4.     ترتيبات الاسناد الناري للأهداف الطارئة.</t>
  </si>
  <si>
    <t>5.     القيادة والسيطرة و الاتصالات.</t>
  </si>
  <si>
    <t>6.     ترتيبات الالتقاء بالأدلاء.</t>
  </si>
  <si>
    <t>7.     نوع و أسلوب الحركة.</t>
  </si>
  <si>
    <t>8.     توفر السيطرة و الرؤية المتبادلة.</t>
  </si>
  <si>
    <t>9.     انفصال قاعدة الاسناد بطريقة تعبوية.</t>
  </si>
  <si>
    <t>10.     الانفتاح بالصورة المطلوبة و بسرعة في منطقة التشكيل.</t>
  </si>
  <si>
    <t xml:space="preserve">11.     توفر الحماية أثناء الوصول لمنطقة التشكيل. </t>
  </si>
  <si>
    <t>1.    استطلاع منطقة التشكيل.</t>
  </si>
  <si>
    <t>2.    حماية منطقة التشكيل.</t>
  </si>
  <si>
    <t>3.    تأشير مناطق الفصيلة و الجماعات.</t>
  </si>
  <si>
    <t>4.    ترتيبات الدلالة و الارشاد.</t>
  </si>
  <si>
    <t>5.    استقبال الادلاء للجماعات في التشكيل.</t>
  </si>
  <si>
    <t>6.    توزيع الجماعات في التشكيل حسب اتجاه الاهداف.</t>
  </si>
  <si>
    <t>7.     السيطرة على قاعدة الاسناد و وضوح الامر.</t>
  </si>
  <si>
    <t>10.     تحديد مواقع اسلحة العدو بشكل فعال.</t>
  </si>
  <si>
    <t>11.     الرد و إسكات نيران العدو المباشرة و الغير مباشرة.</t>
  </si>
  <si>
    <t>12.     الاقتحام باستخدام اسلوب النار والحركة و تطبيق مهارات المعركة بصورة صحيحة.</t>
  </si>
  <si>
    <t>13.     القيادة والسيطرة و تمرير المعلومات.</t>
  </si>
  <si>
    <t>14.     معالجة الاصابات.</t>
  </si>
  <si>
    <t>15.     تطهير الاهداف بصورة صحيحة قبل التوسع.</t>
  </si>
  <si>
    <t>17.     التحاق قاعدة الاسناد.</t>
  </si>
  <si>
    <t>1.     تطهير مواقع العدو.</t>
  </si>
  <si>
    <t>الاقتحام (الهجوم)</t>
  </si>
  <si>
    <t>مرحلة الانفتاح (الحركة الى منطقة التشكيل في الهجوم)</t>
  </si>
  <si>
    <r>
      <t>8.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 xml:space="preserve">التقيد بتوقيت ساعة الصفر </t>
    </r>
  </si>
  <si>
    <r>
      <t>9.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 xml:space="preserve">استخدام نيران الاسناد المباشرة ( قاعدة الاسناد ) والغير مباشرة </t>
    </r>
  </si>
  <si>
    <r>
      <t>16.</t>
    </r>
    <r>
      <rPr>
        <sz val="7"/>
        <color theme="1"/>
        <rFont val="Arial"/>
        <family val="2"/>
      </rPr>
      <t xml:space="preserve">     </t>
    </r>
    <r>
      <rPr>
        <sz val="14"/>
        <color theme="1"/>
        <rFont val="Arial"/>
        <family val="2"/>
      </rPr>
      <t>التوسع بعد هدف العمق و اتخاذ الدفاع الدائري حسب طبيعة الارض.</t>
    </r>
  </si>
  <si>
    <r>
      <rPr>
        <b/>
        <sz val="14"/>
        <color rgb="FF000000"/>
        <rFont val="Arial"/>
        <family val="2"/>
      </rPr>
      <t>تقييم فصيل مشاة راجل في الهجوم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</si>
</sst>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3"/>
      <color rgb="FF000000"/>
      <name val="Arial"/>
      <family val="2"/>
    </font>
    <font>
      <sz val="7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6" fillId="0" borderId="25" xfId="0" applyFont="1" applyBorder="1" applyAlignment="1">
      <alignment horizontal="right" vertical="center" wrapText="1" readingOrder="2"/>
    </xf>
    <xf numFmtId="0" fontId="16" fillId="0" borderId="3" xfId="0" applyFont="1" applyBorder="1" applyAlignment="1">
      <alignment horizontal="right" vertical="center" wrapText="1" readingOrder="2"/>
    </xf>
    <xf numFmtId="0" fontId="15" fillId="0" borderId="25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5" fillId="0" borderId="16" xfId="0" applyFont="1" applyBorder="1" applyAlignment="1">
      <alignment horizontal="right" vertical="center" wrapText="1" readingOrder="2"/>
    </xf>
    <xf numFmtId="0" fontId="5" fillId="0" borderId="17" xfId="0" applyFont="1" applyBorder="1" applyAlignment="1">
      <alignment horizontal="right" vertical="center" wrapText="1" readingOrder="2"/>
    </xf>
    <xf numFmtId="0" fontId="5" fillId="0" borderId="26" xfId="0" applyFont="1" applyBorder="1" applyAlignment="1">
      <alignment horizontal="right" vertical="center" wrapText="1" readingOrder="2"/>
    </xf>
    <xf numFmtId="0" fontId="14" fillId="0" borderId="25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46175</xdr:colOff>
      <xdr:row>45</xdr:row>
      <xdr:rowOff>150028</xdr:rowOff>
    </xdr:from>
    <xdr:to>
      <xdr:col>8</xdr:col>
      <xdr:colOff>630084</xdr:colOff>
      <xdr:row>45</xdr:row>
      <xdr:rowOff>551428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34FED7F-E807-8424-D9E2-31CC0E782584}"/>
                </a:ext>
              </a:extLst>
            </xdr14:cNvPr>
            <xdr14:cNvContentPartPr/>
          </xdr14:nvContentPartPr>
          <xdr14:nvPr macro=""/>
          <xdr14:xfrm>
            <a:off x="10398614825" y="17826120"/>
            <a:ext cx="1242000" cy="4014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34FED7F-E807-8424-D9E2-31CC0E78258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05825" y="17817480"/>
              <a:ext cx="1259640" cy="419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12:59:36.36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1188 1062,'0'0,"0"0,0 0,0 0,0 0,0 0,0 0,0 0,0 0,0 0,0 0,0 0,0 0,0 0,0 0,0 0,0 0,0 0,-17-16,17 0,0 13,-14-10,-3-19,15 27,4-23,-19-4,17 28,-31-40,14-4,17 41,-14-18,14-23,0 41,-17-34,0 9,17 27,0-38,-14-5,11 40,6-32,-20-25,14 56,6-30,-3-9,0 41,0-34,0-7,0 41,0-34,0-7,0 41,17-18,-17 9,0 13,14-26,-14 13,0 13,17-11,0-2,-15 14,27 4,-12-18,-15 14,27 4,2-2,-26 0,39 0,-11 0,-30 0,42 16,-13-16,-28 0,40 0,4 16,-41-13,34-6,-10 20,-26-15,38 12,-9-14,-32 0,27 16,19 0,-40-14,16-4,9 18,-28-14,5 12,23-14,-28 0,5 16,7 0,-15-14,12-4,1 18,-13-14,-4 12,2 2,0-14,0 12,0 2,0-13,-15 10,-18 3,28-13,-5 26,-38 3,39-27,-30 22,-43 5,70-27,-55 54,-29-10,81-42,-98 50,-31 7,122-55,-100 46,-8 9,111-54,-107 44,-32 10,134-54,-65 12,-24 11,98-29,-33 24,-17-12,56-14,-47-4,8 18,41-14,0-4,-10 2,14 0,-25 0,11 0,14 0,-11 0,-1 0,13 0,19 0,-15 0,30 0,-1-16,17 0,48 0,-81 13,114-43,16-2,-124 41,133-50,24-7,-154 55,145-62,54-25,-191 82,177-69,0 3,-182 69,122-58,26-11,-151 69,114-42,-11 5,-108 41,75-34,2 9,-79 26,31-21,0 11,-40 14,16 4,7-18,-26 14,-10 20,5-10,0 0,-31 8,-1 17,28-29,-40 24,-69 20,96-41,-93 50,-20-9,111-41,-90 34,-52 23,137-54,-127 44,-25 11,150-56,-109 46,-9-7,122-41,-101 34,27-9,79-27,-62 6,-17 21,79-27,-31 6,0 5,40-13,-47-6,38 3,15 0,-13 0,1 0,12 0,-13 0,-2 0,17 0,0-16,0 8,34 16,-20-24,-11 14,28 4,0-2,-26 0,22 0,21 0,-39 0,15 0,8 16,-25-13,17 10,-7 19,-15-27,13 6,-1 5,-12-13,-4 10,19 19,-15-27,13 6,-15 5,0-13,31 10,-14-13,-15 0,10 16,22-16,-32 0,10 17,53-17,-55 0,60 16,-5 0,-56-14,61 12,43 18,-94-27,75 6,65 21,-135-27,96-10,89 5,-175 0,156-16,3-48,-162 54,164-77,11-57,-172 122,159-132,-1-87,-161 201,-62 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6"/>
  <sheetViews>
    <sheetView rightToLeft="1" tabSelected="1" view="pageBreakPreview" topLeftCell="C1" zoomScale="130" zoomScaleNormal="100" zoomScaleSheetLayoutView="130" workbookViewId="0">
      <selection activeCell="G45" sqref="G45:J45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3" t="s">
        <v>214</v>
      </c>
      <c r="C1" s="43"/>
      <c r="D1" s="43"/>
      <c r="E1" s="43"/>
      <c r="F1" s="43"/>
      <c r="G1" s="43"/>
      <c r="H1" s="43"/>
      <c r="I1" s="43"/>
      <c r="J1" s="43"/>
    </row>
    <row r="2" spans="1:10" ht="30" customHeight="1" x14ac:dyDescent="0.2">
      <c r="B2" s="11" t="s">
        <v>8</v>
      </c>
      <c r="C2" s="49" t="s">
        <v>40</v>
      </c>
      <c r="D2" s="49"/>
      <c r="E2" s="11" t="s">
        <v>7</v>
      </c>
      <c r="F2" s="44">
        <v>45939</v>
      </c>
      <c r="G2" s="44"/>
      <c r="H2" s="44"/>
      <c r="I2" s="44"/>
      <c r="J2" s="44"/>
    </row>
    <row r="3" spans="1:10" ht="30" customHeight="1" x14ac:dyDescent="0.2">
      <c r="B3" s="11" t="s">
        <v>9</v>
      </c>
      <c r="C3" s="49" t="s">
        <v>81</v>
      </c>
      <c r="D3" s="49"/>
      <c r="E3" s="11" t="s">
        <v>6</v>
      </c>
      <c r="F3" s="49" t="s">
        <v>105</v>
      </c>
      <c r="G3" s="49"/>
      <c r="H3" s="49"/>
      <c r="I3" s="49"/>
      <c r="J3" s="4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45" t="s">
        <v>0</v>
      </c>
      <c r="C5" s="46"/>
      <c r="D5" s="46"/>
      <c r="E5" s="50" t="s">
        <v>1</v>
      </c>
      <c r="F5" s="50"/>
      <c r="G5" s="50"/>
      <c r="H5" s="50"/>
      <c r="I5" s="50" t="s">
        <v>2</v>
      </c>
      <c r="J5" s="53"/>
    </row>
    <row r="6" spans="1:10" ht="24.95" customHeight="1" thickBot="1" x14ac:dyDescent="0.25">
      <c r="A6" s="10"/>
      <c r="B6" s="47"/>
      <c r="C6" s="48"/>
      <c r="D6" s="48"/>
      <c r="E6" s="26" t="s">
        <v>3</v>
      </c>
      <c r="F6" s="26" t="s">
        <v>4</v>
      </c>
      <c r="G6" s="26" t="s">
        <v>23</v>
      </c>
      <c r="H6" s="26" t="s">
        <v>24</v>
      </c>
      <c r="I6" s="54"/>
      <c r="J6" s="55"/>
    </row>
    <row r="7" spans="1:10" ht="24.95" customHeight="1" thickBot="1" x14ac:dyDescent="0.25">
      <c r="A7" s="10"/>
      <c r="B7" s="37" t="s">
        <v>21</v>
      </c>
      <c r="C7" s="38"/>
      <c r="D7" s="38"/>
      <c r="E7" s="30" t="s">
        <v>18</v>
      </c>
      <c r="F7" s="30" t="s">
        <v>19</v>
      </c>
      <c r="G7" s="30" t="s">
        <v>22</v>
      </c>
      <c r="H7" s="30" t="s">
        <v>20</v>
      </c>
      <c r="I7" s="56" t="s">
        <v>25</v>
      </c>
      <c r="J7" s="57"/>
    </row>
    <row r="8" spans="1:10" ht="30" customHeight="1" x14ac:dyDescent="0.2">
      <c r="A8" s="10"/>
      <c r="B8" s="77" t="s">
        <v>210</v>
      </c>
      <c r="C8" s="78"/>
      <c r="D8" s="78"/>
      <c r="E8" s="78"/>
      <c r="F8" s="78"/>
      <c r="G8" s="78"/>
      <c r="H8" s="78"/>
      <c r="I8" s="78"/>
      <c r="J8" s="79"/>
    </row>
    <row r="9" spans="1:10" ht="30" customHeight="1" x14ac:dyDescent="0.2">
      <c r="A9" s="10"/>
      <c r="B9" s="58" t="s">
        <v>183</v>
      </c>
      <c r="C9" s="59"/>
      <c r="D9" s="59"/>
      <c r="E9" s="9">
        <v>5</v>
      </c>
      <c r="F9" s="25">
        <v>4</v>
      </c>
      <c r="G9" s="28">
        <f>IFERROR(F9/E9,"")</f>
        <v>0.8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5"/>
      <c r="J9" s="36"/>
    </row>
    <row r="10" spans="1:10" ht="30" customHeight="1" x14ac:dyDescent="0.2">
      <c r="A10" s="10"/>
      <c r="B10" s="58" t="s">
        <v>184</v>
      </c>
      <c r="C10" s="59"/>
      <c r="D10" s="59"/>
      <c r="E10" s="9">
        <v>5</v>
      </c>
      <c r="F10" s="25">
        <v>4</v>
      </c>
      <c r="G10" s="28">
        <f t="shared" ref="G10:G41" si="0">IFERROR(F10/E10,"")</f>
        <v>0.8</v>
      </c>
      <c r="H10" s="29" t="str">
        <f t="shared" ref="H10:H41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5"/>
      <c r="J10" s="36"/>
    </row>
    <row r="11" spans="1:10" ht="30" customHeight="1" x14ac:dyDescent="0.2">
      <c r="A11" s="10"/>
      <c r="B11" s="58" t="s">
        <v>185</v>
      </c>
      <c r="C11" s="59"/>
      <c r="D11" s="59"/>
      <c r="E11" s="9">
        <v>5</v>
      </c>
      <c r="F11" s="25">
        <v>3.75</v>
      </c>
      <c r="G11" s="28">
        <f t="shared" si="0"/>
        <v>0.75</v>
      </c>
      <c r="H11" s="29" t="str">
        <f t="shared" si="1"/>
        <v>جيد</v>
      </c>
      <c r="I11" s="35"/>
      <c r="J11" s="36"/>
    </row>
    <row r="12" spans="1:10" ht="30" customHeight="1" x14ac:dyDescent="0.2">
      <c r="A12" s="10"/>
      <c r="B12" s="58" t="s">
        <v>186</v>
      </c>
      <c r="C12" s="59"/>
      <c r="D12" s="59"/>
      <c r="E12" s="9">
        <v>5</v>
      </c>
      <c r="F12" s="25">
        <v>3.75</v>
      </c>
      <c r="G12" s="28">
        <f t="shared" si="0"/>
        <v>0.75</v>
      </c>
      <c r="H12" s="29" t="str">
        <f t="shared" si="1"/>
        <v>جيد</v>
      </c>
      <c r="I12" s="35"/>
      <c r="J12" s="36"/>
    </row>
    <row r="13" spans="1:10" ht="30" customHeight="1" x14ac:dyDescent="0.2">
      <c r="A13" s="10"/>
      <c r="B13" s="58" t="s">
        <v>187</v>
      </c>
      <c r="C13" s="59"/>
      <c r="D13" s="59"/>
      <c r="E13" s="9">
        <v>5</v>
      </c>
      <c r="F13" s="25">
        <v>3.75</v>
      </c>
      <c r="G13" s="28">
        <f t="shared" si="0"/>
        <v>0.75</v>
      </c>
      <c r="H13" s="29" t="str">
        <f t="shared" si="1"/>
        <v>جيد</v>
      </c>
      <c r="I13" s="35"/>
      <c r="J13" s="36"/>
    </row>
    <row r="14" spans="1:10" ht="30" customHeight="1" x14ac:dyDescent="0.2">
      <c r="A14" s="10"/>
      <c r="B14" s="58" t="s">
        <v>188</v>
      </c>
      <c r="C14" s="59"/>
      <c r="D14" s="59"/>
      <c r="E14" s="9">
        <v>5</v>
      </c>
      <c r="F14" s="25">
        <v>3.75</v>
      </c>
      <c r="G14" s="28">
        <f t="shared" si="0"/>
        <v>0.75</v>
      </c>
      <c r="H14" s="29" t="str">
        <f t="shared" si="1"/>
        <v>جيد</v>
      </c>
      <c r="I14" s="35"/>
      <c r="J14" s="36"/>
    </row>
    <row r="15" spans="1:10" ht="30" customHeight="1" x14ac:dyDescent="0.2">
      <c r="A15" s="10"/>
      <c r="B15" s="58" t="s">
        <v>189</v>
      </c>
      <c r="C15" s="59"/>
      <c r="D15" s="59"/>
      <c r="E15" s="9">
        <v>5</v>
      </c>
      <c r="F15" s="25">
        <v>3.75</v>
      </c>
      <c r="G15" s="28">
        <f t="shared" si="0"/>
        <v>0.75</v>
      </c>
      <c r="H15" s="29" t="str">
        <f t="shared" si="1"/>
        <v>جيد</v>
      </c>
      <c r="I15" s="35"/>
      <c r="J15" s="36"/>
    </row>
    <row r="16" spans="1:10" ht="30" customHeight="1" x14ac:dyDescent="0.2">
      <c r="A16" s="10"/>
      <c r="B16" s="60" t="s">
        <v>190</v>
      </c>
      <c r="C16" s="61"/>
      <c r="D16" s="61"/>
      <c r="E16" s="9">
        <v>5</v>
      </c>
      <c r="F16" s="25">
        <v>3.75</v>
      </c>
      <c r="G16" s="28">
        <f t="shared" si="0"/>
        <v>0.75</v>
      </c>
      <c r="H16" s="29" t="str">
        <f t="shared" si="1"/>
        <v>جيد</v>
      </c>
      <c r="I16" s="35"/>
      <c r="J16" s="36"/>
    </row>
    <row r="17" spans="1:10" ht="30" customHeight="1" x14ac:dyDescent="0.2">
      <c r="A17" s="10"/>
      <c r="B17" s="60" t="s">
        <v>191</v>
      </c>
      <c r="C17" s="61"/>
      <c r="D17" s="61"/>
      <c r="E17" s="9">
        <v>5</v>
      </c>
      <c r="F17" s="25">
        <v>3.75</v>
      </c>
      <c r="G17" s="28">
        <f t="shared" si="0"/>
        <v>0.75</v>
      </c>
      <c r="H17" s="29" t="str">
        <f t="shared" si="1"/>
        <v>جيد</v>
      </c>
      <c r="I17" s="35"/>
      <c r="J17" s="36"/>
    </row>
    <row r="18" spans="1:10" ht="30" customHeight="1" x14ac:dyDescent="0.2">
      <c r="A18" s="10"/>
      <c r="B18" s="80" t="s">
        <v>192</v>
      </c>
      <c r="C18" s="81"/>
      <c r="D18" s="81"/>
      <c r="E18" s="9">
        <v>5</v>
      </c>
      <c r="F18" s="25">
        <v>3.75</v>
      </c>
      <c r="G18" s="28">
        <f t="shared" si="0"/>
        <v>0.75</v>
      </c>
      <c r="H18" s="29" t="str">
        <f t="shared" si="1"/>
        <v>جيد</v>
      </c>
      <c r="I18" s="35"/>
      <c r="J18" s="36"/>
    </row>
    <row r="19" spans="1:10" ht="30" customHeight="1" thickBot="1" x14ac:dyDescent="0.25">
      <c r="A19" s="10"/>
      <c r="B19" s="41" t="s">
        <v>193</v>
      </c>
      <c r="C19" s="42"/>
      <c r="D19" s="42"/>
      <c r="E19" s="32">
        <v>5</v>
      </c>
      <c r="F19" s="27">
        <v>3.75</v>
      </c>
      <c r="G19" s="33">
        <f t="shared" si="0"/>
        <v>0.75</v>
      </c>
      <c r="H19" s="34" t="str">
        <f t="shared" si="1"/>
        <v>جيد</v>
      </c>
      <c r="I19" s="51"/>
      <c r="J19" s="52"/>
    </row>
    <row r="20" spans="1:10" ht="30" customHeight="1" x14ac:dyDescent="0.2">
      <c r="A20" s="10"/>
      <c r="B20" s="77" t="s">
        <v>209</v>
      </c>
      <c r="C20" s="78"/>
      <c r="D20" s="78"/>
      <c r="E20" s="78"/>
      <c r="F20" s="78"/>
      <c r="G20" s="78"/>
      <c r="H20" s="78"/>
      <c r="I20" s="78"/>
      <c r="J20" s="79"/>
    </row>
    <row r="21" spans="1:10" ht="30" customHeight="1" x14ac:dyDescent="0.2">
      <c r="A21" s="10"/>
      <c r="B21" s="82" t="s">
        <v>194</v>
      </c>
      <c r="C21" s="83"/>
      <c r="D21" s="83"/>
      <c r="E21" s="9">
        <v>5</v>
      </c>
      <c r="F21" s="25">
        <v>3.75</v>
      </c>
      <c r="G21" s="28">
        <f t="shared" si="0"/>
        <v>0.75</v>
      </c>
      <c r="H21" s="29" t="str">
        <f t="shared" si="1"/>
        <v>جيد</v>
      </c>
      <c r="I21" s="35"/>
      <c r="J21" s="36"/>
    </row>
    <row r="22" spans="1:10" ht="30" customHeight="1" x14ac:dyDescent="0.2">
      <c r="A22" s="10"/>
      <c r="B22" s="82" t="s">
        <v>195</v>
      </c>
      <c r="C22" s="83"/>
      <c r="D22" s="83"/>
      <c r="E22" s="9">
        <v>5</v>
      </c>
      <c r="F22" s="25">
        <v>3.75</v>
      </c>
      <c r="G22" s="28">
        <f t="shared" si="0"/>
        <v>0.75</v>
      </c>
      <c r="H22" s="29" t="str">
        <f t="shared" si="1"/>
        <v>جيد</v>
      </c>
      <c r="I22" s="35"/>
      <c r="J22" s="36"/>
    </row>
    <row r="23" spans="1:10" ht="30" customHeight="1" x14ac:dyDescent="0.2">
      <c r="A23" s="10"/>
      <c r="B23" s="82" t="s">
        <v>196</v>
      </c>
      <c r="C23" s="83"/>
      <c r="D23" s="83"/>
      <c r="E23" s="9">
        <v>5</v>
      </c>
      <c r="F23" s="25">
        <v>3.75</v>
      </c>
      <c r="G23" s="28">
        <f t="shared" si="0"/>
        <v>0.75</v>
      </c>
      <c r="H23" s="29" t="str">
        <f t="shared" si="1"/>
        <v>جيد</v>
      </c>
      <c r="I23" s="35"/>
      <c r="J23" s="36"/>
    </row>
    <row r="24" spans="1:10" ht="30" customHeight="1" x14ac:dyDescent="0.2">
      <c r="A24" s="10"/>
      <c r="B24" s="82" t="s">
        <v>197</v>
      </c>
      <c r="C24" s="83"/>
      <c r="D24" s="83"/>
      <c r="E24" s="9">
        <v>5</v>
      </c>
      <c r="F24" s="25">
        <v>3.5</v>
      </c>
      <c r="G24" s="28">
        <f t="shared" si="0"/>
        <v>0.7</v>
      </c>
      <c r="H24" s="29" t="str">
        <f t="shared" si="1"/>
        <v>جيد</v>
      </c>
      <c r="I24" s="35"/>
      <c r="J24" s="36"/>
    </row>
    <row r="25" spans="1:10" ht="30" customHeight="1" x14ac:dyDescent="0.2">
      <c r="A25" s="10"/>
      <c r="B25" s="82" t="s">
        <v>198</v>
      </c>
      <c r="C25" s="83"/>
      <c r="D25" s="83"/>
      <c r="E25" s="9">
        <v>5</v>
      </c>
      <c r="F25" s="25">
        <v>3.75</v>
      </c>
      <c r="G25" s="28">
        <f t="shared" si="0"/>
        <v>0.75</v>
      </c>
      <c r="H25" s="29" t="str">
        <f t="shared" si="1"/>
        <v>جيد</v>
      </c>
      <c r="I25" s="35"/>
      <c r="J25" s="36"/>
    </row>
    <row r="26" spans="1:10" ht="30" customHeight="1" x14ac:dyDescent="0.2">
      <c r="A26" s="10"/>
      <c r="B26" s="82" t="s">
        <v>199</v>
      </c>
      <c r="C26" s="83"/>
      <c r="D26" s="83"/>
      <c r="E26" s="9">
        <v>5</v>
      </c>
      <c r="F26" s="25">
        <v>3.5</v>
      </c>
      <c r="G26" s="28">
        <f t="shared" si="0"/>
        <v>0.7</v>
      </c>
      <c r="H26" s="29" t="str">
        <f t="shared" si="1"/>
        <v>جيد</v>
      </c>
      <c r="I26" s="35"/>
      <c r="J26" s="36"/>
    </row>
    <row r="27" spans="1:10" ht="30" customHeight="1" x14ac:dyDescent="0.2">
      <c r="A27" s="10"/>
      <c r="B27" s="80" t="s">
        <v>200</v>
      </c>
      <c r="C27" s="81"/>
      <c r="D27" s="81"/>
      <c r="E27" s="9">
        <v>5</v>
      </c>
      <c r="F27" s="25">
        <v>3.5</v>
      </c>
      <c r="G27" s="28">
        <f t="shared" si="0"/>
        <v>0.7</v>
      </c>
      <c r="H27" s="29" t="str">
        <f t="shared" si="1"/>
        <v>جيد</v>
      </c>
      <c r="I27" s="35"/>
      <c r="J27" s="36"/>
    </row>
    <row r="28" spans="1:10" ht="30" customHeight="1" x14ac:dyDescent="0.2">
      <c r="A28" s="10"/>
      <c r="B28" s="80" t="s">
        <v>211</v>
      </c>
      <c r="C28" s="81"/>
      <c r="D28" s="81"/>
      <c r="E28" s="9">
        <v>5</v>
      </c>
      <c r="F28" s="25">
        <v>4</v>
      </c>
      <c r="G28" s="28">
        <f t="shared" si="0"/>
        <v>0.8</v>
      </c>
      <c r="H28" s="29" t="str">
        <f t="shared" si="1"/>
        <v>جيد جداً</v>
      </c>
      <c r="I28" s="35"/>
      <c r="J28" s="36"/>
    </row>
    <row r="29" spans="1:10" ht="39.950000000000003" customHeight="1" x14ac:dyDescent="0.2">
      <c r="A29" s="10"/>
      <c r="B29" s="80" t="s">
        <v>212</v>
      </c>
      <c r="C29" s="81"/>
      <c r="D29" s="81"/>
      <c r="E29" s="9">
        <v>5</v>
      </c>
      <c r="F29" s="25">
        <v>3.5</v>
      </c>
      <c r="G29" s="28">
        <f t="shared" si="0"/>
        <v>0.7</v>
      </c>
      <c r="H29" s="29" t="str">
        <f t="shared" si="1"/>
        <v>جيد</v>
      </c>
      <c r="I29" s="35"/>
      <c r="J29" s="36"/>
    </row>
    <row r="30" spans="1:10" ht="30" customHeight="1" x14ac:dyDescent="0.2">
      <c r="A30" s="10"/>
      <c r="B30" s="80" t="s">
        <v>201</v>
      </c>
      <c r="C30" s="81"/>
      <c r="D30" s="81"/>
      <c r="E30" s="9">
        <v>5</v>
      </c>
      <c r="F30" s="25">
        <v>3.75</v>
      </c>
      <c r="G30" s="28">
        <f t="shared" si="0"/>
        <v>0.75</v>
      </c>
      <c r="H30" s="29" t="str">
        <f t="shared" si="1"/>
        <v>جيد</v>
      </c>
      <c r="I30" s="35"/>
      <c r="J30" s="36"/>
    </row>
    <row r="31" spans="1:10" ht="30" customHeight="1" x14ac:dyDescent="0.2">
      <c r="A31" s="10"/>
      <c r="B31" s="80" t="s">
        <v>202</v>
      </c>
      <c r="C31" s="81"/>
      <c r="D31" s="81"/>
      <c r="E31" s="9">
        <v>5</v>
      </c>
      <c r="F31" s="25">
        <v>4</v>
      </c>
      <c r="G31" s="28">
        <f t="shared" si="0"/>
        <v>0.8</v>
      </c>
      <c r="H31" s="29" t="str">
        <f t="shared" si="1"/>
        <v>جيد جداً</v>
      </c>
      <c r="I31" s="35"/>
      <c r="J31" s="36"/>
    </row>
    <row r="32" spans="1:10" ht="39.950000000000003" customHeight="1" x14ac:dyDescent="0.2">
      <c r="A32" s="10"/>
      <c r="B32" s="80" t="s">
        <v>203</v>
      </c>
      <c r="C32" s="81"/>
      <c r="D32" s="81"/>
      <c r="E32" s="9">
        <v>5</v>
      </c>
      <c r="F32" s="25">
        <v>3.75</v>
      </c>
      <c r="G32" s="28">
        <f t="shared" si="0"/>
        <v>0.75</v>
      </c>
      <c r="H32" s="29" t="str">
        <f t="shared" si="1"/>
        <v>جيد</v>
      </c>
      <c r="I32" s="35"/>
      <c r="J32" s="36"/>
    </row>
    <row r="33" spans="1:10" ht="30" customHeight="1" x14ac:dyDescent="0.2">
      <c r="A33" s="10"/>
      <c r="B33" s="80" t="s">
        <v>204</v>
      </c>
      <c r="C33" s="81"/>
      <c r="D33" s="81"/>
      <c r="E33" s="9">
        <v>5</v>
      </c>
      <c r="F33" s="25">
        <v>4.25</v>
      </c>
      <c r="G33" s="28">
        <f t="shared" si="0"/>
        <v>0.85</v>
      </c>
      <c r="H33" s="29" t="str">
        <f t="shared" si="1"/>
        <v>جيد جداً</v>
      </c>
      <c r="I33" s="35"/>
      <c r="J33" s="36"/>
    </row>
    <row r="34" spans="1:10" ht="30" customHeight="1" x14ac:dyDescent="0.2">
      <c r="A34" s="10"/>
      <c r="B34" s="80" t="s">
        <v>205</v>
      </c>
      <c r="C34" s="81"/>
      <c r="D34" s="81"/>
      <c r="E34" s="9">
        <v>5</v>
      </c>
      <c r="F34" s="25">
        <v>3.75</v>
      </c>
      <c r="G34" s="28">
        <f t="shared" si="0"/>
        <v>0.75</v>
      </c>
      <c r="H34" s="29" t="str">
        <f t="shared" si="1"/>
        <v>جيد</v>
      </c>
      <c r="I34" s="35"/>
      <c r="J34" s="36"/>
    </row>
    <row r="35" spans="1:10" ht="30" customHeight="1" x14ac:dyDescent="0.2">
      <c r="A35" s="10"/>
      <c r="B35" s="80" t="s">
        <v>206</v>
      </c>
      <c r="C35" s="81"/>
      <c r="D35" s="81"/>
      <c r="E35" s="9">
        <v>5</v>
      </c>
      <c r="F35" s="25">
        <v>3.75</v>
      </c>
      <c r="G35" s="28">
        <f t="shared" si="0"/>
        <v>0.75</v>
      </c>
      <c r="H35" s="29" t="str">
        <f t="shared" si="1"/>
        <v>جيد</v>
      </c>
      <c r="I35" s="35"/>
      <c r="J35" s="36"/>
    </row>
    <row r="36" spans="1:10" ht="39.950000000000003" customHeight="1" x14ac:dyDescent="0.2">
      <c r="A36" s="10"/>
      <c r="B36" s="80" t="s">
        <v>213</v>
      </c>
      <c r="C36" s="81"/>
      <c r="D36" s="81"/>
      <c r="E36" s="9">
        <v>5</v>
      </c>
      <c r="F36" s="25">
        <v>4</v>
      </c>
      <c r="G36" s="28">
        <f t="shared" si="0"/>
        <v>0.8</v>
      </c>
      <c r="H36" s="29" t="str">
        <f t="shared" si="1"/>
        <v>جيد جداً</v>
      </c>
      <c r="I36" s="35"/>
      <c r="J36" s="36"/>
    </row>
    <row r="37" spans="1:10" ht="30" customHeight="1" thickBot="1" x14ac:dyDescent="0.25">
      <c r="A37" s="10"/>
      <c r="B37" s="41" t="s">
        <v>207</v>
      </c>
      <c r="C37" s="42"/>
      <c r="D37" s="42"/>
      <c r="E37" s="32">
        <v>5</v>
      </c>
      <c r="F37" s="27">
        <v>3.75</v>
      </c>
      <c r="G37" s="33">
        <f t="shared" si="0"/>
        <v>0.75</v>
      </c>
      <c r="H37" s="34" t="str">
        <f t="shared" si="1"/>
        <v>جيد</v>
      </c>
      <c r="I37" s="51"/>
      <c r="J37" s="52"/>
    </row>
    <row r="38" spans="1:10" ht="30" customHeight="1" x14ac:dyDescent="0.2">
      <c r="A38" s="10"/>
      <c r="B38" s="77" t="s">
        <v>180</v>
      </c>
      <c r="C38" s="78"/>
      <c r="D38" s="78"/>
      <c r="E38" s="78"/>
      <c r="F38" s="78"/>
      <c r="G38" s="78"/>
      <c r="H38" s="78"/>
      <c r="I38" s="78"/>
      <c r="J38" s="79"/>
    </row>
    <row r="39" spans="1:10" ht="30" customHeight="1" x14ac:dyDescent="0.2">
      <c r="A39" s="10"/>
      <c r="B39" s="80" t="s">
        <v>208</v>
      </c>
      <c r="C39" s="81"/>
      <c r="D39" s="81"/>
      <c r="E39" s="9">
        <v>5</v>
      </c>
      <c r="F39" s="25">
        <v>3.5</v>
      </c>
      <c r="G39" s="28">
        <f t="shared" si="0"/>
        <v>0.7</v>
      </c>
      <c r="H39" s="29" t="str">
        <f t="shared" si="1"/>
        <v>جيد</v>
      </c>
      <c r="I39" s="35"/>
      <c r="J39" s="36"/>
    </row>
    <row r="40" spans="1:10" ht="30" customHeight="1" x14ac:dyDescent="0.2">
      <c r="A40" s="10"/>
      <c r="B40" s="80" t="s">
        <v>181</v>
      </c>
      <c r="C40" s="81"/>
      <c r="D40" s="81"/>
      <c r="E40" s="9">
        <v>5</v>
      </c>
      <c r="F40" s="25">
        <v>3.75</v>
      </c>
      <c r="G40" s="28">
        <f t="shared" si="0"/>
        <v>0.75</v>
      </c>
      <c r="H40" s="29" t="str">
        <f t="shared" si="1"/>
        <v>جيد</v>
      </c>
      <c r="I40" s="35"/>
      <c r="J40" s="36"/>
    </row>
    <row r="41" spans="1:10" ht="30" customHeight="1" thickBot="1" x14ac:dyDescent="0.25">
      <c r="A41" s="10"/>
      <c r="B41" s="41" t="s">
        <v>182</v>
      </c>
      <c r="C41" s="42"/>
      <c r="D41" s="42"/>
      <c r="E41" s="32">
        <v>5</v>
      </c>
      <c r="F41" s="27">
        <v>3.75</v>
      </c>
      <c r="G41" s="33">
        <f t="shared" si="0"/>
        <v>0.75</v>
      </c>
      <c r="H41" s="34" t="str">
        <f t="shared" si="1"/>
        <v>جيد</v>
      </c>
      <c r="I41" s="51"/>
      <c r="J41" s="52"/>
    </row>
    <row r="42" spans="1:10" ht="30" customHeight="1" thickBot="1" x14ac:dyDescent="0.25">
      <c r="A42" s="4"/>
      <c r="B42" s="39" t="s">
        <v>5</v>
      </c>
      <c r="C42" s="40"/>
      <c r="D42" s="40"/>
      <c r="E42" s="31">
        <f>SUM(E8:E41)</f>
        <v>155</v>
      </c>
      <c r="F42" s="31">
        <f>SUM(F8:F41)</f>
        <v>116.75</v>
      </c>
      <c r="G42" s="72"/>
      <c r="H42" s="73"/>
      <c r="I42" s="73"/>
      <c r="J42" s="74"/>
    </row>
    <row r="43" spans="1:10" ht="30" customHeight="1" thickBot="1" x14ac:dyDescent="0.25">
      <c r="A43" s="4"/>
      <c r="B43" s="75" t="s">
        <v>54</v>
      </c>
      <c r="C43" s="76"/>
      <c r="D43" s="76"/>
      <c r="E43" s="68">
        <f>F42/E42/100*100</f>
        <v>0.75322580645161286</v>
      </c>
      <c r="F43" s="68"/>
      <c r="G43" s="68"/>
      <c r="H43" s="68"/>
      <c r="I43" s="68"/>
      <c r="J43" s="69"/>
    </row>
    <row r="44" spans="1:10" ht="30" customHeight="1" thickBot="1" x14ac:dyDescent="0.25">
      <c r="A44" s="4"/>
      <c r="B44" s="75" t="s">
        <v>55</v>
      </c>
      <c r="C44" s="76"/>
      <c r="D44" s="76"/>
      <c r="E44" s="66" t="str">
        <f>_xlfn.IFS(E43&gt;=90%,"ممتاز",E43&gt;=80%,"جيد جداً",E43&gt;=70%,"جيد",E43&gt;=60%,"مقبول",E43&lt;60%,"راسب")</f>
        <v>جيد</v>
      </c>
      <c r="F44" s="66"/>
      <c r="G44" s="66"/>
      <c r="H44" s="66"/>
      <c r="I44" s="66"/>
      <c r="J44" s="67"/>
    </row>
    <row r="45" spans="1:10" ht="42" customHeight="1" x14ac:dyDescent="0.2">
      <c r="B45" s="62" t="s">
        <v>174</v>
      </c>
      <c r="C45" s="62"/>
      <c r="D45" s="62"/>
      <c r="E45" s="70" t="s">
        <v>52</v>
      </c>
      <c r="F45" s="70"/>
      <c r="G45" s="64" t="s">
        <v>105</v>
      </c>
      <c r="H45" s="64"/>
      <c r="I45" s="64"/>
      <c r="J45" s="64"/>
    </row>
    <row r="46" spans="1:10" ht="51" customHeight="1" x14ac:dyDescent="0.2">
      <c r="A46" s="5"/>
      <c r="B46" s="63"/>
      <c r="C46" s="63"/>
      <c r="D46" s="63"/>
      <c r="E46" s="71" t="s">
        <v>53</v>
      </c>
      <c r="F46" s="71"/>
      <c r="G46" s="65"/>
      <c r="H46" s="65"/>
      <c r="I46" s="65"/>
      <c r="J46" s="6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6">
    <mergeCell ref="B39:D39"/>
    <mergeCell ref="B40:D40"/>
    <mergeCell ref="B26:D26"/>
    <mergeCell ref="B27:D27"/>
    <mergeCell ref="B28:D28"/>
    <mergeCell ref="B29:D29"/>
    <mergeCell ref="B30:D30"/>
    <mergeCell ref="B31:D31"/>
    <mergeCell ref="B32:D32"/>
    <mergeCell ref="B8:J8"/>
    <mergeCell ref="B38:J38"/>
    <mergeCell ref="B35:D35"/>
    <mergeCell ref="B36:D36"/>
    <mergeCell ref="B37:D37"/>
    <mergeCell ref="B33:D33"/>
    <mergeCell ref="B34:D34"/>
    <mergeCell ref="B18:D18"/>
    <mergeCell ref="B19:D19"/>
    <mergeCell ref="B21:D21"/>
    <mergeCell ref="B22:D22"/>
    <mergeCell ref="B23:D23"/>
    <mergeCell ref="B24:D24"/>
    <mergeCell ref="B25:D25"/>
    <mergeCell ref="B20:J20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I32:J32"/>
    <mergeCell ref="B45:D46"/>
    <mergeCell ref="G45:J45"/>
    <mergeCell ref="G46:J46"/>
    <mergeCell ref="E44:J44"/>
    <mergeCell ref="I40:J40"/>
    <mergeCell ref="I41:J41"/>
    <mergeCell ref="E43:J43"/>
    <mergeCell ref="E45:F45"/>
    <mergeCell ref="E46:F46"/>
    <mergeCell ref="G42:J42"/>
    <mergeCell ref="B43:D43"/>
    <mergeCell ref="B44:D44"/>
    <mergeCell ref="B42:D42"/>
    <mergeCell ref="B41:D41"/>
    <mergeCell ref="B1:J1"/>
    <mergeCell ref="F2:J2"/>
    <mergeCell ref="B5:D6"/>
    <mergeCell ref="C2:D2"/>
    <mergeCell ref="C3:D3"/>
    <mergeCell ref="F3:J3"/>
    <mergeCell ref="E5:H5"/>
    <mergeCell ref="I37:J37"/>
    <mergeCell ref="I5:J6"/>
    <mergeCell ref="I7:J7"/>
    <mergeCell ref="I10:J10"/>
    <mergeCell ref="I19:J19"/>
    <mergeCell ref="I21:J21"/>
    <mergeCell ref="I22:J22"/>
    <mergeCell ref="I23:J23"/>
    <mergeCell ref="I24:J24"/>
    <mergeCell ref="I25:J25"/>
    <mergeCell ref="I26:J26"/>
    <mergeCell ref="I11:J11"/>
    <mergeCell ref="I12:J12"/>
    <mergeCell ref="I13:J13"/>
    <mergeCell ref="I14:J14"/>
    <mergeCell ref="I9:J9"/>
    <mergeCell ref="B7:D7"/>
    <mergeCell ref="I39:J39"/>
    <mergeCell ref="I30:J30"/>
    <mergeCell ref="I31:J31"/>
    <mergeCell ref="I15:J15"/>
    <mergeCell ref="I16:J16"/>
    <mergeCell ref="I17:J17"/>
    <mergeCell ref="I18:J18"/>
    <mergeCell ref="I28:J28"/>
    <mergeCell ref="I29:J29"/>
    <mergeCell ref="I27:J27"/>
    <mergeCell ref="I33:J33"/>
    <mergeCell ref="I34:J34"/>
    <mergeCell ref="I35:J35"/>
    <mergeCell ref="I36:J36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4">
    <cfRule type="expression" dxfId="20" priority="57">
      <formula>$E44="راسب"</formula>
    </cfRule>
  </conditionalFormatting>
  <conditionalFormatting sqref="E44:J44">
    <cfRule type="expression" dxfId="19" priority="58">
      <formula>$E44="مقبول"</formula>
    </cfRule>
    <cfRule type="expression" dxfId="18" priority="59">
      <formula>$E44="جيد"</formula>
    </cfRule>
    <cfRule type="expression" dxfId="17" priority="60">
      <formula>$E44="جيد جداً"</formula>
    </cfRule>
    <cfRule type="expression" dxfId="16" priority="61">
      <formula>$E44="ممتاز"</formula>
    </cfRule>
  </conditionalFormatting>
  <conditionalFormatting sqref="F9:F19">
    <cfRule type="containsText" dxfId="15" priority="4" operator="containsText" text="أدخل العلامة">
      <formula>NOT(ISERROR(SEARCH("أدخل العلامة",F9)))</formula>
    </cfRule>
  </conditionalFormatting>
  <conditionalFormatting sqref="F21:F37 H21:H37 F39:F41 H39:H41">
    <cfRule type="containsText" dxfId="14" priority="38" operator="containsText" text="أدخل العلامة">
      <formula>NOT(ISERROR(SEARCH("أدخل العلامة",F21)))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45:J45">
    <cfRule type="containsText" dxfId="11" priority="15" operator="containsText" text="أدخل اسم المحكم">
      <formula>NOT(ISERROR(SEARCH("أدخل اسم المحكم",G45)))</formula>
    </cfRule>
  </conditionalFormatting>
  <conditionalFormatting sqref="H9:H19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21:H37 H39:H41">
    <cfRule type="containsText" dxfId="4" priority="39" operator="containsText" text="ممتاز">
      <formula>NOT(ISERROR(SEARCH("ممتاز",H21)))</formula>
    </cfRule>
    <cfRule type="containsText" dxfId="3" priority="40" operator="containsText" text="جيد جداً">
      <formula>NOT(ISERROR(SEARCH("جيد جداً",H21)))</formula>
    </cfRule>
    <cfRule type="containsText" dxfId="2" priority="41" operator="containsText" text="جيد">
      <formula>NOT(ISERROR(SEARCH("جيد",H21)))</formula>
    </cfRule>
    <cfRule type="containsText" dxfId="1" priority="42" operator="containsText" text="مقبول">
      <formula>NOT(ISERROR(SEARCH("مقبول",H21)))</formula>
    </cfRule>
    <cfRule type="containsText" dxfId="0" priority="43" operator="containsText" text="راسب">
      <formula>NOT(ISERROR(SEARCH("راسب",H21)))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F9:F19 F21:F37 F39:F41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G45:J45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44" workbookViewId="0">
      <selection activeCell="A69" sqref="A69:A106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45931</v>
      </c>
    </row>
    <row r="40" spans="1:9" ht="20.100000000000001" customHeight="1" thickBot="1" x14ac:dyDescent="0.3">
      <c r="A40" s="12">
        <v>45932</v>
      </c>
    </row>
    <row r="41" spans="1:9" ht="20.100000000000001" customHeight="1" thickBot="1" x14ac:dyDescent="0.3">
      <c r="A41" s="12">
        <v>45933</v>
      </c>
    </row>
    <row r="42" spans="1:9" ht="20.100000000000001" customHeight="1" thickBot="1" x14ac:dyDescent="0.3">
      <c r="A42" s="12">
        <v>45934</v>
      </c>
    </row>
    <row r="43" spans="1:9" ht="20.100000000000001" customHeight="1" thickBot="1" x14ac:dyDescent="0.3">
      <c r="A43" s="12">
        <v>45935</v>
      </c>
    </row>
    <row r="44" spans="1:9" ht="20.100000000000001" customHeight="1" thickBot="1" x14ac:dyDescent="0.3">
      <c r="A44" s="12">
        <v>45936</v>
      </c>
    </row>
    <row r="45" spans="1:9" ht="20.100000000000001" customHeight="1" thickBot="1" x14ac:dyDescent="0.3">
      <c r="A45" s="12">
        <v>45937</v>
      </c>
    </row>
    <row r="46" spans="1:9" ht="20.100000000000001" customHeight="1" thickBot="1" x14ac:dyDescent="0.3">
      <c r="A46" s="12">
        <v>45938</v>
      </c>
    </row>
    <row r="47" spans="1:9" ht="20.100000000000001" customHeight="1" thickBot="1" x14ac:dyDescent="0.3">
      <c r="A47" s="12">
        <v>45939</v>
      </c>
    </row>
    <row r="48" spans="1:9" ht="20.100000000000001" customHeight="1" thickBot="1" x14ac:dyDescent="0.3">
      <c r="A48" s="12">
        <v>45940</v>
      </c>
    </row>
    <row r="49" spans="1:1" ht="20.100000000000001" customHeight="1" thickBot="1" x14ac:dyDescent="0.3">
      <c r="A49" s="12">
        <v>45941</v>
      </c>
    </row>
    <row r="50" spans="1:1" ht="20.100000000000001" customHeight="1" thickBot="1" x14ac:dyDescent="0.3">
      <c r="A50" s="12">
        <v>45942</v>
      </c>
    </row>
    <row r="51" spans="1:1" ht="20.100000000000001" customHeight="1" thickBot="1" x14ac:dyDescent="0.3">
      <c r="A51" s="12">
        <v>45943</v>
      </c>
    </row>
    <row r="52" spans="1:1" ht="20.100000000000001" customHeight="1" thickBot="1" x14ac:dyDescent="0.3">
      <c r="A52" s="12">
        <v>45944</v>
      </c>
    </row>
    <row r="53" spans="1:1" ht="20.100000000000001" customHeight="1" thickBot="1" x14ac:dyDescent="0.3">
      <c r="A53" s="12">
        <v>45945</v>
      </c>
    </row>
    <row r="54" spans="1:1" ht="20.100000000000001" customHeight="1" thickBot="1" x14ac:dyDescent="0.3">
      <c r="A54" s="12">
        <v>45946</v>
      </c>
    </row>
    <row r="55" spans="1:1" ht="20.100000000000001" customHeight="1" thickBot="1" x14ac:dyDescent="0.3">
      <c r="A55" s="12">
        <v>45947</v>
      </c>
    </row>
    <row r="56" spans="1:1" ht="20.100000000000001" customHeight="1" thickBot="1" x14ac:dyDescent="0.3">
      <c r="A56" s="12">
        <v>45948</v>
      </c>
    </row>
    <row r="57" spans="1:1" ht="20.100000000000001" customHeight="1" thickBot="1" x14ac:dyDescent="0.3">
      <c r="A57" s="12">
        <v>45949</v>
      </c>
    </row>
    <row r="58" spans="1:1" ht="20.100000000000001" customHeight="1" thickBot="1" x14ac:dyDescent="0.3">
      <c r="A58" s="12">
        <v>45950</v>
      </c>
    </row>
    <row r="59" spans="1:1" ht="20.100000000000001" customHeight="1" thickBot="1" x14ac:dyDescent="0.3">
      <c r="A59" s="12">
        <v>45951</v>
      </c>
    </row>
    <row r="60" spans="1:1" ht="20.100000000000001" customHeight="1" thickBot="1" x14ac:dyDescent="0.3">
      <c r="A60" s="12">
        <v>45952</v>
      </c>
    </row>
    <row r="61" spans="1:1" ht="20.100000000000001" customHeight="1" thickBot="1" x14ac:dyDescent="0.3">
      <c r="A61" s="12">
        <v>45953</v>
      </c>
    </row>
    <row r="62" spans="1:1" ht="20.100000000000001" customHeight="1" thickBot="1" x14ac:dyDescent="0.3">
      <c r="A62" s="12">
        <v>45954</v>
      </c>
    </row>
    <row r="63" spans="1:1" ht="20.100000000000001" customHeight="1" thickBot="1" x14ac:dyDescent="0.3">
      <c r="A63" s="12">
        <v>45955</v>
      </c>
    </row>
    <row r="64" spans="1:1" ht="20.100000000000001" customHeight="1" thickBot="1" x14ac:dyDescent="0.3">
      <c r="A64" s="12">
        <v>45956</v>
      </c>
    </row>
    <row r="65" spans="1:1" ht="20.100000000000001" customHeight="1" thickBot="1" x14ac:dyDescent="0.3">
      <c r="A65" s="12">
        <v>45957</v>
      </c>
    </row>
    <row r="66" spans="1:1" ht="20.100000000000001" customHeight="1" thickBot="1" x14ac:dyDescent="0.3">
      <c r="A66" s="12">
        <v>45958</v>
      </c>
    </row>
    <row r="67" spans="1:1" ht="20.100000000000001" customHeight="1" thickBot="1" x14ac:dyDescent="0.3">
      <c r="A67" s="12">
        <v>45959</v>
      </c>
    </row>
    <row r="68" spans="1:1" ht="20.100000000000001" customHeight="1" thickBot="1" x14ac:dyDescent="0.3">
      <c r="A68" s="12">
        <v>45960</v>
      </c>
    </row>
    <row r="69" spans="1:1" ht="20.100000000000001" customHeight="1" thickBot="1" x14ac:dyDescent="0.25">
      <c r="A69" s="12"/>
    </row>
    <row r="70" spans="1:1" ht="20.100000000000001" customHeight="1" thickBot="1" x14ac:dyDescent="0.25">
      <c r="A70" s="12"/>
    </row>
    <row r="71" spans="1:1" ht="20.100000000000001" customHeight="1" thickBot="1" x14ac:dyDescent="0.25">
      <c r="A71" s="12"/>
    </row>
    <row r="72" spans="1:1" ht="20.100000000000001" customHeight="1" thickBot="1" x14ac:dyDescent="0.25">
      <c r="A72" s="12"/>
    </row>
    <row r="73" spans="1:1" ht="20.100000000000001" customHeight="1" thickBot="1" x14ac:dyDescent="0.25">
      <c r="A73" s="12"/>
    </row>
    <row r="74" spans="1:1" ht="20.100000000000001" customHeight="1" thickBot="1" x14ac:dyDescent="0.25">
      <c r="A74" s="12"/>
    </row>
    <row r="75" spans="1:1" ht="20.100000000000001" customHeight="1" thickBot="1" x14ac:dyDescent="0.25">
      <c r="A75" s="12"/>
    </row>
    <row r="76" spans="1:1" ht="20.100000000000001" customHeight="1" thickBot="1" x14ac:dyDescent="0.25">
      <c r="A76" s="12"/>
    </row>
    <row r="77" spans="1:1" ht="20.100000000000001" customHeight="1" thickBot="1" x14ac:dyDescent="0.25">
      <c r="A77" s="12"/>
    </row>
    <row r="78" spans="1:1" ht="20.100000000000001" customHeight="1" thickBot="1" x14ac:dyDescent="0.25">
      <c r="A78" s="12"/>
    </row>
    <row r="79" spans="1:1" ht="20.100000000000001" customHeight="1" thickBot="1" x14ac:dyDescent="0.25">
      <c r="A79" s="12"/>
    </row>
    <row r="80" spans="1:1" ht="20.100000000000001" customHeight="1" thickBot="1" x14ac:dyDescent="0.25">
      <c r="A80" s="12"/>
    </row>
    <row r="81" spans="1:1" ht="20.100000000000001" customHeight="1" thickBot="1" x14ac:dyDescent="0.25">
      <c r="A81" s="12"/>
    </row>
    <row r="82" spans="1:1" ht="20.100000000000001" customHeight="1" thickBot="1" x14ac:dyDescent="0.25">
      <c r="A82" s="12"/>
    </row>
    <row r="83" spans="1:1" ht="20.100000000000001" customHeight="1" thickBot="1" x14ac:dyDescent="0.25">
      <c r="A83" s="12"/>
    </row>
    <row r="84" spans="1:1" ht="20.100000000000001" customHeight="1" thickBot="1" x14ac:dyDescent="0.25">
      <c r="A84" s="12"/>
    </row>
    <row r="85" spans="1:1" ht="20.100000000000001" customHeight="1" thickBot="1" x14ac:dyDescent="0.25">
      <c r="A85" s="12"/>
    </row>
    <row r="86" spans="1:1" ht="20.100000000000001" customHeight="1" thickBot="1" x14ac:dyDescent="0.25">
      <c r="A86" s="12"/>
    </row>
    <row r="87" spans="1:1" ht="20.100000000000001" customHeight="1" thickBot="1" x14ac:dyDescent="0.25">
      <c r="A87" s="12"/>
    </row>
    <row r="88" spans="1:1" ht="20.100000000000001" customHeight="1" thickBot="1" x14ac:dyDescent="0.25">
      <c r="A88" s="12"/>
    </row>
    <row r="89" spans="1:1" ht="20.100000000000001" customHeight="1" thickBot="1" x14ac:dyDescent="0.25">
      <c r="A89" s="12"/>
    </row>
    <row r="90" spans="1:1" ht="20.100000000000001" customHeight="1" thickBot="1" x14ac:dyDescent="0.25">
      <c r="A90" s="12"/>
    </row>
    <row r="91" spans="1:1" ht="20.100000000000001" customHeight="1" thickBot="1" x14ac:dyDescent="0.25">
      <c r="A91" s="12"/>
    </row>
    <row r="92" spans="1:1" ht="20.100000000000001" customHeight="1" thickBot="1" x14ac:dyDescent="0.25">
      <c r="A92" s="12"/>
    </row>
    <row r="93" spans="1:1" ht="20.100000000000001" customHeight="1" thickBot="1" x14ac:dyDescent="0.25">
      <c r="A93" s="12"/>
    </row>
    <row r="94" spans="1:1" ht="20.100000000000001" customHeight="1" thickBot="1" x14ac:dyDescent="0.25">
      <c r="A94" s="12"/>
    </row>
    <row r="95" spans="1:1" ht="20.100000000000001" customHeight="1" thickBot="1" x14ac:dyDescent="0.25">
      <c r="A95" s="12"/>
    </row>
    <row r="96" spans="1:1" ht="20.100000000000001" customHeight="1" thickBot="1" x14ac:dyDescent="0.25">
      <c r="A96" s="12"/>
    </row>
    <row r="97" spans="1:9" ht="20.100000000000001" customHeight="1" thickBot="1" x14ac:dyDescent="0.25">
      <c r="A97" s="12"/>
    </row>
    <row r="98" spans="1:9" ht="20.100000000000001" customHeight="1" thickBot="1" x14ac:dyDescent="0.25">
      <c r="A98" s="12"/>
    </row>
    <row r="99" spans="1:9" ht="20.100000000000001" customHeight="1" thickBot="1" x14ac:dyDescent="0.25">
      <c r="A99" s="12"/>
    </row>
    <row r="100" spans="1:9" ht="20.100000000000001" customHeight="1" thickBot="1" x14ac:dyDescent="0.25">
      <c r="A100" s="12"/>
    </row>
    <row r="101" spans="1:9" ht="20.100000000000001" customHeight="1" thickBot="1" x14ac:dyDescent="0.25">
      <c r="A101" s="12"/>
    </row>
    <row r="102" spans="1:9" ht="20.100000000000001" customHeight="1" thickBot="1" x14ac:dyDescent="0.25">
      <c r="A102" s="12"/>
    </row>
    <row r="103" spans="1:9" ht="20.100000000000001" customHeight="1" thickBot="1" x14ac:dyDescent="0.25">
      <c r="A103" s="12"/>
    </row>
    <row r="104" spans="1:9" ht="20.100000000000001" customHeight="1" thickBot="1" x14ac:dyDescent="0.25">
      <c r="A104" s="12"/>
    </row>
    <row r="105" spans="1:9" ht="20.100000000000001" customHeight="1" thickBot="1" x14ac:dyDescent="0.25">
      <c r="A105" s="12"/>
    </row>
    <row r="106" spans="1:9" ht="20.100000000000001" customHeight="1" thickBot="1" x14ac:dyDescent="0.25">
      <c r="A106" s="12"/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2025-10-06T08:25:18Z</dcterms:modified>
</cp:coreProperties>
</file>