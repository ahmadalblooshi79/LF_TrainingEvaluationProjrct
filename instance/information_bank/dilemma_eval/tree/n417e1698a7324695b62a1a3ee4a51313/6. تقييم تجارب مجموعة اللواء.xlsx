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A1D74B2-83E9-441A-B7EF-5E277DFA4D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<sst xmlns="http://schemas.openxmlformats.org/spreadsheetml/2006/main" count="288" uniqueCount="227">
  <si>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</si>
  <si>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</si>
  <si>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</si>
  <si>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</si>
  <si>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</si>
  <si>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</si>
  <si>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</si>
  <si>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</si>
  <si>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</si>
  <si>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</si>
  <si>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</si>
  <si>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</si>
  <si>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</si>
  <si>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</si>
  <si>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</si>
  <si>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</si>
  <si>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</si>
  <si>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</si>
  <si>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</si>
  <si>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</si>
  <si>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</si>
  <si>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</si>
  <si>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</si>
  <si>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</si>
  <si>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</si>
  <si>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</si>
  <si>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</si>
  <si>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</si>
  <si>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</si>
  <si>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</si>
  <si>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</si>
  <si>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</si>
  <si>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</si>
  <si>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</si>
  <si>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</si>
  <si>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</si>
  <si>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</si>
  <si>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</si>
  <si>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</si>
  <si>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</si>
  <si>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</si>
  <si>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</si>
  <si>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</si>
  <si>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</si>
  <si>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</si>
  <si>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</si>
  <si>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</si>
  <si>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</si>
  <si>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</si>
  <si>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</si>
  <si>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</si>
  <si>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</si>
  <si>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</si>
  <si>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</si>
  <si>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</si>
  <si>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</si>
  <si>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</si>
  <si>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</si>
  <si>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</si>
  <si>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</si>
  <si>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</si>
  <si>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</si>
  <si>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</si>
  <si>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</si>
  <si>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ب. قام القائد والأركانية وقادة وضباط الوحدات المرؤوسة بتخطيط وترتيب أولويات العمل خلال التجارب من خلال ما يلي:</t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</si>
  <si>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</si>
  <si>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t>هـ. قام نائب القائد بما يلي:</t>
  </si>
  <si>
    <t>ب. تخصيص الوقت للتجارب.</t>
  </si>
  <si>
    <t>جـ. مراجعة التجميع للواجب للعملية.</t>
  </si>
  <si>
    <t>د. التأكد من حضور المشاركين في التجارب.</t>
  </si>
  <si>
    <t>هـ. التأكد من جاهزية المعدات اللازمة للتجارب.</t>
  </si>
  <si>
    <t>ز. إعداد شفافات موحدة تضم كافة مخططات الوحدات المرؤوسة.</t>
  </si>
  <si>
    <t>ح. تعيين مسجل ملاحظات للتجربة.</t>
  </si>
  <si>
    <t>ط. إصدار الشفافات الموحدة (شفاف المناورة، الإسناد الناري، الإسناد الهندسي والإدامة).</t>
  </si>
  <si>
    <t>ي. انتهاء القادة المرؤوسين من عملية التخطيط لوحداتهم.</t>
  </si>
  <si>
    <t>ك. تحضير القادة المرؤوسين لأي أمور لمناقشتها أثناء التجارب مع القيادة الأعلى.</t>
  </si>
  <si>
    <t>ل. تحرك المشاركون إلى موقع التجربة.</t>
  </si>
  <si>
    <t>جـ. قام قادة الوحدات المرؤوسة (المناورة) بتطبيق أدوارهم في العملية وحسب تسلسل الأحداث.</t>
  </si>
  <si>
    <t>هـ. تم تسجيل الملاحظات التي تتطلب اتخاذ قرار من قبل القائد.</t>
  </si>
  <si>
    <t>ح. أرسال القيادات لأي تحديثات على أمر العمليات / الخطة للوحدات المرؤوسة.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</si>
  <si>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</si>
  <si>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</si>
  <si>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</si>
  <si>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المشاركين في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</si>
  <si>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</si>
  <si>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(5)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مكان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</si>
  <si>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الأحداث الهامة التي سيتم التمرين عليها.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</si>
  <si>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تسلسل الأحداث الهامة.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</si>
  <si>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قائمة تدقيق للأفعال (النشاطات) من قبل قواتنا.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</si>
  <si>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زمان ومكان التجربة وكما جاء في أمر العمليات أو الأمر الإنذاري.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</si>
  <si>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المخرجات المطلوبة من إجراء التجربة.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</si>
  <si>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التنسيق لحضور ضباط ارتباط الوحدات المجاورة عند الضرورة.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</si>
  <si>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</si>
  <si>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التنفيذ</t>
    </r>
    <r>
      <rPr>
        <b/>
        <sz val="12"/>
        <color rgb="FF000000"/>
        <rFont val="Arial"/>
        <family val="2"/>
      </rPr>
      <t>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</si>
  <si>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إيجاز المشاركين عن أسلوب تنفيذ التجارب.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</si>
  <si>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</si>
  <si>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عرض مفهوم العمليات.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</si>
  <si>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</si>
  <si>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</si>
  <si>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</si>
  <si>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</si>
  <si>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</si>
  <si>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t>أ.   فهم القادة للموقف باستخدام كافة الوسائل المتوفرة.</t>
  </si>
  <si>
    <t>د.   كتابة النص الخاص بالتجارب شاملاً ما يلي:</t>
  </si>
  <si>
    <t>و.   تضمين مكان ووقت التجارب في أمر العمليات أو الإنذاري</t>
  </si>
  <si>
    <t>أ.   تم تدقيق قائمة الأحداث الهامة التي سيتم تطبيق التجارب عليها.</t>
  </si>
  <si>
    <t>و.  إزالة التعارض بين شفافات ومخططات الوحدات المرؤوسة إن وجدت.</t>
  </si>
  <si>
    <t>أ.   قام ركن / ضابط العمليات بما يلي:</t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</si>
  <si>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</si>
  <si>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</si>
  <si>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و.  تم تعديل الخطة بعد انتهاء التجارب حسب الحاجة وإبلاغ المعنيين بذلك حسب الأوامر التعبوية المستديمة.</t>
  </si>
  <si>
    <t>ز.  قام مسجل الملاحظات فور الانتهاء من التجربة ببيان التعديلات، أعمال التنسيق، أو الاستفسارات التي اجريت بناءً على توجيهات القائد.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</si>
  <si>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</si>
  <si>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</si>
  <si>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</si>
  <si>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</si>
  <si>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</si>
  <si>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</si>
  <si>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</si>
  <si>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</si>
  <si>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</si>
  <si>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</si>
  <si>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</si>
  <si>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</si>
  <si>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</si>
  <si>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</si>
  <si>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</si>
  <si>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</si>
  <si>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</si>
  <si>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</si>
  <si>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</si>
  <si>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</si>
  <si>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</si>
  <si>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</si>
  <si>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</si>
  <si>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</si>
  <si>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</si>
  <si>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</si>
  <si>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</si>
  <si>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</si>
  <si>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</si>
  <si>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</si>
  <si>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</si>
  <si>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</si>
  <si>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</si>
  <si>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</si>
  <si>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</si>
  <si>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</si>
  <si>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</si>
  <si>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</si>
  <si>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</si>
  <si>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</si>
  <si>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</si>
  <si>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</si>
  <si>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</si>
  <si>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</si>
  <si>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</si>
  <si>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</si>
  <si>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</si>
  <si>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</si>
  <si>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</si>
  <si>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</si>
  <si>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</si>
  <si>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</si>
  <si>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</si>
  <si>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</si>
  <si>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</si>
  <si>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</si>
  <si>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</si>
  <si>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</si>
  <si>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</si>
  <si>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</si>
  <si>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</si>
  <si>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</si>
  <si>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</si>
  <si>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</si>
  <si>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</si>
  <si>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</si>
  <si>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</si>
  <si>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</si>
  <si>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</si>
  <si>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</si>
  <si>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</si>
  <si>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</si>
  <si>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</si>
  <si>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</si>
  <si>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</si>
  <si>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</si>
  <si>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</si>
  <si>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</si>
  <si>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</si>
  <si>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</si>
  <si>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</si>
  <si>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</si>
  <si>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</si>
  <si>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</si>
  <si>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</si>
  <si>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</si>
  <si>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</si>
  <si>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</si>
  <si>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</si>
  <si>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</si>
  <si>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</si>
  <si>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</si>
  <si>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</si>
  <si>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</si>
  <si>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</si>
  <si>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</si>
  <si>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</si>
  <si>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</si>
  <si>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</si>
  <si>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</si>
  <si>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</si>
  <si>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</si>
  <si>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</si>
  <si>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</si>
  <si>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</si>
  <si>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</si>
  <si>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</si>
  <si>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</si>
  <si>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</si>
  <si>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</si>
  <si>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</si>
  <si>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</si>
  <si>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</si>
  <si>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تقييم تجارب مجموعة اللواء - العمليات التعرضية
تمرين لعبات حرب مجموعة لواء الإمارات/1 (رياح الصحراء 2025/19)</t>
  </si>
  <si>
    <t>العقيد 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</si>
</sst>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22" xfId="0" applyFont="1" applyBorder="1" applyAlignment="1">
      <alignment horizontal="right" vertical="center" wrapText="1" indent="4" readingOrder="2"/>
    </xf>
    <xf numFmtId="0" fontId="9" fillId="0" borderId="3" xfId="0" applyFont="1" applyBorder="1" applyAlignment="1">
      <alignment horizontal="right" vertical="center" wrapText="1" indent="4" readingOrder="2"/>
    </xf>
    <xf numFmtId="0" fontId="9" fillId="0" borderId="5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5"/>
  <sheetViews>
    <sheetView rightToLeft="1" tabSelected="1" view="pageBreakPreview" zoomScale="130" zoomScaleNormal="100" zoomScaleSheetLayoutView="130" workbookViewId="0">
      <selection activeCell="E5" sqref="E5:H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6" t="s">
        <v>225</v>
      </c>
      <c r="C1" s="37"/>
      <c r="D1" s="37"/>
      <c r="E1" s="37"/>
      <c r="F1" s="37"/>
      <c r="G1" s="37"/>
      <c r="H1" s="37"/>
      <c r="I1" s="37"/>
      <c r="J1" s="37"/>
    </row>
    <row r="2" spans="1:10" ht="30" customHeight="1" x14ac:dyDescent="0.3">
      <c r="B2" s="11" t="s">
        <v>8</v>
      </c>
      <c r="C2" s="43" t="s">
        <v>35</v>
      </c>
      <c r="D2" s="43"/>
      <c r="E2" s="11" t="s">
        <v>7</v>
      </c>
      <c r="F2" s="38">
        <v>45951</v>
      </c>
      <c r="G2" s="38"/>
      <c r="H2" s="38"/>
      <c r="I2" s="38"/>
      <c r="J2" s="38"/>
    </row>
    <row r="3" spans="1:10" ht="30" customHeight="1" x14ac:dyDescent="0.3">
      <c r="B3" s="11" t="s">
        <v>9</v>
      </c>
      <c r="C3" s="43" t="s">
        <v>112</v>
      </c>
      <c r="D3" s="43"/>
      <c r="E3" s="11" t="s">
        <v>6</v>
      </c>
      <c r="F3" s="43" t="s">
        <v>59</v>
      </c>
      <c r="G3" s="43"/>
      <c r="H3" s="43"/>
      <c r="I3" s="43"/>
      <c r="J3" s="43"/>
    </row>
    <row r="4" spans="1:10" ht="30" customHeight="1" thickBot="1" x14ac:dyDescent="0.35">
      <c r="B4" s="6"/>
      <c r="C4" s="7"/>
      <c r="D4" s="7"/>
      <c r="E4" s="6"/>
      <c r="F4" s="82" t="s">
        <v>226</v>
      </c>
      <c r="G4" s="82"/>
      <c r="H4" s="82"/>
      <c r="I4" s="82"/>
      <c r="J4" s="82"/>
    </row>
    <row r="5" spans="1:10" ht="24.9" customHeight="1" x14ac:dyDescent="0.3">
      <c r="A5" s="9"/>
      <c r="B5" s="39" t="s">
        <v>0</v>
      </c>
      <c r="C5" s="40"/>
      <c r="D5" s="40"/>
      <c r="E5" s="52" t="s">
        <v>1</v>
      </c>
      <c r="F5" s="52"/>
      <c r="G5" s="52"/>
      <c r="H5" s="52"/>
      <c r="I5" s="52" t="s">
        <v>2</v>
      </c>
      <c r="J5" s="53"/>
    </row>
    <row r="6" spans="1:10" ht="24.9" customHeight="1" thickBot="1" x14ac:dyDescent="0.35">
      <c r="A6" s="9"/>
      <c r="B6" s="41"/>
      <c r="C6" s="42"/>
      <c r="D6" s="42"/>
      <c r="E6" s="10" t="s">
        <v>3</v>
      </c>
      <c r="F6" s="10" t="s">
        <v>4</v>
      </c>
      <c r="G6" s="10" t="s">
        <v>23</v>
      </c>
      <c r="H6" s="10" t="s">
        <v>24</v>
      </c>
      <c r="I6" s="54"/>
      <c r="J6" s="55"/>
    </row>
    <row r="7" spans="1:10" ht="24.9" customHeight="1" thickBot="1" x14ac:dyDescent="0.35">
      <c r="A7" s="9"/>
      <c r="B7" s="46" t="s">
        <v>21</v>
      </c>
      <c r="C7" s="47"/>
      <c r="D7" s="47"/>
      <c r="E7" s="20" t="s">
        <v>18</v>
      </c>
      <c r="F7" s="20" t="s">
        <v>19</v>
      </c>
      <c r="G7" s="20" t="s">
        <v>22</v>
      </c>
      <c r="H7" s="20" t="s">
        <v>20</v>
      </c>
      <c r="I7" s="56" t="s">
        <v>25</v>
      </c>
      <c r="J7" s="57"/>
    </row>
    <row r="8" spans="1:10" ht="30" customHeight="1" x14ac:dyDescent="0.3">
      <c r="A8" s="9"/>
      <c r="B8" s="79" t="s">
        <v>80</v>
      </c>
      <c r="C8" s="80"/>
      <c r="D8" s="80"/>
      <c r="E8" s="80"/>
      <c r="F8" s="80"/>
      <c r="G8" s="80"/>
      <c r="H8" s="80"/>
      <c r="I8" s="80"/>
      <c r="J8" s="81"/>
    </row>
    <row r="9" spans="1:10" ht="30" customHeight="1" x14ac:dyDescent="0.3">
      <c r="A9" s="9"/>
      <c r="B9" s="69" t="s">
        <v>102</v>
      </c>
      <c r="C9" s="70"/>
      <c r="D9" s="70"/>
      <c r="E9" s="8">
        <v>5</v>
      </c>
      <c r="F9" s="18">
        <v>3.5</v>
      </c>
      <c r="G9" s="22">
        <f>IFERROR(F9/E9,"")</f>
        <v>0.7</v>
      </c>
      <c r="H9" s="2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0"/>
      <c r="J9" s="51"/>
    </row>
    <row r="10" spans="1:10" ht="39.9" customHeight="1" x14ac:dyDescent="0.3">
      <c r="A10" s="9"/>
      <c r="B10" s="69" t="s">
        <v>64</v>
      </c>
      <c r="C10" s="70"/>
      <c r="D10" s="70"/>
      <c r="E10" s="8"/>
      <c r="F10" s="18"/>
      <c r="G10" s="22"/>
      <c r="H10" s="23"/>
      <c r="I10" s="50"/>
      <c r="J10" s="51"/>
    </row>
    <row r="11" spans="1:10" ht="50.1" customHeight="1" x14ac:dyDescent="0.3">
      <c r="A11" s="9"/>
      <c r="B11" s="77" t="s">
        <v>81</v>
      </c>
      <c r="C11" s="78"/>
      <c r="D11" s="78"/>
      <c r="E11" s="8">
        <v>5</v>
      </c>
      <c r="F11" s="18">
        <v>3.5</v>
      </c>
      <c r="G11" s="22">
        <f t="shared" ref="G11:G55" si="0">IFERROR(F11/E11,"")</f>
        <v>0.7</v>
      </c>
      <c r="H11" s="23" t="str">
        <f t="shared" ref="H11:H55" si="1">_xlfn.IFS(F11="أدخل العلامة","",F11="لا ينطبق","تم الإلغاء",G11&gt;=90%,"ممتاز",G11&gt;=80%,"جيد جداً",G11&gt;=70%,"جيد",G11&gt;=60%,"مقبول",G11&lt;60%,"راسب")</f>
        <v>جيد</v>
      </c>
      <c r="I11" s="50"/>
      <c r="J11" s="51"/>
    </row>
    <row r="12" spans="1:10" ht="39.9" customHeight="1" x14ac:dyDescent="0.3">
      <c r="A12" s="9"/>
      <c r="B12" s="77" t="s">
        <v>82</v>
      </c>
      <c r="C12" s="78"/>
      <c r="D12" s="78"/>
      <c r="E12" s="8">
        <v>5</v>
      </c>
      <c r="F12" s="18">
        <v>3.5</v>
      </c>
      <c r="G12" s="22">
        <f t="shared" si="0"/>
        <v>0.7</v>
      </c>
      <c r="H12" s="23" t="str">
        <f t="shared" si="1"/>
        <v>جيد</v>
      </c>
      <c r="I12" s="50"/>
      <c r="J12" s="51"/>
    </row>
    <row r="13" spans="1:10" ht="30" customHeight="1" x14ac:dyDescent="0.3">
      <c r="A13" s="9"/>
      <c r="B13" s="77" t="s">
        <v>83</v>
      </c>
      <c r="C13" s="78"/>
      <c r="D13" s="78"/>
      <c r="E13" s="8">
        <v>5</v>
      </c>
      <c r="F13" s="18">
        <v>4</v>
      </c>
      <c r="G13" s="22">
        <f t="shared" si="0"/>
        <v>0.8</v>
      </c>
      <c r="H13" s="23" t="str">
        <f t="shared" si="1"/>
        <v>جيد جداً</v>
      </c>
      <c r="I13" s="50"/>
      <c r="J13" s="51"/>
    </row>
    <row r="14" spans="1:10" ht="30" customHeight="1" x14ac:dyDescent="0.3">
      <c r="A14" s="9"/>
      <c r="B14" s="77" t="s">
        <v>84</v>
      </c>
      <c r="C14" s="78"/>
      <c r="D14" s="78"/>
      <c r="E14" s="8">
        <v>5</v>
      </c>
      <c r="F14" s="18">
        <v>3</v>
      </c>
      <c r="G14" s="22">
        <f t="shared" si="0"/>
        <v>0.6</v>
      </c>
      <c r="H14" s="23" t="str">
        <f t="shared" si="1"/>
        <v>مقبول</v>
      </c>
      <c r="I14" s="50"/>
      <c r="J14" s="51"/>
    </row>
    <row r="15" spans="1:10" ht="30" customHeight="1" x14ac:dyDescent="0.3">
      <c r="A15" s="9"/>
      <c r="B15" s="77" t="s">
        <v>85</v>
      </c>
      <c r="C15" s="78"/>
      <c r="D15" s="78"/>
      <c r="E15" s="8">
        <v>5</v>
      </c>
      <c r="F15" s="18">
        <v>4</v>
      </c>
      <c r="G15" s="22">
        <f t="shared" si="0"/>
        <v>0.8</v>
      </c>
      <c r="H15" s="23" t="str">
        <f t="shared" si="1"/>
        <v>جيد جداً</v>
      </c>
      <c r="I15" s="50"/>
      <c r="J15" s="51"/>
    </row>
    <row r="16" spans="1:10" ht="50.1" customHeight="1" x14ac:dyDescent="0.3">
      <c r="A16" s="9"/>
      <c r="B16" s="69" t="s">
        <v>65</v>
      </c>
      <c r="C16" s="70"/>
      <c r="D16" s="70"/>
      <c r="E16" s="8">
        <v>5</v>
      </c>
      <c r="F16" s="18">
        <v>4</v>
      </c>
      <c r="G16" s="22">
        <f t="shared" si="0"/>
        <v>0.8</v>
      </c>
      <c r="H16" s="23" t="str">
        <f t="shared" si="1"/>
        <v>جيد جداً</v>
      </c>
      <c r="I16" s="50"/>
      <c r="J16" s="51"/>
    </row>
    <row r="17" spans="1:10" ht="30" customHeight="1" x14ac:dyDescent="0.3">
      <c r="A17" s="9"/>
      <c r="B17" s="69" t="s">
        <v>103</v>
      </c>
      <c r="C17" s="70"/>
      <c r="D17" s="70"/>
      <c r="E17" s="8"/>
      <c r="F17" s="18"/>
      <c r="G17" s="22"/>
      <c r="H17" s="23"/>
      <c r="I17" s="50"/>
      <c r="J17" s="51"/>
    </row>
    <row r="18" spans="1:10" ht="30" customHeight="1" x14ac:dyDescent="0.3">
      <c r="A18" s="9"/>
      <c r="B18" s="77" t="s">
        <v>86</v>
      </c>
      <c r="C18" s="78"/>
      <c r="D18" s="78"/>
      <c r="E18" s="8">
        <v>5</v>
      </c>
      <c r="F18" s="18">
        <v>3.5</v>
      </c>
      <c r="G18" s="22">
        <f t="shared" si="0"/>
        <v>0.7</v>
      </c>
      <c r="H18" s="23" t="str">
        <f t="shared" si="1"/>
        <v>جيد</v>
      </c>
      <c r="I18" s="50"/>
      <c r="J18" s="51"/>
    </row>
    <row r="19" spans="1:10" ht="30" customHeight="1" x14ac:dyDescent="0.3">
      <c r="A19" s="9"/>
      <c r="B19" s="77" t="s">
        <v>87</v>
      </c>
      <c r="C19" s="78"/>
      <c r="D19" s="78"/>
      <c r="E19" s="8">
        <v>5</v>
      </c>
      <c r="F19" s="18">
        <v>3.5</v>
      </c>
      <c r="G19" s="22">
        <f t="shared" si="0"/>
        <v>0.7</v>
      </c>
      <c r="H19" s="23" t="str">
        <f t="shared" si="1"/>
        <v>جيد</v>
      </c>
      <c r="I19" s="50"/>
      <c r="J19" s="51"/>
    </row>
    <row r="20" spans="1:10" ht="30" customHeight="1" x14ac:dyDescent="0.3">
      <c r="A20" s="9"/>
      <c r="B20" s="77" t="s">
        <v>88</v>
      </c>
      <c r="C20" s="78"/>
      <c r="D20" s="78"/>
      <c r="E20" s="8">
        <v>5</v>
      </c>
      <c r="F20" s="18">
        <v>3.5</v>
      </c>
      <c r="G20" s="22">
        <f t="shared" si="0"/>
        <v>0.7</v>
      </c>
      <c r="H20" s="23" t="str">
        <f t="shared" si="1"/>
        <v>جيد</v>
      </c>
      <c r="I20" s="50"/>
      <c r="J20" s="51"/>
    </row>
    <row r="21" spans="1:10" ht="30" customHeight="1" x14ac:dyDescent="0.3">
      <c r="A21" s="9"/>
      <c r="B21" s="69" t="s">
        <v>66</v>
      </c>
      <c r="C21" s="70"/>
      <c r="D21" s="70"/>
      <c r="E21" s="8"/>
      <c r="F21" s="18"/>
      <c r="G21" s="22"/>
      <c r="H21" s="23"/>
      <c r="I21" s="50"/>
      <c r="J21" s="51"/>
    </row>
    <row r="22" spans="1:10" ht="39.9" customHeight="1" x14ac:dyDescent="0.3">
      <c r="A22" s="9"/>
      <c r="B22" s="77" t="s">
        <v>89</v>
      </c>
      <c r="C22" s="78"/>
      <c r="D22" s="78"/>
      <c r="E22" s="8">
        <v>5</v>
      </c>
      <c r="F22" s="18">
        <v>3.5</v>
      </c>
      <c r="G22" s="22">
        <f t="shared" si="0"/>
        <v>0.7</v>
      </c>
      <c r="H22" s="23" t="str">
        <f t="shared" si="1"/>
        <v>جيد</v>
      </c>
      <c r="I22" s="50"/>
      <c r="J22" s="51"/>
    </row>
    <row r="23" spans="1:10" ht="30" customHeight="1" x14ac:dyDescent="0.3">
      <c r="A23" s="9"/>
      <c r="B23" s="77" t="s">
        <v>90</v>
      </c>
      <c r="C23" s="78"/>
      <c r="D23" s="78"/>
      <c r="E23" s="8">
        <v>5</v>
      </c>
      <c r="F23" s="18">
        <v>3.5</v>
      </c>
      <c r="G23" s="22">
        <f t="shared" si="0"/>
        <v>0.7</v>
      </c>
      <c r="H23" s="23" t="str">
        <f t="shared" si="1"/>
        <v>جيد</v>
      </c>
      <c r="I23" s="50"/>
      <c r="J23" s="51"/>
    </row>
    <row r="24" spans="1:10" ht="39.9" customHeight="1" x14ac:dyDescent="0.3">
      <c r="A24" s="9"/>
      <c r="B24" s="77" t="s">
        <v>91</v>
      </c>
      <c r="C24" s="78"/>
      <c r="D24" s="78"/>
      <c r="E24" s="8">
        <v>5</v>
      </c>
      <c r="F24" s="18">
        <v>3.5</v>
      </c>
      <c r="G24" s="22">
        <f t="shared" si="0"/>
        <v>0.7</v>
      </c>
      <c r="H24" s="23" t="str">
        <f t="shared" si="1"/>
        <v>جيد</v>
      </c>
      <c r="I24" s="50"/>
      <c r="J24" s="51"/>
    </row>
    <row r="25" spans="1:10" ht="30" customHeight="1" thickBot="1" x14ac:dyDescent="0.35">
      <c r="A25" s="9"/>
      <c r="B25" s="75" t="s">
        <v>104</v>
      </c>
      <c r="C25" s="76"/>
      <c r="D25" s="76"/>
      <c r="E25" s="28">
        <v>5</v>
      </c>
      <c r="F25" s="19">
        <v>3.5</v>
      </c>
      <c r="G25" s="26">
        <f t="shared" si="0"/>
        <v>0.7</v>
      </c>
      <c r="H25" s="27" t="str">
        <f t="shared" si="1"/>
        <v>جيد</v>
      </c>
      <c r="I25" s="48"/>
      <c r="J25" s="49"/>
    </row>
    <row r="26" spans="1:10" ht="30" customHeight="1" x14ac:dyDescent="0.3">
      <c r="A26" s="9"/>
      <c r="B26" s="79" t="s">
        <v>92</v>
      </c>
      <c r="C26" s="80"/>
      <c r="D26" s="80"/>
      <c r="E26" s="80"/>
      <c r="F26" s="80"/>
      <c r="G26" s="80"/>
      <c r="H26" s="80"/>
      <c r="I26" s="80"/>
      <c r="J26" s="81"/>
    </row>
    <row r="27" spans="1:10" ht="30" customHeight="1" x14ac:dyDescent="0.3">
      <c r="A27" s="9"/>
      <c r="B27" s="69" t="s">
        <v>105</v>
      </c>
      <c r="C27" s="70"/>
      <c r="D27" s="70"/>
      <c r="E27" s="24">
        <v>5</v>
      </c>
      <c r="F27" s="18">
        <v>3.5</v>
      </c>
      <c r="G27" s="22">
        <f t="shared" si="0"/>
        <v>0.7</v>
      </c>
      <c r="H27" s="23" t="str">
        <f t="shared" si="1"/>
        <v>جيد</v>
      </c>
      <c r="I27" s="50"/>
      <c r="J27" s="51"/>
    </row>
    <row r="28" spans="1:10" ht="30" customHeight="1" x14ac:dyDescent="0.3">
      <c r="A28" s="9"/>
      <c r="B28" s="69" t="s">
        <v>67</v>
      </c>
      <c r="C28" s="70"/>
      <c r="D28" s="70"/>
      <c r="E28" s="24">
        <v>5</v>
      </c>
      <c r="F28" s="18">
        <v>3.5</v>
      </c>
      <c r="G28" s="22">
        <f t="shared" si="0"/>
        <v>0.7</v>
      </c>
      <c r="H28" s="23" t="str">
        <f t="shared" si="1"/>
        <v>جيد</v>
      </c>
      <c r="I28" s="50"/>
      <c r="J28" s="51"/>
    </row>
    <row r="29" spans="1:10" ht="30" customHeight="1" x14ac:dyDescent="0.3">
      <c r="A29" s="9"/>
      <c r="B29" s="69" t="s">
        <v>68</v>
      </c>
      <c r="C29" s="70"/>
      <c r="D29" s="70"/>
      <c r="E29" s="24">
        <v>5</v>
      </c>
      <c r="F29" s="18">
        <v>3.5</v>
      </c>
      <c r="G29" s="22">
        <f t="shared" si="0"/>
        <v>0.7</v>
      </c>
      <c r="H29" s="23" t="str">
        <f t="shared" si="1"/>
        <v>جيد</v>
      </c>
      <c r="I29" s="50"/>
      <c r="J29" s="51"/>
    </row>
    <row r="30" spans="1:10" ht="30" customHeight="1" x14ac:dyDescent="0.3">
      <c r="A30" s="9"/>
      <c r="B30" s="69" t="s">
        <v>69</v>
      </c>
      <c r="C30" s="70"/>
      <c r="D30" s="70"/>
      <c r="E30" s="24">
        <v>5</v>
      </c>
      <c r="F30" s="18">
        <v>3.5</v>
      </c>
      <c r="G30" s="22">
        <f t="shared" si="0"/>
        <v>0.7</v>
      </c>
      <c r="H30" s="23" t="str">
        <f t="shared" si="1"/>
        <v>جيد</v>
      </c>
      <c r="I30" s="50"/>
      <c r="J30" s="51"/>
    </row>
    <row r="31" spans="1:10" ht="30" customHeight="1" x14ac:dyDescent="0.3">
      <c r="A31" s="9"/>
      <c r="B31" s="69" t="s">
        <v>70</v>
      </c>
      <c r="C31" s="70"/>
      <c r="D31" s="70"/>
      <c r="E31" s="24">
        <v>5</v>
      </c>
      <c r="F31" s="18">
        <v>3.5</v>
      </c>
      <c r="G31" s="22">
        <f t="shared" si="0"/>
        <v>0.7</v>
      </c>
      <c r="H31" s="23" t="str">
        <f t="shared" si="1"/>
        <v>جيد</v>
      </c>
      <c r="I31" s="50"/>
      <c r="J31" s="51"/>
    </row>
    <row r="32" spans="1:10" ht="39.9" customHeight="1" x14ac:dyDescent="0.3">
      <c r="A32" s="9"/>
      <c r="B32" s="69" t="s">
        <v>106</v>
      </c>
      <c r="C32" s="70"/>
      <c r="D32" s="70"/>
      <c r="E32" s="24">
        <v>5</v>
      </c>
      <c r="F32" s="18">
        <v>3.5</v>
      </c>
      <c r="G32" s="22">
        <f t="shared" si="0"/>
        <v>0.7</v>
      </c>
      <c r="H32" s="23" t="str">
        <f t="shared" si="1"/>
        <v>جيد</v>
      </c>
      <c r="I32" s="50"/>
      <c r="J32" s="51"/>
    </row>
    <row r="33" spans="1:10" ht="30" customHeight="1" x14ac:dyDescent="0.3">
      <c r="A33" s="9"/>
      <c r="B33" s="69" t="s">
        <v>71</v>
      </c>
      <c r="C33" s="70"/>
      <c r="D33" s="70"/>
      <c r="E33" s="24">
        <v>5</v>
      </c>
      <c r="F33" s="18">
        <v>4</v>
      </c>
      <c r="G33" s="22">
        <f t="shared" si="0"/>
        <v>0.8</v>
      </c>
      <c r="H33" s="23" t="str">
        <f t="shared" si="1"/>
        <v>جيد جداً</v>
      </c>
      <c r="I33" s="50"/>
      <c r="J33" s="51"/>
    </row>
    <row r="34" spans="1:10" ht="30" customHeight="1" x14ac:dyDescent="0.3">
      <c r="A34" s="9"/>
      <c r="B34" s="69" t="s">
        <v>72</v>
      </c>
      <c r="C34" s="70"/>
      <c r="D34" s="70"/>
      <c r="E34" s="24">
        <v>5</v>
      </c>
      <c r="F34" s="18">
        <v>3.5</v>
      </c>
      <c r="G34" s="22">
        <f t="shared" si="0"/>
        <v>0.7</v>
      </c>
      <c r="H34" s="23" t="str">
        <f t="shared" si="1"/>
        <v>جيد</v>
      </c>
      <c r="I34" s="50"/>
      <c r="J34" s="51"/>
    </row>
    <row r="35" spans="1:10" ht="39.9" customHeight="1" x14ac:dyDescent="0.3">
      <c r="A35" s="9"/>
      <c r="B35" s="69" t="s">
        <v>73</v>
      </c>
      <c r="C35" s="70"/>
      <c r="D35" s="70"/>
      <c r="E35" s="24">
        <v>5</v>
      </c>
      <c r="F35" s="18">
        <v>4</v>
      </c>
      <c r="G35" s="22">
        <f t="shared" si="0"/>
        <v>0.8</v>
      </c>
      <c r="H35" s="23" t="str">
        <f t="shared" si="1"/>
        <v>جيد جداً</v>
      </c>
      <c r="I35" s="50"/>
      <c r="J35" s="51"/>
    </row>
    <row r="36" spans="1:10" ht="30" customHeight="1" x14ac:dyDescent="0.3">
      <c r="A36" s="9"/>
      <c r="B36" s="69" t="s">
        <v>74</v>
      </c>
      <c r="C36" s="70"/>
      <c r="D36" s="70"/>
      <c r="E36" s="24">
        <v>5</v>
      </c>
      <c r="F36" s="18">
        <v>3.5</v>
      </c>
      <c r="G36" s="22">
        <f t="shared" si="0"/>
        <v>0.7</v>
      </c>
      <c r="H36" s="23" t="str">
        <f t="shared" si="1"/>
        <v>جيد</v>
      </c>
      <c r="I36" s="50"/>
      <c r="J36" s="51"/>
    </row>
    <row r="37" spans="1:10" ht="39.9" customHeight="1" x14ac:dyDescent="0.3">
      <c r="A37" s="9"/>
      <c r="B37" s="69" t="s">
        <v>75</v>
      </c>
      <c r="C37" s="70"/>
      <c r="D37" s="70"/>
      <c r="E37" s="24">
        <v>5</v>
      </c>
      <c r="F37" s="18">
        <v>3.5</v>
      </c>
      <c r="G37" s="22">
        <f t="shared" si="0"/>
        <v>0.7</v>
      </c>
      <c r="H37" s="23" t="str">
        <f t="shared" si="1"/>
        <v>جيد</v>
      </c>
      <c r="I37" s="50"/>
      <c r="J37" s="51"/>
    </row>
    <row r="38" spans="1:10" ht="30" customHeight="1" thickBot="1" x14ac:dyDescent="0.35">
      <c r="A38" s="9"/>
      <c r="B38" s="75" t="s">
        <v>76</v>
      </c>
      <c r="C38" s="76"/>
      <c r="D38" s="76"/>
      <c r="E38" s="25">
        <v>5</v>
      </c>
      <c r="F38" s="19">
        <v>4</v>
      </c>
      <c r="G38" s="26">
        <f t="shared" si="0"/>
        <v>0.8</v>
      </c>
      <c r="H38" s="27" t="str">
        <f t="shared" si="1"/>
        <v>جيد جداً</v>
      </c>
      <c r="I38" s="48"/>
      <c r="J38" s="49"/>
    </row>
    <row r="39" spans="1:10" ht="30" customHeight="1" x14ac:dyDescent="0.3">
      <c r="A39" s="9"/>
      <c r="B39" s="79" t="s">
        <v>93</v>
      </c>
      <c r="C39" s="80"/>
      <c r="D39" s="80"/>
      <c r="E39" s="80"/>
      <c r="F39" s="80"/>
      <c r="G39" s="80"/>
      <c r="H39" s="80"/>
      <c r="I39" s="80"/>
      <c r="J39" s="81"/>
    </row>
    <row r="40" spans="1:10" ht="30" customHeight="1" x14ac:dyDescent="0.3">
      <c r="A40" s="9"/>
      <c r="B40" s="69" t="s">
        <v>107</v>
      </c>
      <c r="C40" s="70"/>
      <c r="D40" s="70"/>
      <c r="E40" s="8"/>
      <c r="F40" s="18"/>
      <c r="G40" s="22"/>
      <c r="H40" s="23"/>
      <c r="I40" s="50"/>
      <c r="J40" s="51"/>
    </row>
    <row r="41" spans="1:10" ht="30" customHeight="1" x14ac:dyDescent="0.3">
      <c r="A41" s="9"/>
      <c r="B41" s="77" t="s">
        <v>94</v>
      </c>
      <c r="C41" s="78"/>
      <c r="D41" s="78"/>
      <c r="E41" s="24">
        <v>5</v>
      </c>
      <c r="F41" s="18">
        <v>4</v>
      </c>
      <c r="G41" s="22">
        <f t="shared" si="0"/>
        <v>0.8</v>
      </c>
      <c r="H41" s="23" t="str">
        <f t="shared" si="1"/>
        <v>جيد جداً</v>
      </c>
      <c r="I41" s="50"/>
      <c r="J41" s="51"/>
    </row>
    <row r="42" spans="1:10" ht="30" customHeight="1" x14ac:dyDescent="0.3">
      <c r="A42" s="9"/>
      <c r="B42" s="77" t="s">
        <v>95</v>
      </c>
      <c r="C42" s="78"/>
      <c r="D42" s="78"/>
      <c r="E42" s="24">
        <v>5</v>
      </c>
      <c r="F42" s="18">
        <v>4</v>
      </c>
      <c r="G42" s="22">
        <f t="shared" si="0"/>
        <v>0.8</v>
      </c>
      <c r="H42" s="23" t="str">
        <f t="shared" si="1"/>
        <v>جيد جداً</v>
      </c>
      <c r="I42" s="50"/>
      <c r="J42" s="51"/>
    </row>
    <row r="43" spans="1:10" ht="30" customHeight="1" x14ac:dyDescent="0.3">
      <c r="A43" s="9"/>
      <c r="B43" s="77" t="s">
        <v>96</v>
      </c>
      <c r="C43" s="78"/>
      <c r="D43" s="78"/>
      <c r="E43" s="24">
        <v>5</v>
      </c>
      <c r="F43" s="18">
        <v>4</v>
      </c>
      <c r="G43" s="22">
        <f t="shared" si="0"/>
        <v>0.8</v>
      </c>
      <c r="H43" s="23" t="str">
        <f t="shared" si="1"/>
        <v>جيد جداً</v>
      </c>
      <c r="I43" s="50"/>
      <c r="J43" s="51"/>
    </row>
    <row r="44" spans="1:10" ht="39.9" customHeight="1" x14ac:dyDescent="0.3">
      <c r="A44" s="9"/>
      <c r="B44" s="77" t="s">
        <v>97</v>
      </c>
      <c r="C44" s="78"/>
      <c r="D44" s="78"/>
      <c r="E44" s="24">
        <v>5</v>
      </c>
      <c r="F44" s="18">
        <v>3.5</v>
      </c>
      <c r="G44" s="22">
        <f t="shared" si="0"/>
        <v>0.7</v>
      </c>
      <c r="H44" s="23" t="str">
        <f t="shared" si="1"/>
        <v>جيد</v>
      </c>
      <c r="I44" s="50"/>
      <c r="J44" s="51"/>
    </row>
    <row r="45" spans="1:10" ht="30" customHeight="1" x14ac:dyDescent="0.3">
      <c r="A45" s="9"/>
      <c r="B45" s="69" t="s">
        <v>108</v>
      </c>
      <c r="C45" s="70"/>
      <c r="D45" s="70"/>
      <c r="E45" s="8"/>
      <c r="F45" s="18"/>
      <c r="G45" s="22"/>
      <c r="H45" s="23"/>
      <c r="I45" s="50"/>
      <c r="J45" s="51"/>
    </row>
    <row r="46" spans="1:10" ht="30" customHeight="1" x14ac:dyDescent="0.3">
      <c r="A46" s="9"/>
      <c r="B46" s="77" t="s">
        <v>98</v>
      </c>
      <c r="C46" s="78"/>
      <c r="D46" s="78"/>
      <c r="E46" s="24">
        <v>5</v>
      </c>
      <c r="F46" s="18">
        <v>4</v>
      </c>
      <c r="G46" s="22">
        <f t="shared" si="0"/>
        <v>0.8</v>
      </c>
      <c r="H46" s="23" t="str">
        <f t="shared" si="1"/>
        <v>جيد جداً</v>
      </c>
      <c r="I46" s="50"/>
      <c r="J46" s="51"/>
    </row>
    <row r="47" spans="1:10" ht="30" customHeight="1" x14ac:dyDescent="0.3">
      <c r="A47" s="9"/>
      <c r="B47" s="77" t="s">
        <v>99</v>
      </c>
      <c r="C47" s="78"/>
      <c r="D47" s="78"/>
      <c r="E47" s="24">
        <v>5</v>
      </c>
      <c r="F47" s="18">
        <v>4</v>
      </c>
      <c r="G47" s="22">
        <f t="shared" si="0"/>
        <v>0.8</v>
      </c>
      <c r="H47" s="23" t="str">
        <f t="shared" si="1"/>
        <v>جيد جداً</v>
      </c>
      <c r="I47" s="50"/>
      <c r="J47" s="51"/>
    </row>
    <row r="48" spans="1:10" ht="30" customHeight="1" x14ac:dyDescent="0.3">
      <c r="A48" s="9"/>
      <c r="B48" s="77" t="s">
        <v>100</v>
      </c>
      <c r="C48" s="78"/>
      <c r="D48" s="78"/>
      <c r="E48" s="24">
        <v>5</v>
      </c>
      <c r="F48" s="18">
        <v>4</v>
      </c>
      <c r="G48" s="22">
        <f t="shared" si="0"/>
        <v>0.8</v>
      </c>
      <c r="H48" s="23" t="str">
        <f t="shared" si="1"/>
        <v>جيد جداً</v>
      </c>
      <c r="I48" s="50"/>
      <c r="J48" s="51"/>
    </row>
    <row r="49" spans="1:10" ht="50.1" customHeight="1" x14ac:dyDescent="0.3">
      <c r="A49" s="9"/>
      <c r="B49" s="77" t="s">
        <v>101</v>
      </c>
      <c r="C49" s="78"/>
      <c r="D49" s="78"/>
      <c r="E49" s="24">
        <v>5</v>
      </c>
      <c r="F49" s="18">
        <v>3.5</v>
      </c>
      <c r="G49" s="22">
        <f t="shared" si="0"/>
        <v>0.7</v>
      </c>
      <c r="H49" s="23" t="str">
        <f t="shared" si="1"/>
        <v>جيد</v>
      </c>
      <c r="I49" s="50"/>
      <c r="J49" s="51"/>
    </row>
    <row r="50" spans="1:10" ht="39.9" customHeight="1" x14ac:dyDescent="0.3">
      <c r="A50" s="9"/>
      <c r="B50" s="69" t="s">
        <v>77</v>
      </c>
      <c r="C50" s="70"/>
      <c r="D50" s="70"/>
      <c r="E50" s="24">
        <v>5</v>
      </c>
      <c r="F50" s="18">
        <v>3.5</v>
      </c>
      <c r="G50" s="22">
        <f t="shared" si="0"/>
        <v>0.7</v>
      </c>
      <c r="H50" s="23" t="str">
        <f t="shared" si="1"/>
        <v>جيد</v>
      </c>
      <c r="I50" s="50"/>
      <c r="J50" s="51"/>
    </row>
    <row r="51" spans="1:10" ht="39.9" customHeight="1" x14ac:dyDescent="0.3">
      <c r="A51" s="9"/>
      <c r="B51" s="69" t="s">
        <v>109</v>
      </c>
      <c r="C51" s="70"/>
      <c r="D51" s="70"/>
      <c r="E51" s="24">
        <v>5</v>
      </c>
      <c r="F51" s="18">
        <v>3.5</v>
      </c>
      <c r="G51" s="22">
        <f t="shared" si="0"/>
        <v>0.7</v>
      </c>
      <c r="H51" s="23" t="str">
        <f t="shared" si="1"/>
        <v>جيد</v>
      </c>
      <c r="I51" s="50"/>
      <c r="J51" s="51"/>
    </row>
    <row r="52" spans="1:10" ht="30" customHeight="1" x14ac:dyDescent="0.3">
      <c r="A52" s="9"/>
      <c r="B52" s="69" t="s">
        <v>78</v>
      </c>
      <c r="C52" s="70"/>
      <c r="D52" s="70"/>
      <c r="E52" s="24">
        <v>5</v>
      </c>
      <c r="F52" s="18">
        <v>3.5</v>
      </c>
      <c r="G52" s="22">
        <f t="shared" si="0"/>
        <v>0.7</v>
      </c>
      <c r="H52" s="23" t="str">
        <f t="shared" si="1"/>
        <v>جيد</v>
      </c>
      <c r="I52" s="50"/>
      <c r="J52" s="51"/>
    </row>
    <row r="53" spans="1:10" ht="39.9" customHeight="1" x14ac:dyDescent="0.3">
      <c r="A53" s="9"/>
      <c r="B53" s="69" t="s">
        <v>110</v>
      </c>
      <c r="C53" s="70"/>
      <c r="D53" s="70"/>
      <c r="E53" s="24">
        <v>5</v>
      </c>
      <c r="F53" s="18">
        <v>3.5</v>
      </c>
      <c r="G53" s="22">
        <f t="shared" si="0"/>
        <v>0.7</v>
      </c>
      <c r="H53" s="23" t="str">
        <f t="shared" si="1"/>
        <v>جيد</v>
      </c>
      <c r="I53" s="50"/>
      <c r="J53" s="51"/>
    </row>
    <row r="54" spans="1:10" ht="39.9" customHeight="1" x14ac:dyDescent="0.3">
      <c r="A54" s="9"/>
      <c r="B54" s="69" t="s">
        <v>111</v>
      </c>
      <c r="C54" s="70"/>
      <c r="D54" s="70"/>
      <c r="E54" s="24">
        <v>5</v>
      </c>
      <c r="F54" s="18">
        <v>3.5</v>
      </c>
      <c r="G54" s="22">
        <f t="shared" si="0"/>
        <v>0.7</v>
      </c>
      <c r="H54" s="23" t="str">
        <f t="shared" si="1"/>
        <v>جيد</v>
      </c>
      <c r="I54" s="50"/>
      <c r="J54" s="51"/>
    </row>
    <row r="55" spans="1:10" ht="39.9" customHeight="1" thickBot="1" x14ac:dyDescent="0.35">
      <c r="A55" s="9"/>
      <c r="B55" s="75" t="s">
        <v>79</v>
      </c>
      <c r="C55" s="76"/>
      <c r="D55" s="76"/>
      <c r="E55" s="25">
        <v>5</v>
      </c>
      <c r="F55" s="19">
        <v>3.5</v>
      </c>
      <c r="G55" s="26">
        <f t="shared" si="0"/>
        <v>0.7</v>
      </c>
      <c r="H55" s="27" t="str">
        <f t="shared" si="1"/>
        <v>جيد</v>
      </c>
      <c r="I55" s="48"/>
      <c r="J55" s="49"/>
    </row>
    <row r="56" spans="1:10" ht="30" customHeight="1" thickBot="1" x14ac:dyDescent="0.35">
      <c r="A56" s="4"/>
      <c r="B56" s="71" t="s">
        <v>5</v>
      </c>
      <c r="C56" s="72"/>
      <c r="D56" s="72"/>
      <c r="E56" s="21">
        <f>SUM(E8:E55)</f>
        <v>200</v>
      </c>
      <c r="F56" s="21">
        <f>SUM(F8:F55)</f>
        <v>145.5</v>
      </c>
      <c r="G56" s="66"/>
      <c r="H56" s="67"/>
      <c r="I56" s="67"/>
      <c r="J56" s="68"/>
    </row>
    <row r="57" spans="1:10" ht="30" customHeight="1" thickBot="1" x14ac:dyDescent="0.35">
      <c r="A57" s="4"/>
      <c r="B57" s="73" t="s">
        <v>54</v>
      </c>
      <c r="C57" s="74"/>
      <c r="D57" s="74"/>
      <c r="E57" s="44">
        <f>F56/E56/100*100</f>
        <v>0.72750000000000004</v>
      </c>
      <c r="F57" s="44"/>
      <c r="G57" s="44"/>
      <c r="H57" s="44"/>
      <c r="I57" s="44"/>
      <c r="J57" s="45"/>
    </row>
    <row r="58" spans="1:10" ht="30" customHeight="1" thickBot="1" x14ac:dyDescent="0.35">
      <c r="A58" s="4"/>
      <c r="B58" s="73" t="s">
        <v>55</v>
      </c>
      <c r="C58" s="74"/>
      <c r="D58" s="74"/>
      <c r="E58" s="62" t="str">
        <f>_xlfn.IFS(E57&gt;=90%,"ممتاز",E57&gt;=80%,"جيد جداً",E57&gt;=70%,"جيد",E57&gt;=60%,"مقبول",E57&lt;60%,"راسب")</f>
        <v>جيد</v>
      </c>
      <c r="F58" s="62"/>
      <c r="G58" s="62"/>
      <c r="H58" s="62"/>
      <c r="I58" s="62"/>
      <c r="J58" s="63"/>
    </row>
    <row r="59" spans="1:10" ht="42" customHeight="1" x14ac:dyDescent="0.3">
      <c r="B59" s="58" t="s">
        <v>63</v>
      </c>
      <c r="C59" s="58"/>
      <c r="D59" s="58"/>
      <c r="E59" s="64" t="s">
        <v>52</v>
      </c>
      <c r="F59" s="64"/>
      <c r="G59" s="60" t="s">
        <v>59</v>
      </c>
      <c r="H59" s="60"/>
      <c r="I59" s="60"/>
      <c r="J59" s="60"/>
    </row>
    <row r="60" spans="1:10" ht="51" customHeight="1" x14ac:dyDescent="0.3">
      <c r="A60" s="5"/>
      <c r="B60" s="59"/>
      <c r="C60" s="59"/>
      <c r="D60" s="59"/>
      <c r="E60" s="65" t="s">
        <v>53</v>
      </c>
      <c r="F60" s="65"/>
      <c r="G60" s="61"/>
      <c r="H60" s="61"/>
      <c r="I60" s="61"/>
      <c r="J60" s="61"/>
    </row>
    <row r="61" spans="1:10" ht="17.399999999999999" x14ac:dyDescent="0.3">
      <c r="G61" s="61"/>
      <c r="H61" s="61"/>
      <c r="I61" s="61"/>
      <c r="J61" s="61"/>
    </row>
    <row r="62" spans="1:10" ht="17.399999999999999" x14ac:dyDescent="0.3">
      <c r="G62" s="61"/>
      <c r="H62" s="61"/>
      <c r="I62" s="61"/>
      <c r="J62" s="61"/>
    </row>
    <row r="63" spans="1:10" ht="17.399999999999999" x14ac:dyDescent="0.3">
      <c r="G63" s="61"/>
      <c r="H63" s="61"/>
      <c r="I63" s="61"/>
      <c r="J63" s="61"/>
    </row>
    <row r="64" spans="1:10" ht="17.399999999999999" x14ac:dyDescent="0.3">
      <c r="G64" s="61"/>
      <c r="H64" s="61"/>
      <c r="I64" s="61"/>
      <c r="J64" s="61"/>
    </row>
    <row r="65" spans="7:10" ht="17.399999999999999" x14ac:dyDescent="0.3">
      <c r="G65" s="61"/>
      <c r="H65" s="61"/>
      <c r="I65" s="61"/>
      <c r="J65" s="61"/>
    </row>
    <row r="66" spans="7:10" ht="17.399999999999999" x14ac:dyDescent="0.3">
      <c r="G66" s="61"/>
      <c r="H66" s="61"/>
      <c r="I66" s="61"/>
      <c r="J66" s="61"/>
    </row>
    <row r="67" spans="7:10" ht="17.399999999999999" x14ac:dyDescent="0.3">
      <c r="G67" s="61"/>
      <c r="H67" s="61"/>
      <c r="I67" s="61"/>
      <c r="J67" s="61"/>
    </row>
    <row r="68" spans="7:10" ht="17.399999999999999" x14ac:dyDescent="0.3">
      <c r="G68" s="61"/>
      <c r="H68" s="61"/>
      <c r="I68" s="61"/>
      <c r="J68" s="61"/>
    </row>
    <row r="69" spans="7:10" ht="17.399999999999999" x14ac:dyDescent="0.3">
      <c r="G69" s="61"/>
      <c r="H69" s="61"/>
      <c r="I69" s="61"/>
      <c r="J69" s="61"/>
    </row>
    <row r="70" spans="7:10" ht="17.399999999999999" x14ac:dyDescent="0.3">
      <c r="G70" s="61"/>
      <c r="H70" s="61"/>
      <c r="I70" s="61"/>
      <c r="J70" s="61"/>
    </row>
    <row r="71" spans="7:10" ht="17.399999999999999" x14ac:dyDescent="0.3">
      <c r="G71" s="61"/>
      <c r="H71" s="61"/>
      <c r="I71" s="61"/>
      <c r="J71" s="61"/>
    </row>
    <row r="72" spans="7:10" ht="17.399999999999999" x14ac:dyDescent="0.3">
      <c r="G72" s="61"/>
      <c r="H72" s="61"/>
      <c r="I72" s="61"/>
      <c r="J72" s="61"/>
    </row>
    <row r="73" spans="7:10" ht="17.399999999999999" x14ac:dyDescent="0.3">
      <c r="G73" s="61"/>
      <c r="H73" s="61"/>
      <c r="I73" s="61"/>
      <c r="J73" s="61"/>
    </row>
    <row r="74" spans="7:10" ht="17.399999999999999" x14ac:dyDescent="0.3">
      <c r="G74" s="61"/>
      <c r="H74" s="61"/>
      <c r="I74" s="61"/>
      <c r="J74" s="61"/>
    </row>
    <row r="75" spans="7:10" ht="17.399999999999999" x14ac:dyDescent="0.3">
      <c r="G75" s="61"/>
      <c r="H75" s="61"/>
      <c r="I75" s="61"/>
      <c r="J75" s="61"/>
    </row>
  </sheetData>
  <sheetProtection formatCells="0" formatColumns="0" formatRows="0" insertColumns="0" insertRows="0" insertHyperlinks="0" deleteColumns="0" deleteRows="0" selectLockedCells="1" sort="0" autoFilter="0" pivotTables="0"/>
  <mergeCells count="130">
    <mergeCell ref="F4:J4"/>
    <mergeCell ref="G70:J70"/>
    <mergeCell ref="G71:J71"/>
    <mergeCell ref="G72:J72"/>
    <mergeCell ref="G73:J73"/>
    <mergeCell ref="G74:J74"/>
    <mergeCell ref="G75:J75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B8:J8"/>
    <mergeCell ref="B26:J26"/>
    <mergeCell ref="B39:J39"/>
    <mergeCell ref="B44:D44"/>
    <mergeCell ref="B45:D45"/>
    <mergeCell ref="B46:D46"/>
    <mergeCell ref="B47:D47"/>
    <mergeCell ref="B48:D48"/>
    <mergeCell ref="B49:D49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50:D50"/>
    <mergeCell ref="B51:D51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F11:F16 F41:F44 F27:F38 F46:F55 F22:F25 F18:F20 F9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72" workbookViewId="0">
      <selection activeCell="A199" sqref="A199:A28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9" t="s">
        <v>112</v>
      </c>
    </row>
    <row r="3" spans="1:3" ht="20.100000000000001" customHeight="1" thickBot="1" x14ac:dyDescent="0.35">
      <c r="A3" s="2" t="s">
        <v>26</v>
      </c>
      <c r="C3" s="29" t="s">
        <v>113</v>
      </c>
    </row>
    <row r="4" spans="1:3" ht="20.100000000000001" customHeight="1" thickBot="1" x14ac:dyDescent="0.35">
      <c r="A4" s="2" t="s">
        <v>36</v>
      </c>
      <c r="C4" s="29" t="s">
        <v>114</v>
      </c>
    </row>
    <row r="5" spans="1:3" ht="20.100000000000001" customHeight="1" thickBot="1" x14ac:dyDescent="0.35">
      <c r="A5" s="2" t="s">
        <v>37</v>
      </c>
      <c r="C5" s="29" t="s">
        <v>115</v>
      </c>
    </row>
    <row r="6" spans="1:3" ht="20.100000000000001" customHeight="1" thickBot="1" x14ac:dyDescent="0.35">
      <c r="A6" s="2" t="s">
        <v>38</v>
      </c>
      <c r="C6" s="29" t="s">
        <v>116</v>
      </c>
    </row>
    <row r="7" spans="1:3" ht="20.100000000000001" customHeight="1" thickBot="1" x14ac:dyDescent="0.35">
      <c r="A7" s="2" t="s">
        <v>39</v>
      </c>
      <c r="C7" s="29" t="s">
        <v>117</v>
      </c>
    </row>
    <row r="8" spans="1:3" ht="20.100000000000001" customHeight="1" thickBot="1" x14ac:dyDescent="0.35">
      <c r="A8" s="2" t="s">
        <v>40</v>
      </c>
      <c r="C8" s="29" t="s">
        <v>118</v>
      </c>
    </row>
    <row r="9" spans="1:3" ht="20.100000000000001" customHeight="1" thickBot="1" x14ac:dyDescent="0.35">
      <c r="A9" s="2" t="s">
        <v>41</v>
      </c>
      <c r="C9" s="29" t="s">
        <v>119</v>
      </c>
    </row>
    <row r="10" spans="1:3" ht="20.100000000000001" customHeight="1" thickBot="1" x14ac:dyDescent="0.35">
      <c r="A10" s="2" t="s">
        <v>42</v>
      </c>
      <c r="C10" s="29" t="s">
        <v>120</v>
      </c>
    </row>
    <row r="11" spans="1:3" ht="20.100000000000001" customHeight="1" thickBot="1" x14ac:dyDescent="0.35">
      <c r="A11" s="2" t="s">
        <v>43</v>
      </c>
      <c r="C11" s="29" t="s">
        <v>121</v>
      </c>
    </row>
    <row r="12" spans="1:3" ht="20.100000000000001" customHeight="1" thickBot="1" x14ac:dyDescent="0.35">
      <c r="A12" s="2" t="s">
        <v>44</v>
      </c>
      <c r="C12" s="29" t="s">
        <v>122</v>
      </c>
    </row>
    <row r="13" spans="1:3" ht="20.100000000000001" customHeight="1" thickBot="1" x14ac:dyDescent="0.35">
      <c r="A13" s="2" t="s">
        <v>45</v>
      </c>
      <c r="C13" s="29" t="s">
        <v>123</v>
      </c>
    </row>
    <row r="14" spans="1:3" ht="20.100000000000001" customHeight="1" thickBot="1" x14ac:dyDescent="0.35">
      <c r="A14" s="2" t="s">
        <v>46</v>
      </c>
      <c r="C14" s="29" t="s">
        <v>124</v>
      </c>
    </row>
    <row r="15" spans="1:3" ht="20.100000000000001" customHeight="1" thickBot="1" x14ac:dyDescent="0.35">
      <c r="A15" s="2" t="s">
        <v>47</v>
      </c>
      <c r="C15" s="29" t="s">
        <v>125</v>
      </c>
    </row>
    <row r="16" spans="1:3" ht="20.100000000000001" customHeight="1" thickBot="1" x14ac:dyDescent="0.35">
      <c r="A16" s="2" t="s">
        <v>10</v>
      </c>
      <c r="C16" s="29" t="s">
        <v>126</v>
      </c>
    </row>
    <row r="17" spans="1:3" ht="20.100000000000001" customHeight="1" thickBot="1" x14ac:dyDescent="0.35">
      <c r="A17" s="2" t="s">
        <v>27</v>
      </c>
      <c r="C17" s="29" t="s">
        <v>127</v>
      </c>
    </row>
    <row r="18" spans="1:3" ht="20.100000000000001" customHeight="1" thickBot="1" x14ac:dyDescent="0.35">
      <c r="A18" s="2" t="s">
        <v>48</v>
      </c>
      <c r="C18" s="29" t="s">
        <v>128</v>
      </c>
    </row>
    <row r="19" spans="1:3" ht="20.100000000000001" customHeight="1" thickBot="1" x14ac:dyDescent="0.35">
      <c r="A19" s="2" t="s">
        <v>49</v>
      </c>
      <c r="C19" s="29" t="s">
        <v>129</v>
      </c>
    </row>
    <row r="20" spans="1:3" ht="20.100000000000001" customHeight="1" thickBot="1" x14ac:dyDescent="0.35">
      <c r="A20" s="2" t="s">
        <v>50</v>
      </c>
      <c r="C20" s="29" t="s">
        <v>130</v>
      </c>
    </row>
    <row r="21" spans="1:3" ht="20.100000000000001" customHeight="1" thickBot="1" x14ac:dyDescent="0.35">
      <c r="A21" s="2" t="s">
        <v>51</v>
      </c>
      <c r="C21" s="29" t="s">
        <v>131</v>
      </c>
    </row>
    <row r="22" spans="1:3" ht="20.100000000000001" customHeight="1" thickBot="1" x14ac:dyDescent="0.35">
      <c r="A22" s="2" t="s">
        <v>11</v>
      </c>
      <c r="C22" s="29" t="s">
        <v>132</v>
      </c>
    </row>
    <row r="23" spans="1:3" ht="20.100000000000001" customHeight="1" thickBot="1" x14ac:dyDescent="0.35">
      <c r="A23" s="2" t="s">
        <v>12</v>
      </c>
      <c r="C23" s="29" t="s">
        <v>133</v>
      </c>
    </row>
    <row r="24" spans="1:3" ht="20.100000000000001" customHeight="1" thickBot="1" x14ac:dyDescent="0.35">
      <c r="A24" s="2" t="s">
        <v>15</v>
      </c>
      <c r="C24" s="29" t="s">
        <v>134</v>
      </c>
    </row>
    <row r="25" spans="1:3" ht="20.100000000000001" customHeight="1" thickBot="1" x14ac:dyDescent="0.35">
      <c r="A25" s="2" t="s">
        <v>28</v>
      </c>
      <c r="C25" s="29" t="s">
        <v>135</v>
      </c>
    </row>
    <row r="26" spans="1:3" ht="20.100000000000001" customHeight="1" thickBot="1" x14ac:dyDescent="0.35">
      <c r="A26" s="2" t="s">
        <v>29</v>
      </c>
      <c r="C26" s="29" t="s">
        <v>136</v>
      </c>
    </row>
    <row r="27" spans="1:3" ht="20.100000000000001" customHeight="1" thickBot="1" x14ac:dyDescent="0.35">
      <c r="A27" s="2" t="s">
        <v>13</v>
      </c>
      <c r="C27" s="29" t="s">
        <v>137</v>
      </c>
    </row>
    <row r="28" spans="1:3" ht="20.100000000000001" customHeight="1" thickBot="1" x14ac:dyDescent="0.35">
      <c r="A28" s="2" t="s">
        <v>30</v>
      </c>
      <c r="C28" s="29" t="s">
        <v>138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30" t="s">
        <v>139</v>
      </c>
    </row>
    <row r="200" spans="1:1" ht="20.100000000000001" customHeight="1" x14ac:dyDescent="0.3">
      <c r="A200" s="30" t="s">
        <v>140</v>
      </c>
    </row>
    <row r="201" spans="1:1" ht="20.100000000000001" customHeight="1" x14ac:dyDescent="0.3">
      <c r="A201" s="30" t="s">
        <v>141</v>
      </c>
    </row>
    <row r="202" spans="1:1" ht="20.100000000000001" customHeight="1" x14ac:dyDescent="0.3">
      <c r="A202" s="30" t="s">
        <v>142</v>
      </c>
    </row>
    <row r="203" spans="1:1" ht="20.100000000000001" customHeight="1" x14ac:dyDescent="0.3">
      <c r="A203" s="30" t="s">
        <v>143</v>
      </c>
    </row>
    <row r="204" spans="1:1" ht="20.100000000000001" customHeight="1" x14ac:dyDescent="0.3">
      <c r="A204" s="30" t="s">
        <v>144</v>
      </c>
    </row>
    <row r="205" spans="1:1" ht="20.100000000000001" customHeight="1" x14ac:dyDescent="0.3">
      <c r="A205" s="30" t="s">
        <v>145</v>
      </c>
    </row>
    <row r="206" spans="1:1" ht="20.100000000000001" customHeight="1" x14ac:dyDescent="0.3">
      <c r="A206" s="30" t="s">
        <v>146</v>
      </c>
    </row>
    <row r="207" spans="1:1" ht="20.100000000000001" customHeight="1" x14ac:dyDescent="0.3">
      <c r="A207" s="30" t="s">
        <v>147</v>
      </c>
    </row>
    <row r="208" spans="1:1" ht="20.100000000000001" customHeight="1" x14ac:dyDescent="0.3">
      <c r="A208" s="31" t="s">
        <v>148</v>
      </c>
    </row>
    <row r="209" spans="1:1" ht="20.100000000000001" customHeight="1" x14ac:dyDescent="0.3">
      <c r="A209" s="31" t="s">
        <v>149</v>
      </c>
    </row>
    <row r="210" spans="1:1" ht="20.100000000000001" customHeight="1" x14ac:dyDescent="0.3">
      <c r="A210" s="30" t="s">
        <v>150</v>
      </c>
    </row>
    <row r="211" spans="1:1" ht="20.100000000000001" customHeight="1" x14ac:dyDescent="0.3">
      <c r="A211" s="30" t="s">
        <v>151</v>
      </c>
    </row>
    <row r="212" spans="1:1" ht="20.100000000000001" customHeight="1" x14ac:dyDescent="0.3">
      <c r="A212" s="30" t="s">
        <v>152</v>
      </c>
    </row>
    <row r="213" spans="1:1" ht="20.100000000000001" customHeight="1" x14ac:dyDescent="0.3">
      <c r="A213" s="30" t="s">
        <v>153</v>
      </c>
    </row>
    <row r="214" spans="1:1" ht="20.100000000000001" customHeight="1" x14ac:dyDescent="0.3">
      <c r="A214" s="30" t="s">
        <v>154</v>
      </c>
    </row>
    <row r="215" spans="1:1" ht="20.100000000000001" customHeight="1" x14ac:dyDescent="0.3">
      <c r="A215" s="30" t="s">
        <v>155</v>
      </c>
    </row>
    <row r="216" spans="1:1" ht="20.100000000000001" customHeight="1" x14ac:dyDescent="0.3">
      <c r="A216" s="30" t="s">
        <v>156</v>
      </c>
    </row>
    <row r="217" spans="1:1" ht="20.100000000000001" customHeight="1" x14ac:dyDescent="0.3">
      <c r="A217" s="30" t="s">
        <v>157</v>
      </c>
    </row>
    <row r="218" spans="1:1" ht="20.100000000000001" customHeight="1" x14ac:dyDescent="0.3">
      <c r="A218" s="30" t="s">
        <v>158</v>
      </c>
    </row>
    <row r="219" spans="1:1" ht="20.100000000000001" customHeight="1" x14ac:dyDescent="0.3">
      <c r="A219" s="30" t="s">
        <v>159</v>
      </c>
    </row>
    <row r="220" spans="1:1" ht="20.100000000000001" customHeight="1" x14ac:dyDescent="0.3">
      <c r="A220" s="30" t="s">
        <v>160</v>
      </c>
    </row>
    <row r="221" spans="1:1" ht="20.100000000000001" customHeight="1" x14ac:dyDescent="0.3">
      <c r="A221" s="30" t="s">
        <v>161</v>
      </c>
    </row>
    <row r="222" spans="1:1" ht="20.100000000000001" customHeight="1" x14ac:dyDescent="0.3">
      <c r="A222" s="30" t="s">
        <v>162</v>
      </c>
    </row>
    <row r="223" spans="1:1" ht="20.100000000000001" customHeight="1" x14ac:dyDescent="0.3">
      <c r="A223" s="30" t="s">
        <v>163</v>
      </c>
    </row>
    <row r="224" spans="1:1" ht="20.100000000000001" customHeight="1" x14ac:dyDescent="0.3">
      <c r="A224" s="30" t="s">
        <v>164</v>
      </c>
    </row>
    <row r="225" spans="1:1" ht="20.100000000000001" customHeight="1" x14ac:dyDescent="0.3">
      <c r="A225" s="30" t="s">
        <v>165</v>
      </c>
    </row>
    <row r="226" spans="1:1" ht="20.100000000000001" customHeight="1" x14ac:dyDescent="0.3">
      <c r="A226" s="30" t="s">
        <v>166</v>
      </c>
    </row>
    <row r="227" spans="1:1" ht="20.100000000000001" customHeight="1" x14ac:dyDescent="0.3">
      <c r="A227" s="30" t="s">
        <v>167</v>
      </c>
    </row>
    <row r="228" spans="1:1" ht="20.100000000000001" customHeight="1" x14ac:dyDescent="0.3">
      <c r="A228" s="30" t="s">
        <v>168</v>
      </c>
    </row>
    <row r="229" spans="1:1" ht="20.100000000000001" customHeight="1" x14ac:dyDescent="0.3">
      <c r="A229" s="30" t="s">
        <v>169</v>
      </c>
    </row>
    <row r="230" spans="1:1" ht="20.100000000000001" customHeight="1" x14ac:dyDescent="0.3">
      <c r="A230" s="30" t="s">
        <v>170</v>
      </c>
    </row>
    <row r="231" spans="1:1" ht="20.100000000000001" customHeight="1" x14ac:dyDescent="0.3">
      <c r="A231" s="30" t="s">
        <v>171</v>
      </c>
    </row>
    <row r="232" spans="1:1" ht="20.100000000000001" customHeight="1" x14ac:dyDescent="0.3">
      <c r="A232" s="30" t="s">
        <v>172</v>
      </c>
    </row>
    <row r="233" spans="1:1" ht="20.100000000000001" customHeight="1" x14ac:dyDescent="0.3">
      <c r="A233" s="30" t="s">
        <v>173</v>
      </c>
    </row>
    <row r="234" spans="1:1" ht="20.100000000000001" customHeight="1" x14ac:dyDescent="0.3">
      <c r="A234" s="30" t="s">
        <v>174</v>
      </c>
    </row>
    <row r="235" spans="1:1" ht="20.100000000000001" customHeight="1" x14ac:dyDescent="0.3">
      <c r="A235" s="32" t="s">
        <v>175</v>
      </c>
    </row>
    <row r="236" spans="1:1" ht="20.100000000000001" customHeight="1" x14ac:dyDescent="0.3">
      <c r="A236" s="30" t="s">
        <v>176</v>
      </c>
    </row>
    <row r="237" spans="1:1" ht="20.100000000000001" customHeight="1" x14ac:dyDescent="0.3">
      <c r="A237" s="30" t="s">
        <v>177</v>
      </c>
    </row>
    <row r="238" spans="1:1" ht="20.100000000000001" customHeight="1" x14ac:dyDescent="0.3">
      <c r="A238" s="30" t="s">
        <v>178</v>
      </c>
    </row>
    <row r="239" spans="1:1" ht="20.100000000000001" customHeight="1" x14ac:dyDescent="0.3">
      <c r="A239" s="30" t="s">
        <v>179</v>
      </c>
    </row>
    <row r="240" spans="1:1" ht="20.100000000000001" customHeight="1" x14ac:dyDescent="0.3">
      <c r="A240" s="30" t="s">
        <v>180</v>
      </c>
    </row>
    <row r="241" spans="1:1" ht="20.100000000000001" customHeight="1" x14ac:dyDescent="0.3">
      <c r="A241" s="30" t="s">
        <v>181</v>
      </c>
    </row>
    <row r="242" spans="1:1" ht="20.100000000000001" customHeight="1" x14ac:dyDescent="0.3">
      <c r="A242" s="30" t="s">
        <v>182</v>
      </c>
    </row>
    <row r="243" spans="1:1" ht="20.100000000000001" customHeight="1" x14ac:dyDescent="0.3">
      <c r="A243" s="30" t="s">
        <v>183</v>
      </c>
    </row>
    <row r="244" spans="1:1" ht="20.100000000000001" customHeight="1" x14ac:dyDescent="0.3">
      <c r="A244" s="30" t="s">
        <v>184</v>
      </c>
    </row>
    <row r="245" spans="1:1" ht="20.100000000000001" customHeight="1" x14ac:dyDescent="0.3">
      <c r="A245" s="30" t="s">
        <v>185</v>
      </c>
    </row>
    <row r="246" spans="1:1" ht="20.100000000000001" customHeight="1" x14ac:dyDescent="0.3">
      <c r="A246" s="30" t="s">
        <v>186</v>
      </c>
    </row>
    <row r="247" spans="1:1" ht="20.100000000000001" customHeight="1" x14ac:dyDescent="0.3">
      <c r="A247" s="30" t="s">
        <v>177</v>
      </c>
    </row>
    <row r="248" spans="1:1" ht="20.100000000000001" customHeight="1" x14ac:dyDescent="0.3">
      <c r="A248" s="30" t="s">
        <v>187</v>
      </c>
    </row>
    <row r="249" spans="1:1" ht="20.100000000000001" customHeight="1" x14ac:dyDescent="0.3">
      <c r="A249" s="30" t="s">
        <v>188</v>
      </c>
    </row>
    <row r="250" spans="1:1" ht="20.100000000000001" customHeight="1" x14ac:dyDescent="0.3">
      <c r="A250" s="32" t="s">
        <v>189</v>
      </c>
    </row>
    <row r="251" spans="1:1" ht="20.100000000000001" customHeight="1" x14ac:dyDescent="0.3">
      <c r="A251" s="33" t="s">
        <v>190</v>
      </c>
    </row>
    <row r="252" spans="1:1" ht="20.100000000000001" customHeight="1" x14ac:dyDescent="0.3">
      <c r="A252" s="30" t="s">
        <v>191</v>
      </c>
    </row>
    <row r="253" spans="1:1" ht="20.100000000000001" customHeight="1" x14ac:dyDescent="0.3">
      <c r="A253" s="30" t="s">
        <v>192</v>
      </c>
    </row>
    <row r="254" spans="1:1" ht="20.100000000000001" customHeight="1" x14ac:dyDescent="0.3">
      <c r="A254" s="34" t="s">
        <v>193</v>
      </c>
    </row>
    <row r="255" spans="1:1" ht="20.100000000000001" customHeight="1" x14ac:dyDescent="0.3">
      <c r="A255" s="34" t="s">
        <v>194</v>
      </c>
    </row>
    <row r="256" spans="1:1" ht="20.100000000000001" customHeight="1" x14ac:dyDescent="0.3">
      <c r="A256" s="35" t="s">
        <v>195</v>
      </c>
    </row>
    <row r="257" spans="1:1" ht="20.100000000000001" customHeight="1" x14ac:dyDescent="0.3">
      <c r="A257" s="30" t="s">
        <v>196</v>
      </c>
    </row>
    <row r="258" spans="1:1" ht="20.100000000000001" customHeight="1" x14ac:dyDescent="0.3">
      <c r="A258" s="35" t="s">
        <v>197</v>
      </c>
    </row>
    <row r="259" spans="1:1" ht="20.100000000000001" customHeight="1" x14ac:dyDescent="0.3">
      <c r="A259" s="30" t="s">
        <v>198</v>
      </c>
    </row>
    <row r="260" spans="1:1" ht="20.100000000000001" customHeight="1" x14ac:dyDescent="0.3">
      <c r="A260" s="35" t="s">
        <v>199</v>
      </c>
    </row>
    <row r="261" spans="1:1" ht="20.100000000000001" customHeight="1" x14ac:dyDescent="0.3">
      <c r="A261" s="30" t="s">
        <v>200</v>
      </c>
    </row>
    <row r="262" spans="1:1" ht="20.100000000000001" customHeight="1" x14ac:dyDescent="0.3">
      <c r="A262" s="30" t="s">
        <v>201</v>
      </c>
    </row>
    <row r="263" spans="1:1" ht="20.100000000000001" customHeight="1" x14ac:dyDescent="0.3">
      <c r="A263" s="35" t="s">
        <v>202</v>
      </c>
    </row>
    <row r="264" spans="1:1" ht="20.100000000000001" customHeight="1" x14ac:dyDescent="0.3">
      <c r="A264" s="35" t="s">
        <v>203</v>
      </c>
    </row>
    <row r="265" spans="1:1" ht="20.100000000000001" customHeight="1" x14ac:dyDescent="0.3">
      <c r="A265" s="35" t="s">
        <v>204</v>
      </c>
    </row>
    <row r="266" spans="1:1" ht="20.100000000000001" customHeight="1" x14ac:dyDescent="0.3">
      <c r="A266" s="30" t="s">
        <v>205</v>
      </c>
    </row>
    <row r="267" spans="1:1" ht="20.100000000000001" customHeight="1" x14ac:dyDescent="0.3">
      <c r="A267" s="30" t="s">
        <v>206</v>
      </c>
    </row>
    <row r="268" spans="1:1" ht="20.100000000000001" customHeight="1" x14ac:dyDescent="0.3">
      <c r="A268" s="30" t="s">
        <v>207</v>
      </c>
    </row>
    <row r="269" spans="1:1" ht="20.100000000000001" customHeight="1" x14ac:dyDescent="0.3">
      <c r="A269" s="30" t="s">
        <v>208</v>
      </c>
    </row>
    <row r="270" spans="1:1" ht="20.100000000000001" customHeight="1" x14ac:dyDescent="0.3">
      <c r="A270" s="35" t="s">
        <v>209</v>
      </c>
    </row>
    <row r="271" spans="1:1" ht="20.100000000000001" customHeight="1" x14ac:dyDescent="0.3">
      <c r="A271" s="35" t="s">
        <v>210</v>
      </c>
    </row>
    <row r="272" spans="1:1" ht="20.100000000000001" customHeight="1" x14ac:dyDescent="0.3">
      <c r="A272" s="30" t="s">
        <v>211</v>
      </c>
    </row>
    <row r="273" spans="1:1" ht="20.100000000000001" customHeight="1" x14ac:dyDescent="0.3">
      <c r="A273" s="35" t="s">
        <v>212</v>
      </c>
    </row>
    <row r="274" spans="1:1" ht="20.100000000000001" customHeight="1" x14ac:dyDescent="0.3">
      <c r="A274" s="35" t="s">
        <v>213</v>
      </c>
    </row>
    <row r="275" spans="1:1" ht="20.100000000000001" customHeight="1" x14ac:dyDescent="0.3">
      <c r="A275" s="30" t="s">
        <v>214</v>
      </c>
    </row>
    <row r="276" spans="1:1" ht="20.100000000000001" customHeight="1" x14ac:dyDescent="0.3">
      <c r="A276" s="30" t="s">
        <v>215</v>
      </c>
    </row>
    <row r="277" spans="1:1" ht="20.100000000000001" customHeight="1" x14ac:dyDescent="0.3">
      <c r="A277" s="35" t="s">
        <v>216</v>
      </c>
    </row>
    <row r="278" spans="1:1" ht="20.100000000000001" customHeight="1" x14ac:dyDescent="0.3">
      <c r="A278" s="30" t="s">
        <v>217</v>
      </c>
    </row>
    <row r="279" spans="1:1" ht="20.100000000000001" customHeight="1" x14ac:dyDescent="0.3">
      <c r="A279" s="30" t="s">
        <v>218</v>
      </c>
    </row>
    <row r="280" spans="1:1" ht="20.100000000000001" customHeight="1" x14ac:dyDescent="0.3">
      <c r="A280" s="30" t="s">
        <v>219</v>
      </c>
    </row>
    <row r="281" spans="1:1" ht="20.100000000000001" customHeight="1" x14ac:dyDescent="0.3">
      <c r="A281" s="30" t="s">
        <v>220</v>
      </c>
    </row>
    <row r="282" spans="1:1" ht="20.100000000000001" customHeight="1" x14ac:dyDescent="0.3">
      <c r="A282" s="35" t="s">
        <v>221</v>
      </c>
    </row>
    <row r="283" spans="1:1" ht="20.100000000000001" customHeight="1" x14ac:dyDescent="0.3">
      <c r="A283" s="35" t="s">
        <v>222</v>
      </c>
    </row>
    <row r="284" spans="1:1" ht="20.100000000000001" customHeight="1" x14ac:dyDescent="0.3">
      <c r="A284" s="35" t="s">
        <v>223</v>
      </c>
    </row>
    <row r="285" spans="1:1" ht="20.100000000000001" customHeight="1" thickBot="1" x14ac:dyDescent="0.35">
      <c r="A285" s="30" t="s">
        <v>224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2025-10-28T04:31:27Z</dcterms:modified>
</cp:coreProperties>
</file>