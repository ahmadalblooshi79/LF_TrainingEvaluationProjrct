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BE48BA6-8ECE-4020-ACBB-FD49B1831A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1" i="2"/>
  <c r="H41" i="2"/>
  <c r="G42" i="2"/>
  <c r="H42" i="2"/>
  <c r="G43" i="2"/>
  <c r="H43" i="2" s="1"/>
  <c r="G44" i="2"/>
  <c r="H44" i="2" s="1"/>
  <c r="G45" i="2"/>
  <c r="H45" i="2"/>
  <c r="G46" i="2"/>
  <c r="H46" i="2" s="1"/>
  <c r="G47" i="2"/>
  <c r="H47" i="2" s="1"/>
  <c r="G48" i="2"/>
  <c r="H48" i="2"/>
  <c r="G49" i="2"/>
  <c r="H49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1" i="2"/>
  <c r="H61" i="2"/>
  <c r="G63" i="2"/>
  <c r="H63" i="2"/>
  <c r="G64" i="2"/>
  <c r="H64" i="2"/>
  <c r="G65" i="2"/>
  <c r="H65" i="2"/>
  <c r="G66" i="2"/>
  <c r="H66" i="2"/>
  <c r="G67" i="2"/>
  <c r="H67" i="2"/>
  <c r="F68" i="2"/>
  <c r="E69" i="2" s="1"/>
  <c r="E70" i="2" s="1"/>
  <c r="E68" i="2"/>
</calcChain>
</file>

<file path=xl/sharedStrings.xml><?xml version="1.0" encoding="utf-8"?>
<sst xmlns="http://schemas.openxmlformats.org/spreadsheetml/2006/main" count="297" uniqueCount="241">
  <si>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</si>
  <si>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</si>
  <si>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</si>
  <si>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</si>
  <si>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</si>
  <si>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</si>
  <si>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</si>
  <si>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</si>
  <si>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</si>
  <si>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</si>
  <si>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</si>
  <si>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</si>
  <si>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</si>
  <si>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</si>
  <si>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</si>
  <si>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</si>
  <si>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</si>
  <si>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</si>
  <si>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</si>
  <si>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</si>
  <si>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</si>
  <si>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</si>
  <si>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</si>
  <si>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</si>
  <si>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</si>
  <si>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</si>
  <si>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</si>
  <si>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</si>
  <si>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</si>
  <si>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</si>
  <si>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</si>
  <si>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</si>
  <si>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</si>
  <si>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</si>
  <si>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</si>
  <si>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</si>
  <si>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</si>
  <si>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</si>
  <si>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</si>
  <si>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</si>
  <si>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</si>
  <si>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</si>
  <si>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</si>
  <si>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</si>
  <si>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</si>
  <si>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</si>
  <si>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</si>
  <si>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</si>
  <si>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</si>
  <si>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</si>
  <si>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</si>
  <si>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</si>
  <si>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</si>
  <si>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</si>
  <si>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</si>
  <si>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</si>
  <si>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</si>
  <si>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</si>
  <si>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</si>
  <si>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</si>
  <si>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</si>
  <si>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</si>
  <si>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</si>
  <si>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</si>
  <si>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</si>
  <si>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</si>
  <si>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</si>
  <si>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</si>
  <si>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</si>
  <si>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</si>
  <si>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</si>
  <si>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</si>
  <si>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</si>
  <si>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</si>
  <si>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</si>
  <si>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</si>
  <si>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</si>
  <si>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</si>
  <si>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</si>
  <si>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</si>
  <si>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</si>
  <si>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</si>
  <si>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</si>
  <si>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</si>
  <si>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</si>
  <si>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</si>
  <si>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</si>
  <si>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</si>
  <si>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</si>
  <si>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</si>
  <si>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</si>
  <si>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</si>
  <si>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</si>
  <si>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</si>
  <si>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</si>
  <si>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</si>
  <si>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</si>
  <si>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</si>
  <si>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</si>
  <si>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</si>
  <si>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</si>
  <si>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</si>
  <si>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</si>
  <si>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</si>
  <si>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</si>
  <si>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</si>
  <si>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</si>
  <si>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</si>
  <si>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</si>
  <si>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</si>
  <si>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</si>
  <si>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</si>
  <si>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</si>
  <si>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</si>
  <si>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</si>
  <si>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</si>
  <si>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</si>
  <si>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</si>
  <si>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</si>
  <si>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</si>
  <si>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</si>
  <si>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</si>
  <si>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</si>
  <si>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</si>
  <si>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</si>
  <si>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</si>
  <si>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</si>
  <si>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</si>
  <si>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</si>
  <si>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</si>
  <si>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</si>
  <si>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</si>
  <si>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</si>
  <si>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</si>
  <si>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</si>
  <si>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</si>
  <si>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</si>
  <si>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</si>
  <si>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</si>
  <si>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</si>
  <si>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</si>
  <si>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</si>
  <si>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</si>
  <si>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</si>
  <si>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</si>
  <si>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</si>
  <si>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</si>
  <si>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</si>
  <si>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</si>
  <si>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</si>
  <si>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</si>
  <si>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</si>
  <si>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</si>
  <si>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</si>
  <si>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</si>
  <si>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</si>
  <si>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</si>
  <si>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</si>
  <si>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</si>
  <si>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</si>
  <si>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</si>
  <si>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</si>
  <si>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</si>
  <si>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</si>
  <si>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</si>
  <si>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</si>
  <si>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</si>
  <si>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</si>
  <si>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</si>
  <si>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</si>
  <si>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</si>
  <si>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</si>
  <si>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</si>
  <si>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</si>
  <si>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</si>
  <si>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</si>
  <si>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</si>
  <si>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</si>
  <si>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</si>
  <si>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</si>
  <si>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معسكرات التدريب الخارجية لكتيبة المدفعية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</si>
  <si>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</si>
  <si>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t>1. المظهر العام للمعسكر من حيث (نصب الخيام، النظافة، مداخل ومخارج الطرق المؤدية واللوحات الإرشادية للمعسكر).</t>
  </si>
  <si>
    <t>2. وجود وصلاحية سور المعسكر.</t>
  </si>
  <si>
    <t>3. وجود وصلاحية مخازن الأسلحة والذخيرة والأرزاق.</t>
  </si>
  <si>
    <t>4. توفر وصلاحية السكن والنوادي (ضباط، ضباط صف، أفراد) وتجهيزها بالأثاث والمهمات الضرورية.</t>
  </si>
  <si>
    <t>5. توفر وصلاحية مكاتب قيادة الوحدة.</t>
  </si>
  <si>
    <t>6. توفر وصلاحية مكتب المخابرة.</t>
  </si>
  <si>
    <t>7. توفر مواقف للآليات (مقاتلة، إدارية، وقود).</t>
  </si>
  <si>
    <t>8. وجود ميدان للوحدة مع سارية العلم (علم الوحدة، علم الوحدة الأم).</t>
  </si>
  <si>
    <t>9. وجود بوابة مع حراسة (التقيد بالذخائر المخصصة للحراسة).</t>
  </si>
  <si>
    <t>10. وجـود وصلاحية العيادة والإسعاف والأدوية والتأكد من وجود طبيب وممرض / ممرضة.</t>
  </si>
  <si>
    <t>11. وجـود وصلاحية ورشـة الإصلاح وتجهيزها بالوسائل اللازمة (فريـق إصـلاح، آليـة إنقـاذ وقطـع غيار).</t>
  </si>
  <si>
    <t>12. توفر خيمة للمحاضرات مزودة بمساعدات التدريب.</t>
  </si>
  <si>
    <t>13. وجود نظــام للتخلــص مـن النفايــات والمخلـفـات (الطبية والعضوية).</t>
  </si>
  <si>
    <t>14. توفر مسجد مجهز للصلاة (الفرش، مصاحف، مكبر صوت، السعة مقارنة بالموجود).</t>
  </si>
  <si>
    <t>15. نسبة الاستكمال من القوى البشرية وتشمل (المرتب، الموجود، المدربين, الموجود اليومي).</t>
  </si>
  <si>
    <t>16. مدى استكمال التخصصات للمرتب.</t>
  </si>
  <si>
    <t>17. مدى استكمال التخصصات الأخرى الملحقة والمعينة (الإسناد الناري والإداري).</t>
  </si>
  <si>
    <t>18. نسبـة استكمال الآليات والمعدات الموجودة على المرتب.</t>
  </si>
  <si>
    <t>19. الحالة الفنية للآليات (أ، ب).</t>
  </si>
  <si>
    <t>الأسلحــة والذخائــر.</t>
  </si>
  <si>
    <t>20. توفر ذخيرة العمليات حسب مقياس الذخائر وحسب تعليمات رفع حالات الاستعداد القتالي.</t>
  </si>
  <si>
    <t>21. توفر ذخيرة التدريب حسب المقياس.</t>
  </si>
  <si>
    <t>22. الحالة الفنية للذخائر.</t>
  </si>
  <si>
    <t>مواقف الآليات (أثناء معسكرات التدريب الخارجية / عندما تكون محملة بالذخائر والوقود).</t>
  </si>
  <si>
    <t>23. توفر وصلاحية الإنارة في منطقة مواقف الآليات.</t>
  </si>
  <si>
    <t>24. توفر وصلاحية وسيلة الاتصال.</t>
  </si>
  <si>
    <t>25. وجود وصلاحية طفايات الحريق ووجود بطاقة الصلاحية عليها بمواقف الآليات.</t>
  </si>
  <si>
    <t>26. وجود جميع أفراد الحراسة في مكان مناوبتهم وارتدائهم اللباس المقرر للحراسات ووجود أسلحتهم الشخصية والذخيرة المقررة ومدى إلمامهم باستخدام أسلحتهم الشخصية.</t>
  </si>
  <si>
    <t>27. مدى معرفة فرد الحراسة لعدد الآليات المتواجدة بالمواقف وعدم السماح بخروج أي آلية إلا بأوامر من ضابط الخفر شخصياً.</t>
  </si>
  <si>
    <t>28. مدى التقيد بالنظافة العامة في مواقف الآليات.</t>
  </si>
  <si>
    <t>التدريب/ مساعدات التدريب</t>
  </si>
  <si>
    <t>29. وجود تعليمات وخطة التدريب / التمرين لمعسكر التدريب الخارجي.</t>
  </si>
  <si>
    <t>30. مدى تطابق خطة وتعليمات التدريب الخارجي مع خطة التدريب / الزمنية الشهرية للمستوى الأعلى.</t>
  </si>
  <si>
    <t>31. وجود برامج التدريب / التمرين ومدى تطابقها مع خطة التدريب الشهرية.</t>
  </si>
  <si>
    <t>32. وجود وملائمة مناطق التدريب مع برنامج التدريب.</t>
  </si>
  <si>
    <t>33. توفر وصلاحية النماذج والمجسمات.</t>
  </si>
  <si>
    <t>34. توفر وصلاحية وسائل الإيضاح.</t>
  </si>
  <si>
    <t>35. وجود وثائق وتعليمات التمرين.</t>
  </si>
  <si>
    <t>36. وجود التعليمات التنظيمية للمعسكر.</t>
  </si>
  <si>
    <t>37. وجود خطة الدفاع والحراسة و خطة الحريق.</t>
  </si>
  <si>
    <t>الإدارة للتمريــن</t>
  </si>
  <si>
    <t>38. التقيد بالتعليمات الإدارية للتمرين.</t>
  </si>
  <si>
    <t>39. مدى إلمام المرتب والمتدربين للتعليمات الإدارية.</t>
  </si>
  <si>
    <t>40. مدى إلمام المدربين بالتمرين.</t>
  </si>
  <si>
    <t>41. مدى سيطرة المدربين على المتدربين.</t>
  </si>
  <si>
    <t>42. مدى تقيد المدربين بتوجيه المتدربين وتصحيح الأخطاء.</t>
  </si>
  <si>
    <t>43. مدى التعاون والعمل بروح الفريق بين المتدربين.</t>
  </si>
  <si>
    <t>44. التقيد بتوزيع المهام على المتدربين.</t>
  </si>
  <si>
    <t>45. التقيد بمجرى الحوادث وتوقيتات التمرين.</t>
  </si>
  <si>
    <t>46. مدى تطابق الأهداف التدريبية مع الغاية من التمرين.</t>
  </si>
  <si>
    <t>اللباس والمهمات الميدانية</t>
  </si>
  <si>
    <t>47. التقيد بارتداء اللباس الميداني حسب التعليمات.</t>
  </si>
  <si>
    <t>الإشارة</t>
  </si>
  <si>
    <t>القوى البشرية والآليـات</t>
  </si>
  <si>
    <t>48. مدى التقيد بالتعليمات الإشارية ومخططات شبكة الاتصالات.</t>
  </si>
  <si>
    <t>49. توفر وصلاحية وسائل الاتصال في التمرين.</t>
  </si>
  <si>
    <t>50. مدى التقيد بأصول المخابرة الصحيحة والالتزام بالأمن اللاسلكي من قبل مستخدمي الأجهزة.</t>
  </si>
  <si>
    <t>51. مدى كفاءة الاتصالات في التمرين.</t>
  </si>
  <si>
    <t>52. الإشراف والمتابعة من المستوى الأعلى.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</si>
</sst>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b/>
      <sz val="12"/>
      <color rgb="FF00206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</xf>
    <xf numFmtId="0" fontId="2" fillId="0" borderId="3" xfId="0" applyFont="1" applyBorder="1" applyAlignment="1" applyProtection="1">
      <alignment horizontal="center" vertical="center" wrapText="1" readingOrder="2"/>
    </xf>
    <xf numFmtId="0" fontId="2" fillId="0" borderId="12" xfId="0" applyFont="1" applyBorder="1" applyAlignment="1" applyProtection="1">
      <alignment horizontal="center" vertical="center" wrapText="1" readingOrder="2"/>
    </xf>
    <xf numFmtId="0" fontId="3" fillId="0" borderId="4" xfId="0" applyFont="1" applyBorder="1" applyAlignment="1" applyProtection="1">
      <alignment vertical="center" wrapText="1"/>
    </xf>
    <xf numFmtId="0" fontId="2" fillId="0" borderId="4" xfId="0" applyFont="1" applyBorder="1" applyAlignment="1" applyProtection="1">
      <alignment vertical="center" wrapText="1"/>
    </xf>
    <xf numFmtId="0" fontId="16" fillId="0" borderId="4" xfId="0" applyFont="1" applyBorder="1" applyAlignment="1" applyProtection="1">
      <alignment vertical="center" wrapText="1"/>
    </xf>
    <xf numFmtId="0" fontId="2" fillId="0" borderId="12" xfId="0" applyFont="1" applyBorder="1" applyAlignment="1" applyProtection="1">
      <alignment horizontal="center"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14" fillId="0" borderId="3" xfId="0" applyFont="1" applyBorder="1" applyAlignment="1" applyProtection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4" xfId="0" applyFont="1" applyBorder="1" applyAlignment="1" applyProtection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 applyProtection="1">
      <alignment horizontal="right" vertical="center" wrapText="1" readingOrder="2"/>
    </xf>
    <xf numFmtId="0" fontId="12" fillId="0" borderId="12" xfId="0" applyFont="1" applyBorder="1" applyAlignment="1" applyProtection="1">
      <alignment horizontal="right" vertical="center" wrapText="1" readingOrder="2"/>
    </xf>
    <xf numFmtId="0" fontId="1" fillId="0" borderId="5" xfId="0" applyFont="1" applyBorder="1" applyAlignment="1" applyProtection="1">
      <alignment horizontal="right" vertical="center" wrapText="1" readingOrder="2"/>
    </xf>
    <xf numFmtId="0" fontId="1" fillId="0" borderId="4" xfId="0" applyFont="1" applyBorder="1" applyAlignment="1" applyProtection="1">
      <alignment horizontal="right" vertical="center" wrapText="1" readingOrder="2"/>
    </xf>
    <xf numFmtId="0" fontId="12" fillId="0" borderId="23" xfId="0" applyFont="1" applyBorder="1" applyAlignment="1" applyProtection="1">
      <alignment horizontal="right" vertical="center" wrapText="1" readingOrder="2"/>
    </xf>
    <xf numFmtId="0" fontId="12" fillId="0" borderId="3" xfId="0" applyFont="1" applyBorder="1" applyAlignment="1" applyProtection="1">
      <alignment horizontal="right" vertical="center" wrapText="1" readingOrder="2"/>
    </xf>
    <xf numFmtId="0" fontId="15" fillId="0" borderId="14" xfId="0" applyFont="1" applyBorder="1" applyAlignment="1" applyProtection="1">
      <alignment horizontal="right" vertical="center" wrapText="1" readingOrder="2"/>
    </xf>
    <xf numFmtId="0" fontId="13" fillId="0" borderId="5" xfId="0" applyFont="1" applyBorder="1" applyAlignment="1" applyProtection="1">
      <alignment horizontal="right" vertical="center" wrapText="1" readingOrder="2"/>
    </xf>
    <xf numFmtId="0" fontId="13" fillId="0" borderId="4" xfId="0" applyFont="1" applyBorder="1" applyAlignment="1" applyProtection="1">
      <alignment horizontal="right" vertical="center" wrapText="1" readingOrder="2"/>
    </xf>
    <xf numFmtId="0" fontId="15" fillId="0" borderId="23" xfId="0" applyFont="1" applyBorder="1" applyAlignment="1" applyProtection="1">
      <alignment horizontal="right" vertical="center" wrapText="1" readingOrder="2"/>
    </xf>
    <xf numFmtId="0" fontId="15" fillId="0" borderId="3" xfId="0" applyFont="1" applyBorder="1" applyAlignment="1" applyProtection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 applyProtection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33</xdr:row>
      <xdr:rowOff>676275</xdr:rowOff>
    </xdr:from>
    <xdr:to>
      <xdr:col>3</xdr:col>
      <xdr:colOff>457200</xdr:colOff>
      <xdr:row>33</xdr:row>
      <xdr:rowOff>923925</xdr:rowOff>
    </xdr:to>
    <xdr:sp macro="" textlink="">
      <xdr:nvSpPr>
        <xdr:cNvPr id="2" name="Text Box 5634">
          <a:extLst>
            <a:ext uri="{FF2B5EF4-FFF2-40B4-BE49-F238E27FC236}">
              <a16:creationId xmlns:a16="http://schemas.microsoft.com/office/drawing/2014/main" id="{2583F227-AD17-4038-83DC-B831D4625DC9}"/>
            </a:ext>
          </a:extLst>
        </xdr:cNvPr>
        <xdr:cNvSpPr txBox="1">
          <a:spLocks noChangeArrowheads="1"/>
        </xdr:cNvSpPr>
      </xdr:nvSpPr>
      <xdr:spPr bwMode="auto">
        <a:xfrm>
          <a:off x="11235651900" y="12211050"/>
          <a:ext cx="4286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HeshamNormal"/>
            </a:rPr>
            <a:t>35</a:t>
          </a:r>
        </a:p>
      </xdr:txBody>
    </xdr:sp>
    <xdr:clientData/>
  </xdr:twoCellAnchor>
  <xdr:twoCellAnchor editAs="oneCell">
    <xdr:from>
      <xdr:col>7</xdr:col>
      <xdr:colOff>155556</xdr:colOff>
      <xdr:row>70</xdr:row>
      <xdr:rowOff>324118</xdr:rowOff>
    </xdr:from>
    <xdr:to>
      <xdr:col>8</xdr:col>
      <xdr:colOff>242665</xdr:colOff>
      <xdr:row>72</xdr:row>
      <xdr:rowOff>29922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B7DC387-B893-1C3B-F834-3E8A98257941}"/>
                </a:ext>
              </a:extLst>
            </xdr14:cNvPr>
            <xdr14:cNvContentPartPr/>
          </xdr14:nvContentPartPr>
          <xdr14:nvPr macro=""/>
          <xdr14:xfrm>
            <a:off x="10399002244" y="29008800"/>
            <a:ext cx="745200" cy="883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B7DC387-B893-1C3B-F834-3E8A982579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93604" y="29000160"/>
              <a:ext cx="762840" cy="901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05:15:30.7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1642 1374,'0'0,"0"0,0 0,0 0,0 0,0 0,0 0,0 0,0 0,0 0,0 0,0 0,0 0,0 0,0 0,-16 16,1-16,7 8,0 0,-39 24,25-16,-3 1,-68 31,41-25,-6 2,-67 56,66-58,-7 3,-74 39,72-35,-6 4,-35 15,64-26,-4 2,-13-9,40-8,-3 0,-6-24,23 8,0 0,24-24,-8 16,0 0,39-49,-17 18,2-3,46-47,-31 41,-1-1,48-56,-55 73,1-1,22-39,-23 40,0-2,8-22,-39 56,0 0,7-8,-7 7,-31 18,23-1,0 0,-16 8,-22 16,-2 0,-38 50,31-35,0 3,-47 46,55-54,0-3,-23 41,30-46,1-3,-15 18,46-41,0 0,15-8,17-33,-2 1,48-49,-21 23,-4 3,41-57,-29 35,-5 8,49-76,-43 52,-7 8,35-93,-61 120,-3 3,1-42,-23 63,0 4,-24-18,0 30,1 3,-63 15,12 8,6 0,-80 25,58-16,8-2,-83 33,67-23,8-1,-74 40,83-31,5-1,-41 16,77-23,1-2,-15 11,38-19,0 2,8-1,8-16,0 0,54 0,-30 8,-2 0,80 8,-37-16,-5 0,88 16,-66 1,-9-2,92 18,-101-17,-4 0,42 16,-69-7,-3-1,8 24,-38-6,0-4,-40 76,0-47,1-5,-47 83,30-77,3-6,-33 51,45-63,3-3,-48 49,45-61,3-5,-32-14,37-32,3 0,-9-33,23-9,0 4,24-124,-9 102,1 6,8-107,0 50,-1 11,32-126,-23 107,-1 12,24-87,-31 135,-1 4,1-26,0 56,-1 2,-15-26,0 48,0 2,0 27,0-8,0 44,0-5,0-5,16 75,-16-37,0-6,0 59,0-19,0-11,0 128,0-117,0-10,16 110,-9-135,1-5,-8 27,8-55,0-3,23 42,-23-48,0-1,23 16,-7-31,-1-2,23 17,-29-24,-2 0,31 9,-29-8,-1-2,30 9,-22-16,-1 0,24-16,-23 8,-1 0,8-9,-23 0,0 2,7-17,-7 15,0 2,7-1,-15-10,0 3,0-25,0 31,0 2,-15-18,-2 15,3 4,-2-2,-1-2,3 3,-17-1,14 8,2 0,0-8,6 7,2 1,7-24,0 24,0 0,16-24,8 7,-1 1,55-56,-12 29,-8 5,52-35,-62 39,-2 3,48-25,-53 29,-4 5,9 30,-37 8,-2 0,-7 8,0-8,0 0,-16 25,1 0,-1-2,-62 83,29-48,5-3,-50 66,44-61,6-7,-34 69,44-79,5-6,-2 20,22-31,2-4,-8 35,15-31,0-4,15 52,2-40,-2-4,47 75,-20-60,-6-9,-36-44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2"/>
  <sheetViews>
    <sheetView rightToLeft="1" tabSelected="1" view="pageBreakPreview" topLeftCell="D66" zoomScale="130" zoomScaleNormal="100" zoomScaleSheetLayoutView="130" workbookViewId="0">
      <selection activeCell="F47" sqref="F47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7" t="s">
        <v>180</v>
      </c>
      <c r="C1" s="77"/>
      <c r="D1" s="77"/>
      <c r="E1" s="77"/>
      <c r="F1" s="77"/>
      <c r="G1" s="77"/>
      <c r="H1" s="77"/>
      <c r="I1" s="77"/>
      <c r="J1" s="77"/>
    </row>
    <row r="2" spans="1:10" ht="30" customHeight="1" x14ac:dyDescent="0.3">
      <c r="B2" s="11" t="s">
        <v>8</v>
      </c>
      <c r="C2" s="83" t="s">
        <v>48</v>
      </c>
      <c r="D2" s="83"/>
      <c r="E2" s="11" t="s">
        <v>7</v>
      </c>
      <c r="F2" s="78">
        <v>45936</v>
      </c>
      <c r="G2" s="78"/>
      <c r="H2" s="78"/>
      <c r="I2" s="78"/>
      <c r="J2" s="78"/>
    </row>
    <row r="3" spans="1:10" ht="30" customHeight="1" x14ac:dyDescent="0.3">
      <c r="B3" s="11" t="s">
        <v>9</v>
      </c>
      <c r="C3" s="83" t="s">
        <v>68</v>
      </c>
      <c r="D3" s="83"/>
      <c r="E3" s="11" t="s">
        <v>6</v>
      </c>
      <c r="F3" s="83" t="s">
        <v>128</v>
      </c>
      <c r="G3" s="83"/>
      <c r="H3" s="83"/>
      <c r="I3" s="83"/>
      <c r="J3" s="8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79" t="s">
        <v>0</v>
      </c>
      <c r="C5" s="80"/>
      <c r="D5" s="80"/>
      <c r="E5" s="88" t="s">
        <v>1</v>
      </c>
      <c r="F5" s="88"/>
      <c r="G5" s="88"/>
      <c r="H5" s="88"/>
      <c r="I5" s="88" t="s">
        <v>2</v>
      </c>
      <c r="J5" s="89"/>
    </row>
    <row r="6" spans="1:10" ht="24.9" customHeight="1" thickBot="1" x14ac:dyDescent="0.35">
      <c r="A6" s="9"/>
      <c r="B6" s="81"/>
      <c r="C6" s="82"/>
      <c r="D6" s="82"/>
      <c r="E6" s="10" t="s">
        <v>3</v>
      </c>
      <c r="F6" s="10" t="s">
        <v>4</v>
      </c>
      <c r="G6" s="10" t="s">
        <v>23</v>
      </c>
      <c r="H6" s="10" t="s">
        <v>24</v>
      </c>
      <c r="I6" s="90"/>
      <c r="J6" s="91"/>
    </row>
    <row r="7" spans="1:10" ht="24.9" customHeight="1" x14ac:dyDescent="0.3">
      <c r="A7" s="9"/>
      <c r="B7" s="86" t="s">
        <v>21</v>
      </c>
      <c r="C7" s="87"/>
      <c r="D7" s="87"/>
      <c r="E7" s="34" t="s">
        <v>18</v>
      </c>
      <c r="F7" s="34" t="s">
        <v>19</v>
      </c>
      <c r="G7" s="34" t="s">
        <v>22</v>
      </c>
      <c r="H7" s="34" t="s">
        <v>20</v>
      </c>
      <c r="I7" s="92" t="s">
        <v>25</v>
      </c>
      <c r="J7" s="93"/>
    </row>
    <row r="8" spans="1:10" ht="30" customHeight="1" x14ac:dyDescent="0.3">
      <c r="A8" s="9"/>
      <c r="B8" s="70" t="s">
        <v>181</v>
      </c>
      <c r="C8" s="70"/>
      <c r="D8" s="70"/>
      <c r="E8" s="36"/>
      <c r="F8" s="25"/>
      <c r="G8" s="37"/>
      <c r="H8" s="38"/>
      <c r="I8" s="60"/>
      <c r="J8" s="60"/>
    </row>
    <row r="9" spans="1:10" ht="39.9" customHeight="1" x14ac:dyDescent="0.3">
      <c r="A9" s="9"/>
      <c r="B9" s="59" t="s">
        <v>182</v>
      </c>
      <c r="C9" s="59"/>
      <c r="D9" s="59"/>
      <c r="E9" s="27">
        <v>10</v>
      </c>
      <c r="F9" s="25">
        <v>8.25</v>
      </c>
      <c r="G9" s="37">
        <f>IFERROR(F9/E9,"")</f>
        <v>0.82499999999999996</v>
      </c>
      <c r="H9" s="38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60"/>
      <c r="J9" s="60"/>
    </row>
    <row r="10" spans="1:10" ht="30" customHeight="1" x14ac:dyDescent="0.3">
      <c r="A10" s="9"/>
      <c r="B10" s="59" t="s">
        <v>183</v>
      </c>
      <c r="C10" s="59"/>
      <c r="D10" s="59"/>
      <c r="E10" s="28">
        <v>5</v>
      </c>
      <c r="F10" s="25">
        <v>3.75</v>
      </c>
      <c r="G10" s="37">
        <f t="shared" ref="G10:G61" si="0">IFERROR(F10/E10,"")</f>
        <v>0.75</v>
      </c>
      <c r="H10" s="38" t="str">
        <f t="shared" ref="H10:H61" si="1">_xlfn.IFS(F10="أدخل العلامة","",F10="لا ينطبق","تم الإلغاء",G10&gt;=90%,"ممتاز",G10&gt;=80%,"جيد جداً",G10&gt;=70%,"جيد",G10&gt;=60%,"مقبول",G10&lt;60%,"راسب")</f>
        <v>جيد</v>
      </c>
      <c r="I10" s="60"/>
      <c r="J10" s="60"/>
    </row>
    <row r="11" spans="1:10" ht="30" customHeight="1" x14ac:dyDescent="0.3">
      <c r="A11" s="9"/>
      <c r="B11" s="59" t="s">
        <v>184</v>
      </c>
      <c r="C11" s="59"/>
      <c r="D11" s="59"/>
      <c r="E11" s="28">
        <v>5</v>
      </c>
      <c r="F11" s="25">
        <v>3.5</v>
      </c>
      <c r="G11" s="37">
        <f t="shared" si="0"/>
        <v>0.7</v>
      </c>
      <c r="H11" s="38" t="str">
        <f t="shared" si="1"/>
        <v>جيد</v>
      </c>
      <c r="I11" s="60"/>
      <c r="J11" s="60"/>
    </row>
    <row r="12" spans="1:10" ht="39.9" customHeight="1" x14ac:dyDescent="0.3">
      <c r="A12" s="9"/>
      <c r="B12" s="59" t="s">
        <v>185</v>
      </c>
      <c r="C12" s="59"/>
      <c r="D12" s="59"/>
      <c r="E12" s="28">
        <v>5</v>
      </c>
      <c r="F12" s="25">
        <v>4</v>
      </c>
      <c r="G12" s="37">
        <f t="shared" si="0"/>
        <v>0.8</v>
      </c>
      <c r="H12" s="38" t="str">
        <f t="shared" si="1"/>
        <v>جيد جداً</v>
      </c>
      <c r="I12" s="60"/>
      <c r="J12" s="60"/>
    </row>
    <row r="13" spans="1:10" ht="30" customHeight="1" x14ac:dyDescent="0.3">
      <c r="A13" s="9"/>
      <c r="B13" s="59" t="s">
        <v>186</v>
      </c>
      <c r="C13" s="59"/>
      <c r="D13" s="59"/>
      <c r="E13" s="28">
        <v>5</v>
      </c>
      <c r="F13" s="25">
        <v>3.25</v>
      </c>
      <c r="G13" s="37">
        <f t="shared" si="0"/>
        <v>0.65</v>
      </c>
      <c r="H13" s="38" t="str">
        <f t="shared" si="1"/>
        <v>مقبول</v>
      </c>
      <c r="I13" s="60"/>
      <c r="J13" s="60"/>
    </row>
    <row r="14" spans="1:10" ht="30" customHeight="1" x14ac:dyDescent="0.3">
      <c r="A14" s="9"/>
      <c r="B14" s="59" t="s">
        <v>187</v>
      </c>
      <c r="C14" s="59"/>
      <c r="D14" s="59"/>
      <c r="E14" s="28">
        <v>5</v>
      </c>
      <c r="F14" s="48">
        <v>3.25</v>
      </c>
      <c r="G14" s="37">
        <f t="shared" si="0"/>
        <v>0.65</v>
      </c>
      <c r="H14" s="38" t="str">
        <f t="shared" si="1"/>
        <v>مقبول</v>
      </c>
      <c r="I14" s="60"/>
      <c r="J14" s="60"/>
    </row>
    <row r="15" spans="1:10" ht="30" customHeight="1" x14ac:dyDescent="0.3">
      <c r="A15" s="9"/>
      <c r="B15" s="59" t="s">
        <v>188</v>
      </c>
      <c r="C15" s="59"/>
      <c r="D15" s="59"/>
      <c r="E15" s="28">
        <v>5</v>
      </c>
      <c r="F15" s="25">
        <v>3.75</v>
      </c>
      <c r="G15" s="37">
        <f t="shared" si="0"/>
        <v>0.75</v>
      </c>
      <c r="H15" s="38" t="str">
        <f t="shared" si="1"/>
        <v>جيد</v>
      </c>
      <c r="I15" s="60"/>
      <c r="J15" s="60"/>
    </row>
    <row r="16" spans="1:10" ht="30" customHeight="1" x14ac:dyDescent="0.3">
      <c r="A16" s="9"/>
      <c r="B16" s="59" t="s">
        <v>189</v>
      </c>
      <c r="C16" s="59"/>
      <c r="D16" s="59"/>
      <c r="E16" s="28">
        <v>5</v>
      </c>
      <c r="F16" s="25">
        <v>4.25</v>
      </c>
      <c r="G16" s="37">
        <f t="shared" si="0"/>
        <v>0.85</v>
      </c>
      <c r="H16" s="38" t="str">
        <f t="shared" si="1"/>
        <v>جيد جداً</v>
      </c>
      <c r="I16" s="60"/>
      <c r="J16" s="60"/>
    </row>
    <row r="17" spans="1:10" ht="30" customHeight="1" x14ac:dyDescent="0.3">
      <c r="A17" s="9"/>
      <c r="B17" s="59" t="s">
        <v>190</v>
      </c>
      <c r="C17" s="59"/>
      <c r="D17" s="59"/>
      <c r="E17" s="28">
        <v>5</v>
      </c>
      <c r="F17" s="25">
        <v>4.25</v>
      </c>
      <c r="G17" s="37">
        <f t="shared" si="0"/>
        <v>0.85</v>
      </c>
      <c r="H17" s="38" t="str">
        <f t="shared" si="1"/>
        <v>جيد جداً</v>
      </c>
      <c r="I17" s="60"/>
      <c r="J17" s="60"/>
    </row>
    <row r="18" spans="1:10" ht="39.9" customHeight="1" x14ac:dyDescent="0.3">
      <c r="A18" s="9"/>
      <c r="B18" s="59" t="s">
        <v>191</v>
      </c>
      <c r="C18" s="59"/>
      <c r="D18" s="59"/>
      <c r="E18" s="28">
        <v>5</v>
      </c>
      <c r="F18" s="25">
        <v>3.5</v>
      </c>
      <c r="G18" s="37">
        <f t="shared" si="0"/>
        <v>0.7</v>
      </c>
      <c r="H18" s="38" t="str">
        <f t="shared" si="1"/>
        <v>جيد</v>
      </c>
      <c r="I18" s="60"/>
      <c r="J18" s="60"/>
    </row>
    <row r="19" spans="1:10" ht="39.9" customHeight="1" x14ac:dyDescent="0.3">
      <c r="A19" s="9"/>
      <c r="B19" s="59" t="s">
        <v>192</v>
      </c>
      <c r="C19" s="59"/>
      <c r="D19" s="59"/>
      <c r="E19" s="28">
        <v>5</v>
      </c>
      <c r="F19" s="25">
        <v>3.5</v>
      </c>
      <c r="G19" s="37">
        <f t="shared" si="0"/>
        <v>0.7</v>
      </c>
      <c r="H19" s="38" t="str">
        <f t="shared" si="1"/>
        <v>جيد</v>
      </c>
      <c r="I19" s="60"/>
      <c r="J19" s="60"/>
    </row>
    <row r="20" spans="1:10" ht="30" customHeight="1" x14ac:dyDescent="0.3">
      <c r="A20" s="9"/>
      <c r="B20" s="59" t="s">
        <v>193</v>
      </c>
      <c r="C20" s="59"/>
      <c r="D20" s="59"/>
      <c r="E20" s="28">
        <v>5</v>
      </c>
      <c r="F20" s="25">
        <v>4</v>
      </c>
      <c r="G20" s="37">
        <f t="shared" si="0"/>
        <v>0.8</v>
      </c>
      <c r="H20" s="38" t="str">
        <f t="shared" si="1"/>
        <v>جيد جداً</v>
      </c>
      <c r="I20" s="60"/>
      <c r="J20" s="60"/>
    </row>
    <row r="21" spans="1:10" ht="30" customHeight="1" x14ac:dyDescent="0.3">
      <c r="A21" s="9"/>
      <c r="B21" s="59" t="s">
        <v>194</v>
      </c>
      <c r="C21" s="59"/>
      <c r="D21" s="59"/>
      <c r="E21" s="28">
        <v>5</v>
      </c>
      <c r="F21" s="25">
        <v>3.5</v>
      </c>
      <c r="G21" s="37">
        <f t="shared" si="0"/>
        <v>0.7</v>
      </c>
      <c r="H21" s="38" t="str">
        <f t="shared" si="1"/>
        <v>جيد</v>
      </c>
      <c r="I21" s="60"/>
      <c r="J21" s="60"/>
    </row>
    <row r="22" spans="1:10" ht="39.9" customHeight="1" thickBot="1" x14ac:dyDescent="0.35">
      <c r="A22" s="9"/>
      <c r="B22" s="55" t="s">
        <v>195</v>
      </c>
      <c r="C22" s="55"/>
      <c r="D22" s="55"/>
      <c r="E22" s="39">
        <v>5</v>
      </c>
      <c r="F22" s="40">
        <v>4</v>
      </c>
      <c r="G22" s="41">
        <f t="shared" si="0"/>
        <v>0.8</v>
      </c>
      <c r="H22" s="42" t="str">
        <f t="shared" si="1"/>
        <v>جيد جداً</v>
      </c>
      <c r="I22" s="94"/>
      <c r="J22" s="94"/>
    </row>
    <row r="23" spans="1:10" ht="30" customHeight="1" x14ac:dyDescent="0.3">
      <c r="A23" s="9"/>
      <c r="B23" s="56" t="s">
        <v>235</v>
      </c>
      <c r="C23" s="57"/>
      <c r="D23" s="57"/>
      <c r="E23" s="30"/>
      <c r="F23" s="43"/>
      <c r="G23" s="44"/>
      <c r="H23" s="45"/>
      <c r="I23" s="67"/>
      <c r="J23" s="68"/>
    </row>
    <row r="24" spans="1:10" ht="39.9" customHeight="1" x14ac:dyDescent="0.3">
      <c r="A24" s="9"/>
      <c r="B24" s="58" t="s">
        <v>196</v>
      </c>
      <c r="C24" s="59"/>
      <c r="D24" s="59"/>
      <c r="E24" s="27">
        <v>5</v>
      </c>
      <c r="F24" s="25">
        <v>3.75</v>
      </c>
      <c r="G24" s="37">
        <f t="shared" si="0"/>
        <v>0.75</v>
      </c>
      <c r="H24" s="38" t="str">
        <f t="shared" si="1"/>
        <v>جيد</v>
      </c>
      <c r="I24" s="60"/>
      <c r="J24" s="69"/>
    </row>
    <row r="25" spans="1:10" ht="30" customHeight="1" x14ac:dyDescent="0.3">
      <c r="A25" s="9"/>
      <c r="B25" s="58" t="s">
        <v>197</v>
      </c>
      <c r="C25" s="59"/>
      <c r="D25" s="59"/>
      <c r="E25" s="27">
        <v>5</v>
      </c>
      <c r="F25" s="25">
        <v>3.5</v>
      </c>
      <c r="G25" s="37">
        <f t="shared" si="0"/>
        <v>0.7</v>
      </c>
      <c r="H25" s="38" t="str">
        <f t="shared" si="1"/>
        <v>جيد</v>
      </c>
      <c r="I25" s="60"/>
      <c r="J25" s="69"/>
    </row>
    <row r="26" spans="1:10" ht="39.9" customHeight="1" x14ac:dyDescent="0.3">
      <c r="A26" s="9"/>
      <c r="B26" s="58" t="s">
        <v>198</v>
      </c>
      <c r="C26" s="59"/>
      <c r="D26" s="59"/>
      <c r="E26" s="27">
        <v>5</v>
      </c>
      <c r="F26" s="48">
        <v>4</v>
      </c>
      <c r="G26" s="37">
        <f t="shared" si="0"/>
        <v>0.8</v>
      </c>
      <c r="H26" s="38" t="str">
        <f t="shared" si="1"/>
        <v>جيد جداً</v>
      </c>
      <c r="I26" s="60"/>
      <c r="J26" s="69"/>
    </row>
    <row r="27" spans="1:10" ht="30" customHeight="1" x14ac:dyDescent="0.3">
      <c r="A27" s="9"/>
      <c r="B27" s="53" t="s">
        <v>199</v>
      </c>
      <c r="C27" s="54"/>
      <c r="D27" s="54"/>
      <c r="E27" s="28">
        <v>5</v>
      </c>
      <c r="F27" s="25">
        <v>3.5</v>
      </c>
      <c r="G27" s="37">
        <f t="shared" si="0"/>
        <v>0.7</v>
      </c>
      <c r="H27" s="38" t="str">
        <f t="shared" si="1"/>
        <v>جيد</v>
      </c>
      <c r="I27" s="60"/>
      <c r="J27" s="69"/>
    </row>
    <row r="28" spans="1:10" ht="30" customHeight="1" thickBot="1" x14ac:dyDescent="0.35">
      <c r="A28" s="9"/>
      <c r="B28" s="49" t="s">
        <v>200</v>
      </c>
      <c r="C28" s="50"/>
      <c r="D28" s="50"/>
      <c r="E28" s="29">
        <v>5</v>
      </c>
      <c r="F28" s="48">
        <v>4</v>
      </c>
      <c r="G28" s="46">
        <f t="shared" si="0"/>
        <v>0.8</v>
      </c>
      <c r="H28" s="47" t="str">
        <f t="shared" si="1"/>
        <v>جيد جداً</v>
      </c>
      <c r="I28" s="65"/>
      <c r="J28" s="66"/>
    </row>
    <row r="29" spans="1:10" ht="30" customHeight="1" x14ac:dyDescent="0.3">
      <c r="A29" s="9"/>
      <c r="B29" s="51" t="s">
        <v>201</v>
      </c>
      <c r="C29" s="52"/>
      <c r="D29" s="52"/>
      <c r="E29" s="31"/>
      <c r="F29" s="43"/>
      <c r="G29" s="44"/>
      <c r="H29" s="45"/>
      <c r="I29" s="67"/>
      <c r="J29" s="68"/>
    </row>
    <row r="30" spans="1:10" ht="39.9" customHeight="1" x14ac:dyDescent="0.3">
      <c r="A30" s="9"/>
      <c r="B30" s="53" t="s">
        <v>202</v>
      </c>
      <c r="C30" s="54"/>
      <c r="D30" s="54"/>
      <c r="E30" s="28">
        <v>10</v>
      </c>
      <c r="F30" s="25">
        <v>7.75</v>
      </c>
      <c r="G30" s="37">
        <f t="shared" si="0"/>
        <v>0.77500000000000002</v>
      </c>
      <c r="H30" s="38" t="str">
        <f t="shared" si="1"/>
        <v>جيد</v>
      </c>
      <c r="I30" s="60"/>
      <c r="J30" s="69"/>
    </row>
    <row r="31" spans="1:10" ht="30" customHeight="1" x14ac:dyDescent="0.3">
      <c r="A31" s="9"/>
      <c r="B31" s="53" t="s">
        <v>203</v>
      </c>
      <c r="C31" s="54"/>
      <c r="D31" s="54"/>
      <c r="E31" s="28">
        <v>10</v>
      </c>
      <c r="F31" s="25">
        <v>8.25</v>
      </c>
      <c r="G31" s="37">
        <f t="shared" si="0"/>
        <v>0.82499999999999996</v>
      </c>
      <c r="H31" s="38" t="str">
        <f t="shared" si="1"/>
        <v>جيد جداً</v>
      </c>
      <c r="I31" s="60"/>
      <c r="J31" s="69"/>
    </row>
    <row r="32" spans="1:10" ht="30" customHeight="1" thickBot="1" x14ac:dyDescent="0.35">
      <c r="A32" s="9"/>
      <c r="B32" s="49" t="s">
        <v>204</v>
      </c>
      <c r="C32" s="50"/>
      <c r="D32" s="50"/>
      <c r="E32" s="29">
        <v>5</v>
      </c>
      <c r="F32" s="26">
        <v>4.25</v>
      </c>
      <c r="G32" s="46">
        <f t="shared" si="0"/>
        <v>0.85</v>
      </c>
      <c r="H32" s="47" t="str">
        <f t="shared" si="1"/>
        <v>جيد جداً</v>
      </c>
      <c r="I32" s="65"/>
      <c r="J32" s="66"/>
    </row>
    <row r="33" spans="1:10" ht="39.9" customHeight="1" x14ac:dyDescent="0.3">
      <c r="A33" s="9"/>
      <c r="B33" s="51" t="s">
        <v>205</v>
      </c>
      <c r="C33" s="52"/>
      <c r="D33" s="52"/>
      <c r="E33" s="31"/>
      <c r="F33" s="43"/>
      <c r="G33" s="44"/>
      <c r="H33" s="45"/>
      <c r="I33" s="67"/>
      <c r="J33" s="68"/>
    </row>
    <row r="34" spans="1:10" ht="30" customHeight="1" x14ac:dyDescent="0.3">
      <c r="A34" s="9"/>
      <c r="B34" s="53" t="s">
        <v>206</v>
      </c>
      <c r="C34" s="54"/>
      <c r="D34" s="54"/>
      <c r="E34" s="28">
        <v>5</v>
      </c>
      <c r="F34" s="25">
        <v>3</v>
      </c>
      <c r="G34" s="37">
        <f t="shared" si="0"/>
        <v>0.6</v>
      </c>
      <c r="H34" s="38" t="str">
        <f t="shared" si="1"/>
        <v>مقبول</v>
      </c>
      <c r="I34" s="60"/>
      <c r="J34" s="69"/>
    </row>
    <row r="35" spans="1:10" ht="30" customHeight="1" x14ac:dyDescent="0.3">
      <c r="A35" s="9"/>
      <c r="B35" s="53" t="s">
        <v>207</v>
      </c>
      <c r="C35" s="54"/>
      <c r="D35" s="54"/>
      <c r="E35" s="28">
        <v>5</v>
      </c>
      <c r="F35" s="25">
        <v>3.5</v>
      </c>
      <c r="G35" s="37">
        <f t="shared" si="0"/>
        <v>0.7</v>
      </c>
      <c r="H35" s="38" t="str">
        <f t="shared" si="1"/>
        <v>جيد</v>
      </c>
      <c r="I35" s="60"/>
      <c r="J35" s="69"/>
    </row>
    <row r="36" spans="1:10" ht="39.9" customHeight="1" x14ac:dyDescent="0.3">
      <c r="A36" s="9"/>
      <c r="B36" s="53" t="s">
        <v>208</v>
      </c>
      <c r="C36" s="54"/>
      <c r="D36" s="54"/>
      <c r="E36" s="28">
        <v>5</v>
      </c>
      <c r="F36" s="25">
        <v>4.25</v>
      </c>
      <c r="G36" s="37">
        <f t="shared" si="0"/>
        <v>0.85</v>
      </c>
      <c r="H36" s="38" t="str">
        <f t="shared" si="1"/>
        <v>جيد جداً</v>
      </c>
      <c r="I36" s="60"/>
      <c r="J36" s="69"/>
    </row>
    <row r="37" spans="1:10" ht="48.75" customHeight="1" x14ac:dyDescent="0.3">
      <c r="A37" s="9"/>
      <c r="B37" s="53" t="s">
        <v>209</v>
      </c>
      <c r="C37" s="54"/>
      <c r="D37" s="54"/>
      <c r="E37" s="28">
        <v>5</v>
      </c>
      <c r="F37" s="25">
        <v>3.75</v>
      </c>
      <c r="G37" s="37">
        <f t="shared" si="0"/>
        <v>0.75</v>
      </c>
      <c r="H37" s="38" t="str">
        <f t="shared" si="1"/>
        <v>جيد</v>
      </c>
      <c r="I37" s="60"/>
      <c r="J37" s="69"/>
    </row>
    <row r="38" spans="1:10" ht="39.9" customHeight="1" x14ac:dyDescent="0.3">
      <c r="A38" s="9"/>
      <c r="B38" s="53" t="s">
        <v>210</v>
      </c>
      <c r="C38" s="54"/>
      <c r="D38" s="54"/>
      <c r="E38" s="28">
        <v>5</v>
      </c>
      <c r="F38" s="25">
        <v>3.75</v>
      </c>
      <c r="G38" s="37">
        <f t="shared" si="0"/>
        <v>0.75</v>
      </c>
      <c r="H38" s="38" t="str">
        <f t="shared" si="1"/>
        <v>جيد</v>
      </c>
      <c r="I38" s="60"/>
      <c r="J38" s="69"/>
    </row>
    <row r="39" spans="1:10" ht="30" customHeight="1" thickBot="1" x14ac:dyDescent="0.35">
      <c r="A39" s="9"/>
      <c r="B39" s="49" t="s">
        <v>211</v>
      </c>
      <c r="C39" s="50"/>
      <c r="D39" s="50"/>
      <c r="E39" s="29">
        <v>5</v>
      </c>
      <c r="F39" s="26">
        <v>3.5</v>
      </c>
      <c r="G39" s="46">
        <f t="shared" si="0"/>
        <v>0.7</v>
      </c>
      <c r="H39" s="47" t="str">
        <f t="shared" si="1"/>
        <v>جيد</v>
      </c>
      <c r="I39" s="65"/>
      <c r="J39" s="66"/>
    </row>
    <row r="40" spans="1:10" ht="30" customHeight="1" x14ac:dyDescent="0.3">
      <c r="A40" s="9"/>
      <c r="B40" s="51" t="s">
        <v>212</v>
      </c>
      <c r="C40" s="52"/>
      <c r="D40" s="52"/>
      <c r="E40" s="32"/>
      <c r="F40" s="43"/>
      <c r="G40" s="44"/>
      <c r="H40" s="45"/>
      <c r="I40" s="67"/>
      <c r="J40" s="68"/>
    </row>
    <row r="41" spans="1:10" ht="30" customHeight="1" x14ac:dyDescent="0.3">
      <c r="A41" s="9"/>
      <c r="B41" s="53" t="s">
        <v>213</v>
      </c>
      <c r="C41" s="54"/>
      <c r="D41" s="54"/>
      <c r="E41" s="28">
        <v>5</v>
      </c>
      <c r="F41" s="25">
        <v>4</v>
      </c>
      <c r="G41" s="37">
        <f t="shared" si="0"/>
        <v>0.8</v>
      </c>
      <c r="H41" s="38" t="str">
        <f t="shared" si="1"/>
        <v>جيد جداً</v>
      </c>
      <c r="I41" s="60"/>
      <c r="J41" s="69"/>
    </row>
    <row r="42" spans="1:10" ht="39.9" customHeight="1" x14ac:dyDescent="0.3">
      <c r="A42" s="9"/>
      <c r="B42" s="53" t="s">
        <v>214</v>
      </c>
      <c r="C42" s="54"/>
      <c r="D42" s="54"/>
      <c r="E42" s="28">
        <v>5</v>
      </c>
      <c r="F42" s="25">
        <v>3.5</v>
      </c>
      <c r="G42" s="37">
        <f t="shared" si="0"/>
        <v>0.7</v>
      </c>
      <c r="H42" s="38" t="str">
        <f t="shared" si="1"/>
        <v>جيد</v>
      </c>
      <c r="I42" s="60"/>
      <c r="J42" s="69"/>
    </row>
    <row r="43" spans="1:10" ht="39.9" customHeight="1" x14ac:dyDescent="0.3">
      <c r="A43" s="9"/>
      <c r="B43" s="53" t="s">
        <v>215</v>
      </c>
      <c r="C43" s="54"/>
      <c r="D43" s="54"/>
      <c r="E43" s="28">
        <v>5</v>
      </c>
      <c r="F43" s="25">
        <v>3.75</v>
      </c>
      <c r="G43" s="37">
        <f t="shared" si="0"/>
        <v>0.75</v>
      </c>
      <c r="H43" s="38" t="str">
        <f t="shared" si="1"/>
        <v>جيد</v>
      </c>
      <c r="I43" s="60"/>
      <c r="J43" s="69"/>
    </row>
    <row r="44" spans="1:10" ht="30" customHeight="1" x14ac:dyDescent="0.3">
      <c r="A44" s="9"/>
      <c r="B44" s="53" t="s">
        <v>216</v>
      </c>
      <c r="C44" s="54"/>
      <c r="D44" s="54"/>
      <c r="E44" s="28">
        <v>5</v>
      </c>
      <c r="F44" s="25">
        <v>3.75</v>
      </c>
      <c r="G44" s="37">
        <f t="shared" si="0"/>
        <v>0.75</v>
      </c>
      <c r="H44" s="38" t="str">
        <f t="shared" si="1"/>
        <v>جيد</v>
      </c>
      <c r="I44" s="60"/>
      <c r="J44" s="69"/>
    </row>
    <row r="45" spans="1:10" ht="30" customHeight="1" x14ac:dyDescent="0.3">
      <c r="A45" s="9"/>
      <c r="B45" s="53" t="s">
        <v>217</v>
      </c>
      <c r="C45" s="54"/>
      <c r="D45" s="54"/>
      <c r="E45" s="28">
        <v>5</v>
      </c>
      <c r="F45" s="25">
        <v>3.5</v>
      </c>
      <c r="G45" s="37">
        <f t="shared" si="0"/>
        <v>0.7</v>
      </c>
      <c r="H45" s="38" t="str">
        <f t="shared" si="1"/>
        <v>جيد</v>
      </c>
      <c r="I45" s="60"/>
      <c r="J45" s="69"/>
    </row>
    <row r="46" spans="1:10" ht="30" customHeight="1" x14ac:dyDescent="0.3">
      <c r="A46" s="9"/>
      <c r="B46" s="53" t="s">
        <v>218</v>
      </c>
      <c r="C46" s="54"/>
      <c r="D46" s="54"/>
      <c r="E46" s="28">
        <v>5</v>
      </c>
      <c r="F46" s="25">
        <v>3.75</v>
      </c>
      <c r="G46" s="37">
        <f t="shared" si="0"/>
        <v>0.75</v>
      </c>
      <c r="H46" s="38" t="str">
        <f t="shared" si="1"/>
        <v>جيد</v>
      </c>
      <c r="I46" s="60"/>
      <c r="J46" s="69"/>
    </row>
    <row r="47" spans="1:10" ht="30" customHeight="1" x14ac:dyDescent="0.3">
      <c r="A47" s="9"/>
      <c r="B47" s="53" t="s">
        <v>219</v>
      </c>
      <c r="C47" s="54"/>
      <c r="D47" s="54"/>
      <c r="E47" s="28">
        <v>5</v>
      </c>
      <c r="F47" s="25">
        <v>3.75</v>
      </c>
      <c r="G47" s="37">
        <f t="shared" si="0"/>
        <v>0.75</v>
      </c>
      <c r="H47" s="38" t="str">
        <f t="shared" si="1"/>
        <v>جيد</v>
      </c>
      <c r="I47" s="60"/>
      <c r="J47" s="69"/>
    </row>
    <row r="48" spans="1:10" ht="30" customHeight="1" x14ac:dyDescent="0.3">
      <c r="A48" s="9"/>
      <c r="B48" s="53" t="s">
        <v>220</v>
      </c>
      <c r="C48" s="54"/>
      <c r="D48" s="54"/>
      <c r="E48" s="28">
        <v>5</v>
      </c>
      <c r="F48" s="25">
        <v>3.75</v>
      </c>
      <c r="G48" s="37">
        <f t="shared" si="0"/>
        <v>0.75</v>
      </c>
      <c r="H48" s="38" t="str">
        <f t="shared" si="1"/>
        <v>جيد</v>
      </c>
      <c r="I48" s="60"/>
      <c r="J48" s="69"/>
    </row>
    <row r="49" spans="1:10" ht="30" customHeight="1" thickBot="1" x14ac:dyDescent="0.35">
      <c r="A49" s="9"/>
      <c r="B49" s="49" t="s">
        <v>221</v>
      </c>
      <c r="C49" s="50"/>
      <c r="D49" s="50"/>
      <c r="E49" s="33">
        <v>10</v>
      </c>
      <c r="F49" s="26">
        <v>8.75</v>
      </c>
      <c r="G49" s="46">
        <f t="shared" si="0"/>
        <v>0.875</v>
      </c>
      <c r="H49" s="47" t="str">
        <f t="shared" si="1"/>
        <v>جيد جداً</v>
      </c>
      <c r="I49" s="65"/>
      <c r="J49" s="66"/>
    </row>
    <row r="50" spans="1:10" ht="30" customHeight="1" x14ac:dyDescent="0.3">
      <c r="A50" s="9"/>
      <c r="B50" s="51" t="s">
        <v>222</v>
      </c>
      <c r="C50" s="52"/>
      <c r="D50" s="52"/>
      <c r="E50" s="31"/>
      <c r="F50" s="43"/>
      <c r="G50" s="44"/>
      <c r="H50" s="45"/>
      <c r="I50" s="67"/>
      <c r="J50" s="68"/>
    </row>
    <row r="51" spans="1:10" ht="30" customHeight="1" x14ac:dyDescent="0.3">
      <c r="A51" s="9"/>
      <c r="B51" s="53" t="s">
        <v>223</v>
      </c>
      <c r="C51" s="54"/>
      <c r="D51" s="54"/>
      <c r="E51" s="28">
        <v>5</v>
      </c>
      <c r="F51" s="25">
        <v>3.5</v>
      </c>
      <c r="G51" s="37">
        <f t="shared" si="0"/>
        <v>0.7</v>
      </c>
      <c r="H51" s="38" t="str">
        <f t="shared" si="1"/>
        <v>جيد</v>
      </c>
      <c r="I51" s="60"/>
      <c r="J51" s="69"/>
    </row>
    <row r="52" spans="1:10" ht="30" customHeight="1" x14ac:dyDescent="0.3">
      <c r="A52" s="9"/>
      <c r="B52" s="53" t="s">
        <v>224</v>
      </c>
      <c r="C52" s="54"/>
      <c r="D52" s="54"/>
      <c r="E52" s="28">
        <v>5</v>
      </c>
      <c r="F52" s="48">
        <v>3.5</v>
      </c>
      <c r="G52" s="37">
        <f t="shared" si="0"/>
        <v>0.7</v>
      </c>
      <c r="H52" s="38" t="str">
        <f t="shared" si="1"/>
        <v>جيد</v>
      </c>
      <c r="I52" s="60"/>
      <c r="J52" s="69"/>
    </row>
    <row r="53" spans="1:10" ht="30" customHeight="1" x14ac:dyDescent="0.3">
      <c r="A53" s="9"/>
      <c r="B53" s="53" t="s">
        <v>225</v>
      </c>
      <c r="C53" s="54"/>
      <c r="D53" s="54"/>
      <c r="E53" s="28">
        <v>5</v>
      </c>
      <c r="F53" s="25">
        <v>3.5</v>
      </c>
      <c r="G53" s="37">
        <f t="shared" si="0"/>
        <v>0.7</v>
      </c>
      <c r="H53" s="38" t="str">
        <f t="shared" si="1"/>
        <v>جيد</v>
      </c>
      <c r="I53" s="60"/>
      <c r="J53" s="69"/>
    </row>
    <row r="54" spans="1:10" ht="30" customHeight="1" x14ac:dyDescent="0.3">
      <c r="A54" s="9"/>
      <c r="B54" s="53" t="s">
        <v>226</v>
      </c>
      <c r="C54" s="54"/>
      <c r="D54" s="54"/>
      <c r="E54" s="28">
        <v>5</v>
      </c>
      <c r="F54" s="25">
        <v>4</v>
      </c>
      <c r="G54" s="37">
        <f t="shared" si="0"/>
        <v>0.8</v>
      </c>
      <c r="H54" s="38" t="str">
        <f t="shared" si="1"/>
        <v>جيد جداً</v>
      </c>
      <c r="I54" s="60"/>
      <c r="J54" s="69"/>
    </row>
    <row r="55" spans="1:10" ht="30" customHeight="1" x14ac:dyDescent="0.3">
      <c r="A55" s="9"/>
      <c r="B55" s="53" t="s">
        <v>227</v>
      </c>
      <c r="C55" s="54"/>
      <c r="D55" s="54"/>
      <c r="E55" s="28">
        <v>5</v>
      </c>
      <c r="F55" s="25">
        <v>3.5</v>
      </c>
      <c r="G55" s="37">
        <f t="shared" si="0"/>
        <v>0.7</v>
      </c>
      <c r="H55" s="38" t="str">
        <f t="shared" si="1"/>
        <v>جيد</v>
      </c>
      <c r="I55" s="60"/>
      <c r="J55" s="69"/>
    </row>
    <row r="56" spans="1:10" ht="30" customHeight="1" x14ac:dyDescent="0.3">
      <c r="A56" s="9"/>
      <c r="B56" s="53" t="s">
        <v>228</v>
      </c>
      <c r="C56" s="54"/>
      <c r="D56" s="54"/>
      <c r="E56" s="28">
        <v>5</v>
      </c>
      <c r="F56" s="25">
        <v>4</v>
      </c>
      <c r="G56" s="37">
        <f t="shared" si="0"/>
        <v>0.8</v>
      </c>
      <c r="H56" s="38" t="str">
        <f t="shared" si="1"/>
        <v>جيد جداً</v>
      </c>
      <c r="I56" s="60"/>
      <c r="J56" s="69"/>
    </row>
    <row r="57" spans="1:10" ht="30" customHeight="1" x14ac:dyDescent="0.3">
      <c r="A57" s="9"/>
      <c r="B57" s="53" t="s">
        <v>229</v>
      </c>
      <c r="C57" s="54"/>
      <c r="D57" s="54"/>
      <c r="E57" s="28">
        <v>5</v>
      </c>
      <c r="F57" s="25">
        <v>4</v>
      </c>
      <c r="G57" s="37">
        <f t="shared" si="0"/>
        <v>0.8</v>
      </c>
      <c r="H57" s="38" t="str">
        <f t="shared" si="1"/>
        <v>جيد جداً</v>
      </c>
      <c r="I57" s="60"/>
      <c r="J57" s="69"/>
    </row>
    <row r="58" spans="1:10" ht="30" customHeight="1" x14ac:dyDescent="0.3">
      <c r="A58" s="9"/>
      <c r="B58" s="53" t="s">
        <v>230</v>
      </c>
      <c r="C58" s="54"/>
      <c r="D58" s="54"/>
      <c r="E58" s="28">
        <v>5</v>
      </c>
      <c r="F58" s="25">
        <v>3.5</v>
      </c>
      <c r="G58" s="37">
        <f t="shared" si="0"/>
        <v>0.7</v>
      </c>
      <c r="H58" s="38" t="str">
        <f t="shared" si="1"/>
        <v>جيد</v>
      </c>
      <c r="I58" s="60"/>
      <c r="J58" s="69"/>
    </row>
    <row r="59" spans="1:10" ht="30" customHeight="1" thickBot="1" x14ac:dyDescent="0.35">
      <c r="A59" s="9"/>
      <c r="B59" s="49" t="s">
        <v>231</v>
      </c>
      <c r="C59" s="50"/>
      <c r="D59" s="50"/>
      <c r="E59" s="29">
        <v>5</v>
      </c>
      <c r="F59" s="26">
        <v>3.5</v>
      </c>
      <c r="G59" s="46">
        <f t="shared" si="0"/>
        <v>0.7</v>
      </c>
      <c r="H59" s="47" t="str">
        <f t="shared" si="1"/>
        <v>جيد</v>
      </c>
      <c r="I59" s="65"/>
      <c r="J59" s="66"/>
    </row>
    <row r="60" spans="1:10" ht="30" customHeight="1" x14ac:dyDescent="0.3">
      <c r="A60" s="9"/>
      <c r="B60" s="51" t="s">
        <v>232</v>
      </c>
      <c r="C60" s="52"/>
      <c r="D60" s="52"/>
      <c r="E60" s="31"/>
      <c r="F60" s="43"/>
      <c r="G60" s="44"/>
      <c r="H60" s="45"/>
      <c r="I60" s="67"/>
      <c r="J60" s="68"/>
    </row>
    <row r="61" spans="1:10" ht="30" customHeight="1" thickBot="1" x14ac:dyDescent="0.35">
      <c r="A61" s="9"/>
      <c r="B61" s="49" t="s">
        <v>233</v>
      </c>
      <c r="C61" s="50"/>
      <c r="D61" s="50"/>
      <c r="E61" s="29">
        <v>5</v>
      </c>
      <c r="F61" s="26">
        <v>3.5</v>
      </c>
      <c r="G61" s="46">
        <f t="shared" si="0"/>
        <v>0.7</v>
      </c>
      <c r="H61" s="47" t="str">
        <f t="shared" si="1"/>
        <v>جيد</v>
      </c>
      <c r="I61" s="65"/>
      <c r="J61" s="66"/>
    </row>
    <row r="62" spans="1:10" ht="30" customHeight="1" x14ac:dyDescent="0.3">
      <c r="A62" s="9"/>
      <c r="B62" s="51" t="s">
        <v>234</v>
      </c>
      <c r="C62" s="52"/>
      <c r="D62" s="52"/>
      <c r="E62" s="31"/>
      <c r="F62" s="43"/>
      <c r="G62" s="44"/>
      <c r="H62" s="45"/>
      <c r="I62" s="67"/>
      <c r="J62" s="68"/>
    </row>
    <row r="63" spans="1:10" ht="30" customHeight="1" x14ac:dyDescent="0.3">
      <c r="A63" s="9"/>
      <c r="B63" s="53" t="s">
        <v>236</v>
      </c>
      <c r="C63" s="54"/>
      <c r="D63" s="54"/>
      <c r="E63" s="28">
        <v>5</v>
      </c>
      <c r="F63" s="25">
        <v>3.5</v>
      </c>
      <c r="G63" s="37">
        <f t="shared" ref="G63:G67" si="2">IFERROR(F63/E63,"")</f>
        <v>0.7</v>
      </c>
      <c r="H63" s="38" t="str">
        <f t="shared" ref="H63:H67" si="3">_xlfn.IFS(F63="أدخل العلامة","",F63="لا ينطبق","تم الإلغاء",G63&gt;=90%,"ممتاز",G63&gt;=80%,"جيد جداً",G63&gt;=70%,"جيد",G63&gt;=60%,"مقبول",G63&lt;60%,"راسب")</f>
        <v>جيد</v>
      </c>
      <c r="I63" s="60"/>
      <c r="J63" s="69"/>
    </row>
    <row r="64" spans="1:10" ht="30" customHeight="1" x14ac:dyDescent="0.3">
      <c r="A64" s="9"/>
      <c r="B64" s="53" t="s">
        <v>237</v>
      </c>
      <c r="C64" s="54"/>
      <c r="D64" s="54"/>
      <c r="E64" s="28">
        <v>5</v>
      </c>
      <c r="F64" s="25">
        <v>4</v>
      </c>
      <c r="G64" s="37">
        <f t="shared" si="2"/>
        <v>0.8</v>
      </c>
      <c r="H64" s="38" t="str">
        <f t="shared" si="3"/>
        <v>جيد جداً</v>
      </c>
      <c r="I64" s="60"/>
      <c r="J64" s="69"/>
    </row>
    <row r="65" spans="1:10" ht="39.9" customHeight="1" x14ac:dyDescent="0.3">
      <c r="A65" s="9"/>
      <c r="B65" s="53" t="s">
        <v>238</v>
      </c>
      <c r="C65" s="54"/>
      <c r="D65" s="54"/>
      <c r="E65" s="28">
        <v>5</v>
      </c>
      <c r="F65" s="25">
        <v>3.5</v>
      </c>
      <c r="G65" s="37">
        <f t="shared" si="2"/>
        <v>0.7</v>
      </c>
      <c r="H65" s="38" t="str">
        <f t="shared" si="3"/>
        <v>جيد</v>
      </c>
      <c r="I65" s="60"/>
      <c r="J65" s="69"/>
    </row>
    <row r="66" spans="1:10" ht="30" customHeight="1" x14ac:dyDescent="0.3">
      <c r="A66" s="9"/>
      <c r="B66" s="53" t="s">
        <v>239</v>
      </c>
      <c r="C66" s="54"/>
      <c r="D66" s="54"/>
      <c r="E66" s="28">
        <v>5</v>
      </c>
      <c r="F66" s="25">
        <v>4</v>
      </c>
      <c r="G66" s="37">
        <f t="shared" si="2"/>
        <v>0.8</v>
      </c>
      <c r="H66" s="38" t="str">
        <f t="shared" si="3"/>
        <v>جيد جداً</v>
      </c>
      <c r="I66" s="60"/>
      <c r="J66" s="69"/>
    </row>
    <row r="67" spans="1:10" ht="30" customHeight="1" thickBot="1" x14ac:dyDescent="0.35">
      <c r="A67" s="9"/>
      <c r="B67" s="49" t="s">
        <v>240</v>
      </c>
      <c r="C67" s="50"/>
      <c r="D67" s="50"/>
      <c r="E67" s="29">
        <v>10</v>
      </c>
      <c r="F67" s="26">
        <v>7.75</v>
      </c>
      <c r="G67" s="46">
        <f t="shared" si="2"/>
        <v>0.77500000000000002</v>
      </c>
      <c r="H67" s="47" t="str">
        <f t="shared" si="3"/>
        <v>جيد</v>
      </c>
      <c r="I67" s="65"/>
      <c r="J67" s="66"/>
    </row>
    <row r="68" spans="1:10" ht="30" customHeight="1" thickBot="1" x14ac:dyDescent="0.35">
      <c r="A68" s="4"/>
      <c r="B68" s="61" t="s">
        <v>5</v>
      </c>
      <c r="C68" s="62"/>
      <c r="D68" s="62"/>
      <c r="E68" s="35">
        <f>SUM(E8:E67)</f>
        <v>285</v>
      </c>
      <c r="F68" s="35">
        <f>SUM(F8:F67)</f>
        <v>215.25</v>
      </c>
      <c r="G68" s="97"/>
      <c r="H68" s="98"/>
      <c r="I68" s="98"/>
      <c r="J68" s="99"/>
    </row>
    <row r="69" spans="1:10" ht="30" customHeight="1" thickBot="1" x14ac:dyDescent="0.35">
      <c r="A69" s="4"/>
      <c r="B69" s="63" t="s">
        <v>54</v>
      </c>
      <c r="C69" s="64"/>
      <c r="D69" s="64"/>
      <c r="E69" s="84">
        <f>F68/E68/100*100</f>
        <v>0.75526315789473686</v>
      </c>
      <c r="F69" s="84"/>
      <c r="G69" s="84"/>
      <c r="H69" s="84"/>
      <c r="I69" s="84"/>
      <c r="J69" s="85"/>
    </row>
    <row r="70" spans="1:10" ht="30" customHeight="1" thickBot="1" x14ac:dyDescent="0.35">
      <c r="A70" s="4"/>
      <c r="B70" s="63" t="s">
        <v>55</v>
      </c>
      <c r="C70" s="64"/>
      <c r="D70" s="64"/>
      <c r="E70" s="75" t="str">
        <f>_xlfn.IFS(E69&gt;=90%,"ممتاز",E69&gt;=80%,"جيد جداً",E69&gt;=70%,"جيد",E69&gt;=60%,"مقبول",E69&lt;60%,"راسب")</f>
        <v>جيد</v>
      </c>
      <c r="F70" s="75"/>
      <c r="G70" s="75"/>
      <c r="H70" s="75"/>
      <c r="I70" s="75"/>
      <c r="J70" s="76"/>
    </row>
    <row r="71" spans="1:10" ht="42" customHeight="1" x14ac:dyDescent="0.3">
      <c r="B71" s="71" t="s">
        <v>174</v>
      </c>
      <c r="C71" s="71"/>
      <c r="D71" s="71"/>
      <c r="E71" s="95" t="s">
        <v>52</v>
      </c>
      <c r="F71" s="95"/>
      <c r="G71" s="73" t="s">
        <v>128</v>
      </c>
      <c r="H71" s="73"/>
      <c r="I71" s="73"/>
      <c r="J71" s="73"/>
    </row>
    <row r="72" spans="1:10" ht="51" customHeight="1" x14ac:dyDescent="0.3">
      <c r="A72" s="5"/>
      <c r="B72" s="72"/>
      <c r="C72" s="72"/>
      <c r="D72" s="72"/>
      <c r="E72" s="96" t="s">
        <v>53</v>
      </c>
      <c r="F72" s="96"/>
      <c r="G72" s="74"/>
      <c r="H72" s="74"/>
      <c r="I72" s="74"/>
      <c r="J72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1">
    <mergeCell ref="I47:J47"/>
    <mergeCell ref="I48:J48"/>
    <mergeCell ref="E71:F71"/>
    <mergeCell ref="E72:F72"/>
    <mergeCell ref="G68:J68"/>
    <mergeCell ref="I62:J62"/>
    <mergeCell ref="I63:J63"/>
    <mergeCell ref="I64:J64"/>
    <mergeCell ref="I9:J9"/>
    <mergeCell ref="I32:J32"/>
    <mergeCell ref="I33:J33"/>
    <mergeCell ref="I34:J34"/>
    <mergeCell ref="I35:J35"/>
    <mergeCell ref="I36:J36"/>
    <mergeCell ref="B1:J1"/>
    <mergeCell ref="F2:J2"/>
    <mergeCell ref="B5:D6"/>
    <mergeCell ref="C2:D2"/>
    <mergeCell ref="C3:D3"/>
    <mergeCell ref="F3:J3"/>
    <mergeCell ref="E69:J6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71:D72"/>
    <mergeCell ref="G71:J71"/>
    <mergeCell ref="G72:J72"/>
    <mergeCell ref="E70:J70"/>
    <mergeCell ref="I40:J40"/>
    <mergeCell ref="I41:J41"/>
    <mergeCell ref="I42:J42"/>
    <mergeCell ref="I43:J43"/>
    <mergeCell ref="I44:J44"/>
    <mergeCell ref="I65:J65"/>
    <mergeCell ref="I66:J66"/>
    <mergeCell ref="I67:J67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8:J8"/>
    <mergeCell ref="B68:D68"/>
    <mergeCell ref="B69:D69"/>
    <mergeCell ref="B70:D7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5:D65"/>
    <mergeCell ref="B66:D66"/>
    <mergeCell ref="B67:D67"/>
    <mergeCell ref="B62:D62"/>
    <mergeCell ref="B63:D63"/>
    <mergeCell ref="B64:D64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0">
    <cfRule type="expression" dxfId="14" priority="57">
      <formula>$E70="راسب"</formula>
    </cfRule>
  </conditionalFormatting>
  <conditionalFormatting sqref="E70:J70">
    <cfRule type="expression" dxfId="13" priority="58">
      <formula>$E70="مقبول"</formula>
    </cfRule>
    <cfRule type="expression" dxfId="12" priority="59">
      <formula>$E70="جيد"</formula>
    </cfRule>
    <cfRule type="expression" dxfId="11" priority="60">
      <formula>$E70="جيد جداً"</formula>
    </cfRule>
    <cfRule type="expression" dxfId="10" priority="61">
      <formula>$E70="ممتاز"</formula>
    </cfRule>
  </conditionalFormatting>
  <conditionalFormatting sqref="F8:F6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1:J71">
    <cfRule type="containsText" dxfId="6" priority="15" operator="containsText" text="أدخل اسم المحكم">
      <formula>NOT(ISERROR(SEARCH("أدخل اسم المحكم",G71)))</formula>
    </cfRule>
  </conditionalFormatting>
  <conditionalFormatting sqref="H8:H6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G71:J71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F32 F61 F51:F59 F63:F66 F34:F39 F41:F48 F24:F28 F10:F22</xm:sqref>
        </x14:dataValidation>
        <x14:dataValidation type="list" allowBlank="1" showInputMessage="1" showErrorMessage="1" xr:uid="{4D3460E9-781F-407A-9B39-556A6D8CB0ED}">
          <x14:formula1>
            <xm:f>'بيانات التقييم'!$A$111:$A$153</xm:f>
          </x14:formula1>
          <xm:sqref>F9 F30 F31 F49 F67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49" workbookViewId="0">
      <selection activeCell="A176" sqref="A176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2025-10-06T17:53:05Z</dcterms:modified>
</cp:coreProperties>
</file>