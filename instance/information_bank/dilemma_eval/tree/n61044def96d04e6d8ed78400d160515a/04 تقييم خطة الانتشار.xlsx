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148624D4-0EEA-6946-A495-4FDCA0E3ADC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<sst xmlns="http://schemas.openxmlformats.org/spreadsheetml/2006/main" count="246" uniqueCount="190">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</sst>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617865</xdr:colOff>
      <xdr:row>20</xdr:row>
      <xdr:rowOff>144148</xdr:rowOff>
    </xdr:from>
    <xdr:to>
      <xdr:col>7</xdr:col>
      <xdr:colOff>596615</xdr:colOff>
      <xdr:row>20</xdr:row>
      <xdr:rowOff>390748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353B292-A05F-439C-1C25-1AFA30615212}"/>
                </a:ext>
              </a:extLst>
            </xdr14:cNvPr>
            <xdr14:cNvContentPartPr/>
          </xdr14:nvContentPartPr>
          <xdr14:nvPr macro=""/>
          <xdr14:xfrm>
            <a:off x="10399306385" y="9057240"/>
            <a:ext cx="636840" cy="246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353B292-A05F-439C-1C25-1AFA306152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00265" y="9051120"/>
              <a:ext cx="64908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474215</xdr:colOff>
      <xdr:row>20</xdr:row>
      <xdr:rowOff>180508</xdr:rowOff>
    </xdr:from>
    <xdr:to>
      <xdr:col>9</xdr:col>
      <xdr:colOff>130754</xdr:colOff>
      <xdr:row>20</xdr:row>
      <xdr:rowOff>439708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840F32C-F93E-CCB3-729A-F50FD35AC80B}"/>
                </a:ext>
              </a:extLst>
            </xdr14:cNvPr>
            <xdr14:cNvContentPartPr/>
          </xdr14:nvContentPartPr>
          <xdr14:nvPr macro=""/>
          <xdr14:xfrm>
            <a:off x="10398456065" y="9093600"/>
            <a:ext cx="972720" cy="259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840F32C-F93E-CCB3-729A-F50FD35AC8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449945" y="9087480"/>
              <a:ext cx="984960" cy="271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2:34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1115 684 4432,'0'0'0,"0"-1"1961,0 0-569,0-1-664,0 2-728,0-1 536,0-1-143,0 1-33,-3-1-96,3 2-264,-2-2 256,2-1 120,0 1 72,-3-1 152,3 3-600,-2-2 720,0-1 8,2 0 88,-3-1-71,3 4-745,0-3 736,-2 0-16,-1-1-104,1 1-72,2 3-544,0-3 496,0-1-96,0 1-120,-3-1-79,3 4-201,0-5 120,0 1-56,0 0-40,0-2 16,0 6-40,0-6 32,0-5-16,0 7 40,-2-2-16,2 6-40,-5-11 32,5 8-64,-2-3 96,-1-5-56,3 11-8,0-4 24,-2-2 48,0-5-48,-3 6 16,5 5-40,-3-14 16,1 8 16,-3-11-56,0 5 48,5 12-24,-4-15-24,-1 3 40,2-3 8,-4-2-24,7 17 0,-2-15 0,-1-2 8,1 0 16,0 2 0,2 15-24,0-12 16,-3 6-40,1-8 48,-1 9-48,3 5 24,-2-11 8,2 7 8,-2-8 0,-1 9-8,3 3-8,0-5 48,0 1-32,-2-2-40,2 0 32,0 6-8,0-4 40,0-7-40,0 8-24,0-2-48,0 5 72,2-11-64,3 10 16,-3-2 24,10 0-80,-12 3 104,3-3-48,9 0 16,-7 0-24,11 2 56,-16 1 0,10-1-24,-8-1 16,15 1-16,-2 1 96,-15 0-72,9 0-48,6 0-112,-3 0 184,0 0 0,-12 0-24,14 0-8,-2 0 200,3-2-168,6 1-112,-21 1 88,22-4 88,4-1-64,1-6-24,-3 8 24,-24 3-24,29-6 0,-5-5-8,5 7-32,-3-9 32,-26 13 8,24-4-56,0-9 48,0 9-8,0-2 64,-24 6-48,22-11 16,0 6-32,-5-6 120,7 7-72,-24 4-32,14-6 24,5-5 8,-4 8-48,-1-3 32,-14 6-16,12-6 24,0-5-40,0 8-24,-7-1 80,-5 4-40,17-4-40,-12-2 56,9 0-40,-9 2 48,-5 4-24,12-4 0,-12 0 16,2 1-8,1 1-72,-3 2 64,0-1 16,0-1 128,0 1-88,0 1-56,0 0 72,0-1-48,0 1-40,0 0 56,0 0-40,0 0-40,0 0-40,0 0 64,0 0 0,0 0 168,0 0-336,0 0 72,0 0 72,0 0 32,0 0 352,0 2-680,-5 3 376,-7-1-16,10 0-112,2-4 88,-15 5-24,8-1 48,-5 0-8,7 7 8,5-11-24,-14 0 40,2 5-104,7 6 16,-10-8 24,15-3 24,-14 11-16,4-8 40,-4 10-48,-1-10 0,15-3 24,-12 13-96,-2-11 48,0 11 32,2-9 32,12-4-16,-13 15 24,1-11 0,-4 12 0,4-12-16,12-4-8,-20 17 0,4-13 16,-4 13 8,3-5 24,17-12-48,-19 4 24,2 14-32,-2-6-48,2 0 48,17-12 8,-14 5 0,-3 10 8,5-10-16,-2 9-40,14-14 48,-10 4-64,3 7 80,-8-8 8,13 2-96,2-5 72,-15 4 56,11 0-80,-8 0 16,7-1 88,5-3-80,-12 5-24,7-1 24,-9 0 16,9-1-32,5-3 16,-12 4 40,7-1-128,0 0 88,3 0 0,2-3 0,-8 3-8,4-1 88,-8 1-88,9-3 32,3 0-24,-7 3 0,-7 0 32,11 1 0,-6-1-24,9-3-8,-8 4 16,-6-1-32,2 1 16,0-1 16,12-3-16,-15 4 8,3 1 16,-4-1-48,1 0-48,5 1 0,10-5 72,-12 2 8,5 1-40,-5 0 80,12-3-48,-2 0 8,-3 0-16,0 0 120,-2 0-32,-7 0 8,14 0-88,0 0 48,-3 0-32,-9 0 8,10-3 24,2 3-48,-5-3 72,0-1-48,-7 0-8,10 0-80,2 4 64,-8-5 24,-4 0-32,10-7 8,-12 8 24,14 4-24,-5-11 8,-10 6 48,3-9-32,-2 10-40,14 4 16,-12-14 24,0 1-32,0 0 32,0-1 72,12 14-96,-12-14-8,0-3 72,-3-2-80,1 1-8,14 18 24,-15-22 48,3 4-56,0 1 32,8 0-80,4 17 56,-15-15-8,10 1 72,-7 1 24,0 1-40,12 12-48,-5-12 96,-7 1-96,0 5-24,8-7 112,4 13-88,-12-4-8,7-1 16,-10 0 32,15 1 0,0 4-40,-4-4 112,1 2 24,3 1-48,0 1-64,0 0-24,0 0 32,0 0-48,0 0 56,0 3-32,0-3-8,0 11-24,5-7 80,-3 15-88,15-6 160,-17-13-128,12 14-32,3-1-32,1 1 48,-4-1 64,-12-13-48,20 12 56,-3 1-32,-1 0 16,4-2-64,-20-11 24,16 13 8,4-1 16,-6-1-8,3 2-128,-17-13 112,17 11 32,-3-7 64,1 12-96,-3-13-40,-12-3 40,12 11 8,-7-8-160,9 1 152,-9 1 104,-5-5-104,5 4-24,-3 0 72,3 0-32,0 1-144,-5-5 128,0 4-56,0-1 24,0 0 32,0-1 0,0-2 0,0 3 48,-3 2-24,-2-3-48,3 1 48,2-3-24,-5 3 16,0 0-56,-9-3 80,12 3 0,2-3-40,-15 3 24,8-1 40,-10 1-40,-2 0-88,19-3 64,-17 4 0,-2 1 16,-5 6-32,-3-8-72,27-3 88,-29 4 0,1 9 0,-6-9 8,3 10-16,31-14 8,-29 5 8,0 12-56,-2-6 8,4-7 144,27-4-104,-26 17-24,2-12 0,2 9 8,3-10 32,19-4-16,-17 12-40,-5-10 112,5 3-32,1 6-48,16-11 8,-17 0 48,5 3-32,7 0-16,-5 0 48,10-3-48,-2 0 0,-1 0 24,3 0-8,-2 0 8,2 0-24,0 0-24,0-3 0,5-2 48,9 0-80,-14 5 56,15-14 16,-3 8-16,7-10-16,-2 5-8,-17 11 24,17-12 0,2 7 0,-7-9 16,2 8 8,-14 6-24,12-11 40,-9 6-64,9 1 8,-12 0 16,0 4 0,2-5-24,3 1 88,-5 1-80,0 1 40,0 2-24,0-2-24,-2 1 16,-3-1-8,-7 2-24,12 0 40,-12 0 40,-3 0-24,-2 3-8,-4 0-8,21-3 0,-24 4-8,0 0 72,0 1 64,0-2 8,24-3-136,-24 2 168,2-2-64,-2 3-48,2 0-16,22-3-40,-21 0 32,1 3 24,1-3-72,2 0-24,17 0 40,-14 0-272,-3 0-504,0 0-1088,0 0-3890,17 0 5754,-14-3-8434,14 3 8434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2:35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1266 393 7993,'0'0'0,"5"16"3681,7 1-2673,-12-17-1008,12 19 832,5 3 105,0-19-105,4 8-168,-21-11-664,24 3 560,0 1-160,5 9-72,0-13-88,-29 0-240,36 4 304,0-1-8,3 0 56,4-3 113,-43 0-465,46 0 480,-1 0 64,6 0 24,-1-2-48,-50 2-520,51-4 448,-1-7-80,3 7-40,-2-11-40,-51 15-288,50-14 280,3 0-80,-5-2-24,-2-1-80,-46 17-96,46-15 64,-8-3 8,-2 1-32,0 0 121,-36 17-161,34-17-16,0 0 72,-3 2-32,0 0-64,-31 15 40,27-14 96,4 0 0,-4 1 40,-3 2 40,-24 11-176,24-12 168,-5 8-48,-2-9-16,-5 9-8,-12 4-96,12-6 40,-7 2 40,4 0-24,-9 0-24,0 4-32,5-3 56,-5-1-32,0-1 8,-5-6 24,5 11-56,-14-4 8,11-8 8,-16 8-96,7-7 80,12 11 0,-14-6-32,-6-10 16,1 5 104,-5 0-120,24 11 32,-22-12 0,-4 6 32,-5-8-64,4 3 80,27 11-48,-31-6 24,-3-7-8,1 9 0,-3 0-48,36 4 32,-39-4 0,-4-1 32,-3 4-64,-4 0 8,50 1 24,-48 0 0,-1 0-88,1 4 128,5 0 8,43-4-48,-43 4 0,2 9 24,2-10-8,3 1-48,36-4 32,-38 4 32,4 8-8,0-9-88,-2 9 48,36-12 16,-31 5-96,-3 9 160,-2-10-88,5 12 80,31-16-56,-31 4 80,-3 10-144,0-9 176,3 9-104,31-14-8,-34 11-64,-2 2 32,-4 3 32,1 1-16,39-17 16,-43 20 48,-3 1 8,0 2-56,-7 1 0,53-24 0,-52 25-48,-4 2 48,-4 3 72,0-1 40,60-29-112,-63 28 16,-2-1-32,5 0-96,-7-1 128,67-26-16,-65 25-112,0-1-128,-5-1-64,-4 3-256,74-26 560,-75 24-761,-2 3-471,5 3-784,34-15-2881,38-15 4897,-46 22-9218,46-22 9218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F14" sqref="F1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1" t="s">
        <v>8</v>
      </c>
      <c r="C2" s="71" t="s">
        <v>46</v>
      </c>
      <c r="D2" s="71"/>
      <c r="E2" s="11" t="s">
        <v>7</v>
      </c>
      <c r="F2" s="66">
        <v>45929</v>
      </c>
      <c r="G2" s="66"/>
      <c r="H2" s="66"/>
      <c r="I2" s="66"/>
      <c r="J2" s="66"/>
    </row>
    <row r="3" spans="1:10" ht="30" customHeight="1" x14ac:dyDescent="0.2">
      <c r="B3" s="11" t="s">
        <v>9</v>
      </c>
      <c r="C3" s="71" t="s">
        <v>87</v>
      </c>
      <c r="D3" s="71"/>
      <c r="E3" s="11" t="s">
        <v>6</v>
      </c>
      <c r="F3" s="71" t="s">
        <v>104</v>
      </c>
      <c r="G3" s="71"/>
      <c r="H3" s="71"/>
      <c r="I3" s="71"/>
      <c r="J3" s="7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7" t="s">
        <v>0</v>
      </c>
      <c r="C5" s="68"/>
      <c r="D5" s="68"/>
      <c r="E5" s="51" t="s">
        <v>1</v>
      </c>
      <c r="F5" s="51"/>
      <c r="G5" s="51"/>
      <c r="H5" s="51"/>
      <c r="I5" s="51" t="s">
        <v>2</v>
      </c>
      <c r="J5" s="52"/>
    </row>
    <row r="6" spans="1:10" ht="24.95" customHeight="1" thickBot="1" x14ac:dyDescent="0.2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53"/>
      <c r="J6" s="54"/>
    </row>
    <row r="7" spans="1:10" ht="24.95" customHeight="1" thickBot="1" x14ac:dyDescent="0.25">
      <c r="A7" s="9"/>
      <c r="B7" s="49" t="s">
        <v>21</v>
      </c>
      <c r="C7" s="50"/>
      <c r="D7" s="50"/>
      <c r="E7" s="32" t="s">
        <v>18</v>
      </c>
      <c r="F7" s="32" t="s">
        <v>19</v>
      </c>
      <c r="G7" s="32" t="s">
        <v>22</v>
      </c>
      <c r="H7" s="32" t="s">
        <v>20</v>
      </c>
      <c r="I7" s="55" t="s">
        <v>25</v>
      </c>
      <c r="J7" s="56"/>
    </row>
    <row r="8" spans="1:10" ht="39.950000000000003" customHeight="1" x14ac:dyDescent="0.2">
      <c r="A8" s="9"/>
      <c r="B8" s="61" t="s">
        <v>181</v>
      </c>
      <c r="C8" s="62"/>
      <c r="D8" s="62"/>
      <c r="E8" s="28"/>
      <c r="F8" s="36"/>
      <c r="G8" s="37"/>
      <c r="H8" s="38"/>
      <c r="I8" s="59"/>
      <c r="J8" s="60"/>
    </row>
    <row r="9" spans="1:10" ht="39.950000000000003" customHeight="1" x14ac:dyDescent="0.2">
      <c r="A9" s="9"/>
      <c r="B9" s="63" t="s">
        <v>182</v>
      </c>
      <c r="C9" s="64"/>
      <c r="D9" s="64"/>
      <c r="E9" s="29">
        <v>10</v>
      </c>
      <c r="F9" s="25">
        <v>9</v>
      </c>
      <c r="G9" s="34">
        <f>IFERROR(F9/E9,"")</f>
        <v>0.9</v>
      </c>
      <c r="H9" s="35" t="str">
        <f>_xlfn.IFS(F9="أدخل العلامة","",F9="لا ينطبق","تم الإلغاء",G9&gt;=90%,"ممتاز",G9&gt;=80%,"جيد جداً",G9&gt;=70%,"جيد",G9&gt;=60%,"مقبول",G9&lt;60%,"راسب")</f>
        <v>ممتاز</v>
      </c>
      <c r="I9" s="57"/>
      <c r="J9" s="58"/>
    </row>
    <row r="10" spans="1:10" ht="39.950000000000003" customHeight="1" x14ac:dyDescent="0.2">
      <c r="A10" s="9"/>
      <c r="B10" s="63" t="s">
        <v>183</v>
      </c>
      <c r="C10" s="64"/>
      <c r="D10" s="64"/>
      <c r="E10" s="29">
        <v>5</v>
      </c>
      <c r="F10" s="25">
        <v>4</v>
      </c>
      <c r="G10" s="34">
        <f t="shared" ref="G10:G16" si="0">IFERROR(F10/E10,"")</f>
        <v>0.8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7"/>
      <c r="J10" s="58"/>
    </row>
    <row r="11" spans="1:10" ht="39.950000000000003" customHeight="1" thickBot="1" x14ac:dyDescent="0.25">
      <c r="A11" s="9"/>
      <c r="B11" s="43" t="s">
        <v>184</v>
      </c>
      <c r="C11" s="44"/>
      <c r="D11" s="44"/>
      <c r="E11" s="30">
        <v>5</v>
      </c>
      <c r="F11" s="27">
        <v>3.75</v>
      </c>
      <c r="G11" s="39">
        <f t="shared" si="0"/>
        <v>0.75</v>
      </c>
      <c r="H11" s="40" t="str">
        <f t="shared" si="1"/>
        <v>جيد</v>
      </c>
      <c r="I11" s="89"/>
      <c r="J11" s="90"/>
    </row>
    <row r="12" spans="1:10" ht="39.950000000000003" customHeight="1" thickBot="1" x14ac:dyDescent="0.25">
      <c r="A12" s="9"/>
      <c r="B12" s="45" t="s">
        <v>185</v>
      </c>
      <c r="C12" s="46"/>
      <c r="D12" s="46"/>
      <c r="E12" s="31">
        <v>20</v>
      </c>
      <c r="F12" s="41">
        <v>15.75</v>
      </c>
      <c r="G12" s="42">
        <f t="shared" si="0"/>
        <v>0.78749999999999998</v>
      </c>
      <c r="H12" s="26" t="str">
        <f t="shared" si="1"/>
        <v>جيد</v>
      </c>
      <c r="I12" s="47"/>
      <c r="J12" s="48"/>
    </row>
    <row r="13" spans="1:10" ht="39.950000000000003" customHeight="1" thickBot="1" x14ac:dyDescent="0.25">
      <c r="A13" s="9"/>
      <c r="B13" s="45" t="s">
        <v>186</v>
      </c>
      <c r="C13" s="46"/>
      <c r="D13" s="46"/>
      <c r="E13" s="31">
        <v>10</v>
      </c>
      <c r="F13" s="41">
        <v>7.5</v>
      </c>
      <c r="G13" s="42">
        <f t="shared" si="0"/>
        <v>0.75</v>
      </c>
      <c r="H13" s="26" t="str">
        <f t="shared" si="1"/>
        <v>جيد</v>
      </c>
      <c r="I13" s="47"/>
      <c r="J13" s="48"/>
    </row>
    <row r="14" spans="1:10" ht="39.950000000000003" customHeight="1" thickBot="1" x14ac:dyDescent="0.25">
      <c r="A14" s="9"/>
      <c r="B14" s="45" t="s">
        <v>187</v>
      </c>
      <c r="C14" s="46"/>
      <c r="D14" s="46"/>
      <c r="E14" s="31">
        <v>10</v>
      </c>
      <c r="F14" s="41">
        <v>8</v>
      </c>
      <c r="G14" s="42">
        <f t="shared" si="0"/>
        <v>0.8</v>
      </c>
      <c r="H14" s="26" t="str">
        <f t="shared" si="1"/>
        <v>جيد جداً</v>
      </c>
      <c r="I14" s="47"/>
      <c r="J14" s="48"/>
    </row>
    <row r="15" spans="1:10" ht="39.950000000000003" customHeight="1" thickBot="1" x14ac:dyDescent="0.25">
      <c r="A15" s="9"/>
      <c r="B15" s="45" t="s">
        <v>188</v>
      </c>
      <c r="C15" s="46"/>
      <c r="D15" s="46"/>
      <c r="E15" s="31">
        <v>5</v>
      </c>
      <c r="F15" s="41">
        <v>3.5</v>
      </c>
      <c r="G15" s="42">
        <f t="shared" si="0"/>
        <v>0.7</v>
      </c>
      <c r="H15" s="26" t="str">
        <f t="shared" si="1"/>
        <v>جيد</v>
      </c>
      <c r="I15" s="47"/>
      <c r="J15" s="48"/>
    </row>
    <row r="16" spans="1:10" ht="39.950000000000003" customHeight="1" thickBot="1" x14ac:dyDescent="0.25">
      <c r="A16" s="9"/>
      <c r="B16" s="45" t="s">
        <v>189</v>
      </c>
      <c r="C16" s="46"/>
      <c r="D16" s="46"/>
      <c r="E16" s="31">
        <v>5</v>
      </c>
      <c r="F16" s="41">
        <v>4.25</v>
      </c>
      <c r="G16" s="42">
        <f t="shared" si="0"/>
        <v>0.85</v>
      </c>
      <c r="H16" s="26" t="str">
        <f t="shared" si="1"/>
        <v>جيد جداً</v>
      </c>
      <c r="I16" s="47"/>
      <c r="J16" s="48"/>
    </row>
    <row r="17" spans="1:10" ht="30" customHeight="1" thickBot="1" x14ac:dyDescent="0.25">
      <c r="A17" s="4"/>
      <c r="B17" s="85" t="s">
        <v>5</v>
      </c>
      <c r="C17" s="86"/>
      <c r="D17" s="86"/>
      <c r="E17" s="33">
        <f>SUM(E8:E16)</f>
        <v>70</v>
      </c>
      <c r="F17" s="33">
        <f>SUM(F8:F16)</f>
        <v>55.75</v>
      </c>
      <c r="G17" s="74"/>
      <c r="H17" s="75"/>
      <c r="I17" s="75"/>
      <c r="J17" s="76"/>
    </row>
    <row r="18" spans="1:10" ht="30" customHeight="1" thickBot="1" x14ac:dyDescent="0.25">
      <c r="A18" s="4"/>
      <c r="B18" s="87" t="s">
        <v>54</v>
      </c>
      <c r="C18" s="88"/>
      <c r="D18" s="88"/>
      <c r="E18" s="83">
        <f>F17/E17/100*100</f>
        <v>0.79642857142857137</v>
      </c>
      <c r="F18" s="83"/>
      <c r="G18" s="83"/>
      <c r="H18" s="83"/>
      <c r="I18" s="83"/>
      <c r="J18" s="84"/>
    </row>
    <row r="19" spans="1:10" ht="30" customHeight="1" thickBot="1" x14ac:dyDescent="0.25">
      <c r="A19" s="4"/>
      <c r="B19" s="87" t="s">
        <v>55</v>
      </c>
      <c r="C19" s="88"/>
      <c r="D19" s="88"/>
      <c r="E19" s="81" t="str">
        <f>_xlfn.IFS(E18&gt;=90%,"ممتاز",E18&gt;=80%,"جيد جداً",E18&gt;=70%,"جيد",E18&gt;=60%,"مقبول",E18&lt;60%,"راسب")</f>
        <v>جيد</v>
      </c>
      <c r="F19" s="81"/>
      <c r="G19" s="81"/>
      <c r="H19" s="81"/>
      <c r="I19" s="81"/>
      <c r="J19" s="82"/>
    </row>
    <row r="20" spans="1:10" ht="42" customHeight="1" x14ac:dyDescent="0.2">
      <c r="B20" s="77" t="s">
        <v>174</v>
      </c>
      <c r="C20" s="77"/>
      <c r="D20" s="77"/>
      <c r="E20" s="72" t="s">
        <v>52</v>
      </c>
      <c r="F20" s="72"/>
      <c r="G20" s="79" t="s">
        <v>104</v>
      </c>
      <c r="H20" s="79"/>
      <c r="I20" s="79"/>
      <c r="J20" s="79"/>
    </row>
    <row r="21" spans="1:10" ht="51" customHeight="1" x14ac:dyDescent="0.2">
      <c r="A21" s="5"/>
      <c r="B21" s="78"/>
      <c r="C21" s="78"/>
      <c r="D21" s="78"/>
      <c r="E21" s="73" t="s">
        <v>53</v>
      </c>
      <c r="F21" s="73"/>
      <c r="G21" s="80"/>
      <c r="H21" s="80"/>
      <c r="I21" s="80"/>
      <c r="J21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2025-09-22T05:36:07Z</dcterms:modified>
</cp:coreProperties>
</file>