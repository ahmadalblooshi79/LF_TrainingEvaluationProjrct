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9CF4458-8B32-45A5-A528-340693766316}"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<sst xmlns="http://schemas.openxmlformats.org/spreadsheetml/2006/main" count="280" uniqueCount="224">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</sst>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0" fontId="3" fillId="0" borderId="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219453</xdr:colOff>
      <xdr:row>58</xdr:row>
      <xdr:rowOff>76003</xdr:rowOff>
    </xdr:from>
    <xdr:to>
      <xdr:col>8</xdr:col>
      <xdr:colOff>629482</xdr:colOff>
      <xdr:row>58</xdr:row>
      <xdr:rowOff>641923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643614D-B575-69B3-FD28-1B0759DF84C0}"/>
                </a:ext>
              </a:extLst>
            </xdr14:cNvPr>
            <xdr14:cNvContentPartPr/>
          </xdr14:nvContentPartPr>
          <xdr14:nvPr macro=""/>
          <xdr14:xfrm>
            <a:off x="10398615427" y="30590640"/>
            <a:ext cx="1068120" cy="565920"/>
          </xdr14:xfrm>
        </xdr:contentPart>
      </mc:Choice>
      <mc:Fallback xmlns="">
        <xdr:pic>
          <xdr:nvPicPr>
            <xdr:cNvPr id="2" name="Ink 1">
              <a:extLst>
                <a:ext uri="{FF2B5EF4-FFF2-40B4-BE49-F238E27FC236}">
                  <a16:creationId xmlns:a16="http://schemas.microsoft.com/office/drawing/2014/main" id="{E643614D-B575-69B3-FD28-1B0759DF84C0}"/>
                </a:ext>
              </a:extLst>
            </xdr:cNvPr>
            <xdr:cNvPicPr/>
          </xdr:nvPicPr>
          <xdr:blipFill>
            <a:blip xmlns:r="http://schemas.openxmlformats.org/officeDocument/2006/relationships" r:embed="rId2"/>
            <a:stretch>
              <a:fillRect/>
            </a:stretch>
          </xdr:blipFill>
          <xdr:spPr>
            <a:xfrm>
              <a:off x="10398606787" y="30582000"/>
              <a:ext cx="1085760" cy="583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31:39.092"/>
    </inkml:context>
    <inkml:brush xml:id="br0">
      <inkml:brushProperty name="width" value="0.05" units="cm"/>
      <inkml:brushProperty name="height" value="0.05" units="cm"/>
    </inkml:brush>
  </inkml:definitions>
  <inkml:trace contextRef="#ctx0" brushRef="#br0">2914 963,'0'0,"0"0,0 0,0 0,-16 0,-2-7,-11-2,-18 9,40 0,-2 0,-116-16,29 2,-29-4,-48 18,88-8,-19-1,-117-7,122 9,-23-2,-66 9,95 0,-19 0,-61-16,88 24,-19 0,-70-8,104 0,-17 0,-39 0,77 0,-13 0,-32 0,73 0,-5 0,-37 0,42 0,-5 0,-6 0,26-7,-3-2,-7-7,23 9,2-2,38-23,-5 4,10-8,90-28,-59 36,23-8,114-44,-110 45,33-11,125-34,-152 52,35-8,117-12,-158 27,31-6,80-21,-138 27,23-6,51-5,-109 25,15-2,31-7,-74 9,7-2,5 9,-25 7,2 2,-9 23,0-18,0 4,-63 62,7-16,-14 16,-71 65,57-75,-22 20,-98 102,101-108,-31 25,-70 67,137-122,-24 20,-35 39,92-78,-11 10,-17 3,54-34,0 4,30-18,-13 0,7 0,11-7,9-2,58-39,-25 13,19-10,70-52,-97 63,20-12,92-34,-111 45,18-10,30-19,-75 50,9-4,-44 18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topLeftCell="C55" zoomScale="130" zoomScaleNormal="100" zoomScaleSheetLayoutView="130" workbookViewId="0">
      <selection activeCell="G58" sqref="G58:J58"/>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38" t="s">
        <v>223</v>
      </c>
      <c r="C1" s="38"/>
      <c r="D1" s="38"/>
      <c r="E1" s="38"/>
      <c r="F1" s="38"/>
      <c r="G1" s="38"/>
      <c r="H1" s="38"/>
      <c r="I1" s="38"/>
      <c r="J1" s="38"/>
    </row>
    <row r="2" spans="1:10" ht="30" customHeight="1" x14ac:dyDescent="0.3">
      <c r="B2" s="12" t="s">
        <v>8</v>
      </c>
      <c r="C2" s="44" t="s">
        <v>43</v>
      </c>
      <c r="D2" s="44"/>
      <c r="E2" s="12" t="s">
        <v>7</v>
      </c>
      <c r="F2" s="39">
        <v>45957</v>
      </c>
      <c r="G2" s="39"/>
      <c r="H2" s="39"/>
      <c r="I2" s="39"/>
      <c r="J2" s="39"/>
    </row>
    <row r="3" spans="1:10" ht="30" customHeight="1" x14ac:dyDescent="0.3">
      <c r="B3" s="12" t="s">
        <v>9</v>
      </c>
      <c r="C3" s="44" t="s">
        <v>87</v>
      </c>
      <c r="D3" s="44"/>
      <c r="E3" s="12" t="s">
        <v>6</v>
      </c>
      <c r="F3" s="44" t="s">
        <v>131</v>
      </c>
      <c r="G3" s="44"/>
      <c r="H3" s="44"/>
      <c r="I3" s="44"/>
      <c r="J3" s="44"/>
    </row>
    <row r="4" spans="1:10" ht="30" customHeight="1" thickBot="1" x14ac:dyDescent="0.35">
      <c r="B4" s="6"/>
      <c r="C4" s="7"/>
      <c r="D4" s="7"/>
      <c r="E4" s="6"/>
      <c r="F4" s="7"/>
      <c r="G4" s="7"/>
      <c r="H4" s="8"/>
      <c r="I4" s="7"/>
      <c r="J4" s="7"/>
    </row>
    <row r="5" spans="1:10" ht="24.9" customHeight="1" x14ac:dyDescent="0.3">
      <c r="A5" s="10"/>
      <c r="B5" s="40" t="s">
        <v>0</v>
      </c>
      <c r="C5" s="41"/>
      <c r="D5" s="41"/>
      <c r="E5" s="51" t="s">
        <v>1</v>
      </c>
      <c r="F5" s="51"/>
      <c r="G5" s="51"/>
      <c r="H5" s="51"/>
      <c r="I5" s="51" t="s">
        <v>2</v>
      </c>
      <c r="J5" s="52"/>
    </row>
    <row r="6" spans="1:10" ht="24.9" customHeight="1" thickBot="1" x14ac:dyDescent="0.35">
      <c r="A6" s="10"/>
      <c r="B6" s="42"/>
      <c r="C6" s="43"/>
      <c r="D6" s="43"/>
      <c r="E6" s="11" t="s">
        <v>3</v>
      </c>
      <c r="F6" s="11" t="s">
        <v>4</v>
      </c>
      <c r="G6" s="11" t="s">
        <v>23</v>
      </c>
      <c r="H6" s="11" t="s">
        <v>24</v>
      </c>
      <c r="I6" s="53"/>
      <c r="J6" s="54"/>
    </row>
    <row r="7" spans="1:10" ht="24.9" customHeight="1" thickBot="1" x14ac:dyDescent="0.35">
      <c r="A7" s="10"/>
      <c r="B7" s="47" t="s">
        <v>21</v>
      </c>
      <c r="C7" s="48"/>
      <c r="D7" s="48"/>
      <c r="E7" s="28" t="s">
        <v>18</v>
      </c>
      <c r="F7" s="28" t="s">
        <v>19</v>
      </c>
      <c r="G7" s="28" t="s">
        <v>22</v>
      </c>
      <c r="H7" s="28" t="s">
        <v>20</v>
      </c>
      <c r="I7" s="55" t="s">
        <v>25</v>
      </c>
      <c r="J7" s="56"/>
    </row>
    <row r="8" spans="1:10" ht="39.9" customHeight="1" x14ac:dyDescent="0.3">
      <c r="A8" s="10"/>
      <c r="B8" s="82" t="s">
        <v>176</v>
      </c>
      <c r="C8" s="83"/>
      <c r="D8" s="83"/>
      <c r="E8" s="83"/>
      <c r="F8" s="83"/>
      <c r="G8" s="83"/>
      <c r="H8" s="83"/>
      <c r="I8" s="83"/>
      <c r="J8" s="84"/>
    </row>
    <row r="9" spans="1:10" ht="39.9" customHeight="1" x14ac:dyDescent="0.3">
      <c r="A9" s="10"/>
      <c r="B9" s="78" t="s">
        <v>221</v>
      </c>
      <c r="C9" s="79"/>
      <c r="D9" s="79"/>
      <c r="E9" s="9"/>
      <c r="F9" s="26"/>
      <c r="G9" s="30"/>
      <c r="H9" s="31"/>
      <c r="I9" s="49"/>
      <c r="J9" s="50"/>
    </row>
    <row r="10" spans="1:10" ht="39.9" customHeight="1" x14ac:dyDescent="0.3">
      <c r="A10" s="10"/>
      <c r="B10" s="74" t="s">
        <v>193</v>
      </c>
      <c r="C10" s="75"/>
      <c r="D10" s="75"/>
      <c r="E10" s="32"/>
      <c r="F10" s="26"/>
      <c r="G10" s="30"/>
      <c r="H10" s="31"/>
      <c r="I10" s="49"/>
      <c r="J10" s="50"/>
    </row>
    <row r="11" spans="1:10" ht="52.5" customHeight="1" x14ac:dyDescent="0.3">
      <c r="A11" s="10"/>
      <c r="B11" s="87" t="s">
        <v>194</v>
      </c>
      <c r="C11" s="88"/>
      <c r="D11" s="88"/>
      <c r="E11" s="9">
        <v>5</v>
      </c>
      <c r="F11" s="26">
        <v>3.75</v>
      </c>
      <c r="G11" s="30">
        <f t="shared" ref="G11:G54" si="0">IFERROR(F11/E11,"")</f>
        <v>0.75</v>
      </c>
      <c r="H11" s="31" t="str">
        <f t="shared" ref="H11:H54" si="1">_xlfn.IFS(F11="أدخل العلامة","",F11="لا ينطبق","تم الإلغاء",G11&gt;=90%,"ممتاز",G11&gt;=80%,"جيد جداً",G11&gt;=70%,"جيد",G11&gt;=60%,"مقبول",G11&lt;60%,"راسب")</f>
        <v>جيد</v>
      </c>
      <c r="I11" s="49"/>
      <c r="J11" s="50"/>
    </row>
    <row r="12" spans="1:10" ht="39.9" customHeight="1" x14ac:dyDescent="0.3">
      <c r="A12" s="10"/>
      <c r="B12" s="87" t="s">
        <v>195</v>
      </c>
      <c r="C12" s="88"/>
      <c r="D12" s="88"/>
      <c r="E12" s="9">
        <v>5</v>
      </c>
      <c r="F12" s="37">
        <v>3.75</v>
      </c>
      <c r="G12" s="30">
        <f t="shared" si="0"/>
        <v>0.75</v>
      </c>
      <c r="H12" s="31" t="str">
        <f t="shared" si="1"/>
        <v>جيد</v>
      </c>
      <c r="I12" s="49"/>
      <c r="J12" s="50"/>
    </row>
    <row r="13" spans="1:10" ht="39.9" customHeight="1" x14ac:dyDescent="0.3">
      <c r="A13" s="10"/>
      <c r="B13" s="85" t="s">
        <v>196</v>
      </c>
      <c r="C13" s="86"/>
      <c r="D13" s="86"/>
      <c r="E13" s="9">
        <v>5</v>
      </c>
      <c r="F13" s="37">
        <v>3.75</v>
      </c>
      <c r="G13" s="30">
        <f t="shared" si="0"/>
        <v>0.75</v>
      </c>
      <c r="H13" s="31" t="str">
        <f t="shared" si="1"/>
        <v>جيد</v>
      </c>
      <c r="I13" s="49"/>
      <c r="J13" s="50"/>
    </row>
    <row r="14" spans="1:10" ht="39.9" customHeight="1" x14ac:dyDescent="0.3">
      <c r="A14" s="10"/>
      <c r="B14" s="85" t="s">
        <v>197</v>
      </c>
      <c r="C14" s="86"/>
      <c r="D14" s="86"/>
      <c r="E14" s="9">
        <v>5</v>
      </c>
      <c r="F14" s="37">
        <v>3.75</v>
      </c>
      <c r="G14" s="30">
        <f t="shared" si="0"/>
        <v>0.75</v>
      </c>
      <c r="H14" s="31" t="str">
        <f t="shared" si="1"/>
        <v>جيد</v>
      </c>
      <c r="I14" s="49"/>
      <c r="J14" s="50"/>
    </row>
    <row r="15" spans="1:10" ht="39.9" customHeight="1" x14ac:dyDescent="0.3">
      <c r="A15" s="10"/>
      <c r="B15" s="85" t="s">
        <v>177</v>
      </c>
      <c r="C15" s="86"/>
      <c r="D15" s="86"/>
      <c r="E15" s="9">
        <v>5</v>
      </c>
      <c r="F15" s="37">
        <v>3.75</v>
      </c>
      <c r="G15" s="30">
        <f t="shared" si="0"/>
        <v>0.75</v>
      </c>
      <c r="H15" s="31" t="str">
        <f t="shared" si="1"/>
        <v>جيد</v>
      </c>
      <c r="I15" s="49"/>
      <c r="J15" s="50"/>
    </row>
    <row r="16" spans="1:10" ht="39.9" customHeight="1" x14ac:dyDescent="0.3">
      <c r="A16" s="10"/>
      <c r="B16" s="85" t="s">
        <v>178</v>
      </c>
      <c r="C16" s="86"/>
      <c r="D16" s="86"/>
      <c r="E16" s="9">
        <v>5</v>
      </c>
      <c r="F16" s="37">
        <v>3.75</v>
      </c>
      <c r="G16" s="30">
        <f t="shared" si="0"/>
        <v>0.75</v>
      </c>
      <c r="H16" s="31" t="str">
        <f t="shared" si="1"/>
        <v>جيد</v>
      </c>
      <c r="I16" s="49"/>
      <c r="J16" s="50"/>
    </row>
    <row r="17" spans="1:10" ht="39.9" customHeight="1" x14ac:dyDescent="0.3">
      <c r="A17" s="10"/>
      <c r="B17" s="85" t="s">
        <v>179</v>
      </c>
      <c r="C17" s="86"/>
      <c r="D17" s="86"/>
      <c r="E17" s="9">
        <v>5</v>
      </c>
      <c r="F17" s="37">
        <v>3.75</v>
      </c>
      <c r="G17" s="30">
        <f t="shared" si="0"/>
        <v>0.75</v>
      </c>
      <c r="H17" s="31" t="str">
        <f t="shared" si="1"/>
        <v>جيد</v>
      </c>
      <c r="I17" s="49"/>
      <c r="J17" s="50"/>
    </row>
    <row r="18" spans="1:10" ht="39.9" customHeight="1" x14ac:dyDescent="0.3">
      <c r="A18" s="10"/>
      <c r="B18" s="85" t="s">
        <v>180</v>
      </c>
      <c r="C18" s="86"/>
      <c r="D18" s="86"/>
      <c r="E18" s="9">
        <v>5</v>
      </c>
      <c r="F18" s="37">
        <v>3.75</v>
      </c>
      <c r="G18" s="30">
        <f t="shared" si="0"/>
        <v>0.75</v>
      </c>
      <c r="H18" s="31" t="str">
        <f t="shared" si="1"/>
        <v>جيد</v>
      </c>
      <c r="I18" s="49"/>
      <c r="J18" s="50"/>
    </row>
    <row r="19" spans="1:10" ht="39.9" customHeight="1" x14ac:dyDescent="0.3">
      <c r="A19" s="10"/>
      <c r="B19" s="87" t="s">
        <v>181</v>
      </c>
      <c r="C19" s="88"/>
      <c r="D19" s="88"/>
      <c r="E19" s="9">
        <v>5</v>
      </c>
      <c r="F19" s="37">
        <v>3.75</v>
      </c>
      <c r="G19" s="30">
        <f t="shared" si="0"/>
        <v>0.75</v>
      </c>
      <c r="H19" s="31" t="str">
        <f t="shared" si="1"/>
        <v>جيد</v>
      </c>
      <c r="I19" s="49"/>
      <c r="J19" s="50"/>
    </row>
    <row r="20" spans="1:10" ht="50.1" customHeight="1" thickBot="1" x14ac:dyDescent="0.35">
      <c r="A20" s="10"/>
      <c r="B20" s="76" t="s">
        <v>198</v>
      </c>
      <c r="C20" s="77"/>
      <c r="D20" s="77"/>
      <c r="E20" s="36">
        <v>5</v>
      </c>
      <c r="F20" s="37">
        <v>3.75</v>
      </c>
      <c r="G20" s="34">
        <f t="shared" si="0"/>
        <v>0.75</v>
      </c>
      <c r="H20" s="35" t="str">
        <f t="shared" si="1"/>
        <v>جيد</v>
      </c>
      <c r="I20" s="57"/>
      <c r="J20" s="58"/>
    </row>
    <row r="21" spans="1:10" ht="39.9" customHeight="1" x14ac:dyDescent="0.3">
      <c r="A21" s="10"/>
      <c r="B21" s="82" t="s">
        <v>182</v>
      </c>
      <c r="C21" s="83"/>
      <c r="D21" s="83"/>
      <c r="E21" s="83"/>
      <c r="F21" s="83"/>
      <c r="G21" s="83"/>
      <c r="H21" s="83"/>
      <c r="I21" s="83"/>
      <c r="J21" s="84"/>
    </row>
    <row r="22" spans="1:10" ht="50.1" customHeight="1" x14ac:dyDescent="0.3">
      <c r="A22" s="10"/>
      <c r="B22" s="78" t="s">
        <v>222</v>
      </c>
      <c r="C22" s="79"/>
      <c r="D22" s="79"/>
      <c r="E22" s="9"/>
      <c r="F22" s="26"/>
      <c r="G22" s="30"/>
      <c r="H22" s="31"/>
      <c r="I22" s="49"/>
      <c r="J22" s="50"/>
    </row>
    <row r="23" spans="1:10" ht="39.9" customHeight="1" x14ac:dyDescent="0.3">
      <c r="A23" s="10"/>
      <c r="B23" s="78" t="s">
        <v>199</v>
      </c>
      <c r="C23" s="79"/>
      <c r="D23" s="79"/>
      <c r="E23" s="9">
        <v>5</v>
      </c>
      <c r="F23" s="26">
        <v>3.5</v>
      </c>
      <c r="G23" s="30">
        <f t="shared" si="0"/>
        <v>0.7</v>
      </c>
      <c r="H23" s="31" t="str">
        <f t="shared" si="1"/>
        <v>جيد</v>
      </c>
      <c r="I23" s="49"/>
      <c r="J23" s="50"/>
    </row>
    <row r="24" spans="1:10" ht="39.9" customHeight="1" x14ac:dyDescent="0.3">
      <c r="A24" s="10"/>
      <c r="B24" s="78" t="s">
        <v>200</v>
      </c>
      <c r="C24" s="79"/>
      <c r="D24" s="79"/>
      <c r="E24" s="9">
        <v>5</v>
      </c>
      <c r="F24" s="37">
        <v>3.5</v>
      </c>
      <c r="G24" s="30">
        <f t="shared" si="0"/>
        <v>0.7</v>
      </c>
      <c r="H24" s="31" t="str">
        <f t="shared" si="1"/>
        <v>جيد</v>
      </c>
      <c r="I24" s="49"/>
      <c r="J24" s="50"/>
    </row>
    <row r="25" spans="1:10" ht="70.5" customHeight="1" x14ac:dyDescent="0.3">
      <c r="A25" s="10"/>
      <c r="B25" s="74" t="s">
        <v>201</v>
      </c>
      <c r="C25" s="75"/>
      <c r="D25" s="75"/>
      <c r="E25" s="32"/>
      <c r="F25" s="26"/>
      <c r="G25" s="30"/>
      <c r="H25" s="31"/>
      <c r="I25" s="49"/>
      <c r="J25" s="50"/>
    </row>
    <row r="26" spans="1:10" ht="39.9" customHeight="1" x14ac:dyDescent="0.3">
      <c r="A26" s="10"/>
      <c r="B26" s="87" t="s">
        <v>183</v>
      </c>
      <c r="C26" s="88"/>
      <c r="D26" s="88"/>
      <c r="E26" s="9">
        <v>5</v>
      </c>
      <c r="F26" s="26">
        <v>3.75</v>
      </c>
      <c r="G26" s="30">
        <f t="shared" si="0"/>
        <v>0.75</v>
      </c>
      <c r="H26" s="31" t="str">
        <f t="shared" si="1"/>
        <v>جيد</v>
      </c>
      <c r="I26" s="49"/>
      <c r="J26" s="50"/>
    </row>
    <row r="27" spans="1:10" ht="39.9" customHeight="1" x14ac:dyDescent="0.3">
      <c r="A27" s="10"/>
      <c r="B27" s="87" t="s">
        <v>184</v>
      </c>
      <c r="C27" s="88"/>
      <c r="D27" s="88"/>
      <c r="E27" s="9">
        <v>5</v>
      </c>
      <c r="F27" s="37">
        <v>3.75</v>
      </c>
      <c r="G27" s="30">
        <f t="shared" si="0"/>
        <v>0.75</v>
      </c>
      <c r="H27" s="31" t="str">
        <f t="shared" si="1"/>
        <v>جيد</v>
      </c>
      <c r="I27" s="49"/>
      <c r="J27" s="50"/>
    </row>
    <row r="28" spans="1:10" ht="39.9" customHeight="1" x14ac:dyDescent="0.3">
      <c r="A28" s="10"/>
      <c r="B28" s="87" t="s">
        <v>185</v>
      </c>
      <c r="C28" s="88"/>
      <c r="D28" s="88"/>
      <c r="E28" s="9">
        <v>5</v>
      </c>
      <c r="F28" s="37">
        <v>3.75</v>
      </c>
      <c r="G28" s="30">
        <f t="shared" si="0"/>
        <v>0.75</v>
      </c>
      <c r="H28" s="31" t="str">
        <f t="shared" si="1"/>
        <v>جيد</v>
      </c>
      <c r="I28" s="49"/>
      <c r="J28" s="50"/>
    </row>
    <row r="29" spans="1:10" ht="39.9" customHeight="1" x14ac:dyDescent="0.3">
      <c r="A29" s="10"/>
      <c r="B29" s="87" t="s">
        <v>186</v>
      </c>
      <c r="C29" s="88"/>
      <c r="D29" s="88"/>
      <c r="E29" s="9">
        <v>5</v>
      </c>
      <c r="F29" s="37">
        <v>3.75</v>
      </c>
      <c r="G29" s="30">
        <f t="shared" si="0"/>
        <v>0.75</v>
      </c>
      <c r="H29" s="31" t="str">
        <f t="shared" si="1"/>
        <v>جيد</v>
      </c>
      <c r="I29" s="49"/>
      <c r="J29" s="50"/>
    </row>
    <row r="30" spans="1:10" ht="39.9" customHeight="1" x14ac:dyDescent="0.3">
      <c r="A30" s="10"/>
      <c r="B30" s="87" t="s">
        <v>187</v>
      </c>
      <c r="C30" s="88"/>
      <c r="D30" s="88"/>
      <c r="E30" s="9">
        <v>5</v>
      </c>
      <c r="F30" s="37">
        <v>3.75</v>
      </c>
      <c r="G30" s="30">
        <f t="shared" si="0"/>
        <v>0.75</v>
      </c>
      <c r="H30" s="31" t="str">
        <f t="shared" si="1"/>
        <v>جيد</v>
      </c>
      <c r="I30" s="49"/>
      <c r="J30" s="50"/>
    </row>
    <row r="31" spans="1:10" ht="39.9" customHeight="1" x14ac:dyDescent="0.3">
      <c r="A31" s="10"/>
      <c r="B31" s="87" t="s">
        <v>188</v>
      </c>
      <c r="C31" s="88"/>
      <c r="D31" s="88"/>
      <c r="E31" s="9">
        <v>5</v>
      </c>
      <c r="F31" s="37">
        <v>3.75</v>
      </c>
      <c r="G31" s="30">
        <f t="shared" si="0"/>
        <v>0.75</v>
      </c>
      <c r="H31" s="31" t="str">
        <f t="shared" si="1"/>
        <v>جيد</v>
      </c>
      <c r="I31" s="49"/>
      <c r="J31" s="50"/>
    </row>
    <row r="32" spans="1:10" ht="65.099999999999994" customHeight="1" x14ac:dyDescent="0.3">
      <c r="A32" s="10"/>
      <c r="B32" s="87" t="s">
        <v>189</v>
      </c>
      <c r="C32" s="88"/>
      <c r="D32" s="88"/>
      <c r="E32" s="9">
        <v>5</v>
      </c>
      <c r="F32" s="37">
        <v>3.75</v>
      </c>
      <c r="G32" s="30">
        <f t="shared" si="0"/>
        <v>0.75</v>
      </c>
      <c r="H32" s="31" t="str">
        <f t="shared" si="1"/>
        <v>جيد</v>
      </c>
      <c r="I32" s="49"/>
      <c r="J32" s="50"/>
    </row>
    <row r="33" spans="1:10" ht="39.9" customHeight="1" x14ac:dyDescent="0.3">
      <c r="A33" s="10"/>
      <c r="B33" s="74" t="s">
        <v>202</v>
      </c>
      <c r="C33" s="75"/>
      <c r="D33" s="75"/>
      <c r="E33" s="9">
        <v>5</v>
      </c>
      <c r="F33" s="37">
        <v>3.75</v>
      </c>
      <c r="G33" s="30">
        <f t="shared" si="0"/>
        <v>0.75</v>
      </c>
      <c r="H33" s="31" t="str">
        <f t="shared" si="1"/>
        <v>جيد</v>
      </c>
      <c r="I33" s="49"/>
      <c r="J33" s="50"/>
    </row>
    <row r="34" spans="1:10" ht="39.9" customHeight="1" thickBot="1" x14ac:dyDescent="0.35">
      <c r="A34" s="10"/>
      <c r="B34" s="76" t="s">
        <v>203</v>
      </c>
      <c r="C34" s="77"/>
      <c r="D34" s="77"/>
      <c r="E34" s="33">
        <v>5</v>
      </c>
      <c r="F34" s="37">
        <v>3.75</v>
      </c>
      <c r="G34" s="34">
        <f t="shared" si="0"/>
        <v>0.75</v>
      </c>
      <c r="H34" s="35" t="str">
        <f t="shared" si="1"/>
        <v>جيد</v>
      </c>
      <c r="I34" s="57"/>
      <c r="J34" s="58"/>
    </row>
    <row r="35" spans="1:10" ht="39.9" customHeight="1" x14ac:dyDescent="0.3">
      <c r="A35" s="10"/>
      <c r="B35" s="82" t="s">
        <v>190</v>
      </c>
      <c r="C35" s="83"/>
      <c r="D35" s="83"/>
      <c r="E35" s="83"/>
      <c r="F35" s="83"/>
      <c r="G35" s="83"/>
      <c r="H35" s="83"/>
      <c r="I35" s="83"/>
      <c r="J35" s="84"/>
    </row>
    <row r="36" spans="1:10" ht="39.9" customHeight="1" x14ac:dyDescent="0.3">
      <c r="A36" s="10"/>
      <c r="B36" s="78" t="s">
        <v>204</v>
      </c>
      <c r="C36" s="79"/>
      <c r="D36" s="79"/>
      <c r="E36" s="9">
        <v>5</v>
      </c>
      <c r="F36" s="26">
        <v>4</v>
      </c>
      <c r="G36" s="30">
        <f t="shared" si="0"/>
        <v>0.8</v>
      </c>
      <c r="H36" s="31" t="str">
        <f t="shared" si="1"/>
        <v>جيد جداً</v>
      </c>
      <c r="I36" s="49"/>
      <c r="J36" s="50"/>
    </row>
    <row r="37" spans="1:10" ht="50.1" customHeight="1" x14ac:dyDescent="0.3">
      <c r="A37" s="10"/>
      <c r="B37" s="78" t="s">
        <v>205</v>
      </c>
      <c r="C37" s="79"/>
      <c r="D37" s="79"/>
      <c r="E37" s="9">
        <v>5</v>
      </c>
      <c r="F37" s="37">
        <v>4</v>
      </c>
      <c r="G37" s="30">
        <f t="shared" si="0"/>
        <v>0.8</v>
      </c>
      <c r="H37" s="31" t="str">
        <f t="shared" si="1"/>
        <v>جيد جداً</v>
      </c>
      <c r="I37" s="49"/>
      <c r="J37" s="50"/>
    </row>
    <row r="38" spans="1:10" ht="39.9" customHeight="1" x14ac:dyDescent="0.3">
      <c r="A38" s="10"/>
      <c r="B38" s="78" t="s">
        <v>206</v>
      </c>
      <c r="C38" s="79"/>
      <c r="D38" s="79"/>
      <c r="E38" s="9">
        <v>5</v>
      </c>
      <c r="F38" s="37">
        <v>4</v>
      </c>
      <c r="G38" s="30">
        <f t="shared" si="0"/>
        <v>0.8</v>
      </c>
      <c r="H38" s="31" t="str">
        <f t="shared" si="1"/>
        <v>جيد جداً</v>
      </c>
      <c r="I38" s="49"/>
      <c r="J38" s="50"/>
    </row>
    <row r="39" spans="1:10" ht="54.9" customHeight="1" x14ac:dyDescent="0.3">
      <c r="A39" s="10"/>
      <c r="B39" s="78" t="s">
        <v>207</v>
      </c>
      <c r="C39" s="79"/>
      <c r="D39" s="79"/>
      <c r="E39" s="9">
        <v>5</v>
      </c>
      <c r="F39" s="37">
        <v>4</v>
      </c>
      <c r="G39" s="30">
        <f t="shared" si="0"/>
        <v>0.8</v>
      </c>
      <c r="H39" s="31" t="str">
        <f t="shared" si="1"/>
        <v>جيد جداً</v>
      </c>
      <c r="I39" s="49"/>
      <c r="J39" s="50"/>
    </row>
    <row r="40" spans="1:10" ht="39.9" customHeight="1" x14ac:dyDescent="0.3">
      <c r="A40" s="10"/>
      <c r="B40" s="78" t="s">
        <v>208</v>
      </c>
      <c r="C40" s="79"/>
      <c r="D40" s="79"/>
      <c r="E40" s="9">
        <v>5</v>
      </c>
      <c r="F40" s="26">
        <v>3.5</v>
      </c>
      <c r="G40" s="30">
        <f t="shared" si="0"/>
        <v>0.7</v>
      </c>
      <c r="H40" s="31" t="str">
        <f t="shared" si="1"/>
        <v>جيد</v>
      </c>
      <c r="I40" s="49"/>
      <c r="J40" s="50"/>
    </row>
    <row r="41" spans="1:10" ht="54.9" customHeight="1" x14ac:dyDescent="0.3">
      <c r="A41" s="10"/>
      <c r="B41" s="78" t="s">
        <v>209</v>
      </c>
      <c r="C41" s="79"/>
      <c r="D41" s="79"/>
      <c r="E41" s="9">
        <v>5</v>
      </c>
      <c r="F41" s="37">
        <v>3.5</v>
      </c>
      <c r="G41" s="30">
        <f t="shared" si="0"/>
        <v>0.7</v>
      </c>
      <c r="H41" s="31" t="str">
        <f t="shared" si="1"/>
        <v>جيد</v>
      </c>
      <c r="I41" s="49"/>
      <c r="J41" s="50"/>
    </row>
    <row r="42" spans="1:10" ht="54.9" customHeight="1" x14ac:dyDescent="0.3">
      <c r="A42" s="10"/>
      <c r="B42" s="78" t="s">
        <v>210</v>
      </c>
      <c r="C42" s="79"/>
      <c r="D42" s="79"/>
      <c r="E42" s="9">
        <v>5</v>
      </c>
      <c r="F42" s="37">
        <v>3.5</v>
      </c>
      <c r="G42" s="30">
        <f t="shared" si="0"/>
        <v>0.7</v>
      </c>
      <c r="H42" s="31" t="str">
        <f t="shared" si="1"/>
        <v>جيد</v>
      </c>
      <c r="I42" s="49"/>
      <c r="J42" s="50"/>
    </row>
    <row r="43" spans="1:10" ht="39.9" customHeight="1" x14ac:dyDescent="0.3">
      <c r="A43" s="10"/>
      <c r="B43" s="78" t="s">
        <v>211</v>
      </c>
      <c r="C43" s="79"/>
      <c r="D43" s="79"/>
      <c r="E43" s="9">
        <v>5</v>
      </c>
      <c r="F43" s="37">
        <v>3.5</v>
      </c>
      <c r="G43" s="30">
        <f t="shared" si="0"/>
        <v>0.7</v>
      </c>
      <c r="H43" s="31" t="str">
        <f t="shared" si="1"/>
        <v>جيد</v>
      </c>
      <c r="I43" s="49"/>
      <c r="J43" s="50"/>
    </row>
    <row r="44" spans="1:10" ht="54.9" customHeight="1" x14ac:dyDescent="0.3">
      <c r="A44" s="10"/>
      <c r="B44" s="78" t="s">
        <v>212</v>
      </c>
      <c r="C44" s="79"/>
      <c r="D44" s="79"/>
      <c r="E44" s="9">
        <v>5</v>
      </c>
      <c r="F44" s="37">
        <v>3.5</v>
      </c>
      <c r="G44" s="30">
        <f t="shared" si="0"/>
        <v>0.7</v>
      </c>
      <c r="H44" s="31" t="str">
        <f t="shared" si="1"/>
        <v>جيد</v>
      </c>
      <c r="I44" s="49"/>
      <c r="J44" s="50"/>
    </row>
    <row r="45" spans="1:10" ht="54.9" customHeight="1" x14ac:dyDescent="0.3">
      <c r="A45" s="10"/>
      <c r="B45" s="78" t="s">
        <v>213</v>
      </c>
      <c r="C45" s="79"/>
      <c r="D45" s="79"/>
      <c r="E45" s="9">
        <v>5</v>
      </c>
      <c r="F45" s="37">
        <v>3.5</v>
      </c>
      <c r="G45" s="30">
        <f t="shared" si="0"/>
        <v>0.7</v>
      </c>
      <c r="H45" s="31" t="str">
        <f t="shared" si="1"/>
        <v>جيد</v>
      </c>
      <c r="I45" s="49"/>
      <c r="J45" s="50"/>
    </row>
    <row r="46" spans="1:10" ht="39.9" customHeight="1" x14ac:dyDescent="0.3">
      <c r="A46" s="10"/>
      <c r="B46" s="78" t="s">
        <v>214</v>
      </c>
      <c r="C46" s="79"/>
      <c r="D46" s="79"/>
      <c r="E46" s="9">
        <v>5</v>
      </c>
      <c r="F46" s="37">
        <v>3.5</v>
      </c>
      <c r="G46" s="30">
        <f t="shared" si="0"/>
        <v>0.7</v>
      </c>
      <c r="H46" s="31" t="str">
        <f t="shared" si="1"/>
        <v>جيد</v>
      </c>
      <c r="I46" s="49"/>
      <c r="J46" s="50"/>
    </row>
    <row r="47" spans="1:10" ht="39.9" customHeight="1" x14ac:dyDescent="0.3">
      <c r="A47" s="10"/>
      <c r="B47" s="78" t="s">
        <v>215</v>
      </c>
      <c r="C47" s="79"/>
      <c r="D47" s="79"/>
      <c r="E47" s="9">
        <v>5</v>
      </c>
      <c r="F47" s="37">
        <v>3.5</v>
      </c>
      <c r="G47" s="30">
        <f t="shared" si="0"/>
        <v>0.7</v>
      </c>
      <c r="H47" s="31" t="str">
        <f t="shared" si="1"/>
        <v>جيد</v>
      </c>
      <c r="I47" s="49"/>
      <c r="J47" s="50"/>
    </row>
    <row r="48" spans="1:10" ht="39.9" customHeight="1" x14ac:dyDescent="0.3">
      <c r="A48" s="10"/>
      <c r="B48" s="78" t="s">
        <v>216</v>
      </c>
      <c r="C48" s="79"/>
      <c r="D48" s="79"/>
      <c r="E48" s="9"/>
      <c r="F48" s="26"/>
      <c r="G48" s="30"/>
      <c r="H48" s="31"/>
      <c r="I48" s="49"/>
      <c r="J48" s="50"/>
    </row>
    <row r="49" spans="1:10" ht="50.1" customHeight="1" x14ac:dyDescent="0.3">
      <c r="A49" s="10"/>
      <c r="B49" s="87" t="s">
        <v>191</v>
      </c>
      <c r="C49" s="88"/>
      <c r="D49" s="88"/>
      <c r="E49" s="9">
        <v>5</v>
      </c>
      <c r="F49" s="26">
        <v>4</v>
      </c>
      <c r="G49" s="30">
        <f t="shared" si="0"/>
        <v>0.8</v>
      </c>
      <c r="H49" s="31" t="str">
        <f t="shared" si="1"/>
        <v>جيد جداً</v>
      </c>
      <c r="I49" s="49"/>
      <c r="J49" s="50"/>
    </row>
    <row r="50" spans="1:10" ht="39.9" customHeight="1" x14ac:dyDescent="0.3">
      <c r="A50" s="10"/>
      <c r="B50" s="87" t="s">
        <v>192</v>
      </c>
      <c r="C50" s="88"/>
      <c r="D50" s="88"/>
      <c r="E50" s="9">
        <v>5</v>
      </c>
      <c r="F50" s="37">
        <v>4</v>
      </c>
      <c r="G50" s="30">
        <f t="shared" si="0"/>
        <v>0.8</v>
      </c>
      <c r="H50" s="31" t="str">
        <f t="shared" si="1"/>
        <v>جيد جداً</v>
      </c>
      <c r="I50" s="49"/>
      <c r="J50" s="50"/>
    </row>
    <row r="51" spans="1:10" ht="39.9" customHeight="1" x14ac:dyDescent="0.3">
      <c r="A51" s="10"/>
      <c r="B51" s="78" t="s">
        <v>217</v>
      </c>
      <c r="C51" s="79"/>
      <c r="D51" s="79"/>
      <c r="E51" s="9">
        <v>5</v>
      </c>
      <c r="F51" s="37">
        <v>4</v>
      </c>
      <c r="G51" s="30">
        <f t="shared" si="0"/>
        <v>0.8</v>
      </c>
      <c r="H51" s="31" t="str">
        <f t="shared" si="1"/>
        <v>جيد جداً</v>
      </c>
      <c r="I51" s="49"/>
      <c r="J51" s="50"/>
    </row>
    <row r="52" spans="1:10" ht="39.9" customHeight="1" x14ac:dyDescent="0.3">
      <c r="A52" s="10"/>
      <c r="B52" s="78" t="s">
        <v>218</v>
      </c>
      <c r="C52" s="79"/>
      <c r="D52" s="79"/>
      <c r="E52" s="9">
        <v>5</v>
      </c>
      <c r="F52" s="37">
        <v>4</v>
      </c>
      <c r="G52" s="30">
        <f t="shared" si="0"/>
        <v>0.8</v>
      </c>
      <c r="H52" s="31" t="str">
        <f t="shared" si="1"/>
        <v>جيد جداً</v>
      </c>
      <c r="I52" s="49"/>
      <c r="J52" s="50"/>
    </row>
    <row r="53" spans="1:10" ht="39.9" customHeight="1" x14ac:dyDescent="0.3">
      <c r="A53" s="10"/>
      <c r="B53" s="78" t="s">
        <v>219</v>
      </c>
      <c r="C53" s="79"/>
      <c r="D53" s="79"/>
      <c r="E53" s="9">
        <v>5</v>
      </c>
      <c r="F53" s="37">
        <v>4</v>
      </c>
      <c r="G53" s="30">
        <f t="shared" si="0"/>
        <v>0.8</v>
      </c>
      <c r="H53" s="31" t="str">
        <f t="shared" si="1"/>
        <v>جيد جداً</v>
      </c>
      <c r="I53" s="49"/>
      <c r="J53" s="50"/>
    </row>
    <row r="54" spans="1:10" ht="39.9" customHeight="1" thickBot="1" x14ac:dyDescent="0.35">
      <c r="A54" s="10"/>
      <c r="B54" s="80" t="s">
        <v>220</v>
      </c>
      <c r="C54" s="81"/>
      <c r="D54" s="81"/>
      <c r="E54" s="33">
        <v>5</v>
      </c>
      <c r="F54" s="27">
        <v>3.5</v>
      </c>
      <c r="G54" s="34">
        <f t="shared" si="0"/>
        <v>0.7</v>
      </c>
      <c r="H54" s="35" t="str">
        <f t="shared" si="1"/>
        <v>جيد</v>
      </c>
      <c r="I54" s="57"/>
      <c r="J54" s="58"/>
    </row>
    <row r="55" spans="1:10" ht="30" customHeight="1" thickBot="1" x14ac:dyDescent="0.35">
      <c r="A55" s="4"/>
      <c r="B55" s="70" t="s">
        <v>5</v>
      </c>
      <c r="C55" s="71"/>
      <c r="D55" s="71"/>
      <c r="E55" s="29">
        <f>SUM(E8:E54)</f>
        <v>195</v>
      </c>
      <c r="F55" s="29">
        <f>SUM(F8:F54)</f>
        <v>145.75</v>
      </c>
      <c r="G55" s="67"/>
      <c r="H55" s="68"/>
      <c r="I55" s="68"/>
      <c r="J55" s="69"/>
    </row>
    <row r="56" spans="1:10" ht="30" customHeight="1" thickBot="1" x14ac:dyDescent="0.35">
      <c r="A56" s="4"/>
      <c r="B56" s="72" t="s">
        <v>54</v>
      </c>
      <c r="C56" s="73"/>
      <c r="D56" s="73"/>
      <c r="E56" s="45">
        <f>F55/E55/100*100</f>
        <v>0.74743589743589745</v>
      </c>
      <c r="F56" s="45"/>
      <c r="G56" s="45"/>
      <c r="H56" s="45"/>
      <c r="I56" s="45"/>
      <c r="J56" s="46"/>
    </row>
    <row r="57" spans="1:10" ht="30" customHeight="1" thickBot="1" x14ac:dyDescent="0.35">
      <c r="A57" s="4"/>
      <c r="B57" s="72" t="s">
        <v>55</v>
      </c>
      <c r="C57" s="73"/>
      <c r="D57" s="73"/>
      <c r="E57" s="63" t="str">
        <f>_xlfn.IFS(E56&gt;=90%,"ممتاز",E56&gt;=80%,"جيد جداً",E56&gt;=70%,"جيد",E56&gt;=60%,"مقبول",E56&lt;60%,"راسب")</f>
        <v>جيد</v>
      </c>
      <c r="F57" s="63"/>
      <c r="G57" s="63"/>
      <c r="H57" s="63"/>
      <c r="I57" s="63"/>
      <c r="J57" s="64"/>
    </row>
    <row r="58" spans="1:10" ht="42" customHeight="1" x14ac:dyDescent="0.3">
      <c r="B58" s="59" t="s">
        <v>175</v>
      </c>
      <c r="C58" s="59"/>
      <c r="D58" s="59"/>
      <c r="E58" s="65" t="s">
        <v>52</v>
      </c>
      <c r="F58" s="65"/>
      <c r="G58" s="61" t="s">
        <v>131</v>
      </c>
      <c r="H58" s="61"/>
      <c r="I58" s="61"/>
      <c r="J58" s="61"/>
    </row>
    <row r="59" spans="1:10" ht="51" customHeight="1" x14ac:dyDescent="0.3">
      <c r="A59" s="5"/>
      <c r="B59" s="60"/>
      <c r="C59" s="60"/>
      <c r="D59" s="60"/>
      <c r="E59" s="66" t="s">
        <v>53</v>
      </c>
      <c r="F59" s="66"/>
      <c r="G59" s="62"/>
      <c r="H59" s="62"/>
      <c r="I59" s="62"/>
      <c r="J59" s="62"/>
    </row>
  </sheetData>
  <sheetProtection sheet="1" formatCells="0" formatColumns="0" formatRows="0" insertColumns="0" insertRows="0" insertHyperlinks="0" deleteColumns="0" deleteRows="0" selectLockedCells="1" sort="0" autoFilter="0" pivotTables="0"/>
  <mergeCells count="112">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2025-10-28T04:17:49Z</dcterms:modified>
</cp:coreProperties>
</file>