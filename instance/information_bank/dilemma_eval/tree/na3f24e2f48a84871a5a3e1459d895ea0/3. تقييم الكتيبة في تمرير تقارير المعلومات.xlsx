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0B570E40-3B7B-544B-9614-C173900E3F3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<sst xmlns="http://schemas.openxmlformats.org/spreadsheetml/2006/main" count="258" uniqueCount="202">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</sst>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7" Type="http://schemas.openxmlformats.org/officeDocument/2006/relationships/image" Target="../media/image3.png" /><Relationship Id="rId2" Type="http://schemas.openxmlformats.org/officeDocument/2006/relationships/image" Target="../media/image1.png" /><Relationship Id="rId1" Type="http://schemas.openxmlformats.org/officeDocument/2006/relationships/customXml" Target="../ink/ink1.xml" /><Relationship Id="rId6" Type="http://schemas.openxmlformats.org/officeDocument/2006/relationships/customXml" Target="../ink/ink4.xml" /><Relationship Id="rId5" Type="http://schemas.openxmlformats.org/officeDocument/2006/relationships/image" Target="../media/image2.png" /><Relationship Id="rId4" Type="http://schemas.openxmlformats.org/officeDocument/2006/relationships/customXml" Target="../ink/ink3.xml" /></Relationships>
</file>

<file path=xl/drawings/drawing1.xml><?xml version="1.0" encoding="utf-8"?>
<xdr:wsDr xmlns:xdr="http://schemas.openxmlformats.org/drawingml/2006/spreadsheetDrawing" xmlns:a="http://schemas.openxmlformats.org/drawingml/2006/main">
  <xdr:twoCellAnchor editAs="oneCell">
    <xdr:from>
      <xdr:col>7</xdr:col>
      <xdr:colOff>175750</xdr:colOff>
      <xdr:row>36</xdr:row>
      <xdr:rowOff>374097</xdr:rowOff>
    </xdr:from>
    <xdr:to>
      <xdr:col>7</xdr:col>
      <xdr:colOff>183310</xdr:colOff>
      <xdr:row>36</xdr:row>
      <xdr:rowOff>378057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208D6689-510A-4F4D-7B77-21A2C28B3D6F}"/>
                </a:ext>
              </a:extLst>
            </xdr14:cNvPr>
            <xdr14:cNvContentPartPr/>
          </xdr14:nvContentPartPr>
          <xdr14:nvPr macro=""/>
          <xdr14:xfrm>
            <a:off x="10424173913" y="18630720"/>
            <a:ext cx="7560" cy="3960"/>
          </xdr14:xfrm>
        </xdr:contentPart>
      </mc:Choice>
      <mc:Fallback>
        <xdr:pic>
          <xdr:nvPicPr>
            <xdr:cNvPr id="2" name="Ink 1">
              <a:extLst>
                <a:ext uri="{FF2B5EF4-FFF2-40B4-BE49-F238E27FC236}">
                  <a16:creationId xmlns:a16="http://schemas.microsoft.com/office/drawing/2014/main" id="{208D6689-510A-4F4D-7B77-21A2C28B3D6F}"/>
                </a:ext>
              </a:extLst>
            </xdr:cNvPr>
            <xdr:cNvPicPr/>
          </xdr:nvPicPr>
          <xdr:blipFill>
            <a:blip xmlns:r="http://schemas.openxmlformats.org/officeDocument/2006/relationships" r:embed="rId2"/>
            <a:stretch>
              <a:fillRect/>
            </a:stretch>
          </xdr:blipFill>
          <xdr:spPr>
            <a:xfrm>
              <a:off x="10424164913" y="18622080"/>
              <a:ext cx="25200" cy="21600"/>
            </a:xfrm>
            <a:prstGeom prst="rect">
              <a:avLst/>
            </a:prstGeom>
          </xdr:spPr>
        </xdr:pic>
      </mc:Fallback>
    </mc:AlternateContent>
    <xdr:clientData/>
  </xdr:twoCellAnchor>
  <xdr:twoCellAnchor editAs="oneCell">
    <xdr:from>
      <xdr:col>6</xdr:col>
      <xdr:colOff>473413</xdr:colOff>
      <xdr:row>36</xdr:row>
      <xdr:rowOff>342777</xdr:rowOff>
    </xdr:from>
    <xdr:to>
      <xdr:col>6</xdr:col>
      <xdr:colOff>481693</xdr:colOff>
      <xdr:row>36</xdr:row>
      <xdr:rowOff>344937</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BD369F15-9BF6-6E4C-2D4E-DB105754650F}"/>
                </a:ext>
              </a:extLst>
            </xdr14:cNvPr>
            <xdr14:cNvContentPartPr/>
          </xdr14:nvContentPartPr>
          <xdr14:nvPr macro=""/>
          <xdr14:xfrm>
            <a:off x="10424529953" y="18599400"/>
            <a:ext cx="8280" cy="2160"/>
          </xdr14:xfrm>
        </xdr:contentPart>
      </mc:Choice>
      <mc:Fallback>
        <xdr:pic>
          <xdr:nvPicPr>
            <xdr:cNvPr id="3" name="Ink 2">
              <a:extLst>
                <a:ext uri="{FF2B5EF4-FFF2-40B4-BE49-F238E27FC236}">
                  <a16:creationId xmlns:a16="http://schemas.microsoft.com/office/drawing/2014/main" id="{BD369F15-9BF6-6E4C-2D4E-DB105754650F}"/>
                </a:ext>
              </a:extLst>
            </xdr:cNvPr>
            <xdr:cNvPicPr/>
          </xdr:nvPicPr>
          <xdr:blipFill>
            <a:blip xmlns:r="http://schemas.openxmlformats.org/officeDocument/2006/relationships" r:embed="rId2"/>
            <a:stretch>
              <a:fillRect/>
            </a:stretch>
          </xdr:blipFill>
          <xdr:spPr>
            <a:xfrm>
              <a:off x="10424520953" y="18590400"/>
              <a:ext cx="25920" cy="19800"/>
            </a:xfrm>
            <a:prstGeom prst="rect">
              <a:avLst/>
            </a:prstGeom>
          </xdr:spPr>
        </xdr:pic>
      </mc:Fallback>
    </mc:AlternateContent>
    <xdr:clientData/>
  </xdr:twoCellAnchor>
  <xdr:twoCellAnchor editAs="oneCell">
    <xdr:from>
      <xdr:col>7</xdr:col>
      <xdr:colOff>226510</xdr:colOff>
      <xdr:row>35</xdr:row>
      <xdr:rowOff>529857</xdr:rowOff>
    </xdr:from>
    <xdr:to>
      <xdr:col>8</xdr:col>
      <xdr:colOff>383527</xdr:colOff>
      <xdr:row>36</xdr:row>
      <xdr:rowOff>420537</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4" name="Ink 3">
              <a:extLst>
                <a:ext uri="{FF2B5EF4-FFF2-40B4-BE49-F238E27FC236}">
                  <a16:creationId xmlns:a16="http://schemas.microsoft.com/office/drawing/2014/main" id="{695AA0DA-D351-3193-7871-9BDCD0568BDD}"/>
                </a:ext>
              </a:extLst>
            </xdr14:cNvPr>
            <xdr14:cNvContentPartPr/>
          </xdr14:nvContentPartPr>
          <xdr14:nvPr macro=""/>
          <xdr14:xfrm>
            <a:off x="10423319273" y="18253080"/>
            <a:ext cx="811440" cy="424080"/>
          </xdr14:xfrm>
        </xdr:contentPart>
      </mc:Choice>
      <mc:Fallback>
        <xdr:pic>
          <xdr:nvPicPr>
            <xdr:cNvPr id="4" name="Ink 3">
              <a:extLst>
                <a:ext uri="{FF2B5EF4-FFF2-40B4-BE49-F238E27FC236}">
                  <a16:creationId xmlns:a16="http://schemas.microsoft.com/office/drawing/2014/main" id="{695AA0DA-D351-3193-7871-9BDCD0568BDD}"/>
                </a:ext>
              </a:extLst>
            </xdr:cNvPr>
            <xdr:cNvPicPr/>
          </xdr:nvPicPr>
          <xdr:blipFill>
            <a:blip xmlns:r="http://schemas.openxmlformats.org/officeDocument/2006/relationships" r:embed="rId5"/>
            <a:stretch>
              <a:fillRect/>
            </a:stretch>
          </xdr:blipFill>
          <xdr:spPr>
            <a:xfrm>
              <a:off x="10423310273" y="18244080"/>
              <a:ext cx="829080" cy="441720"/>
            </a:xfrm>
            <a:prstGeom prst="rect">
              <a:avLst/>
            </a:prstGeom>
          </xdr:spPr>
        </xdr:pic>
      </mc:Fallback>
    </mc:AlternateContent>
    <xdr:clientData/>
  </xdr:twoCellAnchor>
  <xdr:twoCellAnchor editAs="oneCell">
    <xdr:from>
      <xdr:col>8</xdr:col>
      <xdr:colOff>84727</xdr:colOff>
      <xdr:row>36</xdr:row>
      <xdr:rowOff>290937</xdr:rowOff>
    </xdr:from>
    <xdr:to>
      <xdr:col>8</xdr:col>
      <xdr:colOff>573607</xdr:colOff>
      <xdr:row>37</xdr:row>
      <xdr:rowOff>52835</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5" name="Ink 4">
              <a:extLst>
                <a:ext uri="{FF2B5EF4-FFF2-40B4-BE49-F238E27FC236}">
                  <a16:creationId xmlns:a16="http://schemas.microsoft.com/office/drawing/2014/main" id="{0B953E63-22EF-5A80-A8D4-68FFF2CB7F01}"/>
                </a:ext>
              </a:extLst>
            </xdr14:cNvPr>
            <xdr14:cNvContentPartPr/>
          </xdr14:nvContentPartPr>
          <xdr14:nvPr macro=""/>
          <xdr14:xfrm>
            <a:off x="10423129193" y="18547560"/>
            <a:ext cx="488880" cy="411840"/>
          </xdr14:xfrm>
        </xdr:contentPart>
      </mc:Choice>
      <mc:Fallback>
        <xdr:pic>
          <xdr:nvPicPr>
            <xdr:cNvPr id="5" name="Ink 4">
              <a:extLst>
                <a:ext uri="{FF2B5EF4-FFF2-40B4-BE49-F238E27FC236}">
                  <a16:creationId xmlns:a16="http://schemas.microsoft.com/office/drawing/2014/main" id="{0B953E63-22EF-5A80-A8D4-68FFF2CB7F01}"/>
                </a:ext>
              </a:extLst>
            </xdr:cNvPr>
            <xdr:cNvPicPr/>
          </xdr:nvPicPr>
          <xdr:blipFill>
            <a:blip xmlns:r="http://schemas.openxmlformats.org/officeDocument/2006/relationships" r:embed="rId7"/>
            <a:stretch>
              <a:fillRect/>
            </a:stretch>
          </xdr:blipFill>
          <xdr:spPr>
            <a:xfrm>
              <a:off x="10423120553" y="18538920"/>
              <a:ext cx="506520" cy="429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6:48:18.490"/>
    </inkml:context>
    <inkml:brush xml:id="br0">
      <inkml:brushProperty name="width" value="0.05" units="cm"/>
      <inkml:brushProperty name="height" value="0.05" units="cm"/>
    </inkml:brush>
  </inkml:definitions>
  <inkml:trace contextRef="#ctx0" brushRef="#br0">20 11 5673,'0'0'0,"-3"0"2192,0-2-1352,-2 0-1024,1 0-528,2 0-464,2 2 1176,-1-1-1656,-1 0 191,2 1 441,0 0 432,0 0 400,3 0 160,-3 0 32,0 0-1576,0 0 1576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6:48:19.383"/>
    </inkml:context>
    <inkml:brush xml:id="br0">
      <inkml:brushProperty name="width" value="0.05" units="cm"/>
      <inkml:brushProperty name="height" value="0.05" units="cm"/>
    </inkml:brush>
  </inkml:definitions>
  <inkml:trace contextRef="#ctx0" brushRef="#br0">7 5 4312,'0'0'0,"0"0"1209,0 0-1209,-1 0 168,0-1-328,-2 0-248,2 0-217,0-1-199,1 2 16,0 0 808,0 0-592,0 0 200,2 0 232,2 0 104,-2 0 24,2 0 24,-4 0 8,10 0-1528,-10 0 1528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6:48:20.646"/>
    </inkml:context>
    <inkml:brush xml:id="br0">
      <inkml:brushProperty name="width" value="0.05" units="cm"/>
      <inkml:brushProperty name="height" value="0.05" units="cm"/>
    </inkml:brush>
  </inkml:definitions>
  <inkml:trace contextRef="#ctx0" brushRef="#br0">1678 882 1632,'0'0'0,"0"0"48,0 0-16,2 0 16,-2 0-48,3 0 40,-1 0 0,1 0 8,-1 0 24,-2 0 16,2 0 40,-2 0-128,0 3 168,3-3 56,-1 2 80,-2-2 80,3 0 128,-3 0 136,0 0-648,0 2 809,0-2 159,0 0 104,0 3 80,-2-3 41,1 2-33,1-2-1160,-2 0 1080,-1 3-160,0-3-200,-1 2-151,-7 0-113,2 1-88,9-3-368,-10 2 288,-2 1-88,2-1-72,-4 1-40,1 1-32,-2 0-8,15-4-48,-16 10 24,-1-7 16,-2 6-16,1-6-16,-2 0 24,0 9-16,20-12-16,-20 3 32,-3 8-24,2-8 32,-3 8 16,1-7-16,0 5 16,23-9-56,-22 3 32,-1 6-8,-1-6 24,0 0-16,-1 1 48,-2-1-16,27-3-64,-25 4 56,-1-2 16,0 1-8,0-3 8,1 0-16,-2 0 80,27 0-136,-27-1 104,1-3 24,-1-6 8,-1 7-40,-2-9 32,30 12-128,-31-10 96,-1 1 16,2-2-24,2 0-32,-1-1 0,0 0 8,29 12-64,-30-13 32,-1 0-8,-1 1-16,0-1 56,0-1-40,0 2 24,32 12-48,-33-12 32,2 3-40,-1-2 16,-1 1-8,2 6 16,0-8-40,31 12 24,-31-5-16,1-6 8,1 7-8,3-5 16,1 5-32,-1-1 8,26 5 24,-23-4 8,0-1-16,0 1 16,4 0 8,1 0-64,4-1 24,14 5 24,-14-5-24,2 2-48,3-2 16,4 0-120,-4 0-80,6 1-40,3 4 296,-4-5-376,1-5-64,2 7-80,-1-2-136,1-5-112,1 5-57,0 5 825,3-12-792,0 2 96,8-2 112,-1-3 88,1 0 112,6-3 64,-17 18 320,19-21-264,4-1-16,4-2-8,1 0 23,5-2 17,-2-1 96,-31 27 152,35-28-96,4-2 48,3 2 32,5-2 8,2 1-40,4-1 16,-53 30 32,54-29-48,3-1-40,2 1 8,1 2-64,2 2-80,3 0 48,-65 25 176,67-21-80,0 3-24,0 1 40,1 3 16,-1 1-128,1 1 96,-68 12 80,65-5-104,-2-5-16,-1 9 16,-1 0 8,-1 1-24,0 0 24,-60 0 96,59 2-96,-4 2-40,-1 8-24,-5-8 16,-2 9 24,-3-10-32,-44-3 152,44 15-176,-5-12-16,-3 11-56,-2-11 128,-3 12 40,-2-6 64,-29-9 16,23 11 32,-1-1-16,-5 0 72,-3 0 72,-1 1 88,-1 1 32,-12-12-280,4 10 264,8 2 8,-12-1 24,2 1 112,-2 3 168,0-2 48,0-13-624,-3 15 704,-7 2 17,0 0-57,-3 1-72,-3 2-112,-4 1-112,20-21-368,-22 22 280,-3 2-48,-3 3-24,-3 0-72,-5 1-24,-3 1 24,39-29-136,-43 27 80,-2 2 48,-1 1 40,-5 1-88,-2 1 0,-5 2-8,58-34-72,-60 34 64,0-1 48,0-1-72,2 1 24,-1-3 8,0-1-32,59-29-40,-57 27 80,-1 1-8,2-3-72,4-1 32,2-3-16,5 0-8,45-21-8,-45 19 24,1-1-144,2-3-232,1 1-416,4-2-448,5 0-328,32-14 1544,-33 12-1889,5-2-175,0 0 207,2 0 553,1-7 544,2 9 432,23-12 328,-23 3-56,2-1-1112,21-2 1168</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6:48:21.526"/>
    </inkml:context>
    <inkml:brush xml:id="br0">
      <inkml:brushProperty name="width" value="0.05" units="cm"/>
      <inkml:brushProperty name="height" value="0.05" units="cm"/>
    </inkml:brush>
  </inkml:definitions>
  <inkml:trace contextRef="#ctx0" brushRef="#br0">1357 3 4080,'0'0'0,"0"0"1609,0-1-137,0 1-1472,0-1 1104,0 1-192,0 0-87,-1 0-97,0 0-104,-1 2-72,2-2-552,-4 0 456,1 2-144,-1 2-104,-1 0-96,-7 5-96,7-6-24,5-3 8,-14 10-32,2 0-24,-2 2 24,-2 1-8,-3 3 0,-1 0 32,20-16 8,-23 18-32,1 0 24,1 2-32,-1-2-64,2-2 24,-1-1-64,21-15 144,-19 13-152,0-2-24,0 1-40,0-2-8,1 1-48,0-1-40,18-10 312,-18 3-360,0 8 16,-1-7 24,1 7 88,-2-9 64,1 8 88,19-10 80,-19 2-32,1 8 32,-1-8 24,0 2 0,0-1 32,-1 7 8,20-10-64,-19 0 88,0 3 32,-3 7 0,0-10 24,0 4 40,2-1 24,20-3-208,-19 3 264,1 0 8,1 0 16,-1-1 8,2 0-40,1-2-24,15 0-232,-15 3 176,0-3-16,2 2-112,-2 1 16,2-1-48,0-2 0,13 0-16,-13 2 24,1-2-32,0 3 8,1-1-24,0 0 24,0-2-8,11 0 8,-5 3 8,-8-3-8,9 2-16,-9 1-16,4-3-48,4 0-80,5 0 160,-11 2-240,6-2-136,-6 0-24,6 0 16,-8 0 0,3 0 64,10 0 320,-4 0-328,-9 0 0,2 0 31,2 0 9,-4 0 32,2 0 24,11 0 232,-10-1-176,0 0 48,0-1 40,0 1-8,1-1 16,5-1 0,4 3 80,-11-2-48,8-1-56,-9-1 0,8 0-16,-9 1-56,9-1 16,4 4 160,-9-5-176,5-5-24,-1 6-80,-4-6-64,5 7-80,-5-8-64,9 11 488,-4-4-464,0 0 31,0-6 73,0 8 80,0-2 80,1-1 40,3 5 160,-4-5-136,2 2-16,0-1-32,-2 1-40,3 0-16,-1 1 0,2 2 240,-2-3-176,1 2 56,0 0 56,-1 0 48,1 0-8,1-2 32,0 3-8,0-1 0,0 0-8,0 0 0,0-1-24,0 1 32,0 0 8,0 1-8,3-2 0,-3 0 0,3 1-8,0 0 8,0 0-8,1 0 16,-4 1-8,2 0 0,2 0-8,-1 0 16,0 0-8,0 0 0,0 0 0,-3 0 0,2 0 0,1 2 8,0 0 0,1 1-16,-2-1 8,-2 2-8,0-4 8,3 9 16,-3-6 0,0 9 16,2-3 8,-2 2-8,0 2-24,0-13-8,-1 15 8,0 2-8,-1 1 16,0 1 0,-2 0 32,0 1 8,4-20-56,-4 22 48,-1 2 24,0 0 0,1 2 8,-1 0 32,-5 1 48,10-27-160,-2 29 224,-8-1 24,9 1 40,-4 1-40,2-1-8,-1 0 32,4-29-272,-3 28 280,0 2 137,2 0 55,1 0 56,0 0-8,4-1-88,-4-29-432,11 28 320,-8-2-104,10-3-40,-1-1-48,1-1-8,5-2 8,-18-19-128,21 18 120,3-2 88,1-3 72,5-2-16,1-9-8,6 2-40,-37-4-216,41 2 112,1-2 9,3-4-41,3-10-32,4 1-64,3-3-40,-55 16 56,60-18-16,2-5-73,4-2-335,3-2-712,0-3-896,4-3 175,-73 33 1857,75-36-1320,3-6 584,5-3 560,0-7-1376,-83 52 1552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3" zoomScale="130" zoomScaleNormal="100" zoomScaleSheetLayoutView="130" workbookViewId="0">
      <selection activeCell="G36" sqref="G36:J36"/>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40</v>
      </c>
      <c r="D2" s="66"/>
      <c r="E2" s="13" t="s">
        <v>7</v>
      </c>
      <c r="F2" s="61">
        <v>45957</v>
      </c>
      <c r="G2" s="61"/>
      <c r="H2" s="61"/>
      <c r="I2" s="61"/>
      <c r="J2" s="61"/>
    </row>
    <row r="3" spans="1:10" ht="30" customHeight="1" x14ac:dyDescent="0.2">
      <c r="B3" s="13" t="s">
        <v>9</v>
      </c>
      <c r="C3" s="66" t="s">
        <v>81</v>
      </c>
      <c r="D3" s="66"/>
      <c r="E3" s="13" t="s">
        <v>6</v>
      </c>
      <c r="F3" s="66" t="s">
        <v>92</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200</v>
      </c>
      <c r="C8" s="90"/>
      <c r="D8" s="90"/>
      <c r="E8" s="10">
        <v>5</v>
      </c>
      <c r="F8" s="41">
        <v>4</v>
      </c>
      <c r="G8" s="42">
        <f>IFERROR(F8/E8,"")</f>
        <v>0.8</v>
      </c>
      <c r="H8" s="28" t="str">
        <f>_xlfn.IFS(F8="أدخل العلامة","",F8="لا ينطبق","تم الإلغاء",G8&gt;=90%,"ممتاز",G8&gt;=80%,"جيد جداً",G8&gt;=70%,"جيد",G8&gt;=60%,"مقبول",G8&lt;60%,"راسب")</f>
        <v>جيد جداً</v>
      </c>
      <c r="I8" s="48"/>
      <c r="J8" s="49"/>
    </row>
    <row r="9" spans="1:10" ht="39.950000000000003" customHeight="1" thickBot="1" x14ac:dyDescent="0.25">
      <c r="A9" s="11"/>
      <c r="B9" s="91" t="s">
        <v>195</v>
      </c>
      <c r="C9" s="92"/>
      <c r="D9" s="92"/>
      <c r="E9" s="10">
        <v>5</v>
      </c>
      <c r="F9" s="41">
        <v>3.75</v>
      </c>
      <c r="G9" s="42">
        <f>IFERROR(F9/E9,"")</f>
        <v>0.75</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196</v>
      </c>
      <c r="C10" s="92"/>
      <c r="D10" s="92"/>
      <c r="E10" s="10">
        <v>5</v>
      </c>
      <c r="F10" s="41">
        <v>4</v>
      </c>
      <c r="G10" s="42">
        <f t="shared" ref="G10:G32" si="0">IFERROR(F10/E10,"")</f>
        <v>0.8</v>
      </c>
      <c r="H10" s="28" t="str">
        <f t="shared" ref="H10:H32" si="1">_xlfn.IFS(F10="أدخل العلامة","",F10="لا ينطبق","تم الإلغاء",G10&gt;=90%,"ممتاز",G10&gt;=80%,"جيد جداً",G10&gt;=70%,"جيد",G10&gt;=60%,"مقبول",G10&lt;60%,"راسب")</f>
        <v>جيد جداً</v>
      </c>
      <c r="I10" s="48"/>
      <c r="J10" s="49"/>
    </row>
    <row r="11" spans="1:10" ht="39.950000000000003" customHeight="1" x14ac:dyDescent="0.2">
      <c r="A11" s="11"/>
      <c r="B11" s="93" t="s">
        <v>197</v>
      </c>
      <c r="C11" s="94"/>
      <c r="D11" s="94"/>
      <c r="E11" s="40"/>
      <c r="F11" s="34"/>
      <c r="G11" s="35"/>
      <c r="H11" s="36"/>
      <c r="I11" s="79"/>
      <c r="J11" s="80"/>
    </row>
    <row r="12" spans="1:10" ht="39.950000000000003" customHeight="1" x14ac:dyDescent="0.2">
      <c r="A12" s="11"/>
      <c r="B12" s="83" t="s">
        <v>176</v>
      </c>
      <c r="C12" s="84"/>
      <c r="D12" s="84"/>
      <c r="E12" s="9">
        <v>5</v>
      </c>
      <c r="F12" s="27">
        <v>3.5</v>
      </c>
      <c r="G12" s="32">
        <f t="shared" si="0"/>
        <v>0.7</v>
      </c>
      <c r="H12" s="33" t="str">
        <f t="shared" si="1"/>
        <v>جيد</v>
      </c>
      <c r="I12" s="52"/>
      <c r="J12" s="53"/>
    </row>
    <row r="13" spans="1:10" ht="54.95" customHeight="1" x14ac:dyDescent="0.2">
      <c r="A13" s="11"/>
      <c r="B13" s="83" t="s">
        <v>177</v>
      </c>
      <c r="C13" s="84"/>
      <c r="D13" s="84"/>
      <c r="E13" s="9">
        <v>5</v>
      </c>
      <c r="F13" s="27">
        <v>3.75</v>
      </c>
      <c r="G13" s="32">
        <f t="shared" si="0"/>
        <v>0.75</v>
      </c>
      <c r="H13" s="33" t="str">
        <f t="shared" si="1"/>
        <v>جيد</v>
      </c>
      <c r="I13" s="52"/>
      <c r="J13" s="53"/>
    </row>
    <row r="14" spans="1:10" ht="71.25" customHeight="1" x14ac:dyDescent="0.2">
      <c r="A14" s="11"/>
      <c r="B14" s="83" t="s">
        <v>178</v>
      </c>
      <c r="C14" s="84"/>
      <c r="D14" s="84"/>
      <c r="E14" s="9">
        <v>5</v>
      </c>
      <c r="F14" s="27">
        <v>3.5</v>
      </c>
      <c r="G14" s="32">
        <f t="shared" si="0"/>
        <v>0.7</v>
      </c>
      <c r="H14" s="33" t="str">
        <f t="shared" si="1"/>
        <v>جيد</v>
      </c>
      <c r="I14" s="52"/>
      <c r="J14" s="53"/>
    </row>
    <row r="15" spans="1:10" ht="39.950000000000003" customHeight="1" x14ac:dyDescent="0.2">
      <c r="A15" s="11"/>
      <c r="B15" s="83" t="s">
        <v>179</v>
      </c>
      <c r="C15" s="84"/>
      <c r="D15" s="84"/>
      <c r="E15" s="9">
        <v>5</v>
      </c>
      <c r="F15" s="27">
        <v>4</v>
      </c>
      <c r="G15" s="32">
        <f t="shared" si="0"/>
        <v>0.8</v>
      </c>
      <c r="H15" s="33" t="str">
        <f t="shared" si="1"/>
        <v>جيد جداً</v>
      </c>
      <c r="I15" s="52"/>
      <c r="J15" s="53"/>
    </row>
    <row r="16" spans="1:10" ht="68.25" customHeight="1" x14ac:dyDescent="0.2">
      <c r="A16" s="11"/>
      <c r="B16" s="83" t="s">
        <v>180</v>
      </c>
      <c r="C16" s="84"/>
      <c r="D16" s="84"/>
      <c r="E16" s="9">
        <v>5</v>
      </c>
      <c r="F16" s="27">
        <v>3.5</v>
      </c>
      <c r="G16" s="32">
        <f t="shared" si="0"/>
        <v>0.7</v>
      </c>
      <c r="H16" s="33" t="str">
        <f t="shared" si="1"/>
        <v>جيد</v>
      </c>
      <c r="I16" s="52"/>
      <c r="J16" s="53"/>
    </row>
    <row r="17" spans="1:10" ht="65.099999999999994" customHeight="1" thickBot="1" x14ac:dyDescent="0.25">
      <c r="A17" s="11"/>
      <c r="B17" s="85" t="s">
        <v>181</v>
      </c>
      <c r="C17" s="86"/>
      <c r="D17" s="86"/>
      <c r="E17" s="37">
        <v>5</v>
      </c>
      <c r="F17" s="29">
        <v>3.75</v>
      </c>
      <c r="G17" s="38">
        <f t="shared" si="0"/>
        <v>0.75</v>
      </c>
      <c r="H17" s="39" t="str">
        <f t="shared" si="1"/>
        <v>جيد</v>
      </c>
      <c r="I17" s="81"/>
      <c r="J17" s="82"/>
    </row>
    <row r="18" spans="1:10" ht="39.950000000000003" customHeight="1" x14ac:dyDescent="0.2">
      <c r="A18" s="11"/>
      <c r="B18" s="87" t="s">
        <v>198</v>
      </c>
      <c r="C18" s="88"/>
      <c r="D18" s="88"/>
      <c r="E18" s="40"/>
      <c r="F18" s="34"/>
      <c r="G18" s="35"/>
      <c r="H18" s="36"/>
      <c r="I18" s="79"/>
      <c r="J18" s="80"/>
    </row>
    <row r="19" spans="1:10" ht="39.950000000000003" customHeight="1" x14ac:dyDescent="0.2">
      <c r="A19" s="11"/>
      <c r="B19" s="83" t="s">
        <v>182</v>
      </c>
      <c r="C19" s="84"/>
      <c r="D19" s="84"/>
      <c r="E19" s="9">
        <v>5</v>
      </c>
      <c r="F19" s="27">
        <v>3.5</v>
      </c>
      <c r="G19" s="32">
        <f t="shared" si="0"/>
        <v>0.7</v>
      </c>
      <c r="H19" s="33" t="str">
        <f t="shared" si="1"/>
        <v>جيد</v>
      </c>
      <c r="I19" s="52"/>
      <c r="J19" s="53"/>
    </row>
    <row r="20" spans="1:10" ht="39.950000000000003" customHeight="1" x14ac:dyDescent="0.2">
      <c r="A20" s="11"/>
      <c r="B20" s="83" t="s">
        <v>183</v>
      </c>
      <c r="C20" s="84"/>
      <c r="D20" s="84"/>
      <c r="E20" s="9">
        <v>5</v>
      </c>
      <c r="F20" s="27">
        <v>4</v>
      </c>
      <c r="G20" s="32">
        <f t="shared" si="0"/>
        <v>0.8</v>
      </c>
      <c r="H20" s="33" t="str">
        <f t="shared" si="1"/>
        <v>جيد جداً</v>
      </c>
      <c r="I20" s="52"/>
      <c r="J20" s="53"/>
    </row>
    <row r="21" spans="1:10" ht="39.950000000000003" customHeight="1" x14ac:dyDescent="0.2">
      <c r="A21" s="11"/>
      <c r="B21" s="83" t="s">
        <v>184</v>
      </c>
      <c r="C21" s="84"/>
      <c r="D21" s="84"/>
      <c r="E21" s="9">
        <v>5</v>
      </c>
      <c r="F21" s="27">
        <v>3.5</v>
      </c>
      <c r="G21" s="32">
        <f t="shared" si="0"/>
        <v>0.7</v>
      </c>
      <c r="H21" s="33" t="str">
        <f t="shared" si="1"/>
        <v>جيد</v>
      </c>
      <c r="I21" s="52"/>
      <c r="J21" s="53"/>
    </row>
    <row r="22" spans="1:10" ht="39.950000000000003" customHeight="1" x14ac:dyDescent="0.2">
      <c r="A22" s="11"/>
      <c r="B22" s="83" t="s">
        <v>185</v>
      </c>
      <c r="C22" s="84"/>
      <c r="D22" s="84"/>
      <c r="E22" s="9">
        <v>5</v>
      </c>
      <c r="F22" s="27">
        <v>3.75</v>
      </c>
      <c r="G22" s="32">
        <f t="shared" si="0"/>
        <v>0.75</v>
      </c>
      <c r="H22" s="33" t="str">
        <f t="shared" si="1"/>
        <v>جيد</v>
      </c>
      <c r="I22" s="52"/>
      <c r="J22" s="53"/>
    </row>
    <row r="23" spans="1:10" ht="39.950000000000003" customHeight="1" x14ac:dyDescent="0.2">
      <c r="A23" s="11"/>
      <c r="B23" s="83" t="s">
        <v>186</v>
      </c>
      <c r="C23" s="84"/>
      <c r="D23" s="84"/>
      <c r="E23" s="9">
        <v>5</v>
      </c>
      <c r="F23" s="27">
        <v>3.5</v>
      </c>
      <c r="G23" s="32">
        <f t="shared" si="0"/>
        <v>0.7</v>
      </c>
      <c r="H23" s="33" t="str">
        <f t="shared" si="1"/>
        <v>جيد</v>
      </c>
      <c r="I23" s="52"/>
      <c r="J23" s="53"/>
    </row>
    <row r="24" spans="1:10" ht="39.950000000000003" customHeight="1" x14ac:dyDescent="0.2">
      <c r="A24" s="11"/>
      <c r="B24" s="83" t="s">
        <v>187</v>
      </c>
      <c r="C24" s="84"/>
      <c r="D24" s="84"/>
      <c r="E24" s="9">
        <v>5</v>
      </c>
      <c r="F24" s="27">
        <v>4</v>
      </c>
      <c r="G24" s="32">
        <f t="shared" si="0"/>
        <v>0.8</v>
      </c>
      <c r="H24" s="33" t="str">
        <f t="shared" si="1"/>
        <v>جيد جداً</v>
      </c>
      <c r="I24" s="52"/>
      <c r="J24" s="53"/>
    </row>
    <row r="25" spans="1:10" ht="39.950000000000003" customHeight="1" x14ac:dyDescent="0.2">
      <c r="A25" s="11"/>
      <c r="B25" s="83" t="s">
        <v>188</v>
      </c>
      <c r="C25" s="84"/>
      <c r="D25" s="84"/>
      <c r="E25" s="9">
        <v>5</v>
      </c>
      <c r="F25" s="27">
        <v>4</v>
      </c>
      <c r="G25" s="32">
        <f t="shared" si="0"/>
        <v>0.8</v>
      </c>
      <c r="H25" s="33" t="str">
        <f t="shared" si="1"/>
        <v>جيد جداً</v>
      </c>
      <c r="I25" s="52"/>
      <c r="J25" s="53"/>
    </row>
    <row r="26" spans="1:10" ht="39.950000000000003" customHeight="1" thickBot="1" x14ac:dyDescent="0.25">
      <c r="A26" s="11"/>
      <c r="B26" s="85" t="s">
        <v>189</v>
      </c>
      <c r="C26" s="86"/>
      <c r="D26" s="86"/>
      <c r="E26" s="37">
        <v>5</v>
      </c>
      <c r="F26" s="29">
        <v>3.75</v>
      </c>
      <c r="G26" s="38">
        <f t="shared" si="0"/>
        <v>0.75</v>
      </c>
      <c r="H26" s="39" t="str">
        <f t="shared" si="1"/>
        <v>جيد</v>
      </c>
      <c r="I26" s="81"/>
      <c r="J26" s="82"/>
    </row>
    <row r="27" spans="1:10" ht="39.950000000000003" customHeight="1" x14ac:dyDescent="0.2">
      <c r="A27" s="11"/>
      <c r="B27" s="93" t="s">
        <v>199</v>
      </c>
      <c r="C27" s="94"/>
      <c r="D27" s="94"/>
      <c r="E27" s="40"/>
      <c r="F27" s="34"/>
      <c r="G27" s="35"/>
      <c r="H27" s="36"/>
      <c r="I27" s="79"/>
      <c r="J27" s="80"/>
    </row>
    <row r="28" spans="1:10" ht="39.950000000000003" customHeight="1" x14ac:dyDescent="0.2">
      <c r="A28" s="11"/>
      <c r="B28" s="83" t="s">
        <v>190</v>
      </c>
      <c r="C28" s="84"/>
      <c r="D28" s="84"/>
      <c r="E28" s="9">
        <v>5</v>
      </c>
      <c r="F28" s="27">
        <v>3.75</v>
      </c>
      <c r="G28" s="32">
        <f t="shared" si="0"/>
        <v>0.75</v>
      </c>
      <c r="H28" s="33" t="str">
        <f t="shared" si="1"/>
        <v>جيد</v>
      </c>
      <c r="I28" s="52"/>
      <c r="J28" s="53"/>
    </row>
    <row r="29" spans="1:10" ht="39.950000000000003" customHeight="1" x14ac:dyDescent="0.2">
      <c r="A29" s="11"/>
      <c r="B29" s="83" t="s">
        <v>191</v>
      </c>
      <c r="C29" s="84"/>
      <c r="D29" s="84"/>
      <c r="E29" s="9">
        <v>5</v>
      </c>
      <c r="F29" s="27">
        <v>3.75</v>
      </c>
      <c r="G29" s="32">
        <f t="shared" si="0"/>
        <v>0.75</v>
      </c>
      <c r="H29" s="33" t="str">
        <f t="shared" si="1"/>
        <v>جيد</v>
      </c>
      <c r="I29" s="52"/>
      <c r="J29" s="53"/>
    </row>
    <row r="30" spans="1:10" ht="39.950000000000003" customHeight="1" x14ac:dyDescent="0.2">
      <c r="A30" s="11"/>
      <c r="B30" s="83" t="s">
        <v>192</v>
      </c>
      <c r="C30" s="84"/>
      <c r="D30" s="84"/>
      <c r="E30" s="9">
        <v>5</v>
      </c>
      <c r="F30" s="27">
        <v>3.5</v>
      </c>
      <c r="G30" s="32">
        <f t="shared" si="0"/>
        <v>0.7</v>
      </c>
      <c r="H30" s="33" t="str">
        <f t="shared" si="1"/>
        <v>جيد</v>
      </c>
      <c r="I30" s="52"/>
      <c r="J30" s="53"/>
    </row>
    <row r="31" spans="1:10" ht="39.950000000000003" customHeight="1" x14ac:dyDescent="0.2">
      <c r="A31" s="11"/>
      <c r="B31" s="83" t="s">
        <v>193</v>
      </c>
      <c r="C31" s="84"/>
      <c r="D31" s="84"/>
      <c r="E31" s="9">
        <v>5</v>
      </c>
      <c r="F31" s="27">
        <v>4</v>
      </c>
      <c r="G31" s="32">
        <f t="shared" si="0"/>
        <v>0.8</v>
      </c>
      <c r="H31" s="33" t="str">
        <f t="shared" si="1"/>
        <v>جيد جداً</v>
      </c>
      <c r="I31" s="52"/>
      <c r="J31" s="53"/>
    </row>
    <row r="32" spans="1:10" ht="39.950000000000003" customHeight="1" thickBot="1" x14ac:dyDescent="0.25">
      <c r="A32" s="11"/>
      <c r="B32" s="85" t="s">
        <v>194</v>
      </c>
      <c r="C32" s="86"/>
      <c r="D32" s="86"/>
      <c r="E32" s="37">
        <v>5</v>
      </c>
      <c r="F32" s="29">
        <v>3.5</v>
      </c>
      <c r="G32" s="38">
        <f t="shared" si="0"/>
        <v>0.7</v>
      </c>
      <c r="H32" s="39" t="str">
        <f t="shared" si="1"/>
        <v>جيد</v>
      </c>
      <c r="I32" s="81"/>
      <c r="J32" s="82"/>
    </row>
    <row r="33" spans="1:10" ht="30" customHeight="1" thickBot="1" x14ac:dyDescent="0.25">
      <c r="A33" s="4"/>
      <c r="B33" s="75" t="s">
        <v>5</v>
      </c>
      <c r="C33" s="76"/>
      <c r="D33" s="76"/>
      <c r="E33" s="31">
        <f>SUM(E8:E32)</f>
        <v>110</v>
      </c>
      <c r="F33" s="31">
        <f>SUM(F8:F32)</f>
        <v>82.25</v>
      </c>
      <c r="G33" s="45"/>
      <c r="H33" s="46"/>
      <c r="I33" s="46"/>
      <c r="J33" s="47"/>
    </row>
    <row r="34" spans="1:10" ht="30" customHeight="1" thickBot="1" x14ac:dyDescent="0.25">
      <c r="A34" s="4"/>
      <c r="B34" s="77" t="s">
        <v>54</v>
      </c>
      <c r="C34" s="78"/>
      <c r="D34" s="78"/>
      <c r="E34" s="67">
        <f>F33/E33/100*100</f>
        <v>0.74772727272727268</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92</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2025-10-22T04:57:10Z</dcterms:modified>
</cp:coreProperties>
</file>