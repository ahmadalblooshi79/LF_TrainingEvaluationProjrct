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B4AEE938-EEC3-2843-A645-81DB5F9B8C4C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8" i="2"/>
  <c r="H8" i="2"/>
  <c r="F15" i="2"/>
  <c r="E15" i="2"/>
  <c r="E16" i="2"/>
  <c r="E17" i="2"/>
</calcChain>
</file>

<file path=xl/sharedStrings.xml><?xml version="1.0" encoding="utf-8"?>
<sst xmlns="http://schemas.openxmlformats.org/spreadsheetml/2006/main" count="243" uniqueCount="187">
  <si>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</si>
  <si>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</si>
  <si>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</si>
  <si>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</si>
  <si>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</si>
  <si>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</si>
  <si>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</si>
  <si>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</si>
  <si>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</si>
  <si>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</si>
  <si>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</si>
  <si>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</si>
  <si>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</si>
  <si>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</si>
  <si>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</si>
  <si>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</si>
  <si>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</si>
  <si>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</si>
  <si>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</si>
  <si>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</si>
  <si>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</si>
  <si>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</si>
  <si>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</si>
  <si>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</si>
  <si>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</si>
  <si>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</si>
  <si>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</si>
  <si>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</si>
  <si>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</si>
  <si>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</si>
  <si>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</si>
  <si>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</si>
  <si>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</si>
  <si>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</si>
  <si>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</si>
  <si>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</si>
  <si>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</si>
  <si>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</si>
  <si>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</si>
  <si>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</si>
  <si>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</si>
  <si>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</si>
  <si>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</si>
  <si>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</si>
  <si>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</si>
  <si>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</si>
  <si>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</si>
  <si>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</si>
  <si>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</si>
  <si>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</si>
  <si>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</si>
  <si>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</si>
  <si>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</si>
  <si>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</si>
  <si>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</si>
  <si>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</si>
  <si>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</si>
  <si>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</si>
  <si>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</si>
  <si>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</si>
  <si>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</si>
  <si>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</si>
  <si>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</si>
  <si>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</si>
  <si>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</si>
  <si>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</si>
  <si>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</si>
  <si>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</si>
  <si>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</si>
  <si>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</si>
  <si>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</si>
  <si>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</si>
  <si>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</si>
  <si>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</si>
  <si>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</si>
  <si>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</si>
  <si>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</si>
  <si>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</si>
  <si>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</si>
  <si>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</si>
  <si>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</si>
  <si>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</si>
  <si>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</si>
  <si>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</si>
  <si>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</si>
  <si>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</si>
  <si>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</si>
  <si>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</si>
  <si>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</si>
  <si>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</si>
  <si>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</si>
  <si>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</si>
  <si>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</si>
  <si>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</si>
  <si>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</si>
  <si>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</si>
  <si>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</si>
  <si>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</si>
  <si>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</si>
  <si>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</si>
  <si>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</si>
  <si>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</si>
  <si>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</si>
  <si>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</si>
  <si>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</si>
  <si>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</si>
  <si>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</si>
  <si>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</si>
  <si>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</si>
  <si>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</si>
  <si>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</si>
  <si>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</si>
  <si>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</si>
  <si>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</si>
  <si>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</si>
  <si>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</si>
  <si>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</si>
  <si>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</si>
  <si>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</si>
  <si>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</si>
  <si>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</si>
  <si>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</si>
  <si>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</si>
  <si>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</si>
  <si>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</si>
  <si>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</si>
  <si>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</si>
  <si>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</si>
  <si>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</si>
  <si>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</si>
  <si>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</si>
  <si>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</si>
  <si>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</si>
  <si>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</si>
  <si>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</si>
  <si>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</si>
  <si>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</si>
  <si>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</si>
  <si>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</si>
  <si>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</si>
  <si>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</si>
  <si>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</si>
  <si>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</si>
  <si>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</si>
  <si>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</si>
  <si>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</si>
  <si>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</si>
  <si>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</si>
  <si>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</si>
  <si>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</si>
  <si>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</si>
  <si>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</si>
  <si>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</si>
  <si>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</si>
  <si>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</si>
  <si>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</si>
  <si>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</si>
  <si>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</si>
  <si>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</si>
  <si>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</si>
  <si>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</si>
  <si>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</si>
  <si>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</si>
  <si>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</si>
  <si>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</si>
  <si>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</si>
  <si>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</si>
  <si>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</si>
  <si>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</si>
  <si>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</si>
  <si>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</si>
  <si>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</si>
  <si>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</si>
  <si>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</si>
  <si>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</si>
  <si>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</si>
  <si>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</si>
  <si>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</si>
  <si>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</si>
  <si>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الخروج من منطقة الخطر للعبوة الناسفة.</t>
    </r>
  </si>
  <si>
    <r>
      <t>2.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التبليغ للمستوى الأعلى عن الحادث والتبليغ عن عدد الإصابات وحجم الخسائر.</t>
    </r>
  </si>
  <si>
    <r>
      <t>3.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طلب الدعم اللوجستي.</t>
    </r>
  </si>
  <si>
    <r>
      <t>4.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رفع البلاغ من قائد السرية لقيادة الكتيبة بعد استلامه التبليغ من قائد الآلية المتضررة</t>
    </r>
  </si>
  <si>
    <r>
      <t>5.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تعيين أحد أفراد الطاقم لتأمين العربة إلى أن تصل الوحدة المكلفة بالتأمين.</t>
    </r>
  </si>
  <si>
    <r>
      <t>6.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طلب فرق الصيانة لإخلاء الآلية المتضررة.</t>
    </r>
  </si>
  <si>
    <r>
      <t>7.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إرسال آلية بديلة وأفراد لتأمين الحماية للآلية المتضررة.</t>
    </r>
  </si>
  <si>
    <t>اليوم/2 - تقييم معضلة/6 - انفجار عبوة ناسفة
تقييم السرايا الراجلة / الآلية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</si>
</sst>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right" vertical="center" wrapText="1" readingOrder="2"/>
    </xf>
    <xf numFmtId="0" fontId="3" fillId="6" borderId="14" xfId="0" applyFont="1" applyFill="1" applyBorder="1" applyAlignment="1">
      <alignment horizontal="center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3" borderId="14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5" borderId="14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146885</xdr:colOff>
      <xdr:row>17</xdr:row>
      <xdr:rowOff>505040</xdr:rowOff>
    </xdr:from>
    <xdr:to>
      <xdr:col>9</xdr:col>
      <xdr:colOff>169894</xdr:colOff>
      <xdr:row>18</xdr:row>
      <xdr:rowOff>399108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E90A308-CC57-7F03-693F-57B3CE1D96ED}"/>
                </a:ext>
              </a:extLst>
            </xdr14:cNvPr>
            <xdr14:cNvContentPartPr/>
          </xdr14:nvContentPartPr>
          <xdr14:nvPr macro=""/>
          <xdr14:xfrm>
            <a:off x="10398416925" y="7871040"/>
            <a:ext cx="1997280" cy="4251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E90A308-CC57-7F03-693F-57B3CE1D96E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408285" y="7862400"/>
              <a:ext cx="2014920" cy="44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314285</xdr:colOff>
      <xdr:row>18</xdr:row>
      <xdr:rowOff>379308</xdr:rowOff>
    </xdr:from>
    <xdr:to>
      <xdr:col>6</xdr:col>
      <xdr:colOff>317165</xdr:colOff>
      <xdr:row>18</xdr:row>
      <xdr:rowOff>381828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944ACA3-EA0A-9F01-CFB4-623D1ED7DEED}"/>
                </a:ext>
              </a:extLst>
            </xdr14:cNvPr>
            <xdr14:cNvContentPartPr/>
          </xdr14:nvContentPartPr>
          <xdr14:nvPr macro=""/>
          <xdr14:xfrm>
            <a:off x="10400243925" y="8276400"/>
            <a:ext cx="2880" cy="25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944ACA3-EA0A-9F01-CFB4-623D1ED7DEE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235285" y="8267400"/>
              <a:ext cx="20520" cy="20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6:54:46.3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5160 276 10858,'0'0'0,"-2"-14"1408,-3 1-952,5 13-456,-3-14 448,1 3-88,0 6-40,2-7 137,0 12-457,0-5 464,0-7 0,0 7-72,0 1-72,0 4-320,0-6 280,0 2-80,2 1 8,-2 0-48,0 3-160,2-1 88,-2 0 16,3 1-48,2 0 64,-5 0-120,2 0 0,0 2-24,13 3 16,-3 9-112,-12-14 120,12 13-56,5 0 0,-1-1 64,4 3-32,-20-15 24,17 14 72,4 0-40,1 2-16,0-2-32,-22-14 16,24 13 16,-3 2-32,3-1-8,-2 1 64,-22-15-40,24 12-16,-7 1 16,2 0-32,-5 0 8,-14-13 24,17 13 8,-5-1-16,-7 3 8,7-1-24,-12-14 24,0 14-80,0-1 48,0 0 8,-2-1 16,2-12 8,-12 15 56,-3-3-56,-4 1 0,-5 0 8,24-13-8,-34 11-24,-2 1 40,-7-8 8,-5 10-8,48-14-16,-55 3 72,-3 1-24,-5 1-24,-2-2 40,65-3-64,-65 0 40,0 0 72,5 0 16,7-3-8,53 3-120,-40-5 176,3 0-120,11-7 64,4 10 8,22 2-128,-17-5 144,8 0 8,2 0-8,4 1-24,3 4-120,0-4 64,-2 2 56,2 1-47,0 0-17,0 1-56,0-2 64,0 2-80,0 0-16,0 0 32,0 0-24,0 0-24,0 0 56,0 0-16,0 0 80,0 0-168,0 3 72,0-3-49,0 0 73,0 0-16,-5 3 16,-9-3 16,-1 3-32,15-3 16,-17 2 16,-7-2-8,-2 3 16,-3-3-8,29 0-16,-36 0 25,-3 0-66,-6 0 57,-11 0-64,56 0 48,-55 0-16,-10 0 40,-7 3-48,-7 0 48,79-3-24,-92 4 16,-6 8 65,-6-10-17,-7 10 32,111-12-96,-113 4 112,-4 9-16,-4-9 0,-1 12 80,122-16-176,-123 11 104,-5 1-48,1 0 64,-3 3-56,130-15-64,-132 12 112,-5 1-40,7-1-24,0 0-120,130-12 72,-137 12-40,5 0 72,-8 1-48,1 0 112,139-13-96,-133 13 0,-1 0 16,6-1 32,1 1-32,127-13-16,-128 12 32,8-8 8,2 12-16,15-14 32,103-2-56,-97 5 48,11-3 144,9-2-120,5 0-56,72 0-16,-61 0 48,1-2-32,12-4-8,10 0 144,38 6-152,-36-11 80,9 8-96,8-1 96,7-1 32,12 5-112,-2-5 40,2 1 64,0-2 8,0 0-8,0 6-104,14-11 80,0 5-56,15-11 40,10 0-144,-39 17 80,50-20 136,18-4 96,6 0-184,13-3 112,-87 27-160,96-26-24,12-1-32,17 0 160,15-1-88,-140 28-16,144-30 144,10 1-152,7 1 40,5 1-16,-166 27-16,173-27 96,8 1-72,-6 2-104,6 1 104,-181 23-24,175-21-80,-1 0 72,1 2 16,-9-1-56,-166 20 48,164-18-96,-8 1 136,-12 1-24,-11-1 48,-133 17-64,120-14 96,-12 1-72,-16 0 0,-13 1 16,-79 12-40,67-12-24,-16 1 48,-8 0 8,-14 6 8,-29 5-40,14-13 192,-11 9 24,-3-9 24,-5 8-8,5 5-232,-22-16 137,-2 3-113,-7-1-32,-12 3-129,43 11 137,-46-6-32,-7-7 64,-7 10-24,-5-1 65,65 4-73,-65-4-16,5 1 32,5 2 40,6 1-32,9 0-24,40 0 0,-37 4 16,11 10-169,2-3 89,24-11 64,-19 15-88,4 5-56,3 5 160,5 8-128,-3 8 232,10-41-120,-7 46 32,5 3-88,-5 2 112,7 1-168,0-52 112,0 55-8,0 1 16,2 3-16,12 1-64,-14-60 72,5 60-24,7-4-16,-9-1 88,-3-55-48,14 51 56,-9-3 64,14-4-8,-7-4-32,-9-3-64,-3-37-16,4 33-16,1-1 16,0-3-16,-3-2-48,-2-27 64,5 22 0,-2-3 8,-3-5-136,0-3-184,0-11 312,0 3-808,0 2-568,0-3-929,0-2-1551,0 0 3856,0 0-3713,0-2-3865,0 2 7578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6:54:46.8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6 17779,'0'0'0,"0"-1"-2552,0-1-873,0 2 3425,2 0-5153,3-3-96,-5 3 5249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2"/>
  <sheetViews>
    <sheetView rightToLeft="1" tabSelected="1" view="pageBreakPreview" topLeftCell="D2" zoomScale="130" zoomScaleNormal="100" zoomScaleSheetLayoutView="130" workbookViewId="0">
      <selection activeCell="G19" sqref="G19:J19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49" t="s">
        <v>186</v>
      </c>
      <c r="C1" s="49"/>
      <c r="D1" s="49"/>
      <c r="E1" s="49"/>
      <c r="F1" s="49"/>
      <c r="G1" s="49"/>
      <c r="H1" s="49"/>
      <c r="I1" s="49"/>
      <c r="J1" s="49"/>
    </row>
    <row r="2" spans="1:10" ht="30" customHeight="1">
      <c r="B2" s="11" t="s">
        <v>8</v>
      </c>
      <c r="C2" s="55" t="s">
        <v>37</v>
      </c>
      <c r="D2" s="55"/>
      <c r="E2" s="11" t="s">
        <v>7</v>
      </c>
      <c r="F2" s="50">
        <v>45913</v>
      </c>
      <c r="G2" s="50"/>
      <c r="H2" s="50"/>
      <c r="I2" s="50"/>
      <c r="J2" s="50"/>
    </row>
    <row r="3" spans="1:10" ht="30" customHeight="1">
      <c r="B3" s="11" t="s">
        <v>9</v>
      </c>
      <c r="C3" s="55" t="s">
        <v>78</v>
      </c>
      <c r="D3" s="55"/>
      <c r="E3" s="11" t="s">
        <v>6</v>
      </c>
      <c r="F3" s="55" t="s">
        <v>134</v>
      </c>
      <c r="G3" s="55"/>
      <c r="H3" s="55"/>
      <c r="I3" s="55"/>
      <c r="J3" s="55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9"/>
      <c r="B5" s="51" t="s">
        <v>0</v>
      </c>
      <c r="C5" s="52"/>
      <c r="D5" s="52"/>
      <c r="E5" s="56" t="s">
        <v>1</v>
      </c>
      <c r="F5" s="56"/>
      <c r="G5" s="56"/>
      <c r="H5" s="56"/>
      <c r="I5" s="56" t="s">
        <v>2</v>
      </c>
      <c r="J5" s="57"/>
    </row>
    <row r="6" spans="1:10" ht="24.95" customHeight="1" thickBot="1">
      <c r="A6" s="9"/>
      <c r="B6" s="53"/>
      <c r="C6" s="54"/>
      <c r="D6" s="54"/>
      <c r="E6" s="10" t="s">
        <v>3</v>
      </c>
      <c r="F6" s="10" t="s">
        <v>4</v>
      </c>
      <c r="G6" s="10" t="s">
        <v>23</v>
      </c>
      <c r="H6" s="10" t="s">
        <v>24</v>
      </c>
      <c r="I6" s="58"/>
      <c r="J6" s="59"/>
    </row>
    <row r="7" spans="1:10" ht="24.95" customHeight="1">
      <c r="A7" s="9"/>
      <c r="B7" s="39" t="s">
        <v>21</v>
      </c>
      <c r="C7" s="40"/>
      <c r="D7" s="40"/>
      <c r="E7" s="28" t="s">
        <v>18</v>
      </c>
      <c r="F7" s="28" t="s">
        <v>19</v>
      </c>
      <c r="G7" s="28" t="s">
        <v>22</v>
      </c>
      <c r="H7" s="28" t="s">
        <v>20</v>
      </c>
      <c r="I7" s="42" t="s">
        <v>25</v>
      </c>
      <c r="J7" s="43"/>
    </row>
    <row r="8" spans="1:10" ht="39.950000000000003" customHeight="1">
      <c r="A8" s="9"/>
      <c r="B8" s="60" t="s">
        <v>179</v>
      </c>
      <c r="C8" s="60"/>
      <c r="D8" s="60"/>
      <c r="E8" s="30">
        <v>3</v>
      </c>
      <c r="F8" s="27">
        <v>2.25</v>
      </c>
      <c r="G8" s="31">
        <f>IFERROR(F8/E8,"")</f>
        <v>0.75</v>
      </c>
      <c r="H8" s="32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41"/>
      <c r="J8" s="41"/>
    </row>
    <row r="9" spans="1:10" ht="39.950000000000003" customHeight="1">
      <c r="A9" s="9"/>
      <c r="B9" s="60" t="s">
        <v>180</v>
      </c>
      <c r="C9" s="60"/>
      <c r="D9" s="60"/>
      <c r="E9" s="30">
        <v>3</v>
      </c>
      <c r="F9" s="27">
        <v>2.25</v>
      </c>
      <c r="G9" s="31">
        <f>IFERROR(F9/E9,"")</f>
        <v>0.75</v>
      </c>
      <c r="H9" s="32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1"/>
      <c r="J9" s="41"/>
    </row>
    <row r="10" spans="1:10" ht="39.950000000000003" customHeight="1">
      <c r="A10" s="9"/>
      <c r="B10" s="60" t="s">
        <v>181</v>
      </c>
      <c r="C10" s="60"/>
      <c r="D10" s="60"/>
      <c r="E10" s="30">
        <v>3</v>
      </c>
      <c r="F10" s="27">
        <v>2</v>
      </c>
      <c r="G10" s="31">
        <f t="shared" ref="G10:G14" si="0">IFERROR(F10/E10,"")</f>
        <v>0.66666666666666663</v>
      </c>
      <c r="H10" s="32" t="str">
        <f t="shared" ref="H10:H14" si="1">_xlfn.IFS(F10="أدخل العلامة","",F10="لا ينطبق","تم الإلغاء",G10&gt;=90%,"ممتاز",G10&gt;=80%,"جيد جداً",G10&gt;=70%,"جيد",G10&gt;=60%,"مقبول",G10&lt;60%,"راسب")</f>
        <v>مقبول</v>
      </c>
      <c r="I10" s="41"/>
      <c r="J10" s="41"/>
    </row>
    <row r="11" spans="1:10" ht="39.950000000000003" customHeight="1">
      <c r="A11" s="9"/>
      <c r="B11" s="60" t="s">
        <v>182</v>
      </c>
      <c r="C11" s="60"/>
      <c r="D11" s="60"/>
      <c r="E11" s="30">
        <v>3</v>
      </c>
      <c r="F11" s="27">
        <v>2</v>
      </c>
      <c r="G11" s="31">
        <f t="shared" si="0"/>
        <v>0.66666666666666663</v>
      </c>
      <c r="H11" s="32" t="str">
        <f t="shared" si="1"/>
        <v>مقبول</v>
      </c>
      <c r="I11" s="41"/>
      <c r="J11" s="41"/>
    </row>
    <row r="12" spans="1:10" ht="39.950000000000003" customHeight="1">
      <c r="A12" s="9"/>
      <c r="B12" s="60" t="s">
        <v>183</v>
      </c>
      <c r="C12" s="60"/>
      <c r="D12" s="60"/>
      <c r="E12" s="30">
        <v>3</v>
      </c>
      <c r="F12" s="27">
        <v>2</v>
      </c>
      <c r="G12" s="31">
        <f t="shared" si="0"/>
        <v>0.66666666666666663</v>
      </c>
      <c r="H12" s="32" t="str">
        <f t="shared" si="1"/>
        <v>مقبول</v>
      </c>
      <c r="I12" s="41"/>
      <c r="J12" s="41"/>
    </row>
    <row r="13" spans="1:10" ht="39.950000000000003" customHeight="1">
      <c r="A13" s="9"/>
      <c r="B13" s="60" t="s">
        <v>184</v>
      </c>
      <c r="C13" s="60"/>
      <c r="D13" s="60"/>
      <c r="E13" s="30">
        <v>3</v>
      </c>
      <c r="F13" s="27">
        <v>2</v>
      </c>
      <c r="G13" s="31">
        <f t="shared" si="0"/>
        <v>0.66666666666666663</v>
      </c>
      <c r="H13" s="32" t="str">
        <f t="shared" si="1"/>
        <v>مقبول</v>
      </c>
      <c r="I13" s="41"/>
      <c r="J13" s="41"/>
    </row>
    <row r="14" spans="1:10" ht="39.950000000000003" customHeight="1">
      <c r="A14" s="9"/>
      <c r="B14" s="60" t="s">
        <v>185</v>
      </c>
      <c r="C14" s="60"/>
      <c r="D14" s="60"/>
      <c r="E14" s="30">
        <v>3</v>
      </c>
      <c r="F14" s="27">
        <v>2.25</v>
      </c>
      <c r="G14" s="31">
        <f t="shared" si="0"/>
        <v>0.75</v>
      </c>
      <c r="H14" s="32" t="str">
        <f t="shared" si="1"/>
        <v>جيد</v>
      </c>
      <c r="I14" s="41"/>
      <c r="J14" s="41"/>
    </row>
    <row r="15" spans="1:10" ht="30" customHeight="1" thickBot="1">
      <c r="A15" s="4"/>
      <c r="B15" s="67" t="s">
        <v>5</v>
      </c>
      <c r="C15" s="68"/>
      <c r="D15" s="68"/>
      <c r="E15" s="29">
        <f>SUM(E8:E14)</f>
        <v>21</v>
      </c>
      <c r="F15" s="29">
        <f>SUM(F8:F14)</f>
        <v>14.75</v>
      </c>
      <c r="G15" s="34"/>
      <c r="H15" s="35"/>
      <c r="I15" s="35"/>
      <c r="J15" s="36"/>
    </row>
    <row r="16" spans="1:10" ht="30" customHeight="1" thickBot="1">
      <c r="A16" s="4"/>
      <c r="B16" s="69" t="s">
        <v>54</v>
      </c>
      <c r="C16" s="70"/>
      <c r="D16" s="70"/>
      <c r="E16" s="37">
        <f>F15/E15/100*100</f>
        <v>0.70238095238095233</v>
      </c>
      <c r="F16" s="37"/>
      <c r="G16" s="37"/>
      <c r="H16" s="37"/>
      <c r="I16" s="37"/>
      <c r="J16" s="38"/>
    </row>
    <row r="17" spans="1:10" ht="30" customHeight="1" thickBot="1">
      <c r="A17" s="4"/>
      <c r="B17" s="69" t="s">
        <v>55</v>
      </c>
      <c r="C17" s="70"/>
      <c r="D17" s="70"/>
      <c r="E17" s="47" t="str">
        <f>_xlfn.IFS(E16&gt;=90%,"ممتاز",E16&gt;=80%,"جيد جداً",E16&gt;=70%,"جيد",E16&gt;=60%,"مقبول",E16&lt;60%,"راسب")</f>
        <v>جيد</v>
      </c>
      <c r="F17" s="47"/>
      <c r="G17" s="47"/>
      <c r="H17" s="47"/>
      <c r="I17" s="47"/>
      <c r="J17" s="48"/>
    </row>
    <row r="18" spans="1:10" ht="42" customHeight="1">
      <c r="B18" s="71" t="s">
        <v>178</v>
      </c>
      <c r="C18" s="71"/>
      <c r="D18" s="71"/>
      <c r="E18" s="44" t="s">
        <v>52</v>
      </c>
      <c r="F18" s="44"/>
      <c r="G18" s="45" t="s">
        <v>134</v>
      </c>
      <c r="H18" s="45"/>
      <c r="I18" s="45"/>
      <c r="J18" s="45"/>
    </row>
    <row r="19" spans="1:10" ht="51" customHeight="1">
      <c r="A19" s="5"/>
      <c r="B19" s="72"/>
      <c r="C19" s="72"/>
      <c r="D19" s="72"/>
      <c r="E19" s="33" t="s">
        <v>53</v>
      </c>
      <c r="F19" s="33"/>
      <c r="G19" s="46"/>
      <c r="H19" s="46"/>
      <c r="I19" s="46"/>
      <c r="J19" s="46"/>
    </row>
    <row r="20" spans="1:10">
      <c r="A20" s="24">
        <v>3</v>
      </c>
      <c r="B20" s="61" t="s">
        <v>175</v>
      </c>
      <c r="C20" s="62"/>
    </row>
    <row r="21" spans="1:10">
      <c r="A21" s="25">
        <v>2</v>
      </c>
      <c r="B21" s="63" t="s">
        <v>176</v>
      </c>
      <c r="C21" s="64"/>
    </row>
    <row r="22" spans="1:10">
      <c r="A22" s="26">
        <v>1</v>
      </c>
      <c r="B22" s="65" t="s">
        <v>177</v>
      </c>
      <c r="C22" s="6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8">
    <mergeCell ref="B8:D8"/>
    <mergeCell ref="B9:D9"/>
    <mergeCell ref="B10:D10"/>
    <mergeCell ref="B11:D11"/>
    <mergeCell ref="B12:D12"/>
    <mergeCell ref="B13:D13"/>
    <mergeCell ref="B14:D14"/>
    <mergeCell ref="B20:C20"/>
    <mergeCell ref="B21:C21"/>
    <mergeCell ref="B22:C22"/>
    <mergeCell ref="B15:D15"/>
    <mergeCell ref="B16:D16"/>
    <mergeCell ref="B17:D17"/>
    <mergeCell ref="B18:D19"/>
    <mergeCell ref="B1:J1"/>
    <mergeCell ref="F2:J2"/>
    <mergeCell ref="B5:D6"/>
    <mergeCell ref="C2:D2"/>
    <mergeCell ref="C3:D3"/>
    <mergeCell ref="F3:J3"/>
    <mergeCell ref="E5:H5"/>
    <mergeCell ref="I5:J6"/>
    <mergeCell ref="E19:F19"/>
    <mergeCell ref="G15:J15"/>
    <mergeCell ref="E16:J16"/>
    <mergeCell ref="B7:D7"/>
    <mergeCell ref="I9:J9"/>
    <mergeCell ref="I7:J7"/>
    <mergeCell ref="I10:J10"/>
    <mergeCell ref="E18:F18"/>
    <mergeCell ref="G18:J18"/>
    <mergeCell ref="G19:J19"/>
    <mergeCell ref="E17:J17"/>
    <mergeCell ref="I8:J8"/>
    <mergeCell ref="I11:J11"/>
    <mergeCell ref="I12:J12"/>
    <mergeCell ref="I13:J13"/>
    <mergeCell ref="I14:J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7">
    <cfRule type="expression" dxfId="14" priority="57">
      <formula>$E17="راسب"</formula>
    </cfRule>
  </conditionalFormatting>
  <conditionalFormatting sqref="E17:J17">
    <cfRule type="expression" dxfId="13" priority="58">
      <formula>$E17="مقبول"</formula>
    </cfRule>
    <cfRule type="expression" dxfId="12" priority="59">
      <formula>$E17="جيد"</formula>
    </cfRule>
    <cfRule type="expression" dxfId="11" priority="60">
      <formula>$E17="جيد جداً"</formula>
    </cfRule>
    <cfRule type="expression" dxfId="10" priority="61">
      <formula>$E17="ممتاز"</formula>
    </cfRule>
  </conditionalFormatting>
  <conditionalFormatting sqref="F8:F14">
    <cfRule type="containsText" dxfId="9" priority="1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8:J18">
    <cfRule type="containsText" dxfId="6" priority="15" operator="containsText" text="أدخل اسم المحكم">
      <formula>NOT(ISERROR(SEARCH("أدخل اسم المحكم",G18)))</formula>
    </cfRule>
  </conditionalFormatting>
  <conditionalFormatting sqref="H8:H14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G18:J18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F8:F14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8" t="s">
        <v>62</v>
      </c>
    </row>
    <row r="3" spans="1:3" ht="20.100000000000001" customHeight="1" thickBot="1">
      <c r="A3" s="2" t="s">
        <v>26</v>
      </c>
      <c r="C3" s="18" t="s">
        <v>63</v>
      </c>
    </row>
    <row r="4" spans="1:3" ht="20.100000000000001" customHeight="1" thickBot="1">
      <c r="A4" s="2" t="s">
        <v>36</v>
      </c>
      <c r="C4" s="18" t="s">
        <v>64</v>
      </c>
    </row>
    <row r="5" spans="1:3" ht="20.100000000000001" customHeight="1" thickBot="1">
      <c r="A5" s="2" t="s">
        <v>37</v>
      </c>
      <c r="C5" s="18" t="s">
        <v>65</v>
      </c>
    </row>
    <row r="6" spans="1:3" ht="20.100000000000001" customHeight="1" thickBot="1">
      <c r="A6" s="2" t="s">
        <v>38</v>
      </c>
      <c r="C6" s="18" t="s">
        <v>66</v>
      </c>
    </row>
    <row r="7" spans="1:3" ht="20.100000000000001" customHeight="1" thickBot="1">
      <c r="A7" s="2" t="s">
        <v>39</v>
      </c>
      <c r="C7" s="18" t="s">
        <v>67</v>
      </c>
    </row>
    <row r="8" spans="1:3" ht="20.100000000000001" customHeight="1" thickBot="1">
      <c r="A8" s="2" t="s">
        <v>40</v>
      </c>
      <c r="C8" s="18" t="s">
        <v>68</v>
      </c>
    </row>
    <row r="9" spans="1:3" ht="20.100000000000001" customHeight="1" thickBot="1">
      <c r="A9" s="2" t="s">
        <v>41</v>
      </c>
      <c r="C9" s="18" t="s">
        <v>69</v>
      </c>
    </row>
    <row r="10" spans="1:3" ht="20.100000000000001" customHeight="1" thickBot="1">
      <c r="A10" s="2" t="s">
        <v>42</v>
      </c>
      <c r="C10" s="18" t="s">
        <v>70</v>
      </c>
    </row>
    <row r="11" spans="1:3" ht="20.100000000000001" customHeight="1" thickBot="1">
      <c r="A11" s="2" t="s">
        <v>43</v>
      </c>
      <c r="C11" s="18" t="s">
        <v>71</v>
      </c>
    </row>
    <row r="12" spans="1:3" ht="20.100000000000001" customHeight="1" thickBot="1">
      <c r="A12" s="2" t="s">
        <v>44</v>
      </c>
      <c r="C12" s="18" t="s">
        <v>72</v>
      </c>
    </row>
    <row r="13" spans="1:3" ht="20.100000000000001" customHeight="1" thickBot="1">
      <c r="A13" s="2" t="s">
        <v>45</v>
      </c>
      <c r="C13" s="18" t="s">
        <v>73</v>
      </c>
    </row>
    <row r="14" spans="1:3" ht="20.100000000000001" customHeight="1" thickBot="1">
      <c r="A14" s="2" t="s">
        <v>46</v>
      </c>
      <c r="C14" s="18" t="s">
        <v>74</v>
      </c>
    </row>
    <row r="15" spans="1:3" ht="20.100000000000001" customHeight="1" thickBot="1">
      <c r="A15" s="2" t="s">
        <v>47</v>
      </c>
      <c r="C15" s="18" t="s">
        <v>75</v>
      </c>
    </row>
    <row r="16" spans="1:3" ht="20.100000000000001" customHeight="1" thickBot="1">
      <c r="A16" s="2" t="s">
        <v>10</v>
      </c>
      <c r="C16" s="18" t="s">
        <v>76</v>
      </c>
    </row>
    <row r="17" spans="1:3" ht="20.100000000000001" customHeight="1" thickBot="1">
      <c r="A17" s="2" t="s">
        <v>27</v>
      </c>
      <c r="C17" s="18" t="s">
        <v>77</v>
      </c>
    </row>
    <row r="18" spans="1:3" ht="20.100000000000001" customHeight="1" thickBot="1">
      <c r="A18" s="2" t="s">
        <v>48</v>
      </c>
      <c r="C18" s="18" t="s">
        <v>78</v>
      </c>
    </row>
    <row r="19" spans="1:3" ht="20.100000000000001" customHeight="1" thickBot="1">
      <c r="A19" s="2" t="s">
        <v>49</v>
      </c>
      <c r="C19" s="18" t="s">
        <v>79</v>
      </c>
    </row>
    <row r="20" spans="1:3" ht="20.100000000000001" customHeight="1" thickBot="1">
      <c r="A20" s="2" t="s">
        <v>50</v>
      </c>
      <c r="C20" s="18" t="s">
        <v>80</v>
      </c>
    </row>
    <row r="21" spans="1:3" ht="20.100000000000001" customHeight="1" thickBot="1">
      <c r="A21" s="2" t="s">
        <v>51</v>
      </c>
      <c r="C21" s="18" t="s">
        <v>81</v>
      </c>
    </row>
    <row r="22" spans="1:3" ht="20.100000000000001" customHeight="1" thickBot="1">
      <c r="A22" s="2" t="s">
        <v>11</v>
      </c>
      <c r="C22" s="18" t="s">
        <v>82</v>
      </c>
    </row>
    <row r="23" spans="1:3" ht="20.100000000000001" customHeight="1" thickBot="1">
      <c r="A23" s="2" t="s">
        <v>12</v>
      </c>
      <c r="C23" s="18" t="s">
        <v>83</v>
      </c>
    </row>
    <row r="24" spans="1:3" ht="20.100000000000001" customHeight="1" thickBot="1">
      <c r="A24" s="2" t="s">
        <v>15</v>
      </c>
      <c r="C24" s="18" t="s">
        <v>84</v>
      </c>
    </row>
    <row r="25" spans="1:3" ht="20.100000000000001" customHeight="1" thickBot="1">
      <c r="A25" s="2" t="s">
        <v>28</v>
      </c>
      <c r="C25" s="18" t="s">
        <v>85</v>
      </c>
    </row>
    <row r="26" spans="1:3" ht="20.100000000000001" customHeight="1" thickBot="1">
      <c r="A26" s="2" t="s">
        <v>29</v>
      </c>
      <c r="C26" s="18" t="s">
        <v>86</v>
      </c>
    </row>
    <row r="27" spans="1:3" ht="20.100000000000001" customHeight="1" thickBot="1">
      <c r="A27" s="2" t="s">
        <v>13</v>
      </c>
      <c r="C27" s="18" t="s">
        <v>87</v>
      </c>
    </row>
    <row r="28" spans="1:3" ht="20.100000000000001" customHeight="1" thickBot="1">
      <c r="A28" s="2" t="s">
        <v>30</v>
      </c>
      <c r="C28" s="18" t="s">
        <v>88</v>
      </c>
    </row>
    <row r="29" spans="1:3" ht="20.100000000000001" customHeight="1" thickBot="1">
      <c r="A29" s="2" t="s">
        <v>31</v>
      </c>
      <c r="C29" s="2"/>
    </row>
    <row r="30" spans="1:3" ht="20.100000000000001" customHeight="1" thickBot="1">
      <c r="A30" s="2" t="s">
        <v>32</v>
      </c>
      <c r="C30" s="2"/>
    </row>
    <row r="31" spans="1:3" ht="20.100000000000001" customHeight="1" thickBot="1">
      <c r="A31" s="2" t="s">
        <v>33</v>
      </c>
      <c r="C31" s="2"/>
    </row>
    <row r="32" spans="1:3" ht="20.100000000000001" customHeight="1" thickBot="1">
      <c r="A32" s="2" t="s">
        <v>16</v>
      </c>
      <c r="C32" s="2"/>
    </row>
    <row r="33" spans="1:9" ht="20.100000000000001" customHeight="1" thickBot="1">
      <c r="A33" s="2" t="s">
        <v>14</v>
      </c>
      <c r="C33" s="2"/>
    </row>
    <row r="34" spans="1:9" ht="20.100000000000001" customHeight="1" thickBot="1">
      <c r="A34" s="2" t="s">
        <v>34</v>
      </c>
      <c r="C34" s="2"/>
    </row>
    <row r="35" spans="1:9" ht="20.100000000000001" customHeight="1">
      <c r="A35" s="17"/>
    </row>
    <row r="36" spans="1:9" s="16" customFormat="1" ht="20.100000000000001" customHeight="1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2">
        <v>45901</v>
      </c>
    </row>
    <row r="40" spans="1:9" ht="20.100000000000001" customHeight="1" thickBot="1">
      <c r="A40" s="12">
        <v>45902</v>
      </c>
    </row>
    <row r="41" spans="1:9" ht="20.100000000000001" customHeight="1" thickBot="1">
      <c r="A41" s="12">
        <v>45903</v>
      </c>
    </row>
    <row r="42" spans="1:9" ht="20.100000000000001" customHeight="1" thickBot="1">
      <c r="A42" s="12">
        <v>45904</v>
      </c>
    </row>
    <row r="43" spans="1:9" ht="20.100000000000001" customHeight="1" thickBot="1">
      <c r="A43" s="12">
        <v>45905</v>
      </c>
    </row>
    <row r="44" spans="1:9" ht="20.100000000000001" customHeight="1" thickBot="1">
      <c r="A44" s="12">
        <v>45906</v>
      </c>
    </row>
    <row r="45" spans="1:9" ht="20.100000000000001" customHeight="1" thickBot="1">
      <c r="A45" s="12">
        <v>45907</v>
      </c>
    </row>
    <row r="46" spans="1:9" ht="20.100000000000001" customHeight="1" thickBot="1">
      <c r="A46" s="12">
        <v>45908</v>
      </c>
    </row>
    <row r="47" spans="1:9" ht="20.100000000000001" customHeight="1" thickBot="1">
      <c r="A47" s="12">
        <v>45909</v>
      </c>
    </row>
    <row r="48" spans="1:9" ht="20.100000000000001" customHeight="1" thickBot="1">
      <c r="A48" s="12">
        <v>45910</v>
      </c>
    </row>
    <row r="49" spans="1:1" ht="20.100000000000001" customHeight="1" thickBot="1">
      <c r="A49" s="12">
        <v>45911</v>
      </c>
    </row>
    <row r="50" spans="1:1" ht="20.100000000000001" customHeight="1" thickBot="1">
      <c r="A50" s="12">
        <v>45912</v>
      </c>
    </row>
    <row r="51" spans="1:1" ht="20.100000000000001" customHeight="1" thickBot="1">
      <c r="A51" s="12">
        <v>45913</v>
      </c>
    </row>
    <row r="52" spans="1:1" ht="20.100000000000001" customHeight="1" thickBot="1">
      <c r="A52" s="12">
        <v>45914</v>
      </c>
    </row>
    <row r="53" spans="1:1" ht="20.100000000000001" customHeight="1" thickBot="1">
      <c r="A53" s="12">
        <v>45915</v>
      </c>
    </row>
    <row r="54" spans="1:1" ht="20.100000000000001" customHeight="1" thickBot="1">
      <c r="A54" s="12">
        <v>45916</v>
      </c>
    </row>
    <row r="55" spans="1:1" ht="20.100000000000001" customHeight="1" thickBot="1">
      <c r="A55" s="12">
        <v>45917</v>
      </c>
    </row>
    <row r="56" spans="1:1" ht="20.100000000000001" customHeight="1" thickBot="1">
      <c r="A56" s="12">
        <v>45918</v>
      </c>
    </row>
    <row r="57" spans="1:1" ht="20.100000000000001" customHeight="1" thickBot="1">
      <c r="A57" s="12">
        <v>45919</v>
      </c>
    </row>
    <row r="58" spans="1:1" ht="20.100000000000001" customHeight="1" thickBot="1">
      <c r="A58" s="12">
        <v>45920</v>
      </c>
    </row>
    <row r="59" spans="1:1" ht="20.100000000000001" customHeight="1" thickBot="1">
      <c r="A59" s="12">
        <v>45921</v>
      </c>
    </row>
    <row r="60" spans="1:1" ht="20.100000000000001" customHeight="1" thickBot="1">
      <c r="A60" s="12">
        <v>45922</v>
      </c>
    </row>
    <row r="61" spans="1:1" ht="20.100000000000001" customHeight="1" thickBot="1">
      <c r="A61" s="12">
        <v>45923</v>
      </c>
    </row>
    <row r="62" spans="1:1" ht="20.100000000000001" customHeight="1" thickBot="1">
      <c r="A62" s="12">
        <v>45924</v>
      </c>
    </row>
    <row r="63" spans="1:1" ht="20.100000000000001" customHeight="1" thickBot="1">
      <c r="A63" s="12">
        <v>45925</v>
      </c>
    </row>
    <row r="64" spans="1:1" ht="20.100000000000001" customHeight="1" thickBot="1">
      <c r="A64" s="12">
        <v>45926</v>
      </c>
    </row>
    <row r="65" spans="1:1" ht="20.100000000000001" customHeight="1" thickBot="1">
      <c r="A65" s="12">
        <v>45927</v>
      </c>
    </row>
    <row r="66" spans="1:1" ht="20.100000000000001" customHeight="1" thickBot="1">
      <c r="A66" s="12">
        <v>45928</v>
      </c>
    </row>
    <row r="67" spans="1:1" ht="20.100000000000001" customHeight="1" thickBot="1">
      <c r="A67" s="12">
        <v>45929</v>
      </c>
    </row>
    <row r="68" spans="1:1" ht="20.100000000000001" customHeight="1" thickBot="1">
      <c r="A68" s="12">
        <v>45930</v>
      </c>
    </row>
    <row r="69" spans="1:1" ht="20.100000000000001" customHeight="1" thickBot="1">
      <c r="A69" s="12">
        <v>45931</v>
      </c>
    </row>
    <row r="70" spans="1:1" ht="20.100000000000001" customHeight="1" thickBot="1">
      <c r="A70" s="12">
        <v>45932</v>
      </c>
    </row>
    <row r="71" spans="1:1" ht="20.100000000000001" customHeight="1" thickBot="1">
      <c r="A71" s="12">
        <v>45933</v>
      </c>
    </row>
    <row r="72" spans="1:1" ht="20.100000000000001" customHeight="1" thickBot="1">
      <c r="A72" s="12">
        <v>45934</v>
      </c>
    </row>
    <row r="73" spans="1:1" ht="20.100000000000001" customHeight="1" thickBot="1">
      <c r="A73" s="12">
        <v>45935</v>
      </c>
    </row>
    <row r="74" spans="1:1" ht="20.100000000000001" customHeight="1" thickBot="1">
      <c r="A74" s="12">
        <v>45936</v>
      </c>
    </row>
    <row r="75" spans="1:1" ht="20.100000000000001" customHeight="1" thickBot="1">
      <c r="A75" s="12">
        <v>45937</v>
      </c>
    </row>
    <row r="76" spans="1:1" ht="20.100000000000001" customHeight="1" thickBot="1">
      <c r="A76" s="12">
        <v>45938</v>
      </c>
    </row>
    <row r="77" spans="1:1" ht="20.100000000000001" customHeight="1" thickBot="1">
      <c r="A77" s="12">
        <v>45939</v>
      </c>
    </row>
    <row r="78" spans="1:1" ht="20.100000000000001" customHeight="1" thickBot="1">
      <c r="A78" s="12">
        <v>45940</v>
      </c>
    </row>
    <row r="79" spans="1:1" ht="20.100000000000001" customHeight="1" thickBot="1">
      <c r="A79" s="12">
        <v>45941</v>
      </c>
    </row>
    <row r="80" spans="1:1" ht="20.100000000000001" customHeight="1" thickBot="1">
      <c r="A80" s="12">
        <v>45942</v>
      </c>
    </row>
    <row r="81" spans="1:1" ht="20.100000000000001" customHeight="1" thickBot="1">
      <c r="A81" s="12">
        <v>45943</v>
      </c>
    </row>
    <row r="82" spans="1:1" ht="20.100000000000001" customHeight="1" thickBot="1">
      <c r="A82" s="12">
        <v>45944</v>
      </c>
    </row>
    <row r="83" spans="1:1" ht="20.100000000000001" customHeight="1" thickBot="1">
      <c r="A83" s="12">
        <v>45945</v>
      </c>
    </row>
    <row r="84" spans="1:1" ht="20.100000000000001" customHeight="1" thickBot="1">
      <c r="A84" s="12">
        <v>45946</v>
      </c>
    </row>
    <row r="85" spans="1:1" ht="20.100000000000001" customHeight="1" thickBot="1">
      <c r="A85" s="12">
        <v>45947</v>
      </c>
    </row>
    <row r="86" spans="1:1" ht="20.100000000000001" customHeight="1" thickBot="1">
      <c r="A86" s="12">
        <v>45948</v>
      </c>
    </row>
    <row r="87" spans="1:1" ht="20.100000000000001" customHeight="1" thickBot="1">
      <c r="A87" s="12">
        <v>45949</v>
      </c>
    </row>
    <row r="88" spans="1:1" ht="20.100000000000001" customHeight="1" thickBot="1">
      <c r="A88" s="12">
        <v>45950</v>
      </c>
    </row>
    <row r="89" spans="1:1" ht="20.100000000000001" customHeight="1" thickBot="1">
      <c r="A89" s="12">
        <v>45951</v>
      </c>
    </row>
    <row r="90" spans="1:1" ht="20.100000000000001" customHeight="1" thickBot="1">
      <c r="A90" s="12">
        <v>45952</v>
      </c>
    </row>
    <row r="91" spans="1:1" ht="20.100000000000001" customHeight="1" thickBot="1">
      <c r="A91" s="12">
        <v>45953</v>
      </c>
    </row>
    <row r="92" spans="1:1" ht="20.100000000000001" customHeight="1" thickBot="1">
      <c r="A92" s="12">
        <v>45954</v>
      </c>
    </row>
    <row r="93" spans="1:1" ht="20.100000000000001" customHeight="1" thickBot="1">
      <c r="A93" s="12">
        <v>45955</v>
      </c>
    </row>
    <row r="94" spans="1:1" ht="20.100000000000001" customHeight="1" thickBot="1">
      <c r="A94" s="12">
        <v>45956</v>
      </c>
    </row>
    <row r="95" spans="1:1" ht="20.100000000000001" customHeight="1" thickBot="1">
      <c r="A95" s="12">
        <v>45957</v>
      </c>
    </row>
    <row r="96" spans="1:1" ht="20.100000000000001" customHeight="1" thickBot="1">
      <c r="A96" s="12">
        <v>45958</v>
      </c>
    </row>
    <row r="97" spans="1:9" ht="20.100000000000001" customHeight="1" thickBot="1">
      <c r="A97" s="12">
        <v>45959</v>
      </c>
    </row>
    <row r="98" spans="1:9" ht="20.100000000000001" customHeight="1" thickBot="1">
      <c r="A98" s="12">
        <v>45960</v>
      </c>
    </row>
    <row r="99" spans="1:9" ht="20.100000000000001" customHeight="1" thickBot="1">
      <c r="A99" s="12">
        <v>45961</v>
      </c>
    </row>
    <row r="100" spans="1:9" ht="20.100000000000001" customHeight="1" thickBot="1">
      <c r="A100" s="12">
        <v>45962</v>
      </c>
    </row>
    <row r="101" spans="1:9" ht="20.100000000000001" customHeight="1" thickBot="1">
      <c r="A101" s="12">
        <v>45963</v>
      </c>
    </row>
    <row r="102" spans="1:9" ht="20.100000000000001" customHeight="1" thickBot="1">
      <c r="A102" s="12">
        <v>45964</v>
      </c>
    </row>
    <row r="103" spans="1:9" ht="20.100000000000001" customHeight="1" thickBot="1">
      <c r="A103" s="12">
        <v>45965</v>
      </c>
    </row>
    <row r="104" spans="1:9" ht="20.100000000000001" customHeight="1" thickBot="1">
      <c r="A104" s="12">
        <v>45966</v>
      </c>
    </row>
    <row r="105" spans="1:9" ht="20.100000000000001" customHeight="1" thickBot="1">
      <c r="A105" s="12">
        <v>45967</v>
      </c>
    </row>
    <row r="106" spans="1:9" ht="20.100000000000001" customHeight="1" thickBot="1">
      <c r="A106" s="12">
        <v>45968</v>
      </c>
    </row>
    <row r="107" spans="1:9" ht="20.100000000000001" customHeight="1">
      <c r="A107" s="13"/>
    </row>
    <row r="108" spans="1:9" ht="20.100000000000001" customHeight="1">
      <c r="A108" s="13"/>
    </row>
    <row r="109" spans="1:9" s="16" customFormat="1" ht="20.100000000000001" customHeight="1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19" t="s">
        <v>89</v>
      </c>
    </row>
    <row r="200" spans="1:1" ht="20.100000000000001" customHeight="1">
      <c r="A200" s="19" t="s">
        <v>90</v>
      </c>
    </row>
    <row r="201" spans="1:1" ht="20.100000000000001" customHeight="1">
      <c r="A201" s="19" t="s">
        <v>91</v>
      </c>
    </row>
    <row r="202" spans="1:1" ht="20.100000000000001" customHeight="1">
      <c r="A202" s="19" t="s">
        <v>92</v>
      </c>
    </row>
    <row r="203" spans="1:1" ht="20.100000000000001" customHeight="1">
      <c r="A203" s="19" t="s">
        <v>93</v>
      </c>
    </row>
    <row r="204" spans="1:1" ht="20.100000000000001" customHeight="1">
      <c r="A204" s="19" t="s">
        <v>94</v>
      </c>
    </row>
    <row r="205" spans="1:1" ht="20.100000000000001" customHeight="1">
      <c r="A205" s="19" t="s">
        <v>95</v>
      </c>
    </row>
    <row r="206" spans="1:1" ht="20.100000000000001" customHeight="1">
      <c r="A206" s="19" t="s">
        <v>96</v>
      </c>
    </row>
    <row r="207" spans="1:1" ht="20.100000000000001" customHeight="1">
      <c r="A207" s="19" t="s">
        <v>97</v>
      </c>
    </row>
    <row r="208" spans="1:1" ht="20.100000000000001" customHeight="1">
      <c r="A208" s="20" t="s">
        <v>98</v>
      </c>
    </row>
    <row r="209" spans="1:1" ht="20.100000000000001" customHeight="1">
      <c r="A209" s="20" t="s">
        <v>99</v>
      </c>
    </row>
    <row r="210" spans="1:1" ht="20.100000000000001" customHeight="1">
      <c r="A210" s="19" t="s">
        <v>100</v>
      </c>
    </row>
    <row r="211" spans="1:1" ht="20.100000000000001" customHeight="1">
      <c r="A211" s="19" t="s">
        <v>101</v>
      </c>
    </row>
    <row r="212" spans="1:1" ht="20.100000000000001" customHeight="1">
      <c r="A212" s="19" t="s">
        <v>102</v>
      </c>
    </row>
    <row r="213" spans="1:1" ht="20.100000000000001" customHeight="1">
      <c r="A213" s="19" t="s">
        <v>103</v>
      </c>
    </row>
    <row r="214" spans="1:1" ht="20.100000000000001" customHeight="1">
      <c r="A214" s="19" t="s">
        <v>104</v>
      </c>
    </row>
    <row r="215" spans="1:1" ht="20.100000000000001" customHeight="1">
      <c r="A215" s="19" t="s">
        <v>105</v>
      </c>
    </row>
    <row r="216" spans="1:1" ht="20.100000000000001" customHeight="1">
      <c r="A216" s="19" t="s">
        <v>106</v>
      </c>
    </row>
    <row r="217" spans="1:1" ht="20.100000000000001" customHeight="1">
      <c r="A217" s="19" t="s">
        <v>107</v>
      </c>
    </row>
    <row r="218" spans="1:1" ht="20.100000000000001" customHeight="1">
      <c r="A218" s="19" t="s">
        <v>108</v>
      </c>
    </row>
    <row r="219" spans="1:1" ht="20.100000000000001" customHeight="1">
      <c r="A219" s="19" t="s">
        <v>109</v>
      </c>
    </row>
    <row r="220" spans="1:1" ht="20.100000000000001" customHeight="1">
      <c r="A220" s="19" t="s">
        <v>110</v>
      </c>
    </row>
    <row r="221" spans="1:1" ht="20.100000000000001" customHeight="1">
      <c r="A221" s="19" t="s">
        <v>111</v>
      </c>
    </row>
    <row r="222" spans="1:1" ht="20.100000000000001" customHeight="1">
      <c r="A222" s="19" t="s">
        <v>112</v>
      </c>
    </row>
    <row r="223" spans="1:1" ht="20.100000000000001" customHeight="1">
      <c r="A223" s="19" t="s">
        <v>113</v>
      </c>
    </row>
    <row r="224" spans="1:1" ht="20.100000000000001" customHeight="1">
      <c r="A224" s="19" t="s">
        <v>114</v>
      </c>
    </row>
    <row r="225" spans="1:1" ht="20.100000000000001" customHeight="1">
      <c r="A225" s="19" t="s">
        <v>115</v>
      </c>
    </row>
    <row r="226" spans="1:1" ht="20.100000000000001" customHeight="1">
      <c r="A226" s="19" t="s">
        <v>116</v>
      </c>
    </row>
    <row r="227" spans="1:1" ht="20.100000000000001" customHeight="1">
      <c r="A227" s="19" t="s">
        <v>117</v>
      </c>
    </row>
    <row r="228" spans="1:1" ht="20.100000000000001" customHeight="1">
      <c r="A228" s="19" t="s">
        <v>118</v>
      </c>
    </row>
    <row r="229" spans="1:1" ht="20.100000000000001" customHeight="1">
      <c r="A229" s="19" t="s">
        <v>119</v>
      </c>
    </row>
    <row r="230" spans="1:1" ht="20.100000000000001" customHeight="1">
      <c r="A230" s="19" t="s">
        <v>120</v>
      </c>
    </row>
    <row r="231" spans="1:1" ht="20.100000000000001" customHeight="1">
      <c r="A231" s="19" t="s">
        <v>121</v>
      </c>
    </row>
    <row r="232" spans="1:1" ht="20.100000000000001" customHeight="1">
      <c r="A232" s="19" t="s">
        <v>122</v>
      </c>
    </row>
    <row r="233" spans="1:1" ht="20.100000000000001" customHeight="1">
      <c r="A233" s="19" t="s">
        <v>123</v>
      </c>
    </row>
    <row r="234" spans="1:1" ht="20.100000000000001" customHeight="1">
      <c r="A234" s="19" t="s">
        <v>124</v>
      </c>
    </row>
    <row r="235" spans="1:1" ht="20.100000000000001" customHeight="1">
      <c r="A235" s="21" t="s">
        <v>125</v>
      </c>
    </row>
    <row r="236" spans="1:1" ht="20.100000000000001" customHeight="1">
      <c r="A236" s="19" t="s">
        <v>126</v>
      </c>
    </row>
    <row r="237" spans="1:1" ht="20.100000000000001" customHeight="1">
      <c r="A237" s="19" t="s">
        <v>127</v>
      </c>
    </row>
    <row r="238" spans="1:1" ht="20.100000000000001" customHeight="1">
      <c r="A238" s="19" t="s">
        <v>128</v>
      </c>
    </row>
    <row r="239" spans="1:1" ht="20.100000000000001" customHeight="1">
      <c r="A239" s="19" t="s">
        <v>129</v>
      </c>
    </row>
    <row r="240" spans="1:1" ht="20.100000000000001" customHeight="1">
      <c r="A240" s="19" t="s">
        <v>130</v>
      </c>
    </row>
    <row r="241" spans="1:1" ht="20.100000000000001" customHeight="1">
      <c r="A241" s="19" t="s">
        <v>131</v>
      </c>
    </row>
    <row r="242" spans="1:1" ht="20.100000000000001" customHeight="1">
      <c r="A242" s="19" t="s">
        <v>132</v>
      </c>
    </row>
    <row r="243" spans="1:1" ht="20.100000000000001" customHeight="1">
      <c r="A243" s="19" t="s">
        <v>133</v>
      </c>
    </row>
    <row r="244" spans="1:1" ht="20.100000000000001" customHeight="1">
      <c r="A244" s="19" t="s">
        <v>134</v>
      </c>
    </row>
    <row r="245" spans="1:1" ht="20.100000000000001" customHeight="1">
      <c r="A245" s="19" t="s">
        <v>135</v>
      </c>
    </row>
    <row r="246" spans="1:1" ht="20.100000000000001" customHeight="1">
      <c r="A246" s="19" t="s">
        <v>136</v>
      </c>
    </row>
    <row r="247" spans="1:1" ht="20.100000000000001" customHeight="1">
      <c r="A247" s="19" t="s">
        <v>127</v>
      </c>
    </row>
    <row r="248" spans="1:1" ht="20.100000000000001" customHeight="1">
      <c r="A248" s="19" t="s">
        <v>137</v>
      </c>
    </row>
    <row r="249" spans="1:1" ht="20.100000000000001" customHeight="1">
      <c r="A249" s="19" t="s">
        <v>138</v>
      </c>
    </row>
    <row r="250" spans="1:1" ht="20.100000000000001" customHeight="1">
      <c r="A250" s="21" t="s">
        <v>139</v>
      </c>
    </row>
    <row r="251" spans="1:1" ht="20.100000000000001" customHeight="1">
      <c r="A251" s="22" t="s">
        <v>140</v>
      </c>
    </row>
    <row r="252" spans="1:1" ht="20.100000000000001" customHeight="1">
      <c r="A252" s="19" t="s">
        <v>141</v>
      </c>
    </row>
    <row r="253" spans="1:1" ht="20.100000000000001" customHeight="1">
      <c r="A253" s="19" t="s">
        <v>142</v>
      </c>
    </row>
    <row r="254" spans="1:1" ht="20.100000000000001" customHeight="1">
      <c r="A254" s="23" t="s">
        <v>143</v>
      </c>
    </row>
    <row r="255" spans="1:1" ht="20.100000000000001" customHeight="1">
      <c r="A255" s="23" t="s">
        <v>144</v>
      </c>
    </row>
    <row r="256" spans="1:1" ht="20.100000000000001" customHeight="1">
      <c r="A256" s="22" t="s">
        <v>145</v>
      </c>
    </row>
    <row r="257" spans="1:1" ht="20.100000000000001" customHeight="1">
      <c r="A257" s="19" t="s">
        <v>146</v>
      </c>
    </row>
    <row r="258" spans="1:1" ht="20.100000000000001" customHeight="1">
      <c r="A258" s="22" t="s">
        <v>147</v>
      </c>
    </row>
    <row r="259" spans="1:1" ht="20.100000000000001" customHeight="1">
      <c r="A259" s="19" t="s">
        <v>148</v>
      </c>
    </row>
    <row r="260" spans="1:1" ht="20.100000000000001" customHeight="1">
      <c r="A260" s="22" t="s">
        <v>149</v>
      </c>
    </row>
    <row r="261" spans="1:1" ht="20.100000000000001" customHeight="1">
      <c r="A261" s="19" t="s">
        <v>150</v>
      </c>
    </row>
    <row r="262" spans="1:1" ht="20.100000000000001" customHeight="1">
      <c r="A262" s="19" t="s">
        <v>151</v>
      </c>
    </row>
    <row r="263" spans="1:1" ht="20.100000000000001" customHeight="1">
      <c r="A263" s="22" t="s">
        <v>152</v>
      </c>
    </row>
    <row r="264" spans="1:1" ht="20.100000000000001" customHeight="1">
      <c r="A264" s="22" t="s">
        <v>153</v>
      </c>
    </row>
    <row r="265" spans="1:1" ht="20.100000000000001" customHeight="1">
      <c r="A265" s="22" t="s">
        <v>154</v>
      </c>
    </row>
    <row r="266" spans="1:1" ht="20.100000000000001" customHeight="1">
      <c r="A266" s="19" t="s">
        <v>155</v>
      </c>
    </row>
    <row r="267" spans="1:1" ht="20.100000000000001" customHeight="1">
      <c r="A267" s="19" t="s">
        <v>156</v>
      </c>
    </row>
    <row r="268" spans="1:1" ht="20.100000000000001" customHeight="1">
      <c r="A268" s="19" t="s">
        <v>157</v>
      </c>
    </row>
    <row r="269" spans="1:1" ht="20.100000000000001" customHeight="1">
      <c r="A269" s="19" t="s">
        <v>158</v>
      </c>
    </row>
    <row r="270" spans="1:1" ht="20.100000000000001" customHeight="1">
      <c r="A270" s="22" t="s">
        <v>159</v>
      </c>
    </row>
    <row r="271" spans="1:1" ht="20.100000000000001" customHeight="1">
      <c r="A271" s="22" t="s">
        <v>160</v>
      </c>
    </row>
    <row r="272" spans="1:1" ht="20.100000000000001" customHeight="1">
      <c r="A272" s="19" t="s">
        <v>161</v>
      </c>
    </row>
    <row r="273" spans="1:1" ht="20.100000000000001" customHeight="1">
      <c r="A273" s="22" t="s">
        <v>162</v>
      </c>
    </row>
    <row r="274" spans="1:1" ht="20.100000000000001" customHeight="1">
      <c r="A274" s="22" t="s">
        <v>163</v>
      </c>
    </row>
    <row r="275" spans="1:1" ht="20.100000000000001" customHeight="1">
      <c r="A275" s="19" t="s">
        <v>164</v>
      </c>
    </row>
    <row r="276" spans="1:1" ht="20.100000000000001" customHeight="1">
      <c r="A276" s="19" t="s">
        <v>165</v>
      </c>
    </row>
    <row r="277" spans="1:1" ht="20.100000000000001" customHeight="1">
      <c r="A277" s="22" t="s">
        <v>166</v>
      </c>
    </row>
    <row r="278" spans="1:1" ht="20.100000000000001" customHeight="1">
      <c r="A278" s="19" t="s">
        <v>167</v>
      </c>
    </row>
    <row r="279" spans="1:1" ht="20.100000000000001" customHeight="1">
      <c r="A279" s="19" t="s">
        <v>168</v>
      </c>
    </row>
    <row r="280" spans="1:1" ht="20.100000000000001" customHeight="1">
      <c r="A280" s="19" t="s">
        <v>169</v>
      </c>
    </row>
    <row r="281" spans="1:1" ht="20.100000000000001" customHeight="1">
      <c r="A281" s="19" t="s">
        <v>170</v>
      </c>
    </row>
    <row r="282" spans="1:1" ht="20.100000000000001" customHeight="1">
      <c r="A282" s="22" t="s">
        <v>171</v>
      </c>
    </row>
    <row r="283" spans="1:1" ht="20.100000000000001" customHeight="1">
      <c r="A283" s="22" t="s">
        <v>172</v>
      </c>
    </row>
    <row r="284" spans="1:1" ht="20.100000000000001" customHeight="1">
      <c r="A284" s="22" t="s">
        <v>173</v>
      </c>
    </row>
    <row r="285" spans="1:1" ht="20.100000000000001" customHeight="1" thickBot="1">
      <c r="A285" s="19" t="s">
        <v>174</v>
      </c>
    </row>
    <row r="286" spans="1:1" ht="20.100000000000001" customHeight="1" thickBot="1">
      <c r="A286" s="2" t="s">
        <v>58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2025-10-09T10:23:21Z</dcterms:modified>
</cp:coreProperties>
</file>