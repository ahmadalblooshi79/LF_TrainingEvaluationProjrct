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7B4F3F3-9794-4A22-B268-D7D891CB5D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 s="1"/>
  <c r="G15" i="2"/>
  <c r="H15" i="2"/>
  <c r="G16" i="2"/>
  <c r="H16" i="2"/>
  <c r="G17" i="2"/>
  <c r="H17" i="2" s="1"/>
  <c r="G18" i="2"/>
  <c r="H18" i="2"/>
  <c r="G19" i="2"/>
  <c r="H19" i="2"/>
  <c r="G21" i="2"/>
  <c r="H21" i="2"/>
  <c r="G22" i="2"/>
  <c r="H22" i="2"/>
  <c r="G23" i="2"/>
  <c r="H23" i="2"/>
  <c r="G24" i="2"/>
  <c r="H24" i="2"/>
  <c r="G26" i="2"/>
  <c r="H26" i="2"/>
  <c r="G27" i="2"/>
  <c r="H27" i="2" s="1"/>
  <c r="G28" i="2"/>
  <c r="H28" i="2" s="1"/>
  <c r="F29" i="2"/>
  <c r="E29" i="2"/>
  <c r="E30" i="2" l="1"/>
  <c r="E31" i="2" s="1"/>
</calcChain>
</file>

<file path=xl/sharedStrings.xml><?xml version="1.0" encoding="utf-8"?>
<sst xmlns="http://schemas.openxmlformats.org/spreadsheetml/2006/main" count="266" uniqueCount="204">
  <si>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</si>
  <si>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</si>
  <si>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</si>
  <si>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</si>
  <si>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</si>
  <si>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</si>
  <si>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</si>
  <si>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</si>
  <si>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</si>
  <si>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</si>
  <si>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</si>
  <si>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</si>
  <si>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</si>
  <si>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</si>
  <si>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</si>
  <si>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</si>
  <si>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</si>
  <si>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</si>
  <si>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</si>
  <si>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</si>
  <si>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</si>
  <si>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</si>
  <si>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</si>
  <si>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</si>
  <si>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</si>
  <si>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</si>
  <si>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</si>
  <si>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</si>
  <si>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</si>
  <si>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</si>
  <si>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</si>
  <si>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</si>
  <si>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</si>
  <si>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</si>
  <si>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</si>
  <si>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</si>
  <si>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</si>
  <si>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</si>
  <si>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</si>
  <si>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</si>
  <si>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</si>
  <si>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</si>
  <si>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</si>
  <si>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</si>
  <si>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</si>
  <si>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</si>
  <si>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</si>
  <si>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</si>
  <si>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</si>
  <si>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</si>
  <si>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</si>
  <si>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</si>
  <si>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</si>
  <si>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</si>
  <si>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</si>
  <si>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</si>
  <si>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</si>
  <si>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</si>
  <si>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</si>
  <si>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</si>
  <si>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</si>
  <si>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</si>
  <si>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</si>
  <si>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</si>
  <si>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</si>
  <si>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</si>
  <si>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</si>
  <si>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</si>
  <si>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</si>
  <si>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</si>
  <si>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</si>
  <si>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</si>
  <si>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</si>
  <si>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</si>
  <si>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</si>
  <si>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</si>
  <si>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</si>
  <si>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</si>
  <si>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</si>
  <si>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</si>
  <si>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</si>
  <si>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</si>
  <si>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</si>
  <si>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</si>
  <si>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</si>
  <si>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</si>
  <si>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</si>
  <si>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</si>
  <si>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</si>
  <si>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</si>
  <si>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</si>
  <si>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</si>
  <si>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</si>
  <si>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</si>
  <si>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</si>
  <si>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</si>
  <si>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</si>
  <si>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</si>
  <si>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</si>
  <si>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</si>
  <si>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</si>
  <si>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</si>
  <si>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</si>
  <si>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</si>
  <si>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</si>
  <si>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</si>
  <si>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</si>
  <si>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</si>
  <si>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</si>
  <si>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</si>
  <si>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</si>
  <si>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</si>
  <si>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</si>
  <si>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</si>
  <si>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</si>
  <si>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</si>
  <si>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</si>
  <si>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</si>
  <si>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</si>
  <si>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</si>
  <si>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</si>
  <si>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</si>
  <si>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</si>
  <si>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</si>
  <si>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</si>
  <si>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</si>
  <si>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</si>
  <si>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</si>
  <si>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</si>
  <si>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</si>
  <si>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</si>
  <si>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</si>
  <si>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</si>
  <si>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</si>
  <si>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</si>
  <si>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</si>
  <si>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</si>
  <si>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</si>
  <si>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</si>
  <si>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</si>
  <si>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</si>
  <si>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</si>
  <si>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</si>
  <si>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</si>
  <si>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</si>
  <si>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</si>
  <si>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</si>
  <si>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</si>
  <si>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</si>
  <si>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</si>
  <si>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</si>
  <si>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</si>
  <si>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</si>
  <si>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</si>
  <si>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</si>
  <si>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</si>
  <si>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</si>
  <si>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</si>
  <si>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</si>
  <si>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</si>
  <si>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</si>
  <si>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</si>
  <si>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</si>
  <si>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</si>
  <si>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</si>
  <si>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</si>
  <si>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</si>
  <si>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</si>
  <si>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</si>
  <si>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</si>
  <si>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</si>
  <si>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</si>
  <si>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</si>
  <si>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</si>
  <si>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</si>
  <si>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</si>
  <si>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</si>
  <si>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</si>
  <si>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</si>
  <si>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</si>
  <si>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التنقل الإداري لفصيل الشرطة العسكرية</t>
    </r>
    <r>
      <rPr>
        <b/>
        <u/>
        <sz val="14"/>
        <color rgb="FF000000"/>
        <rFont val="Arial"/>
        <family val="2"/>
      </rPr>
      <t xml:space="preserve">
 تمرين جاهزية مجموعة لواء الإمارات/1 (جندي الصحراء 2025/20)</t>
    </r>
  </si>
  <si>
    <t>توفر التعليمات والأوامر الضرورية للتنقـل مع قائـد القافلة، وتشمل:</t>
  </si>
  <si>
    <t>الشؤون الإدارية.</t>
  </si>
  <si>
    <r>
      <t>1.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أمر / برقية الموافقة بالتحرك من المستوى الأعلـى.</t>
    </r>
  </si>
  <si>
    <r>
      <t>2.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أمـر التنقل ودقة البيانات الواردة به.</t>
    </r>
  </si>
  <si>
    <r>
      <t>3.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جدول التنقل ودقة البيانات الواردة به.</t>
    </r>
  </si>
  <si>
    <r>
      <t>4.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يومية التحرك ودقة البيانات الواردة بها.</t>
    </r>
  </si>
  <si>
    <r>
      <t>5.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التقيد بالتوقيتات، الوقفات، السرعة، الكثافة، الطرق ونقاط السيطرة.</t>
    </r>
  </si>
  <si>
    <r>
      <t>6.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إلمام قائد القافلة (بالأوامر الصادرة في أمر / جدول / يومية التحرك مخطط / التنقل، المواقف الطارئة مثل إلغاء أو تأخير حركة القافلة).</t>
    </r>
  </si>
  <si>
    <r>
      <t>7.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</si>
  <si>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8.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التأكد من جاهزية الأفراد والآليات من حيث (عدد الأفراد / الآليات، التسليح، الاتصالات، اللباس).</t>
    </r>
  </si>
  <si>
    <r>
      <t>9.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أفراد حراسة مع القافلة حسب التعليمات.</t>
    </r>
  </si>
  <si>
    <r>
      <t>10.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التنسيق مع الشرطة المدينة حول التحرك من قبل الشرطة العسكرية.</t>
    </r>
  </si>
  <si>
    <r>
      <t>11.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عدم السماح للسيارة المدينة بالدخول بين آليات القافلة العسكرية.</t>
    </r>
  </si>
  <si>
    <r>
      <t>جاهزية آليات القافلة</t>
    </r>
    <r>
      <rPr>
        <b/>
        <sz val="12"/>
        <color rgb="FF000000"/>
        <rFont val="Arial"/>
        <family val="2"/>
      </rPr>
      <t xml:space="preserve">، </t>
    </r>
    <r>
      <rPr>
        <sz val="12"/>
        <color rgb="FF000000"/>
        <rFont val="Arial"/>
        <family val="2"/>
      </rPr>
      <t>من حيـث:</t>
    </r>
  </si>
  <si>
    <r>
      <t>1.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الأعلام الضرورية (علم أزرق في بداية ونهاية كل مجموعة، علم أصفر في حالة عطل الآليـة، عدم وضع أعلام حمراء على الآليات التي تحمل ذخائر أو متفجرات).</t>
    </r>
  </si>
  <si>
    <r>
      <t>2.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عدة الآلية، جدول التحميل / الركوب لكل آلية.</t>
    </r>
  </si>
  <si>
    <r>
      <t>3.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صلاحية وجاهزية الآليات من حيث (الوقود، المياه، الإطار الاحتياطي، غطاء التمويه مع الركائز).</t>
    </r>
  </si>
  <si>
    <r>
      <t>4.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التأكد من عدم تحميل الآليات أكثر من حمولتها أو وضع حمولة غير مرتبة بحيث توحي بأنها محملة أكثر من حمولتها.</t>
    </r>
  </si>
  <si>
    <r>
      <t>1.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الإعاشة أثناء التنقـل.</t>
    </r>
  </si>
  <si>
    <r>
      <t>2.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سيارة إسعاف مع طبيب / ممرضة أو ممرض قانوني بكامل التجهيزات.</t>
    </r>
  </si>
  <si>
    <r>
      <t>3.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آلية إنقاذ مع فريق (ميكانيكي، كهربائي حسب نوع الآليات المتنقلة) وإلمام الفريق بتشغيل وسيلة الإنقـاذ.</t>
    </r>
  </si>
  <si>
    <t>ملازم/ علي ابراهيم النعيمي</t>
  </si>
  <si>
    <t>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</si>
</sst>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14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13" xfId="0" applyFont="1" applyBorder="1" applyAlignment="1">
      <alignment horizontal="right" vertical="center" wrapText="1" readingOrder="2"/>
    </xf>
    <xf numFmtId="0" fontId="1" fillId="0" borderId="15" xfId="0" applyFont="1" applyBorder="1" applyAlignment="1">
      <alignment horizontal="right" vertical="center" wrapText="1" readingOrder="2"/>
    </xf>
    <xf numFmtId="0" fontId="1" fillId="0" borderId="11" xfId="0" applyFont="1" applyBorder="1" applyAlignment="1">
      <alignment horizontal="right" vertical="center" wrapText="1" readingOrder="2"/>
    </xf>
    <xf numFmtId="0" fontId="6" fillId="0" borderId="27" xfId="0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7" Type="http://schemas.openxmlformats.org/officeDocument/2006/relationships/customXml" Target="../ink/ink3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2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233655</xdr:colOff>
      <xdr:row>32</xdr:row>
      <xdr:rowOff>280493</xdr:rowOff>
    </xdr:from>
    <xdr:to>
      <xdr:col>7</xdr:col>
      <xdr:colOff>346685</xdr:colOff>
      <xdr:row>32</xdr:row>
      <xdr:rowOff>457253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864837B-CA07-D701-4740-8A7543F8D8A9}"/>
                </a:ext>
              </a:extLst>
            </xdr14:cNvPr>
            <xdr14:cNvContentPartPr/>
          </xdr14:nvContentPartPr>
          <xdr14:nvPr macro=""/>
          <xdr14:xfrm>
            <a:off x="10399556315" y="15768720"/>
            <a:ext cx="771120" cy="176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864837B-CA07-D701-4740-8A7543F8D8A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50195" y="15762600"/>
              <a:ext cx="7833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393855</xdr:colOff>
      <xdr:row>31</xdr:row>
      <xdr:rowOff>473903</xdr:rowOff>
    </xdr:from>
    <xdr:to>
      <xdr:col>9</xdr:col>
      <xdr:colOff>250544</xdr:colOff>
      <xdr:row>32</xdr:row>
      <xdr:rowOff>437453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E02DA28-819A-4FA2-C338-C8B1AEF2A562}"/>
                </a:ext>
              </a:extLst>
            </xdr14:cNvPr>
            <xdr14:cNvContentPartPr/>
          </xdr14:nvContentPartPr>
          <xdr14:nvPr macro=""/>
          <xdr14:xfrm>
            <a:off x="10398336275" y="15431040"/>
            <a:ext cx="1830960" cy="494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E02DA28-819A-4FA2-C338-C8B1AEF2A56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30155" y="15424920"/>
              <a:ext cx="1843200" cy="50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216387</xdr:colOff>
      <xdr:row>1</xdr:row>
      <xdr:rowOff>174780</xdr:rowOff>
    </xdr:from>
    <xdr:to>
      <xdr:col>5</xdr:col>
      <xdr:colOff>225387</xdr:colOff>
      <xdr:row>1</xdr:row>
      <xdr:rowOff>197820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E2A8242-9284-49E6-FBCF-46B1C03CE3D6}"/>
                </a:ext>
              </a:extLst>
            </xdr14:cNvPr>
            <xdr14:cNvContentPartPr/>
          </xdr14:nvContentPartPr>
          <xdr14:nvPr macro=""/>
          <xdr14:xfrm>
            <a:off x="10400993795" y="746280"/>
            <a:ext cx="9000" cy="23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E2A8242-9284-49E6-FBCF-46B1C03CE3D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987675" y="740160"/>
              <a:ext cx="21240" cy="35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30:59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2031 50 11258,'0'0'0,"0"-4"3257,6 0-2497,-6 4-760,5-6 568,7 2 88,-12-1 8,12 3-80,-12 2-584,0-3 536,4 0-47,-2 1 23,3 0-80,-5 2-432,0-2 392,4 1-80,-1-2 32,-3 2-24,0 1-320,5-3 304,-5 1 72,0 1-32,0-1-104,0 2-240,0 0 192,0 0-160,0 0-72,0 0-16,0 0-72,0 0 216,0 5-88,0-1 16,0 10-16,0-14 0,-3 4 0,1 15-16,-3-6-72,3 2 88,2-15 0,-3 17 24,-8 2 32,6-1 8,-7 2 0,12-20-64,-4 19 0,-10 1-40,5-2 176,-8 5-176,17-23 40,-14 22 0,0 0-16,-5 1-104,0-3 72,19-20 48,-19 20-80,-2-2 80,2-1-80,6-1 64,13-16 16,-19 16 24,5-5-64,0 0 80,-1-6-40,15-5 0,-13 13-24,1-11-16,0 1-24,2 0 48,10-3 16,-6 0 16,-4 0 40,8 0-88,-3-1 96,5 1-64,-2-6 72,-3-8-72,5 2 64,-3-3 16,3 15-80,0-17 40,0-3 8,0-2 24,3 0-104,-3 22 32,12-22 16,-10 1 8,6 0 8,5 2-32,-13 19 0,0-17-16,2 4 80,8 7 32,-10 1-96,0 5 0,0-5 16,0 3-72,0 0 0,-2 2 56,2 0 0,-5 0-80,-11 3 72,4 10 48,-7-2-56,19-11 16,-21 14 56,-7 2-56,2 0-72,-5 1 88,31-17-16,-27 16-80,-1-4-8,-1 0 136,8-1-88,21-11 40,-19 4 56,1 9-80,6-10-72,-3 0 32,15-3 64,-4 4-96,-8-1 72,8-3 104,1 3-16,3-3-64,0 0 24,0 0 96,0 0-264,-2-1 160,2 1-16,-3-6 88,-4-8-192,-4 2 104,6-1 16,5 13-16,-17-14-200,15-1 248,-14-2 112,4-1-304,12 18 144,-7-18 40,-5-4-128,7 1 48,-6-5 0,11 26 40,-5-24-56,3-1 8,-3 0-240,3 7 208,2 18 80,-3-16-64,1 4 8,2 7 72,0 1-144,0 4 128,-3-4-64,1 2 8,0 1 8,2 1-8,0 0 56,0 0-232,0 0 120,0 0 96,0 3 48,0-3-32,4 4 32,-4 9-80,0-9 72,0 16-128,0-20 104,0 14 0,0 3 0,-2 2-224,-2 1 144,4-20 80,-2 19 0,-5 6-24,-8-3 88,3 4-64,12-26 0,-13 25-16,1-1 16,0 0-8,1-3 72,11-21-64,-15 22 64,-4-1-16,6-3 104,-9-2 40,22-16-192,-18 14 64,-4-1 40,-3-2-88,-6-6 240,31-5-256,-30 14 288,-6-11 24,-2 8-64,1-8-104,37-3-144,-35 4 216,-5-1-32,0 0 48,3-3-192,37 0-40,-38-2 88,3-9-72,2 5 96,1-8-7,32 14-105,-24-13 24,3 1 152,4-3-120,4-2 96,13 17-152,-12-18 72,7-3-32,0-4-32,0 1-104,5 24 96,0-31-40,5 0-120,7-2-113,4-3-199,-16 36 472,24-33-360,1 2 16,4 3 112,4 2 96,-33 26 136,30-18-184,1 2 56,-1 4 64,-1 8 48,-29 4 16,23-5 16,0 0-40,-2 4-32,-2 1 48,-19 0 8,14 3-56,1 1 96,-13 12-16,9-5-24,-11-11 0,2 16 80,-2 2-40,0 3 64,0 5-40,0-26-64,-13 27 104,1 3 0,-3 0-8,-5 0 48,20-30-144,-19 28 104,-4-1 248,-3-1 96,-3-2 65,29-24-513,-32 22 544,-1-3-120,-5-2 24,3-1-72,35-16-376,-40 13 352,-2-2-64,5-6-80,-3 9 40,40-14-248,-38 4 88,-2 0-32,0 1-56,1-3-32,39-2 32,-35 0 104,-1-2-120,1-4 88,9-7-72,26 13 0,-28-11-88,6-2-8,-3-3-352,2-2-328,23 18 776,-17-20-1480,1-4-1057,2-5-2208,9-12-6121,5 41 10866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31:01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3619 508 24141,'0'0'0,"10"-3"728,2 2-560,-12 1-168,16-2 104,-2 5 104,-3 8-72,1 1-136,-12-12 0,5 15-56,11 4 16,-11 2 0,9 3 80,-14-24-40,2 27 0,0 3-16,-2 3 104,0 1-72,0-34-16,0 34-112,0 1-392,0 5-640,-4 1-945,4-41 2089,-12 45-4049,10-1-1088,-3-1-3657,5-43 8794</inkml:trace>
  <inkml:trace contextRef="#ctx0" brushRef="#br0" timeOffset="1">3417 1380 19508,'0'0'0,"-17"-11"1728,4 5-632,-6-12 137,19 18-1233,-11-17 1392,8 0-280,-2-5-320,1-4-64,4 26-728,-3-29 448,3-3-199,0-5-161,0-3 104,0 40-192,3-47 216,-1-1-192,0-3 280,3-6-200,-5 57-104,0-58 96,5-1-8,-1 3-88,-2 4-152,-2 52 152,5-50-16,7 8 256,-12 5-192,0 4-64,0 33 16,2-27-32,-2 5-8,0 6-96,0 5-200,0 11 336,-7-3-584,-5 1-465,10 2-447,-14 0-536,16 0 2032,-16 17-3817,-3-1-2016,1 5-3938,18-21 9771</inkml:trace>
  <inkml:trace contextRef="#ctx0" brushRef="#br0" timeOffset="2">2795 1155 16579,'0'0'0,"0"0"1472,0 0-1432,0 3-88,0-3 48,0 4 0,0-1 56,0 1 56,5 0 40,-5-4-152,0 5 192,0-1 121,0 0 127,-3 7 136,3-11-576,-5 0 672,-9 5 88,1-1 32,-2 0-48,15-4-744,-13 12 689,-7-12-89,5 2-144,-6 1-128,21-3-328,-24 3 216,11-3-24,-12 0 24,7 0 8,18 0-224,-23 0 200,0-3 0,-3-2-48,3-10-48,23 15-104,-21-11 184,0 0-96,0-4 0,2 1-16,19 14-72,-16-15 16,-5-2-16,6-1 32,2 0 24,13 18-56,-12-19 24,7 4 64,4 1-72,-2 8-72,3 6 56,0-12-120,14 9 8,3-1 56,6 1-16,7 1 128,-30 2-56,42-1-32,7-1-56,-1 2 104,7 0-40,-55 0 24,53 3-48,3 0 64,4 0-48,8 1-8,-68-4 40,61 4-40,1 1 24,-6-1 0,-2 7 72,-54-11-56,54 3 48,-8 0-40,-6 0 8,-7 0-32,-33-3 16,25 3-24,-4-3 64,-7 0-8,-12 0-8,-2 0-24,5 0 176,-5 0-48,0 0 48,-5 0 32,5 0-208,-14 0 96,-4 0-64,-10 0 16,-7 0-40,35 0-8,-51 0-40,-14 0 72,-6 2-96,-15 3-8,86-5 72,-98 11-16,-9-7-24,-22 13 40,-10-4-48,139-13 48,-151 14 0,-15 0-8,-11 0 16,3 2 56,174-16-64,-183 16-72,9 1 96,4 0-8,12 1-32,158-18 16,-156 19 72,10 1-8,9-1-128,9 0-32,128-19 96,-60 2 96,-8 13-80,7-11 104,-9 9 56,70-13-176,-63 3 24,-2 8-32,16-11 64,-4 3-56,53-3 0,-37 0-104,11 0-72,19-2 48,7-9 24,0 11 104,14-11-88,14-5 16,11-2-32,31-8 32,-70 26 72,138-45-184,11 2 64,7 6 8,-23 10-48,-133 27 160,140-25 32,6 1-96,8 3-120,5 1 200,-159 20-16,168-19 56,-1 1 72,6-1 160,4 2-304,-177 17 16,173-15-8,-1-3-64,-3 6-48,-5 0 80,-164 12 40,163-5-56,-7-8 64,-5 8-32,-4-7-120,-147 12 144,145-4 32,-8-7 80,-1 6-72,-18 1 136,-118 4-176,114-4-32,-9 1-40,-11 2 56,-8-1 32,-86 2-16,79 0 72,-5 0-232,-6 0 136,-7 3 40,-61-3-16,53 3-104,-6 0 192,-3-1-48,-7 3-128,-37-5 88,35 3 32,0-1-48,-12 1 16,3 0 120,-26-3-120,22 0 112,-4 3-8,-1-3-80,-6 3-80,-11-3 56,12 0-72,-1 3 0,-9-3 56,3 0 64,-5 0-48,5 0 24,-5 0 32,0 0 8,0 0-96,0 0 32,0 0-40,-5 0 8,-9-3-80,-5 0 96,19 3 16,-20-4-56,-13-1 24,-5 1 48,-3 0 112,41 4-128,-52-6-72,1 2 0,-7 0 0,0-2-184,58 6 256,-65-6-56,-5-5-56,-9 8 64,-8-3-48,87 6 96,-89-5-88,-1-7 160,-1 9-184,-5-2 144,96 5-32,-91-12 24,3 8-40,-1-9 136,12 8-112,77 5-8,-71-16-24,8 5 24,6-4-56,11 0 208,46 15-152,-43-20 88,8 0-32,5-2 88,5-2-176,25 24 32,-14-29 112,2-2-48,10-6-80,2-5-88,0 42 104,5-46-40,13 1 40,-1-4-32,6 1 64,-23 48-32,23-44-96,1 3 64,-1 4 32,0 6 160,-23 31-160,23-30 184,1 6-112,2 4 8,1 3 8,-27 17-88,26-14 16,-3 8 24,2-6-64,-5 10-64,-20 2 88,20 0 40,1 5-8,1 14 112,-4 1-88,-18-20-56,14 26 16,-3 8 72,4 4-232,-13 6 168,-2-44-24,14 48 48,-10 2 96,-4 4 144,0-2-72,0-52-216,3 54 168,9 0-40,-1-1-56,1-1-8,-12-52-64,12 51 160,-1 1-40,8-2-136,-3-1 56,-16-49-40,19 46-8,-3 0-96,0-5 281,1-3-314,-17-38 137,14 37 32,2-3-16,0-1-240,-16-33 224,14 32-296,-14-32 296,12 31-1016,-8 1-1224,13 0-4770,-15-3-4512,-2-29 11522,0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31:19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2 26757,'0'0'0,"-4"0"440,-8-1-888,9 1 1056,3 0-608,-2 0-448,2 3-392,0 8-512,0 0-1057,0-11 2409,5 13-5073,9-1-584,-9 0-2945,-5-12 8602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3"/>
  <sheetViews>
    <sheetView rightToLeft="1" tabSelected="1" view="pageBreakPreview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180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4" t="s">
        <v>8</v>
      </c>
      <c r="C2" s="66" t="s">
        <v>16</v>
      </c>
      <c r="D2" s="66"/>
      <c r="E2" s="14" t="s">
        <v>7</v>
      </c>
      <c r="F2" s="61">
        <v>45931</v>
      </c>
      <c r="G2" s="61"/>
      <c r="H2" s="61"/>
      <c r="I2" s="61"/>
      <c r="J2" s="61"/>
    </row>
    <row r="3" spans="1:10" ht="30" customHeight="1" x14ac:dyDescent="0.3">
      <c r="B3" s="14" t="s">
        <v>9</v>
      </c>
      <c r="C3" s="66" t="s">
        <v>60</v>
      </c>
      <c r="D3" s="66"/>
      <c r="E3" s="14" t="s">
        <v>6</v>
      </c>
      <c r="F3" s="66" t="s">
        <v>59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 t="s">
        <v>202</v>
      </c>
      <c r="E4" s="6"/>
      <c r="F4" s="91" t="s">
        <v>203</v>
      </c>
      <c r="G4" s="91"/>
      <c r="H4" s="91"/>
      <c r="I4" s="91"/>
      <c r="J4" s="91"/>
    </row>
    <row r="5" spans="1:10" ht="24.9" customHeight="1" x14ac:dyDescent="0.3">
      <c r="A5" s="12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12"/>
      <c r="B6" s="64"/>
      <c r="C6" s="65"/>
      <c r="D6" s="65"/>
      <c r="E6" s="13" t="s">
        <v>3</v>
      </c>
      <c r="F6" s="13" t="s">
        <v>4</v>
      </c>
      <c r="G6" s="13" t="s">
        <v>23</v>
      </c>
      <c r="H6" s="13" t="s">
        <v>24</v>
      </c>
      <c r="I6" s="73"/>
      <c r="J6" s="74"/>
    </row>
    <row r="7" spans="1:10" ht="24.9" customHeight="1" thickBot="1" x14ac:dyDescent="0.35">
      <c r="A7" s="12"/>
      <c r="B7" s="69" t="s">
        <v>21</v>
      </c>
      <c r="C7" s="70"/>
      <c r="D7" s="70"/>
      <c r="E7" s="31" t="s">
        <v>18</v>
      </c>
      <c r="F7" s="31" t="s">
        <v>19</v>
      </c>
      <c r="G7" s="31" t="s">
        <v>22</v>
      </c>
      <c r="H7" s="31" t="s">
        <v>20</v>
      </c>
      <c r="I7" s="75" t="s">
        <v>25</v>
      </c>
      <c r="J7" s="76"/>
    </row>
    <row r="8" spans="1:10" ht="39.9" customHeight="1" x14ac:dyDescent="0.3">
      <c r="A8" s="12"/>
      <c r="B8" s="85" t="s">
        <v>181</v>
      </c>
      <c r="C8" s="86"/>
      <c r="D8" s="86"/>
      <c r="E8" s="35"/>
      <c r="F8" s="36"/>
      <c r="G8" s="37"/>
      <c r="H8" s="38"/>
      <c r="I8" s="81"/>
      <c r="J8" s="82"/>
    </row>
    <row r="9" spans="1:10" ht="39.9" customHeight="1" x14ac:dyDescent="0.3">
      <c r="A9" s="12"/>
      <c r="B9" s="83" t="s">
        <v>183</v>
      </c>
      <c r="C9" s="84"/>
      <c r="D9" s="84"/>
      <c r="E9" s="11">
        <v>5</v>
      </c>
      <c r="F9" s="28">
        <v>3.75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9.9" customHeight="1" x14ac:dyDescent="0.3">
      <c r="A10" s="12"/>
      <c r="B10" s="83" t="s">
        <v>184</v>
      </c>
      <c r="C10" s="84"/>
      <c r="D10" s="84"/>
      <c r="E10" s="11">
        <v>5</v>
      </c>
      <c r="F10" s="28">
        <v>3.75</v>
      </c>
      <c r="G10" s="33">
        <f t="shared" ref="G10:G28" si="0">IFERROR(F10/E10,"")</f>
        <v>0.75</v>
      </c>
      <c r="H10" s="34" t="str">
        <f t="shared" ref="H10:H28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39.9" customHeight="1" x14ac:dyDescent="0.3">
      <c r="A11" s="12"/>
      <c r="B11" s="83" t="s">
        <v>185</v>
      </c>
      <c r="C11" s="84"/>
      <c r="D11" s="84"/>
      <c r="E11" s="11">
        <v>5</v>
      </c>
      <c r="F11" s="28">
        <v>3.5</v>
      </c>
      <c r="G11" s="33">
        <f t="shared" si="0"/>
        <v>0.7</v>
      </c>
      <c r="H11" s="34" t="str">
        <f t="shared" si="1"/>
        <v>جيد</v>
      </c>
      <c r="I11" s="48"/>
      <c r="J11" s="49"/>
    </row>
    <row r="12" spans="1:10" ht="39.9" customHeight="1" x14ac:dyDescent="0.3">
      <c r="A12" s="12"/>
      <c r="B12" s="83" t="s">
        <v>186</v>
      </c>
      <c r="C12" s="84"/>
      <c r="D12" s="84"/>
      <c r="E12" s="11">
        <v>5</v>
      </c>
      <c r="F12" s="28">
        <v>3.75</v>
      </c>
      <c r="G12" s="33">
        <f t="shared" si="0"/>
        <v>0.75</v>
      </c>
      <c r="H12" s="34" t="str">
        <f t="shared" si="1"/>
        <v>جيد</v>
      </c>
      <c r="I12" s="48"/>
      <c r="J12" s="49"/>
    </row>
    <row r="13" spans="1:10" ht="39.9" customHeight="1" x14ac:dyDescent="0.3">
      <c r="A13" s="12"/>
      <c r="B13" s="83" t="s">
        <v>187</v>
      </c>
      <c r="C13" s="84"/>
      <c r="D13" s="84"/>
      <c r="E13" s="11">
        <v>20</v>
      </c>
      <c r="F13" s="28">
        <v>14</v>
      </c>
      <c r="G13" s="33">
        <f t="shared" si="0"/>
        <v>0.7</v>
      </c>
      <c r="H13" s="34" t="str">
        <f t="shared" si="1"/>
        <v>جيد</v>
      </c>
      <c r="I13" s="48"/>
      <c r="J13" s="49"/>
    </row>
    <row r="14" spans="1:10" ht="39.9" customHeight="1" x14ac:dyDescent="0.3">
      <c r="A14" s="12"/>
      <c r="B14" s="83" t="s">
        <v>188</v>
      </c>
      <c r="C14" s="84"/>
      <c r="D14" s="84"/>
      <c r="E14" s="11">
        <v>0</v>
      </c>
      <c r="F14" s="28" t="s">
        <v>17</v>
      </c>
      <c r="G14" s="33" t="str">
        <f t="shared" si="0"/>
        <v/>
      </c>
      <c r="H14" s="34" t="str">
        <f t="shared" si="1"/>
        <v>تم الإلغاء</v>
      </c>
      <c r="I14" s="48"/>
      <c r="J14" s="49"/>
    </row>
    <row r="15" spans="1:10" ht="59.25" customHeight="1" x14ac:dyDescent="0.3">
      <c r="A15" s="12"/>
      <c r="B15" s="83" t="s">
        <v>189</v>
      </c>
      <c r="C15" s="84"/>
      <c r="D15" s="84"/>
      <c r="E15" s="11">
        <v>10</v>
      </c>
      <c r="F15" s="28">
        <v>7</v>
      </c>
      <c r="G15" s="33">
        <f t="shared" si="0"/>
        <v>0.7</v>
      </c>
      <c r="H15" s="34" t="str">
        <f t="shared" si="1"/>
        <v>جيد</v>
      </c>
      <c r="I15" s="48"/>
      <c r="J15" s="49"/>
    </row>
    <row r="16" spans="1:10" ht="39.9" customHeight="1" x14ac:dyDescent="0.3">
      <c r="A16" s="12"/>
      <c r="B16" s="83" t="s">
        <v>190</v>
      </c>
      <c r="C16" s="84"/>
      <c r="D16" s="84"/>
      <c r="E16" s="11">
        <v>10</v>
      </c>
      <c r="F16" s="28">
        <v>7</v>
      </c>
      <c r="G16" s="33">
        <f t="shared" si="0"/>
        <v>0.7</v>
      </c>
      <c r="H16" s="34" t="str">
        <f t="shared" si="1"/>
        <v>جيد</v>
      </c>
      <c r="I16" s="48"/>
      <c r="J16" s="49"/>
    </row>
    <row r="17" spans="1:10" ht="39.9" customHeight="1" x14ac:dyDescent="0.3">
      <c r="A17" s="12"/>
      <c r="B17" s="83" t="s">
        <v>191</v>
      </c>
      <c r="C17" s="84"/>
      <c r="D17" s="84"/>
      <c r="E17" s="11">
        <v>0</v>
      </c>
      <c r="F17" s="28" t="s">
        <v>17</v>
      </c>
      <c r="G17" s="33" t="str">
        <f t="shared" si="0"/>
        <v/>
      </c>
      <c r="H17" s="34" t="str">
        <f t="shared" si="1"/>
        <v>تم الإلغاء</v>
      </c>
      <c r="I17" s="48"/>
      <c r="J17" s="49"/>
    </row>
    <row r="18" spans="1:10" ht="39.9" customHeight="1" x14ac:dyDescent="0.3">
      <c r="A18" s="12"/>
      <c r="B18" s="83" t="s">
        <v>192</v>
      </c>
      <c r="C18" s="84"/>
      <c r="D18" s="84"/>
      <c r="E18" s="11">
        <v>5</v>
      </c>
      <c r="F18" s="28">
        <v>4</v>
      </c>
      <c r="G18" s="33">
        <f t="shared" si="0"/>
        <v>0.8</v>
      </c>
      <c r="H18" s="34" t="str">
        <f t="shared" si="1"/>
        <v>جيد جداً</v>
      </c>
      <c r="I18" s="48"/>
      <c r="J18" s="49"/>
    </row>
    <row r="19" spans="1:10" ht="39.9" customHeight="1" thickBot="1" x14ac:dyDescent="0.35">
      <c r="A19" s="12"/>
      <c r="B19" s="87" t="s">
        <v>193</v>
      </c>
      <c r="C19" s="88"/>
      <c r="D19" s="88"/>
      <c r="E19" s="39">
        <v>5</v>
      </c>
      <c r="F19" s="42">
        <v>3</v>
      </c>
      <c r="G19" s="40">
        <f t="shared" si="0"/>
        <v>0.6</v>
      </c>
      <c r="H19" s="41" t="str">
        <f t="shared" si="1"/>
        <v>مقبول</v>
      </c>
      <c r="I19" s="50"/>
      <c r="J19" s="51"/>
    </row>
    <row r="20" spans="1:10" ht="39.9" customHeight="1" x14ac:dyDescent="0.3">
      <c r="A20" s="12"/>
      <c r="B20" s="85" t="s">
        <v>194</v>
      </c>
      <c r="C20" s="86"/>
      <c r="D20" s="86"/>
      <c r="E20" s="35"/>
      <c r="F20" s="36"/>
      <c r="G20" s="37"/>
      <c r="H20" s="38"/>
      <c r="I20" s="81"/>
      <c r="J20" s="82"/>
    </row>
    <row r="21" spans="1:10" ht="58.5" customHeight="1" x14ac:dyDescent="0.3">
      <c r="A21" s="12"/>
      <c r="B21" s="83" t="s">
        <v>195</v>
      </c>
      <c r="C21" s="84"/>
      <c r="D21" s="84"/>
      <c r="E21" s="11">
        <v>0</v>
      </c>
      <c r="F21" s="28" t="s">
        <v>17</v>
      </c>
      <c r="G21" s="33" t="str">
        <f t="shared" si="0"/>
        <v/>
      </c>
      <c r="H21" s="34" t="str">
        <f t="shared" si="1"/>
        <v>تم الإلغاء</v>
      </c>
      <c r="I21" s="48"/>
      <c r="J21" s="49"/>
    </row>
    <row r="22" spans="1:10" ht="39.9" customHeight="1" x14ac:dyDescent="0.3">
      <c r="A22" s="12"/>
      <c r="B22" s="83" t="s">
        <v>196</v>
      </c>
      <c r="C22" s="84"/>
      <c r="D22" s="84"/>
      <c r="E22" s="11">
        <v>5</v>
      </c>
      <c r="F22" s="28">
        <v>3.75</v>
      </c>
      <c r="G22" s="33">
        <f t="shared" si="0"/>
        <v>0.75</v>
      </c>
      <c r="H22" s="34" t="str">
        <f t="shared" si="1"/>
        <v>جيد</v>
      </c>
      <c r="I22" s="48"/>
      <c r="J22" s="49"/>
    </row>
    <row r="23" spans="1:10" ht="39.9" customHeight="1" x14ac:dyDescent="0.3">
      <c r="A23" s="12"/>
      <c r="B23" s="83" t="s">
        <v>197</v>
      </c>
      <c r="C23" s="84"/>
      <c r="D23" s="84"/>
      <c r="E23" s="11">
        <v>5</v>
      </c>
      <c r="F23" s="28">
        <v>3.75</v>
      </c>
      <c r="G23" s="33">
        <f t="shared" si="0"/>
        <v>0.75</v>
      </c>
      <c r="H23" s="34" t="str">
        <f t="shared" si="1"/>
        <v>جيد</v>
      </c>
      <c r="I23" s="48"/>
      <c r="J23" s="49"/>
    </row>
    <row r="24" spans="1:10" ht="39.9" customHeight="1" thickBot="1" x14ac:dyDescent="0.35">
      <c r="A24" s="12"/>
      <c r="B24" s="87" t="s">
        <v>198</v>
      </c>
      <c r="C24" s="88"/>
      <c r="D24" s="88"/>
      <c r="E24" s="39">
        <v>5</v>
      </c>
      <c r="F24" s="30">
        <v>3.75</v>
      </c>
      <c r="G24" s="40">
        <f t="shared" si="0"/>
        <v>0.75</v>
      </c>
      <c r="H24" s="41" t="str">
        <f t="shared" si="1"/>
        <v>جيد</v>
      </c>
      <c r="I24" s="50"/>
      <c r="J24" s="51"/>
    </row>
    <row r="25" spans="1:10" ht="39.9" customHeight="1" x14ac:dyDescent="0.3">
      <c r="A25" s="12"/>
      <c r="B25" s="89" t="s">
        <v>182</v>
      </c>
      <c r="C25" s="90"/>
      <c r="D25" s="90"/>
      <c r="E25" s="9"/>
      <c r="F25" s="29"/>
      <c r="G25" s="10"/>
      <c r="H25" s="8"/>
      <c r="I25" s="52"/>
      <c r="J25" s="53"/>
    </row>
    <row r="26" spans="1:10" ht="39.9" customHeight="1" x14ac:dyDescent="0.3">
      <c r="A26" s="12"/>
      <c r="B26" s="83" t="s">
        <v>199</v>
      </c>
      <c r="C26" s="84"/>
      <c r="D26" s="84"/>
      <c r="E26" s="11">
        <v>0</v>
      </c>
      <c r="F26" s="28" t="s">
        <v>17</v>
      </c>
      <c r="G26" s="33" t="str">
        <f t="shared" si="0"/>
        <v/>
      </c>
      <c r="H26" s="34" t="str">
        <f t="shared" si="1"/>
        <v>تم الإلغاء</v>
      </c>
      <c r="I26" s="48"/>
      <c r="J26" s="49"/>
    </row>
    <row r="27" spans="1:10" ht="39.9" customHeight="1" x14ac:dyDescent="0.3">
      <c r="A27" s="12"/>
      <c r="B27" s="83" t="s">
        <v>200</v>
      </c>
      <c r="C27" s="84"/>
      <c r="D27" s="84"/>
      <c r="E27" s="11">
        <v>0</v>
      </c>
      <c r="F27" s="28" t="s">
        <v>17</v>
      </c>
      <c r="G27" s="33" t="str">
        <f t="shared" si="0"/>
        <v/>
      </c>
      <c r="H27" s="34" t="str">
        <f t="shared" si="1"/>
        <v>تم الإلغاء</v>
      </c>
      <c r="I27" s="48"/>
      <c r="J27" s="49"/>
    </row>
    <row r="28" spans="1:10" ht="39.9" customHeight="1" thickBot="1" x14ac:dyDescent="0.35">
      <c r="A28" s="12"/>
      <c r="B28" s="87" t="s">
        <v>201</v>
      </c>
      <c r="C28" s="88"/>
      <c r="D28" s="88"/>
      <c r="E28" s="39">
        <v>0</v>
      </c>
      <c r="F28" s="30" t="s">
        <v>17</v>
      </c>
      <c r="G28" s="40" t="str">
        <f t="shared" si="0"/>
        <v/>
      </c>
      <c r="H28" s="41" t="str">
        <f t="shared" si="1"/>
        <v>تم الإلغاء</v>
      </c>
      <c r="I28" s="50"/>
      <c r="J28" s="51"/>
    </row>
    <row r="29" spans="1:10" ht="30" customHeight="1" thickBot="1" x14ac:dyDescent="0.35">
      <c r="A29" s="4"/>
      <c r="B29" s="77" t="s">
        <v>5</v>
      </c>
      <c r="C29" s="78"/>
      <c r="D29" s="78"/>
      <c r="E29" s="32">
        <f>SUM(E8:E28)</f>
        <v>85</v>
      </c>
      <c r="F29" s="32">
        <f>SUM(F8:F28)</f>
        <v>61</v>
      </c>
      <c r="G29" s="45"/>
      <c r="H29" s="46"/>
      <c r="I29" s="46"/>
      <c r="J29" s="47"/>
    </row>
    <row r="30" spans="1:10" ht="30" customHeight="1" thickBot="1" x14ac:dyDescent="0.35">
      <c r="A30" s="4"/>
      <c r="B30" s="79" t="s">
        <v>54</v>
      </c>
      <c r="C30" s="80"/>
      <c r="D30" s="80"/>
      <c r="E30" s="67">
        <f>F29/E29/100*100</f>
        <v>0.71764705882352942</v>
      </c>
      <c r="F30" s="67"/>
      <c r="G30" s="67"/>
      <c r="H30" s="67"/>
      <c r="I30" s="67"/>
      <c r="J30" s="68"/>
    </row>
    <row r="31" spans="1:10" ht="30" customHeight="1" thickBot="1" x14ac:dyDescent="0.35">
      <c r="A31" s="4"/>
      <c r="B31" s="79" t="s">
        <v>55</v>
      </c>
      <c r="C31" s="80"/>
      <c r="D31" s="80"/>
      <c r="E31" s="58" t="str">
        <f>_xlfn.IFS(E30&gt;=90%,"ممتاز",E30&gt;=80%,"جيد جداً",E30&gt;=70%,"جيد",E30&gt;=60%,"مقبول",E30&lt;60%,"راسب")</f>
        <v>جيد</v>
      </c>
      <c r="F31" s="58"/>
      <c r="G31" s="58"/>
      <c r="H31" s="58"/>
      <c r="I31" s="58"/>
      <c r="J31" s="59"/>
    </row>
    <row r="32" spans="1:10" ht="42" customHeight="1" x14ac:dyDescent="0.3">
      <c r="B32" s="54" t="s">
        <v>174</v>
      </c>
      <c r="C32" s="54"/>
      <c r="D32" s="54"/>
      <c r="E32" s="43" t="s">
        <v>52</v>
      </c>
      <c r="F32" s="43"/>
      <c r="G32" s="56" t="s">
        <v>59</v>
      </c>
      <c r="H32" s="56"/>
      <c r="I32" s="56"/>
      <c r="J32" s="56"/>
    </row>
    <row r="33" spans="1:10" ht="51" customHeight="1" x14ac:dyDescent="0.3">
      <c r="A33" s="5"/>
      <c r="B33" s="55"/>
      <c r="C33" s="55"/>
      <c r="D33" s="55"/>
      <c r="E33" s="44" t="s">
        <v>53</v>
      </c>
      <c r="F33" s="44"/>
      <c r="G33" s="57"/>
      <c r="H33" s="57"/>
      <c r="I33" s="57"/>
      <c r="J33" s="57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F4:J4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9:D29"/>
    <mergeCell ref="B30:D30"/>
    <mergeCell ref="B31:D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19:J19"/>
    <mergeCell ref="I20:J20"/>
    <mergeCell ref="I21:J21"/>
    <mergeCell ref="I22:J22"/>
    <mergeCell ref="B32:D33"/>
    <mergeCell ref="G32:J32"/>
    <mergeCell ref="G33:J33"/>
    <mergeCell ref="E31:J31"/>
    <mergeCell ref="B1:J1"/>
    <mergeCell ref="F2:J2"/>
    <mergeCell ref="B5:D6"/>
    <mergeCell ref="C2:D2"/>
    <mergeCell ref="C3:D3"/>
    <mergeCell ref="F3:J3"/>
    <mergeCell ref="E30:J30"/>
    <mergeCell ref="B7:D7"/>
    <mergeCell ref="E5:H5"/>
    <mergeCell ref="I5:J6"/>
    <mergeCell ref="I7:J7"/>
    <mergeCell ref="I10:J10"/>
    <mergeCell ref="E32:F32"/>
    <mergeCell ref="E33:F33"/>
    <mergeCell ref="G29:J29"/>
    <mergeCell ref="I9:J9"/>
    <mergeCell ref="I23:J23"/>
    <mergeCell ref="I24:J24"/>
    <mergeCell ref="I25:J25"/>
    <mergeCell ref="I26:J26"/>
    <mergeCell ref="I27:J2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1">
    <cfRule type="expression" dxfId="14" priority="57">
      <formula>$E31="راسب"</formula>
    </cfRule>
  </conditionalFormatting>
  <conditionalFormatting sqref="E31:J31">
    <cfRule type="expression" dxfId="13" priority="58">
      <formula>$E31="مقبول"</formula>
    </cfRule>
    <cfRule type="expression" dxfId="12" priority="59">
      <formula>$E31="جيد"</formula>
    </cfRule>
    <cfRule type="expression" dxfId="11" priority="60">
      <formula>$E31="جيد جداً"</formula>
    </cfRule>
    <cfRule type="expression" dxfId="10" priority="61">
      <formula>$E31="ممتاز"</formula>
    </cfRule>
  </conditionalFormatting>
  <conditionalFormatting sqref="F8:F2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2:J32">
    <cfRule type="containsText" dxfId="6" priority="15" operator="containsText" text="أدخل اسم المحكم">
      <formula>NOT(ISERROR(SEARCH("أدخل اسم المحكم",G32)))</formula>
    </cfRule>
  </conditionalFormatting>
  <conditionalFormatting sqref="H8:H2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F21:F24 F18:F19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G32:J32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A343E604-783E-49C7-BBDF-E40CB5A93094}">
          <x14:formula1>
            <xm:f>'بيانات التقييم'!$A$111:$A$153</xm:f>
          </x14:formula1>
          <xm:sqref>F14 F15 F16 F17</xm:sqref>
        </x14:dataValidation>
        <x14:dataValidation type="list" allowBlank="1" showInputMessage="1" showErrorMessage="1" xr:uid="{D3B2D51D-8664-4C85-9565-B48817E8ADBA}">
          <x14:formula1>
            <xm:f>'بيانات التقييم'!$A$111:$A$193</xm:f>
          </x14:formula1>
          <xm:sqref>F13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A193" sqref="A19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1" t="s">
        <v>177</v>
      </c>
    </row>
    <row r="30" spans="1:3" ht="20.100000000000001" customHeight="1" thickBot="1" x14ac:dyDescent="0.35">
      <c r="A30" s="2" t="s">
        <v>32</v>
      </c>
      <c r="C30" s="21" t="s">
        <v>178</v>
      </c>
    </row>
    <row r="31" spans="1:3" ht="20.100000000000001" customHeight="1" thickBot="1" x14ac:dyDescent="0.35">
      <c r="A31" s="2" t="s">
        <v>33</v>
      </c>
      <c r="C31" s="21" t="s">
        <v>179</v>
      </c>
    </row>
    <row r="32" spans="1:3" ht="20.100000000000001" customHeight="1" thickBot="1" x14ac:dyDescent="0.35">
      <c r="A32" s="2" t="s">
        <v>16</v>
      </c>
      <c r="C32" s="21"/>
    </row>
    <row r="33" spans="1:9" ht="20.100000000000001" customHeight="1" thickBot="1" x14ac:dyDescent="0.35">
      <c r="A33" s="2" t="s">
        <v>14</v>
      </c>
      <c r="C33" s="21"/>
    </row>
    <row r="34" spans="1:9" ht="20.100000000000001" customHeight="1" thickBot="1" x14ac:dyDescent="0.35">
      <c r="A34" s="2" t="s">
        <v>34</v>
      </c>
      <c r="C34" s="21"/>
    </row>
    <row r="35" spans="1:9" ht="20.100000000000001" customHeight="1" x14ac:dyDescent="0.3">
      <c r="A35" s="20"/>
    </row>
    <row r="36" spans="1:9" s="19" customFormat="1" ht="20.100000000000001" customHeight="1" x14ac:dyDescent="0.3">
      <c r="A36" s="17"/>
      <c r="B36" s="18"/>
      <c r="C36" s="18"/>
      <c r="D36" s="18"/>
      <c r="E36" s="18"/>
      <c r="F36" s="18"/>
      <c r="G36" s="18"/>
      <c r="H36" s="18"/>
      <c r="I36" s="18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5">
        <v>45901</v>
      </c>
    </row>
    <row r="40" spans="1:9" ht="20.100000000000001" customHeight="1" thickBot="1" x14ac:dyDescent="0.35">
      <c r="A40" s="15">
        <v>45902</v>
      </c>
    </row>
    <row r="41" spans="1:9" ht="20.100000000000001" customHeight="1" thickBot="1" x14ac:dyDescent="0.35">
      <c r="A41" s="15">
        <v>45903</v>
      </c>
    </row>
    <row r="42" spans="1:9" ht="20.100000000000001" customHeight="1" thickBot="1" x14ac:dyDescent="0.35">
      <c r="A42" s="15">
        <v>45904</v>
      </c>
    </row>
    <row r="43" spans="1:9" ht="20.100000000000001" customHeight="1" thickBot="1" x14ac:dyDescent="0.35">
      <c r="A43" s="15">
        <v>45905</v>
      </c>
    </row>
    <row r="44" spans="1:9" ht="20.100000000000001" customHeight="1" thickBot="1" x14ac:dyDescent="0.35">
      <c r="A44" s="15">
        <v>45906</v>
      </c>
    </row>
    <row r="45" spans="1:9" ht="20.100000000000001" customHeight="1" thickBot="1" x14ac:dyDescent="0.35">
      <c r="A45" s="15">
        <v>45907</v>
      </c>
    </row>
    <row r="46" spans="1:9" ht="20.100000000000001" customHeight="1" thickBot="1" x14ac:dyDescent="0.35">
      <c r="A46" s="15">
        <v>45908</v>
      </c>
    </row>
    <row r="47" spans="1:9" ht="20.100000000000001" customHeight="1" thickBot="1" x14ac:dyDescent="0.35">
      <c r="A47" s="15">
        <v>45909</v>
      </c>
    </row>
    <row r="48" spans="1:9" ht="20.100000000000001" customHeight="1" thickBot="1" x14ac:dyDescent="0.35">
      <c r="A48" s="15">
        <v>45910</v>
      </c>
    </row>
    <row r="49" spans="1:1" ht="20.100000000000001" customHeight="1" thickBot="1" x14ac:dyDescent="0.35">
      <c r="A49" s="15">
        <v>45911</v>
      </c>
    </row>
    <row r="50" spans="1:1" ht="20.100000000000001" customHeight="1" thickBot="1" x14ac:dyDescent="0.35">
      <c r="A50" s="15">
        <v>45912</v>
      </c>
    </row>
    <row r="51" spans="1:1" ht="20.100000000000001" customHeight="1" thickBot="1" x14ac:dyDescent="0.35">
      <c r="A51" s="15">
        <v>45913</v>
      </c>
    </row>
    <row r="52" spans="1:1" ht="20.100000000000001" customHeight="1" thickBot="1" x14ac:dyDescent="0.35">
      <c r="A52" s="15">
        <v>45914</v>
      </c>
    </row>
    <row r="53" spans="1:1" ht="20.100000000000001" customHeight="1" thickBot="1" x14ac:dyDescent="0.35">
      <c r="A53" s="15">
        <v>45915</v>
      </c>
    </row>
    <row r="54" spans="1:1" ht="20.100000000000001" customHeight="1" thickBot="1" x14ac:dyDescent="0.35">
      <c r="A54" s="15">
        <v>45916</v>
      </c>
    </row>
    <row r="55" spans="1:1" ht="20.100000000000001" customHeight="1" thickBot="1" x14ac:dyDescent="0.35">
      <c r="A55" s="15">
        <v>45917</v>
      </c>
    </row>
    <row r="56" spans="1:1" ht="20.100000000000001" customHeight="1" thickBot="1" x14ac:dyDescent="0.35">
      <c r="A56" s="15">
        <v>45918</v>
      </c>
    </row>
    <row r="57" spans="1:1" ht="20.100000000000001" customHeight="1" thickBot="1" x14ac:dyDescent="0.35">
      <c r="A57" s="15">
        <v>45919</v>
      </c>
    </row>
    <row r="58" spans="1:1" ht="20.100000000000001" customHeight="1" thickBot="1" x14ac:dyDescent="0.35">
      <c r="A58" s="15">
        <v>45920</v>
      </c>
    </row>
    <row r="59" spans="1:1" ht="20.100000000000001" customHeight="1" thickBot="1" x14ac:dyDescent="0.35">
      <c r="A59" s="15">
        <v>45921</v>
      </c>
    </row>
    <row r="60" spans="1:1" ht="20.100000000000001" customHeight="1" thickBot="1" x14ac:dyDescent="0.35">
      <c r="A60" s="15">
        <v>45922</v>
      </c>
    </row>
    <row r="61" spans="1:1" ht="20.100000000000001" customHeight="1" thickBot="1" x14ac:dyDescent="0.35">
      <c r="A61" s="15">
        <v>45923</v>
      </c>
    </row>
    <row r="62" spans="1:1" ht="20.100000000000001" customHeight="1" thickBot="1" x14ac:dyDescent="0.35">
      <c r="A62" s="15">
        <v>45924</v>
      </c>
    </row>
    <row r="63" spans="1:1" ht="20.100000000000001" customHeight="1" thickBot="1" x14ac:dyDescent="0.35">
      <c r="A63" s="15">
        <v>45925</v>
      </c>
    </row>
    <row r="64" spans="1:1" ht="20.100000000000001" customHeight="1" thickBot="1" x14ac:dyDescent="0.35">
      <c r="A64" s="15">
        <v>45926</v>
      </c>
    </row>
    <row r="65" spans="1:1" ht="20.100000000000001" customHeight="1" thickBot="1" x14ac:dyDescent="0.35">
      <c r="A65" s="15">
        <v>45927</v>
      </c>
    </row>
    <row r="66" spans="1:1" ht="20.100000000000001" customHeight="1" thickBot="1" x14ac:dyDescent="0.35">
      <c r="A66" s="15">
        <v>45928</v>
      </c>
    </row>
    <row r="67" spans="1:1" ht="20.100000000000001" customHeight="1" thickBot="1" x14ac:dyDescent="0.35">
      <c r="A67" s="15">
        <v>45929</v>
      </c>
    </row>
    <row r="68" spans="1:1" ht="20.100000000000001" customHeight="1" thickBot="1" x14ac:dyDescent="0.35">
      <c r="A68" s="15">
        <v>45930</v>
      </c>
    </row>
    <row r="69" spans="1:1" ht="20.100000000000001" customHeight="1" thickBot="1" x14ac:dyDescent="0.35">
      <c r="A69" s="15">
        <v>45931</v>
      </c>
    </row>
    <row r="70" spans="1:1" ht="20.100000000000001" customHeight="1" thickBot="1" x14ac:dyDescent="0.35">
      <c r="A70" s="15">
        <v>45932</v>
      </c>
    </row>
    <row r="71" spans="1:1" ht="20.100000000000001" customHeight="1" thickBot="1" x14ac:dyDescent="0.35">
      <c r="A71" s="15">
        <v>45933</v>
      </c>
    </row>
    <row r="72" spans="1:1" ht="20.100000000000001" customHeight="1" thickBot="1" x14ac:dyDescent="0.35">
      <c r="A72" s="15">
        <v>45934</v>
      </c>
    </row>
    <row r="73" spans="1:1" ht="20.100000000000001" customHeight="1" thickBot="1" x14ac:dyDescent="0.35">
      <c r="A73" s="15">
        <v>45935</v>
      </c>
    </row>
    <row r="74" spans="1:1" ht="20.100000000000001" customHeight="1" thickBot="1" x14ac:dyDescent="0.35">
      <c r="A74" s="15">
        <v>45936</v>
      </c>
    </row>
    <row r="75" spans="1:1" ht="20.100000000000001" customHeight="1" thickBot="1" x14ac:dyDescent="0.35">
      <c r="A75" s="15">
        <v>45937</v>
      </c>
    </row>
    <row r="76" spans="1:1" ht="20.100000000000001" customHeight="1" thickBot="1" x14ac:dyDescent="0.35">
      <c r="A76" s="15">
        <v>45938</v>
      </c>
    </row>
    <row r="77" spans="1:1" ht="20.100000000000001" customHeight="1" thickBot="1" x14ac:dyDescent="0.35">
      <c r="A77" s="15">
        <v>45939</v>
      </c>
    </row>
    <row r="78" spans="1:1" ht="20.100000000000001" customHeight="1" thickBot="1" x14ac:dyDescent="0.35">
      <c r="A78" s="15">
        <v>45940</v>
      </c>
    </row>
    <row r="79" spans="1:1" ht="20.100000000000001" customHeight="1" thickBot="1" x14ac:dyDescent="0.35">
      <c r="A79" s="15">
        <v>45941</v>
      </c>
    </row>
    <row r="80" spans="1:1" ht="20.100000000000001" customHeight="1" thickBot="1" x14ac:dyDescent="0.35">
      <c r="A80" s="15">
        <v>45942</v>
      </c>
    </row>
    <row r="81" spans="1:1" ht="20.100000000000001" customHeight="1" thickBot="1" x14ac:dyDescent="0.35">
      <c r="A81" s="15">
        <v>45943</v>
      </c>
    </row>
    <row r="82" spans="1:1" ht="20.100000000000001" customHeight="1" thickBot="1" x14ac:dyDescent="0.35">
      <c r="A82" s="15">
        <v>45944</v>
      </c>
    </row>
    <row r="83" spans="1:1" ht="20.100000000000001" customHeight="1" thickBot="1" x14ac:dyDescent="0.35">
      <c r="A83" s="15">
        <v>45945</v>
      </c>
    </row>
    <row r="84" spans="1:1" ht="20.100000000000001" customHeight="1" thickBot="1" x14ac:dyDescent="0.35">
      <c r="A84" s="15">
        <v>45946</v>
      </c>
    </row>
    <row r="85" spans="1:1" ht="20.100000000000001" customHeight="1" thickBot="1" x14ac:dyDescent="0.35">
      <c r="A85" s="15">
        <v>45947</v>
      </c>
    </row>
    <row r="86" spans="1:1" ht="20.100000000000001" customHeight="1" thickBot="1" x14ac:dyDescent="0.35">
      <c r="A86" s="15">
        <v>45948</v>
      </c>
    </row>
    <row r="87" spans="1:1" ht="20.100000000000001" customHeight="1" thickBot="1" x14ac:dyDescent="0.35">
      <c r="A87" s="15">
        <v>45949</v>
      </c>
    </row>
    <row r="88" spans="1:1" ht="20.100000000000001" customHeight="1" thickBot="1" x14ac:dyDescent="0.35">
      <c r="A88" s="15">
        <v>45950</v>
      </c>
    </row>
    <row r="89" spans="1:1" ht="20.100000000000001" customHeight="1" thickBot="1" x14ac:dyDescent="0.35">
      <c r="A89" s="15">
        <v>45951</v>
      </c>
    </row>
    <row r="90" spans="1:1" ht="20.100000000000001" customHeight="1" thickBot="1" x14ac:dyDescent="0.35">
      <c r="A90" s="15">
        <v>45952</v>
      </c>
    </row>
    <row r="91" spans="1:1" ht="20.100000000000001" customHeight="1" thickBot="1" x14ac:dyDescent="0.35">
      <c r="A91" s="15">
        <v>45953</v>
      </c>
    </row>
    <row r="92" spans="1:1" ht="20.100000000000001" customHeight="1" thickBot="1" x14ac:dyDescent="0.35">
      <c r="A92" s="15">
        <v>45954</v>
      </c>
    </row>
    <row r="93" spans="1:1" ht="20.100000000000001" customHeight="1" thickBot="1" x14ac:dyDescent="0.35">
      <c r="A93" s="15">
        <v>45955</v>
      </c>
    </row>
    <row r="94" spans="1:1" ht="20.100000000000001" customHeight="1" thickBot="1" x14ac:dyDescent="0.35">
      <c r="A94" s="15">
        <v>45956</v>
      </c>
    </row>
    <row r="95" spans="1:1" ht="20.100000000000001" customHeight="1" thickBot="1" x14ac:dyDescent="0.35">
      <c r="A95" s="15">
        <v>45957</v>
      </c>
    </row>
    <row r="96" spans="1:1" ht="20.100000000000001" customHeight="1" thickBot="1" x14ac:dyDescent="0.35">
      <c r="A96" s="15">
        <v>45958</v>
      </c>
    </row>
    <row r="97" spans="1:9" ht="20.100000000000001" customHeight="1" thickBot="1" x14ac:dyDescent="0.35">
      <c r="A97" s="15">
        <v>45959</v>
      </c>
    </row>
    <row r="98" spans="1:9" ht="20.100000000000001" customHeight="1" thickBot="1" x14ac:dyDescent="0.35">
      <c r="A98" s="15">
        <v>45960</v>
      </c>
    </row>
    <row r="99" spans="1:9" ht="20.100000000000001" customHeight="1" thickBot="1" x14ac:dyDescent="0.35">
      <c r="A99" s="15">
        <v>45961</v>
      </c>
    </row>
    <row r="100" spans="1:9" ht="20.100000000000001" customHeight="1" thickBot="1" x14ac:dyDescent="0.35">
      <c r="A100" s="15">
        <v>45962</v>
      </c>
    </row>
    <row r="101" spans="1:9" ht="20.100000000000001" customHeight="1" thickBot="1" x14ac:dyDescent="0.35">
      <c r="A101" s="15">
        <v>45963</v>
      </c>
    </row>
    <row r="102" spans="1:9" ht="20.100000000000001" customHeight="1" thickBot="1" x14ac:dyDescent="0.35">
      <c r="A102" s="15">
        <v>45964</v>
      </c>
    </row>
    <row r="103" spans="1:9" ht="20.100000000000001" customHeight="1" thickBot="1" x14ac:dyDescent="0.35">
      <c r="A103" s="15">
        <v>45965</v>
      </c>
    </row>
    <row r="104" spans="1:9" ht="20.100000000000001" customHeight="1" thickBot="1" x14ac:dyDescent="0.35">
      <c r="A104" s="15">
        <v>45966</v>
      </c>
    </row>
    <row r="105" spans="1:9" ht="20.100000000000001" customHeight="1" thickBot="1" x14ac:dyDescent="0.35">
      <c r="A105" s="15">
        <v>45967</v>
      </c>
    </row>
    <row r="106" spans="1:9" ht="20.100000000000001" customHeight="1" thickBot="1" x14ac:dyDescent="0.35">
      <c r="A106" s="15">
        <v>45968</v>
      </c>
    </row>
    <row r="107" spans="1:9" ht="20.100000000000001" customHeight="1" x14ac:dyDescent="0.3">
      <c r="A107" s="16"/>
    </row>
    <row r="108" spans="1:9" ht="20.100000000000001" customHeight="1" x14ac:dyDescent="0.3">
      <c r="A108" s="16"/>
    </row>
    <row r="109" spans="1:9" s="19" customFormat="1" ht="20.100000000000001" customHeight="1" x14ac:dyDescent="0.3">
      <c r="A109" s="17"/>
      <c r="B109" s="18"/>
      <c r="C109" s="18"/>
      <c r="D109" s="18"/>
      <c r="E109" s="18"/>
      <c r="F109" s="18"/>
      <c r="G109" s="18"/>
      <c r="H109" s="18"/>
      <c r="I109" s="18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175</v>
      </c>
    </row>
    <row r="213" spans="1:1" ht="20.100000000000001" customHeight="1" x14ac:dyDescent="0.3">
      <c r="A213" s="22" t="s">
        <v>102</v>
      </c>
    </row>
    <row r="214" spans="1:1" ht="20.100000000000001" customHeight="1" x14ac:dyDescent="0.3">
      <c r="A214" s="22" t="s">
        <v>103</v>
      </c>
    </row>
    <row r="215" spans="1:1" ht="20.100000000000001" customHeight="1" x14ac:dyDescent="0.3">
      <c r="A215" s="22" t="s">
        <v>104</v>
      </c>
    </row>
    <row r="216" spans="1:1" ht="20.100000000000001" customHeight="1" x14ac:dyDescent="0.3">
      <c r="A216" s="22" t="s">
        <v>105</v>
      </c>
    </row>
    <row r="217" spans="1:1" ht="20.100000000000001" customHeight="1" x14ac:dyDescent="0.3">
      <c r="A217" s="22" t="s">
        <v>106</v>
      </c>
    </row>
    <row r="218" spans="1:1" ht="20.100000000000001" customHeight="1" x14ac:dyDescent="0.3">
      <c r="A218" s="22" t="s">
        <v>107</v>
      </c>
    </row>
    <row r="219" spans="1:1" ht="20.100000000000001" customHeight="1" x14ac:dyDescent="0.3">
      <c r="A219" s="22" t="s">
        <v>108</v>
      </c>
    </row>
    <row r="220" spans="1:1" ht="20.100000000000001" customHeight="1" x14ac:dyDescent="0.3">
      <c r="A220" s="22" t="s">
        <v>109</v>
      </c>
    </row>
    <row r="221" spans="1:1" ht="20.100000000000001" customHeight="1" x14ac:dyDescent="0.3">
      <c r="A221" s="22" t="s">
        <v>110</v>
      </c>
    </row>
    <row r="222" spans="1:1" ht="20.100000000000001" customHeight="1" x14ac:dyDescent="0.3">
      <c r="A222" s="22" t="s">
        <v>111</v>
      </c>
    </row>
    <row r="223" spans="1:1" ht="20.100000000000001" customHeight="1" x14ac:dyDescent="0.3">
      <c r="A223" s="22" t="s">
        <v>112</v>
      </c>
    </row>
    <row r="224" spans="1:1" ht="20.100000000000001" customHeight="1" x14ac:dyDescent="0.3">
      <c r="A224" s="22" t="s">
        <v>176</v>
      </c>
    </row>
    <row r="225" spans="1:1" ht="20.100000000000001" customHeight="1" x14ac:dyDescent="0.3">
      <c r="A225" s="22" t="s">
        <v>113</v>
      </c>
    </row>
    <row r="226" spans="1:1" ht="20.100000000000001" customHeight="1" x14ac:dyDescent="0.3">
      <c r="A226" s="22" t="s">
        <v>114</v>
      </c>
    </row>
    <row r="227" spans="1:1" ht="20.100000000000001" customHeight="1" x14ac:dyDescent="0.3">
      <c r="A227" s="22" t="s">
        <v>115</v>
      </c>
    </row>
    <row r="228" spans="1:1" ht="20.100000000000001" customHeight="1" x14ac:dyDescent="0.3">
      <c r="A228" s="22" t="s">
        <v>116</v>
      </c>
    </row>
    <row r="229" spans="1:1" ht="20.100000000000001" customHeight="1" x14ac:dyDescent="0.3">
      <c r="A229" s="22" t="s">
        <v>117</v>
      </c>
    </row>
    <row r="230" spans="1:1" ht="20.100000000000001" customHeight="1" x14ac:dyDescent="0.3">
      <c r="A230" s="22" t="s">
        <v>118</v>
      </c>
    </row>
    <row r="231" spans="1:1" ht="20.100000000000001" customHeight="1" x14ac:dyDescent="0.3">
      <c r="A231" s="22" t="s">
        <v>119</v>
      </c>
    </row>
    <row r="232" spans="1:1" ht="20.100000000000001" customHeight="1" x14ac:dyDescent="0.3">
      <c r="A232" s="22" t="s">
        <v>120</v>
      </c>
    </row>
    <row r="233" spans="1:1" ht="20.100000000000001" customHeight="1" x14ac:dyDescent="0.3">
      <c r="A233" s="22" t="s">
        <v>121</v>
      </c>
    </row>
    <row r="234" spans="1:1" ht="20.100000000000001" customHeight="1" x14ac:dyDescent="0.3">
      <c r="A234" s="22" t="s">
        <v>122</v>
      </c>
    </row>
    <row r="235" spans="1:1" ht="20.100000000000001" customHeight="1" x14ac:dyDescent="0.3">
      <c r="A235" s="22" t="s">
        <v>123</v>
      </c>
    </row>
    <row r="236" spans="1:1" ht="20.100000000000001" customHeight="1" x14ac:dyDescent="0.3">
      <c r="A236" s="24" t="s">
        <v>124</v>
      </c>
    </row>
    <row r="237" spans="1:1" ht="20.100000000000001" customHeight="1" x14ac:dyDescent="0.3">
      <c r="A237" s="22" t="s">
        <v>125</v>
      </c>
    </row>
    <row r="238" spans="1:1" ht="20.100000000000001" customHeight="1" x14ac:dyDescent="0.3">
      <c r="A238" s="22" t="s">
        <v>126</v>
      </c>
    </row>
    <row r="239" spans="1:1" ht="20.100000000000001" customHeight="1" x14ac:dyDescent="0.3">
      <c r="A239" s="22" t="s">
        <v>127</v>
      </c>
    </row>
    <row r="240" spans="1:1" ht="20.100000000000001" customHeight="1" x14ac:dyDescent="0.3">
      <c r="A240" s="22" t="s">
        <v>128</v>
      </c>
    </row>
    <row r="241" spans="1:1" ht="20.100000000000001" customHeight="1" x14ac:dyDescent="0.3">
      <c r="A241" s="22" t="s">
        <v>129</v>
      </c>
    </row>
    <row r="242" spans="1:1" ht="20.100000000000001" customHeight="1" x14ac:dyDescent="0.3">
      <c r="A242" s="22" t="s">
        <v>130</v>
      </c>
    </row>
    <row r="243" spans="1:1" ht="20.100000000000001" customHeight="1" x14ac:dyDescent="0.3">
      <c r="A243" s="22" t="s">
        <v>131</v>
      </c>
    </row>
    <row r="244" spans="1:1" ht="20.100000000000001" customHeight="1" x14ac:dyDescent="0.3">
      <c r="A244" s="22" t="s">
        <v>132</v>
      </c>
    </row>
    <row r="245" spans="1:1" ht="20.100000000000001" customHeight="1" x14ac:dyDescent="0.3">
      <c r="A245" s="22" t="s">
        <v>133</v>
      </c>
    </row>
    <row r="246" spans="1:1" ht="20.100000000000001" customHeight="1" x14ac:dyDescent="0.3">
      <c r="A246" s="22" t="s">
        <v>134</v>
      </c>
    </row>
    <row r="247" spans="1:1" ht="20.100000000000001" customHeight="1" x14ac:dyDescent="0.3">
      <c r="A247" s="22" t="s">
        <v>135</v>
      </c>
    </row>
    <row r="248" spans="1:1" ht="20.100000000000001" customHeight="1" x14ac:dyDescent="0.3">
      <c r="A248" s="22" t="s">
        <v>126</v>
      </c>
    </row>
    <row r="249" spans="1:1" ht="20.100000000000001" customHeight="1" x14ac:dyDescent="0.3">
      <c r="A249" s="22" t="s">
        <v>136</v>
      </c>
    </row>
    <row r="250" spans="1:1" ht="20.100000000000001" customHeight="1" x14ac:dyDescent="0.3">
      <c r="A250" s="22" t="s">
        <v>137</v>
      </c>
    </row>
    <row r="251" spans="1:1" ht="20.100000000000001" customHeight="1" x14ac:dyDescent="0.3">
      <c r="A251" s="24" t="s">
        <v>138</v>
      </c>
    </row>
    <row r="252" spans="1:1" ht="20.100000000000001" customHeight="1" x14ac:dyDescent="0.3">
      <c r="A252" s="25" t="s">
        <v>139</v>
      </c>
    </row>
    <row r="253" spans="1:1" ht="20.100000000000001" customHeight="1" x14ac:dyDescent="0.3">
      <c r="A253" s="22" t="s">
        <v>140</v>
      </c>
    </row>
    <row r="254" spans="1:1" ht="20.100000000000001" customHeight="1" x14ac:dyDescent="0.3">
      <c r="A254" s="22" t="s">
        <v>141</v>
      </c>
    </row>
    <row r="255" spans="1:1" ht="20.100000000000001" customHeight="1" x14ac:dyDescent="0.3">
      <c r="A255" s="26" t="s">
        <v>142</v>
      </c>
    </row>
    <row r="256" spans="1:1" ht="20.100000000000001" customHeight="1" x14ac:dyDescent="0.3">
      <c r="A256" s="26" t="s">
        <v>143</v>
      </c>
    </row>
    <row r="257" spans="1:1" ht="20.100000000000001" customHeight="1" x14ac:dyDescent="0.3">
      <c r="A257" s="27" t="s">
        <v>144</v>
      </c>
    </row>
    <row r="258" spans="1:1" ht="20.100000000000001" customHeight="1" x14ac:dyDescent="0.3">
      <c r="A258" s="22" t="s">
        <v>145</v>
      </c>
    </row>
    <row r="259" spans="1:1" ht="20.100000000000001" customHeight="1" x14ac:dyDescent="0.3">
      <c r="A259" s="27" t="s">
        <v>146</v>
      </c>
    </row>
    <row r="260" spans="1:1" ht="20.100000000000001" customHeight="1" x14ac:dyDescent="0.3">
      <c r="A260" s="22" t="s">
        <v>147</v>
      </c>
    </row>
    <row r="261" spans="1:1" ht="20.100000000000001" customHeight="1" x14ac:dyDescent="0.3">
      <c r="A261" s="27" t="s">
        <v>148</v>
      </c>
    </row>
    <row r="262" spans="1:1" ht="20.100000000000001" customHeight="1" x14ac:dyDescent="0.3">
      <c r="A262" s="22" t="s">
        <v>149</v>
      </c>
    </row>
    <row r="263" spans="1:1" ht="20.100000000000001" customHeight="1" x14ac:dyDescent="0.3">
      <c r="A263" s="22" t="s">
        <v>150</v>
      </c>
    </row>
    <row r="264" spans="1:1" ht="20.100000000000001" customHeight="1" x14ac:dyDescent="0.3">
      <c r="A264" s="27" t="s">
        <v>151</v>
      </c>
    </row>
    <row r="265" spans="1:1" ht="20.100000000000001" customHeight="1" x14ac:dyDescent="0.3">
      <c r="A265" s="27" t="s">
        <v>152</v>
      </c>
    </row>
    <row r="266" spans="1:1" ht="20.100000000000001" customHeight="1" x14ac:dyDescent="0.3">
      <c r="A266" s="27" t="s">
        <v>153</v>
      </c>
    </row>
    <row r="267" spans="1:1" ht="20.100000000000001" customHeight="1" x14ac:dyDescent="0.3">
      <c r="A267" s="22" t="s">
        <v>154</v>
      </c>
    </row>
    <row r="268" spans="1:1" ht="20.100000000000001" customHeight="1" x14ac:dyDescent="0.3">
      <c r="A268" s="22" t="s">
        <v>155</v>
      </c>
    </row>
    <row r="269" spans="1:1" ht="20.100000000000001" customHeight="1" x14ac:dyDescent="0.3">
      <c r="A269" s="22" t="s">
        <v>156</v>
      </c>
    </row>
    <row r="270" spans="1:1" ht="20.100000000000001" customHeight="1" x14ac:dyDescent="0.3">
      <c r="A270" s="22" t="s">
        <v>157</v>
      </c>
    </row>
    <row r="271" spans="1:1" ht="20.100000000000001" customHeight="1" x14ac:dyDescent="0.3">
      <c r="A271" s="27" t="s">
        <v>158</v>
      </c>
    </row>
    <row r="272" spans="1:1" ht="20.100000000000001" customHeight="1" x14ac:dyDescent="0.3">
      <c r="A272" s="27" t="s">
        <v>159</v>
      </c>
    </row>
    <row r="273" spans="1:1" ht="20.100000000000001" customHeight="1" x14ac:dyDescent="0.3">
      <c r="A273" s="22" t="s">
        <v>160</v>
      </c>
    </row>
    <row r="274" spans="1:1" ht="20.100000000000001" customHeight="1" x14ac:dyDescent="0.3">
      <c r="A274" s="27" t="s">
        <v>161</v>
      </c>
    </row>
    <row r="275" spans="1:1" ht="20.100000000000001" customHeight="1" x14ac:dyDescent="0.3">
      <c r="A275" s="27" t="s">
        <v>162</v>
      </c>
    </row>
    <row r="276" spans="1:1" ht="20.100000000000001" customHeight="1" x14ac:dyDescent="0.3">
      <c r="A276" s="22" t="s">
        <v>163</v>
      </c>
    </row>
    <row r="277" spans="1:1" ht="20.100000000000001" customHeight="1" x14ac:dyDescent="0.3">
      <c r="A277" s="22" t="s">
        <v>164</v>
      </c>
    </row>
    <row r="278" spans="1:1" ht="20.100000000000001" customHeight="1" x14ac:dyDescent="0.3">
      <c r="A278" s="27" t="s">
        <v>165</v>
      </c>
    </row>
    <row r="279" spans="1:1" ht="20.100000000000001" customHeight="1" x14ac:dyDescent="0.3">
      <c r="A279" s="22" t="s">
        <v>166</v>
      </c>
    </row>
    <row r="280" spans="1:1" ht="20.100000000000001" customHeight="1" x14ac:dyDescent="0.3">
      <c r="A280" s="22" t="s">
        <v>167</v>
      </c>
    </row>
    <row r="281" spans="1:1" ht="20.100000000000001" customHeight="1" x14ac:dyDescent="0.3">
      <c r="A281" s="22" t="s">
        <v>168</v>
      </c>
    </row>
    <row r="282" spans="1:1" ht="20.100000000000001" customHeight="1" x14ac:dyDescent="0.3">
      <c r="A282" s="22" t="s">
        <v>169</v>
      </c>
    </row>
    <row r="283" spans="1:1" ht="20.100000000000001" customHeight="1" x14ac:dyDescent="0.3">
      <c r="A283" s="27" t="s">
        <v>170</v>
      </c>
    </row>
    <row r="284" spans="1:1" ht="20.100000000000001" customHeight="1" x14ac:dyDescent="0.3">
      <c r="A284" s="27" t="s">
        <v>171</v>
      </c>
    </row>
    <row r="285" spans="1:1" ht="20.100000000000001" customHeight="1" x14ac:dyDescent="0.3">
      <c r="A285" s="27" t="s">
        <v>172</v>
      </c>
    </row>
    <row r="286" spans="1:1" ht="20.100000000000001" customHeight="1" thickBot="1" x14ac:dyDescent="0.35">
      <c r="A286" s="22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2025-10-09T19:54:44Z</dcterms:modified>
</cp:coreProperties>
</file>