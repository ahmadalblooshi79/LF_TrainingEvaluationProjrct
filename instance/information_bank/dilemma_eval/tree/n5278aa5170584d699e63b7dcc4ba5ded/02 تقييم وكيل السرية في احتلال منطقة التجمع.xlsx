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7EF36C61-A6C5-45E6-A08B-A52553D4F757}"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<sst xmlns="http://schemas.openxmlformats.org/spreadsheetml/2006/main" count="265" uniqueCount="210">
  <si>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</si>
  <si>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</si>
  <si>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</si>
  <si>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</si>
  <si>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</si>
  <si>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</si>
  <si>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</si>
  <si>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</si>
  <si>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</si>
  <si>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</si>
  <si>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</si>
  <si>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</si>
  <si>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</si>
  <si>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</si>
  <si>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</si>
  <si>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</si>
  <si>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</si>
  <si>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</si>
  <si>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</si>
  <si>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</si>
  <si>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</si>
  <si>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</si>
  <si>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</si>
  <si>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</si>
  <si>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</si>
  <si>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</si>
  <si>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</si>
  <si>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</si>
  <si>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</si>
  <si>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</si>
  <si>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</si>
  <si>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</si>
  <si>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</si>
  <si>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</si>
  <si>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</si>
  <si>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</si>
  <si>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</si>
  <si>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</si>
  <si>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</si>
  <si>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</si>
  <si>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</si>
  <si>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</si>
  <si>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</si>
  <si>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</si>
  <si>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</si>
  <si>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</si>
  <si>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</si>
  <si>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</si>
  <si>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</si>
  <si>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</si>
  <si>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</si>
  <si>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</si>
  <si>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</si>
  <si>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</si>
  <si>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</si>
  <si>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</si>
  <si>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</si>
  <si>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</si>
  <si>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</si>
  <si>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</si>
  <si>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</si>
  <si>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</si>
  <si>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</si>
  <si>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</si>
  <si>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</si>
  <si>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</si>
  <si>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</si>
  <si>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</si>
  <si>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</si>
  <si>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</si>
  <si>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</si>
  <si>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</si>
  <si>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</si>
  <si>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</si>
  <si>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</si>
  <si>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</si>
  <si>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</si>
  <si>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</si>
  <si>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</si>
  <si>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</si>
  <si>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</si>
  <si>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</si>
  <si>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</si>
  <si>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</si>
  <si>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</si>
  <si>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</si>
  <si>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</si>
  <si>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</si>
  <si>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</si>
  <si>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</si>
  <si>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</si>
  <si>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</si>
  <si>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</si>
  <si>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</si>
  <si>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</si>
  <si>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</si>
  <si>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</si>
  <si>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</si>
  <si>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</si>
  <si>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</si>
  <si>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</si>
  <si>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</si>
  <si>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</si>
  <si>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</si>
  <si>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</si>
  <si>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</si>
  <si>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</si>
  <si>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</si>
  <si>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</si>
  <si>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</si>
  <si>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</si>
  <si>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</si>
  <si>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</si>
  <si>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</si>
  <si>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</si>
  <si>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</si>
  <si>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</si>
  <si>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</si>
  <si>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</si>
  <si>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</si>
  <si>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</si>
  <si>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</si>
  <si>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</si>
  <si>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</si>
  <si>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</si>
  <si>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</si>
  <si>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</si>
  <si>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</si>
  <si>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</si>
  <si>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</si>
  <si>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</si>
  <si>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</si>
  <si>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</si>
  <si>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</si>
  <si>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</si>
  <si>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</si>
  <si>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</si>
  <si>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</si>
  <si>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</si>
  <si>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</si>
  <si>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</si>
  <si>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</si>
  <si>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</si>
  <si>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</si>
  <si>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</si>
  <si>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</si>
  <si>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</si>
  <si>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</si>
  <si>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</si>
  <si>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</si>
  <si>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</si>
  <si>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</si>
  <si>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</si>
  <si>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</si>
  <si>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</si>
  <si>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</si>
  <si>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</si>
  <si>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</si>
  <si>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</si>
  <si>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</si>
  <si>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</si>
  <si>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</si>
  <si>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</si>
  <si>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</si>
  <si>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</si>
  <si>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</si>
  <si>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</si>
  <si>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</si>
  <si>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</si>
  <si>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</si>
  <si>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</si>
  <si>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</si>
  <si>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</si>
  <si>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</si>
  <si>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</si>
  <si>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</si>
  <si>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</si>
  <si>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</si>
  <si>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</si>
  <si>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</si>
  <si>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</si>
  <si>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</si>
  <si>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</si>
  <si>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</si>
  <si>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</si>
  <si>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</si>
  <si>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</si>
  <si>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</si>
  <si>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</si>
  <si>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</si>
  <si>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</si>
  <si>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</si>
  <si>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</si>
  <si>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</si>
  <si>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</si>
  <si>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</si>
  <si>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</si>
  <si>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</si>
  <si>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</si>
  <si>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</si>
  <si>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</si>
  <si>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</si>
  <si>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</si>
  <si>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</si>
  <si>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</si>
  <si>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</si>
  <si>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</si>
  <si>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</si>
  <si>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</si>
  <si>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 عبيد سالمين الزعابي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</si>
</sst>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232545</xdr:colOff>
      <xdr:row>39</xdr:row>
      <xdr:rowOff>3927</xdr:rowOff>
    </xdr:from>
    <xdr:to>
      <xdr:col>9</xdr:col>
      <xdr:colOff>172031</xdr:colOff>
      <xdr:row>39</xdr:row>
      <xdr:rowOff>411087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DE55159-1EB2-A718-5A5A-30BD21F820FA}"/>
                </a:ext>
              </a:extLst>
            </xdr14:cNvPr>
            <xdr14:cNvContentPartPr/>
          </xdr14:nvContentPartPr>
          <xdr14:nvPr macro=""/>
          <xdr14:xfrm>
            <a:off x="10398414787" y="16837200"/>
            <a:ext cx="1913760" cy="407160"/>
          </xdr14:xfrm>
        </xdr:contentPart>
      </mc:Choice>
      <mc:Fallback xmlns="">
        <xdr:pic>
          <xdr:nvPicPr>
            <xdr:cNvPr id="2" name="Ink 1">
              <a:extLst>
                <a:ext uri="{FF2B5EF4-FFF2-40B4-BE49-F238E27FC236}">
                  <a16:creationId xmlns:a16="http://schemas.microsoft.com/office/drawing/2014/main" id="{8DE55159-1EB2-A718-5A5A-30BD21F820FA}"/>
                </a:ext>
              </a:extLst>
            </xdr:cNvPr>
            <xdr:cNvPicPr/>
          </xdr:nvPicPr>
          <xdr:blipFill>
            <a:blip xmlns:r="http://schemas.openxmlformats.org/officeDocument/2006/relationships" r:embed="rId2"/>
            <a:stretch>
              <a:fillRect/>
            </a:stretch>
          </xdr:blipFill>
          <xdr:spPr>
            <a:xfrm>
              <a:off x="10398408667" y="16831080"/>
              <a:ext cx="1926000" cy="4194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9:39.080"/>
    </inkml:context>
    <inkml:brush xml:id="br0">
      <inkml:brushProperty name="width" value="0.035" units="cm"/>
      <inkml:brushProperty name="height" value="0.035" units="cm"/>
    </inkml:brush>
  </inkml:definitions>
  <inkml:trace contextRef="#ctx0" brushRef="#br0">4713 716 2976,'0'0'0,"0"-3"2001,0 3-2001,3-4 504,0-9-392,0 13-72,1 0-16,-4 0-24,4 0-24,-1 0 48,0 0-8,-3 0-32,0 0 16,0 1 40,0 3 0,-4 2-40,-8 6 40,12-12-40,-13 4 0,-1 10 16,-3-10 8,-3 10-40,20-14 16,-22 12 56,-4-6 8,-3 9-8,-3-9 8,32-6-64,-34 14 32,-3-10-48,-1 8 16,-1-8 40,39-4-40,-36 3 24,1-2 128,5-1 8,5-3 56,25 3-216,-21-12 272,6 0-80,10-3 8,-1-5-16,6 20-184,0-24 40,3-2-24,17-1-40,1-3-8,-21 30 32,28-30-24,2 0-8,5-2 8,7 0 16,-42 32 8,44-29-48,4-1 32,4 1-72,3 1-88,-55 28 176,54-27-88,4 0 32,-5 4 32,-2 2 32,-51 21-8,49-19 56,-3 4-8,-2 3 96,-3 8 80,-41 4-224,36-4 192,-5 1-8,-6 3-24,-5 0-32,-20 0-128,16 4 64,-3 12-16,-3-1 0,-7 5-8,-3-20-40,3 23 88,-3 4 16,0 2-56,-5-1-40,5-28-8,-14 28 40,-2 2 16,-3-1 16,-6-1-8,25-28-64,-31 29 96,-3-4-32,-8 1 80,-6-5 48,48-21-192,-49 19 169,-5-4 7,-1-2-16,-1-9-8,56-4-152,-58 6 96,2-3-16,6-3-24,2 0 0,48 0-56,-41-13 80,6-1-8,3-2 24,6-2-24,26 18-72,-19-23 80,8 0 8,8 0-16,1-1-56,2 24-16,3-25-24,12 0-56,2-2 16,10 0-8,-27 27 72,32-28-32,5 0 56,7-1 16,6 1 40,-50 28-80,54-23 112,2 3 32,1 6-8,-3 10 40,-54 4-176,49-5 176,-2 5 8,-4 2-72,-7 12-32,-36-14-80,30 14 0,-9 3 16,-17 7 72,-4 3 40,0-27-128,-23 30 200,-22 2 24,-25 0-8,-32 4-64,102-36-152,-131 34 120,-28 4-96,-30-1 0,-21-1-8,210-36-16,-231 38 0,-22 1 24,-9-4-80,-9 1 8,271-36 48,-278 34-40,7 0 0,1-6 40,6 1 0,264-29 0,-256 25-16,8-5 40,13-6-24,16-2 16,219-12-16,-198 0-16,21 0 48,27-17 8,19-7 8,131 24-48,-108-35 88,18-4-32,21-7 40,20-5 48,49 51-144,-30-55 184,16-7 104,16 1 9,26-1 7,-28 62-304,41-68 312,20-2 64,17-3 88,10 2 144,-88 71-608,102-65 632,5 7 16,8 9-96,3 11-112,-118 38-440,118-27 337,-6 13-289,-11 14 48,-14 5-80,-87-5-16,73 27 0,-14 3 120,-9 11-120,-10 9 24,-40-50-24,33 57 48,-5 7-8,-2 3-56,2 2 32,-28-69-16,30 67-24,4-7-16,9-5-64,9-6-128,-52-49 232,62 42-425,10-10-167,14-10-40,11-16-8,-97-6 640,112 3-528,14-7 160,11-26 64,11-3 128,-148 33 176,157-41-72,3-5 40,1-5 80,-2-3 8,-159 54-56,157-58 128,-9-3 112,-11 1 160,-16 3 104,-121 57-504,98-48 592,-25 12-104,-25 11 64,-24 12-128,-24 13-424,3 0 288,-5 1-143,-24 19-89,-17 7 0,43-27-56,-62 43 24,-18 12 80,-7 7-104,-1 4 24,88-66-24,-84 64 24,7 2-24,13 1-104,10 4 64,54-71 40,-41 74-160,15 1-537,14 4-927,12 0-1449,0-79 3073,0 71-3704,22 10-3130,-22-81 6834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zoomScale="130" zoomScaleNormal="100" zoomScaleSheetLayoutView="130" workbookViewId="0">
      <selection activeCell="C4" sqref="C4:D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180</v>
      </c>
      <c r="C1" s="61"/>
      <c r="D1" s="61"/>
      <c r="E1" s="61"/>
      <c r="F1" s="61"/>
      <c r="G1" s="61"/>
      <c r="H1" s="61"/>
      <c r="I1" s="61"/>
      <c r="J1" s="61"/>
    </row>
    <row r="2" spans="1:10" ht="30" customHeight="1" x14ac:dyDescent="0.3">
      <c r="B2" s="13" t="s">
        <v>178</v>
      </c>
      <c r="C2" s="67" t="s">
        <v>33</v>
      </c>
      <c r="D2" s="67"/>
      <c r="E2" s="13" t="s">
        <v>7</v>
      </c>
      <c r="F2" s="62">
        <v>45944</v>
      </c>
      <c r="G2" s="62"/>
      <c r="H2" s="62"/>
      <c r="I2" s="62"/>
      <c r="J2" s="62"/>
    </row>
    <row r="3" spans="1:10" ht="30" customHeight="1" x14ac:dyDescent="0.3">
      <c r="B3" s="13" t="s">
        <v>179</v>
      </c>
      <c r="C3" s="67"/>
      <c r="D3" s="67"/>
      <c r="E3" s="13" t="s">
        <v>6</v>
      </c>
      <c r="F3" s="67" t="s">
        <v>163</v>
      </c>
      <c r="G3" s="67"/>
      <c r="H3" s="67"/>
      <c r="I3" s="67"/>
      <c r="J3" s="67"/>
    </row>
    <row r="4" spans="1:10" ht="30" customHeight="1" thickBot="1" x14ac:dyDescent="0.35">
      <c r="B4" s="6"/>
      <c r="C4" s="88" t="s">
        <v>209</v>
      </c>
      <c r="D4" s="88"/>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21</v>
      </c>
      <c r="H6" s="12" t="s">
        <v>22</v>
      </c>
      <c r="I6" s="74"/>
      <c r="J6" s="75"/>
    </row>
    <row r="7" spans="1:10" ht="24.9" customHeight="1" thickBot="1" x14ac:dyDescent="0.35">
      <c r="A7" s="11"/>
      <c r="B7" s="70" t="s">
        <v>19</v>
      </c>
      <c r="C7" s="71"/>
      <c r="D7" s="71"/>
      <c r="E7" s="30" t="s">
        <v>16</v>
      </c>
      <c r="F7" s="30" t="s">
        <v>17</v>
      </c>
      <c r="G7" s="30" t="s">
        <v>20</v>
      </c>
      <c r="H7" s="30" t="s">
        <v>18</v>
      </c>
      <c r="I7" s="49" t="s">
        <v>23</v>
      </c>
      <c r="J7" s="50"/>
    </row>
    <row r="8" spans="1:10" ht="30" customHeight="1" x14ac:dyDescent="0.3">
      <c r="A8" s="11"/>
      <c r="B8" s="84" t="s">
        <v>181</v>
      </c>
      <c r="C8" s="85"/>
      <c r="D8" s="85"/>
      <c r="E8" s="33"/>
      <c r="F8" s="34"/>
      <c r="G8" s="35"/>
      <c r="H8" s="36"/>
      <c r="I8" s="53"/>
      <c r="J8" s="54"/>
    </row>
    <row r="9" spans="1:10" ht="30" customHeight="1" x14ac:dyDescent="0.3">
      <c r="A9" s="11"/>
      <c r="B9" s="86" t="s">
        <v>182</v>
      </c>
      <c r="C9" s="87"/>
      <c r="D9" s="87"/>
      <c r="E9" s="9">
        <v>5</v>
      </c>
      <c r="F9" s="27">
        <v>3.75</v>
      </c>
      <c r="G9" s="31">
        <f>IFERROR(F9/E9,"")</f>
        <v>0.75</v>
      </c>
      <c r="H9" s="32" t="str">
        <f>_xlfn.IFS(F9="أدخل العلامة","",F9="لا ينطبق","تم الإلغاء",G9&gt;=90%,"ممتاز",G9&gt;=80%,"جيد جداً",G9&gt;=70%,"جيد",G9&gt;=60%,"مقبول",G9&lt;60%,"راسب")</f>
        <v>جيد</v>
      </c>
      <c r="I9" s="47"/>
      <c r="J9" s="48"/>
    </row>
    <row r="10" spans="1:10" ht="39.9" customHeight="1" x14ac:dyDescent="0.3">
      <c r="A10" s="11"/>
      <c r="B10" s="86" t="s">
        <v>183</v>
      </c>
      <c r="C10" s="87"/>
      <c r="D10" s="87"/>
      <c r="E10" s="9">
        <v>5</v>
      </c>
      <c r="F10" s="27">
        <v>3.5</v>
      </c>
      <c r="G10" s="31">
        <f t="shared" ref="G10:G35" si="0">IFERROR(F10/E10,"")</f>
        <v>0.7</v>
      </c>
      <c r="H10" s="32" t="str">
        <f t="shared" ref="H10:H35" si="1">_xlfn.IFS(F10="أدخل العلامة","",F10="لا ينطبق","تم الإلغاء",G10&gt;=90%,"ممتاز",G10&gt;=80%,"جيد جداً",G10&gt;=70%,"جيد",G10&gt;=60%,"مقبول",G10&lt;60%,"راسب")</f>
        <v>جيد</v>
      </c>
      <c r="I10" s="47"/>
      <c r="J10" s="48"/>
    </row>
    <row r="11" spans="1:10" ht="65.25" customHeight="1" x14ac:dyDescent="0.3">
      <c r="A11" s="11"/>
      <c r="B11" s="86" t="s">
        <v>184</v>
      </c>
      <c r="C11" s="87"/>
      <c r="D11" s="87"/>
      <c r="E11" s="9">
        <v>5</v>
      </c>
      <c r="F11" s="27">
        <v>3.25</v>
      </c>
      <c r="G11" s="31">
        <f t="shared" si="0"/>
        <v>0.65</v>
      </c>
      <c r="H11" s="32" t="str">
        <f t="shared" si="1"/>
        <v>مقبول</v>
      </c>
      <c r="I11" s="47"/>
      <c r="J11" s="48"/>
    </row>
    <row r="12" spans="1:10" ht="39.9" customHeight="1" x14ac:dyDescent="0.3">
      <c r="A12" s="11"/>
      <c r="B12" s="86" t="s">
        <v>185</v>
      </c>
      <c r="C12" s="87"/>
      <c r="D12" s="87"/>
      <c r="E12" s="9">
        <v>5</v>
      </c>
      <c r="F12" s="27">
        <v>3</v>
      </c>
      <c r="G12" s="31">
        <f t="shared" si="0"/>
        <v>0.6</v>
      </c>
      <c r="H12" s="32" t="str">
        <f t="shared" si="1"/>
        <v>مقبول</v>
      </c>
      <c r="I12" s="47"/>
      <c r="J12" s="48"/>
    </row>
    <row r="13" spans="1:10" ht="58.5" customHeight="1" x14ac:dyDescent="0.3">
      <c r="A13" s="11"/>
      <c r="B13" s="86" t="s">
        <v>186</v>
      </c>
      <c r="C13" s="87"/>
      <c r="D13" s="87"/>
      <c r="E13" s="9">
        <v>5</v>
      </c>
      <c r="F13" s="27">
        <v>3</v>
      </c>
      <c r="G13" s="31">
        <f t="shared" si="0"/>
        <v>0.6</v>
      </c>
      <c r="H13" s="32" t="str">
        <f t="shared" si="1"/>
        <v>مقبول</v>
      </c>
      <c r="I13" s="47"/>
      <c r="J13" s="48"/>
    </row>
    <row r="14" spans="1:10" ht="30" customHeight="1" x14ac:dyDescent="0.3">
      <c r="A14" s="11"/>
      <c r="B14" s="86" t="s">
        <v>187</v>
      </c>
      <c r="C14" s="87"/>
      <c r="D14" s="87"/>
      <c r="E14" s="9">
        <v>5</v>
      </c>
      <c r="F14" s="27">
        <v>3.25</v>
      </c>
      <c r="G14" s="31">
        <f t="shared" si="0"/>
        <v>0.65</v>
      </c>
      <c r="H14" s="32" t="str">
        <f t="shared" si="1"/>
        <v>مقبول</v>
      </c>
      <c r="I14" s="47"/>
      <c r="J14" s="48"/>
    </row>
    <row r="15" spans="1:10" ht="30" customHeight="1" x14ac:dyDescent="0.3">
      <c r="A15" s="11"/>
      <c r="B15" s="86" t="s">
        <v>188</v>
      </c>
      <c r="C15" s="87"/>
      <c r="D15" s="87"/>
      <c r="E15" s="9">
        <v>5</v>
      </c>
      <c r="F15" s="27">
        <v>3.25</v>
      </c>
      <c r="G15" s="31">
        <f t="shared" si="0"/>
        <v>0.65</v>
      </c>
      <c r="H15" s="32" t="str">
        <f t="shared" si="1"/>
        <v>مقبول</v>
      </c>
      <c r="I15" s="47"/>
      <c r="J15" s="48"/>
    </row>
    <row r="16" spans="1:10" ht="30" customHeight="1" thickBot="1" x14ac:dyDescent="0.35">
      <c r="A16" s="11"/>
      <c r="B16" s="80" t="s">
        <v>189</v>
      </c>
      <c r="C16" s="81"/>
      <c r="D16" s="81"/>
      <c r="E16" s="37">
        <v>5</v>
      </c>
      <c r="F16" s="29">
        <v>3.5</v>
      </c>
      <c r="G16" s="38">
        <f t="shared" si="0"/>
        <v>0.7</v>
      </c>
      <c r="H16" s="39" t="str">
        <f t="shared" si="1"/>
        <v>جيد</v>
      </c>
      <c r="I16" s="51"/>
      <c r="J16" s="52"/>
    </row>
    <row r="17" spans="1:10" ht="39.9" customHeight="1" thickBot="1" x14ac:dyDescent="0.35">
      <c r="A17" s="11"/>
      <c r="B17" s="82" t="s">
        <v>190</v>
      </c>
      <c r="C17" s="83"/>
      <c r="D17" s="83"/>
      <c r="E17" s="10">
        <v>5</v>
      </c>
      <c r="F17" s="40">
        <v>3.5</v>
      </c>
      <c r="G17" s="41">
        <f t="shared" si="0"/>
        <v>0.7</v>
      </c>
      <c r="H17" s="28" t="str">
        <f t="shared" si="1"/>
        <v>جيد</v>
      </c>
      <c r="I17" s="78"/>
      <c r="J17" s="79"/>
    </row>
    <row r="18" spans="1:10" ht="39.9" customHeight="1" x14ac:dyDescent="0.3">
      <c r="A18" s="11"/>
      <c r="B18" s="84" t="s">
        <v>191</v>
      </c>
      <c r="C18" s="85"/>
      <c r="D18" s="85"/>
      <c r="E18" s="33"/>
      <c r="F18" s="34"/>
      <c r="G18" s="35"/>
      <c r="H18" s="36"/>
      <c r="I18" s="53"/>
      <c r="J18" s="54"/>
    </row>
    <row r="19" spans="1:10" ht="30" customHeight="1" x14ac:dyDescent="0.3">
      <c r="A19" s="11"/>
      <c r="B19" s="86" t="s">
        <v>192</v>
      </c>
      <c r="C19" s="87"/>
      <c r="D19" s="87"/>
      <c r="E19" s="9">
        <v>5</v>
      </c>
      <c r="F19" s="27">
        <v>3.75</v>
      </c>
      <c r="G19" s="31">
        <f t="shared" si="0"/>
        <v>0.75</v>
      </c>
      <c r="H19" s="32" t="str">
        <f t="shared" si="1"/>
        <v>جيد</v>
      </c>
      <c r="I19" s="47"/>
      <c r="J19" s="48"/>
    </row>
    <row r="20" spans="1:10" ht="30" customHeight="1" x14ac:dyDescent="0.3">
      <c r="A20" s="11"/>
      <c r="B20" s="86" t="s">
        <v>193</v>
      </c>
      <c r="C20" s="87"/>
      <c r="D20" s="87"/>
      <c r="E20" s="9">
        <v>5</v>
      </c>
      <c r="F20" s="27">
        <v>3.75</v>
      </c>
      <c r="G20" s="31">
        <f t="shared" si="0"/>
        <v>0.75</v>
      </c>
      <c r="H20" s="32" t="str">
        <f t="shared" si="1"/>
        <v>جيد</v>
      </c>
      <c r="I20" s="47"/>
      <c r="J20" s="48"/>
    </row>
    <row r="21" spans="1:10" ht="30" customHeight="1" x14ac:dyDescent="0.3">
      <c r="A21" s="11"/>
      <c r="B21" s="86" t="s">
        <v>194</v>
      </c>
      <c r="C21" s="87"/>
      <c r="D21" s="87"/>
      <c r="E21" s="9">
        <v>5</v>
      </c>
      <c r="F21" s="27">
        <v>3</v>
      </c>
      <c r="G21" s="31">
        <f t="shared" si="0"/>
        <v>0.6</v>
      </c>
      <c r="H21" s="32" t="str">
        <f t="shared" si="1"/>
        <v>مقبول</v>
      </c>
      <c r="I21" s="47"/>
      <c r="J21" s="48"/>
    </row>
    <row r="22" spans="1:10" ht="39.9" customHeight="1" thickBot="1" x14ac:dyDescent="0.35">
      <c r="A22" s="11"/>
      <c r="B22" s="80" t="s">
        <v>195</v>
      </c>
      <c r="C22" s="81"/>
      <c r="D22" s="81"/>
      <c r="E22" s="37">
        <v>5</v>
      </c>
      <c r="F22" s="29">
        <v>3</v>
      </c>
      <c r="G22" s="38">
        <f t="shared" si="0"/>
        <v>0.6</v>
      </c>
      <c r="H22" s="39" t="str">
        <f t="shared" si="1"/>
        <v>مقبول</v>
      </c>
      <c r="I22" s="51"/>
      <c r="J22" s="52"/>
    </row>
    <row r="23" spans="1:10" ht="39.9" customHeight="1" thickBot="1" x14ac:dyDescent="0.35">
      <c r="A23" s="11"/>
      <c r="B23" s="82" t="s">
        <v>196</v>
      </c>
      <c r="C23" s="83"/>
      <c r="D23" s="83"/>
      <c r="E23" s="10">
        <v>5</v>
      </c>
      <c r="F23" s="40">
        <v>3.5</v>
      </c>
      <c r="G23" s="41">
        <f t="shared" si="0"/>
        <v>0.7</v>
      </c>
      <c r="H23" s="28" t="str">
        <f t="shared" si="1"/>
        <v>جيد</v>
      </c>
      <c r="I23" s="78"/>
      <c r="J23" s="79"/>
    </row>
    <row r="24" spans="1:10" ht="30" customHeight="1" x14ac:dyDescent="0.3">
      <c r="A24" s="11"/>
      <c r="B24" s="84" t="s">
        <v>197</v>
      </c>
      <c r="C24" s="85"/>
      <c r="D24" s="85"/>
      <c r="E24" s="33"/>
      <c r="F24" s="34"/>
      <c r="G24" s="35"/>
      <c r="H24" s="36"/>
      <c r="I24" s="53"/>
      <c r="J24" s="54"/>
    </row>
    <row r="25" spans="1:10" ht="30" customHeight="1" x14ac:dyDescent="0.3">
      <c r="A25" s="11"/>
      <c r="B25" s="86" t="s">
        <v>198</v>
      </c>
      <c r="C25" s="87"/>
      <c r="D25" s="87"/>
      <c r="E25" s="9">
        <v>5</v>
      </c>
      <c r="F25" s="27">
        <v>3.75</v>
      </c>
      <c r="G25" s="31">
        <f t="shared" si="0"/>
        <v>0.75</v>
      </c>
      <c r="H25" s="32" t="str">
        <f t="shared" si="1"/>
        <v>جيد</v>
      </c>
      <c r="I25" s="47"/>
      <c r="J25" s="48"/>
    </row>
    <row r="26" spans="1:10" ht="30" customHeight="1" x14ac:dyDescent="0.3">
      <c r="A26" s="11"/>
      <c r="B26" s="86" t="s">
        <v>199</v>
      </c>
      <c r="C26" s="87"/>
      <c r="D26" s="87"/>
      <c r="E26" s="9">
        <v>5</v>
      </c>
      <c r="F26" s="27">
        <v>3.75</v>
      </c>
      <c r="G26" s="31">
        <f t="shared" si="0"/>
        <v>0.75</v>
      </c>
      <c r="H26" s="32" t="str">
        <f t="shared" si="1"/>
        <v>جيد</v>
      </c>
      <c r="I26" s="47"/>
      <c r="J26" s="48"/>
    </row>
    <row r="27" spans="1:10" ht="39.9" customHeight="1" x14ac:dyDescent="0.3">
      <c r="A27" s="11"/>
      <c r="B27" s="86" t="s">
        <v>200</v>
      </c>
      <c r="C27" s="87"/>
      <c r="D27" s="87"/>
      <c r="E27" s="9">
        <v>5</v>
      </c>
      <c r="F27" s="27">
        <v>3.75</v>
      </c>
      <c r="G27" s="31">
        <f t="shared" si="0"/>
        <v>0.75</v>
      </c>
      <c r="H27" s="32" t="str">
        <f t="shared" si="1"/>
        <v>جيد</v>
      </c>
      <c r="I27" s="47"/>
      <c r="J27" s="48"/>
    </row>
    <row r="28" spans="1:10" ht="30" customHeight="1" x14ac:dyDescent="0.3">
      <c r="A28" s="11"/>
      <c r="B28" s="86" t="s">
        <v>201</v>
      </c>
      <c r="C28" s="87"/>
      <c r="D28" s="87"/>
      <c r="E28" s="9">
        <v>5</v>
      </c>
      <c r="F28" s="27">
        <v>4</v>
      </c>
      <c r="G28" s="31">
        <f t="shared" si="0"/>
        <v>0.8</v>
      </c>
      <c r="H28" s="32" t="str">
        <f t="shared" si="1"/>
        <v>جيد جداً</v>
      </c>
      <c r="I28" s="47"/>
      <c r="J28" s="48"/>
    </row>
    <row r="29" spans="1:10" ht="30" customHeight="1" x14ac:dyDescent="0.3">
      <c r="A29" s="11"/>
      <c r="B29" s="86" t="s">
        <v>202</v>
      </c>
      <c r="C29" s="87"/>
      <c r="D29" s="87"/>
      <c r="E29" s="9">
        <v>5</v>
      </c>
      <c r="F29" s="27">
        <v>3.75</v>
      </c>
      <c r="G29" s="31">
        <f t="shared" si="0"/>
        <v>0.75</v>
      </c>
      <c r="H29" s="32" t="str">
        <f t="shared" si="1"/>
        <v>جيد</v>
      </c>
      <c r="I29" s="47"/>
      <c r="J29" s="48"/>
    </row>
    <row r="30" spans="1:10" ht="30" customHeight="1" x14ac:dyDescent="0.3">
      <c r="A30" s="11"/>
      <c r="B30" s="86" t="s">
        <v>203</v>
      </c>
      <c r="C30" s="87"/>
      <c r="D30" s="87"/>
      <c r="E30" s="9">
        <v>5</v>
      </c>
      <c r="F30" s="27">
        <v>3</v>
      </c>
      <c r="G30" s="31">
        <f t="shared" si="0"/>
        <v>0.6</v>
      </c>
      <c r="H30" s="32" t="str">
        <f t="shared" si="1"/>
        <v>مقبول</v>
      </c>
      <c r="I30" s="47"/>
      <c r="J30" s="48"/>
    </row>
    <row r="31" spans="1:10" ht="30" customHeight="1" x14ac:dyDescent="0.3">
      <c r="A31" s="11"/>
      <c r="B31" s="86" t="s">
        <v>204</v>
      </c>
      <c r="C31" s="87"/>
      <c r="D31" s="87"/>
      <c r="E31" s="9">
        <v>5</v>
      </c>
      <c r="F31" s="27">
        <v>3</v>
      </c>
      <c r="G31" s="31">
        <f t="shared" si="0"/>
        <v>0.6</v>
      </c>
      <c r="H31" s="32" t="str">
        <f t="shared" si="1"/>
        <v>مقبول</v>
      </c>
      <c r="I31" s="47"/>
      <c r="J31" s="48"/>
    </row>
    <row r="32" spans="1:10" ht="39.9" customHeight="1" x14ac:dyDescent="0.3">
      <c r="A32" s="11"/>
      <c r="B32" s="86" t="s">
        <v>205</v>
      </c>
      <c r="C32" s="87"/>
      <c r="D32" s="87"/>
      <c r="E32" s="9">
        <v>5</v>
      </c>
      <c r="F32" s="27">
        <v>3.75</v>
      </c>
      <c r="G32" s="31">
        <f t="shared" si="0"/>
        <v>0.75</v>
      </c>
      <c r="H32" s="32" t="str">
        <f t="shared" si="1"/>
        <v>جيد</v>
      </c>
      <c r="I32" s="47"/>
      <c r="J32" s="48"/>
    </row>
    <row r="33" spans="1:10" ht="30" customHeight="1" x14ac:dyDescent="0.3">
      <c r="A33" s="11"/>
      <c r="B33" s="86" t="s">
        <v>206</v>
      </c>
      <c r="C33" s="87"/>
      <c r="D33" s="87"/>
      <c r="E33" s="9">
        <v>5</v>
      </c>
      <c r="F33" s="27">
        <v>3.75</v>
      </c>
      <c r="G33" s="31">
        <f t="shared" si="0"/>
        <v>0.75</v>
      </c>
      <c r="H33" s="32" t="str">
        <f t="shared" si="1"/>
        <v>جيد</v>
      </c>
      <c r="I33" s="47"/>
      <c r="J33" s="48"/>
    </row>
    <row r="34" spans="1:10" ht="30" customHeight="1" x14ac:dyDescent="0.3">
      <c r="A34" s="11"/>
      <c r="B34" s="86" t="s">
        <v>207</v>
      </c>
      <c r="C34" s="87"/>
      <c r="D34" s="87"/>
      <c r="E34" s="9">
        <v>5</v>
      </c>
      <c r="F34" s="27">
        <v>4</v>
      </c>
      <c r="G34" s="31">
        <f t="shared" si="0"/>
        <v>0.8</v>
      </c>
      <c r="H34" s="32" t="str">
        <f t="shared" si="1"/>
        <v>جيد جداً</v>
      </c>
      <c r="I34" s="47"/>
      <c r="J34" s="48"/>
    </row>
    <row r="35" spans="1:10" ht="30" customHeight="1" thickBot="1" x14ac:dyDescent="0.35">
      <c r="A35" s="11"/>
      <c r="B35" s="80" t="s">
        <v>208</v>
      </c>
      <c r="C35" s="81"/>
      <c r="D35" s="81"/>
      <c r="E35" s="37">
        <v>5</v>
      </c>
      <c r="F35" s="29">
        <v>4.25</v>
      </c>
      <c r="G35" s="38">
        <f t="shared" si="0"/>
        <v>0.85</v>
      </c>
      <c r="H35" s="39" t="str">
        <f t="shared" si="1"/>
        <v>جيد جداً</v>
      </c>
      <c r="I35" s="51"/>
      <c r="J35" s="52"/>
    </row>
    <row r="36" spans="1:10" ht="30" customHeight="1" thickBot="1" x14ac:dyDescent="0.35">
      <c r="A36" s="4"/>
      <c r="B36" s="76" t="s">
        <v>5</v>
      </c>
      <c r="C36" s="77"/>
      <c r="D36" s="77"/>
      <c r="E36" s="10">
        <f>SUM(E8:E35)</f>
        <v>125</v>
      </c>
      <c r="F36" s="10">
        <f>SUM(F8:F35)</f>
        <v>87.75</v>
      </c>
      <c r="G36" s="44"/>
      <c r="H36" s="45"/>
      <c r="I36" s="45"/>
      <c r="J36" s="46"/>
    </row>
    <row r="37" spans="1:10" ht="30" customHeight="1" thickBot="1" x14ac:dyDescent="0.35">
      <c r="A37" s="4"/>
      <c r="B37" s="76" t="s">
        <v>52</v>
      </c>
      <c r="C37" s="77"/>
      <c r="D37" s="77"/>
      <c r="E37" s="68">
        <f>F36/E36/100*100</f>
        <v>0.70199999999999996</v>
      </c>
      <c r="F37" s="68"/>
      <c r="G37" s="68"/>
      <c r="H37" s="68"/>
      <c r="I37" s="68"/>
      <c r="J37" s="69"/>
    </row>
    <row r="38" spans="1:10" ht="30" customHeight="1" thickBot="1" x14ac:dyDescent="0.35">
      <c r="A38" s="4"/>
      <c r="B38" s="76" t="s">
        <v>53</v>
      </c>
      <c r="C38" s="77"/>
      <c r="D38" s="77"/>
      <c r="E38" s="59" t="str">
        <f>_xlfn.IFS(E37&gt;=90%,"ممتاز",E37&gt;=80%,"جيد جداً",E37&gt;=70%,"جيد",E37&gt;=60%,"مقبول",E37&lt;60%,"راسب")</f>
        <v>جيد</v>
      </c>
      <c r="F38" s="59"/>
      <c r="G38" s="59"/>
      <c r="H38" s="59"/>
      <c r="I38" s="59"/>
      <c r="J38" s="60"/>
    </row>
    <row r="39" spans="1:10" ht="42" customHeight="1" x14ac:dyDescent="0.3">
      <c r="B39" s="55" t="s">
        <v>172</v>
      </c>
      <c r="C39" s="55"/>
      <c r="D39" s="55"/>
      <c r="E39" s="42" t="s">
        <v>50</v>
      </c>
      <c r="F39" s="42"/>
      <c r="G39" s="57" t="s">
        <v>57</v>
      </c>
      <c r="H39" s="57"/>
      <c r="I39" s="57"/>
      <c r="J39" s="57"/>
    </row>
    <row r="40" spans="1:10" ht="51" customHeight="1" x14ac:dyDescent="0.3">
      <c r="A40" s="5"/>
      <c r="B40" s="56"/>
      <c r="C40" s="56"/>
      <c r="D40" s="56"/>
      <c r="E40" s="43" t="s">
        <v>51</v>
      </c>
      <c r="F40" s="43"/>
      <c r="G40" s="58"/>
      <c r="H40" s="58"/>
      <c r="I40" s="58"/>
      <c r="J40" s="58"/>
    </row>
  </sheetData>
  <sheetProtection formatCells="0" formatColumns="0" formatRows="0" insertColumns="0" insertRows="0" insertHyperlinks="0" deleteColumns="0" deleteRows="0" selectLockedCells="1" sort="0" autoFilter="0" pivotTables="0"/>
  <mergeCells count="78">
    <mergeCell ref="C4:D4"/>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 ref="B13:D13"/>
    <mergeCell ref="B14:D14"/>
    <mergeCell ref="B15:D15"/>
    <mergeCell ref="B16:D16"/>
    <mergeCell ref="B17:D17"/>
    <mergeCell ref="B8:D8"/>
    <mergeCell ref="B9:D9"/>
    <mergeCell ref="B10:D10"/>
    <mergeCell ref="B11:D11"/>
    <mergeCell ref="B12:D12"/>
    <mergeCell ref="I27:J27"/>
    <mergeCell ref="B22:D22"/>
    <mergeCell ref="B23:D23"/>
    <mergeCell ref="B24:D24"/>
    <mergeCell ref="B25:D25"/>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2025-10-20T04:43:33Z</dcterms:modified>
</cp:coreProperties>
</file>