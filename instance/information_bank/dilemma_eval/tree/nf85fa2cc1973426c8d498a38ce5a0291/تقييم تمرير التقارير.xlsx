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977EC03E-A0FE-4C34-BCCF-7128447A42BF}"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<sst xmlns="http://schemas.openxmlformats.org/spreadsheetml/2006/main" count="258" uniqueCount="202">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</sst>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5" Type="http://schemas.openxmlformats.org/officeDocument/2006/relationships/customXml" Target="../ink/ink3.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577279</xdr:colOff>
      <xdr:row>45</xdr:row>
      <xdr:rowOff>174108</xdr:rowOff>
    </xdr:from>
    <xdr:to>
      <xdr:col>3</xdr:col>
      <xdr:colOff>612199</xdr:colOff>
      <xdr:row>47</xdr:row>
      <xdr:rowOff>8388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F7E1048-DC49-A8FB-B977-35379FB5F50F}"/>
                </a:ext>
              </a:extLst>
            </xdr14:cNvPr>
            <xdr14:cNvContentPartPr/>
          </xdr14:nvContentPartPr>
          <xdr14:nvPr macro=""/>
          <xdr14:xfrm>
            <a:off x="10403256665" y="20644200"/>
            <a:ext cx="34920" cy="215280"/>
          </xdr14:xfrm>
        </xdr:contentPart>
      </mc:Choice>
      <mc:Fallback xmlns="">
        <xdr:pic>
          <xdr:nvPicPr>
            <xdr:cNvPr id="2" name="Ink 1">
              <a:extLst>
                <a:ext uri="{FF2B5EF4-FFF2-40B4-BE49-F238E27FC236}">
                  <a16:creationId xmlns:a16="http://schemas.microsoft.com/office/drawing/2014/main" id="{7F7E1048-DC49-A8FB-B977-35379FB5F50F}"/>
                </a:ext>
              </a:extLst>
            </xdr:cNvPr>
            <xdr:cNvPicPr/>
          </xdr:nvPicPr>
          <xdr:blipFill>
            <a:blip xmlns:r="http://schemas.openxmlformats.org/officeDocument/2006/relationships" r:embed="rId2"/>
            <a:stretch>
              <a:fillRect/>
            </a:stretch>
          </xdr:blipFill>
          <xdr:spPr>
            <a:xfrm>
              <a:off x="10403250545" y="20638080"/>
              <a:ext cx="47160" cy="227520"/>
            </a:xfrm>
            <a:prstGeom prst="rect">
              <a:avLst/>
            </a:prstGeom>
          </xdr:spPr>
        </xdr:pic>
      </mc:Fallback>
    </mc:AlternateContent>
    <xdr:clientData/>
  </xdr:twoCellAnchor>
  <xdr:twoCellAnchor editAs="oneCell">
    <xdr:from>
      <xdr:col>6</xdr:col>
      <xdr:colOff>472425</xdr:colOff>
      <xdr:row>36</xdr:row>
      <xdr:rowOff>151175</xdr:rowOff>
    </xdr:from>
    <xdr:to>
      <xdr:col>7</xdr:col>
      <xdr:colOff>363695</xdr:colOff>
      <xdr:row>36</xdr:row>
      <xdr:rowOff>372215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1AA8B3C-2331-F176-D99C-8EF612A140C2}"/>
                </a:ext>
              </a:extLst>
            </xdr14:cNvPr>
            <xdr14:cNvContentPartPr/>
          </xdr14:nvContentPartPr>
          <xdr14:nvPr macro=""/>
          <xdr14:xfrm>
            <a:off x="10399539305" y="18450720"/>
            <a:ext cx="549360" cy="221040"/>
          </xdr14:xfrm>
        </xdr:contentPart>
      </mc:Choice>
      <mc:Fallback xmlns="">
        <xdr:pic>
          <xdr:nvPicPr>
            <xdr:cNvPr id="3" name="Ink 2">
              <a:extLst>
                <a:ext uri="{FF2B5EF4-FFF2-40B4-BE49-F238E27FC236}">
                  <a16:creationId xmlns:a16="http://schemas.microsoft.com/office/drawing/2014/main" id="{01AA8B3C-2331-F176-D99C-8EF612A140C2}"/>
                </a:ext>
              </a:extLst>
            </xdr:cNvPr>
            <xdr:cNvPicPr/>
          </xdr:nvPicPr>
          <xdr:blipFill>
            <a:blip xmlns:r="http://schemas.openxmlformats.org/officeDocument/2006/relationships" r:embed="rId4"/>
            <a:stretch>
              <a:fillRect/>
            </a:stretch>
          </xdr:blipFill>
          <xdr:spPr>
            <a:xfrm>
              <a:off x="10399533185" y="18444600"/>
              <a:ext cx="561600" cy="233280"/>
            </a:xfrm>
            <a:prstGeom prst="rect">
              <a:avLst/>
            </a:prstGeom>
          </xdr:spPr>
        </xdr:pic>
      </mc:Fallback>
    </mc:AlternateContent>
    <xdr:clientData/>
  </xdr:twoCellAnchor>
  <xdr:twoCellAnchor editAs="oneCell">
    <xdr:from>
      <xdr:col>7</xdr:col>
      <xdr:colOff>345695</xdr:colOff>
      <xdr:row>36</xdr:row>
      <xdr:rowOff>156215</xdr:rowOff>
    </xdr:from>
    <xdr:to>
      <xdr:col>9</xdr:col>
      <xdr:colOff>148754</xdr:colOff>
      <xdr:row>36</xdr:row>
      <xdr:rowOff>448895</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DC9328C5-6D0B-C543-1997-330D33DB98D3}"/>
                </a:ext>
              </a:extLst>
            </xdr14:cNvPr>
            <xdr14:cNvContentPartPr/>
          </xdr14:nvContentPartPr>
          <xdr14:nvPr macro=""/>
          <xdr14:xfrm>
            <a:off x="10398438065" y="18455760"/>
            <a:ext cx="1119240" cy="292680"/>
          </xdr14:xfrm>
        </xdr:contentPart>
      </mc:Choice>
      <mc:Fallback xmlns="">
        <xdr:pic>
          <xdr:nvPicPr>
            <xdr:cNvPr id="4" name="Ink 3">
              <a:extLst>
                <a:ext uri="{FF2B5EF4-FFF2-40B4-BE49-F238E27FC236}">
                  <a16:creationId xmlns:a16="http://schemas.microsoft.com/office/drawing/2014/main" id="{DC9328C5-6D0B-C543-1997-330D33DB98D3}"/>
                </a:ext>
              </a:extLst>
            </xdr:cNvPr>
            <xdr:cNvPicPr/>
          </xdr:nvPicPr>
          <xdr:blipFill>
            <a:blip xmlns:r="http://schemas.openxmlformats.org/officeDocument/2006/relationships" r:embed="rId6"/>
            <a:stretch>
              <a:fillRect/>
            </a:stretch>
          </xdr:blipFill>
          <xdr:spPr>
            <a:xfrm>
              <a:off x="10398431945" y="18449640"/>
              <a:ext cx="1131480" cy="3049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6T17:57:27.263"/>
    </inkml:context>
    <inkml:brush xml:id="br0">
      <inkml:brushProperty name="width" value="0.035" units="cm"/>
      <inkml:brushProperty name="height" value="0.035" units="cm"/>
    </inkml:brush>
  </inkml:definitions>
  <inkml:trace contextRef="#ctx0" brushRef="#br0">1 1,'0'15,"0"-12,14 23,-14 18,0-38,17 47,-17-23,0-26,17 36,-17 4,0-37,14 45,3-7,-14-38,-6 15,3-7,0-12,17 9,-17 17,0-24,0 5,0 5,0-13,0 25,-17 2,15-25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7:57:29.957"/>
    </inkml:context>
    <inkml:brush xml:id="br0">
      <inkml:brushProperty name="width" value="0.035" units="cm"/>
      <inkml:brushProperty name="height" value="0.035" units="cm"/>
    </inkml:brush>
  </inkml:definitions>
  <inkml:trace contextRef="#ctx0" brushRef="#br0">1057 610 5097,'0'0'0,"3"0"3192,-1-3-1799,3 0-353,-5 3-1040,0-3 976,0 3 88,2 0-160,-2 0-31,0 0-873,0 0 800,0 2-104,0-1-64,0 2-136,0-3-496,0 2 432,0-1-72,0 0 64,0-1 9,0 0-433,2 2 536,-2-2 8,0 0 112,0 0 8,0 0-664,2 0 696,-2 0-32,3 0 16,-3 0-119,0 0-561,0 0 432,0 0 24,0 0-120,0 0 48,0 0-1992,0 0 3536,0 0-1544,0 0-80,0 0 128,0 0-3480,2 0 6520,-2 0-3152,0 0 153,0 0-193,0 0-280,0 0-56,0-3 296,0 0-168,-2 0 0,2 3-72,0-3 472,-5 1-400,5-3 8,-2 1-40,2 4-40,0-11 80,-2 8-8,2-1 64,-5-1 0,5 5-136,0-12 48,-2 9-64,-1-9 48,3 8-48,0 4 16,-2-13 16,-3 9 88,0-12-160,3 12 8,2 4 48,-4-17-136,-1 6-168,-9-4 120,9 3 200,5 12-16,-4-16 16,2 2 240,-3 0-72,-7-1 16,12 15-200,0-14 288,-4 1-72,2 1-16,-1-1-200,3 13 0,-4-13 16,-8 2-48,12-1 192,-5 1 8,5 11-168,-9-4 184,9-12-56,-2 5-32,-3 6-56,5 5-40,-10-17-40,10 6 160,-6 7-120,-4-12-32,10 16 32,0-4 32,0-8 16,0 10-48,0-1-16,0 3 16,0-3 32,-4 0-112,4 3 160,0-3 48,0 3-128,0 0 32,2 0-32,0 0 0,-2 0-96,0 0 96,3 0 64,-3 0-16,5 0-128,-3 0 192,-2 0-112,11 0-112,-4 0 144,7 0-64,-2-3 32,-12 3 0,12 0 32,1 0-112,2-3 192,0 1-128,-15 2 16,14-3 120,0 0-24,-2 3-128,-1-3 48,-11 3-16,15-3-104,1 0 120,-4 1-80,1-3 80,-13 5-16,17-3 32,1-1-16,-4 0-16,5-7 0,-19 11 0,13-3-48,7-2 16,-5-7 152,4 7-240,-19 5 120,16-12 88,0 9-88,3-9-8,-5 10 160,-14 2-152,13-12-64,2 9 48,-3-1 64,1-7-168,-13 11 120,12-3-48,-1-1 64,-8-1-112,14 1 224,-17 4-128,3-4 40,9 0-56,-9 1 96,8 0-112,-11 3 32,2-3 48,3 3-16,-5 0-16,2-3-64,-2 3 48,0 0 16,3 0-64,-3 0 112,0 0 48,0 0-112,0 0-112,0 0 32,0 0 16,-5 0-56,5 0 120,-2 0-16,-3 2 64,-6 2-240,6-1 48,5-3 144,-12 4-8,1 2-40,6-1-48,-11 8 32,16-13 64,-17 4-136,2 9 8,-2-1 160,-1-7 0,18-5-32,-21 16 152,0-3-184,0-1 64,-5 1 0,26-13-32,-18 13-120,-3 1 136,0-1-208,0 0 72,21-13 120,-16 11-48,-3 1 32,8-1 128,-4-7-112,15-4 0,-8 14-16,-7-9 32,2 7 0,3-6 24,10-6-40,-14 13-168,3-7 120,-1 8 64,1-8-16,11-6 0,-12 14 16,1-9-32,8 8-184,-13-8 232,16-5-32,-5 11 48,-6-7-160,6 2-8,-11 5-48,16-11 168,-10 3 0,6 1 168,-15 1-136,17-1-48,2-4 16,-12 4 88,10-1-56,-10 0 136,10-2-120,2-1-48,-5 2-120,-7-1-128,11-1 328,-2 0-24,3 0-56,-14 0 152,7 0-176,-9 0-56,11-3 32,5 3 48,-16-3-48,4 1 224,1-1-176,-3-2-144,14 5 144,-12-4 0,1-7-120,-6 8 256,4-8-72,13 11-64,-15-5 64,-3-10 184,4 2-208,2 0 224,12 13-264,-13-16 208,-4 2-304,4-1 256,-4-1-88,17 16-72,-11-16-104,-4 1 120,2-1-208,-1 0 112,14 16 80,-10-14-72,4 1 88,-6 2-16,4 7 16,8 4-16,-8-16 72,3 12-40,-9-8-80,14 10 80,0 2-32,-4-3-32,-1 0 16,0 0 64,0 0-96,5 3 48,-2 0-56,2 0 40,0 0-64,0 0-72,0 0 152,0 0 40,0 3-96,2 3 8,3 7 16,-5-13 32,5 11 0,4 0-16,-5-5 96,11 11 24,-15-17-104,11 13 48,1 0-64,-1-1 176,1 1-40,-12-13-120,12 12-48,-8 0 160,10 1-144,-2-1-104,-12-12 136,11 11-16,-6 0 16,8 1-32,-10-1-64,-3-11 96,7 11-64,3 1 80,-8-6-184,3 8 88,-5-14 80,0 5-104,0 10-160,0-11 216,0 9-8,0-13 56,0 4-16,-5 9 32,5-9-16,-5 7-48,5-11 48,-2 5 16,-13 0-96,12 7-104,-9-9 80,12-3 104,-5 4-240,-6 0 112,-4 0-32,2 1 312,13-5-152,-14 4-248,0-1 144,0 0 168,3-2-264,11-1 200,-12 1 272,0 1-120,-2-2 16,2 0-112,12 0-56,-11 0-88,6 0-64,-4-3 32,9-1 168,0 4-48,-8-5 0,8 1 40,0-7-8,0 11-216,0 0 184,0-12 80,5 10-184,2-3 256,-2-7-128,-5 12-24,5-3 200,6-2 8,-8 1-232,-1 0 232,-2 4-208,5-4-56,-3-1 72,1 3-48,-3-1 80,0 3-48,2-3-48,-2 3 64,0-3 88,0 3-176,0 0 72,-2 0 104,-3 0-120,-11 0-16,6 0-16,10 0 48,-17 0-8,6 1 32,-5 4-80,-3-1 160,19-4-104,-18 4 0,-3 0 64,2 1-64,-4-1 120,23-4-120,-23 4-80,2 1 8,5-1 176,-5 0-240,21-4 136,-16 4 64,-3-1-96,3-1 64,-1-1-168,17-1 136,-13 0-168,1 0-96,1 0-272,-1-4-96,12 4 632,-11-5-953,8-6-303,-11 8-344,9-8-289,5 11 1889,-13-4-2152,10-11-193,-6 11-623,2-13-1089,7 17 4057,-14-11-4969,14-3 328,0 14 4641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7:57:30.776"/>
    </inkml:context>
    <inkml:brush xml:id="br0">
      <inkml:brushProperty name="width" value="0.035" units="cm"/>
      <inkml:brushProperty name="height" value="0.035" units="cm"/>
    </inkml:brush>
  </inkml:definitions>
  <inkml:trace contextRef="#ctx0" brushRef="#br0">1945 404 10802,'0'0'0,"-3"3"4641,2 0-4305,1-3-336,-5 4 88,5 0 56,0 2 56,0 5 96,0-11-296,5 5 392,8 7 24,-1-6 72,2 7 88,-14-13-576,18 4 649,4 8 127,1-10 168,4 4-32,-27-6-912,31 6 952,1-1-15,5 0-57,-2-2-72,-35-3-808,37 1 808,1-1-176,1 0-80,3 0-352,-42 0-200,39-3 504,3 0-183,2-1-17,-2-7 40,-42 11-344,42-3-304,2-11 200,-5 9-240,4-10 288,-43 15 56,37-13 160,-3 1 184,1-2 48,-5 1 0,-30 13-392,28-12 336,-5-3-352,-2 0 248,1-1-208,-22 16-24,15-15 152,5-2 80,-9 1-16,1-1-56,-12 17-160,8-17 136,0 0 112,-6 0-184,-2 0 168,0 17-232,0-19 112,-2 2 136,2-1-120,-11 1-96,11 17-32,-5-18 160,-14 1-256,3 0 160,-3 2-16,19 15-48,-24-16 64,1 3-96,3 0 32,-6 9 208,26 4-208,-28-15 48,1 12 80,-4-2-96,-4 1-64,35 4 32,-35-3-16,3 3 80,-5 2 112,-5 2-143,42-4-33,-44 13 0,-5 0 0,2 2 0,1 4 0,46-19 0,-51 21 0,-2 2 0,-3 1 0,-4 4 0,60-28 0,-66 29 0,-1 2 0,0 0 0,-1-2 0,68-29 0,-68 31 0,6-2 0,2-1-225,-3-2-599,63-26 824,-61 25-304,1-1 120,-1 0 152,3-1 504,58-23-472,-64 20 32,1 1 72,-9-2 56,2 1 0,70-20-160,-72 21 160,-7 2 32,-2 0-480,-5 1 336,86-24-48,-89 23 48,3 1 0,3 1 224,-3-2-304,86-23 32,-86 24-208,0-7-424,0-5-832,9-11-1537,77-1 3001,-39 0-3728,-10 0-7539,0-3 2065,49 3 9202</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zoomScale="130" zoomScaleNormal="100" zoomScaleSheetLayoutView="130" workbookViewId="0">
      <selection activeCell="C2" sqref="C2:D2"/>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71" t="s">
        <v>201</v>
      </c>
      <c r="C1" s="71"/>
      <c r="D1" s="71"/>
      <c r="E1" s="71"/>
      <c r="F1" s="71"/>
      <c r="G1" s="71"/>
      <c r="H1" s="71"/>
      <c r="I1" s="71"/>
      <c r="J1" s="71"/>
    </row>
    <row r="2" spans="1:10" ht="30" customHeight="1" x14ac:dyDescent="0.3">
      <c r="B2" s="13" t="s">
        <v>8</v>
      </c>
      <c r="C2" s="77" t="s">
        <v>47</v>
      </c>
      <c r="D2" s="77"/>
      <c r="E2" s="13" t="s">
        <v>7</v>
      </c>
      <c r="F2" s="72">
        <v>45955</v>
      </c>
      <c r="G2" s="72"/>
      <c r="H2" s="72"/>
      <c r="I2" s="72"/>
      <c r="J2" s="72"/>
    </row>
    <row r="3" spans="1:10" ht="30" customHeight="1" x14ac:dyDescent="0.3">
      <c r="B3" s="13" t="s">
        <v>9</v>
      </c>
      <c r="C3" s="77" t="s">
        <v>87</v>
      </c>
      <c r="D3" s="77"/>
      <c r="E3" s="13" t="s">
        <v>6</v>
      </c>
      <c r="F3" s="77" t="s">
        <v>104</v>
      </c>
      <c r="G3" s="77"/>
      <c r="H3" s="77"/>
      <c r="I3" s="77"/>
      <c r="J3" s="77"/>
    </row>
    <row r="4" spans="1:10" ht="30" customHeight="1" thickBot="1" x14ac:dyDescent="0.35">
      <c r="B4" s="6"/>
      <c r="C4" s="7"/>
      <c r="D4" s="7"/>
      <c r="E4" s="6"/>
      <c r="F4" s="7"/>
      <c r="G4" s="7"/>
      <c r="H4" s="8"/>
      <c r="I4" s="7"/>
      <c r="J4" s="7"/>
    </row>
    <row r="5" spans="1:10" ht="24.9" customHeight="1" x14ac:dyDescent="0.3">
      <c r="A5" s="11"/>
      <c r="B5" s="73" t="s">
        <v>0</v>
      </c>
      <c r="C5" s="74"/>
      <c r="D5" s="74"/>
      <c r="E5" s="82" t="s">
        <v>1</v>
      </c>
      <c r="F5" s="82"/>
      <c r="G5" s="82"/>
      <c r="H5" s="82"/>
      <c r="I5" s="82" t="s">
        <v>2</v>
      </c>
      <c r="J5" s="83"/>
    </row>
    <row r="6" spans="1:10" ht="24.9" customHeight="1" thickBot="1" x14ac:dyDescent="0.35">
      <c r="A6" s="11"/>
      <c r="B6" s="75"/>
      <c r="C6" s="76"/>
      <c r="D6" s="76"/>
      <c r="E6" s="12" t="s">
        <v>3</v>
      </c>
      <c r="F6" s="12" t="s">
        <v>4</v>
      </c>
      <c r="G6" s="12" t="s">
        <v>23</v>
      </c>
      <c r="H6" s="12" t="s">
        <v>24</v>
      </c>
      <c r="I6" s="84"/>
      <c r="J6" s="85"/>
    </row>
    <row r="7" spans="1:10" ht="24.9" customHeight="1" thickBot="1" x14ac:dyDescent="0.35">
      <c r="A7" s="11"/>
      <c r="B7" s="80" t="s">
        <v>21</v>
      </c>
      <c r="C7" s="81"/>
      <c r="D7" s="81"/>
      <c r="E7" s="30" t="s">
        <v>18</v>
      </c>
      <c r="F7" s="30" t="s">
        <v>19</v>
      </c>
      <c r="G7" s="30" t="s">
        <v>22</v>
      </c>
      <c r="H7" s="30" t="s">
        <v>20</v>
      </c>
      <c r="I7" s="93" t="s">
        <v>25</v>
      </c>
      <c r="J7" s="94"/>
    </row>
    <row r="8" spans="1:10" ht="39.9" customHeight="1" thickBot="1" x14ac:dyDescent="0.35">
      <c r="A8" s="11"/>
      <c r="B8" s="49" t="s">
        <v>195</v>
      </c>
      <c r="C8" s="50"/>
      <c r="D8" s="50"/>
      <c r="E8" s="10">
        <v>5</v>
      </c>
      <c r="F8" s="41">
        <v>3.5</v>
      </c>
      <c r="G8" s="42">
        <f>IFERROR(F8/E8,"")</f>
        <v>0.7</v>
      </c>
      <c r="H8" s="28" t="str">
        <f>_xlfn.IFS(F8="أدخل العلامة","",F8="لا ينطبق","تم الإلغاء",G8&gt;=90%,"ممتاز",G8&gt;=80%,"جيد جداً",G8&gt;=70%,"جيد",G8&gt;=60%,"مقبول",G8&lt;60%,"راسب")</f>
        <v>جيد</v>
      </c>
      <c r="I8" s="91"/>
      <c r="J8" s="92"/>
    </row>
    <row r="9" spans="1:10" ht="39.9" customHeight="1" thickBot="1" x14ac:dyDescent="0.35">
      <c r="A9" s="11"/>
      <c r="B9" s="51" t="s">
        <v>196</v>
      </c>
      <c r="C9" s="52"/>
      <c r="D9" s="52"/>
      <c r="E9" s="10">
        <v>5</v>
      </c>
      <c r="F9" s="41">
        <v>3.75</v>
      </c>
      <c r="G9" s="42">
        <f>IFERROR(F9/E9,"")</f>
        <v>0.75</v>
      </c>
      <c r="H9" s="28" t="str">
        <f>_xlfn.IFS(F9="أدخل العلامة","",F9="لا ينطبق","تم الإلغاء",G9&gt;=90%,"ممتاز",G9&gt;=80%,"جيد جداً",G9&gt;=70%,"جيد",G9&gt;=60%,"مقبول",G9&lt;60%,"راسب")</f>
        <v>جيد</v>
      </c>
      <c r="I9" s="91"/>
      <c r="J9" s="92"/>
    </row>
    <row r="10" spans="1:10" ht="39.9" customHeight="1" thickBot="1" x14ac:dyDescent="0.35">
      <c r="A10" s="11"/>
      <c r="B10" s="51" t="s">
        <v>197</v>
      </c>
      <c r="C10" s="52"/>
      <c r="D10" s="5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91"/>
      <c r="J10" s="92"/>
    </row>
    <row r="11" spans="1:10" ht="39.9" customHeight="1" x14ac:dyDescent="0.3">
      <c r="A11" s="11"/>
      <c r="B11" s="47" t="s">
        <v>198</v>
      </c>
      <c r="C11" s="48"/>
      <c r="D11" s="48"/>
      <c r="E11" s="40"/>
      <c r="F11" s="34"/>
      <c r="G11" s="35"/>
      <c r="H11" s="36"/>
      <c r="I11" s="57"/>
      <c r="J11" s="58"/>
    </row>
    <row r="12" spans="1:10" ht="39.9" customHeight="1" x14ac:dyDescent="0.3">
      <c r="A12" s="11"/>
      <c r="B12" s="43" t="s">
        <v>176</v>
      </c>
      <c r="C12" s="44"/>
      <c r="D12" s="44"/>
      <c r="E12" s="9">
        <v>5</v>
      </c>
      <c r="F12" s="27">
        <v>3.75</v>
      </c>
      <c r="G12" s="32">
        <f t="shared" si="0"/>
        <v>0.75</v>
      </c>
      <c r="H12" s="33" t="str">
        <f t="shared" si="1"/>
        <v>جيد</v>
      </c>
      <c r="I12" s="55"/>
      <c r="J12" s="56"/>
    </row>
    <row r="13" spans="1:10" ht="54.9" customHeight="1" x14ac:dyDescent="0.3">
      <c r="A13" s="11"/>
      <c r="B13" s="43" t="s">
        <v>177</v>
      </c>
      <c r="C13" s="44"/>
      <c r="D13" s="44"/>
      <c r="E13" s="9">
        <v>5</v>
      </c>
      <c r="F13" s="27">
        <v>3.5</v>
      </c>
      <c r="G13" s="32">
        <f t="shared" si="0"/>
        <v>0.7</v>
      </c>
      <c r="H13" s="33" t="str">
        <f t="shared" si="1"/>
        <v>جيد</v>
      </c>
      <c r="I13" s="55"/>
      <c r="J13" s="56"/>
    </row>
    <row r="14" spans="1:10" ht="71.25" customHeight="1" x14ac:dyDescent="0.3">
      <c r="A14" s="11"/>
      <c r="B14" s="43" t="s">
        <v>178</v>
      </c>
      <c r="C14" s="44"/>
      <c r="D14" s="44"/>
      <c r="E14" s="9">
        <v>5</v>
      </c>
      <c r="F14" s="27">
        <v>3.75</v>
      </c>
      <c r="G14" s="32">
        <f t="shared" si="0"/>
        <v>0.75</v>
      </c>
      <c r="H14" s="33" t="str">
        <f t="shared" si="1"/>
        <v>جيد</v>
      </c>
      <c r="I14" s="55"/>
      <c r="J14" s="56"/>
    </row>
    <row r="15" spans="1:10" ht="39.9" customHeight="1" x14ac:dyDescent="0.3">
      <c r="A15" s="11"/>
      <c r="B15" s="43" t="s">
        <v>179</v>
      </c>
      <c r="C15" s="44"/>
      <c r="D15" s="44"/>
      <c r="E15" s="9">
        <v>5</v>
      </c>
      <c r="F15" s="27">
        <v>3.75</v>
      </c>
      <c r="G15" s="32">
        <f t="shared" si="0"/>
        <v>0.75</v>
      </c>
      <c r="H15" s="33" t="str">
        <f t="shared" si="1"/>
        <v>جيد</v>
      </c>
      <c r="I15" s="55"/>
      <c r="J15" s="56"/>
    </row>
    <row r="16" spans="1:10" ht="68.25" customHeight="1" x14ac:dyDescent="0.3">
      <c r="A16" s="11"/>
      <c r="B16" s="43" t="s">
        <v>180</v>
      </c>
      <c r="C16" s="44"/>
      <c r="D16" s="44"/>
      <c r="E16" s="9">
        <v>5</v>
      </c>
      <c r="F16" s="27">
        <v>3.75</v>
      </c>
      <c r="G16" s="32">
        <f t="shared" si="0"/>
        <v>0.75</v>
      </c>
      <c r="H16" s="33" t="str">
        <f t="shared" si="1"/>
        <v>جيد</v>
      </c>
      <c r="I16" s="55"/>
      <c r="J16" s="56"/>
    </row>
    <row r="17" spans="1:10" ht="65.099999999999994" customHeight="1" thickBot="1" x14ac:dyDescent="0.35">
      <c r="A17" s="11"/>
      <c r="B17" s="45" t="s">
        <v>181</v>
      </c>
      <c r="C17" s="46"/>
      <c r="D17" s="46"/>
      <c r="E17" s="37">
        <v>5</v>
      </c>
      <c r="F17" s="29">
        <v>3.75</v>
      </c>
      <c r="G17" s="38">
        <f t="shared" si="0"/>
        <v>0.75</v>
      </c>
      <c r="H17" s="39" t="str">
        <f t="shared" si="1"/>
        <v>جيد</v>
      </c>
      <c r="I17" s="53"/>
      <c r="J17" s="54"/>
    </row>
    <row r="18" spans="1:10" ht="39.9" customHeight="1" x14ac:dyDescent="0.3">
      <c r="A18" s="11"/>
      <c r="B18" s="59" t="s">
        <v>199</v>
      </c>
      <c r="C18" s="60"/>
      <c r="D18" s="60"/>
      <c r="E18" s="40"/>
      <c r="F18" s="34"/>
      <c r="G18" s="35"/>
      <c r="H18" s="36"/>
      <c r="I18" s="57"/>
      <c r="J18" s="58"/>
    </row>
    <row r="19" spans="1:10" ht="39.9" customHeight="1" x14ac:dyDescent="0.3">
      <c r="A19" s="11"/>
      <c r="B19" s="43" t="s">
        <v>182</v>
      </c>
      <c r="C19" s="44"/>
      <c r="D19" s="44"/>
      <c r="E19" s="9">
        <v>5</v>
      </c>
      <c r="F19" s="27">
        <v>3.5</v>
      </c>
      <c r="G19" s="32">
        <f t="shared" si="0"/>
        <v>0.7</v>
      </c>
      <c r="H19" s="33" t="str">
        <f t="shared" si="1"/>
        <v>جيد</v>
      </c>
      <c r="I19" s="55"/>
      <c r="J19" s="56"/>
    </row>
    <row r="20" spans="1:10" ht="39.9" customHeight="1" x14ac:dyDescent="0.3">
      <c r="A20" s="11"/>
      <c r="B20" s="43" t="s">
        <v>183</v>
      </c>
      <c r="C20" s="44"/>
      <c r="D20" s="44"/>
      <c r="E20" s="9">
        <v>5</v>
      </c>
      <c r="F20" s="27">
        <v>3.5</v>
      </c>
      <c r="G20" s="32">
        <f t="shared" si="0"/>
        <v>0.7</v>
      </c>
      <c r="H20" s="33" t="str">
        <f t="shared" si="1"/>
        <v>جيد</v>
      </c>
      <c r="I20" s="55"/>
      <c r="J20" s="56"/>
    </row>
    <row r="21" spans="1:10" ht="39.9" customHeight="1" x14ac:dyDescent="0.3">
      <c r="A21" s="11"/>
      <c r="B21" s="43" t="s">
        <v>184</v>
      </c>
      <c r="C21" s="44"/>
      <c r="D21" s="44"/>
      <c r="E21" s="9">
        <v>5</v>
      </c>
      <c r="F21" s="27">
        <v>3.75</v>
      </c>
      <c r="G21" s="32">
        <f t="shared" si="0"/>
        <v>0.75</v>
      </c>
      <c r="H21" s="33" t="str">
        <f t="shared" si="1"/>
        <v>جيد</v>
      </c>
      <c r="I21" s="55"/>
      <c r="J21" s="56"/>
    </row>
    <row r="22" spans="1:10" ht="39.9" customHeight="1" x14ac:dyDescent="0.3">
      <c r="A22" s="11"/>
      <c r="B22" s="43" t="s">
        <v>185</v>
      </c>
      <c r="C22" s="44"/>
      <c r="D22" s="44"/>
      <c r="E22" s="9">
        <v>5</v>
      </c>
      <c r="F22" s="27">
        <v>3.5</v>
      </c>
      <c r="G22" s="32">
        <f t="shared" si="0"/>
        <v>0.7</v>
      </c>
      <c r="H22" s="33" t="str">
        <f t="shared" si="1"/>
        <v>جيد</v>
      </c>
      <c r="I22" s="55"/>
      <c r="J22" s="56"/>
    </row>
    <row r="23" spans="1:10" ht="39.9" customHeight="1" x14ac:dyDescent="0.3">
      <c r="A23" s="11"/>
      <c r="B23" s="43" t="s">
        <v>186</v>
      </c>
      <c r="C23" s="44"/>
      <c r="D23" s="44"/>
      <c r="E23" s="9">
        <v>5</v>
      </c>
      <c r="F23" s="27">
        <v>3.75</v>
      </c>
      <c r="G23" s="32">
        <f t="shared" si="0"/>
        <v>0.75</v>
      </c>
      <c r="H23" s="33" t="str">
        <f t="shared" si="1"/>
        <v>جيد</v>
      </c>
      <c r="I23" s="55"/>
      <c r="J23" s="56"/>
    </row>
    <row r="24" spans="1:10" ht="39.9" customHeight="1" x14ac:dyDescent="0.3">
      <c r="A24" s="11"/>
      <c r="B24" s="43" t="s">
        <v>187</v>
      </c>
      <c r="C24" s="44"/>
      <c r="D24" s="44"/>
      <c r="E24" s="9">
        <v>5</v>
      </c>
      <c r="F24" s="27">
        <v>3.75</v>
      </c>
      <c r="G24" s="32">
        <f t="shared" si="0"/>
        <v>0.75</v>
      </c>
      <c r="H24" s="33" t="str">
        <f t="shared" si="1"/>
        <v>جيد</v>
      </c>
      <c r="I24" s="55"/>
      <c r="J24" s="56"/>
    </row>
    <row r="25" spans="1:10" ht="39.9" customHeight="1" x14ac:dyDescent="0.3">
      <c r="A25" s="11"/>
      <c r="B25" s="43" t="s">
        <v>188</v>
      </c>
      <c r="C25" s="44"/>
      <c r="D25" s="44"/>
      <c r="E25" s="9">
        <v>5</v>
      </c>
      <c r="F25" s="27">
        <v>3.5</v>
      </c>
      <c r="G25" s="32">
        <f t="shared" si="0"/>
        <v>0.7</v>
      </c>
      <c r="H25" s="33" t="str">
        <f t="shared" si="1"/>
        <v>جيد</v>
      </c>
      <c r="I25" s="55"/>
      <c r="J25" s="56"/>
    </row>
    <row r="26" spans="1:10" ht="39.9" customHeight="1" thickBot="1" x14ac:dyDescent="0.35">
      <c r="A26" s="11"/>
      <c r="B26" s="45" t="s">
        <v>189</v>
      </c>
      <c r="C26" s="46"/>
      <c r="D26" s="46"/>
      <c r="E26" s="37">
        <v>5</v>
      </c>
      <c r="F26" s="29">
        <v>3.5</v>
      </c>
      <c r="G26" s="38">
        <f t="shared" si="0"/>
        <v>0.7</v>
      </c>
      <c r="H26" s="39" t="str">
        <f t="shared" si="1"/>
        <v>جيد</v>
      </c>
      <c r="I26" s="53"/>
      <c r="J26" s="54"/>
    </row>
    <row r="27" spans="1:10" ht="39.9" customHeight="1" x14ac:dyDescent="0.3">
      <c r="A27" s="11"/>
      <c r="B27" s="47" t="s">
        <v>200</v>
      </c>
      <c r="C27" s="48"/>
      <c r="D27" s="48"/>
      <c r="E27" s="40"/>
      <c r="F27" s="34"/>
      <c r="G27" s="35"/>
      <c r="H27" s="36"/>
      <c r="I27" s="57"/>
      <c r="J27" s="58"/>
    </row>
    <row r="28" spans="1:10" ht="39.9" customHeight="1" x14ac:dyDescent="0.3">
      <c r="A28" s="11"/>
      <c r="B28" s="43" t="s">
        <v>190</v>
      </c>
      <c r="C28" s="44"/>
      <c r="D28" s="44"/>
      <c r="E28" s="9">
        <v>5</v>
      </c>
      <c r="F28" s="27">
        <v>3.75</v>
      </c>
      <c r="G28" s="32">
        <f t="shared" si="0"/>
        <v>0.75</v>
      </c>
      <c r="H28" s="33" t="str">
        <f t="shared" si="1"/>
        <v>جيد</v>
      </c>
      <c r="I28" s="55"/>
      <c r="J28" s="56"/>
    </row>
    <row r="29" spans="1:10" ht="39.9" customHeight="1" x14ac:dyDescent="0.3">
      <c r="A29" s="11"/>
      <c r="B29" s="43" t="s">
        <v>191</v>
      </c>
      <c r="C29" s="44"/>
      <c r="D29" s="44"/>
      <c r="E29" s="9">
        <v>5</v>
      </c>
      <c r="F29" s="27">
        <v>3.75</v>
      </c>
      <c r="G29" s="32">
        <f t="shared" si="0"/>
        <v>0.75</v>
      </c>
      <c r="H29" s="33" t="str">
        <f t="shared" si="1"/>
        <v>جيد</v>
      </c>
      <c r="I29" s="55"/>
      <c r="J29" s="56"/>
    </row>
    <row r="30" spans="1:10" ht="39.9" customHeight="1" x14ac:dyDescent="0.3">
      <c r="A30" s="11"/>
      <c r="B30" s="43" t="s">
        <v>192</v>
      </c>
      <c r="C30" s="44"/>
      <c r="D30" s="44"/>
      <c r="E30" s="9">
        <v>5</v>
      </c>
      <c r="F30" s="27">
        <v>3.75</v>
      </c>
      <c r="G30" s="32">
        <f t="shared" si="0"/>
        <v>0.75</v>
      </c>
      <c r="H30" s="33" t="str">
        <f t="shared" si="1"/>
        <v>جيد</v>
      </c>
      <c r="I30" s="55"/>
      <c r="J30" s="56"/>
    </row>
    <row r="31" spans="1:10" ht="39.9" customHeight="1" x14ac:dyDescent="0.3">
      <c r="A31" s="11"/>
      <c r="B31" s="43" t="s">
        <v>193</v>
      </c>
      <c r="C31" s="44"/>
      <c r="D31" s="44"/>
      <c r="E31" s="9">
        <v>5</v>
      </c>
      <c r="F31" s="27">
        <v>3.75</v>
      </c>
      <c r="G31" s="32">
        <f t="shared" si="0"/>
        <v>0.75</v>
      </c>
      <c r="H31" s="33" t="str">
        <f t="shared" si="1"/>
        <v>جيد</v>
      </c>
      <c r="I31" s="55"/>
      <c r="J31" s="56"/>
    </row>
    <row r="32" spans="1:10" ht="39.9" customHeight="1" thickBot="1" x14ac:dyDescent="0.35">
      <c r="A32" s="11"/>
      <c r="B32" s="45" t="s">
        <v>194</v>
      </c>
      <c r="C32" s="46"/>
      <c r="D32" s="46"/>
      <c r="E32" s="37">
        <v>5</v>
      </c>
      <c r="F32" s="29">
        <v>3.75</v>
      </c>
      <c r="G32" s="38">
        <f t="shared" si="0"/>
        <v>0.75</v>
      </c>
      <c r="H32" s="39" t="str">
        <f t="shared" si="1"/>
        <v>جيد</v>
      </c>
      <c r="I32" s="53"/>
      <c r="J32" s="54"/>
    </row>
    <row r="33" spans="1:10" ht="30" customHeight="1" thickBot="1" x14ac:dyDescent="0.35">
      <c r="A33" s="4"/>
      <c r="B33" s="61" t="s">
        <v>5</v>
      </c>
      <c r="C33" s="62"/>
      <c r="D33" s="62"/>
      <c r="E33" s="31">
        <f>SUM(E8:E32)</f>
        <v>110</v>
      </c>
      <c r="F33" s="31">
        <f>SUM(F8:F32)</f>
        <v>80.75</v>
      </c>
      <c r="G33" s="88"/>
      <c r="H33" s="89"/>
      <c r="I33" s="89"/>
      <c r="J33" s="90"/>
    </row>
    <row r="34" spans="1:10" ht="30" customHeight="1" thickBot="1" x14ac:dyDescent="0.35">
      <c r="A34" s="4"/>
      <c r="B34" s="63" t="s">
        <v>54</v>
      </c>
      <c r="C34" s="64"/>
      <c r="D34" s="64"/>
      <c r="E34" s="78">
        <f>F33/E33/100*100</f>
        <v>0.73409090909090913</v>
      </c>
      <c r="F34" s="78"/>
      <c r="G34" s="78"/>
      <c r="H34" s="78"/>
      <c r="I34" s="78"/>
      <c r="J34" s="79"/>
    </row>
    <row r="35" spans="1:10" ht="30" customHeight="1" thickBot="1" x14ac:dyDescent="0.3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3">
      <c r="B36" s="65" t="s">
        <v>175</v>
      </c>
      <c r="C36" s="65"/>
      <c r="D36" s="65"/>
      <c r="E36" s="86" t="s">
        <v>52</v>
      </c>
      <c r="F36" s="86"/>
      <c r="G36" s="67" t="s">
        <v>104</v>
      </c>
      <c r="H36" s="67"/>
      <c r="I36" s="67"/>
      <c r="J36" s="67"/>
    </row>
    <row r="37" spans="1:10" ht="51" customHeight="1" x14ac:dyDescent="0.3">
      <c r="A37" s="5"/>
      <c r="B37" s="66"/>
      <c r="C37" s="66"/>
      <c r="D37" s="66"/>
      <c r="E37" s="87" t="s">
        <v>53</v>
      </c>
      <c r="F37" s="87"/>
      <c r="G37" s="68"/>
      <c r="H37" s="68"/>
      <c r="I37" s="68"/>
      <c r="J37" s="68"/>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2025-10-27T16:35:29Z</dcterms:modified>
</cp:coreProperties>
</file>