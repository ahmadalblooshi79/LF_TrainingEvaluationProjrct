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0582EA0A-92CF-174C-91D1-A512BF4F51EA}"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<sst xmlns="http://schemas.openxmlformats.org/spreadsheetml/2006/main" count="258" uniqueCount="202">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</sst>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3" Type="http://schemas.openxmlformats.org/officeDocument/2006/relationships/customXml" Target="../ink/ink2.xml" /><Relationship Id="rId2" Type="http://schemas.openxmlformats.org/officeDocument/2006/relationships/image" Target="../media/image1.png" /><Relationship Id="rId1" Type="http://schemas.openxmlformats.org/officeDocument/2006/relationships/customXml" Target="../ink/ink1.xml" /><Relationship Id="rId6" Type="http://schemas.openxmlformats.org/officeDocument/2006/relationships/image" Target="../media/image3.png" /><Relationship Id="rId5" Type="http://schemas.openxmlformats.org/officeDocument/2006/relationships/customXml" Target="../ink/ink3.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3</xdr:col>
      <xdr:colOff>577279</xdr:colOff>
      <xdr:row>45</xdr:row>
      <xdr:rowOff>174108</xdr:rowOff>
    </xdr:from>
    <xdr:to>
      <xdr:col>3</xdr:col>
      <xdr:colOff>612199</xdr:colOff>
      <xdr:row>47</xdr:row>
      <xdr:rowOff>8388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F7E1048-DC49-A8FB-B977-35379FB5F50F}"/>
                </a:ext>
              </a:extLst>
            </xdr14:cNvPr>
            <xdr14:cNvContentPartPr/>
          </xdr14:nvContentPartPr>
          <xdr14:nvPr macro=""/>
          <xdr14:xfrm>
            <a:off x="10403256665" y="20644200"/>
            <a:ext cx="34920" cy="215280"/>
          </xdr14:xfrm>
        </xdr:contentPart>
      </mc:Choice>
      <mc:Fallback>
        <xdr:pic>
          <xdr:nvPicPr>
            <xdr:cNvPr id="2" name="Ink 1">
              <a:extLst>
                <a:ext uri="{FF2B5EF4-FFF2-40B4-BE49-F238E27FC236}">
                  <a16:creationId xmlns:a16="http://schemas.microsoft.com/office/drawing/2014/main" id="{7F7E1048-DC49-A8FB-B977-35379FB5F50F}"/>
                </a:ext>
              </a:extLst>
            </xdr:cNvPr>
            <xdr:cNvPicPr/>
          </xdr:nvPicPr>
          <xdr:blipFill>
            <a:blip xmlns:r="http://schemas.openxmlformats.org/officeDocument/2006/relationships" r:embed="rId2"/>
            <a:stretch>
              <a:fillRect/>
            </a:stretch>
          </xdr:blipFill>
          <xdr:spPr>
            <a:xfrm>
              <a:off x="10403250545" y="20638080"/>
              <a:ext cx="47160" cy="227520"/>
            </a:xfrm>
            <a:prstGeom prst="rect">
              <a:avLst/>
            </a:prstGeom>
          </xdr:spPr>
        </xdr:pic>
      </mc:Fallback>
    </mc:AlternateContent>
    <xdr:clientData/>
  </xdr:twoCellAnchor>
  <xdr:twoCellAnchor editAs="oneCell">
    <xdr:from>
      <xdr:col>6</xdr:col>
      <xdr:colOff>472425</xdr:colOff>
      <xdr:row>36</xdr:row>
      <xdr:rowOff>151175</xdr:rowOff>
    </xdr:from>
    <xdr:to>
      <xdr:col>7</xdr:col>
      <xdr:colOff>363695</xdr:colOff>
      <xdr:row>36</xdr:row>
      <xdr:rowOff>372215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01AA8B3C-2331-F176-D99C-8EF612A140C2}"/>
                </a:ext>
              </a:extLst>
            </xdr14:cNvPr>
            <xdr14:cNvContentPartPr/>
          </xdr14:nvContentPartPr>
          <xdr14:nvPr macro=""/>
          <xdr14:xfrm>
            <a:off x="10399539305" y="18450720"/>
            <a:ext cx="549360" cy="221040"/>
          </xdr14:xfrm>
        </xdr:contentPart>
      </mc:Choice>
      <mc:Fallback>
        <xdr:pic>
          <xdr:nvPicPr>
            <xdr:cNvPr id="3" name="Ink 2">
              <a:extLst>
                <a:ext uri="{FF2B5EF4-FFF2-40B4-BE49-F238E27FC236}">
                  <a16:creationId xmlns:a16="http://schemas.microsoft.com/office/drawing/2014/main" id="{01AA8B3C-2331-F176-D99C-8EF612A140C2}"/>
                </a:ext>
              </a:extLst>
            </xdr:cNvPr>
            <xdr:cNvPicPr/>
          </xdr:nvPicPr>
          <xdr:blipFill>
            <a:blip xmlns:r="http://schemas.openxmlformats.org/officeDocument/2006/relationships" r:embed="rId4"/>
            <a:stretch>
              <a:fillRect/>
            </a:stretch>
          </xdr:blipFill>
          <xdr:spPr>
            <a:xfrm>
              <a:off x="10399533185" y="18444600"/>
              <a:ext cx="561600" cy="233280"/>
            </a:xfrm>
            <a:prstGeom prst="rect">
              <a:avLst/>
            </a:prstGeom>
          </xdr:spPr>
        </xdr:pic>
      </mc:Fallback>
    </mc:AlternateContent>
    <xdr:clientData/>
  </xdr:twoCellAnchor>
  <xdr:twoCellAnchor editAs="oneCell">
    <xdr:from>
      <xdr:col>7</xdr:col>
      <xdr:colOff>345695</xdr:colOff>
      <xdr:row>36</xdr:row>
      <xdr:rowOff>156215</xdr:rowOff>
    </xdr:from>
    <xdr:to>
      <xdr:col>9</xdr:col>
      <xdr:colOff>148754</xdr:colOff>
      <xdr:row>36</xdr:row>
      <xdr:rowOff>448895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DC9328C5-6D0B-C543-1997-330D33DB98D3}"/>
                </a:ext>
              </a:extLst>
            </xdr14:cNvPr>
            <xdr14:cNvContentPartPr/>
          </xdr14:nvContentPartPr>
          <xdr14:nvPr macro=""/>
          <xdr14:xfrm>
            <a:off x="10398438065" y="18455760"/>
            <a:ext cx="1119240" cy="292680"/>
          </xdr14:xfrm>
        </xdr:contentPart>
      </mc:Choice>
      <mc:Fallback>
        <xdr:pic>
          <xdr:nvPicPr>
            <xdr:cNvPr id="4" name="Ink 3">
              <a:extLst>
                <a:ext uri="{FF2B5EF4-FFF2-40B4-BE49-F238E27FC236}">
                  <a16:creationId xmlns:a16="http://schemas.microsoft.com/office/drawing/2014/main" id="{DC9328C5-6D0B-C543-1997-330D33DB98D3}"/>
                </a:ext>
              </a:extLst>
            </xdr:cNvPr>
            <xdr:cNvPicPr/>
          </xdr:nvPicPr>
          <xdr:blipFill>
            <a:blip xmlns:r="http://schemas.openxmlformats.org/officeDocument/2006/relationships" r:embed="rId6"/>
            <a:stretch>
              <a:fillRect/>
            </a:stretch>
          </xdr:blipFill>
          <xdr:spPr>
            <a:xfrm>
              <a:off x="10398431945" y="18449640"/>
              <a:ext cx="1131480" cy="3049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6T17:57:27.263"/>
    </inkml:context>
    <inkml:brush xml:id="br0">
      <inkml:brushProperty name="width" value="0.035" units="cm"/>
      <inkml:brushProperty name="height" value="0.035" units="cm"/>
    </inkml:brush>
  </inkml:definitions>
  <inkml:trace contextRef="#ctx0" brushRef="#br0">1 1,'0'16,"0"-12,14 24,-14 20,0-42,17 52,-17-26,0-27,17 38,-17 5,0-40,14 48,3-7,-14-41,-6 16,3-8,0-13,17 10,-17 19,0-27,0 6,0 5,0-13,0 26,-17 3,15-28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29.957"/>
    </inkml:context>
    <inkml:brush xml:id="br0">
      <inkml:brushProperty name="width" value="0.035" units="cm"/>
      <inkml:brushProperty name="height" value="0.035" units="cm"/>
    </inkml:brush>
  </inkml:definitions>
  <inkml:trace contextRef="#ctx0" brushRef="#br0">1095 610 5097,'0'0'0,"3"0"3192,-1-3-1799,3 0-353,-5 3-1040,0-3 976,0 3 88,2 0-160,-2 0-31,0 0-873,0 0 800,0 2-104,0-1-64,0 2-136,0-3-496,0 2 432,0-1-72,0 0 64,0-1 9,0 0-433,3 2 536,-3-2 8,0 0 112,0 0 8,0 0-664,2 0 696,-2 0-32,3 0 16,-3 0-119,0 0-561,0 0 432,0 0 24,0 0-120,0 0 48,0 0-1992,0 0 3536,0 0-1544,0 0-80,0 0 128,0 0-3480,2 0 6520,-2 0-3152,0 0 153,0 0-193,0 0-280,0 0-56,0-3 296,0 0-168,-2 0 0,2 3-72,0-3 472,-5 1-400,5-3 8,-3 1-40,3 4-40,0-11 80,-2 8-8,2-1 64,-5-1 0,5 5-136,0-12 48,-2 9-64,-1-9 48,3 8-48,0 4 16,-2-13 16,-3 9 88,0-12-160,3 12 8,2 4 48,-5-17-136,0 6-168,-9-4 120,9 3 200,5 12-16,-5-16 16,3 2 240,-3 0-72,-7-1 16,12 15-200,0-14 288,-5 1-72,3 1-16,-1-1-200,3 13 0,-4-13 16,-8 2-48,12-1 192,-5 1 8,5 11-168,-10-4 184,10-12-56,-2 5-32,-3 6-56,5 5-40,-10-17-40,10 6 160,-7 7-120,-3-12-32,10 16 32,0-4 32,0-8 16,0 10-48,0-1-16,0 3 16,0-3 32,-4 0-112,4 3 160,0-3 48,0 3-128,0 0 32,2 0-32,0 0 0,-2 0-96,0 0 96,3 0 64,-3 0-16,5 0-128,-3 0 192,-2 0-112,12 0-112,-5 0 144,8 0-64,-3-3 32,-12 3 0,12 0 32,2 0-112,1-3 192,1 1-128,-16 2 16,15-3 120,-1 0-24,-2 3-128,0-3 48,-12 3-16,15-3-104,2 0 120,-5 1-80,2-3 80,-14 5-16,17-3 32,2-1-16,-4 0-16,4-7 0,-19 11 0,14-3-48,6-2 16,-4-7 152,4 7-240,-20 5 120,16-12 88,1 9-88,3-9-8,-6 10 160,-14 2-152,14-12-64,1 9 48,-3-1 64,2-7-168,-14 11 120,12-3-48,0-1 64,-9-1-112,14 1 224,-17 4-128,4-4 40,8 0-56,-9 1 96,9 0-112,-12 3 32,2-3 48,3 3-16,-5 0-16,2-3-64,-2 3 48,0 0 16,3 0-64,-3 0 112,0 0 48,0 0-112,0 0-112,0 0 32,0 0 16,-5 0-56,5 0 120,-2 0-16,-3 2 64,-7 2-240,7-1 48,5-3 144,-12 4-8,0 2-40,7-1-48,-12 8 32,17-13 64,-17 4-136,1 9 8,-1-1 160,-2-7 0,19-5-32,-22 16 152,0-3-184,1-1 64,-6 1 0,27-13-32,-19 13-120,-3 1 136,1-1-208,-1 0 72,22-13 120,-17 11-48,-2 1 32,7-1 128,-3-7-112,15-4 0,-9 14-16,-6-9 32,1 7 0,4-6 24,10-6-40,-14 13-168,2-7 120,0 8 64,0-8-16,12-6 0,-12 14 16,0-9-32,9 8-184,-13-8 232,16-5-32,-5 11 48,-7-7-160,7 2-8,-12 5-48,17-11 168,-10 3 0,6 1 168,-16 1-136,18-1-48,2-4 16,-12 4 88,10-1-56,-11 0 136,11-2-120,2-1-48,-5 2-120,-7-1-128,10-1 328,-1 0-24,3 0-56,-14 0 152,7 0-176,-10 0-56,12-3 32,5 3 48,-17-3-48,5 1 224,0-1-176,-2-2-144,14 5 144,-12-4 0,0-7-120,-5 8 256,3-8-72,14 11-64,-15-5 64,-4-10 184,4 2-208,3 0 224,12 13-264,-14-16 208,-3 2-304,3-1 256,-3-1-88,17 16-72,-12-16-104,-3 1 120,1-1-208,0 0 112,14 16 80,-10-14-72,3 1 88,-5 2-16,4 7 16,8 4-16,-9-16 72,4 12-40,-9-8-80,14 10 80,0 2-32,-5-3-32,0 0 16,0 0 64,0 0-96,5 3 48,-2 0-56,2 0 40,0 0-64,0 0-72,0 0 152,0 0 40,0 3-96,2 3 8,3 7 16,-5-13 32,5 11 0,5 0-16,-6-5 96,11 11 24,-15-17-104,12 13 48,0 0-64,0-1 176,0 1-40,-12-13-120,12 12-48,-7 0 160,9 1-144,-2-1-104,-12-12 136,12 11-16,-7 0 16,9 1-32,-11-1-64,-3-11 96,7 11-64,3 1 80,-8-6-184,3 8 88,-5-14 80,0 5-104,0 10-160,0-11 216,0 9-8,0-13 56,0 4-16,-5 9 32,5-9-16,-5 7-48,5-11 48,-2 5 16,-13 0-96,11 7-104,-8-9 80,12-3 104,-5 4-240,-7 0 112,-3 0-32,1 1 312,14-5-152,-14 4-248,-1-1 144,1 0 168,2-2-264,12-1 200,-12 1 272,0 1-120,-3-2 16,3 0-112,12 0-56,-12 0-88,7 0-64,-4-3 32,9-1 168,0 4-48,-8-5 0,8 1 40,0-7-8,0 11-216,0 0 184,0-12 80,5 10-184,2-3 256,-2-7-128,-5 12-24,5-3 200,7-2 8,-9 1-232,-1 0 232,-2 4-208,5-4-56,-3-1 72,1 3-48,-3-1 80,0 3-48,2-3-48,-2 3 64,0-3 88,0 3-176,0 0 72,-2 0 104,-3 0-120,-12 0-16,7 0-16,10 0 48,-17 0-8,5 1 32,-4 4-80,-4-1 160,20-4-104,-19 4 0,-3 0 64,3 1-64,-5-1 120,24-4-120,-24 4-80,2 1 8,6-1 176,-6 0-240,22-4 136,-17 4 64,-2-1-96,2-1 64,0-1-168,17-1 136,-14 0-168,2 0-96,0 0-272,0-4-96,12 4 632,-12-5-953,9-6-303,-11 8-344,9-8-289,5 11 1889,-14-4-2152,11-11-193,-6 11-623,1-13-1089,8 17 4057,-14-11-4969,14-3 328,0 14 4641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7:57:30.776"/>
    </inkml:context>
    <inkml:brush xml:id="br0">
      <inkml:brushProperty name="width" value="0.035" units="cm"/>
      <inkml:brushProperty name="height" value="0.035" units="cm"/>
    </inkml:brush>
  </inkml:definitions>
  <inkml:trace contextRef="#ctx0" brushRef="#br0">2014 404 10802,'0'0'0,"-3"3"4641,1 0-4305,2-3-336,-5 4 88,5 0 56,0 2 56,0 5 96,0-11-296,5 5 392,9 7 24,-2-6 72,3 7 88,-15-13-576,19 4 649,3 8 127,2-10 168,4 4-32,-28-6-912,32 6 952,1-1-15,6 0-57,-3-2-72,-36-3-808,38 1 808,1-1-176,2 0-80,2 0-352,-43 0-200,41-3 504,2 0-183,3-1-17,-3-7 40,-43 11-344,44-3-304,1-11 200,-4 9-240,3-10 288,-44 15 56,38-13 160,-2 1 184,0-2 48,-5 1 0,-31 13-392,29-12 336,-5-3-352,-2 0 248,0-1-208,-22 16-24,16-15 152,4-2 80,-8 1-16,0-1-56,-12 17-160,9-17 136,-1 0 112,-6 0-184,-2 0 168,0 17-232,0-19 112,-2 2 136,2-1-120,-12 1-96,12 17-32,-5-18 160,-14 1-256,2 0 160,-3 2-16,20 15-48,-24-16 64,0 3-96,3 0 32,-6 9 208,27 4-208,-29-15 48,1 12 80,-4-2-96,-4 1-64,36 4 32,-36-3-16,2 3 80,-4 2 112,-5 2-143,43-4-33,-46 13 0,-5 0 0,3 2 0,0 4 0,48-19 0,-53 21 0,-2 2 0,-3 1 0,-4 4 0,62-28 0,-68 29 0,-1 2 0,-1 0 0,0-2 0,70-29 0,-70 31 0,5-2 0,3-1-225,-3-2-599,65-26 824,-63 25-304,1-1 120,-1 0 152,3-1 504,60-23-472,-67 20 32,2 1 72,-10-2 56,3 1 0,72-20-160,-74 21 160,-8 2 32,-2 0-480,-5 1 336,89-24-48,-92 23 48,3 1 0,3 1 224,-3-2-304,89-23 32,-89 24-208,0-7-424,0-5-832,9-11-1537,80-1 3001,-41 0-3728,-9 0-7539,-1-3 2065,51 3 9202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45</v>
      </c>
      <c r="D2" s="66"/>
      <c r="E2" s="13" t="s">
        <v>7</v>
      </c>
      <c r="F2" s="61">
        <v>45955</v>
      </c>
      <c r="G2" s="61"/>
      <c r="H2" s="61"/>
      <c r="I2" s="61"/>
      <c r="J2" s="61"/>
    </row>
    <row r="3" spans="1:10" ht="30" customHeight="1" x14ac:dyDescent="0.2">
      <c r="B3" s="13" t="s">
        <v>9</v>
      </c>
      <c r="C3" s="66" t="s">
        <v>87</v>
      </c>
      <c r="D3" s="66"/>
      <c r="E3" s="13" t="s">
        <v>6</v>
      </c>
      <c r="F3" s="66" t="s">
        <v>104</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195</v>
      </c>
      <c r="C8" s="90"/>
      <c r="D8" s="90"/>
      <c r="E8" s="10">
        <v>5</v>
      </c>
      <c r="F8" s="41">
        <v>3.5</v>
      </c>
      <c r="G8" s="42">
        <f>IFERROR(F8/E8,"")</f>
        <v>0.7</v>
      </c>
      <c r="H8" s="28" t="str">
        <f>_xlfn.IFS(F8="أدخل العلامة","",F8="لا ينطبق","تم الإلغاء",G8&gt;=90%,"ممتاز",G8&gt;=80%,"جيد جداً",G8&gt;=70%,"جيد",G8&gt;=60%,"مقبول",G8&lt;60%,"راسب")</f>
        <v>جيد</v>
      </c>
      <c r="I8" s="48"/>
      <c r="J8" s="49"/>
    </row>
    <row r="9" spans="1:10" ht="39.950000000000003" customHeight="1" thickBot="1" x14ac:dyDescent="0.25">
      <c r="A9" s="11"/>
      <c r="B9" s="91" t="s">
        <v>196</v>
      </c>
      <c r="C9" s="92"/>
      <c r="D9" s="92"/>
      <c r="E9" s="10">
        <v>5</v>
      </c>
      <c r="F9" s="41">
        <v>3.75</v>
      </c>
      <c r="G9" s="42">
        <f>IFERROR(F9/E9,"")</f>
        <v>0.75</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198</v>
      </c>
      <c r="C11" s="94"/>
      <c r="D11" s="94"/>
      <c r="E11" s="40"/>
      <c r="F11" s="34"/>
      <c r="G11" s="35"/>
      <c r="H11" s="36"/>
      <c r="I11" s="79"/>
      <c r="J11" s="80"/>
    </row>
    <row r="12" spans="1:10" ht="39.950000000000003" customHeight="1" x14ac:dyDescent="0.2">
      <c r="A12" s="11"/>
      <c r="B12" s="83" t="s">
        <v>176</v>
      </c>
      <c r="C12" s="84"/>
      <c r="D12" s="84"/>
      <c r="E12" s="9">
        <v>5</v>
      </c>
      <c r="F12" s="27">
        <v>3.75</v>
      </c>
      <c r="G12" s="32">
        <f t="shared" si="0"/>
        <v>0.75</v>
      </c>
      <c r="H12" s="33" t="str">
        <f t="shared" si="1"/>
        <v>جيد</v>
      </c>
      <c r="I12" s="52"/>
      <c r="J12" s="53"/>
    </row>
    <row r="13" spans="1:10" ht="54.95" customHeight="1" x14ac:dyDescent="0.2">
      <c r="A13" s="11"/>
      <c r="B13" s="83" t="s">
        <v>177</v>
      </c>
      <c r="C13" s="84"/>
      <c r="D13" s="84"/>
      <c r="E13" s="9">
        <v>5</v>
      </c>
      <c r="F13" s="27">
        <v>3.5</v>
      </c>
      <c r="G13" s="32">
        <f t="shared" si="0"/>
        <v>0.7</v>
      </c>
      <c r="H13" s="33" t="str">
        <f t="shared" si="1"/>
        <v>جيد</v>
      </c>
      <c r="I13" s="52"/>
      <c r="J13" s="53"/>
    </row>
    <row r="14" spans="1:10" ht="71.25" customHeight="1" x14ac:dyDescent="0.2">
      <c r="A14" s="11"/>
      <c r="B14" s="83" t="s">
        <v>178</v>
      </c>
      <c r="C14" s="84"/>
      <c r="D14" s="84"/>
      <c r="E14" s="9">
        <v>5</v>
      </c>
      <c r="F14" s="27">
        <v>3.75</v>
      </c>
      <c r="G14" s="32">
        <f t="shared" si="0"/>
        <v>0.75</v>
      </c>
      <c r="H14" s="33" t="str">
        <f t="shared" si="1"/>
        <v>جيد</v>
      </c>
      <c r="I14" s="52"/>
      <c r="J14" s="53"/>
    </row>
    <row r="15" spans="1:10" ht="39.950000000000003" customHeight="1" x14ac:dyDescent="0.2">
      <c r="A15" s="11"/>
      <c r="B15" s="83" t="s">
        <v>179</v>
      </c>
      <c r="C15" s="84"/>
      <c r="D15" s="84"/>
      <c r="E15" s="9">
        <v>5</v>
      </c>
      <c r="F15" s="27">
        <v>3.75</v>
      </c>
      <c r="G15" s="32">
        <f t="shared" si="0"/>
        <v>0.75</v>
      </c>
      <c r="H15" s="33" t="str">
        <f t="shared" si="1"/>
        <v>جيد</v>
      </c>
      <c r="I15" s="52"/>
      <c r="J15" s="53"/>
    </row>
    <row r="16" spans="1:10" ht="68.25" customHeight="1" x14ac:dyDescent="0.2">
      <c r="A16" s="11"/>
      <c r="B16" s="83" t="s">
        <v>180</v>
      </c>
      <c r="C16" s="84"/>
      <c r="D16" s="84"/>
      <c r="E16" s="9">
        <v>5</v>
      </c>
      <c r="F16" s="27">
        <v>3.75</v>
      </c>
      <c r="G16" s="32">
        <f t="shared" si="0"/>
        <v>0.75</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199</v>
      </c>
      <c r="C18" s="88"/>
      <c r="D18" s="88"/>
      <c r="E18" s="40"/>
      <c r="F18" s="34"/>
      <c r="G18" s="35"/>
      <c r="H18" s="36"/>
      <c r="I18" s="79"/>
      <c r="J18" s="80"/>
    </row>
    <row r="19" spans="1:10" ht="39.950000000000003" customHeight="1" x14ac:dyDescent="0.2">
      <c r="A19" s="11"/>
      <c r="B19" s="83" t="s">
        <v>182</v>
      </c>
      <c r="C19" s="84"/>
      <c r="D19" s="84"/>
      <c r="E19" s="9">
        <v>5</v>
      </c>
      <c r="F19" s="27">
        <v>3.5</v>
      </c>
      <c r="G19" s="32">
        <f t="shared" si="0"/>
        <v>0.7</v>
      </c>
      <c r="H19" s="33" t="str">
        <f t="shared" si="1"/>
        <v>جيد</v>
      </c>
      <c r="I19" s="52"/>
      <c r="J19" s="53"/>
    </row>
    <row r="20" spans="1:10" ht="39.950000000000003" customHeight="1" x14ac:dyDescent="0.2">
      <c r="A20" s="11"/>
      <c r="B20" s="83" t="s">
        <v>183</v>
      </c>
      <c r="C20" s="84"/>
      <c r="D20" s="84"/>
      <c r="E20" s="9">
        <v>5</v>
      </c>
      <c r="F20" s="27">
        <v>3.5</v>
      </c>
      <c r="G20" s="32">
        <f t="shared" si="0"/>
        <v>0.7</v>
      </c>
      <c r="H20" s="33" t="str">
        <f t="shared" si="1"/>
        <v>جيد</v>
      </c>
      <c r="I20" s="52"/>
      <c r="J20" s="53"/>
    </row>
    <row r="21" spans="1:10" ht="39.950000000000003" customHeight="1" x14ac:dyDescent="0.2">
      <c r="A21" s="11"/>
      <c r="B21" s="83" t="s">
        <v>184</v>
      </c>
      <c r="C21" s="84"/>
      <c r="D21" s="84"/>
      <c r="E21" s="9">
        <v>5</v>
      </c>
      <c r="F21" s="27">
        <v>3.75</v>
      </c>
      <c r="G21" s="32">
        <f t="shared" si="0"/>
        <v>0.75</v>
      </c>
      <c r="H21" s="33" t="str">
        <f t="shared" si="1"/>
        <v>جيد</v>
      </c>
      <c r="I21" s="52"/>
      <c r="J21" s="53"/>
    </row>
    <row r="22" spans="1:10" ht="39.950000000000003" customHeight="1" x14ac:dyDescent="0.2">
      <c r="A22" s="11"/>
      <c r="B22" s="83" t="s">
        <v>185</v>
      </c>
      <c r="C22" s="84"/>
      <c r="D22" s="84"/>
      <c r="E22" s="9">
        <v>5</v>
      </c>
      <c r="F22" s="27">
        <v>3.5</v>
      </c>
      <c r="G22" s="32">
        <f t="shared" si="0"/>
        <v>0.7</v>
      </c>
      <c r="H22" s="33" t="str">
        <f t="shared" si="1"/>
        <v>جيد</v>
      </c>
      <c r="I22" s="52"/>
      <c r="J22" s="53"/>
    </row>
    <row r="23" spans="1:10" ht="39.950000000000003" customHeight="1" x14ac:dyDescent="0.2">
      <c r="A23" s="11"/>
      <c r="B23" s="83" t="s">
        <v>186</v>
      </c>
      <c r="C23" s="84"/>
      <c r="D23" s="84"/>
      <c r="E23" s="9">
        <v>5</v>
      </c>
      <c r="F23" s="27">
        <v>3.75</v>
      </c>
      <c r="G23" s="32">
        <f t="shared" si="0"/>
        <v>0.75</v>
      </c>
      <c r="H23" s="33" t="str">
        <f t="shared" si="1"/>
        <v>جيد</v>
      </c>
      <c r="I23" s="52"/>
      <c r="J23" s="53"/>
    </row>
    <row r="24" spans="1:10" ht="39.950000000000003" customHeight="1" x14ac:dyDescent="0.2">
      <c r="A24" s="11"/>
      <c r="B24" s="83" t="s">
        <v>187</v>
      </c>
      <c r="C24" s="84"/>
      <c r="D24" s="84"/>
      <c r="E24" s="9">
        <v>5</v>
      </c>
      <c r="F24" s="27">
        <v>3.75</v>
      </c>
      <c r="G24" s="32">
        <f t="shared" si="0"/>
        <v>0.75</v>
      </c>
      <c r="H24" s="33" t="str">
        <f t="shared" si="1"/>
        <v>جيد</v>
      </c>
      <c r="I24" s="52"/>
      <c r="J24" s="53"/>
    </row>
    <row r="25" spans="1:10" ht="39.950000000000003" customHeight="1" x14ac:dyDescent="0.2">
      <c r="A25" s="11"/>
      <c r="B25" s="83" t="s">
        <v>188</v>
      </c>
      <c r="C25" s="84"/>
      <c r="D25" s="84"/>
      <c r="E25" s="9">
        <v>5</v>
      </c>
      <c r="F25" s="27">
        <v>3.5</v>
      </c>
      <c r="G25" s="32">
        <f t="shared" si="0"/>
        <v>0.7</v>
      </c>
      <c r="H25" s="33" t="str">
        <f t="shared" si="1"/>
        <v>جيد</v>
      </c>
      <c r="I25" s="52"/>
      <c r="J25" s="53"/>
    </row>
    <row r="26" spans="1:10" ht="39.950000000000003" customHeight="1" thickBot="1" x14ac:dyDescent="0.25">
      <c r="A26" s="11"/>
      <c r="B26" s="85" t="s">
        <v>189</v>
      </c>
      <c r="C26" s="86"/>
      <c r="D26" s="86"/>
      <c r="E26" s="37">
        <v>5</v>
      </c>
      <c r="F26" s="29">
        <v>3.5</v>
      </c>
      <c r="G26" s="38">
        <f t="shared" si="0"/>
        <v>0.7</v>
      </c>
      <c r="H26" s="39" t="str">
        <f t="shared" si="1"/>
        <v>جيد</v>
      </c>
      <c r="I26" s="81"/>
      <c r="J26" s="82"/>
    </row>
    <row r="27" spans="1:10" ht="39.950000000000003" customHeight="1" x14ac:dyDescent="0.2">
      <c r="A27" s="11"/>
      <c r="B27" s="93" t="s">
        <v>200</v>
      </c>
      <c r="C27" s="94"/>
      <c r="D27" s="94"/>
      <c r="E27" s="40"/>
      <c r="F27" s="34"/>
      <c r="G27" s="35"/>
      <c r="H27" s="36"/>
      <c r="I27" s="79"/>
      <c r="J27" s="80"/>
    </row>
    <row r="28" spans="1:10" ht="39.950000000000003" customHeight="1" x14ac:dyDescent="0.2">
      <c r="A28" s="11"/>
      <c r="B28" s="83" t="s">
        <v>190</v>
      </c>
      <c r="C28" s="84"/>
      <c r="D28" s="84"/>
      <c r="E28" s="9">
        <v>5</v>
      </c>
      <c r="F28" s="27">
        <v>3.75</v>
      </c>
      <c r="G28" s="32">
        <f t="shared" si="0"/>
        <v>0.75</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3.75</v>
      </c>
      <c r="G30" s="32">
        <f t="shared" si="0"/>
        <v>0.75</v>
      </c>
      <c r="H30" s="33" t="str">
        <f t="shared" si="1"/>
        <v>جيد</v>
      </c>
      <c r="I30" s="52"/>
      <c r="J30" s="53"/>
    </row>
    <row r="31" spans="1:10" ht="39.950000000000003" customHeight="1" x14ac:dyDescent="0.2">
      <c r="A31" s="11"/>
      <c r="B31" s="83" t="s">
        <v>193</v>
      </c>
      <c r="C31" s="84"/>
      <c r="D31" s="84"/>
      <c r="E31" s="9">
        <v>5</v>
      </c>
      <c r="F31" s="27">
        <v>3.75</v>
      </c>
      <c r="G31" s="32">
        <f t="shared" si="0"/>
        <v>0.75</v>
      </c>
      <c r="H31" s="33" t="str">
        <f t="shared" si="1"/>
        <v>جيد</v>
      </c>
      <c r="I31" s="52"/>
      <c r="J31" s="53"/>
    </row>
    <row r="32" spans="1:10" ht="39.950000000000003" customHeight="1" thickBot="1" x14ac:dyDescent="0.25">
      <c r="A32" s="11"/>
      <c r="B32" s="85" t="s">
        <v>194</v>
      </c>
      <c r="C32" s="86"/>
      <c r="D32" s="86"/>
      <c r="E32" s="37">
        <v>5</v>
      </c>
      <c r="F32" s="29">
        <v>3.75</v>
      </c>
      <c r="G32" s="38">
        <f t="shared" si="0"/>
        <v>0.75</v>
      </c>
      <c r="H32" s="39" t="str">
        <f t="shared" si="1"/>
        <v>جيد</v>
      </c>
      <c r="I32" s="81"/>
      <c r="J32" s="82"/>
    </row>
    <row r="33" spans="1:10" ht="30" customHeight="1" thickBot="1" x14ac:dyDescent="0.25">
      <c r="A33" s="4"/>
      <c r="B33" s="75" t="s">
        <v>5</v>
      </c>
      <c r="C33" s="76"/>
      <c r="D33" s="76"/>
      <c r="E33" s="31">
        <f>SUM(E8:E32)</f>
        <v>110</v>
      </c>
      <c r="F33" s="31">
        <f>SUM(F8:F32)</f>
        <v>80.75</v>
      </c>
      <c r="G33" s="45"/>
      <c r="H33" s="46"/>
      <c r="I33" s="46"/>
      <c r="J33" s="47"/>
    </row>
    <row r="34" spans="1:10" ht="30" customHeight="1" thickBot="1" x14ac:dyDescent="0.25">
      <c r="A34" s="4"/>
      <c r="B34" s="77" t="s">
        <v>54</v>
      </c>
      <c r="C34" s="78"/>
      <c r="D34" s="78"/>
      <c r="E34" s="67">
        <f>F33/E33/100*100</f>
        <v>0.73409090909090913</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104</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