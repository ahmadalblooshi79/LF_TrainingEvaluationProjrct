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7A3BE2B-52C1-40DA-B2E8-080E5BF9C8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/>
  <c r="G13" i="2"/>
  <c r="H13" i="2" s="1"/>
  <c r="G14" i="2"/>
  <c r="H14" i="2" s="1"/>
  <c r="G8" i="2"/>
  <c r="H8" i="2" s="1"/>
  <c r="F15" i="2"/>
  <c r="E16" i="2" s="1"/>
  <c r="E17" i="2" s="1"/>
  <c r="E15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<sst xmlns="http://schemas.openxmlformats.org/spreadsheetml/2006/main" count="243" uniqueCount="187">
  <si>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</si>
  <si>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</si>
  <si>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</si>
  <si>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</si>
  <si>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</si>
  <si>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</si>
  <si>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</si>
  <si>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</si>
  <si>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</si>
  <si>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</si>
  <si>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</si>
  <si>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</si>
  <si>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</si>
  <si>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</si>
  <si>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</si>
  <si>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</si>
  <si>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</si>
  <si>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</si>
  <si>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</si>
  <si>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</si>
  <si>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</si>
  <si>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</si>
  <si>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</si>
  <si>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</si>
  <si>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</si>
  <si>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</si>
  <si>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</si>
  <si>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</si>
  <si>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</si>
  <si>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</si>
  <si>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</si>
  <si>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</si>
  <si>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</si>
  <si>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</si>
  <si>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</si>
  <si>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</si>
  <si>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</si>
  <si>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</si>
  <si>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</si>
  <si>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</si>
  <si>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</si>
  <si>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</si>
  <si>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</si>
  <si>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</si>
  <si>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</si>
  <si>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</si>
  <si>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</si>
  <si>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</si>
  <si>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</si>
  <si>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</si>
  <si>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</si>
  <si>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</si>
  <si>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</si>
  <si>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</si>
  <si>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</si>
  <si>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</si>
  <si>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</si>
  <si>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</si>
  <si>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</si>
  <si>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</si>
  <si>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</si>
  <si>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</si>
  <si>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</si>
  <si>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</si>
  <si>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</si>
  <si>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</si>
  <si>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</si>
  <si>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</si>
  <si>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</si>
  <si>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</si>
  <si>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</si>
  <si>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</si>
  <si>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</si>
  <si>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</si>
  <si>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</si>
  <si>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</si>
  <si>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</si>
  <si>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</si>
  <si>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</si>
  <si>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</si>
  <si>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</si>
  <si>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</si>
  <si>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</si>
  <si>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</si>
  <si>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</si>
  <si>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</si>
  <si>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</si>
  <si>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</si>
  <si>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</si>
  <si>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</si>
  <si>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</si>
  <si>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</si>
  <si>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</si>
  <si>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</si>
  <si>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</si>
  <si>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</si>
  <si>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</si>
  <si>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</si>
  <si>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</si>
  <si>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</si>
  <si>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</si>
  <si>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</si>
  <si>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</si>
  <si>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</si>
  <si>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</si>
  <si>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</si>
  <si>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</si>
  <si>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</si>
  <si>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</si>
  <si>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</si>
  <si>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</si>
  <si>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</si>
  <si>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</si>
  <si>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</si>
  <si>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</si>
  <si>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</si>
  <si>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</si>
  <si>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</si>
  <si>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</si>
  <si>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</si>
  <si>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</si>
  <si>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</si>
  <si>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</si>
  <si>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</si>
  <si>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</si>
  <si>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</si>
  <si>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</si>
  <si>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</si>
  <si>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</si>
  <si>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</si>
  <si>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</si>
  <si>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</si>
  <si>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</si>
  <si>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</si>
  <si>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</si>
  <si>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</si>
  <si>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</si>
  <si>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</si>
  <si>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</si>
  <si>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</si>
  <si>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</si>
  <si>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</si>
  <si>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</si>
  <si>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</si>
  <si>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</si>
  <si>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</si>
  <si>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</si>
  <si>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</si>
  <si>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</si>
  <si>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</si>
  <si>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</si>
  <si>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</si>
  <si>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</si>
  <si>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</si>
  <si>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</si>
  <si>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</si>
  <si>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</si>
  <si>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</si>
  <si>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</si>
  <si>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</si>
  <si>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</si>
  <si>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</si>
  <si>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</si>
  <si>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</si>
  <si>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</si>
  <si>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</si>
  <si>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</si>
  <si>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</si>
  <si>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</si>
  <si>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</si>
  <si>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</si>
  <si>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</si>
  <si>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</si>
  <si>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</si>
  <si>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</si>
  <si>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</si>
  <si>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</si>
  <si>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</si>
  <si>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</si>
  <si>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اليوم/2 - تقييم معضلة/3 - انفجار عبوة ناسفة
تقييم السرايا الراجلة / الآلية - تمرين جاهزية مجموعة لواء الإمارات/1 (جندي الصحراء 2025/20)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</si>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</sst>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91263</xdr:colOff>
      <xdr:row>18</xdr:row>
      <xdr:rowOff>79983</xdr:rowOff>
    </xdr:from>
    <xdr:to>
      <xdr:col>8</xdr:col>
      <xdr:colOff>273840</xdr:colOff>
      <xdr:row>18</xdr:row>
      <xdr:rowOff>378423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7DD4055-0DD1-912B-21B0-38AE3C442474}"/>
                </a:ext>
              </a:extLst>
            </xdr14:cNvPr>
            <xdr14:cNvContentPartPr/>
          </xdr14:nvContentPartPr>
          <xdr14:nvPr macro=""/>
          <xdr14:xfrm>
            <a:off x="10423428960" y="7959960"/>
            <a:ext cx="837000" cy="298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7DD4055-0DD1-912B-21B0-38AE3C4424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420320" y="7950960"/>
              <a:ext cx="854640" cy="31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376023</xdr:colOff>
      <xdr:row>18</xdr:row>
      <xdr:rowOff>43983</xdr:rowOff>
    </xdr:from>
    <xdr:to>
      <xdr:col>8</xdr:col>
      <xdr:colOff>637800</xdr:colOff>
      <xdr:row>18</xdr:row>
      <xdr:rowOff>581103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89078C2-EA30-043C-C896-BCE7FAD46344}"/>
                </a:ext>
              </a:extLst>
            </xdr14:cNvPr>
            <xdr14:cNvContentPartPr/>
          </xdr14:nvContentPartPr>
          <xdr14:nvPr macro=""/>
          <xdr14:xfrm>
            <a:off x="10423065000" y="7923960"/>
            <a:ext cx="916200" cy="537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89078C2-EA30-043C-C896-BCE7FAD4634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56000" y="7915320"/>
              <a:ext cx="933840" cy="554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49:09.7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2013 450 5593,'0'0'0,"0"-2"2264,-2-1-151,-2-1-1233,0 2-344,1 1 136,3 1-672,-3-3 656,1 1-16,2 1 89,-2-2-209,-1 2 8,3 0-80,0 1-448,-2-3 432,2 2-128,-3-1-112,1-1-16,0 1-136,2 1 40,0 1-80,-3-2 56,1-2 24,2 2 8,-3-2-104,3 2 136,0 0-88,0 2-32,0-3 8,0 2 88,0-2-176,0 2 8,0 0 0,0-2 8,0 3 64,2-1-152,0 0-40,2-1 32,0 0-144,7 1 88,-7 0 64,-4 1 152,13-1-200,-4 0 80,2-1 64,2 2-96,1 0 128,1 0-96,-15 0 120,16 0-152,-1 3 72,2 0-24,1 7-32,-1-8 16,0 8 0,-17-10 120,16 4-208,1 7 72,-1-7-89,-2 10-159,1-3 48,-1 1 0,-14-12 336,12 12-360,-1 1 56,-2 1-64,-4 0 128,6 2-16,-9-2 64,-2-14 192,4 16-192,-2 0-88,0 0 8,-2 1 32,0-1-48,-4 0 40,4-16 248,-13 14-168,3 1-57,-1-1 97,-2-1 96,-2 1 16,-3-3 64,18-11-48,-21 12 64,1-1-80,-3 0 0,-1-1-40,0-1 64,-1 1-8,25-10 0,-25 3 16,1 8 32,-2-7-80,-1 5 64,1-6-24,-2 0 16,28-3-24,-30 4 16,0 0-80,-1-2-8,0 0-32,1-2-24,-1 0-56,31 0 184,-34-1-240,2-2-16,-2-2 40,0-5 32,0 7 72,0-2 64,34 5 48,-34-10-32,0 7 8,0-2 56,-2 0 0,0-5 24,-1 7 56,37 3-112,-36-10 64,0 8 0,-2-3-16,1 0 8,-3 2-8,-1-1 0,41 4-48,-42-4 72,1 3 0,2 0-8,-2 1 24,2 0 8,-3 0 8,42 0-104,-41 0 136,0 0 8,-1 0 24,2 0 8,-2-1-8,4 0 1,38 1-169,-39-3 128,3 0-8,1-1 8,-1 1-24,5-7-16,-4 8-16,35 2-72,-35-11 56,3 7 0,-2-8-8,5 3-24,2-1-24,-2 0 0,29 10 0,-26-12 0,-1-1-8,2 0 24,3 0-16,1-2-8,2 0 0,19 15 8,-17-16-72,0 0-80,2-1-32,4-1-72,-1 0-33,8 1-79,4 17 368,-12-18-400,9 1 0,-1-2-48,2 0 8,2 0-56,0-2-72,0 21 568,3-20-552,7-2 24,1 2 72,3-2 87,3 1 33,2-1 72,-19 22 264,23-21-232,1-2 80,2 1 72,4 1 32,1 0 40,3 1-8,-34 20 16,35-20-8,1-1-8,2 2-24,2 0-528,2 2-1664,-42 17 2232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49:10.9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2092 1 3104,'0'0'0,"28"0"352,13 2-296,8 8-24,-8-7 16,-41-3-48,35 11 48,-3-7 24,-1 9-16,-2-2 0,-1 1-8,-3 2-16,-25-14-32,21 14 64,1 1-32,-3 2 0,-1 1 8,-6 1-32,-2-1 40,-10-18-48,3 19 80,1-1-32,-1 0-8,-1 1 0,-2 0-40,-3-1 32,3-18-32,-12 19 56,0 2-24,-5-1 0,-2 0 16,-5 2-40,-1 0 64,25-22-72,-29 20 161,-3 0 39,-3 2 96,-2 0 104,-3-1 0,-2 2 72,42-23-472,-47 21 456,-2 3-80,-2 0-32,-2 2-96,1-1-40,-3 0-40,55-25-168,-58 24 192,0 1-40,-2 0-24,0-1-8,-3 0-112,1 1 80,62-25-88,-61 25 56,-4 1-8,0-2-8,2 1-64,-3-2 32,4-3 0,62-20-8,-64 21 48,2-1-32,0-2-32,-1-2-8,4-1-88,2-1-8,57-14 120,-56 12-264,2 0-448,0-1-568,2-7-48,2 7 223,3-8 401,47-3 704,-44 2-264,2 1-2472,42-3 2736</inkml:trace>
  <inkml:trace contextRef="#ctx0" brushRef="#br0" timeOffset="1">2249 252 9153,'0'0'0,"0"0"2633,-3 0-2105,0 3-464,-8 0-24,1 8-8,10-11-32,-11 10 56,-5 1 80,-5 2 40,-3 2 0,-4 3-24,-2 3-40,30-21-112,-35 21 56,-4 2 0,-2 0 24,-5 0-72,-3 2-8,-3 0-32,1 0-48,51-25 80,-55 24-16,-1 0-32,3-1 80,-4 0-8,7-2-32,-3 0-24,53-21 32,-52 19-192,1 0-224,0-1-296,4-1-432,4-1-505,0-1-423,43-15 2072,-42 13-1712,1-1 495,1-2 521,4-7 504,3 7-2528,33-10 2720</inkml:trace>
  <inkml:trace contextRef="#ctx0" brushRef="#br0" timeOffset="2">869 699 6681,'0'0'0,"0"0"0,-2 0 1672,-2 0-888,-8 0-383,9 0-161,-9 3-48,1 0 16,11-3-208,-11 4 232,-2 6 16,1-8-16,-1 8-88,-2-7-24,1 9-40,-2-8-56,16-4-24,-15 12 40,0-10-24,0 9 8,-1-9-24,1 8-32,15-10 32,-14 2-64,0 8-120,3-8-184,-2 1-256,0-1-265,2 2-151,11-4 1040,-12 2-1072,8 1 80,-7-1 168,7-2 223,-5 0 201,6 2 184,3-2 216,-2 0-104,-2 0 72,0 0 32,1 0 8,-1 3 24,1-3 16,3 0-48,-4 0 88,-5 2 72,6 0 72,-1-2 65,-5 3 71,5 0 64,4-3-432,-11 3 504,8 0 72,-8 1 32,7-2-16,-9 2-24,4 0-72,9-4-496,-10 3 408,-2 1-7,0-1-33,0 1-88,-1 0-16,0-1-104,13-3-160,-12 4 160,-1-2-40,0 1-8,-2-1-24,1-2-16,-1 0-8,15 0-64,-15 0 104,0 0-40,1 0-16,0 0 8,-1 0-64,0-1 0,15 1 8,-17-4 0,1 1-8,1-2-16,0-5 8,0 7-24,2-2 40,13 5 0,-15-11-104,2 7 56,1-8-24,0 8-96,1-9 104,2 3-48,9 10 112,-4-11-136,-7 2 8,9-2-24,-2 0-64,1-1-24,0 0-16,3 12 256,0-13-376,0 0 63,0-1 25,3 0-8,6 0 88,-4-1-24,-5 15 232,13-15-208,1 0 16,-1 2 32,2-1-32,2 1 24,2 1-16,-19 12 184,21-11-184,1 1 80,2 7-8,-1-7 56,1 6 24,-1 1 24,-23 3 8,21-3 16,0 2-16,-2 1 56,-3 3-24,-4 6-56,-9 2 120,-3-11-96,5 12 136,-2 4 64,-3 3 184,-2 2 136,-9 6 64,-2 1 80,13-28-664,-17 33 673,-2 2-121,-1-1-16,-3 4 40,-2 1-128,2 1 24,23-40-472,-25 39 456,2 0-112,1-2 104,3-5-208,4 0-15,2-3-81,13-29-144,-10 28 32,8-1 96,-2-2-64,2 1-24,2-1-64,2-1 16,-2-24 8,11 25-24,-1-2 104,3-2 88,5 2-304,2-4-8,4 0-216,-24-19 360,27 20-625,3-5-63,3 1-392,3-3-296,2-1-337,4-3-215,-42-9 1928,46 10-1592,0-6 535,6 5 449,2-6-2280,-54-3 2888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2" zoomScale="130" zoomScaleNormal="100" zoomScaleSheetLayoutView="130" workbookViewId="0">
      <selection activeCell="F8" sqref="F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179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1" t="s">
        <v>8</v>
      </c>
      <c r="C2" s="55" t="s">
        <v>41</v>
      </c>
      <c r="D2" s="55"/>
      <c r="E2" s="11" t="s">
        <v>7</v>
      </c>
      <c r="F2" s="50">
        <v>45944</v>
      </c>
      <c r="G2" s="50"/>
      <c r="H2" s="50"/>
      <c r="I2" s="50"/>
      <c r="J2" s="50"/>
    </row>
    <row r="3" spans="1:10" ht="30" customHeight="1" x14ac:dyDescent="0.3">
      <c r="B3" s="11" t="s">
        <v>9</v>
      </c>
      <c r="C3" s="55" t="s">
        <v>82</v>
      </c>
      <c r="D3" s="55"/>
      <c r="E3" s="11" t="s">
        <v>6</v>
      </c>
      <c r="F3" s="55" t="s">
        <v>92</v>
      </c>
      <c r="G3" s="55"/>
      <c r="H3" s="55"/>
      <c r="I3" s="55"/>
      <c r="J3" s="5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51" t="s">
        <v>0</v>
      </c>
      <c r="C5" s="52"/>
      <c r="D5" s="52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9"/>
      <c r="B6" s="53"/>
      <c r="C6" s="54"/>
      <c r="D6" s="54"/>
      <c r="E6" s="10" t="s">
        <v>3</v>
      </c>
      <c r="F6" s="10" t="s">
        <v>4</v>
      </c>
      <c r="G6" s="10" t="s">
        <v>23</v>
      </c>
      <c r="H6" s="10" t="s">
        <v>24</v>
      </c>
      <c r="I6" s="58"/>
      <c r="J6" s="59"/>
    </row>
    <row r="7" spans="1:10" ht="24.9" customHeight="1" x14ac:dyDescent="0.3">
      <c r="A7" s="9"/>
      <c r="B7" s="39" t="s">
        <v>21</v>
      </c>
      <c r="C7" s="40"/>
      <c r="D7" s="40"/>
      <c r="E7" s="28" t="s">
        <v>18</v>
      </c>
      <c r="F7" s="28" t="s">
        <v>19</v>
      </c>
      <c r="G7" s="28" t="s">
        <v>22</v>
      </c>
      <c r="H7" s="28" t="s">
        <v>20</v>
      </c>
      <c r="I7" s="42" t="s">
        <v>25</v>
      </c>
      <c r="J7" s="43"/>
    </row>
    <row r="8" spans="1:10" ht="39.9" customHeight="1" x14ac:dyDescent="0.3">
      <c r="A8" s="9"/>
      <c r="B8" s="60" t="s">
        <v>180</v>
      </c>
      <c r="C8" s="60"/>
      <c r="D8" s="60"/>
      <c r="E8" s="30">
        <v>3</v>
      </c>
      <c r="F8" s="27">
        <v>2</v>
      </c>
      <c r="G8" s="31">
        <f>IFERROR(F8/E8,"")</f>
        <v>0.66666666666666663</v>
      </c>
      <c r="H8" s="32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41"/>
      <c r="J8" s="41"/>
    </row>
    <row r="9" spans="1:10" ht="39.9" customHeight="1" x14ac:dyDescent="0.3">
      <c r="A9" s="9"/>
      <c r="B9" s="60" t="s">
        <v>181</v>
      </c>
      <c r="C9" s="60"/>
      <c r="D9" s="60"/>
      <c r="E9" s="30">
        <v>3</v>
      </c>
      <c r="F9" s="27">
        <v>2.25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1"/>
    </row>
    <row r="10" spans="1:10" ht="39.9" customHeight="1" x14ac:dyDescent="0.3">
      <c r="A10" s="9"/>
      <c r="B10" s="60" t="s">
        <v>182</v>
      </c>
      <c r="C10" s="60"/>
      <c r="D10" s="60"/>
      <c r="E10" s="30">
        <v>3</v>
      </c>
      <c r="F10" s="27">
        <v>2.25</v>
      </c>
      <c r="G10" s="31">
        <f t="shared" ref="G10:G14" si="0">IFERROR(F10/E10,"")</f>
        <v>0.75</v>
      </c>
      <c r="H10" s="32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1"/>
    </row>
    <row r="11" spans="1:10" ht="39.9" customHeight="1" x14ac:dyDescent="0.3">
      <c r="A11" s="9"/>
      <c r="B11" s="60" t="s">
        <v>183</v>
      </c>
      <c r="C11" s="60"/>
      <c r="D11" s="60"/>
      <c r="E11" s="30">
        <v>3</v>
      </c>
      <c r="F11" s="27">
        <v>2.25</v>
      </c>
      <c r="G11" s="31">
        <f t="shared" si="0"/>
        <v>0.75</v>
      </c>
      <c r="H11" s="32" t="str">
        <f t="shared" si="1"/>
        <v>جيد</v>
      </c>
      <c r="I11" s="41"/>
      <c r="J11" s="41"/>
    </row>
    <row r="12" spans="1:10" ht="39.9" customHeight="1" x14ac:dyDescent="0.3">
      <c r="A12" s="9"/>
      <c r="B12" s="60" t="s">
        <v>184</v>
      </c>
      <c r="C12" s="60"/>
      <c r="D12" s="60"/>
      <c r="E12" s="30">
        <v>3</v>
      </c>
      <c r="F12" s="27">
        <v>2.25</v>
      </c>
      <c r="G12" s="31">
        <f t="shared" si="0"/>
        <v>0.75</v>
      </c>
      <c r="H12" s="32" t="str">
        <f t="shared" si="1"/>
        <v>جيد</v>
      </c>
      <c r="I12" s="41"/>
      <c r="J12" s="41"/>
    </row>
    <row r="13" spans="1:10" ht="39.9" customHeight="1" x14ac:dyDescent="0.3">
      <c r="A13" s="9"/>
      <c r="B13" s="60" t="s">
        <v>185</v>
      </c>
      <c r="C13" s="60"/>
      <c r="D13" s="60"/>
      <c r="E13" s="30">
        <v>3</v>
      </c>
      <c r="F13" s="27">
        <v>2.25</v>
      </c>
      <c r="G13" s="31">
        <f t="shared" si="0"/>
        <v>0.75</v>
      </c>
      <c r="H13" s="32" t="str">
        <f t="shared" si="1"/>
        <v>جيد</v>
      </c>
      <c r="I13" s="41"/>
      <c r="J13" s="41"/>
    </row>
    <row r="14" spans="1:10" ht="39.9" customHeight="1" x14ac:dyDescent="0.3">
      <c r="A14" s="9"/>
      <c r="B14" s="60" t="s">
        <v>186</v>
      </c>
      <c r="C14" s="60"/>
      <c r="D14" s="60"/>
      <c r="E14" s="30">
        <v>3</v>
      </c>
      <c r="F14" s="27">
        <v>2</v>
      </c>
      <c r="G14" s="31">
        <f t="shared" si="0"/>
        <v>0.66666666666666663</v>
      </c>
      <c r="H14" s="32" t="str">
        <f t="shared" si="1"/>
        <v>مقبول</v>
      </c>
      <c r="I14" s="41"/>
      <c r="J14" s="41"/>
    </row>
    <row r="15" spans="1:10" ht="30" customHeight="1" thickBot="1" x14ac:dyDescent="0.35">
      <c r="A15" s="4"/>
      <c r="B15" s="67" t="s">
        <v>5</v>
      </c>
      <c r="C15" s="68"/>
      <c r="D15" s="68"/>
      <c r="E15" s="29">
        <f>SUM(E8:E14)</f>
        <v>21</v>
      </c>
      <c r="F15" s="29">
        <f>SUM(F8:F14)</f>
        <v>15.25</v>
      </c>
      <c r="G15" s="34"/>
      <c r="H15" s="35"/>
      <c r="I15" s="35"/>
      <c r="J15" s="36"/>
    </row>
    <row r="16" spans="1:10" ht="30" customHeight="1" thickBot="1" x14ac:dyDescent="0.35">
      <c r="A16" s="4"/>
      <c r="B16" s="69" t="s">
        <v>54</v>
      </c>
      <c r="C16" s="70"/>
      <c r="D16" s="70"/>
      <c r="E16" s="37">
        <f>F15/E15/100*100</f>
        <v>0.72619047619047616</v>
      </c>
      <c r="F16" s="37"/>
      <c r="G16" s="37"/>
      <c r="H16" s="37"/>
      <c r="I16" s="37"/>
      <c r="J16" s="38"/>
    </row>
    <row r="17" spans="1:10" ht="30" customHeight="1" thickBot="1" x14ac:dyDescent="0.35">
      <c r="A17" s="4"/>
      <c r="B17" s="69" t="s">
        <v>55</v>
      </c>
      <c r="C17" s="70"/>
      <c r="D17" s="70"/>
      <c r="E17" s="47" t="str">
        <f>_xlfn.IFS(E16&gt;=90%,"ممتاز",E16&gt;=80%,"جيد جداً",E16&gt;=70%,"جيد",E16&gt;=60%,"مقبول",E16&lt;60%,"راسب")</f>
        <v>جيد</v>
      </c>
      <c r="F17" s="47"/>
      <c r="G17" s="47"/>
      <c r="H17" s="47"/>
      <c r="I17" s="47"/>
      <c r="J17" s="48"/>
    </row>
    <row r="18" spans="1:10" ht="42" customHeight="1" x14ac:dyDescent="0.3">
      <c r="B18" s="71" t="s">
        <v>178</v>
      </c>
      <c r="C18" s="71"/>
      <c r="D18" s="71"/>
      <c r="E18" s="44" t="s">
        <v>52</v>
      </c>
      <c r="F18" s="44"/>
      <c r="G18" s="45" t="s">
        <v>92</v>
      </c>
      <c r="H18" s="45"/>
      <c r="I18" s="45"/>
      <c r="J18" s="45"/>
    </row>
    <row r="19" spans="1:10" ht="51" customHeight="1" x14ac:dyDescent="0.3">
      <c r="A19" s="5"/>
      <c r="B19" s="72"/>
      <c r="C19" s="72"/>
      <c r="D19" s="72"/>
      <c r="E19" s="33" t="s">
        <v>53</v>
      </c>
      <c r="F19" s="33"/>
      <c r="G19" s="46"/>
      <c r="H19" s="46"/>
      <c r="I19" s="46"/>
      <c r="J19" s="46"/>
    </row>
    <row r="20" spans="1:10" ht="15.6" x14ac:dyDescent="0.3">
      <c r="A20" s="24">
        <v>3</v>
      </c>
      <c r="B20" s="61" t="s">
        <v>175</v>
      </c>
      <c r="C20" s="62"/>
    </row>
    <row r="21" spans="1:10" ht="15.6" x14ac:dyDescent="0.3">
      <c r="A21" s="25">
        <v>2</v>
      </c>
      <c r="B21" s="63" t="s">
        <v>176</v>
      </c>
      <c r="C21" s="64"/>
    </row>
    <row r="22" spans="1:10" ht="15.6" x14ac:dyDescent="0.3">
      <c r="A22" s="26">
        <v>1</v>
      </c>
      <c r="B22" s="65" t="s">
        <v>177</v>
      </c>
      <c r="C22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8">
    <mergeCell ref="B8:D8"/>
    <mergeCell ref="B9:D9"/>
    <mergeCell ref="B10:D10"/>
    <mergeCell ref="B11:D11"/>
    <mergeCell ref="B12:D12"/>
    <mergeCell ref="B13:D13"/>
    <mergeCell ref="B14:D14"/>
    <mergeCell ref="B20:C20"/>
    <mergeCell ref="B21:C21"/>
    <mergeCell ref="B22:C22"/>
    <mergeCell ref="B15:D15"/>
    <mergeCell ref="B16:D16"/>
    <mergeCell ref="B17:D17"/>
    <mergeCell ref="B18:D19"/>
    <mergeCell ref="B1:J1"/>
    <mergeCell ref="F2:J2"/>
    <mergeCell ref="B5:D6"/>
    <mergeCell ref="C2:D2"/>
    <mergeCell ref="C3:D3"/>
    <mergeCell ref="F3:J3"/>
    <mergeCell ref="E5:H5"/>
    <mergeCell ref="I5:J6"/>
    <mergeCell ref="E19:F19"/>
    <mergeCell ref="G15:J15"/>
    <mergeCell ref="E16:J16"/>
    <mergeCell ref="B7:D7"/>
    <mergeCell ref="I9:J9"/>
    <mergeCell ref="I7:J7"/>
    <mergeCell ref="I10:J10"/>
    <mergeCell ref="E18:F18"/>
    <mergeCell ref="G18:J18"/>
    <mergeCell ref="G19:J19"/>
    <mergeCell ref="E17:J17"/>
    <mergeCell ref="I8:J8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2025-10-15T17:32:40Z</dcterms:modified>
</cp:coreProperties>
</file>