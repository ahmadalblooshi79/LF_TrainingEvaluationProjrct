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78C6C7F-FACE-4ABD-9F15-8A7B65CFD6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2" i="2"/>
  <c r="H12" i="2"/>
  <c r="G13" i="2"/>
  <c r="H13" i="2" s="1"/>
  <c r="G14" i="2"/>
  <c r="H14" i="2" s="1"/>
  <c r="G15" i="2"/>
  <c r="H15" i="2" s="1"/>
  <c r="G16" i="2"/>
  <c r="H16" i="2"/>
  <c r="G18" i="2"/>
  <c r="H18" i="2" s="1"/>
  <c r="G19" i="2"/>
  <c r="H19" i="2" s="1"/>
  <c r="G20" i="2"/>
  <c r="H20" i="2" s="1"/>
  <c r="G21" i="2"/>
  <c r="H21" i="2"/>
  <c r="G22" i="2"/>
  <c r="H22" i="2"/>
  <c r="G23" i="2"/>
  <c r="H23" i="2"/>
  <c r="G24" i="2"/>
  <c r="H24" i="2"/>
  <c r="F25" i="2"/>
  <c r="E26" i="2" s="1"/>
  <c r="E27" i="2" s="1"/>
  <c r="E25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<sst xmlns="http://schemas.openxmlformats.org/spreadsheetml/2006/main" count="250" uniqueCount="194">
  <si>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</si>
  <si>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</si>
  <si>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</si>
  <si>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</si>
  <si>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</si>
  <si>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</si>
  <si>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</si>
  <si>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</si>
  <si>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</si>
  <si>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</si>
  <si>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</si>
  <si>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</si>
  <si>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</si>
  <si>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</si>
  <si>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</si>
  <si>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</si>
  <si>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</si>
  <si>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</si>
  <si>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</si>
  <si>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</si>
  <si>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</si>
  <si>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</si>
  <si>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</si>
  <si>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</si>
  <si>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</si>
  <si>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</si>
  <si>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</si>
  <si>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</si>
  <si>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</si>
  <si>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</si>
  <si>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</si>
  <si>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</si>
  <si>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</si>
  <si>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</si>
  <si>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</si>
  <si>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</si>
  <si>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</si>
  <si>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</si>
  <si>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</si>
  <si>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</si>
  <si>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</si>
  <si>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</si>
  <si>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</si>
  <si>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</si>
  <si>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</si>
  <si>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</si>
  <si>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</si>
  <si>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</si>
  <si>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</si>
  <si>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</si>
  <si>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</si>
  <si>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</si>
  <si>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</si>
  <si>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</si>
  <si>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</si>
  <si>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</si>
  <si>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</si>
  <si>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</si>
  <si>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</si>
  <si>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</si>
  <si>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</si>
  <si>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</si>
  <si>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</si>
  <si>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</si>
  <si>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</si>
  <si>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</si>
  <si>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</si>
  <si>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</si>
  <si>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</si>
  <si>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</si>
  <si>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</si>
  <si>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</si>
  <si>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</si>
  <si>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</si>
  <si>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</si>
  <si>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</si>
  <si>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</si>
  <si>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</si>
  <si>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</si>
  <si>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</si>
  <si>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</si>
  <si>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</si>
  <si>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</si>
  <si>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</si>
  <si>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</si>
  <si>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</si>
  <si>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</si>
  <si>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</si>
  <si>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</si>
  <si>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</si>
  <si>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</si>
  <si>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</si>
  <si>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</si>
  <si>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</si>
  <si>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</si>
  <si>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</si>
  <si>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</si>
  <si>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</si>
  <si>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</si>
  <si>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</si>
  <si>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</si>
  <si>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</si>
  <si>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</si>
  <si>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</si>
  <si>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</si>
  <si>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</si>
  <si>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</si>
  <si>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</si>
  <si>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</si>
  <si>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</si>
  <si>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</si>
  <si>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</si>
  <si>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</si>
  <si>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</si>
  <si>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</si>
  <si>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</si>
  <si>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</si>
  <si>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</si>
  <si>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</si>
  <si>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</si>
  <si>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</si>
  <si>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</si>
  <si>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</si>
  <si>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</si>
  <si>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</si>
  <si>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</si>
  <si>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</si>
  <si>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</si>
  <si>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</si>
  <si>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</si>
  <si>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</si>
  <si>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</si>
  <si>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</si>
  <si>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</si>
  <si>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</si>
  <si>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</si>
  <si>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</si>
  <si>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</si>
  <si>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</si>
  <si>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</si>
  <si>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</si>
  <si>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</si>
  <si>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</si>
  <si>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</si>
  <si>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</si>
  <si>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</si>
  <si>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</si>
  <si>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</si>
  <si>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</si>
  <si>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</si>
  <si>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</si>
  <si>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</si>
  <si>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</si>
  <si>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</si>
  <si>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</si>
  <si>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</si>
  <si>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</si>
  <si>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</si>
  <si>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</si>
  <si>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</si>
  <si>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</si>
  <si>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</si>
  <si>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</si>
  <si>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</si>
  <si>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</si>
  <si>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</si>
  <si>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</si>
  <si>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</si>
  <si>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</si>
  <si>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</si>
  <si>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</si>
  <si>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</si>
  <si>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</si>
  <si>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</si>
  <si>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</si>
  <si>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</si>
  <si>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</si>
  <si>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</si>
  <si>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</si>
  <si>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</si>
  <si>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</si>
  <si>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</si>
  <si>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</si>
  <si>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</si>
  <si>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</si>
  <si>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</si>
  <si>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</si>
  <si>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</si>
  <si>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</si>
  <si>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</si>
  <si>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</si>
  <si>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</si>
  <si>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مشاة راجلة في تنفيذ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</si>
  <si>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الموقع الحالي حسب أولوية الحركة والخطة الموضوعة.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</si>
</sst>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574848</xdr:colOff>
      <xdr:row>28</xdr:row>
      <xdr:rowOff>77605</xdr:rowOff>
    </xdr:from>
    <xdr:to>
      <xdr:col>8</xdr:col>
      <xdr:colOff>502962</xdr:colOff>
      <xdr:row>28</xdr:row>
      <xdr:rowOff>396925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3719B66-3B51-9C15-C0E7-E65C019814F9}"/>
                </a:ext>
              </a:extLst>
            </xdr14:cNvPr>
            <xdr14:cNvContentPartPr/>
          </xdr14:nvContentPartPr>
          <xdr14:nvPr macro=""/>
          <xdr14:xfrm>
            <a:off x="10423199838" y="13022640"/>
            <a:ext cx="1236960" cy="319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3719B66-3B51-9C15-C0E7-E65C019814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91198" y="13013640"/>
              <a:ext cx="1254600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454665</xdr:colOff>
      <xdr:row>28</xdr:row>
      <xdr:rowOff>133405</xdr:rowOff>
    </xdr:from>
    <xdr:to>
      <xdr:col>8</xdr:col>
      <xdr:colOff>540402</xdr:colOff>
      <xdr:row>28</xdr:row>
      <xdr:rowOff>500965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C2440B9-9535-3045-4B46-CB45D334804F}"/>
                </a:ext>
              </a:extLst>
            </xdr14:cNvPr>
            <xdr14:cNvContentPartPr/>
          </xdr14:nvContentPartPr>
          <xdr14:nvPr macro=""/>
          <xdr14:xfrm>
            <a:off x="10423162398" y="13078440"/>
            <a:ext cx="740160" cy="367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C2440B9-9535-3045-4B46-CB45D334804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53758" y="13069440"/>
              <a:ext cx="757800" cy="385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35:26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2527 612 2536,'0'0'0,"0"-2"40,-4-1-32,4 3-8,-3-4 0,0 1 40,1-1-32,2 2-8,0 0 8,0 0-48,0 2 40,0-1-8,0 0 16,0-1-16,0 1 0,1-1 8,0 1-16,-1 1 16,3-2 8,0 0-24,1 1 24,0 0-16,5-3 16,-5 0 0,-4 4-8,8-2 0,-3-2 0,7 1 8,-2 1 0,1-2-8,-2 0 8,-9 4-8,12-3 0,2-2 8,-2 0-8,2 0 0,3 1 0,-2-1 0,-15 5 0,17-10-8,0 7 8,2-1-8,1-6 0,1 8-8,0-3 8,-21 5 8,22-5 0,-2-4 0,2 6 0,-3 0 8,3-2 0,1 0 0,-23 5-8,20-5 8,3 2-8,-1-1 0,0 2 8,-1-1 0,1 2-8,-22 1 0,20-2 0,-1-1 0,1 2-8,-1 0 8,-2 0 0,1 1 0,-18 0 0,17 0 0,1 0-8,-1 0 8,-1 0-8,-1 0 8,-2 2-8,-13-2 8,13 0 0,1 3 0,-4-1 0,0 0 0,-5 1 0,6 0 0,-11-3 0,3 4 0,6 0 0,-8-1 0,3 1 8,-2 5 0,-1-6-8,-1-3 0,2 3 8,-2 1-8,0-2 8,0 1-8,-3 0 8,0 1 0,3-4-8,-10 4-16,7 5 8,-11-6-16,2 0 16,0 9 16,-4-8 8,16-4-16,-17 12 8,-1-9 0,-3 8 0,-1-7 0,-1 6-8,1-6 8,22-4-8,-22 12 8,-1-8-8,0 6 0,-2-6 0,1 8 0,-1-10 0,25-2 0,-26 11 0,1-7-8,-1 5-8,-1-5 0,0 6 16,1-8 8,26-2-8,-27 4 24,1-1-8,-2 0-8,0-1 8,-1 0-16,2-2 16,27 0-16,-28 0 8,-1 0 8,1 0-8,2-1 0,-1 0-8,-1-3 8,28 4-8,-27-3 16,0-2-16,0-5 16,1 7-16,1-7 16,1 7 8,24 3-24,-21-12 16,0 8-16,0-8-8,2 8-16,-1-6 16,0 6-16,20 4 24,-17-10 24,-1 7-40,3-1 0,-3-1 24,2 2-24,-1-1 32,17 4-16,-16-2-16,3 0 8,-2 0-32,-1 1 8,1 0 24,-1 1-32,16 0 40,-17 0 32,-1 0-32,1 0 8,-3 0 8,2 0 0,-1 0-8,19 0-8,-18 0-8,0 2 24,-1-2-32,2 3 40,0-3 8,1 0-32,16 0 0,-17 0-8,2 0 0,-1 0 0,2 0 32,0-4 24,0 1-32,14 3-16,-14-4 32,-1-1 0,1 0-8,1-4 88,0 5 16,1-7-16,12 11-112,-12-4 136,3-10 0,-2 5 0,0-2 48,1-1 24,-1-1 16,11 13-224,-9-13 216,-1-3 33,2 2 7,4-3 8,-9 1 0,9 0 0,4 16-264,-13-18 248,9 1-8,-8-1 32,9 1 0,-9 1-64,9-1-16,3 17-192,-10-17 96,8 0-16,-1-1-40,-1 2 0,0 3-56,2-1-32,2 14 48,0-12-56,-3-1-24,3 3-48,0 0 40,2 6-80,1-7-48,-3 11 216,4-10-176,6 6-64,-7-6 32,10 6 0,-3-5 0,1 5-8,-11 4 216,10-9-192,2 7 16,1-1 0,0-1 48,3 1 7,0 0 9,-16 3 112,18-3-64,2 0 8,0 0 24,3-1 0,3 2 0,-1-1-24,-25 3 56,25-2-40,1 1 16,-2-2 56,1 2-40,-2 0-24,1 0 16,-24 1 16,26-2-72,-2 2 48,1 0 0,-1 0-8,-1 4-8,-1-2 8,-22-2 32,21 10-48,-1-8 24,-1 8-16,-1-6 24,-1 8 16,-1-9-16,-16-3 16,16 15-24,0-6 24,-1-5-40,-3 9 8,2-9 0,-4 7-24,-10-11 56,10 4-24,0 8 8,-5-8 16,5 8-16,-6-9 16,-1 12 0,-3-15 0,3 3 16,1 10 0,-2-9 0,-1 8 16,-1-8 0,0 8 8,0-12-40,-2 3 48,-7 9 0,0-2 16,-2-7-8,-2 12 16,-3-6 16,16-9-88,-18 10 80,-1-1 16,-4 2-16,-2-1-8,-2-1 8,-3 2 0,30-11-80,-31 11 88,-2 1 9,-3 0-1,-2 0-16,1 1-8,-2 2-8,39-15-64,-41 13 64,-4 2 8,-2 0-16,0 0 0,-4 1 0,1 1-24,50-17-32,-51 16 0,-2 4-16,-3-2-16,0 0 40,-2 1 40,2-1 16,56-18-64,-58 19 64,4-1-8,-3-1 0,2-2 16,-2 1 0,-1-1-16,58-15-56,-56 16 32,-1 1-24,5-3-8,-3 2 16,3-2-8,1 0 24,51-14-32,-50 15 24,4-2 16,-2 0 16,5-2-24,3 0 16,1-8-16,39-3-32,-37 14 8,2-11 24,1 7-24,3-8-8,1 2-32,2-2-32,28-2 64,-25 4-96,3-2-24,3-2-32,2 0-8,3 0-16,-1 0-24,15 0 200,-10-1-240,7 0-177,-8-3-143,11-1 40,0-4 88,0 9 432,0-4-248,4-7 160,6 2 32,1-4-40,4-2-2128,-15 15 2224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35:27.8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1917 20 2320,'0'0'0,"21"-3"336,2-1-304,-23 4-32,27-3 48,-7-1-24,-4 0 0,-4 3-24,-3 0 8,-5 1 24,-4 0-32,3 0 96,0 0 64,-2 2 24,-1-2 56,-2 3-24,-2-1-16,4-2-200,-11 3 160,0-1-40,-1 2-32,-4 8-32,-2-9 16,-4 9-16,22-12-56,-25 10 56,-4-1-16,-2 1-8,-4 1 8,-3 0 1,0 2 15,38-13-56,-41 13 32,-2 0 0,-3 3-24,-3-2-8,0 0 48,-1 1 16,50-15-64,-52 15 64,2-1 0,-1 0-8,4 0-32,0-3 72,1 0 16,46-11-112,-44 3 56,1 9 0,3-8-48,1 7-8,5-9 48,2 2-40,32-4-8,-30 11 0,2-9-16,2 2-32,3-1 40,1 1-24,2-2-16,20-2 48,-18 3-56,0-3-32,2 0 16,3 0 24,1 0 24,3-2 8,9 2 16,-4-1 0,-7 0-8,9 0 16,-8-2 24,7 1-48,-7 1-24,10 1 40,-2-3-56,-9 2-8,9 1 16,-8 0 48,7 0 0,-7 0 0,10 0 0,-3 0 24,-6-1-16,6 1-8,-6 0-8,7 0 16,-2 2-16,4-2 8,-4 0 0,-5 0 32,9 3 0,-3-3-24,1 0-8,0 0-16,2 0 16,0 0-24,-3 2 24,3-2 8,0 0-48,0 3 0,0-3-16,0 0 56,0 0-88,0 0 31,0 0-39,0 2 0,0-2 0,0 0 8,0 0 88,0 0-64,0 0 8,0 0 40,0 0-8,-4 2 24,2-2 0,2 0 0,-9 0-16,6 3 16,-9-1 0,1 1 0,-1 0 16,1 1-16,11-4 0,-15 3 8,-1 7-8,0-8 24,-2 2 0,0 7 0,-3-9 24,21-2-48,-20 4 32,-3 8 8,0-10 8,-1 2 0,0 6-8,1-7-8,23-3-32,-24 9 32,1-6 0,0 8-16,0-9 0,2 8-8,0-8-16,21-2 8,-20 10 8,1-10 0,3 3 8,2 1 0,2-2 8,0-2-16,12 0-8,-10 0 0,1 0 8,5 0 9,-8-2-26,10-2-39,-8-1-128,10 5 176,-2-10-320,-2 5-104,0-8 0,2 2 120,0-2 96,2 0 128,0 13 80,0-15-32,0-2 0,0 2 8,1-2 8,2 1 0,2 3 16,-5 13 0,5-12 32,5 1 16,-8 7 0,3-8 0,6 7-16,-8-7-16,-3 12-16,12-5 16,-7-7-8,9 9 0,-3-8-8,2 7 8,2-7 0,-15 11-8,15-3 8,1-7 0,0 8 8,-1-2-8,-1 1 0,2 0 0,-16 3-8,14-1-8,1 0 16,-2 1-8,0 0 8,-1 2 8,0 2-16,-12-4 0,12 12 8,-2-10-8,0 10 8,2-8-8,-2 8-16,0-3 0,-10-9 16,4 10-16,7 1-8,-6-1 32,6 2 0,-7 0 0,10 2 8,-14-14-16,4 14 16,9 2-8,-10 2 0,9 1 8,-8 1 0,6 2 16,-10-22-32,4 22 56,7 4 48,-1 0 40,-6 0 64,9 3 24,-2 0 24,-11-29-256,12 30 232,3 2 8,4 1-7,1 0-33,4-1-8,4 0-40,-28-32-152,28 31 176,4 0-48,4-1-8,2 0 0,4-3-72,5 0 32,-47-27-80,50 23 72,1-4-16,6-2-16,4-5-8,2-3-40,5-6-32,-68-3 40,69 2-152,5-2-240,1 0-256,4-4-153,2-8 113,1 0 224,-82 12 464,88-16-232,5-2 144,0-5-2176,-93 23 2264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20" zoomScale="130" zoomScaleNormal="100" zoomScaleSheetLayoutView="130" workbookViewId="0">
      <selection activeCell="F23" sqref="F2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192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11" t="s">
        <v>8</v>
      </c>
      <c r="C2" s="70" t="s">
        <v>41</v>
      </c>
      <c r="D2" s="70"/>
      <c r="E2" s="11" t="s">
        <v>7</v>
      </c>
      <c r="F2" s="65">
        <v>45943</v>
      </c>
      <c r="G2" s="65"/>
      <c r="H2" s="65"/>
      <c r="I2" s="65"/>
      <c r="J2" s="65"/>
    </row>
    <row r="3" spans="1:10" ht="30" customHeight="1" x14ac:dyDescent="0.3">
      <c r="B3" s="11" t="s">
        <v>9</v>
      </c>
      <c r="C3" s="70" t="s">
        <v>82</v>
      </c>
      <c r="D3" s="70"/>
      <c r="E3" s="11" t="s">
        <v>6</v>
      </c>
      <c r="F3" s="70" t="s">
        <v>92</v>
      </c>
      <c r="G3" s="70"/>
      <c r="H3" s="70"/>
      <c r="I3" s="70"/>
      <c r="J3" s="7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6" t="s">
        <v>0</v>
      </c>
      <c r="C5" s="67"/>
      <c r="D5" s="67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10"/>
      <c r="B6" s="68"/>
      <c r="C6" s="69"/>
      <c r="D6" s="69"/>
      <c r="E6" s="20" t="s">
        <v>3</v>
      </c>
      <c r="F6" s="20" t="s">
        <v>4</v>
      </c>
      <c r="G6" s="20" t="s">
        <v>23</v>
      </c>
      <c r="H6" s="20" t="s">
        <v>24</v>
      </c>
      <c r="I6" s="55"/>
      <c r="J6" s="56"/>
    </row>
    <row r="7" spans="1:10" ht="24.9" customHeight="1" thickBot="1" x14ac:dyDescent="0.35">
      <c r="A7" s="10"/>
      <c r="B7" s="51" t="s">
        <v>21</v>
      </c>
      <c r="C7" s="52"/>
      <c r="D7" s="52"/>
      <c r="E7" s="28" t="s">
        <v>18</v>
      </c>
      <c r="F7" s="28" t="s">
        <v>19</v>
      </c>
      <c r="G7" s="28" t="s">
        <v>22</v>
      </c>
      <c r="H7" s="28" t="s">
        <v>20</v>
      </c>
      <c r="I7" s="57" t="s">
        <v>25</v>
      </c>
      <c r="J7" s="58"/>
    </row>
    <row r="8" spans="1:10" ht="39.9" customHeight="1" x14ac:dyDescent="0.3">
      <c r="A8" s="10"/>
      <c r="B8" s="61" t="s">
        <v>175</v>
      </c>
      <c r="C8" s="62"/>
      <c r="D8" s="62"/>
      <c r="E8" s="62"/>
      <c r="F8" s="62"/>
      <c r="G8" s="62"/>
      <c r="H8" s="62"/>
      <c r="I8" s="62"/>
      <c r="J8" s="63"/>
    </row>
    <row r="9" spans="1:10" ht="39.9" customHeight="1" x14ac:dyDescent="0.3">
      <c r="A9" s="10"/>
      <c r="B9" s="40" t="s">
        <v>193</v>
      </c>
      <c r="C9" s="41"/>
      <c r="D9" s="41"/>
      <c r="E9" s="9">
        <v>5</v>
      </c>
      <c r="F9" s="18">
        <v>4</v>
      </c>
      <c r="G9" s="30">
        <f t="shared" ref="G9:G24" si="0">IFERROR(F9/E9,"")</f>
        <v>0.8</v>
      </c>
      <c r="H9" s="31" t="str">
        <f t="shared" ref="H9:H24" si="1">_xlfn.IFS(F9="أدخل العلامة","",F9="لا ينطبق","تم الإلغاء",G9&gt;=90%,"ممتاز",G9&gt;=80%,"جيد جداً",G9&gt;=70%,"جيد",G9&gt;=60%,"مقبول",G9&lt;60%,"راسب")</f>
        <v>جيد جداً</v>
      </c>
      <c r="I9" s="47"/>
      <c r="J9" s="48"/>
    </row>
    <row r="10" spans="1:10" ht="39.9" customHeight="1" x14ac:dyDescent="0.3">
      <c r="A10" s="10"/>
      <c r="B10" s="59" t="s">
        <v>187</v>
      </c>
      <c r="C10" s="60"/>
      <c r="D10" s="60"/>
      <c r="E10" s="9">
        <v>5</v>
      </c>
      <c r="F10" s="18">
        <v>3.75</v>
      </c>
      <c r="G10" s="30">
        <f t="shared" si="0"/>
        <v>0.75</v>
      </c>
      <c r="H10" s="31" t="str">
        <f t="shared" si="1"/>
        <v>جيد</v>
      </c>
      <c r="I10" s="47"/>
      <c r="J10" s="48"/>
    </row>
    <row r="11" spans="1:10" ht="39.9" customHeight="1" x14ac:dyDescent="0.3">
      <c r="A11" s="10"/>
      <c r="B11" s="59" t="s">
        <v>188</v>
      </c>
      <c r="C11" s="60"/>
      <c r="D11" s="60"/>
      <c r="E11" s="35"/>
      <c r="F11" s="18"/>
      <c r="G11" s="30"/>
      <c r="H11" s="31"/>
      <c r="I11" s="47"/>
      <c r="J11" s="48"/>
    </row>
    <row r="12" spans="1:10" ht="39.9" customHeight="1" x14ac:dyDescent="0.3">
      <c r="A12" s="10"/>
      <c r="B12" s="36" t="s">
        <v>176</v>
      </c>
      <c r="C12" s="37"/>
      <c r="D12" s="37"/>
      <c r="E12" s="9">
        <v>5</v>
      </c>
      <c r="F12" s="18">
        <v>3.75</v>
      </c>
      <c r="G12" s="30">
        <f t="shared" si="0"/>
        <v>0.75</v>
      </c>
      <c r="H12" s="31" t="str">
        <f t="shared" si="1"/>
        <v>جيد</v>
      </c>
      <c r="I12" s="47"/>
      <c r="J12" s="48"/>
    </row>
    <row r="13" spans="1:10" ht="39.9" customHeight="1" x14ac:dyDescent="0.3">
      <c r="A13" s="10"/>
      <c r="B13" s="36" t="s">
        <v>177</v>
      </c>
      <c r="C13" s="37"/>
      <c r="D13" s="37"/>
      <c r="E13" s="9">
        <v>5</v>
      </c>
      <c r="F13" s="18">
        <v>4</v>
      </c>
      <c r="G13" s="30">
        <f t="shared" si="0"/>
        <v>0.8</v>
      </c>
      <c r="H13" s="31" t="str">
        <f t="shared" si="1"/>
        <v>جيد جداً</v>
      </c>
      <c r="I13" s="47"/>
      <c r="J13" s="48"/>
    </row>
    <row r="14" spans="1:10" ht="39.9" customHeight="1" x14ac:dyDescent="0.3">
      <c r="A14" s="10"/>
      <c r="B14" s="36" t="s">
        <v>178</v>
      </c>
      <c r="C14" s="37"/>
      <c r="D14" s="37"/>
      <c r="E14" s="9">
        <v>5</v>
      </c>
      <c r="F14" s="18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39.9" customHeight="1" x14ac:dyDescent="0.3">
      <c r="A15" s="10"/>
      <c r="B15" s="36" t="s">
        <v>179</v>
      </c>
      <c r="C15" s="37"/>
      <c r="D15" s="37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7"/>
      <c r="J15" s="48"/>
    </row>
    <row r="16" spans="1:10" ht="39.9" customHeight="1" x14ac:dyDescent="0.3">
      <c r="A16" s="10"/>
      <c r="B16" s="36" t="s">
        <v>180</v>
      </c>
      <c r="C16" s="37"/>
      <c r="D16" s="37"/>
      <c r="E16" s="9">
        <v>5</v>
      </c>
      <c r="F16" s="18">
        <v>3.75</v>
      </c>
      <c r="G16" s="30">
        <f t="shared" si="0"/>
        <v>0.75</v>
      </c>
      <c r="H16" s="31" t="str">
        <f t="shared" si="1"/>
        <v>جيد</v>
      </c>
      <c r="I16" s="47"/>
      <c r="J16" s="48"/>
    </row>
    <row r="17" spans="1:10" ht="39.9" customHeight="1" x14ac:dyDescent="0.3">
      <c r="A17" s="10"/>
      <c r="B17" s="40" t="s">
        <v>189</v>
      </c>
      <c r="C17" s="41"/>
      <c r="D17" s="41"/>
      <c r="E17" s="9"/>
      <c r="F17" s="18"/>
      <c r="G17" s="30"/>
      <c r="H17" s="31"/>
      <c r="I17" s="47"/>
      <c r="J17" s="48"/>
    </row>
    <row r="18" spans="1:10" ht="39.9" customHeight="1" x14ac:dyDescent="0.3">
      <c r="A18" s="10"/>
      <c r="B18" s="36" t="s">
        <v>181</v>
      </c>
      <c r="C18" s="37"/>
      <c r="D18" s="37"/>
      <c r="E18" s="9">
        <v>5</v>
      </c>
      <c r="F18" s="18">
        <v>3.5</v>
      </c>
      <c r="G18" s="30">
        <f t="shared" si="0"/>
        <v>0.7</v>
      </c>
      <c r="H18" s="31" t="str">
        <f t="shared" si="1"/>
        <v>جيد</v>
      </c>
      <c r="I18" s="47"/>
      <c r="J18" s="48"/>
    </row>
    <row r="19" spans="1:10" ht="39.9" customHeight="1" x14ac:dyDescent="0.3">
      <c r="A19" s="10"/>
      <c r="B19" s="36" t="s">
        <v>182</v>
      </c>
      <c r="C19" s="37"/>
      <c r="D19" s="37"/>
      <c r="E19" s="9">
        <v>5</v>
      </c>
      <c r="F19" s="18">
        <v>3.5</v>
      </c>
      <c r="G19" s="30">
        <f t="shared" si="0"/>
        <v>0.7</v>
      </c>
      <c r="H19" s="31" t="str">
        <f t="shared" si="1"/>
        <v>جيد</v>
      </c>
      <c r="I19" s="47"/>
      <c r="J19" s="48"/>
    </row>
    <row r="20" spans="1:10" ht="39.9" customHeight="1" x14ac:dyDescent="0.3">
      <c r="A20" s="10"/>
      <c r="B20" s="36" t="s">
        <v>183</v>
      </c>
      <c r="C20" s="37"/>
      <c r="D20" s="37"/>
      <c r="E20" s="9">
        <v>5</v>
      </c>
      <c r="F20" s="18">
        <v>3.5</v>
      </c>
      <c r="G20" s="30">
        <f t="shared" si="0"/>
        <v>0.7</v>
      </c>
      <c r="H20" s="31" t="str">
        <f t="shared" si="1"/>
        <v>جيد</v>
      </c>
      <c r="I20" s="47"/>
      <c r="J20" s="48"/>
    </row>
    <row r="21" spans="1:10" ht="39.9" customHeight="1" x14ac:dyDescent="0.3">
      <c r="A21" s="10"/>
      <c r="B21" s="36" t="s">
        <v>184</v>
      </c>
      <c r="C21" s="37"/>
      <c r="D21" s="37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47"/>
      <c r="J21" s="48"/>
    </row>
    <row r="22" spans="1:10" ht="39.9" customHeight="1" x14ac:dyDescent="0.3">
      <c r="A22" s="10"/>
      <c r="B22" s="36" t="s">
        <v>185</v>
      </c>
      <c r="C22" s="37"/>
      <c r="D22" s="37"/>
      <c r="E22" s="9">
        <v>5</v>
      </c>
      <c r="F22" s="18">
        <v>3.75</v>
      </c>
      <c r="G22" s="30">
        <f t="shared" si="0"/>
        <v>0.75</v>
      </c>
      <c r="H22" s="31" t="str">
        <f t="shared" si="1"/>
        <v>جيد</v>
      </c>
      <c r="I22" s="47"/>
      <c r="J22" s="48"/>
    </row>
    <row r="23" spans="1:10" ht="39.9" customHeight="1" x14ac:dyDescent="0.3">
      <c r="A23" s="10"/>
      <c r="B23" s="36" t="s">
        <v>186</v>
      </c>
      <c r="C23" s="37"/>
      <c r="D23" s="37"/>
      <c r="E23" s="9">
        <v>5</v>
      </c>
      <c r="F23" s="18">
        <v>3.75</v>
      </c>
      <c r="G23" s="30">
        <f t="shared" si="0"/>
        <v>0.75</v>
      </c>
      <c r="H23" s="31" t="str">
        <f t="shared" si="1"/>
        <v>جيد</v>
      </c>
      <c r="I23" s="47"/>
      <c r="J23" s="48"/>
    </row>
    <row r="24" spans="1:10" ht="39.9" customHeight="1" thickBot="1" x14ac:dyDescent="0.35">
      <c r="A24" s="10"/>
      <c r="B24" s="38" t="s">
        <v>190</v>
      </c>
      <c r="C24" s="39"/>
      <c r="D24" s="39"/>
      <c r="E24" s="32">
        <v>5</v>
      </c>
      <c r="F24" s="19">
        <v>3.5</v>
      </c>
      <c r="G24" s="33">
        <f t="shared" si="0"/>
        <v>0.7</v>
      </c>
      <c r="H24" s="34" t="str">
        <f t="shared" si="1"/>
        <v>جيد</v>
      </c>
      <c r="I24" s="77"/>
      <c r="J24" s="78"/>
    </row>
    <row r="25" spans="1:10" ht="30" customHeight="1" thickBot="1" x14ac:dyDescent="0.35">
      <c r="A25" s="4"/>
      <c r="B25" s="79" t="s">
        <v>5</v>
      </c>
      <c r="C25" s="80"/>
      <c r="D25" s="80"/>
      <c r="E25" s="29">
        <f>SUM(E8:E24)</f>
        <v>70</v>
      </c>
      <c r="F25" s="29">
        <f>SUM(F8:F24)</f>
        <v>51.5</v>
      </c>
      <c r="G25" s="44"/>
      <c r="H25" s="45"/>
      <c r="I25" s="45"/>
      <c r="J25" s="46"/>
    </row>
    <row r="26" spans="1:10" ht="30" customHeight="1" thickBot="1" x14ac:dyDescent="0.35">
      <c r="A26" s="4"/>
      <c r="B26" s="81" t="s">
        <v>54</v>
      </c>
      <c r="C26" s="82"/>
      <c r="D26" s="82"/>
      <c r="E26" s="49">
        <f>F25/E25/100*100</f>
        <v>0.73571428571428577</v>
      </c>
      <c r="F26" s="49"/>
      <c r="G26" s="49"/>
      <c r="H26" s="49"/>
      <c r="I26" s="49"/>
      <c r="J26" s="50"/>
    </row>
    <row r="27" spans="1:10" ht="30" customHeight="1" thickBot="1" x14ac:dyDescent="0.35">
      <c r="A27" s="4"/>
      <c r="B27" s="81" t="s">
        <v>55</v>
      </c>
      <c r="C27" s="82"/>
      <c r="D27" s="82"/>
      <c r="E27" s="75" t="str">
        <f>_xlfn.IFS(E26&gt;=90%,"ممتاز",E26&gt;=80%,"جيد جداً",E26&gt;=70%,"جيد",E26&gt;=60%,"مقبول",E26&lt;60%,"راسب")</f>
        <v>جيد</v>
      </c>
      <c r="F27" s="75"/>
      <c r="G27" s="75"/>
      <c r="H27" s="75"/>
      <c r="I27" s="75"/>
      <c r="J27" s="76"/>
    </row>
    <row r="28" spans="1:10" ht="42" customHeight="1" x14ac:dyDescent="0.3">
      <c r="B28" s="71" t="s">
        <v>191</v>
      </c>
      <c r="C28" s="71"/>
      <c r="D28" s="71"/>
      <c r="E28" s="42" t="s">
        <v>52</v>
      </c>
      <c r="F28" s="42"/>
      <c r="G28" s="73" t="s">
        <v>92</v>
      </c>
      <c r="H28" s="73"/>
      <c r="I28" s="73"/>
      <c r="J28" s="73"/>
    </row>
    <row r="29" spans="1:10" ht="51" customHeight="1" x14ac:dyDescent="0.3">
      <c r="A29" s="5"/>
      <c r="B29" s="72"/>
      <c r="C29" s="72"/>
      <c r="D29" s="72"/>
      <c r="E29" s="43" t="s">
        <v>53</v>
      </c>
      <c r="F29" s="43"/>
      <c r="G29" s="74"/>
      <c r="H29" s="74"/>
      <c r="I29" s="74"/>
      <c r="J29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28:D29"/>
    <mergeCell ref="G28:J28"/>
    <mergeCell ref="G29:J29"/>
    <mergeCell ref="E27:J27"/>
    <mergeCell ref="I12:J12"/>
    <mergeCell ref="I13:J13"/>
    <mergeCell ref="I14:J14"/>
    <mergeCell ref="I15:J15"/>
    <mergeCell ref="I16:J16"/>
    <mergeCell ref="I21:J21"/>
    <mergeCell ref="I22:J22"/>
    <mergeCell ref="I23:J23"/>
    <mergeCell ref="I24:J24"/>
    <mergeCell ref="B25:D25"/>
    <mergeCell ref="B26:D26"/>
    <mergeCell ref="B27:D27"/>
    <mergeCell ref="B1:J1"/>
    <mergeCell ref="F2:J2"/>
    <mergeCell ref="B5:D6"/>
    <mergeCell ref="C2:D2"/>
    <mergeCell ref="C3:D3"/>
    <mergeCell ref="F3:J3"/>
    <mergeCell ref="B12:D12"/>
    <mergeCell ref="B13:D13"/>
    <mergeCell ref="B14:D14"/>
    <mergeCell ref="B15:D15"/>
    <mergeCell ref="B8:J8"/>
    <mergeCell ref="B7:D7"/>
    <mergeCell ref="I10:J10"/>
    <mergeCell ref="I11:J11"/>
    <mergeCell ref="E5:H5"/>
    <mergeCell ref="I9:J9"/>
    <mergeCell ref="I5:J6"/>
    <mergeCell ref="I7:J7"/>
    <mergeCell ref="B9:D9"/>
    <mergeCell ref="B10:D10"/>
    <mergeCell ref="B11:D11"/>
    <mergeCell ref="E28:F28"/>
    <mergeCell ref="E29:F29"/>
    <mergeCell ref="G25:J25"/>
    <mergeCell ref="I17:J17"/>
    <mergeCell ref="I18:J18"/>
    <mergeCell ref="I19:J19"/>
    <mergeCell ref="I20:J20"/>
    <mergeCell ref="E26:J26"/>
    <mergeCell ref="B21:D21"/>
    <mergeCell ref="B22:D22"/>
    <mergeCell ref="B23:D23"/>
    <mergeCell ref="B24:D24"/>
    <mergeCell ref="B16:D16"/>
    <mergeCell ref="B17:D17"/>
    <mergeCell ref="B18:D18"/>
    <mergeCell ref="B19:D19"/>
    <mergeCell ref="B20:D2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14" priority="57">
      <formula>$E27="راسب"</formula>
    </cfRule>
  </conditionalFormatting>
  <conditionalFormatting sqref="E27:J27">
    <cfRule type="expression" dxfId="13" priority="58">
      <formula>$E27="مقبول"</formula>
    </cfRule>
    <cfRule type="expression" dxfId="12" priority="59">
      <formula>$E27="جيد"</formula>
    </cfRule>
    <cfRule type="expression" dxfId="11" priority="60">
      <formula>$E27="جيد جداً"</formula>
    </cfRule>
    <cfRule type="expression" dxfId="10" priority="61">
      <formula>$E27="ممتاز"</formula>
    </cfRule>
  </conditionalFormatting>
  <conditionalFormatting sqref="F9:F24">
    <cfRule type="containsText" dxfId="9" priority="1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6" priority="15" operator="containsText" text="أدخل اسم المحكم">
      <formula>NOT(ISERROR(SEARCH("أدخل اسم المحكم",G28)))</formula>
    </cfRule>
  </conditionalFormatting>
  <conditionalFormatting sqref="H9:H24">
    <cfRule type="containsText" dxfId="5" priority="38" operator="containsText" text="أدخل العلامة">
      <formula>NOT(ISERROR(SEARCH("أدخل العلامة",H9)))</formula>
    </cfRule>
    <cfRule type="containsText" dxfId="4" priority="39" operator="containsText" text="ممتاز">
      <formula>NOT(ISERROR(SEARCH("ممتاز",H9)))</formula>
    </cfRule>
    <cfRule type="containsText" dxfId="3" priority="40" operator="containsText" text="جيد جداً">
      <formula>NOT(ISERROR(SEARCH("جيد جداً",H9)))</formula>
    </cfRule>
    <cfRule type="containsText" dxfId="2" priority="41" operator="containsText" text="جيد">
      <formula>NOT(ISERROR(SEARCH("جيد",H9)))</formula>
    </cfRule>
    <cfRule type="containsText" dxfId="1" priority="42" operator="containsText" text="مقبول">
      <formula>NOT(ISERROR(SEARCH("مقبول",H9)))</formula>
    </cfRule>
    <cfRule type="containsText" dxfId="0" priority="43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F18:F24 F12:F16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G28:J28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102</v>
      </c>
    </row>
    <row r="213" spans="1:1" ht="20.100000000000001" customHeight="1" x14ac:dyDescent="0.3">
      <c r="A213" s="22" t="s">
        <v>103</v>
      </c>
    </row>
    <row r="214" spans="1:1" ht="20.100000000000001" customHeight="1" x14ac:dyDescent="0.3">
      <c r="A214" s="22" t="s">
        <v>104</v>
      </c>
    </row>
    <row r="215" spans="1:1" ht="20.100000000000001" customHeight="1" x14ac:dyDescent="0.3">
      <c r="A215" s="22" t="s">
        <v>105</v>
      </c>
    </row>
    <row r="216" spans="1:1" ht="20.100000000000001" customHeight="1" x14ac:dyDescent="0.3">
      <c r="A216" s="22" t="s">
        <v>106</v>
      </c>
    </row>
    <row r="217" spans="1:1" ht="20.100000000000001" customHeight="1" x14ac:dyDescent="0.3">
      <c r="A217" s="22" t="s">
        <v>107</v>
      </c>
    </row>
    <row r="218" spans="1:1" ht="20.100000000000001" customHeight="1" x14ac:dyDescent="0.3">
      <c r="A218" s="22" t="s">
        <v>108</v>
      </c>
    </row>
    <row r="219" spans="1:1" ht="20.100000000000001" customHeight="1" x14ac:dyDescent="0.3">
      <c r="A219" s="22" t="s">
        <v>109</v>
      </c>
    </row>
    <row r="220" spans="1:1" ht="20.100000000000001" customHeight="1" x14ac:dyDescent="0.3">
      <c r="A220" s="22" t="s">
        <v>110</v>
      </c>
    </row>
    <row r="221" spans="1:1" ht="20.100000000000001" customHeight="1" x14ac:dyDescent="0.3">
      <c r="A221" s="22" t="s">
        <v>111</v>
      </c>
    </row>
    <row r="222" spans="1:1" ht="20.100000000000001" customHeight="1" x14ac:dyDescent="0.3">
      <c r="A222" s="22" t="s">
        <v>112</v>
      </c>
    </row>
    <row r="223" spans="1:1" ht="20.100000000000001" customHeight="1" x14ac:dyDescent="0.3">
      <c r="A223" s="22" t="s">
        <v>113</v>
      </c>
    </row>
    <row r="224" spans="1:1" ht="20.100000000000001" customHeight="1" x14ac:dyDescent="0.3">
      <c r="A224" s="22" t="s">
        <v>114</v>
      </c>
    </row>
    <row r="225" spans="1:1" ht="20.100000000000001" customHeight="1" x14ac:dyDescent="0.3">
      <c r="A225" s="22" t="s">
        <v>115</v>
      </c>
    </row>
    <row r="226" spans="1:1" ht="20.100000000000001" customHeight="1" x14ac:dyDescent="0.3">
      <c r="A226" s="22" t="s">
        <v>116</v>
      </c>
    </row>
    <row r="227" spans="1:1" ht="20.100000000000001" customHeight="1" x14ac:dyDescent="0.3">
      <c r="A227" s="22" t="s">
        <v>117</v>
      </c>
    </row>
    <row r="228" spans="1:1" ht="20.100000000000001" customHeight="1" x14ac:dyDescent="0.3">
      <c r="A228" s="22" t="s">
        <v>118</v>
      </c>
    </row>
    <row r="229" spans="1:1" ht="20.100000000000001" customHeight="1" x14ac:dyDescent="0.3">
      <c r="A229" s="22" t="s">
        <v>119</v>
      </c>
    </row>
    <row r="230" spans="1:1" ht="20.100000000000001" customHeight="1" x14ac:dyDescent="0.3">
      <c r="A230" s="22" t="s">
        <v>120</v>
      </c>
    </row>
    <row r="231" spans="1:1" ht="20.100000000000001" customHeight="1" x14ac:dyDescent="0.3">
      <c r="A231" s="22" t="s">
        <v>121</v>
      </c>
    </row>
    <row r="232" spans="1:1" ht="20.100000000000001" customHeight="1" x14ac:dyDescent="0.3">
      <c r="A232" s="22" t="s">
        <v>122</v>
      </c>
    </row>
    <row r="233" spans="1:1" ht="20.100000000000001" customHeight="1" x14ac:dyDescent="0.3">
      <c r="A233" s="22" t="s">
        <v>123</v>
      </c>
    </row>
    <row r="234" spans="1:1" ht="20.100000000000001" customHeight="1" x14ac:dyDescent="0.3">
      <c r="A234" s="22" t="s">
        <v>124</v>
      </c>
    </row>
    <row r="235" spans="1:1" ht="20.100000000000001" customHeight="1" x14ac:dyDescent="0.3">
      <c r="A235" s="24" t="s">
        <v>125</v>
      </c>
    </row>
    <row r="236" spans="1:1" ht="20.100000000000001" customHeight="1" x14ac:dyDescent="0.3">
      <c r="A236" s="22" t="s">
        <v>126</v>
      </c>
    </row>
    <row r="237" spans="1:1" ht="20.100000000000001" customHeight="1" x14ac:dyDescent="0.3">
      <c r="A237" s="22" t="s">
        <v>127</v>
      </c>
    </row>
    <row r="238" spans="1:1" ht="20.100000000000001" customHeight="1" x14ac:dyDescent="0.3">
      <c r="A238" s="22" t="s">
        <v>128</v>
      </c>
    </row>
    <row r="239" spans="1:1" ht="20.100000000000001" customHeight="1" x14ac:dyDescent="0.3">
      <c r="A239" s="22" t="s">
        <v>129</v>
      </c>
    </row>
    <row r="240" spans="1:1" ht="20.100000000000001" customHeight="1" x14ac:dyDescent="0.3">
      <c r="A240" s="22" t="s">
        <v>130</v>
      </c>
    </row>
    <row r="241" spans="1:1" ht="20.100000000000001" customHeight="1" x14ac:dyDescent="0.3">
      <c r="A241" s="22" t="s">
        <v>131</v>
      </c>
    </row>
    <row r="242" spans="1:1" ht="20.100000000000001" customHeight="1" x14ac:dyDescent="0.3">
      <c r="A242" s="22" t="s">
        <v>132</v>
      </c>
    </row>
    <row r="243" spans="1:1" ht="20.100000000000001" customHeight="1" x14ac:dyDescent="0.3">
      <c r="A243" s="22" t="s">
        <v>133</v>
      </c>
    </row>
    <row r="244" spans="1:1" ht="20.100000000000001" customHeight="1" x14ac:dyDescent="0.3">
      <c r="A244" s="22" t="s">
        <v>134</v>
      </c>
    </row>
    <row r="245" spans="1:1" ht="20.100000000000001" customHeight="1" x14ac:dyDescent="0.3">
      <c r="A245" s="22" t="s">
        <v>135</v>
      </c>
    </row>
    <row r="246" spans="1:1" ht="20.100000000000001" customHeight="1" x14ac:dyDescent="0.3">
      <c r="A246" s="22" t="s">
        <v>136</v>
      </c>
    </row>
    <row r="247" spans="1:1" ht="20.100000000000001" customHeight="1" x14ac:dyDescent="0.3">
      <c r="A247" s="22" t="s">
        <v>127</v>
      </c>
    </row>
    <row r="248" spans="1:1" ht="20.100000000000001" customHeight="1" x14ac:dyDescent="0.3">
      <c r="A248" s="22" t="s">
        <v>137</v>
      </c>
    </row>
    <row r="249" spans="1:1" ht="20.100000000000001" customHeight="1" x14ac:dyDescent="0.3">
      <c r="A249" s="22" t="s">
        <v>138</v>
      </c>
    </row>
    <row r="250" spans="1:1" ht="20.100000000000001" customHeight="1" x14ac:dyDescent="0.3">
      <c r="A250" s="24" t="s">
        <v>139</v>
      </c>
    </row>
    <row r="251" spans="1:1" ht="20.100000000000001" customHeight="1" x14ac:dyDescent="0.3">
      <c r="A251" s="25" t="s">
        <v>140</v>
      </c>
    </row>
    <row r="252" spans="1:1" ht="20.100000000000001" customHeight="1" x14ac:dyDescent="0.3">
      <c r="A252" s="22" t="s">
        <v>141</v>
      </c>
    </row>
    <row r="253" spans="1:1" ht="20.100000000000001" customHeight="1" x14ac:dyDescent="0.3">
      <c r="A253" s="22" t="s">
        <v>142</v>
      </c>
    </row>
    <row r="254" spans="1:1" ht="20.100000000000001" customHeight="1" x14ac:dyDescent="0.3">
      <c r="A254" s="26" t="s">
        <v>143</v>
      </c>
    </row>
    <row r="255" spans="1:1" ht="20.100000000000001" customHeight="1" x14ac:dyDescent="0.3">
      <c r="A255" s="26" t="s">
        <v>144</v>
      </c>
    </row>
    <row r="256" spans="1:1" ht="20.100000000000001" customHeight="1" x14ac:dyDescent="0.3">
      <c r="A256" s="27" t="s">
        <v>145</v>
      </c>
    </row>
    <row r="257" spans="1:1" ht="20.100000000000001" customHeight="1" x14ac:dyDescent="0.3">
      <c r="A257" s="22" t="s">
        <v>146</v>
      </c>
    </row>
    <row r="258" spans="1:1" ht="20.100000000000001" customHeight="1" x14ac:dyDescent="0.3">
      <c r="A258" s="27" t="s">
        <v>147</v>
      </c>
    </row>
    <row r="259" spans="1:1" ht="20.100000000000001" customHeight="1" x14ac:dyDescent="0.3">
      <c r="A259" s="22" t="s">
        <v>148</v>
      </c>
    </row>
    <row r="260" spans="1:1" ht="20.100000000000001" customHeight="1" x14ac:dyDescent="0.3">
      <c r="A260" s="27" t="s">
        <v>149</v>
      </c>
    </row>
    <row r="261" spans="1:1" ht="20.100000000000001" customHeight="1" x14ac:dyDescent="0.3">
      <c r="A261" s="22" t="s">
        <v>150</v>
      </c>
    </row>
    <row r="262" spans="1:1" ht="20.100000000000001" customHeight="1" x14ac:dyDescent="0.3">
      <c r="A262" s="22" t="s">
        <v>151</v>
      </c>
    </row>
    <row r="263" spans="1:1" ht="20.100000000000001" customHeight="1" x14ac:dyDescent="0.3">
      <c r="A263" s="27" t="s">
        <v>152</v>
      </c>
    </row>
    <row r="264" spans="1:1" ht="20.100000000000001" customHeight="1" x14ac:dyDescent="0.3">
      <c r="A264" s="27" t="s">
        <v>153</v>
      </c>
    </row>
    <row r="265" spans="1:1" ht="20.100000000000001" customHeight="1" x14ac:dyDescent="0.3">
      <c r="A265" s="27" t="s">
        <v>154</v>
      </c>
    </row>
    <row r="266" spans="1:1" ht="20.100000000000001" customHeight="1" x14ac:dyDescent="0.3">
      <c r="A266" s="22" t="s">
        <v>155</v>
      </c>
    </row>
    <row r="267" spans="1:1" ht="20.100000000000001" customHeight="1" x14ac:dyDescent="0.3">
      <c r="A267" s="22" t="s">
        <v>156</v>
      </c>
    </row>
    <row r="268" spans="1:1" ht="20.100000000000001" customHeight="1" x14ac:dyDescent="0.3">
      <c r="A268" s="22" t="s">
        <v>157</v>
      </c>
    </row>
    <row r="269" spans="1:1" ht="20.100000000000001" customHeight="1" x14ac:dyDescent="0.3">
      <c r="A269" s="22" t="s">
        <v>158</v>
      </c>
    </row>
    <row r="270" spans="1:1" ht="20.100000000000001" customHeight="1" x14ac:dyDescent="0.3">
      <c r="A270" s="27" t="s">
        <v>159</v>
      </c>
    </row>
    <row r="271" spans="1:1" ht="20.100000000000001" customHeight="1" x14ac:dyDescent="0.3">
      <c r="A271" s="27" t="s">
        <v>160</v>
      </c>
    </row>
    <row r="272" spans="1:1" ht="20.100000000000001" customHeight="1" x14ac:dyDescent="0.3">
      <c r="A272" s="22" t="s">
        <v>161</v>
      </c>
    </row>
    <row r="273" spans="1:1" ht="20.100000000000001" customHeight="1" x14ac:dyDescent="0.3">
      <c r="A273" s="27" t="s">
        <v>162</v>
      </c>
    </row>
    <row r="274" spans="1:1" ht="20.100000000000001" customHeight="1" x14ac:dyDescent="0.3">
      <c r="A274" s="27" t="s">
        <v>163</v>
      </c>
    </row>
    <row r="275" spans="1:1" ht="20.100000000000001" customHeight="1" x14ac:dyDescent="0.3">
      <c r="A275" s="22" t="s">
        <v>164</v>
      </c>
    </row>
    <row r="276" spans="1:1" ht="20.100000000000001" customHeight="1" x14ac:dyDescent="0.3">
      <c r="A276" s="22" t="s">
        <v>165</v>
      </c>
    </row>
    <row r="277" spans="1:1" ht="20.100000000000001" customHeight="1" x14ac:dyDescent="0.3">
      <c r="A277" s="27" t="s">
        <v>166</v>
      </c>
    </row>
    <row r="278" spans="1:1" ht="20.100000000000001" customHeight="1" x14ac:dyDescent="0.3">
      <c r="A278" s="22" t="s">
        <v>167</v>
      </c>
    </row>
    <row r="279" spans="1:1" ht="20.100000000000001" customHeight="1" x14ac:dyDescent="0.3">
      <c r="A279" s="22" t="s">
        <v>168</v>
      </c>
    </row>
    <row r="280" spans="1:1" ht="20.100000000000001" customHeight="1" x14ac:dyDescent="0.3">
      <c r="A280" s="22" t="s">
        <v>169</v>
      </c>
    </row>
    <row r="281" spans="1:1" ht="20.100000000000001" customHeight="1" x14ac:dyDescent="0.3">
      <c r="A281" s="22" t="s">
        <v>170</v>
      </c>
    </row>
    <row r="282" spans="1:1" ht="20.100000000000001" customHeight="1" x14ac:dyDescent="0.3">
      <c r="A282" s="27" t="s">
        <v>171</v>
      </c>
    </row>
    <row r="283" spans="1:1" ht="20.100000000000001" customHeight="1" x14ac:dyDescent="0.3">
      <c r="A283" s="27" t="s">
        <v>172</v>
      </c>
    </row>
    <row r="284" spans="1:1" ht="20.100000000000001" customHeight="1" x14ac:dyDescent="0.3">
      <c r="A284" s="27" t="s">
        <v>173</v>
      </c>
    </row>
    <row r="285" spans="1:1" ht="20.100000000000001" customHeight="1" thickBot="1" x14ac:dyDescent="0.35">
      <c r="A285" s="22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2025-10-15T17:42:16Z</dcterms:modified>
</cp:coreProperties>
</file>