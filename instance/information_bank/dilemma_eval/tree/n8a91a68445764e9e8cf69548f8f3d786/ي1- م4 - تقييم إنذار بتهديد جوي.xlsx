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F0E00FEA-403D-144C-9EDF-FCE6763319C5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2" l="1"/>
  <c r="H17" i="2"/>
  <c r="G9" i="2"/>
  <c r="H9" i="2"/>
  <c r="G15" i="2"/>
  <c r="H15" i="2"/>
  <c r="G14" i="2"/>
  <c r="H14" i="2"/>
  <c r="G10" i="2"/>
  <c r="H10" i="2"/>
  <c r="G12" i="2"/>
  <c r="H12" i="2"/>
  <c r="G11" i="2"/>
  <c r="H11" i="2"/>
  <c r="G13" i="2"/>
  <c r="H13" i="2"/>
  <c r="G16" i="2"/>
  <c r="H16" i="2"/>
  <c r="G18" i="2"/>
  <c r="H18" i="2"/>
  <c r="G8" i="2"/>
  <c r="H8" i="2"/>
  <c r="F19" i="2"/>
  <c r="E19" i="2"/>
  <c r="E20" i="2"/>
  <c r="E21" i="2"/>
</calcChain>
</file>

<file path=xl/sharedStrings.xml><?xml version="1.0" encoding="utf-8"?>
<sst xmlns="http://schemas.openxmlformats.org/spreadsheetml/2006/main" count="247" uniqueCount="191">
  <si>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</si>
  <si>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</si>
  <si>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</si>
  <si>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</si>
  <si>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</si>
  <si>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</si>
  <si>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</si>
  <si>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</si>
  <si>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</si>
  <si>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</si>
  <si>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</si>
  <si>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</si>
  <si>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</si>
  <si>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</si>
  <si>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</si>
  <si>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</si>
  <si>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</si>
  <si>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</si>
  <si>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</si>
  <si>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</si>
  <si>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</si>
  <si>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</si>
  <si>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</si>
  <si>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</si>
  <si>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</si>
  <si>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</si>
  <si>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</si>
  <si>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</si>
  <si>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</si>
  <si>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</si>
  <si>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</si>
  <si>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</si>
  <si>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</si>
  <si>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</si>
  <si>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</si>
  <si>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</si>
  <si>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</si>
  <si>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</si>
  <si>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</si>
  <si>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</si>
  <si>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</si>
  <si>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</si>
  <si>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</si>
  <si>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</si>
  <si>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</si>
  <si>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</si>
  <si>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</si>
  <si>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</si>
  <si>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</si>
  <si>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</si>
  <si>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</si>
  <si>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</si>
  <si>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</si>
  <si>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</si>
  <si>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</si>
  <si>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</si>
  <si>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</si>
  <si>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</si>
  <si>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</si>
  <si>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</si>
  <si>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</si>
  <si>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</si>
  <si>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</si>
  <si>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</si>
  <si>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</si>
  <si>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</si>
  <si>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</si>
  <si>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</si>
  <si>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</si>
  <si>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</si>
  <si>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</si>
  <si>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</si>
  <si>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</si>
  <si>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</si>
  <si>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</si>
  <si>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</si>
  <si>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</si>
  <si>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</si>
  <si>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</si>
  <si>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</si>
  <si>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</si>
  <si>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</si>
  <si>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</si>
  <si>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</si>
  <si>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</si>
  <si>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</si>
  <si>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</si>
  <si>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</si>
  <si>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</si>
  <si>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</si>
  <si>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</si>
  <si>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</si>
  <si>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</si>
  <si>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</si>
  <si>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</si>
  <si>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</si>
  <si>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</si>
  <si>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</si>
  <si>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</si>
  <si>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</si>
  <si>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</si>
  <si>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</si>
  <si>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</si>
  <si>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</si>
  <si>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</si>
  <si>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</si>
  <si>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</si>
  <si>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</si>
  <si>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</si>
  <si>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</si>
  <si>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</si>
  <si>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</si>
  <si>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</si>
  <si>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</si>
  <si>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</si>
  <si>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</si>
  <si>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</si>
  <si>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</si>
  <si>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</si>
  <si>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</si>
  <si>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</si>
  <si>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</si>
  <si>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</si>
  <si>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</si>
  <si>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</si>
  <si>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</si>
  <si>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</si>
  <si>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</si>
  <si>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</si>
  <si>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</si>
  <si>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</si>
  <si>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</si>
  <si>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</si>
  <si>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</si>
  <si>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</si>
  <si>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</si>
  <si>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</si>
  <si>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</si>
  <si>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</si>
  <si>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</si>
  <si>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</si>
  <si>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</si>
  <si>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</si>
  <si>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</si>
  <si>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</si>
  <si>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</si>
  <si>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</si>
  <si>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</si>
  <si>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</si>
  <si>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</si>
  <si>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</si>
  <si>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</si>
  <si>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</si>
  <si>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</si>
  <si>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</si>
  <si>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</si>
  <si>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</si>
  <si>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</si>
  <si>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</si>
  <si>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</si>
  <si>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</si>
  <si>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</si>
  <si>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</si>
  <si>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</si>
  <si>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</si>
  <si>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</si>
  <si>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</si>
  <si>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</si>
  <si>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</si>
  <si>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</si>
  <si>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</si>
  <si>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</si>
  <si>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</si>
  <si>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</si>
  <si>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</si>
  <si>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مدرب</t>
  </si>
  <si>
    <t>يحتاج تدريب</t>
  </si>
  <si>
    <t>غير مدرب</t>
  </si>
  <si>
    <r>
      <t>4.</t>
    </r>
    <r>
      <rPr>
        <sz val="14"/>
        <color rgb="FF000000"/>
        <rFont val="Times New Roman"/>
        <family val="1"/>
      </rPr>
      <t>     تنفيذ إجراءات الانتشار والدفاع الجوي السلبي</t>
    </r>
    <r>
      <rPr>
        <sz val="14"/>
        <color rgb="FF000000"/>
        <rFont val="Arial"/>
        <family val="2"/>
      </rPr>
      <t>.</t>
    </r>
  </si>
  <si>
    <r>
      <t>5.</t>
    </r>
    <r>
      <rPr>
        <sz val="14"/>
        <color rgb="FF000000"/>
        <rFont val="Times New Roman"/>
        <family val="1"/>
      </rPr>
      <t>     التحول إلى إجراءات السيطرة اللامركزية</t>
    </r>
    <r>
      <rPr>
        <sz val="14"/>
        <color rgb="FF000000"/>
        <rFont val="Arial"/>
        <family val="2"/>
      </rPr>
      <t>.</t>
    </r>
  </si>
  <si>
    <t>2.    استخدام الكلمة الرمزية للإشارة إلى التهديد الجوي المعادي (تُكرر الكلمة الرمزية ثلاث مرات).</t>
  </si>
  <si>
    <t>11.    إذا نجح التهديد الجوي في إصابة إحدى الوحدات الصديقة، تُصدر الوحدة المتأثرة بالهجوم إنذار حسب إجراءات الإنذار المحددة مسبقاً.</t>
  </si>
  <si>
    <t>3.    إصدار الإنذار على شبكات القيادة والعمليات والاستخبارات والإدارة والإمداد ويحدد الإنذار اتجاه التهديد المعادي.</t>
  </si>
  <si>
    <t>7.    تمرير الأهداف الى وحدات الدفاع الجوي المجاورة.</t>
  </si>
  <si>
    <t>8.    تمرير بيانات الأهداف إلى وحدات الدفاع الجوي الأمامية (الكتف).</t>
  </si>
  <si>
    <t>9.    تغيير وضعية أسلحة الدفاع الجوي إذا تواجدت طائرات صديقة في منطقة العمليات، ويتخذ القائد هذا القرار حسب طبيعة الموقف.</t>
  </si>
  <si>
    <t>10.    التعامل مع أخطر وأقرب هدف والذي يشكل خطورة على مجموعة اللواء.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</si>
  <si>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</si>
  <si>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1.    انذار الجميع بالتهديد الجوي المعادي وذلك على اللاسلكي وحسب إجراءات الإنذار المحددة مسبقاً.</t>
  </si>
  <si>
    <t>6.    التنسيق مع القائد لحماية الأهداف ذات الأولوية.</t>
  </si>
  <si>
    <r>
      <rPr>
        <b/>
        <sz val="14"/>
        <color rgb="FF000000"/>
        <rFont val="Arial"/>
        <family val="2"/>
      </rPr>
      <t>اليوم/1 - تقييم معضلة/4 - رد الفعل على الإنذار بتهديد جوي</t>
    </r>
    <r>
      <rPr>
        <b/>
        <u/>
        <sz val="14"/>
        <color rgb="FF000000"/>
        <rFont val="Arial"/>
        <family val="2"/>
      </rPr>
      <t xml:space="preserve">
تقييم السرايا الراجلة / الآلية - 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</si>
</sst>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4"/>
      <color rgb="FF000000"/>
      <name val="Times New Roman"/>
      <family val="1"/>
    </font>
    <font>
      <sz val="14"/>
      <color rgb="FF000000"/>
      <name val="Courier New"/>
      <family val="3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8D08D"/>
        <bgColor indexed="64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9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3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6" borderId="3" xfId="0" applyFont="1" applyFill="1" applyBorder="1" applyAlignment="1">
      <alignment horizontal="center" vertical="center" wrapText="1" readingOrder="2"/>
    </xf>
    <xf numFmtId="0" fontId="3" fillId="3" borderId="3" xfId="0" applyFont="1" applyFill="1" applyBorder="1" applyAlignment="1">
      <alignment horizontal="center" vertical="center" wrapText="1" readingOrder="2"/>
    </xf>
    <xf numFmtId="0" fontId="3" fillId="5" borderId="3" xfId="0" applyFont="1" applyFill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14" fillId="0" borderId="3" xfId="0" applyFont="1" applyBorder="1" applyAlignment="1">
      <alignment horizontal="right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8" fillId="0" borderId="14" xfId="0" applyFont="1" applyBorder="1" applyAlignment="1">
      <alignment horizontal="right" vertical="center" wrapText="1" readingOrder="2"/>
    </xf>
    <xf numFmtId="0" fontId="8" fillId="0" borderId="24" xfId="0" applyFont="1" applyBorder="1" applyAlignment="1">
      <alignment horizontal="right" vertical="center" wrapText="1" readingOrder="2"/>
    </xf>
    <xf numFmtId="0" fontId="8" fillId="0" borderId="15" xfId="0" applyFont="1" applyBorder="1" applyAlignment="1">
      <alignment horizontal="right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3" fillId="6" borderId="14" xfId="0" applyFont="1" applyFill="1" applyBorder="1" applyAlignment="1">
      <alignment horizontal="center" vertical="center" wrapText="1" readingOrder="2"/>
    </xf>
    <xf numFmtId="0" fontId="3" fillId="6" borderId="15" xfId="0" applyFont="1" applyFill="1" applyBorder="1" applyAlignment="1">
      <alignment horizontal="center" vertical="center" wrapText="1" readingOrder="2"/>
    </xf>
    <xf numFmtId="0" fontId="3" fillId="3" borderId="14" xfId="0" applyFont="1" applyFill="1" applyBorder="1" applyAlignment="1">
      <alignment horizontal="center" vertical="center" wrapText="1" readingOrder="2"/>
    </xf>
    <xf numFmtId="0" fontId="3" fillId="3" borderId="15" xfId="0" applyFont="1" applyFill="1" applyBorder="1" applyAlignment="1">
      <alignment horizontal="center" vertical="center" wrapText="1" readingOrder="2"/>
    </xf>
    <xf numFmtId="0" fontId="3" fillId="5" borderId="14" xfId="0" applyFont="1" applyFill="1" applyBorder="1" applyAlignment="1">
      <alignment horizontal="center" vertical="center" wrapText="1" readingOrder="2"/>
    </xf>
    <xf numFmtId="0" fontId="3" fillId="5" borderId="15" xfId="0" applyFont="1" applyFill="1" applyBorder="1" applyAlignment="1">
      <alignment horizontal="center" vertical="center" wrapText="1" readingOrder="2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 /><Relationship Id="rId2" Type="http://schemas.openxmlformats.org/officeDocument/2006/relationships/image" Target="../media/image1.png" /><Relationship Id="rId1" Type="http://schemas.openxmlformats.org/officeDocument/2006/relationships/customXml" Target="../ink/ink1.xml" /><Relationship Id="rId4" Type="http://schemas.openxmlformats.org/officeDocument/2006/relationships/image" Target="../media/image2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121390</xdr:colOff>
      <xdr:row>22</xdr:row>
      <xdr:rowOff>56555</xdr:rowOff>
    </xdr:from>
    <xdr:to>
      <xdr:col>8</xdr:col>
      <xdr:colOff>621487</xdr:colOff>
      <xdr:row>22</xdr:row>
      <xdr:rowOff>480635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B95DDCB9-6362-7FFA-FE6F-32D1FB6A410E}"/>
                </a:ext>
              </a:extLst>
            </xdr14:cNvPr>
            <xdr14:cNvContentPartPr/>
          </xdr14:nvContentPartPr>
          <xdr14:nvPr macro=""/>
          <xdr14:xfrm>
            <a:off x="10423081313" y="10352520"/>
            <a:ext cx="1154520" cy="4240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B95DDCB9-6362-7FFA-FE6F-32D1FB6A410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072673" y="10343520"/>
              <a:ext cx="1172160" cy="441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598030</xdr:colOff>
      <xdr:row>22</xdr:row>
      <xdr:rowOff>116675</xdr:rowOff>
    </xdr:from>
    <xdr:to>
      <xdr:col>9</xdr:col>
      <xdr:colOff>70023</xdr:colOff>
      <xdr:row>22</xdr:row>
      <xdr:rowOff>528515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C3B115BF-DDD1-7589-9C41-26C218386BA6}"/>
                </a:ext>
              </a:extLst>
            </xdr14:cNvPr>
            <xdr14:cNvContentPartPr/>
          </xdr14:nvContentPartPr>
          <xdr14:nvPr macro=""/>
          <xdr14:xfrm>
            <a:off x="10422978353" y="10412640"/>
            <a:ext cx="780840" cy="411840"/>
          </xdr14:xfrm>
        </xdr:contentPart>
      </mc:Choice>
      <mc:Fallback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C3B115BF-DDD1-7589-9C41-26C218386BA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2969713" y="10404000"/>
              <a:ext cx="798480" cy="4294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5:05:24.577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2204 591 3392,'0'0'0,"0"0"0,0-4 2057,-2-7-257,1 2-960,0 5-496,0-7-264,0 9-88,1 2 8,-2-4-48,2-5-40,0 6-16,0 0 8,0-2-8,3 2 16,-3 3 88,2-5-64,1 1 16,-1-5 40,0 6 8,-2 0 24,3-2 8,-3 5-32,2-5 24,1 0 16,-1 0-16,0 1-8,1-1-16,0 0-8,-3 5 8,4-4-8,0 0-8,6 0 0,-7-1-24,6 0 8,-5 1 0,-4 4 32,13-5-32,-2 0 0,1 0 8,2 0-16,2 1 8,2-6 0,-18 10 32,19-4-24,1 0 16,1-6-16,2 8-8,-1-2 24,1-5-16,-23 9 24,24-3-24,-1 0 16,2-2-16,1 1-8,1 1 0,0-1 0,-27 4 32,27-4-40,0 2 16,1 1-16,-2 0-32,2-1 0,-3 2 0,-25 0 72,26 0-64,-1 0 48,-1 3 0,2-1 0,-3 1 0,3 0 0,-26-3 16,24 4-8,-3-1 16,1 1-16,-1 7 8,0-9-8,-2 8-8,-19-10 16,19 2-8,-2 8 8,1-7-16,-1 8 16,-2-7-16,-3 8-24,-12-12 40,11 3-80,0 12-24,-8-6-16,8 1-16,-8 1 16,-1-1-8,-2-10 128,2 11-96,1 1 32,-3 0 16,0 1 24,-3 2 0,0-1 24,3-14 0,-11 14 48,1 2 0,-2 0 32,-3-2 32,-2 0 0,-2 0 72,19-14-184,-21 13 280,0-1-24,-2-1-32,-1-2 0,-1 1-80,-3-7 48,28-3-192,-28 12 224,-4-8-40,-1 7 16,-3-9-32,-1 8 8,-2-8 40,39-2-216,-38 2 128,-3 2 24,-2-2-72,0 1-40,-1-3 49,3 0-41,41 0-48,-46 0 16,1-1 16,-2-3-24,0-6-8,3 6 64,1-11-72,43 15 8,-42-11 48,0-2 16,1 0-40,2-2 56,-1-1-40,2 0-16,38 16-24,-38-15 0,0 0 48,4 2 32,-1 0 0,5-1 144,0 2-88,30 12-136,-29-12 112,3 1 96,-1 6-88,3-7 56,2 9 24,-2-2-80,24 5-120,-23-5 72,-1 0-32,1 2-72,1-1 96,-1 0 8,1 3-72,22 1 0,-22-2 40,1 1-80,1-1-8,-4 1 168,0 0-96,0 0 0,24 1-24,-23-1 72,-1 1-112,2 0 80,2 0 8,-4-2 0,3 1-40,21 1-8,-22-1 8,1 0 24,2 0-32,-1-1 24,1 0 48,1 1 8,18 1-80,-17-4 72,0 2 16,2-2 32,0 1-40,0-1 32,0-1 0,15 5-112,-13-11 32,0 8 0,1-7-96,1 5 16,0-5-88,7 0-64,4 10 200,-14-10-192,10 0-96,-8-2 0,7 0-8,-5-1-72,8 1-32,2 12 400,-4-14-408,2 2-32,1-1 7,1 0 57,0 0-40,9 0-16,-9 13 432,3-15-456,9 1-64,-2-2 104,2 2 72,3-2 96,2 1 96,-17 15 152,16-15-144,4-1 40,1 1 16,3 1 8,0 1 32,4 0-8,-28 13 56,27-11-48,2 0 24,2 1-16,2 1 0,0 4 8,2-6-16,-35 11 48,34-3-8,1-1 16,2-1-8,-1 2 0,0 0-16,1 2-8,-37 1 24,36 0-32,2 0 8,-4 2 0,1 2 0,-3 0 0,-2 6 24,-30-10 0,30 3-8,0 8 16,-2-8-16,-1 8-24,0-7 8,-1 10-24,-26-14 48,25 10-48,-2-1 8,-1 3 0,-1-1 15,-2 1 1,2 0 8,-21-12 16,18 12-24,0 1-24,-2-1-8,-1-1-8,-2 0-16,-1 1 8,-12-12 72,10 12-88,-1 1-8,-5 0-16,5 0 0,-6 0 32,-1 2 32,-2-15 48,0 14-16,0 0 32,0 1 16,-2 2 24,-8-1 24,1 1 40,9-17-120,-12 17 152,-3 1 32,-3-1 40,-1 2-15,-5 0-17,-1 0 8,25-19-200,-27 21 192,-5 0 16,0 1 16,-3-1 24,-2 1-40,0-1-24,37-21-184,-40 21 144,0-1-48,-2 2 24,-4-2-24,-2 0 8,-2 1 0,50-21-104,-51 20 64,-1 2-16,-1 1 24,-1-2 32,-2 1 24,-1-2 56,57-20-184,-58 22 160,-2-2-32,0 0-16,0 0 0,1-2 64,-1-2-16,60-16-160,-60 18 184,4-1-32,-3 0-64,5-2 0,-1 1-24,3-2-8,52-14-56,-52 14 64,3-1 0,2 0-23,2-1 7,3-1-24,2-2-8,40-9-16,-35 10 40,3-8-8,5 2 24,1 5 8,3-9 8,2 3-24,21-3-48,-19 0 40,2 0-24,0 0-80,4 0-176,2 0-249,11 0 489,-9 0-848,5-1-472,-6-3-304,9-6 39,-1 6 473,2-11 464,0 15 648,0-14-272,3-4-1256,-3 18 1528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4T15:05:25.73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2123 1 8145,'0'0'0,"0"0"2761,-1 0-1577,0 0-704,-3 0-296,0 0-208,4 0 24,-3 0-56,-7 2-16,7 2 32,-9-1-16,2 7 96,0-6-16,10-4-24,-13 14-8,-2-4 32,-3 3-104,-4 0 24,-1 2 40,-4 2 32,27-17-16,-30 17-16,-1 1-16,-5 1-8,2 2-64,-2 0 24,-4-1 80,40-20 0,-38 22-64,-4 0 24,-1-1-48,0 1-40,-1 2 72,-2 0 0,46-24 56,-48 24-48,-1 1-8,0-2-16,0-1 16,0 1 16,-2-1-8,51-22 48,-49 23-40,1-3-32,0 0 48,3-1 24,0 1-24,1-1-8,44-19 32,-42 17-80,3-1 8,1 0 0,3-3 16,0-1-32,2-1-56,33-11 144,-28 3-288,1 8-304,5-8-377,1-1-383,4-2-288,3 0-33,14 0 1673,-12-1-1192,1-3 432,6-8 376,1 1-1344,4 11 1728</inkml:trace>
  <inkml:trace contextRef="#ctx0" brushRef="#br0" timeOffset="1">1096 338 3928,'0'0'0,"-4"0"1377,-10 3-25,1 7-632,-4-7-432,17-3-288,-18 13 104,0-1-64,-4 3-16,0 2-16,-2 1 0,-2 1-8,26-19 0,-25 18-16,-1 1 24,0-2-24,-1 0 32,0-1 48,0 0-8,27-16-56,-27 17 72,-1-3 8,1 0-40,-2 1-32,1-2-16,1-1-104,27-12 112,-27 11-312,2-8-296,1 11-304,0-12-248,1 7-41,2-9 249,21 0 952,-22 3-616,2-1 280,0-2 216,-1-1-976,21 1 1096</inkml:trace>
  <inkml:trace contextRef="#ctx0" brushRef="#br0" timeOffset="2">180 637 2840,'0'0'0,"-5"0"1240,-7 0 425,2 0-209,-1 0-472,1 0-352,10 0-632,-9 0 384,4 0-87,-7 0-89,2 0-40,6 0-32,-10 3-16,14-3-120,-4 2 128,-9-2-8,9 2 0,-7 1-24,7-3-32,-5 0 8,9 0-72,-3 2 72,0-2 48,-2 0-8,0 0 40,2 0 24,-1 0 56,4 0-232,-2-1 288,-1 0-8,2-2-16,0 1-104,0-2-160,0 1-192,1 3 192,0-5-384,0 0-152,0 0-112,0-5-128,0 5-17,0-10 49,0 15 744,2-13-560,7 0 40,-6-1-8,9-2 0,-9 1-80,13-1 120,-16 16 488,12-16-408,1 2 119,0 2 105,0 0 40,3 0 48,-1 2 8,-15 10 88,15-10-72,2 5 16,1-7-8,0 8 16,-1-7-8,-1 8 16,-16 3 40,17-4-16,0 2 0,-1 1 0,-2-1 8,1 2-16,-1 0 16,-14 0 8,15 4 8,0 6 0,0-8 16,2 8 8,-4-7 8,-1 9 8,-12-12-48,13 10 56,-2 1-8,0 1-8,0 1 8,-2 1-16,2 2 48,-11-16-80,11 17 56,-2 0 24,1 3-16,-6 0-16,9 2 0,-10-1-8,-3-21-40,14 23 24,-11 0 16,12 1-16,-5 1 0,1 0 8,-1 0-8,-10-25-24,10 24 56,0 1 25,1 0-25,0 1 24,2-1 8,1 0-32,-14-25-56,17 25 192,2-2 96,0 0 136,3-3 136,0 0 0,3-3-16,-25-17-544,27 18 512,3-2-64,3-1-40,1 0-64,5-3-63,0 0-33,-39-12-248,42 9 248,4-5 0,2 7 0,1-11-48,0 2-24,2-2-16,-51 0-160,53 0 120,0-5-16,3-7-32,-1 2 8,0-2-120,3-3 8,-58 15 32,56-14-56,3-2-144,-1-2-232,0 1-496,-1-1-665,1 0-407,-58 18 2000,58-20-1857,-2-3 569,0-1 560,-2-4-1424,-54 28 2152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6"/>
  <sheetViews>
    <sheetView rightToLeft="1" tabSelected="1" view="pageBreakPreview" topLeftCell="C8" zoomScale="130" zoomScaleNormal="100" zoomScaleSheetLayoutView="130" workbookViewId="0">
      <selection activeCell="G23" sqref="G23:J23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9.054687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54" t="s">
        <v>190</v>
      </c>
      <c r="C1" s="54"/>
      <c r="D1" s="54"/>
      <c r="E1" s="54"/>
      <c r="F1" s="54"/>
      <c r="G1" s="54"/>
      <c r="H1" s="54"/>
      <c r="I1" s="54"/>
      <c r="J1" s="54"/>
    </row>
    <row r="2" spans="1:10" ht="30" customHeight="1" x14ac:dyDescent="0.2">
      <c r="B2" s="11" t="s">
        <v>8</v>
      </c>
      <c r="C2" s="60" t="s">
        <v>41</v>
      </c>
      <c r="D2" s="60"/>
      <c r="E2" s="11" t="s">
        <v>7</v>
      </c>
      <c r="F2" s="55">
        <v>45943</v>
      </c>
      <c r="G2" s="55"/>
      <c r="H2" s="55"/>
      <c r="I2" s="55"/>
      <c r="J2" s="55"/>
    </row>
    <row r="3" spans="1:10" ht="30" customHeight="1" x14ac:dyDescent="0.2">
      <c r="B3" s="11" t="s">
        <v>9</v>
      </c>
      <c r="C3" s="60" t="s">
        <v>82</v>
      </c>
      <c r="D3" s="60"/>
      <c r="E3" s="11" t="s">
        <v>6</v>
      </c>
      <c r="F3" s="60" t="s">
        <v>92</v>
      </c>
      <c r="G3" s="60"/>
      <c r="H3" s="60"/>
      <c r="I3" s="60"/>
      <c r="J3" s="60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9"/>
      <c r="B5" s="56" t="s">
        <v>0</v>
      </c>
      <c r="C5" s="57"/>
      <c r="D5" s="57"/>
      <c r="E5" s="61" t="s">
        <v>1</v>
      </c>
      <c r="F5" s="61"/>
      <c r="G5" s="61"/>
      <c r="H5" s="61"/>
      <c r="I5" s="61" t="s">
        <v>2</v>
      </c>
      <c r="J5" s="62"/>
    </row>
    <row r="6" spans="1:10" ht="24.95" customHeight="1" thickBot="1" x14ac:dyDescent="0.25">
      <c r="A6" s="9"/>
      <c r="B6" s="58"/>
      <c r="C6" s="59"/>
      <c r="D6" s="59"/>
      <c r="E6" s="10" t="s">
        <v>3</v>
      </c>
      <c r="F6" s="10" t="s">
        <v>4</v>
      </c>
      <c r="G6" s="10" t="s">
        <v>23</v>
      </c>
      <c r="H6" s="10" t="s">
        <v>24</v>
      </c>
      <c r="I6" s="63"/>
      <c r="J6" s="64"/>
    </row>
    <row r="7" spans="1:10" ht="24.95" customHeight="1" x14ac:dyDescent="0.2">
      <c r="A7" s="9"/>
      <c r="B7" s="50" t="s">
        <v>21</v>
      </c>
      <c r="C7" s="51"/>
      <c r="D7" s="51"/>
      <c r="E7" s="30" t="s">
        <v>18</v>
      </c>
      <c r="F7" s="30" t="s">
        <v>19</v>
      </c>
      <c r="G7" s="30" t="s">
        <v>22</v>
      </c>
      <c r="H7" s="30" t="s">
        <v>20</v>
      </c>
      <c r="I7" s="52" t="s">
        <v>25</v>
      </c>
      <c r="J7" s="53"/>
    </row>
    <row r="8" spans="1:10" ht="60" customHeight="1" x14ac:dyDescent="0.2">
      <c r="A8" s="9"/>
      <c r="B8" s="39" t="s">
        <v>188</v>
      </c>
      <c r="C8" s="39"/>
      <c r="D8" s="39"/>
      <c r="E8" s="32">
        <v>3</v>
      </c>
      <c r="F8" s="25">
        <v>2.25</v>
      </c>
      <c r="G8" s="33">
        <f>IFERROR(F8/E8,"")</f>
        <v>0.75</v>
      </c>
      <c r="H8" s="34" t="str">
        <f>_xlfn.IFS(F8="أدخل العلامة","",F8="لا ينطبق","تم الإلغاء",G8&gt;=90%,"ممتاز",G8&gt;=80%,"جيد جداً",G8&gt;=70%,"جيد",G8&gt;=60%,"مقبول",G8&lt;60%,"راسب")</f>
        <v>جيد</v>
      </c>
      <c r="I8" s="40"/>
      <c r="J8" s="40"/>
    </row>
    <row r="9" spans="1:10" ht="39.950000000000003" customHeight="1" x14ac:dyDescent="0.2">
      <c r="A9" s="9"/>
      <c r="B9" s="39" t="s">
        <v>180</v>
      </c>
      <c r="C9" s="39"/>
      <c r="D9" s="39"/>
      <c r="E9" s="32">
        <v>3</v>
      </c>
      <c r="F9" s="25">
        <v>2.25</v>
      </c>
      <c r="G9" s="33">
        <f t="shared" ref="G9" si="0">IFERROR(F9/E9,"")</f>
        <v>0.75</v>
      </c>
      <c r="H9" s="34" t="str">
        <f t="shared" ref="H9" si="1">_xlfn.IFS(F9="أدخل العلامة","",F9="لا ينطبق","تم الإلغاء",G9&gt;=90%,"ممتاز",G9&gt;=80%,"جيد جداً",G9&gt;=70%,"جيد",G9&gt;=60%,"مقبول",G9&lt;60%,"راسب")</f>
        <v>جيد</v>
      </c>
      <c r="I9" s="40"/>
      <c r="J9" s="40"/>
    </row>
    <row r="10" spans="1:10" ht="39.950000000000003" customHeight="1" x14ac:dyDescent="0.2">
      <c r="A10" s="9"/>
      <c r="B10" s="39" t="s">
        <v>182</v>
      </c>
      <c r="C10" s="41"/>
      <c r="D10" s="41"/>
      <c r="E10" s="32">
        <v>3</v>
      </c>
      <c r="F10" s="25">
        <v>2</v>
      </c>
      <c r="G10" s="33">
        <f t="shared" ref="G10" si="2">IFERROR(F10/E10,"")</f>
        <v>0.66666666666666663</v>
      </c>
      <c r="H10" s="34" t="str">
        <f t="shared" ref="H10" si="3">_xlfn.IFS(F10="أدخل العلامة","",F10="لا ينطبق","تم الإلغاء",G10&gt;=90%,"ممتاز",G10&gt;=80%,"جيد جداً",G10&gt;=70%,"جيد",G10&gt;=60%,"مقبول",G10&lt;60%,"راسب")</f>
        <v>مقبول</v>
      </c>
      <c r="I10" s="40"/>
      <c r="J10" s="40"/>
    </row>
    <row r="11" spans="1:10" ht="30" customHeight="1" x14ac:dyDescent="0.2">
      <c r="A11" s="9"/>
      <c r="B11" s="39" t="s">
        <v>178</v>
      </c>
      <c r="C11" s="39"/>
      <c r="D11" s="39"/>
      <c r="E11" s="32">
        <v>3</v>
      </c>
      <c r="F11" s="25">
        <v>2.5</v>
      </c>
      <c r="G11" s="33">
        <f>IFERROR(F11/E11,"")</f>
        <v>0.83333333333333337</v>
      </c>
      <c r="H11" s="34" t="str">
        <f>_xlfn.IFS(F11="أدخل العلامة","",F11="لا ينطبق","تم الإلغاء",G11&gt;=90%,"ممتاز",G11&gt;=80%,"جيد جداً",G11&gt;=70%,"جيد",G11&gt;=60%,"مقبول",G11&lt;60%,"راسب")</f>
        <v>جيد جداً</v>
      </c>
      <c r="I11" s="40"/>
      <c r="J11" s="40"/>
    </row>
    <row r="12" spans="1:10" ht="30" customHeight="1" x14ac:dyDescent="0.2">
      <c r="A12" s="9"/>
      <c r="B12" s="39" t="s">
        <v>179</v>
      </c>
      <c r="C12" s="39"/>
      <c r="D12" s="39"/>
      <c r="E12" s="32">
        <v>3</v>
      </c>
      <c r="F12" s="25">
        <v>2.25</v>
      </c>
      <c r="G12" s="33">
        <f>IFERROR(F12/E12,"")</f>
        <v>0.75</v>
      </c>
      <c r="H12" s="34" t="str">
        <f>_xlfn.IFS(F12="أدخل العلامة","",F12="لا ينطبق","تم الإلغاء",G12&gt;=90%,"ممتاز",G12&gt;=80%,"جيد جداً",G12&gt;=70%,"جيد",G12&gt;=60%,"مقبول",G12&lt;60%,"راسب")</f>
        <v>جيد</v>
      </c>
      <c r="I12" s="40"/>
      <c r="J12" s="40"/>
    </row>
    <row r="13" spans="1:10" ht="39.950000000000003" customHeight="1" x14ac:dyDescent="0.2">
      <c r="A13" s="9"/>
      <c r="B13" s="39" t="s">
        <v>189</v>
      </c>
      <c r="C13" s="39"/>
      <c r="D13" s="39"/>
      <c r="E13" s="32">
        <v>3</v>
      </c>
      <c r="F13" s="25">
        <v>1.75</v>
      </c>
      <c r="G13" s="33">
        <f t="shared" ref="G13:G18" si="4">IFERROR(F13/E13,"")</f>
        <v>0.58333333333333337</v>
      </c>
      <c r="H13" s="34" t="str">
        <f t="shared" ref="H13:H18" si="5">_xlfn.IFS(F13="أدخل العلامة","",F13="لا ينطبق","تم الإلغاء",G13&gt;=90%,"ممتاز",G13&gt;=80%,"جيد جداً",G13&gt;=70%,"جيد",G13&gt;=60%,"مقبول",G13&lt;60%,"راسب")</f>
        <v>راسب</v>
      </c>
      <c r="I13" s="40"/>
      <c r="J13" s="40"/>
    </row>
    <row r="14" spans="1:10" ht="30" customHeight="1" x14ac:dyDescent="0.2">
      <c r="A14" s="9"/>
      <c r="B14" s="39" t="s">
        <v>183</v>
      </c>
      <c r="C14" s="39"/>
      <c r="D14" s="39"/>
      <c r="E14" s="32">
        <v>3</v>
      </c>
      <c r="F14" s="25">
        <v>1.75</v>
      </c>
      <c r="G14" s="33">
        <f t="shared" ref="G14" si="6">IFERROR(F14/E14,"")</f>
        <v>0.58333333333333337</v>
      </c>
      <c r="H14" s="34" t="str">
        <f t="shared" ref="H14" si="7">_xlfn.IFS(F14="أدخل العلامة","",F14="لا ينطبق","تم الإلغاء",G14&gt;=90%,"ممتاز",G14&gt;=80%,"جيد جداً",G14&gt;=70%,"جيد",G14&gt;=60%,"مقبول",G14&lt;60%,"راسب")</f>
        <v>راسب</v>
      </c>
      <c r="I14" s="40"/>
      <c r="J14" s="40"/>
    </row>
    <row r="15" spans="1:10" ht="39.950000000000003" customHeight="1" x14ac:dyDescent="0.2">
      <c r="A15" s="9"/>
      <c r="B15" s="39" t="s">
        <v>184</v>
      </c>
      <c r="C15" s="39"/>
      <c r="D15" s="39"/>
      <c r="E15" s="32">
        <v>3</v>
      </c>
      <c r="F15" s="25">
        <v>1.75</v>
      </c>
      <c r="G15" s="33">
        <f t="shared" ref="G15" si="8">IFERROR(F15/E15,"")</f>
        <v>0.58333333333333337</v>
      </c>
      <c r="H15" s="34" t="str">
        <f t="shared" ref="H15" si="9">_xlfn.IFS(F15="أدخل العلامة","",F15="لا ينطبق","تم الإلغاء",G15&gt;=90%,"ممتاز",G15&gt;=80%,"جيد جداً",G15&gt;=70%,"جيد",G15&gt;=60%,"مقبول",G15&lt;60%,"راسب")</f>
        <v>راسب</v>
      </c>
      <c r="I15" s="40"/>
      <c r="J15" s="40"/>
    </row>
    <row r="16" spans="1:10" ht="60" customHeight="1" x14ac:dyDescent="0.2">
      <c r="A16" s="9"/>
      <c r="B16" s="47" t="s">
        <v>185</v>
      </c>
      <c r="C16" s="48"/>
      <c r="D16" s="49"/>
      <c r="E16" s="32">
        <v>3</v>
      </c>
      <c r="F16" s="25">
        <v>1.75</v>
      </c>
      <c r="G16" s="33">
        <f t="shared" si="4"/>
        <v>0.58333333333333337</v>
      </c>
      <c r="H16" s="34" t="str">
        <f t="shared" si="5"/>
        <v>راسب</v>
      </c>
      <c r="I16" s="40"/>
      <c r="J16" s="40"/>
    </row>
    <row r="17" spans="1:10" ht="39.950000000000003" customHeight="1" x14ac:dyDescent="0.2">
      <c r="A17" s="9"/>
      <c r="B17" s="39" t="s">
        <v>186</v>
      </c>
      <c r="C17" s="41"/>
      <c r="D17" s="41"/>
      <c r="E17" s="32">
        <v>3</v>
      </c>
      <c r="F17" s="29">
        <v>1.75</v>
      </c>
      <c r="G17" s="33">
        <f>IFERROR(F17/E17,"")</f>
        <v>0.58333333333333337</v>
      </c>
      <c r="H17" s="34" t="str">
        <f>_xlfn.IFS(F17="أدخل العلامة","",F17="لا ينطبق","تم الإلغاء",G17&gt;=90%,"ممتاز",G17&gt;=80%,"جيد جداً",G17&gt;=70%,"جيد",G17&gt;=60%,"مقبول",G17&lt;60%,"راسب")</f>
        <v>راسب</v>
      </c>
      <c r="I17" s="40"/>
      <c r="J17" s="40"/>
    </row>
    <row r="18" spans="1:10" ht="60" customHeight="1" x14ac:dyDescent="0.2">
      <c r="A18" s="9"/>
      <c r="B18" s="39" t="s">
        <v>181</v>
      </c>
      <c r="C18" s="39"/>
      <c r="D18" s="39"/>
      <c r="E18" s="32">
        <v>3</v>
      </c>
      <c r="F18" s="25">
        <v>2.25</v>
      </c>
      <c r="G18" s="33">
        <f t="shared" si="4"/>
        <v>0.75</v>
      </c>
      <c r="H18" s="34" t="str">
        <f t="shared" si="5"/>
        <v>جيد</v>
      </c>
      <c r="I18" s="40"/>
      <c r="J18" s="40"/>
    </row>
    <row r="19" spans="1:10" ht="30" customHeight="1" thickBot="1" x14ac:dyDescent="0.25">
      <c r="A19" s="4"/>
      <c r="B19" s="73" t="s">
        <v>5</v>
      </c>
      <c r="C19" s="74"/>
      <c r="D19" s="74"/>
      <c r="E19" s="31">
        <f>SUM(E8:E18)</f>
        <v>33</v>
      </c>
      <c r="F19" s="31">
        <f>SUM(F8:F18)</f>
        <v>22.25</v>
      </c>
      <c r="G19" s="42"/>
      <c r="H19" s="43"/>
      <c r="I19" s="43"/>
      <c r="J19" s="44"/>
    </row>
    <row r="20" spans="1:10" ht="30" customHeight="1" thickBot="1" x14ac:dyDescent="0.25">
      <c r="A20" s="4"/>
      <c r="B20" s="75" t="s">
        <v>54</v>
      </c>
      <c r="C20" s="76"/>
      <c r="D20" s="76"/>
      <c r="E20" s="45">
        <f>F19/E19/100*100</f>
        <v>0.6742424242424242</v>
      </c>
      <c r="F20" s="45"/>
      <c r="G20" s="45"/>
      <c r="H20" s="45"/>
      <c r="I20" s="45"/>
      <c r="J20" s="46"/>
    </row>
    <row r="21" spans="1:10" ht="30" customHeight="1" thickBot="1" x14ac:dyDescent="0.25">
      <c r="A21" s="4"/>
      <c r="B21" s="75" t="s">
        <v>55</v>
      </c>
      <c r="C21" s="76"/>
      <c r="D21" s="76"/>
      <c r="E21" s="65" t="str">
        <f>_xlfn.IFS(E20&gt;=90%,"ممتاز",E20&gt;=80%,"جيد جداً",E20&gt;=70%,"جيد",E20&gt;=60%,"مقبول",E20&lt;60%,"راسب")</f>
        <v>مقبول</v>
      </c>
      <c r="F21" s="65"/>
      <c r="G21" s="65"/>
      <c r="H21" s="65"/>
      <c r="I21" s="65"/>
      <c r="J21" s="66"/>
    </row>
    <row r="22" spans="1:10" ht="42" customHeight="1" x14ac:dyDescent="0.2">
      <c r="B22" s="35" t="s">
        <v>187</v>
      </c>
      <c r="C22" s="35"/>
      <c r="D22" s="35"/>
      <c r="E22" s="77" t="s">
        <v>52</v>
      </c>
      <c r="F22" s="77"/>
      <c r="G22" s="37" t="s">
        <v>92</v>
      </c>
      <c r="H22" s="37"/>
      <c r="I22" s="37"/>
      <c r="J22" s="37"/>
    </row>
    <row r="23" spans="1:10" ht="51" customHeight="1" x14ac:dyDescent="0.2">
      <c r="A23" s="5"/>
      <c r="B23" s="36"/>
      <c r="C23" s="36"/>
      <c r="D23" s="36"/>
      <c r="E23" s="78" t="s">
        <v>53</v>
      </c>
      <c r="F23" s="78"/>
      <c r="G23" s="38"/>
      <c r="H23" s="38"/>
      <c r="I23" s="38"/>
      <c r="J23" s="38"/>
    </row>
    <row r="24" spans="1:10" x14ac:dyDescent="0.2">
      <c r="A24" s="26">
        <v>3</v>
      </c>
      <c r="B24" s="67" t="s">
        <v>175</v>
      </c>
      <c r="C24" s="68"/>
    </row>
    <row r="25" spans="1:10" x14ac:dyDescent="0.2">
      <c r="A25" s="27">
        <v>2</v>
      </c>
      <c r="B25" s="69" t="s">
        <v>176</v>
      </c>
      <c r="C25" s="70"/>
    </row>
    <row r="26" spans="1:10" x14ac:dyDescent="0.2">
      <c r="A26" s="28">
        <v>1</v>
      </c>
      <c r="B26" s="71" t="s">
        <v>177</v>
      </c>
      <c r="C26" s="72"/>
    </row>
  </sheetData>
  <sheetProtection formatCells="0" formatColumns="0" formatRows="0" insertColumns="0" insertRows="0" insertHyperlinks="0" deleteColumns="0" deleteRows="0" selectLockedCells="1" sort="0" autoFilter="0" pivotTables="0"/>
  <mergeCells count="46">
    <mergeCell ref="E21:J21"/>
    <mergeCell ref="B24:C24"/>
    <mergeCell ref="B25:C25"/>
    <mergeCell ref="B26:C26"/>
    <mergeCell ref="I8:J8"/>
    <mergeCell ref="B19:D19"/>
    <mergeCell ref="B20:D20"/>
    <mergeCell ref="B21:D21"/>
    <mergeCell ref="I16:J16"/>
    <mergeCell ref="I18:J18"/>
    <mergeCell ref="I14:J14"/>
    <mergeCell ref="I15:J15"/>
    <mergeCell ref="B17:D17"/>
    <mergeCell ref="I17:J17"/>
    <mergeCell ref="E22:F22"/>
    <mergeCell ref="E23:F23"/>
    <mergeCell ref="B1:J1"/>
    <mergeCell ref="F2:J2"/>
    <mergeCell ref="B5:D6"/>
    <mergeCell ref="C2:D2"/>
    <mergeCell ref="C3:D3"/>
    <mergeCell ref="F3:J3"/>
    <mergeCell ref="E5:H5"/>
    <mergeCell ref="I5:J6"/>
    <mergeCell ref="B7:D7"/>
    <mergeCell ref="I7:J7"/>
    <mergeCell ref="I13:J13"/>
    <mergeCell ref="B8:D8"/>
    <mergeCell ref="B13:D13"/>
    <mergeCell ref="B11:D11"/>
    <mergeCell ref="B22:D23"/>
    <mergeCell ref="G22:J22"/>
    <mergeCell ref="G23:J23"/>
    <mergeCell ref="B15:D15"/>
    <mergeCell ref="B9:D9"/>
    <mergeCell ref="I9:J9"/>
    <mergeCell ref="I11:J11"/>
    <mergeCell ref="B12:D12"/>
    <mergeCell ref="I12:J12"/>
    <mergeCell ref="B10:D10"/>
    <mergeCell ref="I10:J10"/>
    <mergeCell ref="B14:D14"/>
    <mergeCell ref="G19:J19"/>
    <mergeCell ref="E20:J20"/>
    <mergeCell ref="B16:D16"/>
    <mergeCell ref="B18:D18"/>
  </mergeCells>
  <conditionalFormatting sqref="C2:D2">
    <cfRule type="containsText" dxfId="16" priority="67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66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1">
    <cfRule type="expression" dxfId="14" priority="106">
      <formula>$E21="راسب"</formula>
    </cfRule>
  </conditionalFormatting>
  <conditionalFormatting sqref="E21:J21">
    <cfRule type="expression" dxfId="13" priority="107">
      <formula>$E21="مقبول"</formula>
    </cfRule>
    <cfRule type="expression" dxfId="12" priority="108">
      <formula>$E21="جيد"</formula>
    </cfRule>
    <cfRule type="expression" dxfId="11" priority="109">
      <formula>$E21="جيد جداً"</formula>
    </cfRule>
    <cfRule type="expression" dxfId="10" priority="110">
      <formula>$E21="ممتاز"</formula>
    </cfRule>
  </conditionalFormatting>
  <conditionalFormatting sqref="F8:F18">
    <cfRule type="containsText" dxfId="9" priority="7" operator="containsText" text="أدخل العلامة">
      <formula>NOT(ISERROR(SEARCH("أدخل العلامة",F8)))</formula>
    </cfRule>
  </conditionalFormatting>
  <conditionalFormatting sqref="F2:J2">
    <cfRule type="containsText" dxfId="8" priority="68" operator="containsText" text="أدخل التاريخ">
      <formula>NOT(ISERROR(SEARCH("أدخل التاريخ",F2)))</formula>
    </cfRule>
  </conditionalFormatting>
  <conditionalFormatting sqref="F3:J3">
    <cfRule type="containsText" dxfId="7" priority="65" operator="containsText" text="أدخل أسم المحكم">
      <formula>NOT(ISERROR(SEARCH("أدخل أسم المحكم",F3)))</formula>
    </cfRule>
  </conditionalFormatting>
  <conditionalFormatting sqref="G22:J22">
    <cfRule type="containsText" dxfId="6" priority="64" operator="containsText" text="أدخل اسم المحكم">
      <formula>NOT(ISERROR(SEARCH("أدخل اسم المحكم",G22)))</formula>
    </cfRule>
  </conditionalFormatting>
  <conditionalFormatting sqref="H8:H18">
    <cfRule type="containsText" dxfId="5" priority="1" operator="containsText" text="أدخل العلامة">
      <formula>NOT(ISERROR(SEARCH("أدخل العلامة",H8)))</formula>
    </cfRule>
    <cfRule type="containsText" dxfId="4" priority="2" operator="containsText" text="ممتاز">
      <formula>NOT(ISERROR(SEARCH("ممتاز",H8)))</formula>
    </cfRule>
    <cfRule type="containsText" dxfId="3" priority="3" operator="containsText" text="جيد جداً">
      <formula>NOT(ISERROR(SEARCH("جيد جداً",H8)))</formula>
    </cfRule>
    <cfRule type="containsText" dxfId="2" priority="4" operator="containsText" text="جيد">
      <formula>NOT(ISERROR(SEARCH("جيد",H8)))</formula>
    </cfRule>
    <cfRule type="containsText" dxfId="1" priority="5" operator="containsText" text="مقبول">
      <formula>NOT(ISERROR(SEARCH("مقبول",H8)))</formula>
    </cfRule>
    <cfRule type="containsText" dxfId="0" priority="6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8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G22:J22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  <x14:dataValidation type="list" allowBlank="1" showInputMessage="1" showErrorMessage="1" xr:uid="{36ED5D87-B8CE-48D5-8C3F-AD190A97274B}">
          <x14:formula1>
            <xm:f>'بيانات التقييم'!$A$111:$A$125</xm:f>
          </x14:formula1>
          <xm:sqref>F8:F18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111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8" t="s">
        <v>62</v>
      </c>
    </row>
    <row r="3" spans="1:3" ht="20.100000000000001" customHeight="1" thickBot="1" x14ac:dyDescent="0.3">
      <c r="A3" s="2" t="s">
        <v>26</v>
      </c>
      <c r="C3" s="18" t="s">
        <v>63</v>
      </c>
    </row>
    <row r="4" spans="1:3" ht="20.100000000000001" customHeight="1" thickBot="1" x14ac:dyDescent="0.3">
      <c r="A4" s="2" t="s">
        <v>36</v>
      </c>
      <c r="C4" s="18" t="s">
        <v>64</v>
      </c>
    </row>
    <row r="5" spans="1:3" ht="20.100000000000001" customHeight="1" thickBot="1" x14ac:dyDescent="0.3">
      <c r="A5" s="2" t="s">
        <v>37</v>
      </c>
      <c r="C5" s="18" t="s">
        <v>65</v>
      </c>
    </row>
    <row r="6" spans="1:3" ht="20.100000000000001" customHeight="1" thickBot="1" x14ac:dyDescent="0.3">
      <c r="A6" s="2" t="s">
        <v>38</v>
      </c>
      <c r="C6" s="18" t="s">
        <v>66</v>
      </c>
    </row>
    <row r="7" spans="1:3" ht="20.100000000000001" customHeight="1" thickBot="1" x14ac:dyDescent="0.3">
      <c r="A7" s="2" t="s">
        <v>39</v>
      </c>
      <c r="C7" s="18" t="s">
        <v>67</v>
      </c>
    </row>
    <row r="8" spans="1:3" ht="20.100000000000001" customHeight="1" thickBot="1" x14ac:dyDescent="0.3">
      <c r="A8" s="2" t="s">
        <v>40</v>
      </c>
      <c r="C8" s="18" t="s">
        <v>68</v>
      </c>
    </row>
    <row r="9" spans="1:3" ht="20.100000000000001" customHeight="1" thickBot="1" x14ac:dyDescent="0.3">
      <c r="A9" s="2" t="s">
        <v>41</v>
      </c>
      <c r="C9" s="18" t="s">
        <v>69</v>
      </c>
    </row>
    <row r="10" spans="1:3" ht="20.100000000000001" customHeight="1" thickBot="1" x14ac:dyDescent="0.3">
      <c r="A10" s="2" t="s">
        <v>42</v>
      </c>
      <c r="C10" s="18" t="s">
        <v>70</v>
      </c>
    </row>
    <row r="11" spans="1:3" ht="20.100000000000001" customHeight="1" thickBot="1" x14ac:dyDescent="0.3">
      <c r="A11" s="2" t="s">
        <v>43</v>
      </c>
      <c r="C11" s="18" t="s">
        <v>71</v>
      </c>
    </row>
    <row r="12" spans="1:3" ht="20.100000000000001" customHeight="1" thickBot="1" x14ac:dyDescent="0.3">
      <c r="A12" s="2" t="s">
        <v>44</v>
      </c>
      <c r="C12" s="18" t="s">
        <v>72</v>
      </c>
    </row>
    <row r="13" spans="1:3" ht="20.100000000000001" customHeight="1" thickBot="1" x14ac:dyDescent="0.3">
      <c r="A13" s="2" t="s">
        <v>45</v>
      </c>
      <c r="C13" s="18" t="s">
        <v>73</v>
      </c>
    </row>
    <row r="14" spans="1:3" ht="20.100000000000001" customHeight="1" thickBot="1" x14ac:dyDescent="0.3">
      <c r="A14" s="2" t="s">
        <v>46</v>
      </c>
      <c r="C14" s="18" t="s">
        <v>74</v>
      </c>
    </row>
    <row r="15" spans="1:3" ht="20.100000000000001" customHeight="1" thickBot="1" x14ac:dyDescent="0.3">
      <c r="A15" s="2" t="s">
        <v>47</v>
      </c>
      <c r="C15" s="18" t="s">
        <v>75</v>
      </c>
    </row>
    <row r="16" spans="1:3" ht="20.100000000000001" customHeight="1" thickBot="1" x14ac:dyDescent="0.3">
      <c r="A16" s="2" t="s">
        <v>10</v>
      </c>
      <c r="C16" s="18" t="s">
        <v>76</v>
      </c>
    </row>
    <row r="17" spans="1:3" ht="20.100000000000001" customHeight="1" thickBot="1" x14ac:dyDescent="0.3">
      <c r="A17" s="2" t="s">
        <v>27</v>
      </c>
      <c r="C17" s="18" t="s">
        <v>77</v>
      </c>
    </row>
    <row r="18" spans="1:3" ht="20.100000000000001" customHeight="1" thickBot="1" x14ac:dyDescent="0.3">
      <c r="A18" s="2" t="s">
        <v>48</v>
      </c>
      <c r="C18" s="18" t="s">
        <v>78</v>
      </c>
    </row>
    <row r="19" spans="1:3" ht="20.100000000000001" customHeight="1" thickBot="1" x14ac:dyDescent="0.3">
      <c r="A19" s="2" t="s">
        <v>49</v>
      </c>
      <c r="C19" s="18" t="s">
        <v>79</v>
      </c>
    </row>
    <row r="20" spans="1:3" ht="20.100000000000001" customHeight="1" thickBot="1" x14ac:dyDescent="0.3">
      <c r="A20" s="2" t="s">
        <v>50</v>
      </c>
      <c r="C20" s="18" t="s">
        <v>80</v>
      </c>
    </row>
    <row r="21" spans="1:3" ht="20.100000000000001" customHeight="1" thickBot="1" x14ac:dyDescent="0.3">
      <c r="A21" s="2" t="s">
        <v>51</v>
      </c>
      <c r="C21" s="18" t="s">
        <v>81</v>
      </c>
    </row>
    <row r="22" spans="1:3" ht="20.100000000000001" customHeight="1" thickBot="1" x14ac:dyDescent="0.3">
      <c r="A22" s="2" t="s">
        <v>11</v>
      </c>
      <c r="C22" s="18" t="s">
        <v>82</v>
      </c>
    </row>
    <row r="23" spans="1:3" ht="20.100000000000001" customHeight="1" thickBot="1" x14ac:dyDescent="0.3">
      <c r="A23" s="2" t="s">
        <v>12</v>
      </c>
      <c r="C23" s="18" t="s">
        <v>83</v>
      </c>
    </row>
    <row r="24" spans="1:3" ht="20.100000000000001" customHeight="1" thickBot="1" x14ac:dyDescent="0.3">
      <c r="A24" s="2" t="s">
        <v>15</v>
      </c>
      <c r="C24" s="18" t="s">
        <v>84</v>
      </c>
    </row>
    <row r="25" spans="1:3" ht="20.100000000000001" customHeight="1" thickBot="1" x14ac:dyDescent="0.3">
      <c r="A25" s="2" t="s">
        <v>28</v>
      </c>
      <c r="C25" s="18" t="s">
        <v>85</v>
      </c>
    </row>
    <row r="26" spans="1:3" ht="20.100000000000001" customHeight="1" thickBot="1" x14ac:dyDescent="0.3">
      <c r="A26" s="2" t="s">
        <v>29</v>
      </c>
      <c r="C26" s="18" t="s">
        <v>86</v>
      </c>
    </row>
    <row r="27" spans="1:3" ht="20.100000000000001" customHeight="1" thickBot="1" x14ac:dyDescent="0.3">
      <c r="A27" s="2" t="s">
        <v>13</v>
      </c>
      <c r="C27" s="18" t="s">
        <v>87</v>
      </c>
    </row>
    <row r="28" spans="1:3" ht="20.100000000000001" customHeight="1" thickBot="1" x14ac:dyDescent="0.3">
      <c r="A28" s="2" t="s">
        <v>30</v>
      </c>
      <c r="C28" s="18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7"/>
    </row>
    <row r="36" spans="1:9" s="16" customFormat="1" ht="20.100000000000001" customHeight="1" x14ac:dyDescent="0.2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2">
        <v>45901</v>
      </c>
    </row>
    <row r="40" spans="1:9" ht="20.100000000000001" customHeight="1" thickBot="1" x14ac:dyDescent="0.3">
      <c r="A40" s="12">
        <v>45902</v>
      </c>
    </row>
    <row r="41" spans="1:9" ht="20.100000000000001" customHeight="1" thickBot="1" x14ac:dyDescent="0.3">
      <c r="A41" s="12">
        <v>45903</v>
      </c>
    </row>
    <row r="42" spans="1:9" ht="20.100000000000001" customHeight="1" thickBot="1" x14ac:dyDescent="0.3">
      <c r="A42" s="12">
        <v>45904</v>
      </c>
    </row>
    <row r="43" spans="1:9" ht="20.100000000000001" customHeight="1" thickBot="1" x14ac:dyDescent="0.3">
      <c r="A43" s="12">
        <v>45905</v>
      </c>
    </row>
    <row r="44" spans="1:9" ht="20.100000000000001" customHeight="1" thickBot="1" x14ac:dyDescent="0.3">
      <c r="A44" s="12">
        <v>45906</v>
      </c>
    </row>
    <row r="45" spans="1:9" ht="20.100000000000001" customHeight="1" thickBot="1" x14ac:dyDescent="0.3">
      <c r="A45" s="12">
        <v>45907</v>
      </c>
    </row>
    <row r="46" spans="1:9" ht="20.100000000000001" customHeight="1" thickBot="1" x14ac:dyDescent="0.3">
      <c r="A46" s="12">
        <v>45908</v>
      </c>
    </row>
    <row r="47" spans="1:9" ht="20.100000000000001" customHeight="1" thickBot="1" x14ac:dyDescent="0.3">
      <c r="A47" s="12">
        <v>45909</v>
      </c>
    </row>
    <row r="48" spans="1:9" ht="20.100000000000001" customHeight="1" thickBot="1" x14ac:dyDescent="0.3">
      <c r="A48" s="12">
        <v>45910</v>
      </c>
    </row>
    <row r="49" spans="1:1" ht="20.100000000000001" customHeight="1" thickBot="1" x14ac:dyDescent="0.3">
      <c r="A49" s="12">
        <v>45911</v>
      </c>
    </row>
    <row r="50" spans="1:1" ht="20.100000000000001" customHeight="1" thickBot="1" x14ac:dyDescent="0.3">
      <c r="A50" s="12">
        <v>45912</v>
      </c>
    </row>
    <row r="51" spans="1:1" ht="20.100000000000001" customHeight="1" thickBot="1" x14ac:dyDescent="0.3">
      <c r="A51" s="12">
        <v>45913</v>
      </c>
    </row>
    <row r="52" spans="1:1" ht="20.100000000000001" customHeight="1" thickBot="1" x14ac:dyDescent="0.3">
      <c r="A52" s="12">
        <v>45914</v>
      </c>
    </row>
    <row r="53" spans="1:1" ht="20.100000000000001" customHeight="1" thickBot="1" x14ac:dyDescent="0.3">
      <c r="A53" s="12">
        <v>45915</v>
      </c>
    </row>
    <row r="54" spans="1:1" ht="20.100000000000001" customHeight="1" thickBot="1" x14ac:dyDescent="0.3">
      <c r="A54" s="12">
        <v>45916</v>
      </c>
    </row>
    <row r="55" spans="1:1" ht="20.100000000000001" customHeight="1" thickBot="1" x14ac:dyDescent="0.3">
      <c r="A55" s="12">
        <v>45917</v>
      </c>
    </row>
    <row r="56" spans="1:1" ht="20.100000000000001" customHeight="1" thickBot="1" x14ac:dyDescent="0.3">
      <c r="A56" s="12">
        <v>45918</v>
      </c>
    </row>
    <row r="57" spans="1:1" ht="20.100000000000001" customHeight="1" thickBot="1" x14ac:dyDescent="0.3">
      <c r="A57" s="12">
        <v>45919</v>
      </c>
    </row>
    <row r="58" spans="1:1" ht="20.100000000000001" customHeight="1" thickBot="1" x14ac:dyDescent="0.3">
      <c r="A58" s="12">
        <v>45920</v>
      </c>
    </row>
    <row r="59" spans="1:1" ht="20.100000000000001" customHeight="1" thickBot="1" x14ac:dyDescent="0.3">
      <c r="A59" s="12">
        <v>45921</v>
      </c>
    </row>
    <row r="60" spans="1:1" ht="20.100000000000001" customHeight="1" thickBot="1" x14ac:dyDescent="0.3">
      <c r="A60" s="12">
        <v>45922</v>
      </c>
    </row>
    <row r="61" spans="1:1" ht="20.100000000000001" customHeight="1" thickBot="1" x14ac:dyDescent="0.3">
      <c r="A61" s="12">
        <v>45923</v>
      </c>
    </row>
    <row r="62" spans="1:1" ht="20.100000000000001" customHeight="1" thickBot="1" x14ac:dyDescent="0.3">
      <c r="A62" s="12">
        <v>45924</v>
      </c>
    </row>
    <row r="63" spans="1:1" ht="20.100000000000001" customHeight="1" thickBot="1" x14ac:dyDescent="0.3">
      <c r="A63" s="12">
        <v>45925</v>
      </c>
    </row>
    <row r="64" spans="1:1" ht="20.100000000000001" customHeight="1" thickBot="1" x14ac:dyDescent="0.3">
      <c r="A64" s="12">
        <v>45926</v>
      </c>
    </row>
    <row r="65" spans="1:1" ht="20.100000000000001" customHeight="1" thickBot="1" x14ac:dyDescent="0.3">
      <c r="A65" s="12">
        <v>45927</v>
      </c>
    </row>
    <row r="66" spans="1:1" ht="20.100000000000001" customHeight="1" thickBot="1" x14ac:dyDescent="0.3">
      <c r="A66" s="12">
        <v>45928</v>
      </c>
    </row>
    <row r="67" spans="1:1" ht="20.100000000000001" customHeight="1" thickBot="1" x14ac:dyDescent="0.3">
      <c r="A67" s="12">
        <v>45929</v>
      </c>
    </row>
    <row r="68" spans="1:1" ht="20.100000000000001" customHeight="1" thickBot="1" x14ac:dyDescent="0.3">
      <c r="A68" s="12">
        <v>45930</v>
      </c>
    </row>
    <row r="69" spans="1:1" ht="20.100000000000001" customHeight="1" thickBot="1" x14ac:dyDescent="0.3">
      <c r="A69" s="12">
        <v>45931</v>
      </c>
    </row>
    <row r="70" spans="1:1" ht="20.100000000000001" customHeight="1" thickBot="1" x14ac:dyDescent="0.3">
      <c r="A70" s="12">
        <v>45932</v>
      </c>
    </row>
    <row r="71" spans="1:1" ht="20.100000000000001" customHeight="1" thickBot="1" x14ac:dyDescent="0.3">
      <c r="A71" s="12">
        <v>45933</v>
      </c>
    </row>
    <row r="72" spans="1:1" ht="20.100000000000001" customHeight="1" thickBot="1" x14ac:dyDescent="0.3">
      <c r="A72" s="12">
        <v>45934</v>
      </c>
    </row>
    <row r="73" spans="1:1" ht="20.100000000000001" customHeight="1" thickBot="1" x14ac:dyDescent="0.3">
      <c r="A73" s="12">
        <v>45935</v>
      </c>
    </row>
    <row r="74" spans="1:1" ht="20.100000000000001" customHeight="1" thickBot="1" x14ac:dyDescent="0.3">
      <c r="A74" s="12">
        <v>45936</v>
      </c>
    </row>
    <row r="75" spans="1:1" ht="20.100000000000001" customHeight="1" thickBot="1" x14ac:dyDescent="0.3">
      <c r="A75" s="12">
        <v>45937</v>
      </c>
    </row>
    <row r="76" spans="1:1" ht="20.100000000000001" customHeight="1" thickBot="1" x14ac:dyDescent="0.3">
      <c r="A76" s="12">
        <v>45938</v>
      </c>
    </row>
    <row r="77" spans="1:1" ht="20.100000000000001" customHeight="1" thickBot="1" x14ac:dyDescent="0.3">
      <c r="A77" s="12">
        <v>45939</v>
      </c>
    </row>
    <row r="78" spans="1:1" ht="20.100000000000001" customHeight="1" thickBot="1" x14ac:dyDescent="0.3">
      <c r="A78" s="12">
        <v>45940</v>
      </c>
    </row>
    <row r="79" spans="1:1" ht="20.100000000000001" customHeight="1" thickBot="1" x14ac:dyDescent="0.3">
      <c r="A79" s="12">
        <v>45941</v>
      </c>
    </row>
    <row r="80" spans="1:1" ht="20.100000000000001" customHeight="1" thickBot="1" x14ac:dyDescent="0.3">
      <c r="A80" s="12">
        <v>45942</v>
      </c>
    </row>
    <row r="81" spans="1:1" ht="20.100000000000001" customHeight="1" thickBot="1" x14ac:dyDescent="0.3">
      <c r="A81" s="12">
        <v>45943</v>
      </c>
    </row>
    <row r="82" spans="1:1" ht="20.100000000000001" customHeight="1" thickBot="1" x14ac:dyDescent="0.3">
      <c r="A82" s="12">
        <v>45944</v>
      </c>
    </row>
    <row r="83" spans="1:1" ht="20.100000000000001" customHeight="1" thickBot="1" x14ac:dyDescent="0.3">
      <c r="A83" s="12">
        <v>45945</v>
      </c>
    </row>
    <row r="84" spans="1:1" ht="20.100000000000001" customHeight="1" thickBot="1" x14ac:dyDescent="0.3">
      <c r="A84" s="12">
        <v>45946</v>
      </c>
    </row>
    <row r="85" spans="1:1" ht="20.100000000000001" customHeight="1" thickBot="1" x14ac:dyDescent="0.3">
      <c r="A85" s="12">
        <v>45947</v>
      </c>
    </row>
    <row r="86" spans="1:1" ht="20.100000000000001" customHeight="1" thickBot="1" x14ac:dyDescent="0.3">
      <c r="A86" s="12">
        <v>45948</v>
      </c>
    </row>
    <row r="87" spans="1:1" ht="20.100000000000001" customHeight="1" thickBot="1" x14ac:dyDescent="0.3">
      <c r="A87" s="12">
        <v>45949</v>
      </c>
    </row>
    <row r="88" spans="1:1" ht="20.100000000000001" customHeight="1" thickBot="1" x14ac:dyDescent="0.3">
      <c r="A88" s="12">
        <v>45950</v>
      </c>
    </row>
    <row r="89" spans="1:1" ht="20.100000000000001" customHeight="1" thickBot="1" x14ac:dyDescent="0.3">
      <c r="A89" s="12">
        <v>45951</v>
      </c>
    </row>
    <row r="90" spans="1:1" ht="20.100000000000001" customHeight="1" thickBot="1" x14ac:dyDescent="0.3">
      <c r="A90" s="12">
        <v>45952</v>
      </c>
    </row>
    <row r="91" spans="1:1" ht="20.100000000000001" customHeight="1" thickBot="1" x14ac:dyDescent="0.3">
      <c r="A91" s="12">
        <v>45953</v>
      </c>
    </row>
    <row r="92" spans="1:1" ht="20.100000000000001" customHeight="1" thickBot="1" x14ac:dyDescent="0.3">
      <c r="A92" s="12">
        <v>45954</v>
      </c>
    </row>
    <row r="93" spans="1:1" ht="20.100000000000001" customHeight="1" thickBot="1" x14ac:dyDescent="0.3">
      <c r="A93" s="12">
        <v>45955</v>
      </c>
    </row>
    <row r="94" spans="1:1" ht="20.100000000000001" customHeight="1" thickBot="1" x14ac:dyDescent="0.3">
      <c r="A94" s="12">
        <v>45956</v>
      </c>
    </row>
    <row r="95" spans="1:1" ht="20.100000000000001" customHeight="1" thickBot="1" x14ac:dyDescent="0.3">
      <c r="A95" s="12">
        <v>45957</v>
      </c>
    </row>
    <row r="96" spans="1:1" ht="20.100000000000001" customHeight="1" thickBot="1" x14ac:dyDescent="0.3">
      <c r="A96" s="12">
        <v>45958</v>
      </c>
    </row>
    <row r="97" spans="1:9" ht="20.100000000000001" customHeight="1" thickBot="1" x14ac:dyDescent="0.3">
      <c r="A97" s="12">
        <v>45959</v>
      </c>
    </row>
    <row r="98" spans="1:9" ht="20.100000000000001" customHeight="1" thickBot="1" x14ac:dyDescent="0.3">
      <c r="A98" s="12">
        <v>45960</v>
      </c>
    </row>
    <row r="99" spans="1:9" ht="20.100000000000001" customHeight="1" thickBot="1" x14ac:dyDescent="0.3">
      <c r="A99" s="12">
        <v>45961</v>
      </c>
    </row>
    <row r="100" spans="1:9" ht="20.100000000000001" customHeight="1" thickBot="1" x14ac:dyDescent="0.3">
      <c r="A100" s="12">
        <v>45962</v>
      </c>
    </row>
    <row r="101" spans="1:9" ht="20.100000000000001" customHeight="1" thickBot="1" x14ac:dyDescent="0.3">
      <c r="A101" s="12">
        <v>45963</v>
      </c>
    </row>
    <row r="102" spans="1:9" ht="20.100000000000001" customHeight="1" thickBot="1" x14ac:dyDescent="0.3">
      <c r="A102" s="12">
        <v>45964</v>
      </c>
    </row>
    <row r="103" spans="1:9" ht="20.100000000000001" customHeight="1" thickBot="1" x14ac:dyDescent="0.3">
      <c r="A103" s="12">
        <v>45965</v>
      </c>
    </row>
    <row r="104" spans="1:9" ht="20.100000000000001" customHeight="1" thickBot="1" x14ac:dyDescent="0.3">
      <c r="A104" s="12">
        <v>45966</v>
      </c>
    </row>
    <row r="105" spans="1:9" ht="20.100000000000001" customHeight="1" thickBot="1" x14ac:dyDescent="0.3">
      <c r="A105" s="12">
        <v>45967</v>
      </c>
    </row>
    <row r="106" spans="1:9" ht="20.100000000000001" customHeight="1" thickBot="1" x14ac:dyDescent="0.3">
      <c r="A106" s="12">
        <v>45968</v>
      </c>
    </row>
    <row r="107" spans="1:9" ht="20.100000000000001" customHeight="1" x14ac:dyDescent="0.2">
      <c r="A107" s="13"/>
    </row>
    <row r="108" spans="1:9" ht="20.100000000000001" customHeight="1" x14ac:dyDescent="0.2">
      <c r="A108" s="13"/>
    </row>
    <row r="109" spans="1:9" s="16" customFormat="1" ht="20.100000000000001" customHeight="1" x14ac:dyDescent="0.2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19" t="s">
        <v>89</v>
      </c>
    </row>
    <row r="200" spans="1:1" ht="20.100000000000001" customHeight="1" x14ac:dyDescent="0.2">
      <c r="A200" s="19" t="s">
        <v>90</v>
      </c>
    </row>
    <row r="201" spans="1:1" ht="20.100000000000001" customHeight="1" x14ac:dyDescent="0.2">
      <c r="A201" s="19" t="s">
        <v>91</v>
      </c>
    </row>
    <row r="202" spans="1:1" ht="20.100000000000001" customHeight="1" x14ac:dyDescent="0.2">
      <c r="A202" s="19" t="s">
        <v>92</v>
      </c>
    </row>
    <row r="203" spans="1:1" ht="20.100000000000001" customHeight="1" x14ac:dyDescent="0.2">
      <c r="A203" s="19" t="s">
        <v>93</v>
      </c>
    </row>
    <row r="204" spans="1:1" ht="20.100000000000001" customHeight="1" x14ac:dyDescent="0.2">
      <c r="A204" s="19" t="s">
        <v>94</v>
      </c>
    </row>
    <row r="205" spans="1:1" ht="20.100000000000001" customHeight="1" x14ac:dyDescent="0.2">
      <c r="A205" s="19" t="s">
        <v>95</v>
      </c>
    </row>
    <row r="206" spans="1:1" ht="20.100000000000001" customHeight="1" x14ac:dyDescent="0.2">
      <c r="A206" s="19" t="s">
        <v>96</v>
      </c>
    </row>
    <row r="207" spans="1:1" ht="20.100000000000001" customHeight="1" x14ac:dyDescent="0.2">
      <c r="A207" s="19" t="s">
        <v>97</v>
      </c>
    </row>
    <row r="208" spans="1:1" ht="20.100000000000001" customHeight="1" x14ac:dyDescent="0.2">
      <c r="A208" s="20" t="s">
        <v>98</v>
      </c>
    </row>
    <row r="209" spans="1:1" ht="20.100000000000001" customHeight="1" x14ac:dyDescent="0.2">
      <c r="A209" s="20" t="s">
        <v>99</v>
      </c>
    </row>
    <row r="210" spans="1:1" ht="20.100000000000001" customHeight="1" x14ac:dyDescent="0.2">
      <c r="A210" s="19" t="s">
        <v>100</v>
      </c>
    </row>
    <row r="211" spans="1:1" ht="20.100000000000001" customHeight="1" x14ac:dyDescent="0.2">
      <c r="A211" s="19" t="s">
        <v>101</v>
      </c>
    </row>
    <row r="212" spans="1:1" ht="20.100000000000001" customHeight="1" x14ac:dyDescent="0.2">
      <c r="A212" s="19" t="s">
        <v>102</v>
      </c>
    </row>
    <row r="213" spans="1:1" ht="20.100000000000001" customHeight="1" x14ac:dyDescent="0.2">
      <c r="A213" s="19" t="s">
        <v>103</v>
      </c>
    </row>
    <row r="214" spans="1:1" ht="20.100000000000001" customHeight="1" x14ac:dyDescent="0.2">
      <c r="A214" s="19" t="s">
        <v>104</v>
      </c>
    </row>
    <row r="215" spans="1:1" ht="20.100000000000001" customHeight="1" x14ac:dyDescent="0.2">
      <c r="A215" s="19" t="s">
        <v>105</v>
      </c>
    </row>
    <row r="216" spans="1:1" ht="20.100000000000001" customHeight="1" x14ac:dyDescent="0.2">
      <c r="A216" s="19" t="s">
        <v>106</v>
      </c>
    </row>
    <row r="217" spans="1:1" ht="20.100000000000001" customHeight="1" x14ac:dyDescent="0.2">
      <c r="A217" s="19" t="s">
        <v>107</v>
      </c>
    </row>
    <row r="218" spans="1:1" ht="20.100000000000001" customHeight="1" x14ac:dyDescent="0.2">
      <c r="A218" s="19" t="s">
        <v>108</v>
      </c>
    </row>
    <row r="219" spans="1:1" ht="20.100000000000001" customHeight="1" x14ac:dyDescent="0.2">
      <c r="A219" s="19" t="s">
        <v>109</v>
      </c>
    </row>
    <row r="220" spans="1:1" ht="20.100000000000001" customHeight="1" x14ac:dyDescent="0.2">
      <c r="A220" s="19" t="s">
        <v>110</v>
      </c>
    </row>
    <row r="221" spans="1:1" ht="20.100000000000001" customHeight="1" x14ac:dyDescent="0.2">
      <c r="A221" s="19" t="s">
        <v>111</v>
      </c>
    </row>
    <row r="222" spans="1:1" ht="20.100000000000001" customHeight="1" x14ac:dyDescent="0.2">
      <c r="A222" s="19" t="s">
        <v>112</v>
      </c>
    </row>
    <row r="223" spans="1:1" ht="20.100000000000001" customHeight="1" x14ac:dyDescent="0.2">
      <c r="A223" s="19" t="s">
        <v>113</v>
      </c>
    </row>
    <row r="224" spans="1:1" ht="20.100000000000001" customHeight="1" x14ac:dyDescent="0.2">
      <c r="A224" s="19" t="s">
        <v>114</v>
      </c>
    </row>
    <row r="225" spans="1:1" ht="20.100000000000001" customHeight="1" x14ac:dyDescent="0.2">
      <c r="A225" s="19" t="s">
        <v>115</v>
      </c>
    </row>
    <row r="226" spans="1:1" ht="20.100000000000001" customHeight="1" x14ac:dyDescent="0.2">
      <c r="A226" s="19" t="s">
        <v>116</v>
      </c>
    </row>
    <row r="227" spans="1:1" ht="20.100000000000001" customHeight="1" x14ac:dyDescent="0.2">
      <c r="A227" s="19" t="s">
        <v>117</v>
      </c>
    </row>
    <row r="228" spans="1:1" ht="20.100000000000001" customHeight="1" x14ac:dyDescent="0.2">
      <c r="A228" s="19" t="s">
        <v>118</v>
      </c>
    </row>
    <row r="229" spans="1:1" ht="20.100000000000001" customHeight="1" x14ac:dyDescent="0.2">
      <c r="A229" s="19" t="s">
        <v>119</v>
      </c>
    </row>
    <row r="230" spans="1:1" ht="20.100000000000001" customHeight="1" x14ac:dyDescent="0.2">
      <c r="A230" s="19" t="s">
        <v>120</v>
      </c>
    </row>
    <row r="231" spans="1:1" ht="20.100000000000001" customHeight="1" x14ac:dyDescent="0.2">
      <c r="A231" s="19" t="s">
        <v>121</v>
      </c>
    </row>
    <row r="232" spans="1:1" ht="20.100000000000001" customHeight="1" x14ac:dyDescent="0.2">
      <c r="A232" s="19" t="s">
        <v>122</v>
      </c>
    </row>
    <row r="233" spans="1:1" ht="20.100000000000001" customHeight="1" x14ac:dyDescent="0.2">
      <c r="A233" s="19" t="s">
        <v>123</v>
      </c>
    </row>
    <row r="234" spans="1:1" ht="20.100000000000001" customHeight="1" x14ac:dyDescent="0.2">
      <c r="A234" s="19" t="s">
        <v>124</v>
      </c>
    </row>
    <row r="235" spans="1:1" ht="20.100000000000001" customHeight="1" x14ac:dyDescent="0.2">
      <c r="A235" s="21" t="s">
        <v>125</v>
      </c>
    </row>
    <row r="236" spans="1:1" ht="20.100000000000001" customHeight="1" x14ac:dyDescent="0.2">
      <c r="A236" s="19" t="s">
        <v>126</v>
      </c>
    </row>
    <row r="237" spans="1:1" ht="20.100000000000001" customHeight="1" x14ac:dyDescent="0.2">
      <c r="A237" s="19" t="s">
        <v>127</v>
      </c>
    </row>
    <row r="238" spans="1:1" ht="20.100000000000001" customHeight="1" x14ac:dyDescent="0.2">
      <c r="A238" s="19" t="s">
        <v>128</v>
      </c>
    </row>
    <row r="239" spans="1:1" ht="20.100000000000001" customHeight="1" x14ac:dyDescent="0.2">
      <c r="A239" s="19" t="s">
        <v>129</v>
      </c>
    </row>
    <row r="240" spans="1:1" ht="20.100000000000001" customHeight="1" x14ac:dyDescent="0.2">
      <c r="A240" s="19" t="s">
        <v>130</v>
      </c>
    </row>
    <row r="241" spans="1:1" ht="20.100000000000001" customHeight="1" x14ac:dyDescent="0.2">
      <c r="A241" s="19" t="s">
        <v>131</v>
      </c>
    </row>
    <row r="242" spans="1:1" ht="20.100000000000001" customHeight="1" x14ac:dyDescent="0.2">
      <c r="A242" s="19" t="s">
        <v>132</v>
      </c>
    </row>
    <row r="243" spans="1:1" ht="20.100000000000001" customHeight="1" x14ac:dyDescent="0.2">
      <c r="A243" s="19" t="s">
        <v>133</v>
      </c>
    </row>
    <row r="244" spans="1:1" ht="20.100000000000001" customHeight="1" x14ac:dyDescent="0.2">
      <c r="A244" s="19" t="s">
        <v>134</v>
      </c>
    </row>
    <row r="245" spans="1:1" ht="20.100000000000001" customHeight="1" x14ac:dyDescent="0.2">
      <c r="A245" s="19" t="s">
        <v>135</v>
      </c>
    </row>
    <row r="246" spans="1:1" ht="20.100000000000001" customHeight="1" x14ac:dyDescent="0.2">
      <c r="A246" s="19" t="s">
        <v>136</v>
      </c>
    </row>
    <row r="247" spans="1:1" ht="20.100000000000001" customHeight="1" x14ac:dyDescent="0.2">
      <c r="A247" s="19" t="s">
        <v>127</v>
      </c>
    </row>
    <row r="248" spans="1:1" ht="20.100000000000001" customHeight="1" x14ac:dyDescent="0.2">
      <c r="A248" s="19" t="s">
        <v>137</v>
      </c>
    </row>
    <row r="249" spans="1:1" ht="20.100000000000001" customHeight="1" x14ac:dyDescent="0.2">
      <c r="A249" s="19" t="s">
        <v>138</v>
      </c>
    </row>
    <row r="250" spans="1:1" ht="20.100000000000001" customHeight="1" x14ac:dyDescent="0.2">
      <c r="A250" s="21" t="s">
        <v>139</v>
      </c>
    </row>
    <row r="251" spans="1:1" ht="20.100000000000001" customHeight="1" x14ac:dyDescent="0.2">
      <c r="A251" s="22" t="s">
        <v>140</v>
      </c>
    </row>
    <row r="252" spans="1:1" ht="20.100000000000001" customHeight="1" x14ac:dyDescent="0.2">
      <c r="A252" s="19" t="s">
        <v>141</v>
      </c>
    </row>
    <row r="253" spans="1:1" ht="20.100000000000001" customHeight="1" x14ac:dyDescent="0.2">
      <c r="A253" s="19" t="s">
        <v>142</v>
      </c>
    </row>
    <row r="254" spans="1:1" ht="20.100000000000001" customHeight="1" x14ac:dyDescent="0.2">
      <c r="A254" s="23" t="s">
        <v>143</v>
      </c>
    </row>
    <row r="255" spans="1:1" ht="20.100000000000001" customHeight="1" x14ac:dyDescent="0.2">
      <c r="A255" s="23" t="s">
        <v>144</v>
      </c>
    </row>
    <row r="256" spans="1:1" ht="20.100000000000001" customHeight="1" x14ac:dyDescent="0.2">
      <c r="A256" s="24" t="s">
        <v>145</v>
      </c>
    </row>
    <row r="257" spans="1:1" ht="20.100000000000001" customHeight="1" x14ac:dyDescent="0.2">
      <c r="A257" s="19" t="s">
        <v>146</v>
      </c>
    </row>
    <row r="258" spans="1:1" ht="20.100000000000001" customHeight="1" x14ac:dyDescent="0.2">
      <c r="A258" s="24" t="s">
        <v>147</v>
      </c>
    </row>
    <row r="259" spans="1:1" ht="20.100000000000001" customHeight="1" x14ac:dyDescent="0.2">
      <c r="A259" s="19" t="s">
        <v>148</v>
      </c>
    </row>
    <row r="260" spans="1:1" ht="20.100000000000001" customHeight="1" x14ac:dyDescent="0.2">
      <c r="A260" s="24" t="s">
        <v>149</v>
      </c>
    </row>
    <row r="261" spans="1:1" ht="20.100000000000001" customHeight="1" x14ac:dyDescent="0.2">
      <c r="A261" s="19" t="s">
        <v>150</v>
      </c>
    </row>
    <row r="262" spans="1:1" ht="20.100000000000001" customHeight="1" x14ac:dyDescent="0.2">
      <c r="A262" s="19" t="s">
        <v>151</v>
      </c>
    </row>
    <row r="263" spans="1:1" ht="20.100000000000001" customHeight="1" x14ac:dyDescent="0.2">
      <c r="A263" s="24" t="s">
        <v>152</v>
      </c>
    </row>
    <row r="264" spans="1:1" ht="20.100000000000001" customHeight="1" x14ac:dyDescent="0.2">
      <c r="A264" s="24" t="s">
        <v>153</v>
      </c>
    </row>
    <row r="265" spans="1:1" ht="20.100000000000001" customHeight="1" x14ac:dyDescent="0.2">
      <c r="A265" s="24" t="s">
        <v>154</v>
      </c>
    </row>
    <row r="266" spans="1:1" ht="20.100000000000001" customHeight="1" x14ac:dyDescent="0.2">
      <c r="A266" s="19" t="s">
        <v>155</v>
      </c>
    </row>
    <row r="267" spans="1:1" ht="20.100000000000001" customHeight="1" x14ac:dyDescent="0.2">
      <c r="A267" s="19" t="s">
        <v>156</v>
      </c>
    </row>
    <row r="268" spans="1:1" ht="20.100000000000001" customHeight="1" x14ac:dyDescent="0.2">
      <c r="A268" s="19" t="s">
        <v>157</v>
      </c>
    </row>
    <row r="269" spans="1:1" ht="20.100000000000001" customHeight="1" x14ac:dyDescent="0.2">
      <c r="A269" s="19" t="s">
        <v>158</v>
      </c>
    </row>
    <row r="270" spans="1:1" ht="20.100000000000001" customHeight="1" x14ac:dyDescent="0.2">
      <c r="A270" s="24" t="s">
        <v>159</v>
      </c>
    </row>
    <row r="271" spans="1:1" ht="20.100000000000001" customHeight="1" x14ac:dyDescent="0.2">
      <c r="A271" s="24" t="s">
        <v>160</v>
      </c>
    </row>
    <row r="272" spans="1:1" ht="20.100000000000001" customHeight="1" x14ac:dyDescent="0.2">
      <c r="A272" s="19" t="s">
        <v>161</v>
      </c>
    </row>
    <row r="273" spans="1:1" ht="20.100000000000001" customHeight="1" x14ac:dyDescent="0.2">
      <c r="A273" s="24" t="s">
        <v>162</v>
      </c>
    </row>
    <row r="274" spans="1:1" ht="20.100000000000001" customHeight="1" x14ac:dyDescent="0.2">
      <c r="A274" s="24" t="s">
        <v>163</v>
      </c>
    </row>
    <row r="275" spans="1:1" ht="20.100000000000001" customHeight="1" x14ac:dyDescent="0.2">
      <c r="A275" s="19" t="s">
        <v>164</v>
      </c>
    </row>
    <row r="276" spans="1:1" ht="20.100000000000001" customHeight="1" x14ac:dyDescent="0.2">
      <c r="A276" s="19" t="s">
        <v>165</v>
      </c>
    </row>
    <row r="277" spans="1:1" ht="20.100000000000001" customHeight="1" x14ac:dyDescent="0.2">
      <c r="A277" s="24" t="s">
        <v>166</v>
      </c>
    </row>
    <row r="278" spans="1:1" ht="20.100000000000001" customHeight="1" x14ac:dyDescent="0.2">
      <c r="A278" s="19" t="s">
        <v>167</v>
      </c>
    </row>
    <row r="279" spans="1:1" ht="20.100000000000001" customHeight="1" x14ac:dyDescent="0.2">
      <c r="A279" s="19" t="s">
        <v>168</v>
      </c>
    </row>
    <row r="280" spans="1:1" ht="20.100000000000001" customHeight="1" x14ac:dyDescent="0.2">
      <c r="A280" s="19" t="s">
        <v>169</v>
      </c>
    </row>
    <row r="281" spans="1:1" ht="20.100000000000001" customHeight="1" x14ac:dyDescent="0.2">
      <c r="A281" s="19" t="s">
        <v>170</v>
      </c>
    </row>
    <row r="282" spans="1:1" ht="20.100000000000001" customHeight="1" x14ac:dyDescent="0.2">
      <c r="A282" s="24" t="s">
        <v>171</v>
      </c>
    </row>
    <row r="283" spans="1:1" ht="20.100000000000001" customHeight="1" x14ac:dyDescent="0.2">
      <c r="A283" s="24" t="s">
        <v>172</v>
      </c>
    </row>
    <row r="284" spans="1:1" ht="20.100000000000001" customHeight="1" x14ac:dyDescent="0.2">
      <c r="A284" s="24" t="s">
        <v>173</v>
      </c>
    </row>
    <row r="285" spans="1:1" ht="20.100000000000001" customHeight="1" thickBot="1" x14ac:dyDescent="0.25">
      <c r="A285" s="19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2025-10-09T09:47:24Z</dcterms:modified>
</cp:coreProperties>
</file>