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DC23C52-93F4-41E7-8D0D-9AB21A8107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<sst xmlns="http://schemas.openxmlformats.org/spreadsheetml/2006/main" count="286" uniqueCount="227">
  <si>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</si>
  <si>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</si>
  <si>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</si>
  <si>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</si>
  <si>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</si>
  <si>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</si>
  <si>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</si>
  <si>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</si>
  <si>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</si>
  <si>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</si>
  <si>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</si>
  <si>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</si>
  <si>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</si>
  <si>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</si>
  <si>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</si>
  <si>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</si>
  <si>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</si>
  <si>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</si>
  <si>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</si>
  <si>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</si>
  <si>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</si>
  <si>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</si>
  <si>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</si>
  <si>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</si>
  <si>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</si>
  <si>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</si>
  <si>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</si>
  <si>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</si>
  <si>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</si>
  <si>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</si>
  <si>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</si>
  <si>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</si>
  <si>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</si>
  <si>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</si>
  <si>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</si>
  <si>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</si>
  <si>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</si>
  <si>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</si>
  <si>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</si>
  <si>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</si>
  <si>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</si>
  <si>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</si>
  <si>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</si>
  <si>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</si>
  <si>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</si>
  <si>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</si>
  <si>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</si>
  <si>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</si>
  <si>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</si>
  <si>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</si>
  <si>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</si>
  <si>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</si>
  <si>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</si>
  <si>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</si>
  <si>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</si>
  <si>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</si>
  <si>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</si>
  <si>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</si>
  <si>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</si>
  <si>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</si>
  <si>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</si>
  <si>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</si>
  <si>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</si>
  <si>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</si>
  <si>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</si>
  <si>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</si>
  <si>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</si>
  <si>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</si>
  <si>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</si>
  <si>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</si>
  <si>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</si>
  <si>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</si>
  <si>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</si>
  <si>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</si>
  <si>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</si>
  <si>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</si>
  <si>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</si>
  <si>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</si>
  <si>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</si>
  <si>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</si>
  <si>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</si>
  <si>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</si>
  <si>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</si>
  <si>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</si>
  <si>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</si>
  <si>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</si>
  <si>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</si>
  <si>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</si>
  <si>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</si>
  <si>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</si>
  <si>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</si>
  <si>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</si>
  <si>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</si>
  <si>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</si>
  <si>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</si>
  <si>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</si>
  <si>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</si>
  <si>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</si>
  <si>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</si>
  <si>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</si>
  <si>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</si>
  <si>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</si>
  <si>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</si>
  <si>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</si>
  <si>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</si>
  <si>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</si>
  <si>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</si>
  <si>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</si>
  <si>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</si>
  <si>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</si>
  <si>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</si>
  <si>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أ.   قام ضابط العمليات بما يلي: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</si>
  <si>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</si>
  <si>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</si>
  <si>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</si>
  <si>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</si>
  <si>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</si>
  <si>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</si>
  <si>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</si>
  <si>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</si>
  <si>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</si>
  <si>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</si>
  <si>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</si>
  <si>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</si>
  <si>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</si>
  <si>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</si>
  <si>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</si>
  <si>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</si>
  <si>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</si>
  <si>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</si>
  <si>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</si>
  <si>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</si>
  <si>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</si>
  <si>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</si>
  <si>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</si>
  <si>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</si>
  <si>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</si>
  <si>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</si>
  <si>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</si>
  <si>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</si>
  <si>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</si>
  <si>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</si>
  <si>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</si>
  <si>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</si>
  <si>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</si>
  <si>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</si>
  <si>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</si>
  <si>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</si>
  <si>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</si>
  <si>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</si>
  <si>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</si>
  <si>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</si>
  <si>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</si>
  <si>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</si>
  <si>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</si>
  <si>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</si>
  <si>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</si>
  <si>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</si>
  <si>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</si>
  <si>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</si>
  <si>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</si>
  <si>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</si>
  <si>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</si>
  <si>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</si>
  <si>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</si>
  <si>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</si>
  <si>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</si>
  <si>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</si>
  <si>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</si>
  <si>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</si>
  <si>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</si>
  <si>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</si>
  <si>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</si>
  <si>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</si>
  <si>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</si>
  <si>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</si>
  <si>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</si>
  <si>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</si>
  <si>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</si>
  <si>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</si>
  <si>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</si>
  <si>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</si>
  <si>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</si>
  <si>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</si>
  <si>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</si>
  <si>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</si>
  <si>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</si>
  <si>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</si>
  <si>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</si>
  <si>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</si>
  <si>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</si>
  <si>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</si>
  <si>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</si>
  <si>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</si>
  <si>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</si>
  <si>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</si>
  <si>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</si>
  <si>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</si>
  <si>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</si>
  <si>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</si>
  <si>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</si>
  <si>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</si>
  <si>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</si>
  <si>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</si>
  <si>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</si>
  <si>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</si>
  <si>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</si>
  <si>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</si>
  <si>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</si>
  <si>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</si>
  <si>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</si>
  <si>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</si>
  <si>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</si>
  <si>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</si>
  <si>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</si>
  <si>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</si>
  <si>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</si>
  <si>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</si>
  <si>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</si>
  <si>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</si>
  <si>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</si>
  <si>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</si>
  <si>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</si>
  <si>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</si>
  <si>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</si>
  <si>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الكتيبة/مجموعة القتال - العمليات التعرضية
تمرين جاهزية مجموعة لواء الإمارات/1 (جندي الصحراء 2025/20)</t>
  </si>
  <si>
    <t>المقدم الركن/ عبدالرحمن محمد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</si>
</sst>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605175</xdr:colOff>
      <xdr:row>59</xdr:row>
      <xdr:rowOff>36225</xdr:rowOff>
    </xdr:from>
    <xdr:to>
      <xdr:col>7</xdr:col>
      <xdr:colOff>393634</xdr:colOff>
      <xdr:row>59</xdr:row>
      <xdr:rowOff>321345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48BAD7D-DC2C-B466-C3EC-E33058D4FA63}"/>
                </a:ext>
              </a:extLst>
            </xdr14:cNvPr>
            <xdr14:cNvContentPartPr/>
          </xdr14:nvContentPartPr>
          <xdr14:nvPr macro=""/>
          <xdr14:xfrm>
            <a:off x="10399512663" y="24916680"/>
            <a:ext cx="448200" cy="285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48BAD7D-DC2C-B466-C3EC-E33058D4FA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06543" y="24910560"/>
              <a:ext cx="46044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149415</xdr:colOff>
      <xdr:row>59</xdr:row>
      <xdr:rowOff>47385</xdr:rowOff>
    </xdr:from>
    <xdr:to>
      <xdr:col>9</xdr:col>
      <xdr:colOff>670753</xdr:colOff>
      <xdr:row>59</xdr:row>
      <xdr:rowOff>515025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720564E-8655-0ABD-6607-482A884D66F4}"/>
                </a:ext>
              </a:extLst>
            </xdr14:cNvPr>
            <xdr14:cNvContentPartPr/>
          </xdr14:nvContentPartPr>
          <xdr14:nvPr macro=""/>
          <xdr14:xfrm>
            <a:off x="10397916063" y="24927840"/>
            <a:ext cx="2500560" cy="467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20564E-8655-0ABD-6607-482A884D66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09943" y="24921720"/>
              <a:ext cx="2512800" cy="47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389976</xdr:colOff>
      <xdr:row>2</xdr:row>
      <xdr:rowOff>193904</xdr:rowOff>
    </xdr:from>
    <xdr:to>
      <xdr:col>4</xdr:col>
      <xdr:colOff>407976</xdr:colOff>
      <xdr:row>2</xdr:row>
      <xdr:rowOff>236384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396865A-87C7-EF11-14BD-FD8736666067}"/>
                </a:ext>
              </a:extLst>
            </xdr14:cNvPr>
            <xdr14:cNvContentPartPr/>
          </xdr14:nvContentPartPr>
          <xdr14:nvPr macro=""/>
          <xdr14:xfrm>
            <a:off x="10401477543" y="1142280"/>
            <a:ext cx="18000" cy="424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396865A-87C7-EF11-14BD-FD87366660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1471423" y="1136160"/>
              <a:ext cx="3024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343536</xdr:colOff>
      <xdr:row>2</xdr:row>
      <xdr:rowOff>139184</xdr:rowOff>
    </xdr:from>
    <xdr:to>
      <xdr:col>4</xdr:col>
      <xdr:colOff>353256</xdr:colOff>
      <xdr:row>2</xdr:row>
      <xdr:rowOff>174104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9C160FE-3C29-0018-1891-F7367CAF3CEA}"/>
                </a:ext>
              </a:extLst>
            </xdr14:cNvPr>
            <xdr14:cNvContentPartPr/>
          </xdr14:nvContentPartPr>
          <xdr14:nvPr macro=""/>
          <xdr14:xfrm>
            <a:off x="10401532263" y="1087560"/>
            <a:ext cx="9720" cy="349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9C160FE-3C29-0018-1891-F7367CAF3CE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1526143" y="1081440"/>
              <a:ext cx="21960" cy="4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16:18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947 137 9666,'-2'2'0,"2"-4"984,0 2-984,-11-44 216,8 40 8,1-3 88,2 4 120,0 3-432,-7-44 560,6 41 56,-1-5-24,1 5-23,1 3-569,-6-11 536,4 8-144,1 1-112,0-1-136,1 3-144,-8-1-120,7 0-80,-2 1-136,1 2-32,2-2 368,-40 48-328,31-39 95,3 1 81,-5 0 104,11-10 48,-54 80 8,43-68 24,3 0-48,5-1 24,3-11-8,-17 39-24,16-31-24,0-5-16,1 5 32,0-8 32,19 28 32,-17-26 80,5 5 56,-5-5 1,-2-2-169,59 14 136,-50-13 32,-1 1 24,1 0-80,-9-2-112,84 0 128,-72 0-88,2 0-32,0 0 80,-14 0-88,85-15 88,-71 14-80,-2-1 40,-1 1-72,-11 1 24,58 2-56,-51-3 56,2 0-40,-2 1 32,-7 0 8,9 0 32,-6 0-48,-2 0 0,-1 0-32,0 0 48,0-2-104,0 2 112,0 2 16,0-2-24,-31 27 40,28-25-16,-6 5 32,1-5-8,8-2-48,-81 37 88,68-30-8,0 0-48,-3 0 32,16-7-64,-98 40 56,83-34-72,0-3 16,0 6 56,15-9-56,-86 27 56,73-20 40,0-5-40,2 0-40,11-2-16,-67 16 8,57-16-40,0 2 80,2-1-72,8-1 24,-32 1-32,30-1-24,-5 0 8,4-1-96,3 1 144,-20-26-184,16 23-40,1 1-128,1-5 64,2 7 288,-11-21-289,9 14 105,1 4 48,1-5 128,0 8 8,-2-11 80,1 8 16,1 1 48,0-1-79,0 3-65,-17-1 40,16 0-48,-2 1-81,-3 2 81,6-2 8,-66 43 81,53-32 71,0 0 184,-3 1 8,16-12-344,-110 94 304,94-81-8,-1 1-64,-1 0-8,18-14-224,-104 82 120,88-70-32,0-1-88,3-1-8,13-10 8,-66 39 24,55-31-48,2-6 24,1 7-8,8-9 8,-17-2 40,14 4-40,0-2-144,3 0-376,0 0 520,18-44-984,-18 35-321,2-1 121,10-4 64,-12 14 1120,21-39-6466,-21 39 6466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16:20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4492 414 9370,'0'0'0,"0"0"0,0-68 1360,2 58-848,-2-1 96,0 3 72,0 8-680,-11 4 840,10-6-288,-2 1-215,0 0-177,3 1-160,-72 9 64,63-9 112,-3 2 88,-4 7 64,16-9-328,-123 68 304,102-60-48,1 2-24,-1 0-48,21-10-184,-148 63 144,127-52-8,-4 0-80,1 0 24,24-11-80,-178 78 48,152-66-72,-2 1 0,-3-1-16,31-12 40,-183 81 0,153-69-16,3 0-112,5-1-48,22-11 176,-80 56-272,67-46-672,4-8-457,5 7-6512,4-9 7913</inkml:trace>
  <inkml:trace contextRef="#ctx0" brushRef="#br0" timeOffset="1">4923 972 19420,'-6'0'0,"3"0"-144,1 0-553,2 0 697,-43 32-848,41-24 16,-7 0-96,2 1-624,7-9 1552,-47 39-8226,47-39 8226</inkml:trace>
  <inkml:trace contextRef="#ctx0" brushRef="#br0" timeOffset="2">3075 48 17931,'-2'-6'0,"2"-7"1673,0 13-1673,0-21 56,0 14-408,0 7-112,2 8 47,-2-8 417,43 112-120,-37-96 240,2 5-88,-6 4 8,-2-25-40,49 222-40,-46-190 40,5 4 24,0 1-80,-8-37 56,23 198-88,-15-165-64,-7-2-56,2-5-24,-3-26 232,7 128-256,-5-110-64,-2-3 104,-2-2 112,2-13 104,-71 39-104,62-30 48,-3-2 64,-4-5-72,16-2 64,-131 34 32,112-33-16,-3 1-56,0 0 40,22-2 0,-170 2-24,145-2-16,-2 0 16,0-2-136,27 2 160,-160-39-248,134 32-88,2 4-48,2-6 72,22 9 312,-106-67-192,89 58 120,4-1 72,1 0 40,12 10-40,-31-61 88,28 50 8,-1-1 16,2 0-24,2 12-88,6-110 72,-6 96-8,1-1-40,2 0-24,-3 15 0,77-91-24,-68 76-16,5 1 32,1-1 8,-15 15 0,86-65 32,-72 53 16,-1 1 80,-2 3 16,-11 8-144,47-30 144,-39 23 24,-6 6 0,7 0-24,-9 1-144,12 2 184,-9-3-24,-2 0-24,1 1 0,-2 0-136,8 0 80,-6 0-8,0 0-88,-2 0-32,0 0 48,-6 25-32,6-23-16,0 0 48,-4 8 24,4-10-24,-112 78 24,99-68 0,-8 3 0,-6 1-24,27-14 0,-243 103-16,208-86 32,-7-1-16,-2 2-16,44-18 16,-333 121-8,283-104 16,-4 0-8,-1 1 0,55-18 0,-382 104 40,324-87 8,-2-1-32,-1 1 56,61-17-72,-374 91 48,314-75-16,5-2-56,3 0 72,52-14-48,-239 72-56,202-62 56,4-3 56,6 0-8,27-7-48,-104 26 120,87-18-120,5-6 24,4 1-24,8-3 0,10-4-24,-11 6-24,1-2-56,11 2 40,-11-2 64,144-13 24,-125 13 0,10 0 80,8-7-64,-37 7-40,410-86 56,-349 72 48,8-1-40,10-4-8,-79 19-56,585-142-48,-496 120 80,5-1-8,4-2 40,-98 25-64,710-181 48,-603 152-40,1 0 16,8-1 8,-116 30-32,760-160 64,-642 135-16,1 1-72,-2 2 24,-117 22 0,732-122-40,-618 102-16,-4 3 56,-8 3-48,-102 14 48,575-84 24,-485 73-8,-7 0 0,-5 1-24,-78 10 8,421-49-80,-356 38-8,-5 3 40,-6-1-16,-54 9 64,237-29 8,-198 21 16,-6 8-80,-9-1 64,-24 1-8,55 12-24,-45-12-104,-9 2 24,-1 0 0,0 1 32,0-3 72,-101 69 16,86-62 24,-5 2-24,-4 2-32,24-11 16,-186 89 24,157-75-8,-1 2 16,3 0-16,27-16-16,-155 103-64,133-87-16,-2 1 56,2 1-40,22-18 64,-132 118-64,110-99-184,2 0-776,5-2-576,15-17 1600,-40 38-8274,40-38 8274</inkml:trace>
  <inkml:trace contextRef="#ctx0" brushRef="#br0" timeOffset="3">5901 644 21108,'0'0'0,"0"0"0,-9-30-16,7 26-896,0 1-905,2 2-903,0 1 2720,0 0-9362,0 0 9362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17:21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60 12650,'-17'-30'0,"14"19"816,-4 3-408,5-1-336,2 9-72,-11-1-248,8 0-216,2 1-136,1 2-80,0-2 680,-2 63-488,2-55 144,0 4 128,0 1 40,0-13 176,-3 19-6258,3-19 6258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17:41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96 16067,'-4'-23'0,"1"8"840,3 15-840,-13-44 120,11 33-568,-1 8-432,2 3-160,1 0 1040,5 57-1177,-5-45 17,2 0 304,1 3-6018,-3-15 6874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A54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225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44</v>
      </c>
      <c r="D2" s="71"/>
      <c r="E2" s="11" t="s">
        <v>7</v>
      </c>
      <c r="F2" s="66">
        <v>45951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221</v>
      </c>
      <c r="D3" s="71"/>
      <c r="E3" s="11" t="s">
        <v>6</v>
      </c>
      <c r="F3" s="71"/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82" t="s">
        <v>226</v>
      </c>
      <c r="G4" s="82"/>
      <c r="H4" s="82"/>
      <c r="I4" s="82"/>
      <c r="J4" s="82"/>
    </row>
    <row r="5" spans="1:10" ht="24.9" customHeight="1" x14ac:dyDescent="0.3">
      <c r="A5" s="9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74" t="s">
        <v>21</v>
      </c>
      <c r="C7" s="75"/>
      <c r="D7" s="75"/>
      <c r="E7" s="20" t="s">
        <v>18</v>
      </c>
      <c r="F7" s="20" t="s">
        <v>19</v>
      </c>
      <c r="G7" s="20" t="s">
        <v>22</v>
      </c>
      <c r="H7" s="20" t="s">
        <v>20</v>
      </c>
      <c r="I7" s="80" t="s">
        <v>25</v>
      </c>
      <c r="J7" s="81"/>
    </row>
    <row r="8" spans="1:10" ht="30" customHeight="1" x14ac:dyDescent="0.3">
      <c r="A8" s="9"/>
      <c r="B8" s="36" t="s">
        <v>80</v>
      </c>
      <c r="C8" s="37"/>
      <c r="D8" s="37"/>
      <c r="E8" s="37"/>
      <c r="F8" s="37"/>
      <c r="G8" s="37"/>
      <c r="H8" s="37"/>
      <c r="I8" s="37"/>
      <c r="J8" s="38"/>
    </row>
    <row r="9" spans="1:10" ht="30" customHeight="1" x14ac:dyDescent="0.3">
      <c r="A9" s="9"/>
      <c r="B9" s="41" t="s">
        <v>102</v>
      </c>
      <c r="C9" s="42"/>
      <c r="D9" s="42"/>
      <c r="E9" s="8">
        <v>5</v>
      </c>
      <c r="F9" s="18">
        <v>3.5</v>
      </c>
      <c r="G9" s="22">
        <f>IFERROR(F9/E9,"")</f>
        <v>0.7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9"/>
      <c r="B10" s="41" t="s">
        <v>64</v>
      </c>
      <c r="C10" s="42"/>
      <c r="D10" s="42"/>
      <c r="E10" s="8"/>
      <c r="F10" s="18"/>
      <c r="G10" s="22"/>
      <c r="H10" s="23"/>
      <c r="I10" s="45"/>
      <c r="J10" s="46"/>
    </row>
    <row r="11" spans="1:10" ht="50.1" customHeight="1" x14ac:dyDescent="0.3">
      <c r="A11" s="9"/>
      <c r="B11" s="39" t="s">
        <v>81</v>
      </c>
      <c r="C11" s="40"/>
      <c r="D11" s="40"/>
      <c r="E11" s="8">
        <v>5</v>
      </c>
      <c r="F11" s="18">
        <v>3.75</v>
      </c>
      <c r="G11" s="22">
        <f t="shared" ref="G11:G55" si="0">IFERROR(F11/E11,"")</f>
        <v>0.75</v>
      </c>
      <c r="H11" s="23" t="str">
        <f t="shared" ref="H11:H55" si="1">_xlfn.IFS(F11="أدخل العلامة","",F11="لا ينطبق","تم الإلغاء",G11&gt;=90%,"ممتاز",G11&gt;=80%,"جيد جداً",G11&gt;=70%,"جيد",G11&gt;=60%,"مقبول",G11&lt;60%,"راسب")</f>
        <v>جيد</v>
      </c>
      <c r="I11" s="45"/>
      <c r="J11" s="46"/>
    </row>
    <row r="12" spans="1:10" ht="39.9" customHeight="1" x14ac:dyDescent="0.3">
      <c r="A12" s="9"/>
      <c r="B12" s="39" t="s">
        <v>82</v>
      </c>
      <c r="C12" s="40"/>
      <c r="D12" s="40"/>
      <c r="E12" s="8">
        <v>5</v>
      </c>
      <c r="F12" s="18">
        <v>3.5</v>
      </c>
      <c r="G12" s="22">
        <f t="shared" si="0"/>
        <v>0.7</v>
      </c>
      <c r="H12" s="23" t="str">
        <f t="shared" si="1"/>
        <v>جيد</v>
      </c>
      <c r="I12" s="45"/>
      <c r="J12" s="46"/>
    </row>
    <row r="13" spans="1:10" ht="30" customHeight="1" x14ac:dyDescent="0.3">
      <c r="A13" s="9"/>
      <c r="B13" s="39" t="s">
        <v>83</v>
      </c>
      <c r="C13" s="40"/>
      <c r="D13" s="40"/>
      <c r="E13" s="8">
        <v>5</v>
      </c>
      <c r="F13" s="18">
        <v>3.5</v>
      </c>
      <c r="G13" s="22">
        <f t="shared" si="0"/>
        <v>0.7</v>
      </c>
      <c r="H13" s="23" t="str">
        <f t="shared" si="1"/>
        <v>جيد</v>
      </c>
      <c r="I13" s="45"/>
      <c r="J13" s="46"/>
    </row>
    <row r="14" spans="1:10" ht="30" customHeight="1" x14ac:dyDescent="0.3">
      <c r="A14" s="9"/>
      <c r="B14" s="39" t="s">
        <v>84</v>
      </c>
      <c r="C14" s="40"/>
      <c r="D14" s="40"/>
      <c r="E14" s="8">
        <v>5</v>
      </c>
      <c r="F14" s="18">
        <v>4</v>
      </c>
      <c r="G14" s="22">
        <f t="shared" si="0"/>
        <v>0.8</v>
      </c>
      <c r="H14" s="23" t="str">
        <f t="shared" si="1"/>
        <v>جيد جداً</v>
      </c>
      <c r="I14" s="45"/>
      <c r="J14" s="46"/>
    </row>
    <row r="15" spans="1:10" ht="30" customHeight="1" x14ac:dyDescent="0.3">
      <c r="A15" s="9"/>
      <c r="B15" s="39" t="s">
        <v>85</v>
      </c>
      <c r="C15" s="40"/>
      <c r="D15" s="40"/>
      <c r="E15" s="8">
        <v>5</v>
      </c>
      <c r="F15" s="18">
        <v>3.5</v>
      </c>
      <c r="G15" s="22">
        <f t="shared" si="0"/>
        <v>0.7</v>
      </c>
      <c r="H15" s="23" t="str">
        <f t="shared" si="1"/>
        <v>جيد</v>
      </c>
      <c r="I15" s="45"/>
      <c r="J15" s="46"/>
    </row>
    <row r="16" spans="1:10" ht="50.1" customHeight="1" x14ac:dyDescent="0.3">
      <c r="A16" s="9"/>
      <c r="B16" s="41" t="s">
        <v>65</v>
      </c>
      <c r="C16" s="42"/>
      <c r="D16" s="42"/>
      <c r="E16" s="8">
        <v>5</v>
      </c>
      <c r="F16" s="18">
        <v>3.5</v>
      </c>
      <c r="G16" s="22">
        <f t="shared" si="0"/>
        <v>0.7</v>
      </c>
      <c r="H16" s="23" t="str">
        <f t="shared" si="1"/>
        <v>جيد</v>
      </c>
      <c r="I16" s="45"/>
      <c r="J16" s="46"/>
    </row>
    <row r="17" spans="1:10" ht="30" customHeight="1" x14ac:dyDescent="0.3">
      <c r="A17" s="9"/>
      <c r="B17" s="41" t="s">
        <v>103</v>
      </c>
      <c r="C17" s="42"/>
      <c r="D17" s="42"/>
      <c r="E17" s="8"/>
      <c r="F17" s="18"/>
      <c r="G17" s="22"/>
      <c r="H17" s="23"/>
      <c r="I17" s="45"/>
      <c r="J17" s="46"/>
    </row>
    <row r="18" spans="1:10" ht="30" customHeight="1" x14ac:dyDescent="0.3">
      <c r="A18" s="9"/>
      <c r="B18" s="39" t="s">
        <v>86</v>
      </c>
      <c r="C18" s="40"/>
      <c r="D18" s="40"/>
      <c r="E18" s="8">
        <v>5</v>
      </c>
      <c r="F18" s="18">
        <v>3.5</v>
      </c>
      <c r="G18" s="22">
        <f t="shared" si="0"/>
        <v>0.7</v>
      </c>
      <c r="H18" s="23" t="str">
        <f t="shared" si="1"/>
        <v>جيد</v>
      </c>
      <c r="I18" s="45"/>
      <c r="J18" s="46"/>
    </row>
    <row r="19" spans="1:10" ht="30" customHeight="1" x14ac:dyDescent="0.3">
      <c r="A19" s="9"/>
      <c r="B19" s="39" t="s">
        <v>87</v>
      </c>
      <c r="C19" s="40"/>
      <c r="D19" s="40"/>
      <c r="E19" s="8">
        <v>5</v>
      </c>
      <c r="F19" s="18">
        <v>3.75</v>
      </c>
      <c r="G19" s="22">
        <f t="shared" si="0"/>
        <v>0.75</v>
      </c>
      <c r="H19" s="23" t="str">
        <f t="shared" si="1"/>
        <v>جيد</v>
      </c>
      <c r="I19" s="45"/>
      <c r="J19" s="46"/>
    </row>
    <row r="20" spans="1:10" ht="30" customHeight="1" x14ac:dyDescent="0.3">
      <c r="A20" s="9"/>
      <c r="B20" s="39" t="s">
        <v>88</v>
      </c>
      <c r="C20" s="40"/>
      <c r="D20" s="40"/>
      <c r="E20" s="8">
        <v>5</v>
      </c>
      <c r="F20" s="18">
        <v>4</v>
      </c>
      <c r="G20" s="22">
        <f t="shared" si="0"/>
        <v>0.8</v>
      </c>
      <c r="H20" s="23" t="str">
        <f t="shared" si="1"/>
        <v>جيد جداً</v>
      </c>
      <c r="I20" s="45"/>
      <c r="J20" s="46"/>
    </row>
    <row r="21" spans="1:10" ht="30" customHeight="1" x14ac:dyDescent="0.3">
      <c r="A21" s="9"/>
      <c r="B21" s="41" t="s">
        <v>66</v>
      </c>
      <c r="C21" s="42"/>
      <c r="D21" s="42"/>
      <c r="E21" s="8"/>
      <c r="F21" s="18"/>
      <c r="G21" s="22"/>
      <c r="H21" s="23"/>
      <c r="I21" s="45"/>
      <c r="J21" s="46"/>
    </row>
    <row r="22" spans="1:10" ht="39.9" customHeight="1" x14ac:dyDescent="0.3">
      <c r="A22" s="9"/>
      <c r="B22" s="39" t="s">
        <v>89</v>
      </c>
      <c r="C22" s="40"/>
      <c r="D22" s="40"/>
      <c r="E22" s="8">
        <v>5</v>
      </c>
      <c r="F22" s="18">
        <v>3.75</v>
      </c>
      <c r="G22" s="22">
        <f t="shared" si="0"/>
        <v>0.75</v>
      </c>
      <c r="H22" s="23" t="str">
        <f t="shared" si="1"/>
        <v>جيد</v>
      </c>
      <c r="I22" s="45"/>
      <c r="J22" s="46"/>
    </row>
    <row r="23" spans="1:10" ht="30" customHeight="1" x14ac:dyDescent="0.3">
      <c r="A23" s="9"/>
      <c r="B23" s="39" t="s">
        <v>90</v>
      </c>
      <c r="C23" s="40"/>
      <c r="D23" s="40"/>
      <c r="E23" s="8">
        <v>5</v>
      </c>
      <c r="F23" s="18">
        <v>3.5</v>
      </c>
      <c r="G23" s="22">
        <f t="shared" si="0"/>
        <v>0.7</v>
      </c>
      <c r="H23" s="23" t="str">
        <f t="shared" si="1"/>
        <v>جيد</v>
      </c>
      <c r="I23" s="45"/>
      <c r="J23" s="46"/>
    </row>
    <row r="24" spans="1:10" ht="39.9" customHeight="1" x14ac:dyDescent="0.3">
      <c r="A24" s="9"/>
      <c r="B24" s="39" t="s">
        <v>91</v>
      </c>
      <c r="C24" s="40"/>
      <c r="D24" s="40"/>
      <c r="E24" s="8">
        <v>5</v>
      </c>
      <c r="F24" s="18">
        <v>4</v>
      </c>
      <c r="G24" s="22">
        <f t="shared" si="0"/>
        <v>0.8</v>
      </c>
      <c r="H24" s="23" t="str">
        <f t="shared" si="1"/>
        <v>جيد جداً</v>
      </c>
      <c r="I24" s="45"/>
      <c r="J24" s="46"/>
    </row>
    <row r="25" spans="1:10" ht="30" customHeight="1" thickBot="1" x14ac:dyDescent="0.35">
      <c r="A25" s="9"/>
      <c r="B25" s="43" t="s">
        <v>104</v>
      </c>
      <c r="C25" s="44"/>
      <c r="D25" s="44"/>
      <c r="E25" s="28">
        <v>5</v>
      </c>
      <c r="F25" s="19">
        <v>3.75</v>
      </c>
      <c r="G25" s="26">
        <f t="shared" si="0"/>
        <v>0.75</v>
      </c>
      <c r="H25" s="27" t="str">
        <f t="shared" si="1"/>
        <v>جيد</v>
      </c>
      <c r="I25" s="57"/>
      <c r="J25" s="58"/>
    </row>
    <row r="26" spans="1:10" ht="30" customHeight="1" x14ac:dyDescent="0.3">
      <c r="A26" s="9"/>
      <c r="B26" s="36" t="s">
        <v>92</v>
      </c>
      <c r="C26" s="37"/>
      <c r="D26" s="37"/>
      <c r="E26" s="37"/>
      <c r="F26" s="37"/>
      <c r="G26" s="37"/>
      <c r="H26" s="37"/>
      <c r="I26" s="37"/>
      <c r="J26" s="38"/>
    </row>
    <row r="27" spans="1:10" ht="30" customHeight="1" x14ac:dyDescent="0.3">
      <c r="A27" s="9"/>
      <c r="B27" s="41" t="s">
        <v>105</v>
      </c>
      <c r="C27" s="42"/>
      <c r="D27" s="42"/>
      <c r="E27" s="24">
        <v>5</v>
      </c>
      <c r="F27" s="18">
        <v>3.75</v>
      </c>
      <c r="G27" s="22">
        <f t="shared" si="0"/>
        <v>0.75</v>
      </c>
      <c r="H27" s="23" t="str">
        <f t="shared" si="1"/>
        <v>جيد</v>
      </c>
      <c r="I27" s="45"/>
      <c r="J27" s="46"/>
    </row>
    <row r="28" spans="1:10" ht="30" customHeight="1" x14ac:dyDescent="0.3">
      <c r="A28" s="9"/>
      <c r="B28" s="41" t="s">
        <v>67</v>
      </c>
      <c r="C28" s="42"/>
      <c r="D28" s="42"/>
      <c r="E28" s="24">
        <v>5</v>
      </c>
      <c r="F28" s="18">
        <v>4.25</v>
      </c>
      <c r="G28" s="22">
        <f t="shared" si="0"/>
        <v>0.85</v>
      </c>
      <c r="H28" s="23" t="str">
        <f t="shared" si="1"/>
        <v>جيد جداً</v>
      </c>
      <c r="I28" s="45"/>
      <c r="J28" s="46"/>
    </row>
    <row r="29" spans="1:10" ht="30" customHeight="1" x14ac:dyDescent="0.3">
      <c r="A29" s="9"/>
      <c r="B29" s="41" t="s">
        <v>68</v>
      </c>
      <c r="C29" s="42"/>
      <c r="D29" s="42"/>
      <c r="E29" s="24">
        <v>5</v>
      </c>
      <c r="F29" s="18">
        <v>3.75</v>
      </c>
      <c r="G29" s="22">
        <f t="shared" si="0"/>
        <v>0.75</v>
      </c>
      <c r="H29" s="23" t="str">
        <f t="shared" si="1"/>
        <v>جيد</v>
      </c>
      <c r="I29" s="45"/>
      <c r="J29" s="46"/>
    </row>
    <row r="30" spans="1:10" ht="30" customHeight="1" x14ac:dyDescent="0.3">
      <c r="A30" s="9"/>
      <c r="B30" s="41" t="s">
        <v>69</v>
      </c>
      <c r="C30" s="42"/>
      <c r="D30" s="42"/>
      <c r="E30" s="24">
        <v>5</v>
      </c>
      <c r="F30" s="18">
        <v>3.75</v>
      </c>
      <c r="G30" s="22">
        <f t="shared" si="0"/>
        <v>0.75</v>
      </c>
      <c r="H30" s="23" t="str">
        <f t="shared" si="1"/>
        <v>جيد</v>
      </c>
      <c r="I30" s="45"/>
      <c r="J30" s="46"/>
    </row>
    <row r="31" spans="1:10" ht="30" customHeight="1" x14ac:dyDescent="0.3">
      <c r="A31" s="9"/>
      <c r="B31" s="41" t="s">
        <v>70</v>
      </c>
      <c r="C31" s="42"/>
      <c r="D31" s="42"/>
      <c r="E31" s="24">
        <v>5</v>
      </c>
      <c r="F31" s="18">
        <v>4.25</v>
      </c>
      <c r="G31" s="22">
        <f t="shared" si="0"/>
        <v>0.85</v>
      </c>
      <c r="H31" s="23" t="str">
        <f t="shared" si="1"/>
        <v>جيد جداً</v>
      </c>
      <c r="I31" s="45"/>
      <c r="J31" s="46"/>
    </row>
    <row r="32" spans="1:10" ht="39.9" customHeight="1" x14ac:dyDescent="0.3">
      <c r="A32" s="9"/>
      <c r="B32" s="41" t="s">
        <v>106</v>
      </c>
      <c r="C32" s="42"/>
      <c r="D32" s="42"/>
      <c r="E32" s="24">
        <v>5</v>
      </c>
      <c r="F32" s="18">
        <v>3.75</v>
      </c>
      <c r="G32" s="22">
        <f t="shared" si="0"/>
        <v>0.75</v>
      </c>
      <c r="H32" s="23" t="str">
        <f t="shared" si="1"/>
        <v>جيد</v>
      </c>
      <c r="I32" s="45"/>
      <c r="J32" s="46"/>
    </row>
    <row r="33" spans="1:10" ht="30" customHeight="1" x14ac:dyDescent="0.3">
      <c r="A33" s="9"/>
      <c r="B33" s="41" t="s">
        <v>71</v>
      </c>
      <c r="C33" s="42"/>
      <c r="D33" s="42"/>
      <c r="E33" s="24">
        <v>5</v>
      </c>
      <c r="F33" s="18">
        <v>3.75</v>
      </c>
      <c r="G33" s="22">
        <f t="shared" si="0"/>
        <v>0.75</v>
      </c>
      <c r="H33" s="23" t="str">
        <f t="shared" si="1"/>
        <v>جيد</v>
      </c>
      <c r="I33" s="45"/>
      <c r="J33" s="46"/>
    </row>
    <row r="34" spans="1:10" ht="30" customHeight="1" x14ac:dyDescent="0.3">
      <c r="A34" s="9"/>
      <c r="B34" s="41" t="s">
        <v>72</v>
      </c>
      <c r="C34" s="42"/>
      <c r="D34" s="42"/>
      <c r="E34" s="24">
        <v>5</v>
      </c>
      <c r="F34" s="18">
        <v>3.75</v>
      </c>
      <c r="G34" s="22">
        <f t="shared" si="0"/>
        <v>0.75</v>
      </c>
      <c r="H34" s="23" t="str">
        <f t="shared" si="1"/>
        <v>جيد</v>
      </c>
      <c r="I34" s="45"/>
      <c r="J34" s="46"/>
    </row>
    <row r="35" spans="1:10" ht="39.9" customHeight="1" x14ac:dyDescent="0.3">
      <c r="A35" s="9"/>
      <c r="B35" s="41" t="s">
        <v>73</v>
      </c>
      <c r="C35" s="42"/>
      <c r="D35" s="42"/>
      <c r="E35" s="24">
        <v>5</v>
      </c>
      <c r="F35" s="18">
        <v>4</v>
      </c>
      <c r="G35" s="22">
        <f t="shared" si="0"/>
        <v>0.8</v>
      </c>
      <c r="H35" s="23" t="str">
        <f t="shared" si="1"/>
        <v>جيد جداً</v>
      </c>
      <c r="I35" s="45"/>
      <c r="J35" s="46"/>
    </row>
    <row r="36" spans="1:10" ht="30" customHeight="1" x14ac:dyDescent="0.3">
      <c r="A36" s="9"/>
      <c r="B36" s="41" t="s">
        <v>74</v>
      </c>
      <c r="C36" s="42"/>
      <c r="D36" s="42"/>
      <c r="E36" s="24">
        <v>5</v>
      </c>
      <c r="F36" s="18">
        <v>3.5</v>
      </c>
      <c r="G36" s="22">
        <f t="shared" si="0"/>
        <v>0.7</v>
      </c>
      <c r="H36" s="23" t="str">
        <f t="shared" si="1"/>
        <v>جيد</v>
      </c>
      <c r="I36" s="45"/>
      <c r="J36" s="46"/>
    </row>
    <row r="37" spans="1:10" ht="39.9" customHeight="1" x14ac:dyDescent="0.3">
      <c r="A37" s="9"/>
      <c r="B37" s="41" t="s">
        <v>75</v>
      </c>
      <c r="C37" s="42"/>
      <c r="D37" s="42"/>
      <c r="E37" s="24">
        <v>5</v>
      </c>
      <c r="F37" s="18">
        <v>3.75</v>
      </c>
      <c r="G37" s="22">
        <f t="shared" si="0"/>
        <v>0.75</v>
      </c>
      <c r="H37" s="23" t="str">
        <f t="shared" si="1"/>
        <v>جيد</v>
      </c>
      <c r="I37" s="45"/>
      <c r="J37" s="46"/>
    </row>
    <row r="38" spans="1:10" ht="30" customHeight="1" thickBot="1" x14ac:dyDescent="0.35">
      <c r="A38" s="9"/>
      <c r="B38" s="43" t="s">
        <v>76</v>
      </c>
      <c r="C38" s="44"/>
      <c r="D38" s="44"/>
      <c r="E38" s="25">
        <v>5</v>
      </c>
      <c r="F38" s="19">
        <v>4</v>
      </c>
      <c r="G38" s="26">
        <f t="shared" si="0"/>
        <v>0.8</v>
      </c>
      <c r="H38" s="27" t="str">
        <f t="shared" si="1"/>
        <v>جيد جداً</v>
      </c>
      <c r="I38" s="57"/>
      <c r="J38" s="58"/>
    </row>
    <row r="39" spans="1:10" ht="30" customHeight="1" x14ac:dyDescent="0.3">
      <c r="A39" s="9"/>
      <c r="B39" s="36" t="s">
        <v>93</v>
      </c>
      <c r="C39" s="37"/>
      <c r="D39" s="37"/>
      <c r="E39" s="37"/>
      <c r="F39" s="37"/>
      <c r="G39" s="37"/>
      <c r="H39" s="37"/>
      <c r="I39" s="37"/>
      <c r="J39" s="38"/>
    </row>
    <row r="40" spans="1:10" ht="30" customHeight="1" x14ac:dyDescent="0.3">
      <c r="A40" s="9"/>
      <c r="B40" s="41" t="s">
        <v>111</v>
      </c>
      <c r="C40" s="42"/>
      <c r="D40" s="42"/>
      <c r="E40" s="8"/>
      <c r="F40" s="18"/>
      <c r="G40" s="22"/>
      <c r="H40" s="23"/>
      <c r="I40" s="45"/>
      <c r="J40" s="46"/>
    </row>
    <row r="41" spans="1:10" ht="30" customHeight="1" x14ac:dyDescent="0.3">
      <c r="A41" s="9"/>
      <c r="B41" s="39" t="s">
        <v>94</v>
      </c>
      <c r="C41" s="40"/>
      <c r="D41" s="40"/>
      <c r="E41" s="24">
        <v>5</v>
      </c>
      <c r="F41" s="18">
        <v>3.75</v>
      </c>
      <c r="G41" s="22">
        <f t="shared" si="0"/>
        <v>0.75</v>
      </c>
      <c r="H41" s="23" t="str">
        <f t="shared" si="1"/>
        <v>جيد</v>
      </c>
      <c r="I41" s="45"/>
      <c r="J41" s="46"/>
    </row>
    <row r="42" spans="1:10" ht="30" customHeight="1" x14ac:dyDescent="0.3">
      <c r="A42" s="9"/>
      <c r="B42" s="39" t="s">
        <v>95</v>
      </c>
      <c r="C42" s="40"/>
      <c r="D42" s="40"/>
      <c r="E42" s="24">
        <v>5</v>
      </c>
      <c r="F42" s="18">
        <v>4.25</v>
      </c>
      <c r="G42" s="22">
        <f t="shared" si="0"/>
        <v>0.85</v>
      </c>
      <c r="H42" s="23" t="str">
        <f t="shared" si="1"/>
        <v>جيد جداً</v>
      </c>
      <c r="I42" s="45"/>
      <c r="J42" s="46"/>
    </row>
    <row r="43" spans="1:10" ht="30" customHeight="1" x14ac:dyDescent="0.3">
      <c r="A43" s="9"/>
      <c r="B43" s="39" t="s">
        <v>96</v>
      </c>
      <c r="C43" s="40"/>
      <c r="D43" s="40"/>
      <c r="E43" s="24">
        <v>5</v>
      </c>
      <c r="F43" s="18">
        <v>3.75</v>
      </c>
      <c r="G43" s="22">
        <f t="shared" si="0"/>
        <v>0.75</v>
      </c>
      <c r="H43" s="23" t="str">
        <f t="shared" si="1"/>
        <v>جيد</v>
      </c>
      <c r="I43" s="45"/>
      <c r="J43" s="46"/>
    </row>
    <row r="44" spans="1:10" ht="39.9" customHeight="1" x14ac:dyDescent="0.3">
      <c r="A44" s="9"/>
      <c r="B44" s="39" t="s">
        <v>97</v>
      </c>
      <c r="C44" s="40"/>
      <c r="D44" s="40"/>
      <c r="E44" s="24">
        <v>5</v>
      </c>
      <c r="F44" s="18">
        <v>3.75</v>
      </c>
      <c r="G44" s="22">
        <f t="shared" si="0"/>
        <v>0.75</v>
      </c>
      <c r="H44" s="23" t="str">
        <f t="shared" si="1"/>
        <v>جيد</v>
      </c>
      <c r="I44" s="45"/>
      <c r="J44" s="46"/>
    </row>
    <row r="45" spans="1:10" ht="30" customHeight="1" x14ac:dyDescent="0.3">
      <c r="A45" s="9"/>
      <c r="B45" s="41" t="s">
        <v>107</v>
      </c>
      <c r="C45" s="42"/>
      <c r="D45" s="42"/>
      <c r="E45" s="8"/>
      <c r="F45" s="18"/>
      <c r="G45" s="22"/>
      <c r="H45" s="23"/>
      <c r="I45" s="45"/>
      <c r="J45" s="46"/>
    </row>
    <row r="46" spans="1:10" ht="30" customHeight="1" x14ac:dyDescent="0.3">
      <c r="A46" s="9"/>
      <c r="B46" s="39" t="s">
        <v>98</v>
      </c>
      <c r="C46" s="40"/>
      <c r="D46" s="40"/>
      <c r="E46" s="24">
        <v>5</v>
      </c>
      <c r="F46" s="18">
        <v>4</v>
      </c>
      <c r="G46" s="22">
        <f t="shared" si="0"/>
        <v>0.8</v>
      </c>
      <c r="H46" s="23" t="str">
        <f t="shared" si="1"/>
        <v>جيد جداً</v>
      </c>
      <c r="I46" s="45"/>
      <c r="J46" s="46"/>
    </row>
    <row r="47" spans="1:10" ht="30" customHeight="1" x14ac:dyDescent="0.3">
      <c r="A47" s="9"/>
      <c r="B47" s="39" t="s">
        <v>99</v>
      </c>
      <c r="C47" s="40"/>
      <c r="D47" s="40"/>
      <c r="E47" s="24">
        <v>5</v>
      </c>
      <c r="F47" s="18">
        <v>3.75</v>
      </c>
      <c r="G47" s="22">
        <f t="shared" si="0"/>
        <v>0.75</v>
      </c>
      <c r="H47" s="23" t="str">
        <f t="shared" si="1"/>
        <v>جيد</v>
      </c>
      <c r="I47" s="45"/>
      <c r="J47" s="46"/>
    </row>
    <row r="48" spans="1:10" ht="30" customHeight="1" x14ac:dyDescent="0.3">
      <c r="A48" s="9"/>
      <c r="B48" s="39" t="s">
        <v>100</v>
      </c>
      <c r="C48" s="40"/>
      <c r="D48" s="40"/>
      <c r="E48" s="24">
        <v>5</v>
      </c>
      <c r="F48" s="18">
        <v>4</v>
      </c>
      <c r="G48" s="22">
        <f t="shared" si="0"/>
        <v>0.8</v>
      </c>
      <c r="H48" s="23" t="str">
        <f t="shared" si="1"/>
        <v>جيد جداً</v>
      </c>
      <c r="I48" s="45"/>
      <c r="J48" s="46"/>
    </row>
    <row r="49" spans="1:10" ht="50.1" customHeight="1" x14ac:dyDescent="0.3">
      <c r="A49" s="9"/>
      <c r="B49" s="39" t="s">
        <v>101</v>
      </c>
      <c r="C49" s="40"/>
      <c r="D49" s="40"/>
      <c r="E49" s="24">
        <v>5</v>
      </c>
      <c r="F49" s="18">
        <v>3.5</v>
      </c>
      <c r="G49" s="22">
        <f t="shared" si="0"/>
        <v>0.7</v>
      </c>
      <c r="H49" s="23" t="str">
        <f t="shared" si="1"/>
        <v>جيد</v>
      </c>
      <c r="I49" s="45"/>
      <c r="J49" s="46"/>
    </row>
    <row r="50" spans="1:10" ht="39.9" customHeight="1" x14ac:dyDescent="0.3">
      <c r="A50" s="9"/>
      <c r="B50" s="41" t="s">
        <v>77</v>
      </c>
      <c r="C50" s="42"/>
      <c r="D50" s="42"/>
      <c r="E50" s="24">
        <v>5</v>
      </c>
      <c r="F50" s="18">
        <v>4</v>
      </c>
      <c r="G50" s="22">
        <f t="shared" si="0"/>
        <v>0.8</v>
      </c>
      <c r="H50" s="23" t="str">
        <f t="shared" si="1"/>
        <v>جيد جداً</v>
      </c>
      <c r="I50" s="45"/>
      <c r="J50" s="46"/>
    </row>
    <row r="51" spans="1:10" ht="39.9" customHeight="1" x14ac:dyDescent="0.3">
      <c r="A51" s="9"/>
      <c r="B51" s="41" t="s">
        <v>108</v>
      </c>
      <c r="C51" s="42"/>
      <c r="D51" s="42"/>
      <c r="E51" s="24">
        <v>5</v>
      </c>
      <c r="F51" s="18">
        <v>3.75</v>
      </c>
      <c r="G51" s="22">
        <f t="shared" si="0"/>
        <v>0.75</v>
      </c>
      <c r="H51" s="23" t="str">
        <f t="shared" si="1"/>
        <v>جيد</v>
      </c>
      <c r="I51" s="45"/>
      <c r="J51" s="46"/>
    </row>
    <row r="52" spans="1:10" ht="30" customHeight="1" x14ac:dyDescent="0.3">
      <c r="A52" s="9"/>
      <c r="B52" s="41" t="s">
        <v>78</v>
      </c>
      <c r="C52" s="42"/>
      <c r="D52" s="42"/>
      <c r="E52" s="24">
        <v>5</v>
      </c>
      <c r="F52" s="18">
        <v>3.75</v>
      </c>
      <c r="G52" s="22">
        <f t="shared" si="0"/>
        <v>0.75</v>
      </c>
      <c r="H52" s="23" t="str">
        <f t="shared" si="1"/>
        <v>جيد</v>
      </c>
      <c r="I52" s="45"/>
      <c r="J52" s="46"/>
    </row>
    <row r="53" spans="1:10" ht="39.9" customHeight="1" x14ac:dyDescent="0.3">
      <c r="A53" s="9"/>
      <c r="B53" s="41" t="s">
        <v>109</v>
      </c>
      <c r="C53" s="42"/>
      <c r="D53" s="42"/>
      <c r="E53" s="24">
        <v>5</v>
      </c>
      <c r="F53" s="18">
        <v>4</v>
      </c>
      <c r="G53" s="22">
        <f t="shared" si="0"/>
        <v>0.8</v>
      </c>
      <c r="H53" s="23" t="str">
        <f t="shared" si="1"/>
        <v>جيد جداً</v>
      </c>
      <c r="I53" s="45"/>
      <c r="J53" s="46"/>
    </row>
    <row r="54" spans="1:10" ht="39.9" customHeight="1" x14ac:dyDescent="0.3">
      <c r="A54" s="9"/>
      <c r="B54" s="41" t="s">
        <v>110</v>
      </c>
      <c r="C54" s="42"/>
      <c r="D54" s="42"/>
      <c r="E54" s="24">
        <v>5</v>
      </c>
      <c r="F54" s="18">
        <v>4</v>
      </c>
      <c r="G54" s="22">
        <f t="shared" si="0"/>
        <v>0.8</v>
      </c>
      <c r="H54" s="23" t="str">
        <f t="shared" si="1"/>
        <v>جيد جداً</v>
      </c>
      <c r="I54" s="45"/>
      <c r="J54" s="46"/>
    </row>
    <row r="55" spans="1:10" ht="39.9" customHeight="1" thickBot="1" x14ac:dyDescent="0.35">
      <c r="A55" s="9"/>
      <c r="B55" s="43" t="s">
        <v>79</v>
      </c>
      <c r="C55" s="44"/>
      <c r="D55" s="44"/>
      <c r="E55" s="25">
        <v>5</v>
      </c>
      <c r="F55" s="19">
        <v>4</v>
      </c>
      <c r="G55" s="26">
        <f t="shared" si="0"/>
        <v>0.8</v>
      </c>
      <c r="H55" s="27" t="str">
        <f t="shared" si="1"/>
        <v>جيد جداً</v>
      </c>
      <c r="I55" s="57"/>
      <c r="J55" s="58"/>
    </row>
    <row r="56" spans="1:10" ht="30" customHeight="1" thickBot="1" x14ac:dyDescent="0.35">
      <c r="A56" s="4"/>
      <c r="B56" s="47" t="s">
        <v>5</v>
      </c>
      <c r="C56" s="48"/>
      <c r="D56" s="48"/>
      <c r="E56" s="21">
        <f>SUM(E8:E55)</f>
        <v>200</v>
      </c>
      <c r="F56" s="21">
        <f>SUM(F8:F55)</f>
        <v>152</v>
      </c>
      <c r="G56" s="61"/>
      <c r="H56" s="62"/>
      <c r="I56" s="62"/>
      <c r="J56" s="63"/>
    </row>
    <row r="57" spans="1:10" ht="30" customHeight="1" thickBot="1" x14ac:dyDescent="0.35">
      <c r="A57" s="4"/>
      <c r="B57" s="49" t="s">
        <v>54</v>
      </c>
      <c r="C57" s="50"/>
      <c r="D57" s="50"/>
      <c r="E57" s="72">
        <f>F56/E56/100*100</f>
        <v>0.76</v>
      </c>
      <c r="F57" s="72"/>
      <c r="G57" s="72"/>
      <c r="H57" s="72"/>
      <c r="I57" s="72"/>
      <c r="J57" s="73"/>
    </row>
    <row r="58" spans="1:10" ht="30" customHeight="1" thickBot="1" x14ac:dyDescent="0.35">
      <c r="A58" s="4"/>
      <c r="B58" s="49" t="s">
        <v>55</v>
      </c>
      <c r="C58" s="50"/>
      <c r="D58" s="50"/>
      <c r="E58" s="55" t="str">
        <f>_xlfn.IFS(E57&gt;=90%,"ممتاز",E57&gt;=80%,"جيد جداً",E57&gt;=70%,"جيد",E57&gt;=60%,"مقبول",E57&lt;60%,"راسب")</f>
        <v>جيد</v>
      </c>
      <c r="F58" s="55"/>
      <c r="G58" s="55"/>
      <c r="H58" s="55"/>
      <c r="I58" s="55"/>
      <c r="J58" s="56"/>
    </row>
    <row r="59" spans="1:10" ht="42" customHeight="1" x14ac:dyDescent="0.3">
      <c r="B59" s="51" t="s">
        <v>63</v>
      </c>
      <c r="C59" s="51"/>
      <c r="D59" s="51"/>
      <c r="E59" s="59" t="s">
        <v>52</v>
      </c>
      <c r="F59" s="59"/>
      <c r="G59" s="53" t="s">
        <v>59</v>
      </c>
      <c r="H59" s="53"/>
      <c r="I59" s="53"/>
      <c r="J59" s="53"/>
    </row>
    <row r="60" spans="1:10" ht="51" customHeight="1" x14ac:dyDescent="0.3">
      <c r="A60" s="5"/>
      <c r="B60" s="52"/>
      <c r="C60" s="52"/>
      <c r="D60" s="52"/>
      <c r="E60" s="60" t="s">
        <v>53</v>
      </c>
      <c r="F60" s="60"/>
      <c r="G60" s="54"/>
      <c r="H60" s="54"/>
      <c r="I60" s="54"/>
      <c r="J60" s="5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F4:J4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E9 F9:F25 F27:F38 F40:F55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C2" sqref="C2:C29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5" t="s">
        <v>198</v>
      </c>
    </row>
    <row r="3" spans="1:3" ht="20.100000000000001" customHeight="1" thickBot="1" x14ac:dyDescent="0.35">
      <c r="A3" s="2" t="s">
        <v>26</v>
      </c>
      <c r="C3" s="35" t="s">
        <v>199</v>
      </c>
    </row>
    <row r="4" spans="1:3" ht="20.100000000000001" customHeight="1" thickBot="1" x14ac:dyDescent="0.35">
      <c r="A4" s="2" t="s">
        <v>36</v>
      </c>
      <c r="C4" s="35" t="s">
        <v>200</v>
      </c>
    </row>
    <row r="5" spans="1:3" ht="20.100000000000001" customHeight="1" thickBot="1" x14ac:dyDescent="0.35">
      <c r="A5" s="2" t="s">
        <v>37</v>
      </c>
      <c r="C5" s="35" t="s">
        <v>201</v>
      </c>
    </row>
    <row r="6" spans="1:3" ht="20.100000000000001" customHeight="1" thickBot="1" x14ac:dyDescent="0.35">
      <c r="A6" s="2" t="s">
        <v>38</v>
      </c>
      <c r="C6" s="35" t="s">
        <v>202</v>
      </c>
    </row>
    <row r="7" spans="1:3" ht="20.100000000000001" customHeight="1" thickBot="1" x14ac:dyDescent="0.35">
      <c r="A7" s="2" t="s">
        <v>39</v>
      </c>
      <c r="C7" s="35" t="s">
        <v>203</v>
      </c>
    </row>
    <row r="8" spans="1:3" ht="20.100000000000001" customHeight="1" thickBot="1" x14ac:dyDescent="0.35">
      <c r="A8" s="2" t="s">
        <v>40</v>
      </c>
      <c r="C8" s="35" t="s">
        <v>204</v>
      </c>
    </row>
    <row r="9" spans="1:3" ht="20.100000000000001" customHeight="1" thickBot="1" x14ac:dyDescent="0.35">
      <c r="A9" s="2" t="s">
        <v>41</v>
      </c>
      <c r="C9" s="35" t="s">
        <v>205</v>
      </c>
    </row>
    <row r="10" spans="1:3" ht="20.100000000000001" customHeight="1" thickBot="1" x14ac:dyDescent="0.35">
      <c r="A10" s="2" t="s">
        <v>42</v>
      </c>
      <c r="C10" s="35" t="s">
        <v>206</v>
      </c>
    </row>
    <row r="11" spans="1:3" ht="20.100000000000001" customHeight="1" thickBot="1" x14ac:dyDescent="0.35">
      <c r="A11" s="2" t="s">
        <v>43</v>
      </c>
      <c r="C11" s="35" t="s">
        <v>207</v>
      </c>
    </row>
    <row r="12" spans="1:3" ht="20.100000000000001" customHeight="1" thickBot="1" x14ac:dyDescent="0.35">
      <c r="A12" s="2" t="s">
        <v>44</v>
      </c>
      <c r="C12" s="35" t="s">
        <v>208</v>
      </c>
    </row>
    <row r="13" spans="1:3" ht="20.100000000000001" customHeight="1" thickBot="1" x14ac:dyDescent="0.35">
      <c r="A13" s="2" t="s">
        <v>45</v>
      </c>
      <c r="C13" s="35" t="s">
        <v>209</v>
      </c>
    </row>
    <row r="14" spans="1:3" ht="20.100000000000001" customHeight="1" thickBot="1" x14ac:dyDescent="0.35">
      <c r="A14" s="2" t="s">
        <v>46</v>
      </c>
      <c r="C14" s="35" t="s">
        <v>210</v>
      </c>
    </row>
    <row r="15" spans="1:3" ht="20.100000000000001" customHeight="1" thickBot="1" x14ac:dyDescent="0.35">
      <c r="A15" s="2" t="s">
        <v>47</v>
      </c>
      <c r="C15" s="35" t="s">
        <v>211</v>
      </c>
    </row>
    <row r="16" spans="1:3" ht="20.100000000000001" customHeight="1" thickBot="1" x14ac:dyDescent="0.35">
      <c r="A16" s="2" t="s">
        <v>10</v>
      </c>
      <c r="C16" s="35" t="s">
        <v>212</v>
      </c>
    </row>
    <row r="17" spans="1:3" ht="20.100000000000001" customHeight="1" thickBot="1" x14ac:dyDescent="0.35">
      <c r="A17" s="2" t="s">
        <v>27</v>
      </c>
      <c r="C17" s="35" t="s">
        <v>213</v>
      </c>
    </row>
    <row r="18" spans="1:3" ht="20.100000000000001" customHeight="1" thickBot="1" x14ac:dyDescent="0.35">
      <c r="A18" s="2" t="s">
        <v>48</v>
      </c>
      <c r="C18" s="35" t="s">
        <v>214</v>
      </c>
    </row>
    <row r="19" spans="1:3" ht="20.100000000000001" customHeight="1" thickBot="1" x14ac:dyDescent="0.35">
      <c r="A19" s="2" t="s">
        <v>49</v>
      </c>
      <c r="C19" s="35" t="s">
        <v>215</v>
      </c>
    </row>
    <row r="20" spans="1:3" ht="20.100000000000001" customHeight="1" thickBot="1" x14ac:dyDescent="0.35">
      <c r="A20" s="2" t="s">
        <v>50</v>
      </c>
      <c r="C20" s="35" t="s">
        <v>216</v>
      </c>
    </row>
    <row r="21" spans="1:3" ht="20.100000000000001" customHeight="1" thickBot="1" x14ac:dyDescent="0.35">
      <c r="A21" s="2" t="s">
        <v>51</v>
      </c>
      <c r="C21" s="35" t="s">
        <v>217</v>
      </c>
    </row>
    <row r="22" spans="1:3" ht="20.100000000000001" customHeight="1" thickBot="1" x14ac:dyDescent="0.35">
      <c r="A22" s="2" t="s">
        <v>11</v>
      </c>
      <c r="C22" s="35" t="s">
        <v>218</v>
      </c>
    </row>
    <row r="23" spans="1:3" ht="20.100000000000001" customHeight="1" thickBot="1" x14ac:dyDescent="0.35">
      <c r="A23" s="2" t="s">
        <v>12</v>
      </c>
      <c r="C23" s="35" t="s">
        <v>219</v>
      </c>
    </row>
    <row r="24" spans="1:3" ht="20.100000000000001" customHeight="1" thickBot="1" x14ac:dyDescent="0.35">
      <c r="A24" s="2" t="s">
        <v>15</v>
      </c>
      <c r="C24" s="35" t="s">
        <v>220</v>
      </c>
    </row>
    <row r="25" spans="1:3" ht="20.100000000000001" customHeight="1" thickBot="1" x14ac:dyDescent="0.35">
      <c r="A25" s="2" t="s">
        <v>28</v>
      </c>
      <c r="C25" s="35" t="s">
        <v>221</v>
      </c>
    </row>
    <row r="26" spans="1:3" ht="20.100000000000001" customHeight="1" thickBot="1" x14ac:dyDescent="0.35">
      <c r="A26" s="2" t="s">
        <v>29</v>
      </c>
      <c r="C26" s="35" t="s">
        <v>222</v>
      </c>
    </row>
    <row r="27" spans="1:3" ht="20.100000000000001" customHeight="1" thickBot="1" x14ac:dyDescent="0.35">
      <c r="A27" s="2" t="s">
        <v>13</v>
      </c>
      <c r="C27" s="35" t="s">
        <v>223</v>
      </c>
    </row>
    <row r="28" spans="1:3" ht="20.100000000000001" customHeight="1" thickBot="1" x14ac:dyDescent="0.35">
      <c r="A28" s="2" t="s">
        <v>30</v>
      </c>
      <c r="C28" s="35" t="s">
        <v>224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9" t="s">
        <v>112</v>
      </c>
    </row>
    <row r="200" spans="1:1" ht="20.100000000000001" customHeight="1" x14ac:dyDescent="0.3">
      <c r="A200" s="29" t="s">
        <v>113</v>
      </c>
    </row>
    <row r="201" spans="1:1" ht="20.100000000000001" customHeight="1" x14ac:dyDescent="0.3">
      <c r="A201" s="29" t="s">
        <v>114</v>
      </c>
    </row>
    <row r="202" spans="1:1" ht="20.100000000000001" customHeight="1" x14ac:dyDescent="0.3">
      <c r="A202" s="29" t="s">
        <v>115</v>
      </c>
    </row>
    <row r="203" spans="1:1" ht="20.100000000000001" customHeight="1" x14ac:dyDescent="0.3">
      <c r="A203" s="29" t="s">
        <v>116</v>
      </c>
    </row>
    <row r="204" spans="1:1" ht="20.100000000000001" customHeight="1" x14ac:dyDescent="0.3">
      <c r="A204" s="29" t="s">
        <v>117</v>
      </c>
    </row>
    <row r="205" spans="1:1" ht="20.100000000000001" customHeight="1" x14ac:dyDescent="0.3">
      <c r="A205" s="29" t="s">
        <v>118</v>
      </c>
    </row>
    <row r="206" spans="1:1" ht="20.100000000000001" customHeight="1" x14ac:dyDescent="0.3">
      <c r="A206" s="29" t="s">
        <v>119</v>
      </c>
    </row>
    <row r="207" spans="1:1" ht="20.100000000000001" customHeight="1" x14ac:dyDescent="0.3">
      <c r="A207" s="29" t="s">
        <v>120</v>
      </c>
    </row>
    <row r="208" spans="1:1" ht="20.100000000000001" customHeight="1" x14ac:dyDescent="0.3">
      <c r="A208" s="30" t="s">
        <v>121</v>
      </c>
    </row>
    <row r="209" spans="1:1" ht="20.100000000000001" customHeight="1" x14ac:dyDescent="0.3">
      <c r="A209" s="30" t="s">
        <v>122</v>
      </c>
    </row>
    <row r="210" spans="1:1" ht="20.100000000000001" customHeight="1" x14ac:dyDescent="0.3">
      <c r="A210" s="29" t="s">
        <v>123</v>
      </c>
    </row>
    <row r="211" spans="1:1" ht="20.100000000000001" customHeight="1" x14ac:dyDescent="0.3">
      <c r="A211" s="29" t="s">
        <v>124</v>
      </c>
    </row>
    <row r="212" spans="1:1" ht="20.100000000000001" customHeight="1" x14ac:dyDescent="0.3">
      <c r="A212" s="29" t="s">
        <v>125</v>
      </c>
    </row>
    <row r="213" spans="1:1" ht="20.100000000000001" customHeight="1" x14ac:dyDescent="0.3">
      <c r="A213" s="29" t="s">
        <v>126</v>
      </c>
    </row>
    <row r="214" spans="1:1" ht="20.100000000000001" customHeight="1" x14ac:dyDescent="0.3">
      <c r="A214" s="29" t="s">
        <v>127</v>
      </c>
    </row>
    <row r="215" spans="1:1" ht="20.100000000000001" customHeight="1" x14ac:dyDescent="0.3">
      <c r="A215" s="29" t="s">
        <v>128</v>
      </c>
    </row>
    <row r="216" spans="1:1" ht="20.100000000000001" customHeight="1" x14ac:dyDescent="0.3">
      <c r="A216" s="29" t="s">
        <v>129</v>
      </c>
    </row>
    <row r="217" spans="1:1" ht="20.100000000000001" customHeight="1" x14ac:dyDescent="0.3">
      <c r="A217" s="29" t="s">
        <v>130</v>
      </c>
    </row>
    <row r="218" spans="1:1" ht="20.100000000000001" customHeight="1" x14ac:dyDescent="0.3">
      <c r="A218" s="29" t="s">
        <v>131</v>
      </c>
    </row>
    <row r="219" spans="1:1" ht="20.100000000000001" customHeight="1" x14ac:dyDescent="0.3">
      <c r="A219" s="29" t="s">
        <v>132</v>
      </c>
    </row>
    <row r="220" spans="1:1" ht="20.100000000000001" customHeight="1" x14ac:dyDescent="0.3">
      <c r="A220" s="29" t="s">
        <v>133</v>
      </c>
    </row>
    <row r="221" spans="1:1" ht="20.100000000000001" customHeight="1" x14ac:dyDescent="0.3">
      <c r="A221" s="29" t="s">
        <v>134</v>
      </c>
    </row>
    <row r="222" spans="1:1" ht="20.100000000000001" customHeight="1" x14ac:dyDescent="0.3">
      <c r="A222" s="29" t="s">
        <v>135</v>
      </c>
    </row>
    <row r="223" spans="1:1" ht="20.100000000000001" customHeight="1" x14ac:dyDescent="0.3">
      <c r="A223" s="29" t="s">
        <v>136</v>
      </c>
    </row>
    <row r="224" spans="1:1" ht="20.100000000000001" customHeight="1" x14ac:dyDescent="0.3">
      <c r="A224" s="29" t="s">
        <v>137</v>
      </c>
    </row>
    <row r="225" spans="1:1" ht="20.100000000000001" customHeight="1" x14ac:dyDescent="0.3">
      <c r="A225" s="29" t="s">
        <v>138</v>
      </c>
    </row>
    <row r="226" spans="1:1" ht="20.100000000000001" customHeight="1" x14ac:dyDescent="0.3">
      <c r="A226" s="29" t="s">
        <v>139</v>
      </c>
    </row>
    <row r="227" spans="1:1" ht="20.100000000000001" customHeight="1" x14ac:dyDescent="0.3">
      <c r="A227" s="29" t="s">
        <v>140</v>
      </c>
    </row>
    <row r="228" spans="1:1" ht="20.100000000000001" customHeight="1" x14ac:dyDescent="0.3">
      <c r="A228" s="29" t="s">
        <v>141</v>
      </c>
    </row>
    <row r="229" spans="1:1" ht="20.100000000000001" customHeight="1" x14ac:dyDescent="0.3">
      <c r="A229" s="29" t="s">
        <v>142</v>
      </c>
    </row>
    <row r="230" spans="1:1" ht="20.100000000000001" customHeight="1" x14ac:dyDescent="0.3">
      <c r="A230" s="29" t="s">
        <v>143</v>
      </c>
    </row>
    <row r="231" spans="1:1" ht="20.100000000000001" customHeight="1" x14ac:dyDescent="0.3">
      <c r="A231" s="29" t="s">
        <v>144</v>
      </c>
    </row>
    <row r="232" spans="1:1" ht="20.100000000000001" customHeight="1" x14ac:dyDescent="0.3">
      <c r="A232" s="29" t="s">
        <v>145</v>
      </c>
    </row>
    <row r="233" spans="1:1" ht="20.100000000000001" customHeight="1" x14ac:dyDescent="0.3">
      <c r="A233" s="29" t="s">
        <v>146</v>
      </c>
    </row>
    <row r="234" spans="1:1" ht="20.100000000000001" customHeight="1" x14ac:dyDescent="0.3">
      <c r="A234" s="29" t="s">
        <v>147</v>
      </c>
    </row>
    <row r="235" spans="1:1" ht="20.100000000000001" customHeight="1" x14ac:dyDescent="0.3">
      <c r="A235" s="31" t="s">
        <v>148</v>
      </c>
    </row>
    <row r="236" spans="1:1" ht="20.100000000000001" customHeight="1" x14ac:dyDescent="0.3">
      <c r="A236" s="29" t="s">
        <v>149</v>
      </c>
    </row>
    <row r="237" spans="1:1" ht="20.100000000000001" customHeight="1" x14ac:dyDescent="0.3">
      <c r="A237" s="29" t="s">
        <v>150</v>
      </c>
    </row>
    <row r="238" spans="1:1" ht="20.100000000000001" customHeight="1" x14ac:dyDescent="0.3">
      <c r="A238" s="29" t="s">
        <v>151</v>
      </c>
    </row>
    <row r="239" spans="1:1" ht="20.100000000000001" customHeight="1" x14ac:dyDescent="0.3">
      <c r="A239" s="29" t="s">
        <v>152</v>
      </c>
    </row>
    <row r="240" spans="1:1" ht="20.100000000000001" customHeight="1" x14ac:dyDescent="0.3">
      <c r="A240" s="29" t="s">
        <v>153</v>
      </c>
    </row>
    <row r="241" spans="1:1" ht="20.100000000000001" customHeight="1" x14ac:dyDescent="0.3">
      <c r="A241" s="29" t="s">
        <v>154</v>
      </c>
    </row>
    <row r="242" spans="1:1" ht="20.100000000000001" customHeight="1" x14ac:dyDescent="0.3">
      <c r="A242" s="29" t="s">
        <v>155</v>
      </c>
    </row>
    <row r="243" spans="1:1" ht="20.100000000000001" customHeight="1" x14ac:dyDescent="0.3">
      <c r="A243" s="29" t="s">
        <v>156</v>
      </c>
    </row>
    <row r="244" spans="1:1" ht="20.100000000000001" customHeight="1" x14ac:dyDescent="0.3">
      <c r="A244" s="29" t="s">
        <v>157</v>
      </c>
    </row>
    <row r="245" spans="1:1" ht="20.100000000000001" customHeight="1" x14ac:dyDescent="0.3">
      <c r="A245" s="29" t="s">
        <v>158</v>
      </c>
    </row>
    <row r="246" spans="1:1" ht="20.100000000000001" customHeight="1" x14ac:dyDescent="0.3">
      <c r="A246" s="29" t="s">
        <v>159</v>
      </c>
    </row>
    <row r="247" spans="1:1" ht="20.100000000000001" customHeight="1" x14ac:dyDescent="0.3">
      <c r="A247" s="29" t="s">
        <v>150</v>
      </c>
    </row>
    <row r="248" spans="1:1" ht="20.100000000000001" customHeight="1" x14ac:dyDescent="0.3">
      <c r="A248" s="29" t="s">
        <v>160</v>
      </c>
    </row>
    <row r="249" spans="1:1" ht="20.100000000000001" customHeight="1" x14ac:dyDescent="0.3">
      <c r="A249" s="29" t="s">
        <v>161</v>
      </c>
    </row>
    <row r="250" spans="1:1" ht="20.100000000000001" customHeight="1" x14ac:dyDescent="0.3">
      <c r="A250" s="31" t="s">
        <v>162</v>
      </c>
    </row>
    <row r="251" spans="1:1" ht="20.100000000000001" customHeight="1" x14ac:dyDescent="0.3">
      <c r="A251" s="32" t="s">
        <v>163</v>
      </c>
    </row>
    <row r="252" spans="1:1" ht="20.100000000000001" customHeight="1" x14ac:dyDescent="0.3">
      <c r="A252" s="29" t="s">
        <v>164</v>
      </c>
    </row>
    <row r="253" spans="1:1" ht="20.100000000000001" customHeight="1" x14ac:dyDescent="0.3">
      <c r="A253" s="29" t="s">
        <v>165</v>
      </c>
    </row>
    <row r="254" spans="1:1" ht="20.100000000000001" customHeight="1" x14ac:dyDescent="0.3">
      <c r="A254" s="33" t="s">
        <v>166</v>
      </c>
    </row>
    <row r="255" spans="1:1" ht="20.100000000000001" customHeight="1" x14ac:dyDescent="0.3">
      <c r="A255" s="33" t="s">
        <v>167</v>
      </c>
    </row>
    <row r="256" spans="1:1" ht="20.100000000000001" customHeight="1" x14ac:dyDescent="0.3">
      <c r="A256" s="34" t="s">
        <v>168</v>
      </c>
    </row>
    <row r="257" spans="1:1" ht="20.100000000000001" customHeight="1" x14ac:dyDescent="0.3">
      <c r="A257" s="29" t="s">
        <v>169</v>
      </c>
    </row>
    <row r="258" spans="1:1" ht="20.100000000000001" customHeight="1" x14ac:dyDescent="0.3">
      <c r="A258" s="34" t="s">
        <v>170</v>
      </c>
    </row>
    <row r="259" spans="1:1" ht="20.100000000000001" customHeight="1" x14ac:dyDescent="0.3">
      <c r="A259" s="29" t="s">
        <v>171</v>
      </c>
    </row>
    <row r="260" spans="1:1" ht="20.100000000000001" customHeight="1" x14ac:dyDescent="0.3">
      <c r="A260" s="34" t="s">
        <v>172</v>
      </c>
    </row>
    <row r="261" spans="1:1" ht="20.100000000000001" customHeight="1" x14ac:dyDescent="0.3">
      <c r="A261" s="29" t="s">
        <v>173</v>
      </c>
    </row>
    <row r="262" spans="1:1" ht="20.100000000000001" customHeight="1" x14ac:dyDescent="0.3">
      <c r="A262" s="29" t="s">
        <v>174</v>
      </c>
    </row>
    <row r="263" spans="1:1" ht="20.100000000000001" customHeight="1" x14ac:dyDescent="0.3">
      <c r="A263" s="34" t="s">
        <v>175</v>
      </c>
    </row>
    <row r="264" spans="1:1" ht="20.100000000000001" customHeight="1" x14ac:dyDescent="0.3">
      <c r="A264" s="34" t="s">
        <v>176</v>
      </c>
    </row>
    <row r="265" spans="1:1" ht="20.100000000000001" customHeight="1" x14ac:dyDescent="0.3">
      <c r="A265" s="34" t="s">
        <v>177</v>
      </c>
    </row>
    <row r="266" spans="1:1" ht="20.100000000000001" customHeight="1" x14ac:dyDescent="0.3">
      <c r="A266" s="29" t="s">
        <v>178</v>
      </c>
    </row>
    <row r="267" spans="1:1" ht="20.100000000000001" customHeight="1" x14ac:dyDescent="0.3">
      <c r="A267" s="29" t="s">
        <v>179</v>
      </c>
    </row>
    <row r="268" spans="1:1" ht="20.100000000000001" customHeight="1" x14ac:dyDescent="0.3">
      <c r="A268" s="29" t="s">
        <v>180</v>
      </c>
    </row>
    <row r="269" spans="1:1" ht="20.100000000000001" customHeight="1" x14ac:dyDescent="0.3">
      <c r="A269" s="29" t="s">
        <v>181</v>
      </c>
    </row>
    <row r="270" spans="1:1" ht="20.100000000000001" customHeight="1" x14ac:dyDescent="0.3">
      <c r="A270" s="34" t="s">
        <v>182</v>
      </c>
    </row>
    <row r="271" spans="1:1" ht="20.100000000000001" customHeight="1" x14ac:dyDescent="0.3">
      <c r="A271" s="34" t="s">
        <v>183</v>
      </c>
    </row>
    <row r="272" spans="1:1" ht="20.100000000000001" customHeight="1" x14ac:dyDescent="0.3">
      <c r="A272" s="29" t="s">
        <v>184</v>
      </c>
    </row>
    <row r="273" spans="1:1" ht="20.100000000000001" customHeight="1" x14ac:dyDescent="0.3">
      <c r="A273" s="34" t="s">
        <v>185</v>
      </c>
    </row>
    <row r="274" spans="1:1" ht="20.100000000000001" customHeight="1" x14ac:dyDescent="0.3">
      <c r="A274" s="34" t="s">
        <v>186</v>
      </c>
    </row>
    <row r="275" spans="1:1" ht="20.100000000000001" customHeight="1" x14ac:dyDescent="0.3">
      <c r="A275" s="29" t="s">
        <v>187</v>
      </c>
    </row>
    <row r="276" spans="1:1" ht="20.100000000000001" customHeight="1" x14ac:dyDescent="0.3">
      <c r="A276" s="29" t="s">
        <v>188</v>
      </c>
    </row>
    <row r="277" spans="1:1" ht="20.100000000000001" customHeight="1" x14ac:dyDescent="0.3">
      <c r="A277" s="34" t="s">
        <v>189</v>
      </c>
    </row>
    <row r="278" spans="1:1" ht="20.100000000000001" customHeight="1" x14ac:dyDescent="0.3">
      <c r="A278" s="29" t="s">
        <v>190</v>
      </c>
    </row>
    <row r="279" spans="1:1" ht="20.100000000000001" customHeight="1" x14ac:dyDescent="0.3">
      <c r="A279" s="29" t="s">
        <v>191</v>
      </c>
    </row>
    <row r="280" spans="1:1" ht="20.100000000000001" customHeight="1" x14ac:dyDescent="0.3">
      <c r="A280" s="29" t="s">
        <v>192</v>
      </c>
    </row>
    <row r="281" spans="1:1" ht="20.100000000000001" customHeight="1" x14ac:dyDescent="0.3">
      <c r="A281" s="29" t="s">
        <v>193</v>
      </c>
    </row>
    <row r="282" spans="1:1" ht="20.100000000000001" customHeight="1" x14ac:dyDescent="0.3">
      <c r="A282" s="34" t="s">
        <v>194</v>
      </c>
    </row>
    <row r="283" spans="1:1" ht="20.100000000000001" customHeight="1" x14ac:dyDescent="0.3">
      <c r="A283" s="34" t="s">
        <v>195</v>
      </c>
    </row>
    <row r="284" spans="1:1" ht="20.100000000000001" customHeight="1" x14ac:dyDescent="0.3">
      <c r="A284" s="34" t="s">
        <v>196</v>
      </c>
    </row>
    <row r="285" spans="1:1" ht="20.100000000000001" customHeight="1" thickBot="1" x14ac:dyDescent="0.35">
      <c r="A285" s="29" t="s">
        <v>197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2025-10-21T21:25:19Z</dcterms:modified>
</cp:coreProperties>
</file>