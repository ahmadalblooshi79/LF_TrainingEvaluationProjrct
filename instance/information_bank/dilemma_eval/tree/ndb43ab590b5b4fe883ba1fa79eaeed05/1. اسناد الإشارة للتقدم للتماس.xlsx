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A6EDED1-BB83-424B-9725-6FC6EBAA7F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8" i="2"/>
  <c r="H8" i="2" s="1"/>
  <c r="F14" i="2"/>
  <c r="E15" i="2" s="1"/>
  <c r="E16" i="2" s="1"/>
  <c r="E14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<sst xmlns="http://schemas.openxmlformats.org/spreadsheetml/2006/main" count="243" uniqueCount="187">
  <si>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</si>
  <si>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</si>
  <si>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</si>
  <si>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</si>
  <si>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</si>
  <si>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</si>
  <si>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</si>
  <si>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</si>
  <si>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</si>
  <si>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</si>
  <si>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</si>
  <si>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</si>
  <si>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</si>
  <si>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</si>
  <si>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</si>
  <si>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</si>
  <si>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</si>
  <si>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</si>
  <si>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</si>
  <si>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</si>
  <si>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</si>
  <si>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</si>
  <si>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</si>
  <si>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</si>
  <si>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</si>
  <si>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</si>
  <si>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</si>
  <si>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</si>
  <si>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</si>
  <si>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</si>
  <si>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</si>
  <si>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</si>
  <si>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</si>
  <si>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</si>
  <si>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</si>
  <si>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</si>
  <si>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</si>
  <si>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</si>
  <si>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</si>
  <si>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</si>
  <si>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</si>
  <si>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</si>
  <si>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</si>
  <si>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</si>
  <si>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</si>
  <si>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</si>
  <si>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</si>
  <si>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</si>
  <si>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</si>
  <si>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</si>
  <si>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</si>
  <si>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</si>
  <si>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</si>
  <si>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</si>
  <si>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</si>
  <si>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</si>
  <si>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</si>
  <si>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</si>
  <si>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</si>
  <si>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</si>
  <si>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</si>
  <si>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</si>
  <si>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</si>
  <si>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</si>
  <si>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</si>
  <si>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</si>
  <si>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</si>
  <si>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</si>
  <si>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</si>
  <si>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</si>
  <si>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</si>
  <si>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</si>
  <si>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</si>
  <si>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</si>
  <si>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</si>
  <si>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</si>
  <si>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</si>
  <si>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</si>
  <si>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</si>
  <si>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</si>
  <si>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</si>
  <si>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</si>
  <si>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</si>
  <si>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</si>
  <si>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</si>
  <si>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</si>
  <si>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</si>
  <si>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</si>
  <si>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</si>
  <si>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</si>
  <si>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</si>
  <si>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</si>
  <si>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</si>
  <si>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</si>
  <si>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</si>
  <si>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</si>
  <si>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</si>
  <si>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</si>
  <si>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</si>
  <si>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</si>
  <si>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</si>
  <si>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</si>
  <si>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</si>
  <si>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</si>
  <si>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</si>
  <si>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</si>
  <si>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</si>
  <si>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</si>
  <si>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</si>
  <si>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</si>
  <si>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</si>
  <si>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</si>
  <si>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</si>
  <si>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</si>
  <si>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</si>
  <si>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</si>
  <si>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</si>
  <si>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</si>
  <si>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</si>
  <si>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</si>
  <si>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</si>
  <si>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</si>
  <si>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</si>
  <si>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</si>
  <si>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</si>
  <si>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</si>
  <si>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</si>
  <si>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</si>
  <si>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</si>
  <si>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</si>
  <si>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</si>
  <si>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</si>
  <si>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</si>
  <si>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</si>
  <si>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</si>
  <si>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</si>
  <si>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</si>
  <si>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</si>
  <si>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</si>
  <si>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</si>
  <si>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</si>
  <si>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</si>
  <si>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</si>
  <si>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</si>
  <si>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</si>
  <si>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</si>
  <si>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</si>
  <si>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</si>
  <si>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</si>
  <si>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</si>
  <si>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</si>
  <si>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</si>
  <si>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</si>
  <si>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</si>
  <si>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</si>
  <si>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</si>
  <si>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</si>
  <si>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</si>
  <si>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</si>
  <si>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</si>
  <si>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</si>
  <si>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</si>
  <si>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</si>
  <si>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</si>
  <si>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</si>
  <si>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</si>
  <si>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</si>
  <si>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</si>
  <si>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</si>
  <si>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</si>
  <si>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</si>
  <si>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</si>
  <si>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</si>
  <si>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</si>
  <si>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</si>
  <si>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</si>
  <si>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</si>
  <si>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</si>
  <si>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</si>
  <si>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</si>
  <si>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الاشارة في اسناد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</si>
  <si>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تجهيز الاتصالات السلكية واللاسلكية والبريد العسكري.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</si>
  <si>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الالي أثناء التقدم للتماس.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</si>
  <si>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الاتصالات البديلة في حالة الإعاقة الالكترونية (HF).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</si>
  <si>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إدامة قوة الإشارة والاتصالات.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</si>
  <si>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بالأمن اللاسلكي.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</si>
  <si>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بقواعد واصول المخابرة الصحيحة.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</si>
</sst>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316599</xdr:colOff>
      <xdr:row>17</xdr:row>
      <xdr:rowOff>192028</xdr:rowOff>
    </xdr:from>
    <xdr:to>
      <xdr:col>6</xdr:col>
      <xdr:colOff>413799</xdr:colOff>
      <xdr:row>17</xdr:row>
      <xdr:rowOff>523588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183F0D8-BEE5-C2E1-3630-F6F675B2A672}"/>
                </a:ext>
              </a:extLst>
            </xdr14:cNvPr>
            <xdr14:cNvContentPartPr/>
          </xdr14:nvContentPartPr>
          <xdr14:nvPr macro=""/>
          <xdr14:xfrm>
            <a:off x="10400147291" y="6819120"/>
            <a:ext cx="97200" cy="331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183F0D8-BEE5-C2E1-3630-F6F675B2A6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141171" y="6813000"/>
              <a:ext cx="109440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392559</xdr:colOff>
      <xdr:row>17</xdr:row>
      <xdr:rowOff>87268</xdr:rowOff>
    </xdr:from>
    <xdr:to>
      <xdr:col>6</xdr:col>
      <xdr:colOff>458079</xdr:colOff>
      <xdr:row>17</xdr:row>
      <xdr:rowOff>190588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83FE747-B5BC-D55B-0B07-5261E9F83D53}"/>
                </a:ext>
              </a:extLst>
            </xdr14:cNvPr>
            <xdr14:cNvContentPartPr/>
          </xdr14:nvContentPartPr>
          <xdr14:nvPr macro=""/>
          <xdr14:xfrm>
            <a:off x="10400103011" y="6714360"/>
            <a:ext cx="65520" cy="103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83FE747-B5BC-D55B-0B07-5261E9F83D5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96891" y="6708240"/>
              <a:ext cx="7776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422799</xdr:colOff>
      <xdr:row>17</xdr:row>
      <xdr:rowOff>301108</xdr:rowOff>
    </xdr:from>
    <xdr:to>
      <xdr:col>7</xdr:col>
      <xdr:colOff>31829</xdr:colOff>
      <xdr:row>17</xdr:row>
      <xdr:rowOff>443308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DF570B9-12BA-AE5A-F4E0-CB166046C553}"/>
                </a:ext>
              </a:extLst>
            </xdr14:cNvPr>
            <xdr14:cNvContentPartPr/>
          </xdr14:nvContentPartPr>
          <xdr14:nvPr macro=""/>
          <xdr14:xfrm>
            <a:off x="10399871171" y="6928200"/>
            <a:ext cx="267120" cy="142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DF570B9-12BA-AE5A-F4E0-CB166046C55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865051" y="6922080"/>
              <a:ext cx="27936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31469</xdr:colOff>
      <xdr:row>17</xdr:row>
      <xdr:rowOff>414868</xdr:rowOff>
    </xdr:from>
    <xdr:to>
      <xdr:col>7</xdr:col>
      <xdr:colOff>377429</xdr:colOff>
      <xdr:row>17</xdr:row>
      <xdr:rowOff>469588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96D7BD3-C6C8-03C4-D01E-45AD43B22129}"/>
                </a:ext>
              </a:extLst>
            </xdr14:cNvPr>
            <xdr14:cNvContentPartPr/>
          </xdr14:nvContentPartPr>
          <xdr14:nvPr macro=""/>
          <xdr14:xfrm>
            <a:off x="10399525571" y="7041960"/>
            <a:ext cx="345960" cy="54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96D7BD3-C6C8-03C4-D01E-45AD43B2212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519451" y="7035840"/>
              <a:ext cx="35820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483629</xdr:colOff>
      <xdr:row>17</xdr:row>
      <xdr:rowOff>231988</xdr:rowOff>
    </xdr:from>
    <xdr:to>
      <xdr:col>7</xdr:col>
      <xdr:colOff>625109</xdr:colOff>
      <xdr:row>17</xdr:row>
      <xdr:rowOff>481468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5BFBAB8-45AE-F04E-1934-CEA8B6D4E710}"/>
                </a:ext>
              </a:extLst>
            </xdr14:cNvPr>
            <xdr14:cNvContentPartPr/>
          </xdr14:nvContentPartPr>
          <xdr14:nvPr macro=""/>
          <xdr14:xfrm>
            <a:off x="10399277891" y="6859080"/>
            <a:ext cx="141480" cy="2494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BFBAB8-45AE-F04E-1934-CEA8B6D4E71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271771" y="6852960"/>
              <a:ext cx="15372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153519</xdr:colOff>
      <xdr:row>16</xdr:row>
      <xdr:rowOff>510000</xdr:rowOff>
    </xdr:from>
    <xdr:to>
      <xdr:col>9</xdr:col>
      <xdr:colOff>33608</xdr:colOff>
      <xdr:row>17</xdr:row>
      <xdr:rowOff>451948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738E043-B78D-2644-8CD9-4681347A7C3B}"/>
                </a:ext>
              </a:extLst>
            </xdr14:cNvPr>
            <xdr14:cNvContentPartPr/>
          </xdr14:nvContentPartPr>
          <xdr14:nvPr macro=""/>
          <xdr14:xfrm>
            <a:off x="10398553211" y="6606000"/>
            <a:ext cx="1854360" cy="4730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738E043-B78D-2644-8CD9-4681347A7C3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547091" y="6599880"/>
              <a:ext cx="1866600" cy="48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394338</xdr:colOff>
      <xdr:row>17</xdr:row>
      <xdr:rowOff>544108</xdr:rowOff>
    </xdr:from>
    <xdr:to>
      <xdr:col>8</xdr:col>
      <xdr:colOff>420618</xdr:colOff>
      <xdr:row>17</xdr:row>
      <xdr:rowOff>555628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300D506-EFDB-63B7-685E-63BDA2A90F5D}"/>
                </a:ext>
              </a:extLst>
            </xdr14:cNvPr>
            <xdr14:cNvContentPartPr/>
          </xdr14:nvContentPartPr>
          <xdr14:nvPr macro=""/>
          <xdr14:xfrm>
            <a:off x="10398824291" y="7171200"/>
            <a:ext cx="26280" cy="11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300D506-EFDB-63B7-685E-63BDA2A90F5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398818171" y="7165080"/>
              <a:ext cx="3852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3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58 4552,'0'0'0,"0"0"0,-2-2 385,-1-2-105,-2 0 160,1-2 192,4 6-632,-5-4 760,2-2 96,1 0 32,-3 1-63,5 5-825,-5-6 864,3 2-40,0 0-136,2 2-24,0 2-664,0-1 496,0-1-120,0 1-24,0 1-15,0 0-337,0 0 296,0 0-8,0 0-104,0 0-96,0 0-944,0 0 1752,0 0-936,0 0-32,0 4 16,0-4 56,0 4-32,0 11-24,4-4 88,-1 2-56,-3-13 24,12 17-32,-7 1-16,4 5 0,3 3 112,-12-26-64,5 29 0,12 6-8,-3 2-48,6 2-40,-20-39 96,16 40-96,4 3 32,1-1 56,-1 1-32,-20-43 40,21 46-32,-2-4 0,-4 1-112,-1-5 88,-14-38 56,12 37-64,-7-3 16,0-1-137,-5-3-263,0-30 448,0 30-576,0-5-328,-12-2-264,0-2-393,12-21 1561,-12 19-1824,-3-1 352,-1-3 320,-13 12-1809,29-27 2961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5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52 2736,'0'0'0,"0"-2"1240,-2 1-736,2 1-504,-5-5 281,0 1-121,5 1-72,0 2 0,0 1-88,0-3 112,3 0 24,-3-1 72,0 1 32,0 3-240,0-3 280,0 0 0,2 2-16,-2-2-48,0 3-216,0-3 224,0 2 8,0-2 32,0 2 8,0 1-272,0-2 256,-2 1-72,-1-1-72,3 2-56,0 0-56,0 0 0,0 0-32,-2 0-8,-1 0-24,3 0 64,0 0-80,-2 3-8,-3 0 32,5 1 8,0-4 48,0 12-32,-2-9 24,2 8-8,0-7 8,0-4 8,0 13-24,0-9 16,0 12 0,2-12-16,-2-4 24,0 16 8,5-12 8,-3 9-24,3-10 8,-5-3 0,5 13-8,0-11-32,5 3 32,-6 6 16,-4-11-8,3 0-40,9 4-24,-7-1-32,4 0-88,-9-3 184,5 0-256,-3 3-224,10-3-96,-12 0 80,0 0 496,5-2-392,2 0 264,-4-1 104,-1-2 16,-2 5 8,3-2 16,2-3-32,-5 2 24,0 1 8,0 2-16,4-2-16,-4 1 8,0-1 0,0 2-16,0 0 24,0 0-24,0 0 0,-2 0-16,0 0 24,2 0 16,0 3-24,-3 0 8,-2 1-8,0 1-8,5-5 32,-4 12 0,-4-7 32,-4 7-32,10 0 24,2-12-24,-5 4-16,-9 13 8,11-6 0,-9-6-8,12-5 16,-7 15 0,-7-10-24,9 10 32,-14-10-8,19-5 0,-10 12-40,-4-9-8,4 1-217,-4-1-1511,14-3 1776,-10 3-2304,10-3 2304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5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461 92 1800,'0'0'0,"0"-2"1768,4 1-1008,-4 1-760,4-2 489,-1-1 23,1 1 136,0-1 232,-4 3-880,0-4 888,3-1-16,-1 1-23,1 0-137,-3 4-712,3-5 720,0 1-120,-1 0-40,3 0-128,-5 4-432,4-12 352,-2 9-72,5-1-136,-5 0-80,-2 4-64,0-4 72,5-1-56,-5 1-24,5 1 112,-5 3-104,1-1-16,-1-2 16,2 2 88,-2 1-152,0 0 64,0 0-24,0 0-72,0 0-136,0 0 88,0 0 640,0 4-1248,-2 7 600,2-8 88,0 11-8,0-14 72,-1 12 32,1-8-56,-3 14-72,3-6 80,0-12 16,4 13-40,-4-1 56,12 1 24,-8-1-40,-4-12 0,13 11 0,-2 0 0,1-6 0,1 10 40,-13-15-40,12 3-16,-1 1-24,0 1 24,-9-1-32,-2-4 48,17 0 64,-5 3-56,-1-3 56,-7 0 16,-4 0-80,10 0 80,-10-2 72,1 1 0,4-2 24,-5 3-176,0-1 224,0-1 88,0 1 16,0-2 9,0 3-337,0-2 256,0 1-80,-5 0-96,4-1-16,1 2-64,-5 0-16,-6 0 56,6 0-32,-8 3-8,13-3 0,-14 11 112,1-8-112,0 11 24,-1-10-72,14-4 48,-11 15-96,-2-11 96,-1 11-24,1-10 8,13-5 16,-14 15 32,1-3-192,2-8 128,8 9-56,3-13 88,-11 3-216,5 1 56,-7 7-225,10-11-71,3 0 456,-4 3-696,0-3-224,1 0-96,-1 0-120,4 0 1136,-5 0-969,5 0 97,0-1 200,0-2 40,0 3 632,0-4-544,0-2 160,2 0 56,1 0 264,-3 6 64,4-11 80,-1 7 168,-2-2 152,-1-5 72,0 11-472,0-4 512,0-1-136,-1 1-48,-2 1-176,3 3-152,-13-1 72,2 1-8,0 0-56,-7 4 48,18-4-56,-21 11 56,-1-6 32,-3 9-40,-1-3 0,26-11-48,-27 13 32,0-2-48,-2 2 0,4-1 24,25-12-8,-27 11-64,5 0 0,0-6-64,4 10-136,18-15 264,-17 4-568,1 8-168,2-9 32,1 0 120,13-3 584,-9 2-304,2-2 159,-6 0 17,10 0-72,3 0 200,-11 0-392,9-1-424,-2-2-664,-1-1 184,5 4 1296,0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6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960 29 2048,'0'0'0,"0"-5"1608,-5 0-896,-11-1-488,16 6-224,-12-3 97,-5 3-33,-5 0 0,0 3 16,22-3-80,-24 13 80,0-9-24,0 9-16,0-9-24,24-4-16,-24 14 16,0-9-16,0 7 16,0-7-8,24-5-8,-22 11-16,6-8-8,1 0-8,3 0-8,12-3 40,-12 2-48,7-2 0,-9 0-8,14 0-8,0 0 64,-5-1-80,0-3-65,5-1-199,0-7-720,0 12 1064,0-5-2512,0 5 2512</inkml:trace>
  <inkml:trace contextRef="#ctx0" brushRef="#br0" timeOffset="1">556 4 3736,'0'0'0,"0"0"0,-5-1 776,-11 0-551,-1-1-121,0 2 48,17 0-152,-17 3 192,3 1 72,-6 10 56,4-9-48,16-5-272,-20 14 232,1-10-104,0 12-64,4-12-16,15-4-48,-16 14 0,1-9-8,3 7 0,-2-7-16,14-5 24,-10 12-24,5-9 0,-7 2-40,5 6-16,7-11 80,-5 0-112,3 3-56,-3 0 8,0-1 16,5-2 144,0 3-136,-7-3 24,2 0-56,3 0 8,2 0 160,-12 0-144,7 0 40,0 0 72,-5 0 24,10 0 8,-2 0 8,-10 0-8,7 0 24,-4 0 0,9 0-24,-8 0 8,-6 3 16,12-3-24,-15 3 8,17-3-8,-15 0 0,3 3-8,-2-3 0,-3 0-48,17 0 56,-19 0-80,-1 0-113,4-2-615,-8 0-2064,24 2 2872,0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6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7449,'0'0'0,"0"0"1152,-2 0 129,2 0-1281,-3 0 1384,1 3-200,2-3-256,-2 0-368,2 0-560,0 0 249,0 0-153,0 0-64,0 0-409,0 2 746,0 1-361,4 1-32,1 12 24,-5-16 0,12 13 16,-7 4-72,12 1 16,-3 4 16,-14-22 24,17 24-64,2 3 80,1 4-16,4 3 8,-24-34-8,26 36-24,1 2 48,-1 2-56,-2 1-32,-24-41 64,24 42-33,-2-1-183,-3 0-144,0-3-480,-19-38 840,17 40-1664,0-4-673,0-4 321,-5-5-1313,-12-27 3329,5 26-2832,-5-26 2832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8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1581 772 14611,'0'0'0,"0"0"0,0-6 920,0 2-168,0-2-136,6 2-272,-6 4-344,5-1 160,5-1-40,-8 2-48,3 0-64,-5 0-8,11 12 16,1-8 8,3 13 0,0-2 8,-15-15-32,19 17 0,5 5-48,1 0 0,-2 5-32,-23-27 80,28 30-72,0 0 16,-2 1-48,0 2 48,-26-33 56,23 31 8,0 0-88,-1-2 32,-4-2-56,-18-27 104,14 25-168,-3-3 8,-6-1-72,7-3 40,-12-18 192,0 16-304,5-4 24,-5-7 88,0 9-8,0-14 200,0 3-112,-2 1 40,-1 0 16,1 0-104,2-4 160,-12 12-120,4-9 24,-5 0-72,-1-1 80,14-2 88,-16 3-96,-3 0-64,-4-3 88,-3 0-1,26 0 73,-28 0 8,-9-3-8,-3-2 8,-1-10-24,41 15 16,-50-11-136,-1-2 0,-1-1 0,-6-3 32,58 17 104,-58-20-88,-5-1 32,-2 0 8,-1-2-24,66 23 72,-65-21 0,0-2 48,4-3-56,-2-1 80,63 27-72,-60-28 120,1 0-56,6-1 0,53 29-64,-49-29 72,49 29-72,-44-32 40,4 1 32,7 0-8,3 1 40,30 30-104,-23-28 0,4-3 72,3 4 17,4 1 15,12 26-104,-5-24 168,1 0-40,2 1 8,2-1-48,0 24-88,2-23 88,2-1-16,11 3 24,-1-2-40,-14 23-56,13-22 8,8-1 8,1 1-32,3 1-24,-25 21 40,28-20 0,5 0 0,7 2 0,1-2-24,-41 20 24,45-18 24,8-2 0,1 2 40,2-1 40,-56 19-104,63-20 80,2 2 32,5-1-24,7 1 32,-77 18-120,86-19 144,1 2 8,8-1-24,2 2-56,-97 16-72,103-18 80,2 2-48,-2 2 8,6 3-8,-109 11-32,106-12 88,0 7-16,4-8-8,-9 9 16,-101 4-80,102-13 56,-2 10-40,-4-1-88,-1 1 88,-95 3-16,89-2-64,-1 1 64,-1 1 104,-1 0-8,-86 0-96,81 3 80,-6 1-80,2 8-48,-7-10-32,-70-2 80,65 12-8,-2-9-8,-2 9 8,-3-9-8,-58-3 16,56 13-32,2-9 8,-4 13 0,2-5 16,-56-12 8,54 11-112,-1 4 8,-2 0 48,-1 0-48,-50-15 104,51 16-24,-4-1 16,4 2-56,-1 2 72,-50-19-8,48 18-32,-2 5 8,-2-1 16,1 0-104,-45-22 112,41 23-24,-1 1-24,-5 0-8,3 1-32,-38-25 88,34 29-88,-1-2 24,-3 0-56,-6 1 120,-24-28 0,23 26-64,-5-2-8,1-3 72,-5 0-88,-14-21 88,17 20-48,-12-1 0,8-2-56,-11 0-32,-2-17 136,5 14-72,-5 0-48,0 0 72,0-1-16,0-13 64,-5 15-112,-6-1 72,9 1-24,-15-2 104,17-13-40,-10 11-16,-1 0 24,-3 1 48,1-8-80,13-4 24,-17 17 0,1-13 32,-3 12-8,-4-12 24,23-4-48,-21 16 16,-4-12 16,-2 10-16,-1-9-16,28-5 0,-30 14 88,-3-3-96,-2-6 16,1 10 0,34-15-8,-35 4-32,-2 12 48,-6-5-32,-3 2 8,46-13 8,-49 11 8,-2-7-16,-1 12-16,-4-12 8,56-4 16,-58 16 8,-5-12 0,-2 12 8,-3-12-8,68-4-8,-74 13-8,-1-9-16,-11 8 64,-5-10-48,91-2 8,-100 5-8,-6-1-56,-7 0-96,-1-1 8,114-3 152,-125 0-241,-2 0-71,-4 0-192,-4 0-352,135 0 856,-133 0-1080,-2 3-72,-3-3 175,5 3 353,133-3 624,-137 4-400,7 0 224,-1 8 48,3-8 80,128-4 48,-122 13-40,6 0 24,4-1 48,3 4-96,109-16 64,-101 15 32,1-2-16,7 0-32,2-9 56,91-4-40,-85 16 24,4-12 8,6 12 32,8-12 16,67-4-80,-67 11 64,8-8-8,3 1 8,7 1 24,49-5-88,-45 4 88,9-1 16,1 0 16,7-3 0,28 0-120,-26 0 80,5 0 8,3 0 16,3 0-56,15 0-48,-5 0 128,-6-2 8,9 1-32,0-2 33,2 3-137,-3-4 144,3 1-40,-2-2-16,-1 1-8,3 4-80,0-5-80,0-1-128,5 0-233,-2 0-423,-3 6 864,13-5-1144,-8-1 120,12 2 248,-4 0 296,-13 4 480,22-6-593,-4 0-2527,-18 6 3120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38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32 12570,'0'0'0,"-4"-4"736,4 4-736,-10-4 560,5-2-15,0 2-105,-7 1-128,12 3-312,-2-3 152,-3 2-96,0-1-64,5 1-64,0 1 72,-4-2-304,-1 2-737,2 0-1927,-2-1 119,5 1 2849,-7 0-6017,7 0 6017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8"/>
  <sheetViews>
    <sheetView rightToLeft="1" tabSelected="1" view="pageBreakPreview" topLeftCell="B12" zoomScale="130" zoomScaleNormal="100" zoomScaleSheetLayoutView="130" workbookViewId="0">
      <selection activeCell="F8" sqref="F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180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9" t="s">
        <v>8</v>
      </c>
      <c r="C2" s="53" t="s">
        <v>15</v>
      </c>
      <c r="D2" s="53"/>
      <c r="E2" s="19" t="s">
        <v>7</v>
      </c>
      <c r="F2" s="48">
        <v>45953</v>
      </c>
      <c r="G2" s="48"/>
      <c r="H2" s="48"/>
      <c r="I2" s="48"/>
      <c r="J2" s="48"/>
    </row>
    <row r="3" spans="1:10" ht="30" customHeight="1" x14ac:dyDescent="0.3">
      <c r="B3" s="19" t="s">
        <v>9</v>
      </c>
      <c r="C3" s="53" t="s">
        <v>75</v>
      </c>
      <c r="D3" s="53"/>
      <c r="E3" s="19" t="s">
        <v>6</v>
      </c>
      <c r="F3" s="53" t="s">
        <v>122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6"/>
      <c r="B5" s="49" t="s">
        <v>0</v>
      </c>
      <c r="C5" s="50"/>
      <c r="D5" s="50"/>
      <c r="E5" s="36" t="s">
        <v>1</v>
      </c>
      <c r="F5" s="36"/>
      <c r="G5" s="36"/>
      <c r="H5" s="36"/>
      <c r="I5" s="36" t="s">
        <v>2</v>
      </c>
      <c r="J5" s="37"/>
    </row>
    <row r="6" spans="1:10" ht="24.9" customHeight="1" thickBot="1" x14ac:dyDescent="0.35">
      <c r="A6" s="16"/>
      <c r="B6" s="51"/>
      <c r="C6" s="52"/>
      <c r="D6" s="52"/>
      <c r="E6" s="17" t="s">
        <v>3</v>
      </c>
      <c r="F6" s="17" t="s">
        <v>4</v>
      </c>
      <c r="G6" s="17" t="s">
        <v>23</v>
      </c>
      <c r="H6" s="17" t="s">
        <v>24</v>
      </c>
      <c r="I6" s="38"/>
      <c r="J6" s="39"/>
    </row>
    <row r="7" spans="1:10" ht="24.9" customHeight="1" thickBot="1" x14ac:dyDescent="0.35">
      <c r="A7" s="16"/>
      <c r="B7" s="34" t="s">
        <v>21</v>
      </c>
      <c r="C7" s="35"/>
      <c r="D7" s="35"/>
      <c r="E7" s="18" t="s">
        <v>18</v>
      </c>
      <c r="F7" s="18" t="s">
        <v>19</v>
      </c>
      <c r="G7" s="18" t="s">
        <v>22</v>
      </c>
      <c r="H7" s="18" t="s">
        <v>20</v>
      </c>
      <c r="I7" s="40" t="s">
        <v>25</v>
      </c>
      <c r="J7" s="41"/>
    </row>
    <row r="8" spans="1:10" ht="30" customHeight="1" x14ac:dyDescent="0.3">
      <c r="A8" s="16"/>
      <c r="B8" s="46" t="s">
        <v>181</v>
      </c>
      <c r="C8" s="46"/>
      <c r="D8" s="46"/>
      <c r="E8" s="10">
        <v>10</v>
      </c>
      <c r="F8" s="11">
        <v>7</v>
      </c>
      <c r="G8" s="12">
        <f>IFERROR(F8/E8,"")</f>
        <v>0.7</v>
      </c>
      <c r="H8" s="9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4"/>
      <c r="J8" s="45"/>
    </row>
    <row r="9" spans="1:10" ht="30" customHeight="1" x14ac:dyDescent="0.3">
      <c r="A9" s="16"/>
      <c r="B9" s="46" t="s">
        <v>182</v>
      </c>
      <c r="C9" s="46"/>
      <c r="D9" s="46"/>
      <c r="E9" s="10">
        <v>10</v>
      </c>
      <c r="F9" s="26">
        <v>8.25</v>
      </c>
      <c r="G9" s="12">
        <f>IFERROR(F9/E9,"")</f>
        <v>0.82499999999999996</v>
      </c>
      <c r="H9" s="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0" customHeight="1" x14ac:dyDescent="0.3">
      <c r="A10" s="16"/>
      <c r="B10" s="46" t="s">
        <v>183</v>
      </c>
      <c r="C10" s="46"/>
      <c r="D10" s="46"/>
      <c r="E10" s="13">
        <v>10</v>
      </c>
      <c r="F10" s="15">
        <v>8.25</v>
      </c>
      <c r="G10" s="12">
        <f t="shared" ref="G10:G13" si="0">IFERROR(F10/E10,"")</f>
        <v>0.82499999999999996</v>
      </c>
      <c r="H10" s="9" t="str">
        <f t="shared" ref="H10:H1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2"/>
      <c r="J10" s="43"/>
    </row>
    <row r="11" spans="1:10" ht="30" customHeight="1" x14ac:dyDescent="0.3">
      <c r="A11" s="16"/>
      <c r="B11" s="46" t="s">
        <v>184</v>
      </c>
      <c r="C11" s="46"/>
      <c r="D11" s="46"/>
      <c r="E11" s="10">
        <v>10</v>
      </c>
      <c r="F11" s="15">
        <v>7.5</v>
      </c>
      <c r="G11" s="12">
        <f t="shared" si="0"/>
        <v>0.75</v>
      </c>
      <c r="H11" s="9" t="str">
        <f t="shared" si="1"/>
        <v>جيد</v>
      </c>
      <c r="I11" s="42"/>
      <c r="J11" s="43"/>
    </row>
    <row r="12" spans="1:10" ht="30" customHeight="1" x14ac:dyDescent="0.3">
      <c r="A12" s="16"/>
      <c r="B12" s="46" t="s">
        <v>185</v>
      </c>
      <c r="C12" s="46"/>
      <c r="D12" s="46"/>
      <c r="E12" s="13">
        <v>10</v>
      </c>
      <c r="F12" s="15">
        <v>7.75</v>
      </c>
      <c r="G12" s="12">
        <f t="shared" si="0"/>
        <v>0.77500000000000002</v>
      </c>
      <c r="H12" s="9" t="str">
        <f t="shared" si="1"/>
        <v>جيد</v>
      </c>
      <c r="I12" s="42"/>
      <c r="J12" s="43"/>
    </row>
    <row r="13" spans="1:10" ht="30" customHeight="1" thickBot="1" x14ac:dyDescent="0.35">
      <c r="A13" s="16"/>
      <c r="B13" s="46" t="s">
        <v>186</v>
      </c>
      <c r="C13" s="46"/>
      <c r="D13" s="46"/>
      <c r="E13" s="10">
        <v>10</v>
      </c>
      <c r="F13" s="15">
        <v>7.75</v>
      </c>
      <c r="G13" s="12">
        <f t="shared" si="0"/>
        <v>0.77500000000000002</v>
      </c>
      <c r="H13" s="9" t="str">
        <f t="shared" si="1"/>
        <v>جيد</v>
      </c>
      <c r="I13" s="42"/>
      <c r="J13" s="43"/>
    </row>
    <row r="14" spans="1:10" ht="30" customHeight="1" thickBot="1" x14ac:dyDescent="0.35">
      <c r="A14" s="4"/>
      <c r="B14" s="66" t="s">
        <v>5</v>
      </c>
      <c r="C14" s="40"/>
      <c r="D14" s="40"/>
      <c r="E14" s="14">
        <f>SUM(E8:E13)</f>
        <v>60</v>
      </c>
      <c r="F14" s="14">
        <f>SUM(F8:F13)</f>
        <v>46.5</v>
      </c>
      <c r="G14" s="55"/>
      <c r="H14" s="56"/>
      <c r="I14" s="56"/>
      <c r="J14" s="57"/>
    </row>
    <row r="15" spans="1:10" ht="30" customHeight="1" thickBot="1" x14ac:dyDescent="0.35">
      <c r="A15" s="4"/>
      <c r="B15" s="66" t="s">
        <v>54</v>
      </c>
      <c r="C15" s="40"/>
      <c r="D15" s="40"/>
      <c r="E15" s="58">
        <f>F14/E14/100*100</f>
        <v>0.77500000000000002</v>
      </c>
      <c r="F15" s="58"/>
      <c r="G15" s="58"/>
      <c r="H15" s="58"/>
      <c r="I15" s="58"/>
      <c r="J15" s="59"/>
    </row>
    <row r="16" spans="1:10" ht="30" customHeight="1" thickBot="1" x14ac:dyDescent="0.35">
      <c r="A16" s="4"/>
      <c r="B16" s="66" t="s">
        <v>55</v>
      </c>
      <c r="C16" s="40"/>
      <c r="D16" s="40"/>
      <c r="E16" s="64" t="str">
        <f>_xlfn.IFS(E15&gt;=90%,"ممتاز",E15&gt;=80%,"جيد جداً",E15&gt;=70%,"جيد",E15&gt;=60%,"مقبول",E15&lt;60%,"راسب")</f>
        <v>جيد</v>
      </c>
      <c r="F16" s="64"/>
      <c r="G16" s="64"/>
      <c r="H16" s="64"/>
      <c r="I16" s="64"/>
      <c r="J16" s="65"/>
    </row>
    <row r="17" spans="1:10" ht="42" customHeight="1" x14ac:dyDescent="0.3">
      <c r="B17" s="60" t="s">
        <v>174</v>
      </c>
      <c r="C17" s="60"/>
      <c r="D17" s="60"/>
      <c r="E17" s="67" t="s">
        <v>52</v>
      </c>
      <c r="F17" s="67"/>
      <c r="G17" s="62" t="s">
        <v>122</v>
      </c>
      <c r="H17" s="62"/>
      <c r="I17" s="62"/>
      <c r="J17" s="62"/>
    </row>
    <row r="18" spans="1:10" ht="51" customHeight="1" x14ac:dyDescent="0.3">
      <c r="A18" s="5"/>
      <c r="B18" s="61"/>
      <c r="C18" s="61"/>
      <c r="D18" s="61"/>
      <c r="E18" s="54" t="s">
        <v>53</v>
      </c>
      <c r="F18" s="54"/>
      <c r="G18" s="63"/>
      <c r="H18" s="63"/>
      <c r="I18" s="63"/>
      <c r="J18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3">
    <mergeCell ref="B11:D11"/>
    <mergeCell ref="B12:D12"/>
    <mergeCell ref="B13:D13"/>
    <mergeCell ref="I9:J9"/>
    <mergeCell ref="E17:F17"/>
    <mergeCell ref="I11:J11"/>
    <mergeCell ref="I12:J12"/>
    <mergeCell ref="I13:J13"/>
    <mergeCell ref="E18:F18"/>
    <mergeCell ref="G14:J14"/>
    <mergeCell ref="E15:J15"/>
    <mergeCell ref="B17:D18"/>
    <mergeCell ref="G17:J17"/>
    <mergeCell ref="G18:J18"/>
    <mergeCell ref="E16:J16"/>
    <mergeCell ref="B14:D14"/>
    <mergeCell ref="B15:D15"/>
    <mergeCell ref="B16:D16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6">
    <cfRule type="expression" dxfId="14" priority="57">
      <formula>$E16="راسب"</formula>
    </cfRule>
  </conditionalFormatting>
  <conditionalFormatting sqref="E16:J16">
    <cfRule type="expression" dxfId="13" priority="58">
      <formula>$E16="مقبول"</formula>
    </cfRule>
    <cfRule type="expression" dxfId="12" priority="59">
      <formula>$E16="جيد"</formula>
    </cfRule>
    <cfRule type="expression" dxfId="11" priority="60">
      <formula>$E16="جيد جداً"</formula>
    </cfRule>
    <cfRule type="expression" dxfId="10" priority="61">
      <formula>$E16="ممتاز"</formula>
    </cfRule>
  </conditionalFormatting>
  <conditionalFormatting sqref="F8:F1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6" priority="15" operator="containsText" text="أدخل اسم المحكم">
      <formula>NOT(ISERROR(SEARCH("أدخل اسم المحكم",G17)))</formula>
    </cfRule>
  </conditionalFormatting>
  <conditionalFormatting sqref="H8:H1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G17:J17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8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7" t="s">
        <v>62</v>
      </c>
    </row>
    <row r="3" spans="1:3" ht="20.100000000000001" customHeight="1" thickBot="1" x14ac:dyDescent="0.35">
      <c r="A3" s="2" t="s">
        <v>26</v>
      </c>
      <c r="C3" s="27" t="s">
        <v>63</v>
      </c>
    </row>
    <row r="4" spans="1:3" ht="20.100000000000001" customHeight="1" thickBot="1" x14ac:dyDescent="0.35">
      <c r="A4" s="2" t="s">
        <v>36</v>
      </c>
      <c r="C4" s="27" t="s">
        <v>64</v>
      </c>
    </row>
    <row r="5" spans="1:3" ht="20.100000000000001" customHeight="1" thickBot="1" x14ac:dyDescent="0.35">
      <c r="A5" s="2" t="s">
        <v>37</v>
      </c>
      <c r="C5" s="27" t="s">
        <v>65</v>
      </c>
    </row>
    <row r="6" spans="1:3" ht="20.100000000000001" customHeight="1" thickBot="1" x14ac:dyDescent="0.35">
      <c r="A6" s="2" t="s">
        <v>38</v>
      </c>
      <c r="C6" s="27" t="s">
        <v>66</v>
      </c>
    </row>
    <row r="7" spans="1:3" ht="20.100000000000001" customHeight="1" thickBot="1" x14ac:dyDescent="0.35">
      <c r="A7" s="2" t="s">
        <v>39</v>
      </c>
      <c r="C7" s="27" t="s">
        <v>67</v>
      </c>
    </row>
    <row r="8" spans="1:3" ht="20.100000000000001" customHeight="1" thickBot="1" x14ac:dyDescent="0.35">
      <c r="A8" s="2" t="s">
        <v>40</v>
      </c>
      <c r="C8" s="27" t="s">
        <v>68</v>
      </c>
    </row>
    <row r="9" spans="1:3" ht="20.100000000000001" customHeight="1" thickBot="1" x14ac:dyDescent="0.35">
      <c r="A9" s="2" t="s">
        <v>41</v>
      </c>
      <c r="C9" s="27" t="s">
        <v>69</v>
      </c>
    </row>
    <row r="10" spans="1:3" ht="20.100000000000001" customHeight="1" thickBot="1" x14ac:dyDescent="0.35">
      <c r="A10" s="2" t="s">
        <v>42</v>
      </c>
      <c r="C10" s="27" t="s">
        <v>70</v>
      </c>
    </row>
    <row r="11" spans="1:3" ht="20.100000000000001" customHeight="1" thickBot="1" x14ac:dyDescent="0.35">
      <c r="A11" s="2" t="s">
        <v>43</v>
      </c>
      <c r="C11" s="27" t="s">
        <v>71</v>
      </c>
    </row>
    <row r="12" spans="1:3" ht="20.100000000000001" customHeight="1" thickBot="1" x14ac:dyDescent="0.35">
      <c r="A12" s="2" t="s">
        <v>44</v>
      </c>
      <c r="C12" s="27" t="s">
        <v>72</v>
      </c>
    </row>
    <row r="13" spans="1:3" ht="20.100000000000001" customHeight="1" thickBot="1" x14ac:dyDescent="0.35">
      <c r="A13" s="2" t="s">
        <v>45</v>
      </c>
      <c r="C13" s="27" t="s">
        <v>73</v>
      </c>
    </row>
    <row r="14" spans="1:3" ht="20.100000000000001" customHeight="1" thickBot="1" x14ac:dyDescent="0.35">
      <c r="A14" s="2" t="s">
        <v>46</v>
      </c>
      <c r="C14" s="27" t="s">
        <v>74</v>
      </c>
    </row>
    <row r="15" spans="1:3" ht="20.100000000000001" customHeight="1" thickBot="1" x14ac:dyDescent="0.35">
      <c r="A15" s="2" t="s">
        <v>47</v>
      </c>
      <c r="C15" s="27" t="s">
        <v>75</v>
      </c>
    </row>
    <row r="16" spans="1:3" ht="20.100000000000001" customHeight="1" thickBot="1" x14ac:dyDescent="0.35">
      <c r="A16" s="2" t="s">
        <v>10</v>
      </c>
      <c r="C16" s="27" t="s">
        <v>76</v>
      </c>
    </row>
    <row r="17" spans="1:3" ht="20.100000000000001" customHeight="1" thickBot="1" x14ac:dyDescent="0.35">
      <c r="A17" s="2" t="s">
        <v>27</v>
      </c>
      <c r="C17" s="27" t="s">
        <v>77</v>
      </c>
    </row>
    <row r="18" spans="1:3" ht="20.100000000000001" customHeight="1" thickBot="1" x14ac:dyDescent="0.35">
      <c r="A18" s="2" t="s">
        <v>48</v>
      </c>
      <c r="C18" s="27" t="s">
        <v>78</v>
      </c>
    </row>
    <row r="19" spans="1:3" ht="20.100000000000001" customHeight="1" thickBot="1" x14ac:dyDescent="0.35">
      <c r="A19" s="2" t="s">
        <v>49</v>
      </c>
      <c r="C19" s="27" t="s">
        <v>79</v>
      </c>
    </row>
    <row r="20" spans="1:3" ht="20.100000000000001" customHeight="1" thickBot="1" x14ac:dyDescent="0.35">
      <c r="A20" s="2" t="s">
        <v>50</v>
      </c>
      <c r="C20" s="27" t="s">
        <v>80</v>
      </c>
    </row>
    <row r="21" spans="1:3" ht="20.100000000000001" customHeight="1" thickBot="1" x14ac:dyDescent="0.35">
      <c r="A21" s="2" t="s">
        <v>51</v>
      </c>
      <c r="C21" s="27" t="s">
        <v>81</v>
      </c>
    </row>
    <row r="22" spans="1:3" ht="20.100000000000001" customHeight="1" thickBot="1" x14ac:dyDescent="0.35">
      <c r="A22" s="2" t="s">
        <v>11</v>
      </c>
      <c r="C22" s="27" t="s">
        <v>82</v>
      </c>
    </row>
    <row r="23" spans="1:3" ht="20.100000000000001" customHeight="1" thickBot="1" x14ac:dyDescent="0.35">
      <c r="A23" s="2" t="s">
        <v>12</v>
      </c>
      <c r="C23" s="27" t="s">
        <v>83</v>
      </c>
    </row>
    <row r="24" spans="1:3" ht="20.100000000000001" customHeight="1" thickBot="1" x14ac:dyDescent="0.35">
      <c r="A24" s="2" t="s">
        <v>15</v>
      </c>
      <c r="C24" s="27" t="s">
        <v>84</v>
      </c>
    </row>
    <row r="25" spans="1:3" ht="20.100000000000001" customHeight="1" thickBot="1" x14ac:dyDescent="0.35">
      <c r="A25" s="2" t="s">
        <v>28</v>
      </c>
      <c r="C25" s="27" t="s">
        <v>85</v>
      </c>
    </row>
    <row r="26" spans="1:3" ht="20.100000000000001" customHeight="1" thickBot="1" x14ac:dyDescent="0.35">
      <c r="A26" s="2" t="s">
        <v>29</v>
      </c>
      <c r="C26" s="27" t="s">
        <v>86</v>
      </c>
    </row>
    <row r="27" spans="1:3" ht="20.100000000000001" customHeight="1" thickBot="1" x14ac:dyDescent="0.35">
      <c r="A27" s="2" t="s">
        <v>13</v>
      </c>
      <c r="C27" s="27" t="s">
        <v>87</v>
      </c>
    </row>
    <row r="28" spans="1:3" ht="20.100000000000001" customHeight="1" thickBot="1" x14ac:dyDescent="0.35">
      <c r="A28" s="2" t="s">
        <v>30</v>
      </c>
      <c r="C28" s="27" t="s">
        <v>88</v>
      </c>
    </row>
    <row r="29" spans="1:3" ht="20.100000000000001" customHeight="1" thickBot="1" x14ac:dyDescent="0.35">
      <c r="A29" s="2" t="s">
        <v>31</v>
      </c>
      <c r="C29" s="27" t="s">
        <v>177</v>
      </c>
    </row>
    <row r="30" spans="1:3" ht="20.100000000000001" customHeight="1" thickBot="1" x14ac:dyDescent="0.35">
      <c r="A30" s="2" t="s">
        <v>32</v>
      </c>
      <c r="C30" s="27" t="s">
        <v>178</v>
      </c>
    </row>
    <row r="31" spans="1:3" ht="20.100000000000001" customHeight="1" thickBot="1" x14ac:dyDescent="0.35">
      <c r="A31" s="2" t="s">
        <v>33</v>
      </c>
      <c r="C31" s="27" t="s">
        <v>179</v>
      </c>
    </row>
    <row r="32" spans="1:3" ht="20.100000000000001" customHeight="1" thickBot="1" x14ac:dyDescent="0.35">
      <c r="A32" s="2" t="s">
        <v>16</v>
      </c>
      <c r="C32" s="27"/>
    </row>
    <row r="33" spans="1:9" ht="20.100000000000001" customHeight="1" thickBot="1" x14ac:dyDescent="0.35">
      <c r="A33" s="2" t="s">
        <v>14</v>
      </c>
      <c r="C33" s="27"/>
    </row>
    <row r="34" spans="1:9" ht="20.100000000000001" customHeight="1" thickBot="1" x14ac:dyDescent="0.35">
      <c r="A34" s="2" t="s">
        <v>34</v>
      </c>
      <c r="C34" s="27"/>
    </row>
    <row r="35" spans="1:9" ht="20.100000000000001" customHeight="1" x14ac:dyDescent="0.3">
      <c r="A35" s="25"/>
    </row>
    <row r="36" spans="1:9" s="24" customFormat="1" ht="20.100000000000001" customHeight="1" x14ac:dyDescent="0.3">
      <c r="A36" s="22"/>
      <c r="B36" s="23"/>
      <c r="C36" s="23"/>
      <c r="D36" s="23"/>
      <c r="E36" s="23"/>
      <c r="F36" s="23"/>
      <c r="G36" s="23"/>
      <c r="H36" s="23"/>
      <c r="I36" s="2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20">
        <v>45931</v>
      </c>
    </row>
    <row r="40" spans="1:9" ht="20.100000000000001" customHeight="1" thickBot="1" x14ac:dyDescent="0.35">
      <c r="A40" s="20">
        <v>45932</v>
      </c>
    </row>
    <row r="41" spans="1:9" ht="20.100000000000001" customHeight="1" thickBot="1" x14ac:dyDescent="0.35">
      <c r="A41" s="20">
        <v>45933</v>
      </c>
    </row>
    <row r="42" spans="1:9" ht="20.100000000000001" customHeight="1" thickBot="1" x14ac:dyDescent="0.35">
      <c r="A42" s="20">
        <v>45934</v>
      </c>
    </row>
    <row r="43" spans="1:9" ht="20.100000000000001" customHeight="1" thickBot="1" x14ac:dyDescent="0.35">
      <c r="A43" s="20">
        <v>45935</v>
      </c>
    </row>
    <row r="44" spans="1:9" ht="20.100000000000001" customHeight="1" thickBot="1" x14ac:dyDescent="0.35">
      <c r="A44" s="20">
        <v>45936</v>
      </c>
    </row>
    <row r="45" spans="1:9" ht="20.100000000000001" customHeight="1" thickBot="1" x14ac:dyDescent="0.35">
      <c r="A45" s="20">
        <v>45937</v>
      </c>
    </row>
    <row r="46" spans="1:9" ht="20.100000000000001" customHeight="1" thickBot="1" x14ac:dyDescent="0.35">
      <c r="A46" s="20">
        <v>45938</v>
      </c>
    </row>
    <row r="47" spans="1:9" ht="20.100000000000001" customHeight="1" thickBot="1" x14ac:dyDescent="0.35">
      <c r="A47" s="20">
        <v>45939</v>
      </c>
    </row>
    <row r="48" spans="1:9" ht="20.100000000000001" customHeight="1" thickBot="1" x14ac:dyDescent="0.35">
      <c r="A48" s="20">
        <v>45940</v>
      </c>
    </row>
    <row r="49" spans="1:1" ht="20.100000000000001" customHeight="1" thickBot="1" x14ac:dyDescent="0.35">
      <c r="A49" s="20">
        <v>45941</v>
      </c>
    </row>
    <row r="50" spans="1:1" ht="20.100000000000001" customHeight="1" thickBot="1" x14ac:dyDescent="0.35">
      <c r="A50" s="20">
        <v>45942</v>
      </c>
    </row>
    <row r="51" spans="1:1" ht="20.100000000000001" customHeight="1" thickBot="1" x14ac:dyDescent="0.35">
      <c r="A51" s="20">
        <v>45943</v>
      </c>
    </row>
    <row r="52" spans="1:1" ht="20.100000000000001" customHeight="1" thickBot="1" x14ac:dyDescent="0.35">
      <c r="A52" s="20">
        <v>45944</v>
      </c>
    </row>
    <row r="53" spans="1:1" ht="20.100000000000001" customHeight="1" thickBot="1" x14ac:dyDescent="0.35">
      <c r="A53" s="20">
        <v>45945</v>
      </c>
    </row>
    <row r="54" spans="1:1" ht="20.100000000000001" customHeight="1" thickBot="1" x14ac:dyDescent="0.35">
      <c r="A54" s="20">
        <v>45946</v>
      </c>
    </row>
    <row r="55" spans="1:1" ht="20.100000000000001" customHeight="1" thickBot="1" x14ac:dyDescent="0.35">
      <c r="A55" s="20">
        <v>45947</v>
      </c>
    </row>
    <row r="56" spans="1:1" ht="20.100000000000001" customHeight="1" thickBot="1" x14ac:dyDescent="0.35">
      <c r="A56" s="20">
        <v>45948</v>
      </c>
    </row>
    <row r="57" spans="1:1" ht="20.100000000000001" customHeight="1" thickBot="1" x14ac:dyDescent="0.35">
      <c r="A57" s="20">
        <v>45949</v>
      </c>
    </row>
    <row r="58" spans="1:1" ht="20.100000000000001" customHeight="1" thickBot="1" x14ac:dyDescent="0.35">
      <c r="A58" s="20">
        <v>45950</v>
      </c>
    </row>
    <row r="59" spans="1:1" ht="20.100000000000001" customHeight="1" thickBot="1" x14ac:dyDescent="0.35">
      <c r="A59" s="20">
        <v>45951</v>
      </c>
    </row>
    <row r="60" spans="1:1" ht="20.100000000000001" customHeight="1" thickBot="1" x14ac:dyDescent="0.35">
      <c r="A60" s="20">
        <v>45952</v>
      </c>
    </row>
    <row r="61" spans="1:1" ht="20.100000000000001" customHeight="1" thickBot="1" x14ac:dyDescent="0.35">
      <c r="A61" s="20">
        <v>45953</v>
      </c>
    </row>
    <row r="62" spans="1:1" ht="20.100000000000001" customHeight="1" thickBot="1" x14ac:dyDescent="0.35">
      <c r="A62" s="20">
        <v>45954</v>
      </c>
    </row>
    <row r="63" spans="1:1" ht="20.100000000000001" customHeight="1" thickBot="1" x14ac:dyDescent="0.35">
      <c r="A63" s="20">
        <v>45955</v>
      </c>
    </row>
    <row r="64" spans="1:1" ht="20.100000000000001" customHeight="1" thickBot="1" x14ac:dyDescent="0.35">
      <c r="A64" s="20">
        <v>45956</v>
      </c>
    </row>
    <row r="65" spans="1:1" ht="20.100000000000001" customHeight="1" thickBot="1" x14ac:dyDescent="0.35">
      <c r="A65" s="20">
        <v>45957</v>
      </c>
    </row>
    <row r="66" spans="1:1" ht="20.100000000000001" customHeight="1" thickBot="1" x14ac:dyDescent="0.35">
      <c r="A66" s="20">
        <v>45958</v>
      </c>
    </row>
    <row r="67" spans="1:1" ht="20.100000000000001" customHeight="1" thickBot="1" x14ac:dyDescent="0.35">
      <c r="A67" s="20">
        <v>45959</v>
      </c>
    </row>
    <row r="68" spans="1:1" ht="20.100000000000001" customHeight="1" thickBot="1" x14ac:dyDescent="0.35">
      <c r="A68" s="20">
        <v>45960</v>
      </c>
    </row>
    <row r="69" spans="1:1" ht="20.100000000000001" customHeight="1" thickBot="1" x14ac:dyDescent="0.35">
      <c r="A69" s="20">
        <v>45961</v>
      </c>
    </row>
    <row r="70" spans="1:1" ht="20.100000000000001" customHeight="1" thickBot="1" x14ac:dyDescent="0.35">
      <c r="A70" s="20"/>
    </row>
    <row r="71" spans="1:1" ht="20.100000000000001" customHeight="1" thickBot="1" x14ac:dyDescent="0.35">
      <c r="A71" s="20"/>
    </row>
    <row r="72" spans="1:1" ht="20.100000000000001" customHeight="1" thickBot="1" x14ac:dyDescent="0.35">
      <c r="A72" s="20"/>
    </row>
    <row r="73" spans="1:1" ht="20.100000000000001" customHeight="1" thickBot="1" x14ac:dyDescent="0.35">
      <c r="A73" s="20"/>
    </row>
    <row r="74" spans="1:1" ht="20.100000000000001" customHeight="1" thickBot="1" x14ac:dyDescent="0.35">
      <c r="A74" s="20"/>
    </row>
    <row r="75" spans="1:1" ht="20.100000000000001" customHeight="1" thickBot="1" x14ac:dyDescent="0.35">
      <c r="A75" s="20"/>
    </row>
    <row r="76" spans="1:1" ht="20.100000000000001" customHeight="1" thickBot="1" x14ac:dyDescent="0.35">
      <c r="A76" s="20"/>
    </row>
    <row r="77" spans="1:1" ht="20.100000000000001" customHeight="1" thickBot="1" x14ac:dyDescent="0.35">
      <c r="A77" s="20"/>
    </row>
    <row r="78" spans="1:1" ht="20.100000000000001" customHeight="1" thickBot="1" x14ac:dyDescent="0.35">
      <c r="A78" s="20"/>
    </row>
    <row r="79" spans="1:1" ht="20.100000000000001" customHeight="1" thickBot="1" x14ac:dyDescent="0.35">
      <c r="A79" s="20"/>
    </row>
    <row r="80" spans="1:1" ht="20.100000000000001" customHeight="1" thickBot="1" x14ac:dyDescent="0.35">
      <c r="A80" s="20"/>
    </row>
    <row r="81" spans="1:1" ht="20.100000000000001" customHeight="1" thickBot="1" x14ac:dyDescent="0.35">
      <c r="A81" s="20"/>
    </row>
    <row r="82" spans="1:1" ht="20.100000000000001" customHeight="1" thickBot="1" x14ac:dyDescent="0.35">
      <c r="A82" s="20"/>
    </row>
    <row r="83" spans="1:1" ht="20.100000000000001" customHeight="1" thickBot="1" x14ac:dyDescent="0.35">
      <c r="A83" s="20"/>
    </row>
    <row r="84" spans="1:1" ht="20.100000000000001" customHeight="1" thickBot="1" x14ac:dyDescent="0.35">
      <c r="A84" s="20"/>
    </row>
    <row r="85" spans="1:1" ht="20.100000000000001" customHeight="1" thickBot="1" x14ac:dyDescent="0.35">
      <c r="A85" s="20"/>
    </row>
    <row r="86" spans="1:1" ht="20.100000000000001" customHeight="1" thickBot="1" x14ac:dyDescent="0.35">
      <c r="A86" s="20"/>
    </row>
    <row r="87" spans="1:1" ht="20.100000000000001" customHeight="1" thickBot="1" x14ac:dyDescent="0.35">
      <c r="A87" s="20"/>
    </row>
    <row r="88" spans="1:1" ht="20.100000000000001" customHeight="1" thickBot="1" x14ac:dyDescent="0.35">
      <c r="A88" s="20"/>
    </row>
    <row r="89" spans="1:1" ht="20.100000000000001" customHeight="1" thickBot="1" x14ac:dyDescent="0.35">
      <c r="A89" s="20"/>
    </row>
    <row r="90" spans="1:1" ht="20.100000000000001" customHeight="1" thickBot="1" x14ac:dyDescent="0.35">
      <c r="A90" s="20"/>
    </row>
    <row r="91" spans="1:1" ht="20.100000000000001" customHeight="1" thickBot="1" x14ac:dyDescent="0.35">
      <c r="A91" s="20"/>
    </row>
    <row r="92" spans="1:1" ht="20.100000000000001" customHeight="1" thickBot="1" x14ac:dyDescent="0.35">
      <c r="A92" s="20"/>
    </row>
    <row r="93" spans="1:1" ht="20.100000000000001" customHeight="1" thickBot="1" x14ac:dyDescent="0.35">
      <c r="A93" s="20"/>
    </row>
    <row r="94" spans="1:1" ht="20.100000000000001" customHeight="1" thickBot="1" x14ac:dyDescent="0.35">
      <c r="A94" s="20"/>
    </row>
    <row r="95" spans="1:1" ht="20.100000000000001" customHeight="1" thickBot="1" x14ac:dyDescent="0.35">
      <c r="A95" s="20"/>
    </row>
    <row r="96" spans="1:1" ht="20.100000000000001" customHeight="1" thickBot="1" x14ac:dyDescent="0.35">
      <c r="A96" s="20"/>
    </row>
    <row r="97" spans="1:9" ht="20.100000000000001" customHeight="1" thickBot="1" x14ac:dyDescent="0.35">
      <c r="A97" s="20"/>
    </row>
    <row r="98" spans="1:9" ht="20.100000000000001" customHeight="1" thickBot="1" x14ac:dyDescent="0.35">
      <c r="A98" s="20"/>
    </row>
    <row r="99" spans="1:9" ht="20.100000000000001" customHeight="1" thickBot="1" x14ac:dyDescent="0.35">
      <c r="A99" s="20"/>
    </row>
    <row r="100" spans="1:9" ht="20.100000000000001" customHeight="1" thickBot="1" x14ac:dyDescent="0.35">
      <c r="A100" s="20"/>
    </row>
    <row r="101" spans="1:9" ht="20.100000000000001" customHeight="1" thickBot="1" x14ac:dyDescent="0.35">
      <c r="A101" s="20"/>
    </row>
    <row r="102" spans="1:9" ht="20.100000000000001" customHeight="1" thickBot="1" x14ac:dyDescent="0.35">
      <c r="A102" s="20"/>
    </row>
    <row r="103" spans="1:9" ht="20.100000000000001" customHeight="1" thickBot="1" x14ac:dyDescent="0.35">
      <c r="A103" s="20"/>
    </row>
    <row r="104" spans="1:9" ht="20.100000000000001" customHeight="1" thickBot="1" x14ac:dyDescent="0.35">
      <c r="A104" s="20"/>
    </row>
    <row r="105" spans="1:9" ht="20.100000000000001" customHeight="1" thickBot="1" x14ac:dyDescent="0.35">
      <c r="A105" s="20"/>
    </row>
    <row r="106" spans="1:9" ht="20.100000000000001" customHeight="1" thickBot="1" x14ac:dyDescent="0.35">
      <c r="A106" s="20"/>
    </row>
    <row r="107" spans="1:9" ht="20.100000000000001" customHeight="1" x14ac:dyDescent="0.3">
      <c r="A107" s="21"/>
    </row>
    <row r="108" spans="1:9" ht="20.100000000000001" customHeight="1" x14ac:dyDescent="0.3">
      <c r="A108" s="21"/>
    </row>
    <row r="109" spans="1:9" s="24" customFormat="1" ht="20.100000000000001" customHeight="1" x14ac:dyDescent="0.3">
      <c r="A109" s="22"/>
      <c r="B109" s="23"/>
      <c r="C109" s="23"/>
      <c r="D109" s="23"/>
      <c r="E109" s="23"/>
      <c r="F109" s="23"/>
      <c r="G109" s="23"/>
      <c r="H109" s="23"/>
      <c r="I109" s="2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8" t="s">
        <v>89</v>
      </c>
    </row>
    <row r="200" spans="1:1" ht="20.100000000000001" customHeight="1" x14ac:dyDescent="0.3">
      <c r="A200" s="28" t="s">
        <v>90</v>
      </c>
    </row>
    <row r="201" spans="1:1" ht="20.100000000000001" customHeight="1" x14ac:dyDescent="0.3">
      <c r="A201" s="28" t="s">
        <v>91</v>
      </c>
    </row>
    <row r="202" spans="1:1" ht="20.100000000000001" customHeight="1" x14ac:dyDescent="0.3">
      <c r="A202" s="28" t="s">
        <v>92</v>
      </c>
    </row>
    <row r="203" spans="1:1" ht="20.100000000000001" customHeight="1" x14ac:dyDescent="0.3">
      <c r="A203" s="28" t="s">
        <v>93</v>
      </c>
    </row>
    <row r="204" spans="1:1" ht="20.100000000000001" customHeight="1" x14ac:dyDescent="0.3">
      <c r="A204" s="28" t="s">
        <v>94</v>
      </c>
    </row>
    <row r="205" spans="1:1" ht="20.100000000000001" customHeight="1" x14ac:dyDescent="0.3">
      <c r="A205" s="28" t="s">
        <v>95</v>
      </c>
    </row>
    <row r="206" spans="1:1" ht="20.100000000000001" customHeight="1" x14ac:dyDescent="0.3">
      <c r="A206" s="28" t="s">
        <v>96</v>
      </c>
    </row>
    <row r="207" spans="1:1" ht="20.100000000000001" customHeight="1" x14ac:dyDescent="0.3">
      <c r="A207" s="28" t="s">
        <v>97</v>
      </c>
    </row>
    <row r="208" spans="1:1" ht="20.100000000000001" customHeight="1" x14ac:dyDescent="0.3">
      <c r="A208" s="29" t="s">
        <v>98</v>
      </c>
    </row>
    <row r="209" spans="1:1" ht="20.100000000000001" customHeight="1" x14ac:dyDescent="0.3">
      <c r="A209" s="29" t="s">
        <v>99</v>
      </c>
    </row>
    <row r="210" spans="1:1" ht="20.100000000000001" customHeight="1" x14ac:dyDescent="0.3">
      <c r="A210" s="28" t="s">
        <v>100</v>
      </c>
    </row>
    <row r="211" spans="1:1" ht="20.100000000000001" customHeight="1" x14ac:dyDescent="0.3">
      <c r="A211" s="28" t="s">
        <v>101</v>
      </c>
    </row>
    <row r="212" spans="1:1" ht="20.100000000000001" customHeight="1" x14ac:dyDescent="0.3">
      <c r="A212" s="28" t="s">
        <v>175</v>
      </c>
    </row>
    <row r="213" spans="1:1" ht="20.100000000000001" customHeight="1" x14ac:dyDescent="0.3">
      <c r="A213" s="28" t="s">
        <v>102</v>
      </c>
    </row>
    <row r="214" spans="1:1" ht="20.100000000000001" customHeight="1" x14ac:dyDescent="0.3">
      <c r="A214" s="28" t="s">
        <v>103</v>
      </c>
    </row>
    <row r="215" spans="1:1" ht="20.100000000000001" customHeight="1" x14ac:dyDescent="0.3">
      <c r="A215" s="28" t="s">
        <v>104</v>
      </c>
    </row>
    <row r="216" spans="1:1" ht="20.100000000000001" customHeight="1" x14ac:dyDescent="0.3">
      <c r="A216" s="28" t="s">
        <v>105</v>
      </c>
    </row>
    <row r="217" spans="1:1" ht="20.100000000000001" customHeight="1" x14ac:dyDescent="0.3">
      <c r="A217" s="28" t="s">
        <v>106</v>
      </c>
    </row>
    <row r="218" spans="1:1" ht="20.100000000000001" customHeight="1" x14ac:dyDescent="0.3">
      <c r="A218" s="28" t="s">
        <v>107</v>
      </c>
    </row>
    <row r="219" spans="1:1" ht="20.100000000000001" customHeight="1" x14ac:dyDescent="0.3">
      <c r="A219" s="28" t="s">
        <v>108</v>
      </c>
    </row>
    <row r="220" spans="1:1" ht="20.100000000000001" customHeight="1" x14ac:dyDescent="0.3">
      <c r="A220" s="28" t="s">
        <v>109</v>
      </c>
    </row>
    <row r="221" spans="1:1" ht="20.100000000000001" customHeight="1" x14ac:dyDescent="0.3">
      <c r="A221" s="28" t="s">
        <v>110</v>
      </c>
    </row>
    <row r="222" spans="1:1" ht="20.100000000000001" customHeight="1" x14ac:dyDescent="0.3">
      <c r="A222" s="28" t="s">
        <v>111</v>
      </c>
    </row>
    <row r="223" spans="1:1" ht="20.100000000000001" customHeight="1" x14ac:dyDescent="0.3">
      <c r="A223" s="28" t="s">
        <v>112</v>
      </c>
    </row>
    <row r="224" spans="1:1" ht="20.100000000000001" customHeight="1" x14ac:dyDescent="0.3">
      <c r="A224" s="28" t="s">
        <v>176</v>
      </c>
    </row>
    <row r="225" spans="1:1" ht="20.100000000000001" customHeight="1" x14ac:dyDescent="0.3">
      <c r="A225" s="28" t="s">
        <v>113</v>
      </c>
    </row>
    <row r="226" spans="1:1" ht="20.100000000000001" customHeight="1" x14ac:dyDescent="0.3">
      <c r="A226" s="28" t="s">
        <v>114</v>
      </c>
    </row>
    <row r="227" spans="1:1" ht="20.100000000000001" customHeight="1" x14ac:dyDescent="0.3">
      <c r="A227" s="28" t="s">
        <v>115</v>
      </c>
    </row>
    <row r="228" spans="1:1" ht="20.100000000000001" customHeight="1" x14ac:dyDescent="0.3">
      <c r="A228" s="28" t="s">
        <v>116</v>
      </c>
    </row>
    <row r="229" spans="1:1" ht="20.100000000000001" customHeight="1" x14ac:dyDescent="0.3">
      <c r="A229" s="28" t="s">
        <v>117</v>
      </c>
    </row>
    <row r="230" spans="1:1" ht="20.100000000000001" customHeight="1" x14ac:dyDescent="0.3">
      <c r="A230" s="28" t="s">
        <v>118</v>
      </c>
    </row>
    <row r="231" spans="1:1" ht="20.100000000000001" customHeight="1" x14ac:dyDescent="0.3">
      <c r="A231" s="28" t="s">
        <v>119</v>
      </c>
    </row>
    <row r="232" spans="1:1" ht="20.100000000000001" customHeight="1" x14ac:dyDescent="0.3">
      <c r="A232" s="28" t="s">
        <v>120</v>
      </c>
    </row>
    <row r="233" spans="1:1" ht="20.100000000000001" customHeight="1" x14ac:dyDescent="0.3">
      <c r="A233" s="28" t="s">
        <v>121</v>
      </c>
    </row>
    <row r="234" spans="1:1" ht="20.100000000000001" customHeight="1" x14ac:dyDescent="0.3">
      <c r="A234" s="28" t="s">
        <v>122</v>
      </c>
    </row>
    <row r="235" spans="1:1" ht="20.100000000000001" customHeight="1" x14ac:dyDescent="0.3">
      <c r="A235" s="28" t="s">
        <v>123</v>
      </c>
    </row>
    <row r="236" spans="1:1" ht="20.100000000000001" customHeight="1" x14ac:dyDescent="0.3">
      <c r="A236" s="30" t="s">
        <v>124</v>
      </c>
    </row>
    <row r="237" spans="1:1" ht="20.100000000000001" customHeight="1" x14ac:dyDescent="0.3">
      <c r="A237" s="28" t="s">
        <v>125</v>
      </c>
    </row>
    <row r="238" spans="1:1" ht="20.100000000000001" customHeight="1" x14ac:dyDescent="0.3">
      <c r="A238" s="28" t="s">
        <v>126</v>
      </c>
    </row>
    <row r="239" spans="1:1" ht="20.100000000000001" customHeight="1" x14ac:dyDescent="0.3">
      <c r="A239" s="28" t="s">
        <v>127</v>
      </c>
    </row>
    <row r="240" spans="1:1" ht="20.100000000000001" customHeight="1" x14ac:dyDescent="0.3">
      <c r="A240" s="28" t="s">
        <v>128</v>
      </c>
    </row>
    <row r="241" spans="1:1" ht="20.100000000000001" customHeight="1" x14ac:dyDescent="0.3">
      <c r="A241" s="28" t="s">
        <v>129</v>
      </c>
    </row>
    <row r="242" spans="1:1" ht="20.100000000000001" customHeight="1" x14ac:dyDescent="0.3">
      <c r="A242" s="28" t="s">
        <v>130</v>
      </c>
    </row>
    <row r="243" spans="1:1" ht="20.100000000000001" customHeight="1" x14ac:dyDescent="0.3">
      <c r="A243" s="28" t="s">
        <v>131</v>
      </c>
    </row>
    <row r="244" spans="1:1" ht="20.100000000000001" customHeight="1" x14ac:dyDescent="0.3">
      <c r="A244" s="28" t="s">
        <v>132</v>
      </c>
    </row>
    <row r="245" spans="1:1" ht="20.100000000000001" customHeight="1" x14ac:dyDescent="0.3">
      <c r="A245" s="28" t="s">
        <v>133</v>
      </c>
    </row>
    <row r="246" spans="1:1" ht="20.100000000000001" customHeight="1" x14ac:dyDescent="0.3">
      <c r="A246" s="28" t="s">
        <v>134</v>
      </c>
    </row>
    <row r="247" spans="1:1" ht="20.100000000000001" customHeight="1" x14ac:dyDescent="0.3">
      <c r="A247" s="28" t="s">
        <v>135</v>
      </c>
    </row>
    <row r="248" spans="1:1" ht="20.100000000000001" customHeight="1" x14ac:dyDescent="0.3">
      <c r="A248" s="28" t="s">
        <v>126</v>
      </c>
    </row>
    <row r="249" spans="1:1" ht="20.100000000000001" customHeight="1" x14ac:dyDescent="0.3">
      <c r="A249" s="28" t="s">
        <v>136</v>
      </c>
    </row>
    <row r="250" spans="1:1" ht="20.100000000000001" customHeight="1" x14ac:dyDescent="0.3">
      <c r="A250" s="28" t="s">
        <v>137</v>
      </c>
    </row>
    <row r="251" spans="1:1" ht="20.100000000000001" customHeight="1" x14ac:dyDescent="0.3">
      <c r="A251" s="30" t="s">
        <v>138</v>
      </c>
    </row>
    <row r="252" spans="1:1" ht="20.100000000000001" customHeight="1" x14ac:dyDescent="0.3">
      <c r="A252" s="31" t="s">
        <v>139</v>
      </c>
    </row>
    <row r="253" spans="1:1" ht="20.100000000000001" customHeight="1" x14ac:dyDescent="0.3">
      <c r="A253" s="28" t="s">
        <v>140</v>
      </c>
    </row>
    <row r="254" spans="1:1" ht="20.100000000000001" customHeight="1" x14ac:dyDescent="0.3">
      <c r="A254" s="28" t="s">
        <v>141</v>
      </c>
    </row>
    <row r="255" spans="1:1" ht="20.100000000000001" customHeight="1" x14ac:dyDescent="0.3">
      <c r="A255" s="32" t="s">
        <v>142</v>
      </c>
    </row>
    <row r="256" spans="1:1" ht="20.100000000000001" customHeight="1" x14ac:dyDescent="0.3">
      <c r="A256" s="32" t="s">
        <v>143</v>
      </c>
    </row>
    <row r="257" spans="1:1" ht="20.100000000000001" customHeight="1" x14ac:dyDescent="0.3">
      <c r="A257" s="33" t="s">
        <v>144</v>
      </c>
    </row>
    <row r="258" spans="1:1" ht="20.100000000000001" customHeight="1" x14ac:dyDescent="0.3">
      <c r="A258" s="28" t="s">
        <v>145</v>
      </c>
    </row>
    <row r="259" spans="1:1" ht="20.100000000000001" customHeight="1" x14ac:dyDescent="0.3">
      <c r="A259" s="33" t="s">
        <v>146</v>
      </c>
    </row>
    <row r="260" spans="1:1" ht="20.100000000000001" customHeight="1" x14ac:dyDescent="0.3">
      <c r="A260" s="28" t="s">
        <v>147</v>
      </c>
    </row>
    <row r="261" spans="1:1" ht="20.100000000000001" customHeight="1" x14ac:dyDescent="0.3">
      <c r="A261" s="33" t="s">
        <v>148</v>
      </c>
    </row>
    <row r="262" spans="1:1" ht="20.100000000000001" customHeight="1" x14ac:dyDescent="0.3">
      <c r="A262" s="28" t="s">
        <v>149</v>
      </c>
    </row>
    <row r="263" spans="1:1" ht="20.100000000000001" customHeight="1" x14ac:dyDescent="0.3">
      <c r="A263" s="28" t="s">
        <v>150</v>
      </c>
    </row>
    <row r="264" spans="1:1" ht="20.100000000000001" customHeight="1" x14ac:dyDescent="0.3">
      <c r="A264" s="33" t="s">
        <v>151</v>
      </c>
    </row>
    <row r="265" spans="1:1" ht="20.100000000000001" customHeight="1" x14ac:dyDescent="0.3">
      <c r="A265" s="33" t="s">
        <v>152</v>
      </c>
    </row>
    <row r="266" spans="1:1" ht="20.100000000000001" customHeight="1" x14ac:dyDescent="0.3">
      <c r="A266" s="33" t="s">
        <v>153</v>
      </c>
    </row>
    <row r="267" spans="1:1" ht="20.100000000000001" customHeight="1" x14ac:dyDescent="0.3">
      <c r="A267" s="28" t="s">
        <v>154</v>
      </c>
    </row>
    <row r="268" spans="1:1" ht="20.100000000000001" customHeight="1" x14ac:dyDescent="0.3">
      <c r="A268" s="28" t="s">
        <v>155</v>
      </c>
    </row>
    <row r="269" spans="1:1" ht="20.100000000000001" customHeight="1" x14ac:dyDescent="0.3">
      <c r="A269" s="28" t="s">
        <v>156</v>
      </c>
    </row>
    <row r="270" spans="1:1" ht="20.100000000000001" customHeight="1" x14ac:dyDescent="0.3">
      <c r="A270" s="28" t="s">
        <v>157</v>
      </c>
    </row>
    <row r="271" spans="1:1" ht="20.100000000000001" customHeight="1" x14ac:dyDescent="0.3">
      <c r="A271" s="33" t="s">
        <v>158</v>
      </c>
    </row>
    <row r="272" spans="1:1" ht="20.100000000000001" customHeight="1" x14ac:dyDescent="0.3">
      <c r="A272" s="33" t="s">
        <v>159</v>
      </c>
    </row>
    <row r="273" spans="1:1" ht="20.100000000000001" customHeight="1" x14ac:dyDescent="0.3">
      <c r="A273" s="28" t="s">
        <v>160</v>
      </c>
    </row>
    <row r="274" spans="1:1" ht="20.100000000000001" customHeight="1" x14ac:dyDescent="0.3">
      <c r="A274" s="33" t="s">
        <v>161</v>
      </c>
    </row>
    <row r="275" spans="1:1" ht="20.100000000000001" customHeight="1" x14ac:dyDescent="0.3">
      <c r="A275" s="33" t="s">
        <v>162</v>
      </c>
    </row>
    <row r="276" spans="1:1" ht="20.100000000000001" customHeight="1" x14ac:dyDescent="0.3">
      <c r="A276" s="28" t="s">
        <v>163</v>
      </c>
    </row>
    <row r="277" spans="1:1" ht="20.100000000000001" customHeight="1" x14ac:dyDescent="0.3">
      <c r="A277" s="28" t="s">
        <v>164</v>
      </c>
    </row>
    <row r="278" spans="1:1" ht="20.100000000000001" customHeight="1" x14ac:dyDescent="0.3">
      <c r="A278" s="33" t="s">
        <v>165</v>
      </c>
    </row>
    <row r="279" spans="1:1" ht="20.100000000000001" customHeight="1" x14ac:dyDescent="0.3">
      <c r="A279" s="28" t="s">
        <v>166</v>
      </c>
    </row>
    <row r="280" spans="1:1" ht="20.100000000000001" customHeight="1" x14ac:dyDescent="0.3">
      <c r="A280" s="28" t="s">
        <v>167</v>
      </c>
    </row>
    <row r="281" spans="1:1" ht="20.100000000000001" customHeight="1" x14ac:dyDescent="0.3">
      <c r="A281" s="28" t="s">
        <v>168</v>
      </c>
    </row>
    <row r="282" spans="1:1" ht="20.100000000000001" customHeight="1" x14ac:dyDescent="0.3">
      <c r="A282" s="28" t="s">
        <v>169</v>
      </c>
    </row>
    <row r="283" spans="1:1" ht="20.100000000000001" customHeight="1" x14ac:dyDescent="0.3">
      <c r="A283" s="33" t="s">
        <v>170</v>
      </c>
    </row>
    <row r="284" spans="1:1" ht="20.100000000000001" customHeight="1" x14ac:dyDescent="0.3">
      <c r="A284" s="33" t="s">
        <v>171</v>
      </c>
    </row>
    <row r="285" spans="1:1" ht="20.100000000000001" customHeight="1" x14ac:dyDescent="0.3">
      <c r="A285" s="33" t="s">
        <v>172</v>
      </c>
    </row>
    <row r="286" spans="1:1" ht="20.100000000000001" customHeight="1" thickBot="1" x14ac:dyDescent="0.35">
      <c r="A286" s="2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2025-10-24T19:35:31Z</dcterms:modified>
</cp:coreProperties>
</file>