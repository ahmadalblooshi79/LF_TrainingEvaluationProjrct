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3E19F71-BC0E-2343-8D4D-C2788DDCAAB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F52" i="2"/>
  <c r="E52" i="2"/>
  <c r="E53" i="2"/>
  <c r="E54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<sst xmlns="http://schemas.openxmlformats.org/spreadsheetml/2006/main" count="281" uniqueCount="225">
  <si>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</si>
  <si>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</si>
  <si>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</si>
  <si>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</si>
  <si>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</si>
  <si>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</si>
  <si>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</si>
  <si>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</si>
  <si>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</si>
  <si>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</si>
  <si>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</si>
  <si>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</si>
  <si>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</si>
  <si>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</si>
  <si>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</si>
  <si>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</si>
  <si>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</si>
  <si>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</si>
  <si>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</si>
  <si>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</si>
  <si>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</si>
  <si>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</si>
  <si>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</si>
  <si>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</si>
  <si>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</si>
  <si>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</si>
  <si>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</si>
  <si>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</si>
  <si>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</si>
  <si>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</si>
  <si>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</si>
  <si>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</si>
  <si>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</si>
  <si>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</si>
  <si>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</si>
  <si>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</si>
  <si>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</si>
  <si>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</si>
  <si>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</si>
  <si>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</si>
  <si>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</si>
  <si>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</si>
  <si>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</si>
  <si>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</si>
  <si>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</si>
  <si>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</si>
  <si>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</si>
  <si>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</si>
  <si>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</si>
  <si>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</si>
  <si>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</si>
  <si>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</si>
  <si>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</si>
  <si>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</si>
  <si>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</si>
  <si>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</si>
  <si>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</si>
  <si>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</si>
  <si>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</si>
  <si>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</si>
  <si>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</si>
  <si>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</si>
  <si>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</si>
  <si>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</si>
  <si>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</si>
  <si>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</si>
  <si>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</si>
  <si>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</si>
  <si>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</si>
  <si>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</si>
  <si>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</si>
  <si>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</si>
  <si>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</si>
  <si>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</si>
  <si>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</si>
  <si>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</si>
  <si>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</si>
  <si>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</si>
  <si>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</si>
  <si>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</si>
  <si>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</si>
  <si>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</si>
  <si>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</si>
  <si>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</si>
  <si>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</si>
  <si>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</si>
  <si>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</si>
  <si>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</si>
  <si>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</si>
  <si>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</si>
  <si>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</si>
  <si>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</si>
  <si>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</si>
  <si>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</si>
  <si>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</si>
  <si>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</si>
  <si>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</si>
  <si>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</si>
  <si>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</si>
  <si>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</si>
  <si>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</si>
  <si>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</si>
  <si>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</si>
  <si>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</si>
  <si>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</si>
  <si>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</si>
  <si>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</si>
  <si>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</si>
  <si>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</si>
  <si>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</si>
  <si>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</si>
  <si>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</si>
  <si>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</si>
  <si>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</si>
  <si>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</si>
  <si>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</si>
  <si>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</si>
  <si>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</si>
  <si>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</si>
  <si>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</si>
  <si>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</si>
  <si>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</si>
  <si>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</si>
  <si>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</si>
  <si>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</si>
  <si>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</si>
  <si>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</si>
  <si>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</si>
  <si>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</si>
  <si>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</si>
  <si>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</si>
  <si>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</si>
  <si>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</si>
  <si>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</si>
  <si>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</si>
  <si>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</si>
  <si>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</si>
  <si>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</si>
  <si>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</si>
  <si>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</si>
  <si>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</si>
  <si>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</si>
  <si>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</si>
  <si>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</si>
  <si>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</si>
  <si>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</si>
  <si>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</si>
  <si>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</si>
  <si>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</si>
  <si>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</si>
  <si>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</si>
  <si>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</si>
  <si>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</si>
  <si>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</si>
  <si>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</si>
  <si>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</si>
  <si>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</si>
  <si>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</si>
  <si>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</si>
  <si>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</si>
  <si>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</si>
  <si>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</si>
  <si>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</si>
  <si>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</si>
  <si>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</si>
  <si>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</si>
  <si>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</si>
  <si>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</si>
  <si>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</si>
  <si>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</si>
  <si>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</si>
  <si>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</si>
  <si>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</si>
  <si>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</si>
  <si>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</si>
  <si>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</si>
  <si>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</si>
  <si>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</si>
  <si>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</si>
  <si>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</si>
  <si>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التحضيرات وخطط التحميل القتالية لسرية الهاون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</si>
  <si>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التجهيزات.</t>
    </r>
  </si>
  <si>
    <t>أ. تجهيز الآليات.</t>
  </si>
  <si>
    <t>ب. تجهيز أنظمة الآليات.</t>
  </si>
  <si>
    <t>جـ. تجهيز أجهزة الاتصال.</t>
  </si>
  <si>
    <t>د. تجهيز الأسلحة.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</si>
  <si>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متفرقة.</t>
    </r>
  </si>
  <si>
    <t>أ. تفقد المناظير.</t>
  </si>
  <si>
    <t>ب. تفقد شبكة التمويه والتخفية وأنظمة الإسناد.</t>
  </si>
  <si>
    <t>جـ. تفقد أجهزة الرؤية الليلية.</t>
  </si>
  <si>
    <t>د. التأكد من وجود البطاريات وصلاحيتها.</t>
  </si>
  <si>
    <t>هـ. توفر معدات التخييم.</t>
  </si>
  <si>
    <t>و. توفر أنظمة تحديد المواقع العالمية والأنظمة الرقمية الأخرى.</t>
  </si>
  <si>
    <t>ز. توفر قوائم التحميل.</t>
  </si>
  <si>
    <t>ح. توفر خرائط الطرق (مع الشفافات).</t>
  </si>
  <si>
    <t>ط. توفر جميع المعدات في الآلية.</t>
  </si>
  <si>
    <t>ي. توفر السجلات وتحديثها.</t>
  </si>
  <si>
    <t>ك. جميع السائقين مرخص لهم بالقيادة.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</si>
  <si>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الاتصالات.</t>
    </r>
  </si>
  <si>
    <t>أ. استكمال جميع المتطلبات من الأجهزة اللاسلكية وصلاحيتها للعمل.</t>
  </si>
  <si>
    <t>ب. معدات الاتصالات الطبية متوفرة وصالحة.</t>
  </si>
  <si>
    <t>جـ. صلاحية معدات الاتصالات وعلى الترددات الصحيحة.</t>
  </si>
  <si>
    <t>د. تثبيت الهوائيات بطريقة صحيحة.</t>
  </si>
  <si>
    <t>هـ. نظافة وصلاحية الموصلات.</t>
  </si>
  <si>
    <t>و. توفر الهواتف الميدانية وصلاحيتها.</t>
  </si>
  <si>
    <t>ز. توفر البطاريات وصلاحيتها.</t>
  </si>
  <si>
    <t>ح. توفر مجموعات الأجهزة اللاسلكية كاملة.</t>
  </si>
  <si>
    <t>ط. توفر لوحات المفاتيح وصلاحيتها.</t>
  </si>
  <si>
    <t>ي. توفر أسلاك الاتصالات وصلاحيتها.</t>
  </si>
  <si>
    <t>ك. تجهيز تعليمات تشغيل الإشارة وحمايتها.</t>
  </si>
  <si>
    <t>ل. إطلاع السرية على النداءات والترددات وكلمات التحدي.</t>
  </si>
  <si>
    <t>م. اختبار الاتصالات.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</si>
  <si>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الآليـــــات.</t>
    </r>
  </si>
  <si>
    <t>أ. تحميل الآليات حسب خطة التحميل وتثبيت نسخة من الخطة في الآلية.</t>
  </si>
  <si>
    <t>ب. تخزين المواد الخطرة حسب تعليمات السلامة ووضعها في مؤخرة الآلية لسهولة الوصول والتفتيش.</t>
  </si>
  <si>
    <t>جـ. الذخيرة مصروفة ومخزنة بشكل صحيح.</t>
  </si>
  <si>
    <t>د. تعبئة خزانات الوقود.</t>
  </si>
  <si>
    <t>هـ. مطرات المياه معبأة.</t>
  </si>
  <si>
    <t>و. صرف الوجبات.</t>
  </si>
  <si>
    <t>ز. توفر صناديق الإسعافات الأولية وصلاحيتها.</t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</si>
  <si>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الأسلحة الفردية.</t>
    </r>
  </si>
  <si>
    <t>أ. نظافة وصلاحية الأسلحة وتوفر أدوات وعدة التنظيف.</t>
  </si>
  <si>
    <t>جـ. توفر بطاقات المدى.</t>
  </si>
  <si>
    <t>هـ. صرف المخازن والذخائر وحمايتها.</t>
  </si>
  <si>
    <t>و. تركيب حاصرة الغاز.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</si>
</sst>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  <xf numFmtId="0" fontId="12" fillId="0" borderId="23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2" fillId="0" borderId="5" xfId="0" applyFont="1" applyBorder="1" applyAlignment="1">
      <alignment horizontal="right" vertical="center" wrapText="1" indent="1" readingOrder="2"/>
    </xf>
    <xf numFmtId="0" fontId="2" fillId="0" borderId="4" xfId="0" applyFont="1" applyBorder="1" applyAlignment="1">
      <alignment horizontal="right" vertical="center" wrapText="1" indent="1" readingOrder="2"/>
    </xf>
    <xf numFmtId="0" fontId="12" fillId="0" borderId="24" xfId="0" applyFont="1" applyBorder="1" applyAlignment="1">
      <alignment horizontal="right" vertical="center" wrapText="1" indent="2"/>
    </xf>
    <xf numFmtId="0" fontId="12" fillId="0" borderId="14" xfId="0" applyFont="1" applyBorder="1" applyAlignment="1">
      <alignment horizontal="right" vertical="center" wrapText="1" indent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617145</xdr:colOff>
      <xdr:row>54</xdr:row>
      <xdr:rowOff>445400</xdr:rowOff>
    </xdr:from>
    <xdr:to>
      <xdr:col>8</xdr:col>
      <xdr:colOff>427764</xdr:colOff>
      <xdr:row>56</xdr:row>
      <xdr:rowOff>44643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09651BD-36DF-4BB0-3CDB-C5ED454FD718}"/>
                </a:ext>
              </a:extLst>
            </xdr14:cNvPr>
            <xdr14:cNvContentPartPr/>
          </xdr14:nvContentPartPr>
          <xdr14:nvPr macro=""/>
          <xdr14:xfrm>
            <a:off x="10398817145" y="21146400"/>
            <a:ext cx="1126800" cy="776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09651BD-36DF-4BB0-3CDB-C5ED454FD7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11025" y="21140280"/>
              <a:ext cx="1139040" cy="78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195945</xdr:colOff>
      <xdr:row>55</xdr:row>
      <xdr:rowOff>509028</xdr:rowOff>
    </xdr:from>
    <xdr:to>
      <xdr:col>6</xdr:col>
      <xdr:colOff>202425</xdr:colOff>
      <xdr:row>55</xdr:row>
      <xdr:rowOff>515148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D9415DE-8630-4E83-E7FA-EEB873FC0BA3}"/>
                </a:ext>
              </a:extLst>
            </xdr14:cNvPr>
            <xdr14:cNvContentPartPr/>
          </xdr14:nvContentPartPr>
          <xdr14:nvPr macro=""/>
          <xdr14:xfrm>
            <a:off x="10400358665" y="21741120"/>
            <a:ext cx="6480" cy="61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D9415DE-8630-4E83-E7FA-EEB873FC0BA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352545" y="21735000"/>
              <a:ext cx="18720" cy="1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4:15:12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2182 1861,'0'0,"0"0,0 0,0 0,0 0,0 0,0 0,0 0,0 0,0 0,0 0,0 0,0 0,0 0,0 0,-16 0,16 0,0 0,-32-16,16 16,13 0,-11 0,-18-16,28 13,-40 6,13-3,24 0,-34 0,7 0,29 0,-38-16,12 16,26 0,-38 0,-5 0,40 0,-16 0,-9 0,28 0,-22 16,11-16,16 0,-32 0,16 0,16 0,-15 0,-2 0,15 0,-13 0,1 0,-3 0,15 0,-13 16,-16-16,26 0,-21 16,-8-16,29 0,-38 16,-5 0,41-14,-17 12,-41 18,55-27,-43 6,-12 21,56-27,-61 6,5 21,55-27,-45 6,-8 5,54-13,-30 10,-9 3,39-13,-30 10,5 3,30-13,-6 10,0-5,51-16,7 8,-40 0,81-32,24-16,-97 40,126-32,20-24,-136 53,123-58,44-27,-157 79,120-63,53-16,-173 80,104-80,38-16,-152 93,107-42,-20-20,-94 68,58-22,2-13,-64 40,35-16,-19 8,-23 13,18-10,-11 5,-47 16,15-8,-14 0,26 0,-69 32,-39 16,96-40,-94 48,-50 8,135-53,-124 59,-27 26,148-80,-135 48,-12 16,148-67,-105 22,23 13,90-40,-57 33,-4-9,69-27,-24 6,-13 5,42-14,-17 12,7-6,51-16,-20-8,-11 13,28 6,0-19,-23 13,81-42,24-4,-94 41,89-32,36-24,-119 53,64-26,21-11,-91 40,107-48,-30 24,-77 26,43-20,-13-6,-42 26,17 12,-7-22,-15 13,10 6,5-3,-15 0,-21 0,19 0,-31 16,-17 16,41-27,-82 22,-24 21,96-40,-63 32,-30 8,88-40,-118 64,-4-8,120-53,-48 26,-7-4,64-28,-19 22,-14-11,39-14,-15 12,9-6,63-16,0-8,-40 13,95-42,41-20,-120 55,65-44,-9 22,-66 27,229-134,63-21,-258 134,79-61,18-9,-121 80,79-64,10 0,-94 66,42-52,20-15,-66 67,18-36,16-14,-42 53,0-42,10 5,-15 40,-4-48,-29 8,23 40,-18-49,-54-7,66 53,-99-58,-48 5,132 53,-118-42,-79 21,190 26,-152-4,-69 10,214 0,-154 48,-27 16,185-53,-163 42,-38 43,199-80,-127 65,-25 47,164-108,-101 72,0 20,109-93,-37 75,-7 2,56-81,-13 50,22 15,0-67,31 38,3 29,-29-66,52 53,88 13,-121-66,113 36,72 14,-175-53,156 10,67 11,-214-26,169-12,14-26,-187 27,146-6,24-37,-175 40,108-16,2-8,-122 27,84-6,-10-21,-79 26,48-20,-17 10,-41 13,48-10,-7-19,-38 27,14-7,7-4,-24 14,18-28,-9 14,-13 14,11-12,1-2,-13 13,-4 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4:15:13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16,'0'0,"0"0,0 0,0 0,0 0,17-16,-17 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6"/>
  <sheetViews>
    <sheetView rightToLeft="1" tabSelected="1" view="pageBreakPreview" topLeftCell="C48" zoomScale="130" zoomScaleNormal="100" zoomScaleSheetLayoutView="130" workbookViewId="0">
      <selection activeCell="G56" sqref="G56:J5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4" t="s">
        <v>180</v>
      </c>
      <c r="C1" s="74"/>
      <c r="D1" s="74"/>
      <c r="E1" s="74"/>
      <c r="F1" s="74"/>
      <c r="G1" s="74"/>
      <c r="H1" s="74"/>
      <c r="I1" s="74"/>
      <c r="J1" s="74"/>
    </row>
    <row r="2" spans="1:10" ht="30" customHeight="1" x14ac:dyDescent="0.2">
      <c r="B2" s="11" t="s">
        <v>8</v>
      </c>
      <c r="C2" s="80" t="s">
        <v>11</v>
      </c>
      <c r="D2" s="80"/>
      <c r="E2" s="11" t="s">
        <v>7</v>
      </c>
      <c r="F2" s="75">
        <v>45931</v>
      </c>
      <c r="G2" s="75"/>
      <c r="H2" s="75"/>
      <c r="I2" s="75"/>
      <c r="J2" s="75"/>
    </row>
    <row r="3" spans="1:10" ht="30" customHeight="1" x14ac:dyDescent="0.2">
      <c r="B3" s="11" t="s">
        <v>9</v>
      </c>
      <c r="C3" s="80" t="s">
        <v>69</v>
      </c>
      <c r="D3" s="80"/>
      <c r="E3" s="11" t="s">
        <v>6</v>
      </c>
      <c r="F3" s="80" t="s">
        <v>134</v>
      </c>
      <c r="G3" s="80"/>
      <c r="H3" s="80"/>
      <c r="I3" s="80"/>
      <c r="J3" s="8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76" t="s">
        <v>0</v>
      </c>
      <c r="C5" s="77"/>
      <c r="D5" s="77"/>
      <c r="E5" s="85" t="s">
        <v>1</v>
      </c>
      <c r="F5" s="85"/>
      <c r="G5" s="85"/>
      <c r="H5" s="85"/>
      <c r="I5" s="85" t="s">
        <v>2</v>
      </c>
      <c r="J5" s="86"/>
    </row>
    <row r="6" spans="1:10" ht="24.95" customHeight="1" thickBot="1" x14ac:dyDescent="0.25">
      <c r="A6" s="9"/>
      <c r="B6" s="78"/>
      <c r="C6" s="79"/>
      <c r="D6" s="79"/>
      <c r="E6" s="10" t="s">
        <v>3</v>
      </c>
      <c r="F6" s="10" t="s">
        <v>4</v>
      </c>
      <c r="G6" s="10" t="s">
        <v>23</v>
      </c>
      <c r="H6" s="10" t="s">
        <v>24</v>
      </c>
      <c r="I6" s="87"/>
      <c r="J6" s="88"/>
    </row>
    <row r="7" spans="1:10" ht="24.95" customHeight="1" thickBot="1" x14ac:dyDescent="0.25">
      <c r="A7" s="9"/>
      <c r="B7" s="83" t="s">
        <v>21</v>
      </c>
      <c r="C7" s="84"/>
      <c r="D7" s="84"/>
      <c r="E7" s="27" t="s">
        <v>18</v>
      </c>
      <c r="F7" s="27" t="s">
        <v>19</v>
      </c>
      <c r="G7" s="27" t="s">
        <v>22</v>
      </c>
      <c r="H7" s="27" t="s">
        <v>20</v>
      </c>
      <c r="I7" s="89" t="s">
        <v>25</v>
      </c>
      <c r="J7" s="90"/>
    </row>
    <row r="8" spans="1:10" ht="30" customHeight="1" x14ac:dyDescent="0.2">
      <c r="A8" s="9"/>
      <c r="B8" s="47" t="s">
        <v>181</v>
      </c>
      <c r="C8" s="48"/>
      <c r="D8" s="48"/>
      <c r="E8" s="32"/>
      <c r="F8" s="33"/>
      <c r="G8" s="34"/>
      <c r="H8" s="35"/>
      <c r="I8" s="53"/>
      <c r="J8" s="54"/>
    </row>
    <row r="9" spans="1:10" ht="30" customHeight="1" x14ac:dyDescent="0.2">
      <c r="A9" s="9"/>
      <c r="B9" s="45" t="s">
        <v>182</v>
      </c>
      <c r="C9" s="46"/>
      <c r="D9" s="46"/>
      <c r="E9" s="29">
        <v>5</v>
      </c>
      <c r="F9" s="25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1"/>
      <c r="J9" s="52"/>
    </row>
    <row r="10" spans="1:10" ht="30" customHeight="1" x14ac:dyDescent="0.2">
      <c r="A10" s="9"/>
      <c r="B10" s="45" t="s">
        <v>183</v>
      </c>
      <c r="C10" s="46"/>
      <c r="D10" s="46"/>
      <c r="E10" s="29">
        <v>5</v>
      </c>
      <c r="F10" s="25">
        <v>3.5</v>
      </c>
      <c r="G10" s="30">
        <f t="shared" ref="G10:G51" si="0">IFERROR(F10/E10,"")</f>
        <v>0.7</v>
      </c>
      <c r="H10" s="31" t="str">
        <f t="shared" ref="H10:H51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0" customHeight="1" x14ac:dyDescent="0.2">
      <c r="A11" s="9"/>
      <c r="B11" s="45" t="s">
        <v>184</v>
      </c>
      <c r="C11" s="46"/>
      <c r="D11" s="46"/>
      <c r="E11" s="29">
        <v>5</v>
      </c>
      <c r="F11" s="25">
        <v>3.5</v>
      </c>
      <c r="G11" s="30">
        <f t="shared" si="0"/>
        <v>0.7</v>
      </c>
      <c r="H11" s="31" t="str">
        <f t="shared" si="1"/>
        <v>جيد</v>
      </c>
      <c r="I11" s="51"/>
      <c r="J11" s="52"/>
    </row>
    <row r="12" spans="1:10" ht="30" customHeight="1" thickBot="1" x14ac:dyDescent="0.25">
      <c r="A12" s="9"/>
      <c r="B12" s="43" t="s">
        <v>185</v>
      </c>
      <c r="C12" s="44"/>
      <c r="D12" s="44"/>
      <c r="E12" s="36">
        <v>5</v>
      </c>
      <c r="F12" s="26">
        <v>3.75</v>
      </c>
      <c r="G12" s="37">
        <f t="shared" si="0"/>
        <v>0.75</v>
      </c>
      <c r="H12" s="38" t="str">
        <f t="shared" si="1"/>
        <v>جيد</v>
      </c>
      <c r="I12" s="59"/>
      <c r="J12" s="60"/>
    </row>
    <row r="13" spans="1:10" ht="30" customHeight="1" x14ac:dyDescent="0.2">
      <c r="A13" s="9"/>
      <c r="B13" s="47" t="s">
        <v>186</v>
      </c>
      <c r="C13" s="48"/>
      <c r="D13" s="48"/>
      <c r="E13" s="32"/>
      <c r="F13" s="33"/>
      <c r="G13" s="34"/>
      <c r="H13" s="35"/>
      <c r="I13" s="53"/>
      <c r="J13" s="54"/>
    </row>
    <row r="14" spans="1:10" ht="30" customHeight="1" x14ac:dyDescent="0.2">
      <c r="A14" s="9"/>
      <c r="B14" s="45" t="s">
        <v>187</v>
      </c>
      <c r="C14" s="46"/>
      <c r="D14" s="46"/>
      <c r="E14" s="29">
        <v>5</v>
      </c>
      <c r="F14" s="25">
        <v>3.75</v>
      </c>
      <c r="G14" s="30">
        <f t="shared" si="0"/>
        <v>0.75</v>
      </c>
      <c r="H14" s="31" t="str">
        <f t="shared" si="1"/>
        <v>جيد</v>
      </c>
      <c r="I14" s="51"/>
      <c r="J14" s="52"/>
    </row>
    <row r="15" spans="1:10" ht="30" customHeight="1" x14ac:dyDescent="0.2">
      <c r="A15" s="9"/>
      <c r="B15" s="45" t="s">
        <v>188</v>
      </c>
      <c r="C15" s="46"/>
      <c r="D15" s="46"/>
      <c r="E15" s="29">
        <v>5</v>
      </c>
      <c r="F15" s="25">
        <v>3.75</v>
      </c>
      <c r="G15" s="30">
        <f t="shared" si="0"/>
        <v>0.75</v>
      </c>
      <c r="H15" s="31" t="str">
        <f t="shared" si="1"/>
        <v>جيد</v>
      </c>
      <c r="I15" s="51"/>
      <c r="J15" s="52"/>
    </row>
    <row r="16" spans="1:10" ht="30" customHeight="1" x14ac:dyDescent="0.2">
      <c r="A16" s="9"/>
      <c r="B16" s="45" t="s">
        <v>189</v>
      </c>
      <c r="C16" s="46"/>
      <c r="D16" s="46"/>
      <c r="E16" s="29">
        <v>5</v>
      </c>
      <c r="F16" s="25">
        <v>3.75</v>
      </c>
      <c r="G16" s="30">
        <f t="shared" si="0"/>
        <v>0.75</v>
      </c>
      <c r="H16" s="31" t="str">
        <f t="shared" si="1"/>
        <v>جيد</v>
      </c>
      <c r="I16" s="51"/>
      <c r="J16" s="52"/>
    </row>
    <row r="17" spans="1:10" ht="30" customHeight="1" x14ac:dyDescent="0.2">
      <c r="A17" s="9"/>
      <c r="B17" s="45" t="s">
        <v>190</v>
      </c>
      <c r="C17" s="46"/>
      <c r="D17" s="46"/>
      <c r="E17" s="29">
        <v>5</v>
      </c>
      <c r="F17" s="25">
        <v>3.5</v>
      </c>
      <c r="G17" s="30">
        <f t="shared" si="0"/>
        <v>0.7</v>
      </c>
      <c r="H17" s="31" t="str">
        <f t="shared" si="1"/>
        <v>جيد</v>
      </c>
      <c r="I17" s="51"/>
      <c r="J17" s="52"/>
    </row>
    <row r="18" spans="1:10" ht="30" customHeight="1" x14ac:dyDescent="0.2">
      <c r="A18" s="9"/>
      <c r="B18" s="45" t="s">
        <v>191</v>
      </c>
      <c r="C18" s="46"/>
      <c r="D18" s="46"/>
      <c r="E18" s="29">
        <v>5</v>
      </c>
      <c r="F18" s="25">
        <v>3.5</v>
      </c>
      <c r="G18" s="30">
        <f t="shared" si="0"/>
        <v>0.7</v>
      </c>
      <c r="H18" s="31" t="str">
        <f t="shared" si="1"/>
        <v>جيد</v>
      </c>
      <c r="I18" s="51"/>
      <c r="J18" s="52"/>
    </row>
    <row r="19" spans="1:10" ht="30" customHeight="1" x14ac:dyDescent="0.2">
      <c r="A19" s="9"/>
      <c r="B19" s="45" t="s">
        <v>192</v>
      </c>
      <c r="C19" s="46"/>
      <c r="D19" s="46"/>
      <c r="E19" s="29">
        <v>5</v>
      </c>
      <c r="F19" s="25">
        <v>3.5</v>
      </c>
      <c r="G19" s="30">
        <f t="shared" si="0"/>
        <v>0.7</v>
      </c>
      <c r="H19" s="31" t="str">
        <f t="shared" si="1"/>
        <v>جيد</v>
      </c>
      <c r="I19" s="51"/>
      <c r="J19" s="52"/>
    </row>
    <row r="20" spans="1:10" ht="30" customHeight="1" x14ac:dyDescent="0.2">
      <c r="A20" s="9"/>
      <c r="B20" s="45" t="s">
        <v>193</v>
      </c>
      <c r="C20" s="46"/>
      <c r="D20" s="46"/>
      <c r="E20" s="29">
        <v>5</v>
      </c>
      <c r="F20" s="25">
        <v>3.5</v>
      </c>
      <c r="G20" s="30">
        <f t="shared" si="0"/>
        <v>0.7</v>
      </c>
      <c r="H20" s="31" t="str">
        <f t="shared" si="1"/>
        <v>جيد</v>
      </c>
      <c r="I20" s="51"/>
      <c r="J20" s="52"/>
    </row>
    <row r="21" spans="1:10" ht="30" customHeight="1" x14ac:dyDescent="0.2">
      <c r="A21" s="9"/>
      <c r="B21" s="45" t="s">
        <v>194</v>
      </c>
      <c r="C21" s="46"/>
      <c r="D21" s="46"/>
      <c r="E21" s="29">
        <v>5</v>
      </c>
      <c r="F21" s="25">
        <v>3.5</v>
      </c>
      <c r="G21" s="30">
        <f t="shared" si="0"/>
        <v>0.7</v>
      </c>
      <c r="H21" s="31" t="str">
        <f t="shared" si="1"/>
        <v>جيد</v>
      </c>
      <c r="I21" s="51"/>
      <c r="J21" s="52"/>
    </row>
    <row r="22" spans="1:10" ht="30" customHeight="1" x14ac:dyDescent="0.2">
      <c r="A22" s="9"/>
      <c r="B22" s="45" t="s">
        <v>195</v>
      </c>
      <c r="C22" s="46"/>
      <c r="D22" s="46"/>
      <c r="E22" s="29">
        <v>5</v>
      </c>
      <c r="F22" s="25">
        <v>3.5</v>
      </c>
      <c r="G22" s="30">
        <f t="shared" si="0"/>
        <v>0.7</v>
      </c>
      <c r="H22" s="31" t="str">
        <f t="shared" si="1"/>
        <v>جيد</v>
      </c>
      <c r="I22" s="51"/>
      <c r="J22" s="52"/>
    </row>
    <row r="23" spans="1:10" ht="30" customHeight="1" x14ac:dyDescent="0.2">
      <c r="A23" s="9"/>
      <c r="B23" s="45" t="s">
        <v>196</v>
      </c>
      <c r="C23" s="46"/>
      <c r="D23" s="46"/>
      <c r="E23" s="29">
        <v>5</v>
      </c>
      <c r="F23" s="25">
        <v>3.5</v>
      </c>
      <c r="G23" s="30">
        <f t="shared" si="0"/>
        <v>0.7</v>
      </c>
      <c r="H23" s="31" t="str">
        <f t="shared" si="1"/>
        <v>جيد</v>
      </c>
      <c r="I23" s="51"/>
      <c r="J23" s="52"/>
    </row>
    <row r="24" spans="1:10" ht="30" customHeight="1" thickBot="1" x14ac:dyDescent="0.25">
      <c r="A24" s="9"/>
      <c r="B24" s="49" t="s">
        <v>197</v>
      </c>
      <c r="C24" s="50"/>
      <c r="D24" s="50"/>
      <c r="E24" s="39">
        <v>5</v>
      </c>
      <c r="F24" s="40">
        <v>3.5</v>
      </c>
      <c r="G24" s="41">
        <f t="shared" si="0"/>
        <v>0.7</v>
      </c>
      <c r="H24" s="42" t="str">
        <f t="shared" si="1"/>
        <v>جيد</v>
      </c>
      <c r="I24" s="91"/>
      <c r="J24" s="92"/>
    </row>
    <row r="25" spans="1:10" ht="30" customHeight="1" x14ac:dyDescent="0.2">
      <c r="A25" s="9"/>
      <c r="B25" s="47" t="s">
        <v>198</v>
      </c>
      <c r="C25" s="48"/>
      <c r="D25" s="48"/>
      <c r="E25" s="32"/>
      <c r="F25" s="33"/>
      <c r="G25" s="34"/>
      <c r="H25" s="35"/>
      <c r="I25" s="53"/>
      <c r="J25" s="54"/>
    </row>
    <row r="26" spans="1:10" ht="30" customHeight="1" x14ac:dyDescent="0.2">
      <c r="A26" s="9"/>
      <c r="B26" s="45" t="s">
        <v>199</v>
      </c>
      <c r="C26" s="46"/>
      <c r="D26" s="46"/>
      <c r="E26" s="29">
        <v>5</v>
      </c>
      <c r="F26" s="25">
        <v>3.75</v>
      </c>
      <c r="G26" s="30">
        <f t="shared" si="0"/>
        <v>0.75</v>
      </c>
      <c r="H26" s="31" t="str">
        <f t="shared" si="1"/>
        <v>جيد</v>
      </c>
      <c r="I26" s="51"/>
      <c r="J26" s="52"/>
    </row>
    <row r="27" spans="1:10" ht="30" customHeight="1" x14ac:dyDescent="0.2">
      <c r="A27" s="9"/>
      <c r="B27" s="45" t="s">
        <v>200</v>
      </c>
      <c r="C27" s="46"/>
      <c r="D27" s="46"/>
      <c r="E27" s="29">
        <v>5</v>
      </c>
      <c r="F27" s="25">
        <v>3.75</v>
      </c>
      <c r="G27" s="30">
        <f t="shared" si="0"/>
        <v>0.75</v>
      </c>
      <c r="H27" s="31" t="str">
        <f t="shared" si="1"/>
        <v>جيد</v>
      </c>
      <c r="I27" s="51"/>
      <c r="J27" s="52"/>
    </row>
    <row r="28" spans="1:10" ht="30" customHeight="1" x14ac:dyDescent="0.2">
      <c r="A28" s="9"/>
      <c r="B28" s="45" t="s">
        <v>201</v>
      </c>
      <c r="C28" s="46"/>
      <c r="D28" s="46"/>
      <c r="E28" s="29">
        <v>5</v>
      </c>
      <c r="F28" s="25">
        <v>3.75</v>
      </c>
      <c r="G28" s="30">
        <f t="shared" si="0"/>
        <v>0.75</v>
      </c>
      <c r="H28" s="31" t="str">
        <f t="shared" si="1"/>
        <v>جيد</v>
      </c>
      <c r="I28" s="51"/>
      <c r="J28" s="52"/>
    </row>
    <row r="29" spans="1:10" ht="30" customHeight="1" x14ac:dyDescent="0.2">
      <c r="A29" s="9"/>
      <c r="B29" s="45" t="s">
        <v>202</v>
      </c>
      <c r="C29" s="46"/>
      <c r="D29" s="46"/>
      <c r="E29" s="29">
        <v>5</v>
      </c>
      <c r="F29" s="25">
        <v>3.75</v>
      </c>
      <c r="G29" s="30">
        <f t="shared" si="0"/>
        <v>0.75</v>
      </c>
      <c r="H29" s="31" t="str">
        <f t="shared" si="1"/>
        <v>جيد</v>
      </c>
      <c r="I29" s="51"/>
      <c r="J29" s="52"/>
    </row>
    <row r="30" spans="1:10" ht="30" customHeight="1" x14ac:dyDescent="0.2">
      <c r="A30" s="9"/>
      <c r="B30" s="45" t="s">
        <v>203</v>
      </c>
      <c r="C30" s="46"/>
      <c r="D30" s="46"/>
      <c r="E30" s="29">
        <v>5</v>
      </c>
      <c r="F30" s="25">
        <v>3.75</v>
      </c>
      <c r="G30" s="30">
        <f t="shared" si="0"/>
        <v>0.75</v>
      </c>
      <c r="H30" s="31" t="str">
        <f t="shared" si="1"/>
        <v>جيد</v>
      </c>
      <c r="I30" s="51"/>
      <c r="J30" s="52"/>
    </row>
    <row r="31" spans="1:10" ht="30" customHeight="1" x14ac:dyDescent="0.2">
      <c r="A31" s="9"/>
      <c r="B31" s="45" t="s">
        <v>204</v>
      </c>
      <c r="C31" s="46"/>
      <c r="D31" s="46"/>
      <c r="E31" s="29">
        <v>5</v>
      </c>
      <c r="F31" s="25">
        <v>3.75</v>
      </c>
      <c r="G31" s="30">
        <f t="shared" si="0"/>
        <v>0.75</v>
      </c>
      <c r="H31" s="31" t="str">
        <f t="shared" si="1"/>
        <v>جيد</v>
      </c>
      <c r="I31" s="51"/>
      <c r="J31" s="52"/>
    </row>
    <row r="32" spans="1:10" ht="30" customHeight="1" x14ac:dyDescent="0.2">
      <c r="A32" s="9"/>
      <c r="B32" s="45" t="s">
        <v>205</v>
      </c>
      <c r="C32" s="46"/>
      <c r="D32" s="46"/>
      <c r="E32" s="29">
        <v>5</v>
      </c>
      <c r="F32" s="25">
        <v>3.5</v>
      </c>
      <c r="G32" s="30">
        <f t="shared" si="0"/>
        <v>0.7</v>
      </c>
      <c r="H32" s="31" t="str">
        <f t="shared" si="1"/>
        <v>جيد</v>
      </c>
      <c r="I32" s="51"/>
      <c r="J32" s="52"/>
    </row>
    <row r="33" spans="1:10" ht="30" customHeight="1" x14ac:dyDescent="0.2">
      <c r="A33" s="9"/>
      <c r="B33" s="45" t="s">
        <v>206</v>
      </c>
      <c r="C33" s="46"/>
      <c r="D33" s="46"/>
      <c r="E33" s="29">
        <v>5</v>
      </c>
      <c r="F33" s="25">
        <v>3.75</v>
      </c>
      <c r="G33" s="30">
        <f t="shared" si="0"/>
        <v>0.75</v>
      </c>
      <c r="H33" s="31" t="str">
        <f t="shared" si="1"/>
        <v>جيد</v>
      </c>
      <c r="I33" s="51"/>
      <c r="J33" s="52"/>
    </row>
    <row r="34" spans="1:10" ht="30" customHeight="1" x14ac:dyDescent="0.2">
      <c r="A34" s="9"/>
      <c r="B34" s="45" t="s">
        <v>207</v>
      </c>
      <c r="C34" s="46"/>
      <c r="D34" s="46"/>
      <c r="E34" s="29">
        <v>5</v>
      </c>
      <c r="F34" s="25">
        <v>3.5</v>
      </c>
      <c r="G34" s="30">
        <f t="shared" si="0"/>
        <v>0.7</v>
      </c>
      <c r="H34" s="31" t="str">
        <f t="shared" si="1"/>
        <v>جيد</v>
      </c>
      <c r="I34" s="51"/>
      <c r="J34" s="52"/>
    </row>
    <row r="35" spans="1:10" ht="30" customHeight="1" x14ac:dyDescent="0.2">
      <c r="A35" s="9"/>
      <c r="B35" s="45" t="s">
        <v>208</v>
      </c>
      <c r="C35" s="46"/>
      <c r="D35" s="46"/>
      <c r="E35" s="29">
        <v>5</v>
      </c>
      <c r="F35" s="25">
        <v>3.75</v>
      </c>
      <c r="G35" s="30">
        <f t="shared" si="0"/>
        <v>0.75</v>
      </c>
      <c r="H35" s="31" t="str">
        <f t="shared" si="1"/>
        <v>جيد</v>
      </c>
      <c r="I35" s="51"/>
      <c r="J35" s="52"/>
    </row>
    <row r="36" spans="1:10" ht="30" customHeight="1" x14ac:dyDescent="0.2">
      <c r="A36" s="9"/>
      <c r="B36" s="45" t="s">
        <v>209</v>
      </c>
      <c r="C36" s="46"/>
      <c r="D36" s="46"/>
      <c r="E36" s="29">
        <v>5</v>
      </c>
      <c r="F36" s="25">
        <v>3.5</v>
      </c>
      <c r="G36" s="30">
        <f t="shared" si="0"/>
        <v>0.7</v>
      </c>
      <c r="H36" s="31" t="str">
        <f t="shared" si="1"/>
        <v>جيد</v>
      </c>
      <c r="I36" s="51"/>
      <c r="J36" s="52"/>
    </row>
    <row r="37" spans="1:10" ht="30" customHeight="1" x14ac:dyDescent="0.2">
      <c r="A37" s="9"/>
      <c r="B37" s="45" t="s">
        <v>210</v>
      </c>
      <c r="C37" s="46"/>
      <c r="D37" s="46"/>
      <c r="E37" s="29">
        <v>5</v>
      </c>
      <c r="F37" s="25">
        <v>3.75</v>
      </c>
      <c r="G37" s="30">
        <f t="shared" si="0"/>
        <v>0.75</v>
      </c>
      <c r="H37" s="31" t="str">
        <f t="shared" si="1"/>
        <v>جيد</v>
      </c>
      <c r="I37" s="51"/>
      <c r="J37" s="52"/>
    </row>
    <row r="38" spans="1:10" ht="30" customHeight="1" thickBot="1" x14ac:dyDescent="0.25">
      <c r="A38" s="9"/>
      <c r="B38" s="43" t="s">
        <v>211</v>
      </c>
      <c r="C38" s="44"/>
      <c r="D38" s="44"/>
      <c r="E38" s="36">
        <v>5</v>
      </c>
      <c r="F38" s="26">
        <v>3.75</v>
      </c>
      <c r="G38" s="37">
        <f t="shared" si="0"/>
        <v>0.75</v>
      </c>
      <c r="H38" s="38" t="str">
        <f t="shared" si="1"/>
        <v>جيد</v>
      </c>
      <c r="I38" s="59"/>
      <c r="J38" s="60"/>
    </row>
    <row r="39" spans="1:10" ht="30" customHeight="1" x14ac:dyDescent="0.2">
      <c r="A39" s="9"/>
      <c r="B39" s="47" t="s">
        <v>212</v>
      </c>
      <c r="C39" s="48"/>
      <c r="D39" s="48"/>
      <c r="E39" s="32"/>
      <c r="F39" s="33"/>
      <c r="G39" s="34"/>
      <c r="H39" s="35"/>
      <c r="I39" s="53"/>
      <c r="J39" s="54"/>
    </row>
    <row r="40" spans="1:10" ht="30" customHeight="1" x14ac:dyDescent="0.2">
      <c r="A40" s="9"/>
      <c r="B40" s="45" t="s">
        <v>213</v>
      </c>
      <c r="C40" s="46"/>
      <c r="D40" s="46"/>
      <c r="E40" s="29">
        <v>5</v>
      </c>
      <c r="F40" s="25">
        <v>3.75</v>
      </c>
      <c r="G40" s="30">
        <f t="shared" si="0"/>
        <v>0.75</v>
      </c>
      <c r="H40" s="31" t="str">
        <f t="shared" si="1"/>
        <v>جيد</v>
      </c>
      <c r="I40" s="51"/>
      <c r="J40" s="52"/>
    </row>
    <row r="41" spans="1:10" ht="39.950000000000003" customHeight="1" x14ac:dyDescent="0.2">
      <c r="A41" s="9"/>
      <c r="B41" s="45" t="s">
        <v>214</v>
      </c>
      <c r="C41" s="46"/>
      <c r="D41" s="46"/>
      <c r="E41" s="29">
        <v>5</v>
      </c>
      <c r="F41" s="25">
        <v>3.5</v>
      </c>
      <c r="G41" s="30">
        <f t="shared" si="0"/>
        <v>0.7</v>
      </c>
      <c r="H41" s="31" t="str">
        <f t="shared" si="1"/>
        <v>جيد</v>
      </c>
      <c r="I41" s="51"/>
      <c r="J41" s="52"/>
    </row>
    <row r="42" spans="1:10" ht="30" customHeight="1" x14ac:dyDescent="0.2">
      <c r="A42" s="9"/>
      <c r="B42" s="45" t="s">
        <v>215</v>
      </c>
      <c r="C42" s="46"/>
      <c r="D42" s="46"/>
      <c r="E42" s="29">
        <v>5</v>
      </c>
      <c r="F42" s="25">
        <v>3.75</v>
      </c>
      <c r="G42" s="30">
        <f t="shared" si="0"/>
        <v>0.75</v>
      </c>
      <c r="H42" s="31" t="str">
        <f t="shared" si="1"/>
        <v>جيد</v>
      </c>
      <c r="I42" s="51"/>
      <c r="J42" s="52"/>
    </row>
    <row r="43" spans="1:10" ht="30" customHeight="1" x14ac:dyDescent="0.2">
      <c r="A43" s="9"/>
      <c r="B43" s="45" t="s">
        <v>216</v>
      </c>
      <c r="C43" s="46"/>
      <c r="D43" s="46"/>
      <c r="E43" s="29">
        <v>5</v>
      </c>
      <c r="F43" s="25">
        <v>3.75</v>
      </c>
      <c r="G43" s="30">
        <f t="shared" si="0"/>
        <v>0.75</v>
      </c>
      <c r="H43" s="31" t="str">
        <f t="shared" si="1"/>
        <v>جيد</v>
      </c>
      <c r="I43" s="51"/>
      <c r="J43" s="52"/>
    </row>
    <row r="44" spans="1:10" ht="30" customHeight="1" x14ac:dyDescent="0.2">
      <c r="A44" s="9"/>
      <c r="B44" s="45" t="s">
        <v>217</v>
      </c>
      <c r="C44" s="46"/>
      <c r="D44" s="46"/>
      <c r="E44" s="29">
        <v>5</v>
      </c>
      <c r="F44" s="25">
        <v>3.5</v>
      </c>
      <c r="G44" s="30">
        <f t="shared" si="0"/>
        <v>0.7</v>
      </c>
      <c r="H44" s="31" t="str">
        <f t="shared" si="1"/>
        <v>جيد</v>
      </c>
      <c r="I44" s="51"/>
      <c r="J44" s="52"/>
    </row>
    <row r="45" spans="1:10" ht="30" customHeight="1" x14ac:dyDescent="0.2">
      <c r="A45" s="9"/>
      <c r="B45" s="45" t="s">
        <v>218</v>
      </c>
      <c r="C45" s="46"/>
      <c r="D45" s="46"/>
      <c r="E45" s="29">
        <v>5</v>
      </c>
      <c r="F45" s="25">
        <v>3.5</v>
      </c>
      <c r="G45" s="30">
        <f t="shared" si="0"/>
        <v>0.7</v>
      </c>
      <c r="H45" s="31" t="str">
        <f t="shared" si="1"/>
        <v>جيد</v>
      </c>
      <c r="I45" s="51"/>
      <c r="J45" s="52"/>
    </row>
    <row r="46" spans="1:10" ht="30" customHeight="1" thickBot="1" x14ac:dyDescent="0.25">
      <c r="A46" s="9"/>
      <c r="B46" s="43" t="s">
        <v>219</v>
      </c>
      <c r="C46" s="44"/>
      <c r="D46" s="44"/>
      <c r="E46" s="36">
        <v>5</v>
      </c>
      <c r="F46" s="26">
        <v>3.5</v>
      </c>
      <c r="G46" s="37">
        <f t="shared" si="0"/>
        <v>0.7</v>
      </c>
      <c r="H46" s="38" t="str">
        <f t="shared" si="1"/>
        <v>جيد</v>
      </c>
      <c r="I46" s="59"/>
      <c r="J46" s="60"/>
    </row>
    <row r="47" spans="1:10" ht="30" customHeight="1" x14ac:dyDescent="0.2">
      <c r="A47" s="9"/>
      <c r="B47" s="72" t="s">
        <v>220</v>
      </c>
      <c r="C47" s="73"/>
      <c r="D47" s="73"/>
      <c r="E47" s="32"/>
      <c r="F47" s="33"/>
      <c r="G47" s="34"/>
      <c r="H47" s="35"/>
      <c r="I47" s="53"/>
      <c r="J47" s="54"/>
    </row>
    <row r="48" spans="1:10" ht="30" customHeight="1" x14ac:dyDescent="0.2">
      <c r="A48" s="9"/>
      <c r="B48" s="45" t="s">
        <v>221</v>
      </c>
      <c r="C48" s="46"/>
      <c r="D48" s="46"/>
      <c r="E48" s="29">
        <v>5</v>
      </c>
      <c r="F48" s="25">
        <v>3.5</v>
      </c>
      <c r="G48" s="30">
        <f t="shared" si="0"/>
        <v>0.7</v>
      </c>
      <c r="H48" s="31" t="str">
        <f t="shared" si="1"/>
        <v>جيد</v>
      </c>
      <c r="I48" s="51"/>
      <c r="J48" s="52"/>
    </row>
    <row r="49" spans="1:10" ht="30" customHeight="1" x14ac:dyDescent="0.2">
      <c r="A49" s="9"/>
      <c r="B49" s="45" t="s">
        <v>222</v>
      </c>
      <c r="C49" s="46"/>
      <c r="D49" s="46"/>
      <c r="E49" s="29">
        <v>5</v>
      </c>
      <c r="F49" s="25">
        <v>3.5</v>
      </c>
      <c r="G49" s="30">
        <f t="shared" si="0"/>
        <v>0.7</v>
      </c>
      <c r="H49" s="31" t="str">
        <f t="shared" si="1"/>
        <v>جيد</v>
      </c>
      <c r="I49" s="51"/>
      <c r="J49" s="52"/>
    </row>
    <row r="50" spans="1:10" ht="30" customHeight="1" x14ac:dyDescent="0.2">
      <c r="A50" s="9"/>
      <c r="B50" s="45" t="s">
        <v>223</v>
      </c>
      <c r="C50" s="46"/>
      <c r="D50" s="46"/>
      <c r="E50" s="29">
        <v>5</v>
      </c>
      <c r="F50" s="25">
        <v>3.5</v>
      </c>
      <c r="G50" s="30">
        <f t="shared" si="0"/>
        <v>0.7</v>
      </c>
      <c r="H50" s="31" t="str">
        <f t="shared" si="1"/>
        <v>جيد</v>
      </c>
      <c r="I50" s="51"/>
      <c r="J50" s="52"/>
    </row>
    <row r="51" spans="1:10" ht="30" customHeight="1" thickBot="1" x14ac:dyDescent="0.25">
      <c r="A51" s="9"/>
      <c r="B51" s="43" t="s">
        <v>224</v>
      </c>
      <c r="C51" s="44"/>
      <c r="D51" s="44"/>
      <c r="E51" s="36">
        <v>5</v>
      </c>
      <c r="F51" s="26">
        <v>3.5</v>
      </c>
      <c r="G51" s="37">
        <f t="shared" si="0"/>
        <v>0.7</v>
      </c>
      <c r="H51" s="38" t="str">
        <f t="shared" si="1"/>
        <v>جيد</v>
      </c>
      <c r="I51" s="59"/>
      <c r="J51" s="60"/>
    </row>
    <row r="52" spans="1:10" ht="30" customHeight="1" thickBot="1" x14ac:dyDescent="0.25">
      <c r="A52" s="4"/>
      <c r="B52" s="55" t="s">
        <v>5</v>
      </c>
      <c r="C52" s="56"/>
      <c r="D52" s="56"/>
      <c r="E52" s="28">
        <f>SUM(E8:E51)</f>
        <v>195</v>
      </c>
      <c r="F52" s="28">
        <f>SUM(F8:F51)</f>
        <v>140.75</v>
      </c>
      <c r="G52" s="69"/>
      <c r="H52" s="70"/>
      <c r="I52" s="70"/>
      <c r="J52" s="71"/>
    </row>
    <row r="53" spans="1:10" ht="30" customHeight="1" thickBot="1" x14ac:dyDescent="0.25">
      <c r="A53" s="4"/>
      <c r="B53" s="57" t="s">
        <v>54</v>
      </c>
      <c r="C53" s="58"/>
      <c r="D53" s="58"/>
      <c r="E53" s="81">
        <f>F52/E52/100*100</f>
        <v>0.72179487179487178</v>
      </c>
      <c r="F53" s="81"/>
      <c r="G53" s="81"/>
      <c r="H53" s="81"/>
      <c r="I53" s="81"/>
      <c r="J53" s="82"/>
    </row>
    <row r="54" spans="1:10" ht="30" customHeight="1" thickBot="1" x14ac:dyDescent="0.25">
      <c r="A54" s="4"/>
      <c r="B54" s="57" t="s">
        <v>55</v>
      </c>
      <c r="C54" s="58"/>
      <c r="D54" s="58"/>
      <c r="E54" s="65" t="str">
        <f>_xlfn.IFS(E53&gt;=90%,"ممتاز",E53&gt;=80%,"جيد جداً",E53&gt;=70%,"جيد",E53&gt;=60%,"مقبول",E53&lt;60%,"راسب")</f>
        <v>جيد</v>
      </c>
      <c r="F54" s="65"/>
      <c r="G54" s="65"/>
      <c r="H54" s="65"/>
      <c r="I54" s="65"/>
      <c r="J54" s="66"/>
    </row>
    <row r="55" spans="1:10" ht="42" customHeight="1" x14ac:dyDescent="0.2">
      <c r="B55" s="61" t="s">
        <v>174</v>
      </c>
      <c r="C55" s="61"/>
      <c r="D55" s="61"/>
      <c r="E55" s="67" t="s">
        <v>52</v>
      </c>
      <c r="F55" s="67"/>
      <c r="G55" s="63" t="s">
        <v>134</v>
      </c>
      <c r="H55" s="63"/>
      <c r="I55" s="63"/>
      <c r="J55" s="63"/>
    </row>
    <row r="56" spans="1:10" ht="51" customHeight="1" x14ac:dyDescent="0.2">
      <c r="A56" s="5"/>
      <c r="B56" s="62"/>
      <c r="C56" s="62"/>
      <c r="D56" s="62"/>
      <c r="E56" s="68" t="s">
        <v>53</v>
      </c>
      <c r="F56" s="68"/>
      <c r="G56" s="64"/>
      <c r="H56" s="64"/>
      <c r="I56" s="64"/>
      <c r="J56" s="6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9"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I45:J45"/>
    <mergeCell ref="I46:J46"/>
    <mergeCell ref="I47:J47"/>
    <mergeCell ref="I48:J48"/>
    <mergeCell ref="E55:F55"/>
    <mergeCell ref="E56:F56"/>
    <mergeCell ref="G52:J52"/>
    <mergeCell ref="B46:D46"/>
    <mergeCell ref="B47:D47"/>
    <mergeCell ref="B48:D48"/>
    <mergeCell ref="B49:D49"/>
    <mergeCell ref="B50:D50"/>
    <mergeCell ref="I32:J32"/>
    <mergeCell ref="I33:J33"/>
    <mergeCell ref="I34:J34"/>
    <mergeCell ref="I35:J35"/>
    <mergeCell ref="I36:J36"/>
    <mergeCell ref="I8:J8"/>
    <mergeCell ref="B52:D52"/>
    <mergeCell ref="B53:D53"/>
    <mergeCell ref="B54:D5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51:D51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4">
    <cfRule type="expression" dxfId="14" priority="57">
      <formula>$E54="راسب"</formula>
    </cfRule>
  </conditionalFormatting>
  <conditionalFormatting sqref="E54:J54">
    <cfRule type="expression" dxfId="13" priority="58">
      <formula>$E54="مقبول"</formula>
    </cfRule>
    <cfRule type="expression" dxfId="12" priority="59">
      <formula>$E54="جيد"</formula>
    </cfRule>
    <cfRule type="expression" dxfId="11" priority="60">
      <formula>$E54="جيد جداً"</formula>
    </cfRule>
    <cfRule type="expression" dxfId="10" priority="61">
      <formula>$E54="ممتاز"</formula>
    </cfRule>
  </conditionalFormatting>
  <conditionalFormatting sqref="F8:F5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6" priority="15" operator="containsText" text="أدخل اسم المحكم">
      <formula>NOT(ISERROR(SEARCH("أدخل اسم المحكم",G55)))</formula>
    </cfRule>
  </conditionalFormatting>
  <conditionalFormatting sqref="H8:H5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F48:F51 F40:F46 F26:F38 F14:F24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G55:J55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2025-09-25T09:03:09Z</dcterms:modified>
</cp:coreProperties>
</file>