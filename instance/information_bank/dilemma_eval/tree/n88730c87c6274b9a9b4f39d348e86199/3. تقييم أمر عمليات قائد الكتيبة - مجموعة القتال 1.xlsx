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612CC046-85A0-F547-A45D-DD8F95772E5A}"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التقييم'!$A$1:$J$114</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7" i="2"/>
  <c r="H17" i="2"/>
  <c r="G18" i="2"/>
  <c r="H18" i="2"/>
  <c r="G19" i="2"/>
  <c r="H19" i="2"/>
  <c r="G20" i="2"/>
  <c r="H20" i="2"/>
  <c r="G21" i="2"/>
  <c r="H21" i="2"/>
  <c r="G22" i="2"/>
  <c r="H22" i="2"/>
  <c r="G23" i="2"/>
  <c r="H23" i="2"/>
  <c r="G24" i="2"/>
  <c r="H24" i="2"/>
  <c r="G25" i="2"/>
  <c r="H25" i="2"/>
  <c r="G26" i="2"/>
  <c r="H26" i="2"/>
  <c r="G28" i="2"/>
  <c r="H28" i="2"/>
  <c r="G29" i="2"/>
  <c r="H29" i="2"/>
  <c r="G30" i="2"/>
  <c r="H30" i="2"/>
  <c r="G31" i="2"/>
  <c r="H31" i="2"/>
  <c r="G32" i="2"/>
  <c r="H32" i="2"/>
  <c r="G33" i="2"/>
  <c r="H33" i="2"/>
  <c r="G35" i="2"/>
  <c r="H35" i="2"/>
  <c r="G36" i="2"/>
  <c r="H36" i="2"/>
  <c r="G37" i="2"/>
  <c r="H37" i="2"/>
  <c r="G38" i="2"/>
  <c r="H38" i="2"/>
  <c r="G39" i="2"/>
  <c r="H39" i="2"/>
  <c r="G42" i="2"/>
  <c r="H42" i="2"/>
  <c r="G43" i="2"/>
  <c r="H43" i="2"/>
  <c r="G44" i="2"/>
  <c r="H44" i="2"/>
  <c r="G46" i="2"/>
  <c r="H46" i="2"/>
  <c r="G47" i="2"/>
  <c r="H47" i="2"/>
  <c r="G48" i="2"/>
  <c r="H48" i="2"/>
  <c r="G49" i="2"/>
  <c r="H49" i="2"/>
  <c r="G50" i="2"/>
  <c r="H50" i="2"/>
  <c r="G51" i="2"/>
  <c r="H51" i="2"/>
  <c r="G54" i="2"/>
  <c r="H54" i="2"/>
  <c r="G55" i="2"/>
  <c r="H55" i="2"/>
  <c r="G56" i="2"/>
  <c r="H56" i="2"/>
  <c r="G58" i="2"/>
  <c r="H58" i="2"/>
  <c r="G59" i="2"/>
  <c r="H59" i="2"/>
  <c r="G60" i="2"/>
  <c r="H60" i="2"/>
  <c r="G61" i="2"/>
  <c r="H61" i="2"/>
  <c r="G62" i="2"/>
  <c r="H62" i="2"/>
  <c r="G63" i="2"/>
  <c r="H63" i="2"/>
  <c r="G66" i="2"/>
  <c r="H66" i="2"/>
  <c r="G67" i="2"/>
  <c r="H67" i="2"/>
  <c r="G68" i="2"/>
  <c r="H68" i="2"/>
  <c r="G69" i="2"/>
  <c r="H69" i="2"/>
  <c r="G71" i="2"/>
  <c r="H71" i="2"/>
  <c r="G72" i="2"/>
  <c r="H72" i="2"/>
  <c r="G73" i="2"/>
  <c r="H73" i="2"/>
  <c r="G74" i="2"/>
  <c r="H74" i="2"/>
  <c r="G75" i="2"/>
  <c r="H75" i="2"/>
  <c r="G77" i="2"/>
  <c r="H77" i="2"/>
  <c r="G78" i="2"/>
  <c r="H78" i="2"/>
  <c r="G79" i="2"/>
  <c r="H79" i="2"/>
  <c r="G80" i="2"/>
  <c r="H80" i="2"/>
  <c r="G82" i="2"/>
  <c r="H82" i="2"/>
  <c r="G85" i="2"/>
  <c r="H85" i="2"/>
  <c r="G86" i="2"/>
  <c r="H86" i="2"/>
  <c r="G87" i="2"/>
  <c r="H87" i="2"/>
  <c r="G88" i="2"/>
  <c r="H88" i="2"/>
  <c r="G89" i="2"/>
  <c r="H89" i="2"/>
  <c r="G90" i="2"/>
  <c r="H90" i="2"/>
  <c r="G91" i="2"/>
  <c r="H91" i="2"/>
  <c r="G93" i="2"/>
  <c r="H93" i="2"/>
  <c r="G94" i="2"/>
  <c r="H94" i="2"/>
  <c r="G95" i="2"/>
  <c r="H95" i="2"/>
  <c r="G96" i="2"/>
  <c r="H96" i="2"/>
  <c r="G97" i="2"/>
  <c r="H97" i="2"/>
  <c r="G100" i="2"/>
  <c r="H100" i="2"/>
  <c r="G101" i="2"/>
  <c r="H101" i="2"/>
  <c r="G102" i="2"/>
  <c r="H102" i="2"/>
  <c r="G104" i="2"/>
  <c r="H104" i="2"/>
  <c r="G105" i="2"/>
  <c r="H105" i="2"/>
  <c r="G107" i="2"/>
  <c r="H107" i="2"/>
  <c r="G108" i="2"/>
  <c r="H108" i="2"/>
  <c r="G109" i="2"/>
  <c r="H109" i="2"/>
  <c r="G8" i="2"/>
  <c r="H8" i="2"/>
  <c r="F110" i="2"/>
  <c r="E110" i="2"/>
  <c r="E111" i="2"/>
  <c r="E112" i="2"/>
</calcChain>
</file>

<file path=xl/sharedStrings.xml><?xml version="1.0" encoding="utf-8"?>
<sst xmlns="http://schemas.openxmlformats.org/spreadsheetml/2006/main" count="343" uniqueCount="282">
  <si>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</si>
  <si>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</si>
  <si>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</si>
  <si>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</si>
  <si>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</si>
  <si>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</si>
  <si>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</si>
  <si>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</si>
  <si>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</si>
  <si>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</si>
  <si>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</si>
  <si>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</si>
  <si>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</si>
  <si>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</si>
  <si>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</si>
  <si>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</si>
  <si>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</si>
  <si>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</si>
  <si>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</si>
  <si>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</si>
  <si>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</si>
  <si>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</si>
  <si>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</si>
  <si>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</si>
  <si>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</si>
  <si>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</si>
  <si>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</si>
  <si>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</si>
  <si>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</si>
  <si>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</si>
  <si>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</si>
  <si>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</si>
  <si>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</si>
  <si>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</si>
  <si>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</si>
  <si>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</si>
  <si>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</si>
  <si>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</si>
  <si>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</si>
  <si>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</si>
  <si>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</si>
  <si>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</si>
  <si>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</si>
  <si>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</si>
  <si>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</si>
  <si>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</si>
  <si>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</si>
  <si>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</si>
  <si>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</si>
  <si>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</si>
  <si>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</si>
  <si>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</si>
  <si>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</si>
  <si>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</si>
  <si>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</si>
  <si>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</si>
  <si>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</si>
  <si>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</si>
  <si>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</si>
  <si>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</si>
  <si>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</si>
  <si>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</si>
  <si>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</si>
  <si>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</si>
  <si>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</si>
  <si>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</si>
  <si>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</si>
  <si>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</si>
  <si>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</si>
  <si>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</si>
  <si>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</si>
  <si>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</si>
  <si>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</si>
  <si>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</si>
  <si>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</si>
  <si>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</si>
  <si>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</si>
  <si>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</si>
  <si>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</si>
  <si>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</si>
  <si>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</si>
  <si>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</si>
  <si>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</si>
  <si>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</si>
  <si>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</si>
  <si>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</si>
  <si>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</si>
  <si>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</si>
  <si>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</si>
  <si>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</si>
  <si>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</si>
  <si>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</si>
  <si>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</si>
  <si>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</si>
  <si>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</si>
  <si>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</si>
  <si>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</si>
  <si>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</si>
  <si>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</si>
  <si>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</si>
  <si>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</si>
  <si>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</si>
  <si>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</si>
  <si>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</si>
  <si>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</si>
  <si>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</si>
  <si>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</si>
  <si>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</si>
  <si>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</si>
  <si>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</si>
  <si>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</si>
  <si>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</si>
  <si>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</si>
  <si>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</si>
  <si>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</si>
  <si>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</si>
  <si>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</si>
  <si>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</si>
  <si>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</si>
  <si>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</si>
  <si>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</si>
  <si>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</si>
  <si>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</si>
  <si>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</si>
  <si>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</si>
  <si>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</si>
  <si>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</si>
  <si>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</si>
  <si>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</si>
  <si>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</si>
  <si>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</si>
  <si>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</si>
  <si>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</si>
  <si>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</si>
  <si>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</si>
  <si>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</si>
  <si>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</si>
  <si>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</si>
  <si>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</si>
  <si>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</si>
  <si>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</si>
  <si>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</si>
  <si>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</si>
  <si>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</si>
  <si>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t>في حال وجود أو عدم وجود وحدات أخرى يتم تعديل علامة التقييم بالإضافة أو الحذف</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</si>
  <si>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</si>
  <si>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t>2.   يقوم قائد الكتيبة أو ضابط العمليات بتفقد المشاركين.</t>
  </si>
  <si>
    <t>3.   قيام قائد الكتيبة أو ضابط العمليات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</si>
  <si>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الكتيبة أو ضابط العمليات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</si>
  <si>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ضابط العمليات أو الاستخبارات.</t>
    </r>
  </si>
  <si>
    <r>
      <t>د.   ا</t>
    </r>
    <r>
      <rPr>
        <u/>
        <sz val="12"/>
        <color rgb="FF000000"/>
        <rFont val="Arial"/>
        <family val="2"/>
      </rPr>
      <t>لاعتبارات المدنية</t>
    </r>
    <r>
      <rPr>
        <sz val="12"/>
        <color rgb="FF000000"/>
        <rFont val="Arial"/>
        <family val="2"/>
      </rPr>
      <t>. تقدم من قبل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</si>
  <si>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ضابط الاستخبارات.</t>
    </r>
  </si>
  <si>
    <r>
      <t xml:space="preserve">6.   </t>
    </r>
    <r>
      <rPr>
        <b/>
        <u/>
        <sz val="12"/>
        <color rgb="FF000000"/>
        <rFont val="Arial"/>
        <family val="2"/>
      </rPr>
      <t>قواتنا</t>
    </r>
    <r>
      <rPr>
        <sz val="12"/>
        <color rgb="FF000000"/>
        <rFont val="Arial"/>
        <family val="2"/>
      </rPr>
      <t>.   تقدم من قبل ضابط العمليات.</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</si>
  <si>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</si>
  <si>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</si>
  <si>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</si>
  <si>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 xml:space="preserve">(2)  </t>
    </r>
    <r>
      <rPr>
        <u/>
        <sz val="12"/>
        <color rgb="FF000000"/>
        <rFont val="Arial"/>
        <family val="2"/>
      </rPr>
      <t>السرايا / وفرق القتال</t>
    </r>
    <r>
      <rPr>
        <sz val="12"/>
        <color rgb="FF000000"/>
        <rFont val="Arial"/>
        <family val="2"/>
      </rPr>
      <t>. تدرج حسب اقدميه الصنف (الرقم ثم العناصر المقاتلة والمساندة).</t>
    </r>
  </si>
  <si>
    <t>( أ ) السرية/1.</t>
  </si>
  <si>
    <t>(ب) السرية/2.</t>
  </si>
  <si>
    <t>(جـ) السرية/3.</t>
  </si>
  <si>
    <t>( د) فصيل الـ م/د.</t>
  </si>
  <si>
    <t>(هـ) فصيل الاستطلاع.</t>
  </si>
  <si>
    <r>
      <t xml:space="preserve">9.   </t>
    </r>
    <r>
      <rPr>
        <b/>
        <u/>
        <sz val="12"/>
        <color rgb="FF000000"/>
        <rFont val="Arial"/>
        <family val="2"/>
      </rPr>
      <t>تعليمات التنسيق</t>
    </r>
    <r>
      <rPr>
        <sz val="12"/>
        <color rgb="FF000000"/>
        <rFont val="Arial"/>
        <family val="2"/>
      </rPr>
      <t>. تقدم من قبل ضابط العمليات.</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</si>
  <si>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ضابط الإمداد.</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</si>
  <si>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ضابط القيادة والاتصالات.</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</si>
  <si>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</si>
  <si>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r>
      <t xml:space="preserve">ب.  </t>
    </r>
    <r>
      <rPr>
        <u/>
        <sz val="12"/>
        <color rgb="FF000000"/>
        <rFont val="Arial"/>
        <family val="2"/>
      </rPr>
      <t>مفهوم العمليات</t>
    </r>
    <r>
      <rPr>
        <sz val="12"/>
        <color rgb="FF000000"/>
        <rFont val="Arial"/>
        <family val="2"/>
      </rPr>
      <t>. يقدم من قبل ضابط العمليات ويشمل ما يلي:</t>
    </r>
  </si>
  <si>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</si>
  <si>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</si>
  <si>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</si>
  <si>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</si>
  <si>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</si>
  <si>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</si>
  <si>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</si>
  <si>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</si>
  <si>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</si>
  <si>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</si>
  <si>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</si>
  <si>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</si>
  <si>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</si>
  <si>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</si>
  <si>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</si>
  <si>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</si>
  <si>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</si>
  <si>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</si>
  <si>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</si>
  <si>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</si>
  <si>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</si>
  <si>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</si>
  <si>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</si>
  <si>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</si>
  <si>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</si>
  <si>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</si>
  <si>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</si>
  <si>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</si>
  <si>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</si>
  <si>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</si>
  <si>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</si>
  <si>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</si>
  <si>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</si>
  <si>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</si>
  <si>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</si>
  <si>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</si>
  <si>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</si>
  <si>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</si>
  <si>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</si>
  <si>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</si>
  <si>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</si>
  <si>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</si>
  <si>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</si>
  <si>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</si>
  <si>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</si>
  <si>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</si>
  <si>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</si>
  <si>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</si>
  <si>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</si>
  <si>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</si>
  <si>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</si>
  <si>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</si>
  <si>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</si>
  <si>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</si>
  <si>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</si>
  <si>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</si>
  <si>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</si>
  <si>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</si>
  <si>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</si>
  <si>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</si>
  <si>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</si>
  <si>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</si>
  <si>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</si>
  <si>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</si>
  <si>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</si>
  <si>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</si>
  <si>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</si>
  <si>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</si>
  <si>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</si>
  <si>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</si>
  <si>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</si>
  <si>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</si>
  <si>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</si>
  <si>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</si>
  <si>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</si>
  <si>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</si>
  <si>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</si>
  <si>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</si>
  <si>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</si>
  <si>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</si>
  <si>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</si>
  <si>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</si>
  <si>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</si>
  <si>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</si>
  <si>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</si>
  <si>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</si>
  <si>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</si>
  <si>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</si>
  <si>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</si>
  <si>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</si>
  <si>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</si>
  <si>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</si>
  <si>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</si>
  <si>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</si>
  <si>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</si>
  <si>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</si>
  <si>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</si>
  <si>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</si>
  <si>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</si>
  <si>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</si>
  <si>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</si>
  <si>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</si>
  <si>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</si>
  <si>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</si>
  <si>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</si>
  <si>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</si>
  <si>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</si>
  <si>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</si>
  <si>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</si>
  <si>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</si>
  <si>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</si>
  <si>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</si>
  <si>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</si>
  <si>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 .</t>
    </r>
  </si>
  <si>
    <t>تقييم أمر عمليات قائد الكتيبة/مجموعة القتال - العمليات التعرضية
تمرين جاهزية مجموعة لواء الإمارات/1 (جندي الصحراء 2025/20)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</si>
</sst>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6"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36">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1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Alignment="1" applyProtection="1">
      <alignment horizontal="center" vertical="center" wrapText="1" readingOrder="2"/>
      <protection locked="0"/>
    </xf>
    <xf numFmtId="164" fontId="4" fillId="3" borderId="0" xfId="0" applyNumberFormat="1" applyFont="1" applyFill="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0" fontId="2" fillId="0" borderId="3" xfId="0" applyFont="1" applyBorder="1" applyAlignment="1">
      <alignment horizontal="center" vertical="center" wrapText="1"/>
    </xf>
    <xf numFmtId="0" fontId="6" fillId="4" borderId="21"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8" fillId="0" borderId="3" xfId="0" applyFont="1" applyBorder="1" applyAlignment="1">
      <alignment vertical="center" wrapText="1" readingOrder="2"/>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lignment horizontal="center" vertical="center" wrapText="1" readingOrder="2"/>
    </xf>
    <xf numFmtId="0" fontId="12" fillId="0" borderId="3" xfId="0" applyFont="1" applyBorder="1" applyAlignment="1">
      <alignment horizontal="center" vertical="center"/>
    </xf>
    <xf numFmtId="0" fontId="13" fillId="0" borderId="3" xfId="0" applyFont="1" applyBorder="1" applyAlignment="1">
      <alignment horizontal="center" vertical="center"/>
    </xf>
    <xf numFmtId="0" fontId="13" fillId="0" borderId="35" xfId="0" applyFont="1" applyBorder="1" applyAlignment="1">
      <alignment horizontal="center" vertical="center"/>
    </xf>
    <xf numFmtId="0" fontId="14" fillId="0" borderId="3" xfId="0" applyFont="1" applyBorder="1" applyAlignment="1">
      <alignment horizontal="center" vertical="center"/>
    </xf>
    <xf numFmtId="0" fontId="3" fillId="0" borderId="3" xfId="0" applyFont="1" applyBorder="1" applyAlignment="1">
      <alignment horizontal="center" vertical="center"/>
    </xf>
    <xf numFmtId="0" fontId="15"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0" borderId="0" xfId="0" applyFont="1" applyAlignment="1" applyProtection="1">
      <alignment horizontal="left" vertical="top"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11" fillId="0" borderId="27" xfId="0" applyFont="1" applyBorder="1" applyAlignment="1" applyProtection="1">
      <alignment horizontal="center" vertical="center" wrapText="1" readingOrder="2"/>
      <protection locked="0"/>
    </xf>
    <xf numFmtId="0" fontId="11" fillId="0" borderId="28" xfId="0" applyFont="1" applyBorder="1" applyAlignment="1" applyProtection="1">
      <alignment horizontal="center" vertical="center" wrapText="1" readingOrder="2"/>
      <protection locked="0"/>
    </xf>
    <xf numFmtId="0" fontId="11" fillId="0" borderId="31" xfId="0" applyFont="1" applyBorder="1" applyAlignment="1" applyProtection="1">
      <alignment horizontal="center" vertical="center" wrapText="1" readingOrder="2"/>
      <protection locked="0"/>
    </xf>
    <xf numFmtId="0" fontId="11" fillId="0" borderId="32" xfId="0" applyFont="1" applyBorder="1" applyAlignment="1" applyProtection="1">
      <alignment horizontal="center" vertical="center" wrapText="1" readingOrder="2"/>
      <protection locked="0"/>
    </xf>
    <xf numFmtId="0" fontId="11" fillId="0" borderId="33" xfId="0" applyFont="1" applyBorder="1" applyAlignment="1" applyProtection="1">
      <alignment horizontal="center" vertical="center" wrapText="1" readingOrder="2"/>
      <protection locked="0"/>
    </xf>
    <xf numFmtId="0" fontId="11" fillId="0" borderId="34"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49" fontId="5" fillId="0" borderId="0" xfId="0" applyNumberFormat="1" applyFont="1" applyAlignment="1" applyProtection="1">
      <alignment horizontal="center" vertical="top"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8" fillId="0" borderId="8" xfId="0" applyFont="1" applyBorder="1" applyAlignment="1">
      <alignment horizontal="right" vertical="center" wrapText="1" readingOrder="2"/>
    </xf>
    <xf numFmtId="0" fontId="8" fillId="0" borderId="9" xfId="0" applyFont="1" applyBorder="1" applyAlignment="1">
      <alignment horizontal="right" vertical="center" wrapText="1" readingOrder="2"/>
    </xf>
    <xf numFmtId="0" fontId="8" fillId="0" borderId="17" xfId="0" applyFont="1" applyBorder="1" applyAlignment="1">
      <alignment horizontal="right" vertical="center" wrapText="1" indent="2" readingOrder="2"/>
    </xf>
    <xf numFmtId="0" fontId="8" fillId="0" borderId="3" xfId="0" applyFont="1" applyBorder="1" applyAlignment="1">
      <alignment horizontal="right" vertical="center" wrapText="1" indent="2" readingOrder="2"/>
    </xf>
    <xf numFmtId="0" fontId="8" fillId="0" borderId="11" xfId="0" applyFont="1" applyBorder="1" applyAlignment="1">
      <alignment horizontal="right" vertical="center" wrapText="1" indent="2" readingOrder="2"/>
    </xf>
    <xf numFmtId="0" fontId="8" fillId="0" borderId="12" xfId="0" applyFont="1" applyBorder="1" applyAlignment="1">
      <alignment horizontal="right" vertical="center" wrapText="1" indent="2"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20" xfId="0" applyFont="1" applyFill="1" applyBorder="1" applyAlignment="1" applyProtection="1">
      <alignment horizontal="center" vertical="center" wrapText="1" readingOrder="2"/>
      <protection locked="0"/>
    </xf>
    <xf numFmtId="0" fontId="7" fillId="4" borderId="21"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22"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8" fillId="0" borderId="17" xfId="0" applyFont="1" applyBorder="1" applyAlignment="1">
      <alignment horizontal="right" vertical="center" wrapText="1" indent="4" readingOrder="2"/>
    </xf>
    <xf numFmtId="0" fontId="8" fillId="0" borderId="3" xfId="0" applyFont="1" applyBorder="1" applyAlignment="1">
      <alignment horizontal="right" vertical="center" wrapText="1" indent="4" readingOrder="2"/>
    </xf>
    <xf numFmtId="0" fontId="11" fillId="0" borderId="29" xfId="0" applyFont="1" applyBorder="1" applyAlignment="1" applyProtection="1">
      <alignment horizontal="center" vertical="center" wrapText="1" readingOrder="2"/>
      <protection locked="0"/>
    </xf>
    <xf numFmtId="0" fontId="11" fillId="0" borderId="30" xfId="0" applyFont="1" applyBorder="1" applyAlignment="1" applyProtection="1">
      <alignment horizontal="center" vertical="center" wrapText="1" readingOrder="2"/>
      <protection locked="0"/>
    </xf>
    <xf numFmtId="0" fontId="8" fillId="0" borderId="17" xfId="0" applyFont="1" applyBorder="1" applyAlignment="1">
      <alignment horizontal="right" vertical="center" wrapText="1" indent="6" readingOrder="2"/>
    </xf>
    <xf numFmtId="0" fontId="8" fillId="0" borderId="3" xfId="0" applyFont="1" applyBorder="1" applyAlignment="1">
      <alignment horizontal="right" vertical="center" wrapText="1" indent="6" readingOrder="2"/>
    </xf>
    <xf numFmtId="0" fontId="8" fillId="0" borderId="18" xfId="0" applyFont="1" applyBorder="1" applyAlignment="1">
      <alignment horizontal="right" vertical="center" wrapText="1" indent="4" readingOrder="2"/>
    </xf>
    <xf numFmtId="0" fontId="8" fillId="0" borderId="19" xfId="0" applyFont="1" applyBorder="1" applyAlignment="1">
      <alignment horizontal="right" vertical="center" wrapText="1" indent="4" readingOrder="2"/>
    </xf>
    <xf numFmtId="0" fontId="8" fillId="0" borderId="23" xfId="0" applyFont="1" applyBorder="1" applyAlignment="1">
      <alignment horizontal="right" vertical="center" wrapText="1" indent="4" readingOrder="2"/>
    </xf>
    <xf numFmtId="0" fontId="8" fillId="0" borderId="17" xfId="0" applyFont="1" applyBorder="1" applyAlignment="1">
      <alignment horizontal="right" vertical="center" wrapText="1" indent="3" readingOrder="2"/>
    </xf>
    <xf numFmtId="0" fontId="8" fillId="0" borderId="3" xfId="0" applyFont="1" applyBorder="1" applyAlignment="1">
      <alignment horizontal="right" vertical="center" wrapText="1" indent="3" readingOrder="2"/>
    </xf>
    <xf numFmtId="0" fontId="11" fillId="0" borderId="17" xfId="0" applyFont="1" applyBorder="1" applyAlignment="1">
      <alignment horizontal="right" vertical="center" wrapText="1" indent="4" readingOrder="2"/>
    </xf>
    <xf numFmtId="0" fontId="11" fillId="0" borderId="3" xfId="0" applyFont="1" applyBorder="1" applyAlignment="1">
      <alignment horizontal="right" vertical="center" wrapText="1" indent="4" readingOrder="2"/>
    </xf>
    <xf numFmtId="0" fontId="11" fillId="0" borderId="11" xfId="0" applyFont="1" applyBorder="1" applyAlignment="1">
      <alignment horizontal="right" vertical="center" wrapText="1" indent="4" readingOrder="2"/>
    </xf>
    <xf numFmtId="0" fontId="11"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2" readingOrder="2"/>
    </xf>
    <xf numFmtId="0" fontId="8" fillId="0" borderId="19" xfId="0" applyFont="1" applyBorder="1" applyAlignment="1">
      <alignment horizontal="right" vertical="center" wrapText="1" indent="2" readingOrder="2"/>
    </xf>
    <xf numFmtId="0" fontId="8" fillId="0" borderId="23" xfId="0" applyFont="1" applyBorder="1" applyAlignment="1">
      <alignment horizontal="right" vertical="center" wrapText="1" indent="2" readingOrder="2"/>
    </xf>
    <xf numFmtId="0" fontId="8" fillId="0" borderId="2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26" xfId="0" applyFont="1" applyBorder="1" applyAlignment="1">
      <alignment horizontal="right" vertical="center" wrapText="1" readingOrder="2"/>
    </xf>
    <xf numFmtId="0" fontId="8" fillId="0" borderId="11" xfId="0" applyFont="1" applyBorder="1" applyAlignment="1">
      <alignment horizontal="right" vertical="center" wrapText="1" indent="4" readingOrder="2"/>
    </xf>
    <xf numFmtId="0" fontId="8" fillId="0" borderId="12" xfId="0" applyFont="1" applyBorder="1" applyAlignment="1">
      <alignment horizontal="right" vertical="center" wrapText="1" indent="4" readingOrder="2"/>
    </xf>
    <xf numFmtId="0" fontId="8" fillId="0" borderId="18" xfId="0" applyFont="1" applyBorder="1" applyAlignment="1">
      <alignment horizontal="right" vertical="center" wrapText="1" indent="6" readingOrder="2"/>
    </xf>
    <xf numFmtId="0" fontId="8" fillId="0" borderId="19" xfId="0" applyFont="1" applyBorder="1" applyAlignment="1">
      <alignment horizontal="right" vertical="center" wrapText="1" indent="6" readingOrder="2"/>
    </xf>
    <xf numFmtId="0" fontId="8" fillId="0" borderId="23" xfId="0" applyFont="1" applyBorder="1" applyAlignment="1">
      <alignment horizontal="right" vertical="center" wrapText="1" indent="6"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8" Type="http://schemas.openxmlformats.org/officeDocument/2006/relationships/image" Target="../media/image4.png" /><Relationship Id="rId3" Type="http://schemas.openxmlformats.org/officeDocument/2006/relationships/customXml" Target="../ink/ink2.xml" /><Relationship Id="rId7" Type="http://schemas.openxmlformats.org/officeDocument/2006/relationships/customXml" Target="../ink/ink4.xml" /><Relationship Id="rId2" Type="http://schemas.openxmlformats.org/officeDocument/2006/relationships/image" Target="../media/image1.png" /><Relationship Id="rId1" Type="http://schemas.openxmlformats.org/officeDocument/2006/relationships/customXml" Target="../ink/ink1.xml" /><Relationship Id="rId6" Type="http://schemas.openxmlformats.org/officeDocument/2006/relationships/image" Target="../media/image3.png" /><Relationship Id="rId5" Type="http://schemas.openxmlformats.org/officeDocument/2006/relationships/customXml" Target="../ink/ink3.xml" /><Relationship Id="rId4"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dr:twoCellAnchor editAs="oneCell">
    <xdr:from>
      <xdr:col>7</xdr:col>
      <xdr:colOff>450331</xdr:colOff>
      <xdr:row>113</xdr:row>
      <xdr:rowOff>1129462</xdr:rowOff>
    </xdr:from>
    <xdr:to>
      <xdr:col>7</xdr:col>
      <xdr:colOff>573091</xdr:colOff>
      <xdr:row>113</xdr:row>
      <xdr:rowOff>1160422</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8FC4B1EF-67AA-B3B3-1492-85F41B434713}"/>
                </a:ext>
              </a:extLst>
            </xdr14:cNvPr>
            <xdr14:cNvContentPartPr/>
          </xdr14:nvContentPartPr>
          <xdr14:nvPr macro=""/>
          <xdr14:xfrm>
            <a:off x="10423784132" y="48028320"/>
            <a:ext cx="122760" cy="30960"/>
          </xdr14:xfrm>
        </xdr:contentPart>
      </mc:Choice>
      <mc:Fallback>
        <xdr:pic>
          <xdr:nvPicPr>
            <xdr:cNvPr id="2" name="Ink 1">
              <a:extLst>
                <a:ext uri="{FF2B5EF4-FFF2-40B4-BE49-F238E27FC236}">
                  <a16:creationId xmlns:a16="http://schemas.microsoft.com/office/drawing/2014/main" id="{8FC4B1EF-67AA-B3B3-1492-85F41B434713}"/>
                </a:ext>
              </a:extLst>
            </xdr:cNvPr>
            <xdr:cNvPicPr/>
          </xdr:nvPicPr>
          <xdr:blipFill>
            <a:blip xmlns:r="http://schemas.openxmlformats.org/officeDocument/2006/relationships" r:embed="rId2"/>
            <a:stretch>
              <a:fillRect/>
            </a:stretch>
          </xdr:blipFill>
          <xdr:spPr>
            <a:xfrm>
              <a:off x="10423778012" y="48022200"/>
              <a:ext cx="135000" cy="43200"/>
            </a:xfrm>
            <a:prstGeom prst="rect">
              <a:avLst/>
            </a:prstGeom>
          </xdr:spPr>
        </xdr:pic>
      </mc:Fallback>
    </mc:AlternateContent>
    <xdr:clientData/>
  </xdr:twoCellAnchor>
  <xdr:twoCellAnchor editAs="oneCell">
    <xdr:from>
      <xdr:col>7</xdr:col>
      <xdr:colOff>345571</xdr:colOff>
      <xdr:row>113</xdr:row>
      <xdr:rowOff>976462</xdr:rowOff>
    </xdr:from>
    <xdr:to>
      <xdr:col>7</xdr:col>
      <xdr:colOff>409291</xdr:colOff>
      <xdr:row>113</xdr:row>
      <xdr:rowOff>1064302</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3DCC5005-7490-8DE1-5B42-D18B8B5693F9}"/>
                </a:ext>
              </a:extLst>
            </xdr14:cNvPr>
            <xdr14:cNvContentPartPr/>
          </xdr14:nvContentPartPr>
          <xdr14:nvPr macro=""/>
          <xdr14:xfrm>
            <a:off x="10423947932" y="47875320"/>
            <a:ext cx="63720" cy="87840"/>
          </xdr14:xfrm>
        </xdr:contentPart>
      </mc:Choice>
      <mc:Fallback>
        <xdr:pic>
          <xdr:nvPicPr>
            <xdr:cNvPr id="3" name="Ink 2">
              <a:extLst>
                <a:ext uri="{FF2B5EF4-FFF2-40B4-BE49-F238E27FC236}">
                  <a16:creationId xmlns:a16="http://schemas.microsoft.com/office/drawing/2014/main" id="{3DCC5005-7490-8DE1-5B42-D18B8B5693F9}"/>
                </a:ext>
              </a:extLst>
            </xdr:cNvPr>
            <xdr:cNvPicPr/>
          </xdr:nvPicPr>
          <xdr:blipFill>
            <a:blip xmlns:r="http://schemas.openxmlformats.org/officeDocument/2006/relationships" r:embed="rId4"/>
            <a:stretch>
              <a:fillRect/>
            </a:stretch>
          </xdr:blipFill>
          <xdr:spPr>
            <a:xfrm>
              <a:off x="10423941812" y="47869200"/>
              <a:ext cx="75960" cy="100080"/>
            </a:xfrm>
            <a:prstGeom prst="rect">
              <a:avLst/>
            </a:prstGeom>
          </xdr:spPr>
        </xdr:pic>
      </mc:Fallback>
    </mc:AlternateContent>
    <xdr:clientData/>
  </xdr:twoCellAnchor>
  <xdr:twoCellAnchor editAs="oneCell">
    <xdr:from>
      <xdr:col>6</xdr:col>
      <xdr:colOff>378274</xdr:colOff>
      <xdr:row>113</xdr:row>
      <xdr:rowOff>423862</xdr:rowOff>
    </xdr:from>
    <xdr:to>
      <xdr:col>9</xdr:col>
      <xdr:colOff>805044</xdr:colOff>
      <xdr:row>113</xdr:row>
      <xdr:rowOff>1337902</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710A66D7-5767-1DEA-CDA3-5C222E4DD882}"/>
                </a:ext>
              </a:extLst>
            </xdr14:cNvPr>
            <xdr14:cNvContentPartPr/>
          </xdr14:nvContentPartPr>
          <xdr14:nvPr macro=""/>
          <xdr14:xfrm>
            <a:off x="10422243332" y="47322720"/>
            <a:ext cx="2390040" cy="914040"/>
          </xdr14:xfrm>
        </xdr:contentPart>
      </mc:Choice>
      <mc:Fallback>
        <xdr:pic>
          <xdr:nvPicPr>
            <xdr:cNvPr id="4" name="Ink 3">
              <a:extLst>
                <a:ext uri="{FF2B5EF4-FFF2-40B4-BE49-F238E27FC236}">
                  <a16:creationId xmlns:a16="http://schemas.microsoft.com/office/drawing/2014/main" id="{710A66D7-5767-1DEA-CDA3-5C222E4DD882}"/>
                </a:ext>
              </a:extLst>
            </xdr:cNvPr>
            <xdr:cNvPicPr/>
          </xdr:nvPicPr>
          <xdr:blipFill>
            <a:blip xmlns:r="http://schemas.openxmlformats.org/officeDocument/2006/relationships" r:embed="rId6"/>
            <a:stretch>
              <a:fillRect/>
            </a:stretch>
          </xdr:blipFill>
          <xdr:spPr>
            <a:xfrm>
              <a:off x="10422237212" y="47316600"/>
              <a:ext cx="2402280" cy="926280"/>
            </a:xfrm>
            <a:prstGeom prst="rect">
              <a:avLst/>
            </a:prstGeom>
          </xdr:spPr>
        </xdr:pic>
      </mc:Fallback>
    </mc:AlternateContent>
    <xdr:clientData/>
  </xdr:twoCellAnchor>
  <xdr:twoCellAnchor editAs="oneCell">
    <xdr:from>
      <xdr:col>7</xdr:col>
      <xdr:colOff>444931</xdr:colOff>
      <xdr:row>113</xdr:row>
      <xdr:rowOff>1346182</xdr:rowOff>
    </xdr:from>
    <xdr:to>
      <xdr:col>7</xdr:col>
      <xdr:colOff>491011</xdr:colOff>
      <xdr:row>113</xdr:row>
      <xdr:rowOff>1386142</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5" name="Ink 4">
              <a:extLst>
                <a:ext uri="{FF2B5EF4-FFF2-40B4-BE49-F238E27FC236}">
                  <a16:creationId xmlns:a16="http://schemas.microsoft.com/office/drawing/2014/main" id="{C6A56E55-CBB8-6BB9-3365-497DD0B5060B}"/>
                </a:ext>
              </a:extLst>
            </xdr14:cNvPr>
            <xdr14:cNvContentPartPr/>
          </xdr14:nvContentPartPr>
          <xdr14:nvPr macro=""/>
          <xdr14:xfrm>
            <a:off x="10423866212" y="48245040"/>
            <a:ext cx="46080" cy="39960"/>
          </xdr14:xfrm>
        </xdr:contentPart>
      </mc:Choice>
      <mc:Fallback>
        <xdr:pic>
          <xdr:nvPicPr>
            <xdr:cNvPr id="5" name="Ink 4">
              <a:extLst>
                <a:ext uri="{FF2B5EF4-FFF2-40B4-BE49-F238E27FC236}">
                  <a16:creationId xmlns:a16="http://schemas.microsoft.com/office/drawing/2014/main" id="{C6A56E55-CBB8-6BB9-3365-497DD0B5060B}"/>
                </a:ext>
              </a:extLst>
            </xdr:cNvPr>
            <xdr:cNvPicPr/>
          </xdr:nvPicPr>
          <xdr:blipFill>
            <a:blip xmlns:r="http://schemas.openxmlformats.org/officeDocument/2006/relationships" r:embed="rId8"/>
            <a:stretch>
              <a:fillRect/>
            </a:stretch>
          </xdr:blipFill>
          <xdr:spPr>
            <a:xfrm>
              <a:off x="10423860092" y="48238920"/>
              <a:ext cx="58320" cy="52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5:51:35.474"/>
    </inkml:context>
    <inkml:brush xml:id="br0">
      <inkml:brushProperty name="width" value="0.035" units="cm"/>
      <inkml:brushProperty name="height" value="0.035" units="cm"/>
    </inkml:brush>
  </inkml:definitions>
  <inkml:trace contextRef="#ctx0" brushRef="#br0">340 5 32767,'0'0'0,"-52"-4"0,1 3 0,51 1 0,-60 0 0,11 11 0,16 2 0,8-1 0,7-2 0,5-7 0,13-3 0,-4 4 0,-7-1 0,7 1 0,1-2 0,-1 1 0,1-1 0,3-2 0,-4 0 0,2 0 0,0 3-513,1-1-2119,0 0-1201,1 2-2000,0-4 5833,0 4-6626,0-1-3144,0-3 9770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5:51:36.101"/>
    </inkml:context>
    <inkml:brush xml:id="br0">
      <inkml:brushProperty name="width" value="0.035" units="cm"/>
      <inkml:brushProperty name="height" value="0.035" units="cm"/>
    </inkml:brush>
  </inkml:definitions>
  <inkml:trace contextRef="#ctx0" brushRef="#br0">65 209 32767,'0'0'0,"-18"-3"0,3-2 0,-2 1 0,7 2 0,10 2 0,-2-1 0,-1 1 0,3 0 0,0 2 0,0-2 0,3 3 0,-3-1 0,2 0 0,0 1 0,1-1 0,-3-2 0,4 4 0,-1 7-1633,1-9-663,7 8-713,-8-8-1568,7 2-1480,-10-4 6057,3 3-10579,-3-3 10579</inkml:trace>
  <inkml:trace contextRef="#ctx0" brushRef="#br0" timeOffset="1">177 50 30934,'0'0'0,"-17"-5"1833,1-6-1833,-1 7 0,4-1 0,13 5 0,-3-3 0,-2 2 0,1 1 0,3 0 0,0 0 0,0 0 0,1 0 0,-2 0 0,1 0 0,0 0 0,0 0 0,1 0 0,-1 0-321,1 0-815,0 0-520,0 0 1656,0-1-2473,0 0-1119,0-3-1946,-1 1-423,-4-8-3049,5 11 9010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5:51:39.286"/>
    </inkml:context>
    <inkml:brush xml:id="br0">
      <inkml:brushProperty name="width" value="0.035" units="cm"/>
      <inkml:brushProperty name="height" value="0.035" units="cm"/>
    </inkml:brush>
  </inkml:definitions>
  <inkml:trace contextRef="#ctx0" brushRef="#br0">5598 1945 13874,'0'0'0,"0"-11"2185,0-2-1289,3-4-720,0 0-96,-3 17-80,10-16 104,-8 1 104,9-2 240,-1-1 64,-7-2 97,13-3-9,-16 23-600,12-23 512,1 0 8,1 1-136,0 0-24,-1 0-88,-1 2-72,-12 20-200,14-21 208,3-1-40,2-2-8,-1 0-16,0 0-64,0-1 40,-18 25-120,17-23 112,-1-1 8,1 1 16,0 2-56,0-1-24,0-1-16,-17 23-40,17-21 65,-2-1-9,2 2-16,-2 0 0,1 2-16,-2 0 16,-14 18-40,12-16 88,0 0-40,-2 1 0,-7 0 32,12 2-16,-13 3 80,-2 10-144,11-11 176,-8 1-24,0 1 80,-1-1 48,1 5-24,-1-6 32,-2 11-288,0-3 304,0-8-96,0 7 24,-1 0 24,-1-6-64,-2 8 64,4 2-256,-3-4 304,-7 0-80,5 0 8,-7-1-144,1 1-88,-1 1-40,12 3 40,-14-3-48,-5 2-24,-2 1-48,-2 0 8,-5 2-8,-2 8 0,30-10 120,-35 10-88,-4 2 32,-7 2 16,-4 4-8,-3 1 40,-3 4-24,56-23 32,-59 24 0,-1 1 0,-3 1-128,-2 4-8,-4 2-16,1 1 64,68-33 88,-72 36-16,-2 0 16,-4 2 32,-2 2-24,-3 1 40,0 1-24,83-42-24,-83 43-24,-3 0-8,-1 0 16,2 3 8,-3-2 80,1 1-32,87-45-40,-85 45 0,0-3 56,3 0 0,3-2 48,0 2 0,1-2-48,78-40-56,-74 39 16,2 0-16,2-3 24,4-1-8,2-3 88,1 0-64,63-32-40,-57 31 32,1-2 8,4-1-8,2-3 16,4-2 8,3-3-16,43-20-40,-40 20 0,6-3 48,3-2 24,4-3 0,5-2-16,4 0 24,18-10-80,-14 2 8,10 8 72,-7-10-24,9 0-40,1 0 72,1 0-16,0 0-72,0 0 32,0 0 24,4 0-72,-1-1-72,8-3 0,-7-1 16,-4 5 72,15-9-88,0 4 40,5-9 64,4-1-16,5-2 32,3-1-16,-32 18-16,37-19 24,3-2-24,3-2-24,4-1 8,1-2-56,2-3 8,-50 29 64,54-29-8,2-1-24,3 0-24,2-1 40,0 0-56,4-2 72,-65 33 0,64-34 8,3-1-16,2 0 16,1-1-64,0 0 56,2 2-32,-72 34 32,71-36-24,3 1 24,-1-2-48,1-2 80,-1 1-32,-2 2 0,-71 36 0,74-35 16,0 2-72,0-1 56,1 2-16,-5-2-32,2 2 48,-72 32 0,73-30-16,-1-1 8,-1 2 104,-3-1-80,2 0-32,-2 1 88,-68 29-72,68-28-8,1 0 120,-3 0-48,-1 3-56,0 0-16,0 0-8,-65 25 16,61-24 40,-1 1-96,-3 0 72,-1 2-32,-4-2 0,2 0 64,-54 23-48,51-21-32,-2 0 48,-3 2-16,-2 2 16,-2 1-8,-5 0 96,-37 16-104,34-14 0,-1-1 0,-4 2 32,-2 1-88,-2 1 40,-1 1-72,-24 10 88,21-10-16,-3 5 0,-3-7 136,-2 9-8,-2-8-96,-1 7-40,-7 1-96,-3 3 120,12-5 16,-9 1 56,-1 1-40,1-1 64,-3 3-104,0-2 80,0 3-72,0-1 176,0-1-55,0 1 71,0-1 16,0 1-56,-2 0 8,2 1-160,-1-1 168,-2 0-48,-2-1 0,-5 1-56,7 0-40,-8 0-48,11 1 24,-10-1-48,-1-2 16,-2 2-8,-1 0 40,0 1-112,-3 0 72,17 0 40,-17 0-32,-2 0-40,-2 2 144,0 1-104,-3 0 16,0 1 48,24-4-32,-27 11-16,-1-8 48,-2 8-64,-1-7 0,-4 9 48,1-4 32,34-9-48,-36 10 16,-1 1 24,-1 1-64,-2-1-40,1 1 80,-3 0-16,42-12 0,-43 11 32,0 4-32,-4-1 16,-1 2-80,-4 1 48,1-1 48,51-16-32,-54 20-32,-2 0 32,-1 2 32,-3-2-136,-1 0 16,-1 1 40,62-21 48,-65 21-104,-1 1 136,-2 1-8,-4 1-32,-1-1 16,-3 4-32,76-27 24,-78 26-16,1 3 32,-4 0-16,-1 2-32,-4-1-16,1 1 64,85-31-16,-88 32 0,-2 1 64,-1 0-48,0 2-32,-2 1 40,2-1-8,91-35-16,-92 35 32,0-1 0,1 1-16,-2 1 0,3 0 24,1 0-8,89-36-32,-88 36 0,2-4 0,1 1 0,2 0-72,3-1 72,2 1 24,78-33-24,-78 32-56,4-1 96,0 0-24,4-2 16,3-1 32,2-2-24,65-26-40,-63 27-32,1-2 24,6 0 32,2-2 72,6-3-72,1-1 8,47-19-32,-42 18-16,2-1-88,2-3 136,4 0-16,3-4 8,4 1 8,27-11-32,-24 4-32,4 6 32,4-7 32,3 0-16,4 1 32,5-2-16,4-2-32,-3 3 8,1-3 40,1 0-16,1-1-64,0-2-72,0 3 104,4-2-184,6-2-8,-6-1 88,13-5 0,0 0 40,3-2 48,-20 12 16,24-14-72,6-3 24,2-1 40,5-2-40,4-1 32,1-3-24,-42 24 40,46-25-104,2-1-1,3-2 89,6 1 0,1-2 64,3-2-48,-61 31 0,66-33-96,0 0 112,2-2-40,4-1 48,3 0 24,-1-1-112,-74 37 64,75-37-8,2-2-24,0 0-24,3-1 64,2 1 24,-1 2-32,-81 37 0,84-37 56,0-1-112,0 1-32,2 0 56,-1 0 8,1 1-8,-86 36 32,86-35 40,1 0-80,-1-1-8,2 1 40,1-1-96,-3 0 40,-86 36 64,88-36-8,-1 1-24,-1 0 120,2 3-32,-1-3-56,-1-2 0,-86 37 0,87-36-16,-2 0 16,-3 1-8,-1 4 16,-4-1-16,1 1 32,-78 31-24,78-32 88,-2 1-16,-2 0 8,-1 1-96,-1 1-48,-2 2-32,-70 27 96,66-27-120,-2 2 64,-4 0 40,-1 2 16,-4 1 16,-3 1 72,-52 21-88,50-19 72,-3 0-48,-2 2 56,-4 0-96,-1 3-16,-6 1 48,-34 13-16,34-12 0,-3 1-16,-3 0 0,-3 0 32,-1 7-32,-1-8 32,-23 12-16,20-4 0,-2-6 0,-4 8 0,-2-2 0,-8 1 16,7-1-120,-11 4 104,2-2 16,0 1-104,1-1 120,-1 1 80,-2 1-48,0 0 64,0 0-128,0 0 48,-1 0 8,0 0 16,-3 0 33,1 0-17,-2 3 8,5-3-96,-5 2 56,-6 0-56,2 1 32,-3 0 8,-3 1-64,-3 6 40,18-10-16,-21 3 0,-3 9-152,-2-8 184,-1 11-24,-4-3 24,-2 0 136,33-12-168,-36 15 0,-3 0 0,-3 1-16,-1 1-72,-3 1 112,0 0-24,46-18 0,-49 19 0,-4 1-40,-1 2-8,-2-1 80,-4 1-32,-4 1 136,64-23-136,-66 24 24,-4 0 72,-1 2 96,-1 1-144,-4 2 24,2-1-120,74-28 48,-77 27-120,-1 2 136,-2 0-16,-4 0 32,-2-1-32,-4 2 48,90-30-48,-92 33 0,-3 0 24,-2 1 8,-1-1-64,-3 0 8,-2 0 48,103-33-24,-104 34 0,-3 1 64,-1-1 8,0 1-24,0 0-16,-2 0 24,110-35-56,-110 33 16,-1 1 16,-1-2 32,-1 2-80,2-2 16,-2 2 72,113-34-72,-113 31-16,-1 0 96,1-1 40,-1-1-88,-1 1-48,0-2 16,115-28 0,-113 28 32,-2-1 8,5-1 160,0-4-16,3 0 0,4-2-104,103-20-80,-102 18 24,5-1 24,2-2-16,4-1 48,3 0 40,5-2-56,83-12-64,-78 11-80,-2-1 48,41-10 248,-8 2-8,0 0 24,-8-2 96,55 0-328,-53 0-96,-7 0 64,6-1 112,-7-2-208,4-9 144,3 2 0,54 10-16,-51-12-104,3-2 120,4-2 24,3-2-40,2-2-8,22 9 552,17 11-544,-19-12 544,2-2-191,0-2-353,1-1 0,1-2 0,1-2 0,14 21 0,-14-24 0,5-2 0,-1-2 0,7-2 0,-8-3 0,10 0 0,1 33 0,-2-37 0,2-43-289,12 1-191,10 3-8,5 1 16,8 6 584,-35 69-112,37-66 160,7 5-136,0 7 152,3 4-160,3-2-32,2 1 128,-52 51-112,56-52 16,2 2 48,6 1 136,57-45-560,-2 16 96,-15 13 0,-104 65 264,89-51-376,-4 7 408,-5 3-96,3 1 16,2 1-40,4 3 144,-89 36-56,87-35-72,4 3 104,0 4 24,-2 4-88,4 1 160,1 4-144,-94 19 16,96-18-16,1 3-16,-3 3 64,2 2 80,1 6-8,-2 1 24,-95 3-128,97-1 48,-1 1-80,-1 2 0,-2 11-16,-1-1 16,-2 5-32,-90-17 64,88 19-32,-2 2 8,-2 4-24,-1 3 48,-3 4-32,-2 5 48,-78-37-16,75 39 16,-3 2 0,-2 2 32,-1 0-40,-3 3 8,-1 2-16,-65-48 0,61 50 16,-2 1 0,-3 1 32,-1 2 16,-1 0 16,-4 0 8,-50-54-88,49 55 112,-5 1-48,-1 1 0,0 0-40,-1 1 24,-2-2 32,-40-56-80,38 55 80,-1 0 16,-1 1-96,-1-1 104,-1 0-8,-1-1-64,-33-54-32,31 52 112,-1 0-112,0 0 0,-1-3 32,-2 0 0,1 0-32,-28-49 0,26 48 32,1-1-16,-2-4-16,-2-1 32,-1-2-16,0 0-48,-22-40 32,20 40 0,1-3-32,-3 0 0,1-2 32,-1-3-32,1-2-48,-19-30 80,19 29-48,-2-2-80,0-2-88,-3-1-144,2-2-464,-2-3-560,-14-19 1384,14 17-2185,1-3-1432,0-1-1448,0-9-640,-3 7-3393,-12-11 9098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5:51:39.755"/>
    </inkml:context>
    <inkml:brush xml:id="br0">
      <inkml:brushProperty name="width" value="0.035" units="cm"/>
      <inkml:brushProperty name="height" value="0.035" units="cm"/>
    </inkml:brush>
  </inkml:definitions>
  <inkml:trace contextRef="#ctx0" brushRef="#br0">70 111 30774,'0'0'0,"-21"-24"1993,3 5-1993,0-1 0,18 20 0,-11-11 0,10 10 0,1-1 0,0 1 0,0 0 0,2 0 0,-2 1 0,3-3 0,0 1 0,0 0 0,0-1 0,8 1 0,0 1 0,-11 1 0,15-3 0,8 1-5354,2-1-6480,3-6 223,-28 9 11611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14"/>
  <sheetViews>
    <sheetView rightToLeft="1" tabSelected="1" view="pageBreakPreview" topLeftCell="C108" zoomScale="130" zoomScaleNormal="100" zoomScaleSheetLayoutView="130" workbookViewId="0">
      <selection activeCell="G114" sqref="G114:J114"/>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58" t="s">
        <v>281</v>
      </c>
      <c r="C1" s="59"/>
      <c r="D1" s="59"/>
      <c r="E1" s="59"/>
      <c r="F1" s="59"/>
      <c r="G1" s="59"/>
      <c r="H1" s="59"/>
      <c r="I1" s="59"/>
      <c r="J1" s="59"/>
    </row>
    <row r="2" spans="1:10" ht="30" customHeight="1" x14ac:dyDescent="0.2">
      <c r="B2" s="13" t="s">
        <v>8</v>
      </c>
      <c r="C2" s="65" t="s">
        <v>36</v>
      </c>
      <c r="D2" s="65"/>
      <c r="E2" s="13" t="s">
        <v>7</v>
      </c>
      <c r="F2" s="60">
        <v>45951</v>
      </c>
      <c r="G2" s="60"/>
      <c r="H2" s="60"/>
      <c r="I2" s="60"/>
      <c r="J2" s="60"/>
    </row>
    <row r="3" spans="1:10" ht="30" customHeight="1" x14ac:dyDescent="0.2">
      <c r="B3" s="13" t="s">
        <v>9</v>
      </c>
      <c r="C3" s="65" t="s">
        <v>182</v>
      </c>
      <c r="D3" s="65"/>
      <c r="E3" s="13" t="s">
        <v>6</v>
      </c>
      <c r="F3" s="65" t="s">
        <v>198</v>
      </c>
      <c r="G3" s="65"/>
      <c r="H3" s="65"/>
      <c r="I3" s="65"/>
      <c r="J3" s="65"/>
    </row>
    <row r="4" spans="1:10" ht="30" customHeight="1" thickBot="1" x14ac:dyDescent="0.25">
      <c r="B4" s="6"/>
      <c r="C4" s="7"/>
      <c r="D4" s="7"/>
      <c r="E4" s="6"/>
      <c r="F4" s="7"/>
      <c r="G4" s="7"/>
      <c r="H4" s="8"/>
      <c r="I4" s="7"/>
      <c r="J4" s="7"/>
    </row>
    <row r="5" spans="1:10" ht="24.95" customHeight="1" x14ac:dyDescent="0.2">
      <c r="A5" s="11"/>
      <c r="B5" s="61" t="s">
        <v>0</v>
      </c>
      <c r="C5" s="62"/>
      <c r="D5" s="62"/>
      <c r="E5" s="66" t="s">
        <v>1</v>
      </c>
      <c r="F5" s="66"/>
      <c r="G5" s="66"/>
      <c r="H5" s="66"/>
      <c r="I5" s="66" t="s">
        <v>2</v>
      </c>
      <c r="J5" s="67"/>
    </row>
    <row r="6" spans="1:10" ht="24.95" customHeight="1" thickBot="1" x14ac:dyDescent="0.25">
      <c r="A6" s="11"/>
      <c r="B6" s="63"/>
      <c r="C6" s="64"/>
      <c r="D6" s="64"/>
      <c r="E6" s="12" t="s">
        <v>3</v>
      </c>
      <c r="F6" s="12" t="s">
        <v>4</v>
      </c>
      <c r="G6" s="12" t="s">
        <v>23</v>
      </c>
      <c r="H6" s="12" t="s">
        <v>24</v>
      </c>
      <c r="I6" s="68"/>
      <c r="J6" s="69"/>
    </row>
    <row r="7" spans="1:10" ht="24.95" customHeight="1" thickBot="1" x14ac:dyDescent="0.25">
      <c r="A7" s="11"/>
      <c r="B7" s="78" t="s">
        <v>21</v>
      </c>
      <c r="C7" s="79"/>
      <c r="D7" s="79"/>
      <c r="E7" s="25" t="s">
        <v>18</v>
      </c>
      <c r="F7" s="25" t="s">
        <v>19</v>
      </c>
      <c r="G7" s="25" t="s">
        <v>22</v>
      </c>
      <c r="H7" s="25" t="s">
        <v>20</v>
      </c>
      <c r="I7" s="80" t="s">
        <v>25</v>
      </c>
      <c r="J7" s="81"/>
    </row>
    <row r="8" spans="1:10" ht="30" customHeight="1" thickBot="1" x14ac:dyDescent="0.25">
      <c r="A8" s="11"/>
      <c r="B8" s="70" t="s">
        <v>63</v>
      </c>
      <c r="C8" s="71"/>
      <c r="D8" s="71"/>
      <c r="E8" s="33">
        <v>5</v>
      </c>
      <c r="F8" s="31">
        <v>3.75</v>
      </c>
      <c r="G8" s="32">
        <f>IFERROR(F8/E8,"")</f>
        <v>0.75</v>
      </c>
      <c r="H8" s="22" t="str">
        <f>_xlfn.IFS(F8="أدخل العلامة","",F8="لا ينطبق","تم الإلغاء",G8&gt;=90%,"ممتاز",G8&gt;=80%,"جيد جداً",G8&gt;=70%,"جيد",G8&gt;=60%,"مقبول",G8&lt;60%,"راسب")</f>
        <v>جيد</v>
      </c>
      <c r="I8" s="47"/>
      <c r="J8" s="48"/>
    </row>
    <row r="9" spans="1:10" ht="30" customHeight="1" thickBot="1" x14ac:dyDescent="0.25">
      <c r="A9" s="11"/>
      <c r="B9" s="70" t="s">
        <v>146</v>
      </c>
      <c r="C9" s="71"/>
      <c r="D9" s="71"/>
      <c r="E9" s="33">
        <v>5</v>
      </c>
      <c r="F9" s="31">
        <v>3.5</v>
      </c>
      <c r="G9" s="32">
        <f>IFERROR(F9/E9,"")</f>
        <v>0.7</v>
      </c>
      <c r="H9" s="22" t="str">
        <f>_xlfn.IFS(F9="أدخل العلامة","",F9="لا ينطبق","تم الإلغاء",G9&gt;=90%,"ممتاز",G9&gt;=80%,"جيد جداً",G9&gt;=70%,"جيد",G9&gt;=60%,"مقبول",G9&lt;60%,"راسب")</f>
        <v>جيد</v>
      </c>
      <c r="I9" s="47"/>
      <c r="J9" s="48"/>
    </row>
    <row r="10" spans="1:10" ht="39.950000000000003" customHeight="1" thickBot="1" x14ac:dyDescent="0.25">
      <c r="A10" s="11"/>
      <c r="B10" s="70" t="s">
        <v>147</v>
      </c>
      <c r="C10" s="71"/>
      <c r="D10" s="71"/>
      <c r="E10" s="33">
        <v>5</v>
      </c>
      <c r="F10" s="31">
        <v>3.75</v>
      </c>
      <c r="G10" s="32">
        <f t="shared" ref="G10:G69" si="0">IFERROR(F10/E10,"")</f>
        <v>0.75</v>
      </c>
      <c r="H10" s="22" t="str">
        <f t="shared" ref="H10:H69" si="1">_xlfn.IFS(F10="أدخل العلامة","",F10="لا ينطبق","تم الإلغاء",G10&gt;=90%,"ممتاز",G10&gt;=80%,"جيد جداً",G10&gt;=70%,"جيد",G10&gt;=60%,"مقبول",G10&lt;60%,"راسب")</f>
        <v>جيد</v>
      </c>
      <c r="I10" s="47"/>
      <c r="J10" s="48"/>
    </row>
    <row r="11" spans="1:10" ht="30" customHeight="1" x14ac:dyDescent="0.2">
      <c r="A11" s="11"/>
      <c r="B11" s="108" t="s">
        <v>148</v>
      </c>
      <c r="C11" s="109"/>
      <c r="D11" s="109"/>
      <c r="E11" s="109"/>
      <c r="F11" s="109"/>
      <c r="G11" s="109"/>
      <c r="H11" s="109"/>
      <c r="I11" s="109"/>
      <c r="J11" s="110"/>
    </row>
    <row r="12" spans="1:10" ht="30" customHeight="1" x14ac:dyDescent="0.2">
      <c r="A12" s="11"/>
      <c r="B12" s="72" t="s">
        <v>64</v>
      </c>
      <c r="C12" s="73"/>
      <c r="D12" s="73"/>
      <c r="E12" s="9">
        <v>5</v>
      </c>
      <c r="F12" s="20">
        <v>3.75</v>
      </c>
      <c r="G12" s="26">
        <f t="shared" si="0"/>
        <v>0.75</v>
      </c>
      <c r="H12" s="27" t="str">
        <f t="shared" si="1"/>
        <v>جيد</v>
      </c>
      <c r="I12" s="41"/>
      <c r="J12" s="42"/>
    </row>
    <row r="13" spans="1:10" ht="30" customHeight="1" x14ac:dyDescent="0.2">
      <c r="A13" s="11"/>
      <c r="B13" s="72" t="s">
        <v>65</v>
      </c>
      <c r="C13" s="73"/>
      <c r="D13" s="73"/>
      <c r="E13" s="9">
        <v>5</v>
      </c>
      <c r="F13" s="20">
        <v>3.5</v>
      </c>
      <c r="G13" s="26">
        <f t="shared" si="0"/>
        <v>0.7</v>
      </c>
      <c r="H13" s="27" t="str">
        <f t="shared" si="1"/>
        <v>جيد</v>
      </c>
      <c r="I13" s="41"/>
      <c r="J13" s="42"/>
    </row>
    <row r="14" spans="1:10" ht="30" customHeight="1" x14ac:dyDescent="0.2">
      <c r="A14" s="11"/>
      <c r="B14" s="72" t="s">
        <v>149</v>
      </c>
      <c r="C14" s="73"/>
      <c r="D14" s="73"/>
      <c r="E14" s="9">
        <v>5</v>
      </c>
      <c r="F14" s="20">
        <v>3.5</v>
      </c>
      <c r="G14" s="26">
        <f t="shared" si="0"/>
        <v>0.7</v>
      </c>
      <c r="H14" s="27" t="str">
        <f t="shared" si="1"/>
        <v>جيد</v>
      </c>
      <c r="I14" s="52" t="s">
        <v>143</v>
      </c>
      <c r="J14" s="53"/>
    </row>
    <row r="15" spans="1:10" ht="64.900000000000006" customHeight="1" thickBot="1" x14ac:dyDescent="0.25">
      <c r="A15" s="11"/>
      <c r="B15" s="74" t="s">
        <v>150</v>
      </c>
      <c r="C15" s="75"/>
      <c r="D15" s="75"/>
      <c r="E15" s="23">
        <v>5</v>
      </c>
      <c r="F15" s="21">
        <v>3.5</v>
      </c>
      <c r="G15" s="28">
        <f t="shared" si="0"/>
        <v>0.7</v>
      </c>
      <c r="H15" s="29" t="str">
        <f t="shared" si="1"/>
        <v>جيد</v>
      </c>
      <c r="I15" s="92"/>
      <c r="J15" s="93"/>
    </row>
    <row r="16" spans="1:10" ht="30" customHeight="1" x14ac:dyDescent="0.2">
      <c r="A16" s="11"/>
      <c r="B16" s="108" t="s">
        <v>151</v>
      </c>
      <c r="C16" s="109"/>
      <c r="D16" s="109"/>
      <c r="E16" s="109"/>
      <c r="F16" s="109"/>
      <c r="G16" s="109"/>
      <c r="H16" s="109"/>
      <c r="I16" s="109"/>
      <c r="J16" s="110"/>
    </row>
    <row r="17" spans="1:10" ht="30" customHeight="1" x14ac:dyDescent="0.2">
      <c r="A17" s="11"/>
      <c r="B17" s="72" t="s">
        <v>66</v>
      </c>
      <c r="C17" s="73"/>
      <c r="D17" s="73"/>
      <c r="E17" s="9">
        <v>15</v>
      </c>
      <c r="F17" s="20">
        <v>10.5</v>
      </c>
      <c r="G17" s="26">
        <f t="shared" si="0"/>
        <v>0.7</v>
      </c>
      <c r="H17" s="27" t="str">
        <f t="shared" si="1"/>
        <v>جيد</v>
      </c>
      <c r="I17" s="41"/>
      <c r="J17" s="42"/>
    </row>
    <row r="18" spans="1:10" ht="30" customHeight="1" x14ac:dyDescent="0.2">
      <c r="A18" s="11"/>
      <c r="B18" s="72" t="s">
        <v>67</v>
      </c>
      <c r="C18" s="73"/>
      <c r="D18" s="73"/>
      <c r="E18" s="9">
        <v>5</v>
      </c>
      <c r="F18" s="20">
        <v>3.5</v>
      </c>
      <c r="G18" s="26">
        <f t="shared" si="0"/>
        <v>0.7</v>
      </c>
      <c r="H18" s="27" t="str">
        <f t="shared" si="1"/>
        <v>جيد</v>
      </c>
      <c r="I18" s="41"/>
      <c r="J18" s="42"/>
    </row>
    <row r="19" spans="1:10" ht="30" customHeight="1" x14ac:dyDescent="0.2">
      <c r="A19" s="11"/>
      <c r="B19" s="72" t="s">
        <v>68</v>
      </c>
      <c r="C19" s="73"/>
      <c r="D19" s="73"/>
      <c r="E19" s="9">
        <v>5</v>
      </c>
      <c r="F19" s="20">
        <v>3.5</v>
      </c>
      <c r="G19" s="26">
        <f t="shared" si="0"/>
        <v>0.7</v>
      </c>
      <c r="H19" s="27" t="str">
        <f t="shared" si="1"/>
        <v>جيد</v>
      </c>
      <c r="I19" s="41"/>
      <c r="J19" s="42"/>
    </row>
    <row r="20" spans="1:10" ht="30" customHeight="1" x14ac:dyDescent="0.2">
      <c r="A20" s="11"/>
      <c r="B20" s="72" t="s">
        <v>69</v>
      </c>
      <c r="C20" s="73"/>
      <c r="D20" s="73"/>
      <c r="E20" s="9">
        <v>5</v>
      </c>
      <c r="F20" s="20">
        <v>3.5</v>
      </c>
      <c r="G20" s="26">
        <f t="shared" si="0"/>
        <v>0.7</v>
      </c>
      <c r="H20" s="27" t="str">
        <f t="shared" si="1"/>
        <v>جيد</v>
      </c>
      <c r="I20" s="41"/>
      <c r="J20" s="42"/>
    </row>
    <row r="21" spans="1:10" ht="30" customHeight="1" x14ac:dyDescent="0.2">
      <c r="A21" s="11"/>
      <c r="B21" s="72" t="s">
        <v>70</v>
      </c>
      <c r="C21" s="73"/>
      <c r="D21" s="73"/>
      <c r="E21" s="9">
        <v>5</v>
      </c>
      <c r="F21" s="20">
        <v>3.75</v>
      </c>
      <c r="G21" s="26">
        <f t="shared" si="0"/>
        <v>0.75</v>
      </c>
      <c r="H21" s="27" t="str">
        <f t="shared" si="1"/>
        <v>جيد</v>
      </c>
      <c r="I21" s="41"/>
      <c r="J21" s="42"/>
    </row>
    <row r="22" spans="1:10" ht="30" customHeight="1" x14ac:dyDescent="0.2">
      <c r="A22" s="11"/>
      <c r="B22" s="72" t="s">
        <v>71</v>
      </c>
      <c r="C22" s="73"/>
      <c r="D22" s="73"/>
      <c r="E22" s="9">
        <v>5</v>
      </c>
      <c r="F22" s="20">
        <v>3.5</v>
      </c>
      <c r="G22" s="26">
        <f t="shared" si="0"/>
        <v>0.7</v>
      </c>
      <c r="H22" s="27" t="str">
        <f t="shared" si="1"/>
        <v>جيد</v>
      </c>
      <c r="I22" s="41"/>
      <c r="J22" s="42"/>
    </row>
    <row r="23" spans="1:10" ht="30" customHeight="1" x14ac:dyDescent="0.2">
      <c r="A23" s="11"/>
      <c r="B23" s="72" t="s">
        <v>72</v>
      </c>
      <c r="C23" s="73"/>
      <c r="D23" s="73"/>
      <c r="E23" s="24">
        <v>5</v>
      </c>
      <c r="F23" s="20">
        <v>3.5</v>
      </c>
      <c r="G23" s="26">
        <f t="shared" si="0"/>
        <v>0.7</v>
      </c>
      <c r="H23" s="27" t="str">
        <f t="shared" si="1"/>
        <v>جيد</v>
      </c>
      <c r="I23" s="41"/>
      <c r="J23" s="42"/>
    </row>
    <row r="24" spans="1:10" ht="30" customHeight="1" x14ac:dyDescent="0.2">
      <c r="A24" s="11"/>
      <c r="B24" s="72" t="s">
        <v>73</v>
      </c>
      <c r="C24" s="73"/>
      <c r="D24" s="73"/>
      <c r="E24" s="24">
        <v>5</v>
      </c>
      <c r="F24" s="20">
        <v>3.5</v>
      </c>
      <c r="G24" s="26">
        <f t="shared" si="0"/>
        <v>0.7</v>
      </c>
      <c r="H24" s="27" t="str">
        <f t="shared" si="1"/>
        <v>جيد</v>
      </c>
      <c r="I24" s="41"/>
      <c r="J24" s="42"/>
    </row>
    <row r="25" spans="1:10" ht="30" customHeight="1" x14ac:dyDescent="0.2">
      <c r="A25" s="11"/>
      <c r="B25" s="72" t="s">
        <v>74</v>
      </c>
      <c r="C25" s="73"/>
      <c r="D25" s="73"/>
      <c r="E25" s="9">
        <v>5</v>
      </c>
      <c r="F25" s="20">
        <v>3.5</v>
      </c>
      <c r="G25" s="26">
        <f t="shared" si="0"/>
        <v>0.7</v>
      </c>
      <c r="H25" s="27" t="str">
        <f t="shared" si="1"/>
        <v>جيد</v>
      </c>
      <c r="I25" s="41"/>
      <c r="J25" s="42"/>
    </row>
    <row r="26" spans="1:10" ht="30" customHeight="1" thickBot="1" x14ac:dyDescent="0.25">
      <c r="A26" s="11"/>
      <c r="B26" s="72" t="s">
        <v>75</v>
      </c>
      <c r="C26" s="73"/>
      <c r="D26" s="73"/>
      <c r="E26" s="9">
        <v>10</v>
      </c>
      <c r="F26" s="20">
        <v>7</v>
      </c>
      <c r="G26" s="26">
        <f t="shared" si="0"/>
        <v>0.7</v>
      </c>
      <c r="H26" s="27" t="str">
        <f t="shared" si="1"/>
        <v>جيد</v>
      </c>
      <c r="I26" s="41"/>
      <c r="J26" s="42"/>
    </row>
    <row r="27" spans="1:10" ht="30" customHeight="1" x14ac:dyDescent="0.2">
      <c r="A27" s="11"/>
      <c r="B27" s="108" t="s">
        <v>152</v>
      </c>
      <c r="C27" s="109"/>
      <c r="D27" s="109"/>
      <c r="E27" s="109"/>
      <c r="F27" s="109"/>
      <c r="G27" s="109"/>
      <c r="H27" s="109"/>
      <c r="I27" s="109"/>
      <c r="J27" s="110"/>
    </row>
    <row r="28" spans="1:10" ht="30" customHeight="1" x14ac:dyDescent="0.2">
      <c r="A28" s="11"/>
      <c r="B28" s="72" t="s">
        <v>76</v>
      </c>
      <c r="C28" s="73"/>
      <c r="D28" s="73"/>
      <c r="E28" s="9">
        <v>5</v>
      </c>
      <c r="F28" s="20">
        <v>3.5</v>
      </c>
      <c r="G28" s="26">
        <f t="shared" si="0"/>
        <v>0.7</v>
      </c>
      <c r="H28" s="27" t="str">
        <f t="shared" si="1"/>
        <v>جيد</v>
      </c>
      <c r="I28" s="41"/>
      <c r="J28" s="42"/>
    </row>
    <row r="29" spans="1:10" ht="30" customHeight="1" x14ac:dyDescent="0.2">
      <c r="A29" s="11"/>
      <c r="B29" s="72" t="s">
        <v>77</v>
      </c>
      <c r="C29" s="73"/>
      <c r="D29" s="73"/>
      <c r="E29" s="9">
        <v>5</v>
      </c>
      <c r="F29" s="20">
        <v>3.5</v>
      </c>
      <c r="G29" s="26">
        <f t="shared" si="0"/>
        <v>0.7</v>
      </c>
      <c r="H29" s="27" t="str">
        <f t="shared" si="1"/>
        <v>جيد</v>
      </c>
      <c r="I29" s="41"/>
      <c r="J29" s="42"/>
    </row>
    <row r="30" spans="1:10" ht="30" customHeight="1" x14ac:dyDescent="0.2">
      <c r="A30" s="11"/>
      <c r="B30" s="72" t="s">
        <v>78</v>
      </c>
      <c r="C30" s="73"/>
      <c r="D30" s="73"/>
      <c r="E30" s="9">
        <v>5</v>
      </c>
      <c r="F30" s="20">
        <v>3.5</v>
      </c>
      <c r="G30" s="26">
        <f t="shared" si="0"/>
        <v>0.7</v>
      </c>
      <c r="H30" s="27" t="str">
        <f t="shared" si="1"/>
        <v>جيد</v>
      </c>
      <c r="I30" s="41"/>
      <c r="J30" s="42"/>
    </row>
    <row r="31" spans="1:10" ht="39.950000000000003" customHeight="1" x14ac:dyDescent="0.2">
      <c r="A31" s="11"/>
      <c r="B31" s="72" t="s">
        <v>79</v>
      </c>
      <c r="C31" s="73"/>
      <c r="D31" s="73"/>
      <c r="E31" s="9">
        <v>5</v>
      </c>
      <c r="F31" s="20">
        <v>3.75</v>
      </c>
      <c r="G31" s="26">
        <f t="shared" si="0"/>
        <v>0.75</v>
      </c>
      <c r="H31" s="27" t="str">
        <f t="shared" si="1"/>
        <v>جيد</v>
      </c>
      <c r="I31" s="41"/>
      <c r="J31" s="42"/>
    </row>
    <row r="32" spans="1:10" ht="30" customHeight="1" x14ac:dyDescent="0.2">
      <c r="A32" s="11"/>
      <c r="B32" s="72" t="s">
        <v>80</v>
      </c>
      <c r="C32" s="73"/>
      <c r="D32" s="73"/>
      <c r="E32" s="9">
        <v>5</v>
      </c>
      <c r="F32" s="20">
        <v>3.5</v>
      </c>
      <c r="G32" s="26">
        <f t="shared" si="0"/>
        <v>0.7</v>
      </c>
      <c r="H32" s="27" t="str">
        <f t="shared" si="1"/>
        <v>جيد</v>
      </c>
      <c r="I32" s="41"/>
      <c r="J32" s="42"/>
    </row>
    <row r="33" spans="1:10" ht="39.950000000000003" customHeight="1" thickBot="1" x14ac:dyDescent="0.25">
      <c r="A33" s="11"/>
      <c r="B33" s="74" t="s">
        <v>81</v>
      </c>
      <c r="C33" s="75"/>
      <c r="D33" s="75"/>
      <c r="E33" s="23">
        <v>5</v>
      </c>
      <c r="F33" s="21">
        <v>3.5</v>
      </c>
      <c r="G33" s="28">
        <f t="shared" si="0"/>
        <v>0.7</v>
      </c>
      <c r="H33" s="29" t="str">
        <f t="shared" si="1"/>
        <v>جيد</v>
      </c>
      <c r="I33" s="49"/>
      <c r="J33" s="50"/>
    </row>
    <row r="34" spans="1:10" ht="30" customHeight="1" x14ac:dyDescent="0.2">
      <c r="A34" s="11"/>
      <c r="B34" s="108" t="s">
        <v>153</v>
      </c>
      <c r="C34" s="109"/>
      <c r="D34" s="109"/>
      <c r="E34" s="109"/>
      <c r="F34" s="109"/>
      <c r="G34" s="109"/>
      <c r="H34" s="109"/>
      <c r="I34" s="109"/>
      <c r="J34" s="110"/>
    </row>
    <row r="35" spans="1:10" ht="30" customHeight="1" x14ac:dyDescent="0.2">
      <c r="A35" s="11"/>
      <c r="B35" s="72" t="s">
        <v>82</v>
      </c>
      <c r="C35" s="73"/>
      <c r="D35" s="73"/>
      <c r="E35" s="9">
        <v>5</v>
      </c>
      <c r="F35" s="20">
        <v>3.5</v>
      </c>
      <c r="G35" s="26">
        <f t="shared" si="0"/>
        <v>0.7</v>
      </c>
      <c r="H35" s="27" t="str">
        <f t="shared" si="1"/>
        <v>جيد</v>
      </c>
      <c r="I35" s="41"/>
      <c r="J35" s="42"/>
    </row>
    <row r="36" spans="1:10" ht="30" customHeight="1" x14ac:dyDescent="0.2">
      <c r="A36" s="11"/>
      <c r="B36" s="72" t="s">
        <v>83</v>
      </c>
      <c r="C36" s="73"/>
      <c r="D36" s="73"/>
      <c r="E36" s="9">
        <v>5</v>
      </c>
      <c r="F36" s="20">
        <v>3.5</v>
      </c>
      <c r="G36" s="26">
        <f t="shared" si="0"/>
        <v>0.7</v>
      </c>
      <c r="H36" s="27" t="str">
        <f t="shared" si="1"/>
        <v>جيد</v>
      </c>
      <c r="I36" s="41"/>
      <c r="J36" s="42"/>
    </row>
    <row r="37" spans="1:10" ht="30" customHeight="1" x14ac:dyDescent="0.2">
      <c r="A37" s="11"/>
      <c r="B37" s="72" t="s">
        <v>84</v>
      </c>
      <c r="C37" s="73"/>
      <c r="D37" s="73"/>
      <c r="E37" s="9">
        <v>5</v>
      </c>
      <c r="F37" s="20">
        <v>3.5</v>
      </c>
      <c r="G37" s="26">
        <f t="shared" si="0"/>
        <v>0.7</v>
      </c>
      <c r="H37" s="27" t="str">
        <f t="shared" si="1"/>
        <v>جيد</v>
      </c>
      <c r="I37" s="41"/>
      <c r="J37" s="42"/>
    </row>
    <row r="38" spans="1:10" ht="30" customHeight="1" x14ac:dyDescent="0.2">
      <c r="A38" s="11"/>
      <c r="B38" s="72" t="s">
        <v>85</v>
      </c>
      <c r="C38" s="73"/>
      <c r="D38" s="73"/>
      <c r="E38" s="9">
        <v>5</v>
      </c>
      <c r="F38" s="20">
        <v>3.5</v>
      </c>
      <c r="G38" s="26">
        <f t="shared" si="0"/>
        <v>0.7</v>
      </c>
      <c r="H38" s="27" t="str">
        <f t="shared" si="1"/>
        <v>جيد</v>
      </c>
      <c r="I38" s="41"/>
      <c r="J38" s="42"/>
    </row>
    <row r="39" spans="1:10" ht="30" customHeight="1" thickBot="1" x14ac:dyDescent="0.25">
      <c r="A39" s="11"/>
      <c r="B39" s="74" t="s">
        <v>86</v>
      </c>
      <c r="C39" s="75"/>
      <c r="D39" s="75"/>
      <c r="E39" s="23">
        <v>5</v>
      </c>
      <c r="F39" s="21">
        <v>3.5</v>
      </c>
      <c r="G39" s="28">
        <f t="shared" si="0"/>
        <v>0.7</v>
      </c>
      <c r="H39" s="29" t="str">
        <f t="shared" si="1"/>
        <v>جيد</v>
      </c>
      <c r="I39" s="49"/>
      <c r="J39" s="50"/>
    </row>
    <row r="40" spans="1:10" ht="30" customHeight="1" x14ac:dyDescent="0.2">
      <c r="A40" s="11"/>
      <c r="B40" s="108" t="s">
        <v>87</v>
      </c>
      <c r="C40" s="109"/>
      <c r="D40" s="109"/>
      <c r="E40" s="109"/>
      <c r="F40" s="109"/>
      <c r="G40" s="109"/>
      <c r="H40" s="109"/>
      <c r="I40" s="109"/>
      <c r="J40" s="110"/>
    </row>
    <row r="41" spans="1:10" ht="39.950000000000003" customHeight="1" x14ac:dyDescent="0.2">
      <c r="A41" s="11"/>
      <c r="B41" s="105" t="s">
        <v>154</v>
      </c>
      <c r="C41" s="106"/>
      <c r="D41" s="107"/>
      <c r="E41" s="30"/>
      <c r="F41" s="20"/>
      <c r="G41" s="26"/>
      <c r="H41" s="27"/>
      <c r="I41" s="41"/>
      <c r="J41" s="42"/>
    </row>
    <row r="42" spans="1:10" ht="30" customHeight="1" x14ac:dyDescent="0.2">
      <c r="A42" s="11"/>
      <c r="B42" s="90" t="s">
        <v>88</v>
      </c>
      <c r="C42" s="91"/>
      <c r="D42" s="91"/>
      <c r="E42" s="9">
        <v>5</v>
      </c>
      <c r="F42" s="20">
        <v>3.5</v>
      </c>
      <c r="G42" s="26">
        <f t="shared" si="0"/>
        <v>0.7</v>
      </c>
      <c r="H42" s="27" t="str">
        <f t="shared" si="1"/>
        <v>جيد</v>
      </c>
      <c r="I42" s="41"/>
      <c r="J42" s="42"/>
    </row>
    <row r="43" spans="1:10" ht="39.950000000000003" customHeight="1" x14ac:dyDescent="0.2">
      <c r="A43" s="11"/>
      <c r="B43" s="90" t="s">
        <v>89</v>
      </c>
      <c r="C43" s="91"/>
      <c r="D43" s="91"/>
      <c r="E43" s="9">
        <v>5</v>
      </c>
      <c r="F43" s="20">
        <v>3.5</v>
      </c>
      <c r="G43" s="26">
        <f t="shared" si="0"/>
        <v>0.7</v>
      </c>
      <c r="H43" s="27" t="str">
        <f t="shared" si="1"/>
        <v>جيد</v>
      </c>
      <c r="I43" s="41"/>
      <c r="J43" s="42"/>
    </row>
    <row r="44" spans="1:10" ht="39.950000000000003" customHeight="1" x14ac:dyDescent="0.2">
      <c r="A44" s="11"/>
      <c r="B44" s="90" t="s">
        <v>90</v>
      </c>
      <c r="C44" s="91"/>
      <c r="D44" s="91"/>
      <c r="E44" s="9">
        <v>5</v>
      </c>
      <c r="F44" s="20">
        <v>3.5</v>
      </c>
      <c r="G44" s="26">
        <f t="shared" si="0"/>
        <v>0.7</v>
      </c>
      <c r="H44" s="27" t="str">
        <f t="shared" si="1"/>
        <v>جيد</v>
      </c>
      <c r="I44" s="41"/>
      <c r="J44" s="42"/>
    </row>
    <row r="45" spans="1:10" ht="30" customHeight="1" x14ac:dyDescent="0.2">
      <c r="A45" s="11"/>
      <c r="B45" s="72" t="s">
        <v>166</v>
      </c>
      <c r="C45" s="73"/>
      <c r="D45" s="73"/>
      <c r="E45" s="9"/>
      <c r="F45" s="20"/>
      <c r="G45" s="26"/>
      <c r="H45" s="27"/>
      <c r="I45" s="41"/>
      <c r="J45" s="42"/>
    </row>
    <row r="46" spans="1:10" ht="39.950000000000003" customHeight="1" x14ac:dyDescent="0.2">
      <c r="A46" s="11"/>
      <c r="B46" s="90" t="s">
        <v>91</v>
      </c>
      <c r="C46" s="91"/>
      <c r="D46" s="91"/>
      <c r="E46" s="9">
        <v>10</v>
      </c>
      <c r="F46" s="20">
        <v>7</v>
      </c>
      <c r="G46" s="26">
        <f t="shared" si="0"/>
        <v>0.7</v>
      </c>
      <c r="H46" s="27" t="str">
        <f t="shared" si="1"/>
        <v>جيد</v>
      </c>
      <c r="I46" s="41"/>
      <c r="J46" s="42"/>
    </row>
    <row r="47" spans="1:10" ht="50.1" customHeight="1" x14ac:dyDescent="0.2">
      <c r="A47" s="11"/>
      <c r="B47" s="90" t="s">
        <v>280</v>
      </c>
      <c r="C47" s="91"/>
      <c r="D47" s="91"/>
      <c r="E47" s="9">
        <v>5</v>
      </c>
      <c r="F47" s="20">
        <v>3.5</v>
      </c>
      <c r="G47" s="26">
        <f t="shared" si="0"/>
        <v>0.7</v>
      </c>
      <c r="H47" s="27" t="str">
        <f t="shared" si="1"/>
        <v>جيد</v>
      </c>
      <c r="I47" s="41"/>
      <c r="J47" s="42"/>
    </row>
    <row r="48" spans="1:10" ht="39.950000000000003" customHeight="1" x14ac:dyDescent="0.2">
      <c r="A48" s="11"/>
      <c r="B48" s="90" t="s">
        <v>92</v>
      </c>
      <c r="C48" s="91"/>
      <c r="D48" s="91"/>
      <c r="E48" s="9">
        <v>5</v>
      </c>
      <c r="F48" s="20">
        <v>3.5</v>
      </c>
      <c r="G48" s="26">
        <f t="shared" si="0"/>
        <v>0.7</v>
      </c>
      <c r="H48" s="27" t="str">
        <f t="shared" si="1"/>
        <v>جيد</v>
      </c>
      <c r="I48" s="41"/>
      <c r="J48" s="42"/>
    </row>
    <row r="49" spans="1:10" ht="50.1" customHeight="1" x14ac:dyDescent="0.2">
      <c r="A49" s="11"/>
      <c r="B49" s="90" t="s">
        <v>155</v>
      </c>
      <c r="C49" s="91"/>
      <c r="D49" s="91"/>
      <c r="E49" s="9">
        <v>5</v>
      </c>
      <c r="F49" s="40">
        <v>3.5</v>
      </c>
      <c r="G49" s="26">
        <f t="shared" si="0"/>
        <v>0.7</v>
      </c>
      <c r="H49" s="27" t="str">
        <f t="shared" si="1"/>
        <v>جيد</v>
      </c>
      <c r="I49" s="41"/>
      <c r="J49" s="42"/>
    </row>
    <row r="50" spans="1:10" ht="71.25" customHeight="1" x14ac:dyDescent="0.2">
      <c r="A50" s="11"/>
      <c r="B50" s="90" t="s">
        <v>93</v>
      </c>
      <c r="C50" s="91"/>
      <c r="D50" s="91"/>
      <c r="E50" s="9">
        <v>5</v>
      </c>
      <c r="F50" s="40">
        <v>3.5</v>
      </c>
      <c r="G50" s="26">
        <f t="shared" si="0"/>
        <v>0.7</v>
      </c>
      <c r="H50" s="27" t="str">
        <f t="shared" si="1"/>
        <v>جيد</v>
      </c>
      <c r="I50" s="41"/>
      <c r="J50" s="42"/>
    </row>
    <row r="51" spans="1:10" ht="50.1" customHeight="1" x14ac:dyDescent="0.2">
      <c r="A51" s="11"/>
      <c r="B51" s="90" t="s">
        <v>94</v>
      </c>
      <c r="C51" s="91"/>
      <c r="D51" s="91"/>
      <c r="E51" s="9">
        <v>5</v>
      </c>
      <c r="F51" s="20">
        <v>3.5</v>
      </c>
      <c r="G51" s="26">
        <f t="shared" si="0"/>
        <v>0.7</v>
      </c>
      <c r="H51" s="27" t="str">
        <f t="shared" si="1"/>
        <v>جيد</v>
      </c>
      <c r="I51" s="41"/>
      <c r="J51" s="42"/>
    </row>
    <row r="52" spans="1:10" ht="50.1" customHeight="1" x14ac:dyDescent="0.2">
      <c r="A52" s="11"/>
      <c r="B52" s="105" t="s">
        <v>95</v>
      </c>
      <c r="C52" s="106"/>
      <c r="D52" s="107"/>
      <c r="E52" s="30"/>
      <c r="F52" s="20"/>
      <c r="G52" s="26"/>
      <c r="H52" s="27"/>
      <c r="I52" s="41"/>
      <c r="J52" s="42"/>
    </row>
    <row r="53" spans="1:10" ht="30" customHeight="1" x14ac:dyDescent="0.2">
      <c r="A53" s="11"/>
      <c r="B53" s="96" t="s">
        <v>96</v>
      </c>
      <c r="C53" s="97"/>
      <c r="D53" s="98"/>
      <c r="E53" s="30"/>
      <c r="F53" s="20"/>
      <c r="G53" s="26"/>
      <c r="H53" s="27"/>
      <c r="I53" s="41"/>
      <c r="J53" s="42"/>
    </row>
    <row r="54" spans="1:10" ht="30" customHeight="1" x14ac:dyDescent="0.2">
      <c r="A54" s="11"/>
      <c r="B54" s="94" t="s">
        <v>97</v>
      </c>
      <c r="C54" s="95"/>
      <c r="D54" s="95"/>
      <c r="E54" s="9">
        <v>2</v>
      </c>
      <c r="F54" s="20">
        <v>1.5</v>
      </c>
      <c r="G54" s="26">
        <f t="shared" si="0"/>
        <v>0.75</v>
      </c>
      <c r="H54" s="27" t="str">
        <f t="shared" si="1"/>
        <v>جيد</v>
      </c>
      <c r="I54" s="41"/>
      <c r="J54" s="42"/>
    </row>
    <row r="55" spans="1:10" ht="30" customHeight="1" x14ac:dyDescent="0.2">
      <c r="A55" s="11"/>
      <c r="B55" s="94" t="s">
        <v>98</v>
      </c>
      <c r="C55" s="95"/>
      <c r="D55" s="95"/>
      <c r="E55" s="9">
        <v>3</v>
      </c>
      <c r="F55" s="20">
        <v>2.25</v>
      </c>
      <c r="G55" s="26">
        <f t="shared" si="0"/>
        <v>0.75</v>
      </c>
      <c r="H55" s="27" t="str">
        <f t="shared" si="1"/>
        <v>جيد</v>
      </c>
      <c r="I55" s="41"/>
      <c r="J55" s="42"/>
    </row>
    <row r="56" spans="1:10" ht="30" customHeight="1" x14ac:dyDescent="0.2">
      <c r="A56" s="11"/>
      <c r="B56" s="94" t="s">
        <v>99</v>
      </c>
      <c r="C56" s="95"/>
      <c r="D56" s="95"/>
      <c r="E56" s="9">
        <v>5</v>
      </c>
      <c r="F56" s="20">
        <v>3.5</v>
      </c>
      <c r="G56" s="26">
        <f t="shared" si="0"/>
        <v>0.7</v>
      </c>
      <c r="H56" s="27" t="str">
        <f t="shared" si="1"/>
        <v>جيد</v>
      </c>
      <c r="I56" s="41"/>
      <c r="J56" s="42"/>
    </row>
    <row r="57" spans="1:10" ht="39.950000000000003" customHeight="1" x14ac:dyDescent="0.2">
      <c r="A57" s="11"/>
      <c r="B57" s="96" t="s">
        <v>156</v>
      </c>
      <c r="C57" s="97"/>
      <c r="D57" s="98"/>
      <c r="E57" s="30"/>
      <c r="F57" s="20"/>
      <c r="G57" s="26"/>
      <c r="H57" s="27"/>
      <c r="I57" s="41"/>
      <c r="J57" s="42"/>
    </row>
    <row r="58" spans="1:10" ht="30" customHeight="1" x14ac:dyDescent="0.2">
      <c r="A58" s="11"/>
      <c r="B58" s="94" t="s">
        <v>157</v>
      </c>
      <c r="C58" s="95"/>
      <c r="D58" s="95"/>
      <c r="E58" s="9">
        <v>5</v>
      </c>
      <c r="F58" s="20">
        <v>3.5</v>
      </c>
      <c r="G58" s="26">
        <f t="shared" si="0"/>
        <v>0.7</v>
      </c>
      <c r="H58" s="27" t="str">
        <f t="shared" si="1"/>
        <v>جيد</v>
      </c>
      <c r="I58" s="52" t="s">
        <v>144</v>
      </c>
      <c r="J58" s="53"/>
    </row>
    <row r="59" spans="1:10" ht="30" customHeight="1" x14ac:dyDescent="0.2">
      <c r="A59" s="11"/>
      <c r="B59" s="94" t="s">
        <v>158</v>
      </c>
      <c r="C59" s="95"/>
      <c r="D59" s="95"/>
      <c r="E59" s="9">
        <v>5</v>
      </c>
      <c r="F59" s="20">
        <v>3.5</v>
      </c>
      <c r="G59" s="26">
        <f t="shared" si="0"/>
        <v>0.7</v>
      </c>
      <c r="H59" s="27" t="str">
        <f t="shared" si="1"/>
        <v>جيد</v>
      </c>
      <c r="I59" s="54"/>
      <c r="J59" s="55"/>
    </row>
    <row r="60" spans="1:10" ht="30" customHeight="1" x14ac:dyDescent="0.2">
      <c r="A60" s="11"/>
      <c r="B60" s="94" t="s">
        <v>159</v>
      </c>
      <c r="C60" s="95"/>
      <c r="D60" s="95"/>
      <c r="E60" s="9">
        <v>5</v>
      </c>
      <c r="F60" s="20">
        <v>3.5</v>
      </c>
      <c r="G60" s="26">
        <f t="shared" si="0"/>
        <v>0.7</v>
      </c>
      <c r="H60" s="27" t="str">
        <f t="shared" si="1"/>
        <v>جيد</v>
      </c>
      <c r="I60" s="54"/>
      <c r="J60" s="55"/>
    </row>
    <row r="61" spans="1:10" ht="30" customHeight="1" x14ac:dyDescent="0.2">
      <c r="A61" s="11"/>
      <c r="B61" s="94" t="s">
        <v>160</v>
      </c>
      <c r="C61" s="95"/>
      <c r="D61" s="95"/>
      <c r="E61" s="9">
        <v>5</v>
      </c>
      <c r="F61" s="20">
        <v>3.5</v>
      </c>
      <c r="G61" s="26">
        <f t="shared" si="0"/>
        <v>0.7</v>
      </c>
      <c r="H61" s="27" t="str">
        <f t="shared" si="1"/>
        <v>جيد</v>
      </c>
      <c r="I61" s="54"/>
      <c r="J61" s="55"/>
    </row>
    <row r="62" spans="1:10" ht="30" customHeight="1" x14ac:dyDescent="0.2">
      <c r="A62" s="11"/>
      <c r="B62" s="94" t="s">
        <v>161</v>
      </c>
      <c r="C62" s="95"/>
      <c r="D62" s="95"/>
      <c r="E62" s="9">
        <v>5</v>
      </c>
      <c r="F62" s="20">
        <v>3.5</v>
      </c>
      <c r="G62" s="26">
        <f t="shared" si="0"/>
        <v>0.7</v>
      </c>
      <c r="H62" s="27" t="str">
        <f t="shared" si="1"/>
        <v>جيد</v>
      </c>
      <c r="I62" s="54"/>
      <c r="J62" s="55"/>
    </row>
    <row r="63" spans="1:10" ht="30" customHeight="1" x14ac:dyDescent="0.2">
      <c r="A63" s="11"/>
      <c r="B63" s="94" t="s">
        <v>100</v>
      </c>
      <c r="C63" s="95"/>
      <c r="D63" s="95"/>
      <c r="E63" s="9">
        <v>5</v>
      </c>
      <c r="F63" s="20">
        <v>3.5</v>
      </c>
      <c r="G63" s="26">
        <f t="shared" si="0"/>
        <v>0.7</v>
      </c>
      <c r="H63" s="27" t="str">
        <f t="shared" si="1"/>
        <v>جيد</v>
      </c>
      <c r="I63" s="56"/>
      <c r="J63" s="57"/>
    </row>
    <row r="64" spans="1:10" ht="30" customHeight="1" x14ac:dyDescent="0.2">
      <c r="A64" s="11"/>
      <c r="B64" s="96" t="s">
        <v>101</v>
      </c>
      <c r="C64" s="97"/>
      <c r="D64" s="98"/>
      <c r="E64" s="30"/>
      <c r="F64" s="20"/>
      <c r="G64" s="26"/>
      <c r="H64" s="27"/>
      <c r="I64" s="41"/>
      <c r="J64" s="42"/>
    </row>
    <row r="65" spans="1:10" ht="30" customHeight="1" x14ac:dyDescent="0.2">
      <c r="A65" s="11"/>
      <c r="B65" s="113" t="s">
        <v>102</v>
      </c>
      <c r="C65" s="114"/>
      <c r="D65" s="115"/>
      <c r="E65" s="30"/>
      <c r="F65" s="20"/>
      <c r="G65" s="26"/>
      <c r="H65" s="27"/>
      <c r="I65" s="41"/>
      <c r="J65" s="42"/>
    </row>
    <row r="66" spans="1:10" ht="30" customHeight="1" x14ac:dyDescent="0.2">
      <c r="A66" s="11"/>
      <c r="B66" s="94" t="s">
        <v>103</v>
      </c>
      <c r="C66" s="95"/>
      <c r="D66" s="95"/>
      <c r="E66" s="9">
        <v>5</v>
      </c>
      <c r="F66" s="20">
        <v>3.5</v>
      </c>
      <c r="G66" s="26">
        <f t="shared" si="0"/>
        <v>0.7</v>
      </c>
      <c r="H66" s="27" t="str">
        <f t="shared" si="1"/>
        <v>جيد</v>
      </c>
      <c r="I66" s="41"/>
      <c r="J66" s="42"/>
    </row>
    <row r="67" spans="1:10" ht="30" customHeight="1" x14ac:dyDescent="0.2">
      <c r="A67" s="11"/>
      <c r="B67" s="94" t="s">
        <v>104</v>
      </c>
      <c r="C67" s="95"/>
      <c r="D67" s="95"/>
      <c r="E67" s="9">
        <v>5</v>
      </c>
      <c r="F67" s="20">
        <v>3.5</v>
      </c>
      <c r="G67" s="26">
        <f t="shared" si="0"/>
        <v>0.7</v>
      </c>
      <c r="H67" s="27" t="str">
        <f t="shared" si="1"/>
        <v>جيد</v>
      </c>
      <c r="I67" s="41"/>
      <c r="J67" s="42"/>
    </row>
    <row r="68" spans="1:10" ht="30" customHeight="1" x14ac:dyDescent="0.2">
      <c r="A68" s="11"/>
      <c r="B68" s="94" t="s">
        <v>105</v>
      </c>
      <c r="C68" s="95"/>
      <c r="D68" s="95"/>
      <c r="E68" s="9">
        <v>5</v>
      </c>
      <c r="F68" s="20">
        <v>3.5</v>
      </c>
      <c r="G68" s="26">
        <f t="shared" si="0"/>
        <v>0.7</v>
      </c>
      <c r="H68" s="27" t="str">
        <f t="shared" si="1"/>
        <v>جيد</v>
      </c>
      <c r="I68" s="41"/>
      <c r="J68" s="42"/>
    </row>
    <row r="69" spans="1:10" ht="30" customHeight="1" thickBot="1" x14ac:dyDescent="0.25">
      <c r="A69" s="11"/>
      <c r="B69" s="94" t="s">
        <v>106</v>
      </c>
      <c r="C69" s="95"/>
      <c r="D69" s="95"/>
      <c r="E69" s="9">
        <v>5</v>
      </c>
      <c r="F69" s="20">
        <v>3.5</v>
      </c>
      <c r="G69" s="26">
        <f t="shared" si="0"/>
        <v>0.7</v>
      </c>
      <c r="H69" s="27" t="str">
        <f t="shared" si="1"/>
        <v>جيد</v>
      </c>
      <c r="I69" s="41"/>
      <c r="J69" s="42"/>
    </row>
    <row r="70" spans="1:10" ht="30" customHeight="1" x14ac:dyDescent="0.2">
      <c r="A70" s="11"/>
      <c r="B70" s="108" t="s">
        <v>162</v>
      </c>
      <c r="C70" s="109"/>
      <c r="D70" s="109"/>
      <c r="E70" s="109"/>
      <c r="F70" s="109"/>
      <c r="G70" s="109"/>
      <c r="H70" s="109"/>
      <c r="I70" s="109"/>
      <c r="J70" s="110"/>
    </row>
    <row r="71" spans="1:10" ht="30" customHeight="1" x14ac:dyDescent="0.2">
      <c r="A71" s="11"/>
      <c r="B71" s="72" t="s">
        <v>107</v>
      </c>
      <c r="C71" s="73"/>
      <c r="D71" s="73"/>
      <c r="E71" s="9">
        <v>5</v>
      </c>
      <c r="F71" s="20">
        <v>3.5</v>
      </c>
      <c r="G71" s="26">
        <f t="shared" ref="G71:G109" si="2">IFERROR(F71/E71,"")</f>
        <v>0.7</v>
      </c>
      <c r="H71" s="27" t="str">
        <f t="shared" ref="H71:H109" si="3">_xlfn.IFS(F71="أدخل العلامة","",F71="لا ينطبق","تم الإلغاء",G71&gt;=90%,"ممتاز",G71&gt;=80%,"جيد جداً",G71&gt;=70%,"جيد",G71&gt;=60%,"مقبول",G71&lt;60%,"راسب")</f>
        <v>جيد</v>
      </c>
      <c r="I71" s="41"/>
      <c r="J71" s="42"/>
    </row>
    <row r="72" spans="1:10" ht="30" customHeight="1" x14ac:dyDescent="0.2">
      <c r="A72" s="11"/>
      <c r="B72" s="72" t="s">
        <v>108</v>
      </c>
      <c r="C72" s="73"/>
      <c r="D72" s="73"/>
      <c r="E72" s="9">
        <v>5</v>
      </c>
      <c r="F72" s="20">
        <v>3.5</v>
      </c>
      <c r="G72" s="26">
        <f t="shared" si="2"/>
        <v>0.7</v>
      </c>
      <c r="H72" s="27" t="str">
        <f t="shared" si="3"/>
        <v>جيد</v>
      </c>
      <c r="I72" s="41"/>
      <c r="J72" s="42"/>
    </row>
    <row r="73" spans="1:10" ht="30" customHeight="1" x14ac:dyDescent="0.2">
      <c r="A73" s="11"/>
      <c r="B73" s="72" t="s">
        <v>109</v>
      </c>
      <c r="C73" s="73"/>
      <c r="D73" s="73"/>
      <c r="E73" s="9">
        <v>5</v>
      </c>
      <c r="F73" s="20">
        <v>3.5</v>
      </c>
      <c r="G73" s="26">
        <f t="shared" si="2"/>
        <v>0.7</v>
      </c>
      <c r="H73" s="27" t="str">
        <f t="shared" si="3"/>
        <v>جيد</v>
      </c>
      <c r="I73" s="41"/>
      <c r="J73" s="42"/>
    </row>
    <row r="74" spans="1:10" ht="30" customHeight="1" x14ac:dyDescent="0.2">
      <c r="A74" s="11"/>
      <c r="B74" s="72" t="s">
        <v>110</v>
      </c>
      <c r="C74" s="73"/>
      <c r="D74" s="73"/>
      <c r="E74" s="9">
        <v>5</v>
      </c>
      <c r="F74" s="20">
        <v>3.5</v>
      </c>
      <c r="G74" s="26">
        <f t="shared" si="2"/>
        <v>0.7</v>
      </c>
      <c r="H74" s="27" t="str">
        <f t="shared" si="3"/>
        <v>جيد</v>
      </c>
      <c r="I74" s="41"/>
      <c r="J74" s="42"/>
    </row>
    <row r="75" spans="1:10" ht="30" customHeight="1" x14ac:dyDescent="0.2">
      <c r="A75" s="11"/>
      <c r="B75" s="72" t="s">
        <v>111</v>
      </c>
      <c r="C75" s="73"/>
      <c r="D75" s="73"/>
      <c r="E75" s="9">
        <v>5</v>
      </c>
      <c r="F75" s="20">
        <v>3.5</v>
      </c>
      <c r="G75" s="26">
        <f t="shared" si="2"/>
        <v>0.7</v>
      </c>
      <c r="H75" s="27" t="str">
        <f t="shared" si="3"/>
        <v>جيد</v>
      </c>
      <c r="I75" s="41"/>
      <c r="J75" s="42"/>
    </row>
    <row r="76" spans="1:10" ht="30" customHeight="1" x14ac:dyDescent="0.2">
      <c r="A76" s="11"/>
      <c r="B76" s="105" t="s">
        <v>112</v>
      </c>
      <c r="C76" s="106"/>
      <c r="D76" s="107"/>
      <c r="E76" s="30"/>
      <c r="F76" s="20"/>
      <c r="G76" s="26"/>
      <c r="H76" s="27"/>
      <c r="I76" s="41"/>
      <c r="J76" s="42"/>
    </row>
    <row r="77" spans="1:10" ht="39.950000000000003" customHeight="1" x14ac:dyDescent="0.2">
      <c r="A77" s="11"/>
      <c r="B77" s="90" t="s">
        <v>113</v>
      </c>
      <c r="C77" s="91"/>
      <c r="D77" s="91"/>
      <c r="E77" s="9">
        <v>5</v>
      </c>
      <c r="F77" s="20">
        <v>3.5</v>
      </c>
      <c r="G77" s="26">
        <f t="shared" si="2"/>
        <v>0.7</v>
      </c>
      <c r="H77" s="27" t="str">
        <f t="shared" si="3"/>
        <v>جيد</v>
      </c>
      <c r="I77" s="41"/>
      <c r="J77" s="42"/>
    </row>
    <row r="78" spans="1:10" ht="39.950000000000003" customHeight="1" x14ac:dyDescent="0.2">
      <c r="A78" s="11"/>
      <c r="B78" s="90" t="s">
        <v>114</v>
      </c>
      <c r="C78" s="91"/>
      <c r="D78" s="91"/>
      <c r="E78" s="9">
        <v>5</v>
      </c>
      <c r="F78" s="20">
        <v>3.5</v>
      </c>
      <c r="G78" s="26">
        <f t="shared" si="2"/>
        <v>0.7</v>
      </c>
      <c r="H78" s="27" t="str">
        <f t="shared" si="3"/>
        <v>جيد</v>
      </c>
      <c r="I78" s="41"/>
      <c r="J78" s="42"/>
    </row>
    <row r="79" spans="1:10" ht="50.1" customHeight="1" x14ac:dyDescent="0.2">
      <c r="A79" s="11"/>
      <c r="B79" s="90" t="s">
        <v>115</v>
      </c>
      <c r="C79" s="91"/>
      <c r="D79" s="91"/>
      <c r="E79" s="9">
        <v>5</v>
      </c>
      <c r="F79" s="20">
        <v>3.5</v>
      </c>
      <c r="G79" s="26">
        <f t="shared" si="2"/>
        <v>0.7</v>
      </c>
      <c r="H79" s="27" t="str">
        <f t="shared" si="3"/>
        <v>جيد</v>
      </c>
      <c r="I79" s="41"/>
      <c r="J79" s="42"/>
    </row>
    <row r="80" spans="1:10" ht="30" customHeight="1" thickBot="1" x14ac:dyDescent="0.25">
      <c r="A80" s="11"/>
      <c r="B80" s="74" t="s">
        <v>116</v>
      </c>
      <c r="C80" s="75"/>
      <c r="D80" s="75"/>
      <c r="E80" s="23">
        <v>5</v>
      </c>
      <c r="F80" s="21">
        <v>3.5</v>
      </c>
      <c r="G80" s="28">
        <f t="shared" si="2"/>
        <v>0.7</v>
      </c>
      <c r="H80" s="29" t="str">
        <f t="shared" si="3"/>
        <v>جيد</v>
      </c>
      <c r="I80" s="49"/>
      <c r="J80" s="50"/>
    </row>
    <row r="81" spans="1:10" ht="30" customHeight="1" x14ac:dyDescent="0.2">
      <c r="A81" s="11"/>
      <c r="B81" s="108" t="s">
        <v>163</v>
      </c>
      <c r="C81" s="109"/>
      <c r="D81" s="109"/>
      <c r="E81" s="109"/>
      <c r="F81" s="109"/>
      <c r="G81" s="109"/>
      <c r="H81" s="109"/>
      <c r="I81" s="109"/>
      <c r="J81" s="110"/>
    </row>
    <row r="82" spans="1:10" ht="30" customHeight="1" x14ac:dyDescent="0.2">
      <c r="A82" s="11"/>
      <c r="B82" s="72" t="s">
        <v>117</v>
      </c>
      <c r="C82" s="73"/>
      <c r="D82" s="73"/>
      <c r="E82" s="9">
        <v>5</v>
      </c>
      <c r="F82" s="20">
        <v>3.5</v>
      </c>
      <c r="G82" s="26">
        <f t="shared" si="2"/>
        <v>0.7</v>
      </c>
      <c r="H82" s="27" t="str">
        <f t="shared" si="3"/>
        <v>جيد</v>
      </c>
      <c r="I82" s="41"/>
      <c r="J82" s="42"/>
    </row>
    <row r="83" spans="1:10" ht="30" customHeight="1" x14ac:dyDescent="0.2">
      <c r="A83" s="11"/>
      <c r="B83" s="105" t="s">
        <v>118</v>
      </c>
      <c r="C83" s="106"/>
      <c r="D83" s="107"/>
      <c r="E83" s="30"/>
      <c r="F83" s="20"/>
      <c r="G83" s="26"/>
      <c r="H83" s="27"/>
      <c r="I83" s="41"/>
      <c r="J83" s="42"/>
    </row>
    <row r="84" spans="1:10" ht="30" customHeight="1" x14ac:dyDescent="0.2">
      <c r="A84" s="11"/>
      <c r="B84" s="96" t="s">
        <v>119</v>
      </c>
      <c r="C84" s="97"/>
      <c r="D84" s="98"/>
      <c r="E84" s="30"/>
      <c r="F84" s="20"/>
      <c r="G84" s="26"/>
      <c r="H84" s="27"/>
      <c r="I84" s="41"/>
      <c r="J84" s="42"/>
    </row>
    <row r="85" spans="1:10" ht="30" customHeight="1" x14ac:dyDescent="0.2">
      <c r="A85" s="11"/>
      <c r="B85" s="94" t="s">
        <v>120</v>
      </c>
      <c r="C85" s="95"/>
      <c r="D85" s="95"/>
      <c r="E85" s="9">
        <v>5</v>
      </c>
      <c r="F85" s="20">
        <v>3.5</v>
      </c>
      <c r="G85" s="26">
        <f t="shared" si="2"/>
        <v>0.7</v>
      </c>
      <c r="H85" s="27" t="str">
        <f t="shared" si="3"/>
        <v>جيد</v>
      </c>
      <c r="I85" s="41"/>
      <c r="J85" s="42"/>
    </row>
    <row r="86" spans="1:10" ht="30" customHeight="1" x14ac:dyDescent="0.2">
      <c r="A86" s="11"/>
      <c r="B86" s="94" t="s">
        <v>121</v>
      </c>
      <c r="C86" s="95"/>
      <c r="D86" s="95"/>
      <c r="E86" s="9">
        <v>5</v>
      </c>
      <c r="F86" s="20">
        <v>3.5</v>
      </c>
      <c r="G86" s="26">
        <f t="shared" si="2"/>
        <v>0.7</v>
      </c>
      <c r="H86" s="27" t="str">
        <f t="shared" si="3"/>
        <v>جيد</v>
      </c>
      <c r="I86" s="41"/>
      <c r="J86" s="42"/>
    </row>
    <row r="87" spans="1:10" ht="30" customHeight="1" x14ac:dyDescent="0.2">
      <c r="A87" s="11"/>
      <c r="B87" s="94" t="s">
        <v>122</v>
      </c>
      <c r="C87" s="95"/>
      <c r="D87" s="95"/>
      <c r="E87" s="9">
        <v>5</v>
      </c>
      <c r="F87" s="20">
        <v>3.5</v>
      </c>
      <c r="G87" s="26">
        <f t="shared" si="2"/>
        <v>0.7</v>
      </c>
      <c r="H87" s="27" t="str">
        <f t="shared" si="3"/>
        <v>جيد</v>
      </c>
      <c r="I87" s="41"/>
      <c r="J87" s="42"/>
    </row>
    <row r="88" spans="1:10" ht="30" customHeight="1" x14ac:dyDescent="0.2">
      <c r="A88" s="11"/>
      <c r="B88" s="94" t="s">
        <v>123</v>
      </c>
      <c r="C88" s="95"/>
      <c r="D88" s="95"/>
      <c r="E88" s="9">
        <v>5</v>
      </c>
      <c r="F88" s="40">
        <v>3.5</v>
      </c>
      <c r="G88" s="26">
        <f t="shared" si="2"/>
        <v>0.7</v>
      </c>
      <c r="H88" s="27" t="str">
        <f t="shared" si="3"/>
        <v>جيد</v>
      </c>
      <c r="I88" s="41"/>
      <c r="J88" s="42"/>
    </row>
    <row r="89" spans="1:10" ht="30" customHeight="1" x14ac:dyDescent="0.2">
      <c r="A89" s="11"/>
      <c r="B89" s="99" t="s">
        <v>124</v>
      </c>
      <c r="C89" s="100"/>
      <c r="D89" s="100"/>
      <c r="E89" s="9">
        <v>5</v>
      </c>
      <c r="F89" s="40">
        <v>3.5</v>
      </c>
      <c r="G89" s="26">
        <f t="shared" si="2"/>
        <v>0.7</v>
      </c>
      <c r="H89" s="27" t="str">
        <f t="shared" si="3"/>
        <v>جيد</v>
      </c>
      <c r="I89" s="41"/>
      <c r="J89" s="42"/>
    </row>
    <row r="90" spans="1:10" ht="30" customHeight="1" x14ac:dyDescent="0.2">
      <c r="A90" s="11"/>
      <c r="B90" s="99" t="s">
        <v>125</v>
      </c>
      <c r="C90" s="100"/>
      <c r="D90" s="100"/>
      <c r="E90" s="9">
        <v>5</v>
      </c>
      <c r="F90" s="20">
        <v>3.5</v>
      </c>
      <c r="G90" s="26">
        <f t="shared" si="2"/>
        <v>0.7</v>
      </c>
      <c r="H90" s="27" t="str">
        <f t="shared" si="3"/>
        <v>جيد</v>
      </c>
      <c r="I90" s="41"/>
      <c r="J90" s="42"/>
    </row>
    <row r="91" spans="1:10" ht="30" customHeight="1" x14ac:dyDescent="0.2">
      <c r="A91" s="11"/>
      <c r="B91" s="72" t="s">
        <v>126</v>
      </c>
      <c r="C91" s="73"/>
      <c r="D91" s="73"/>
      <c r="E91" s="9">
        <v>5</v>
      </c>
      <c r="F91" s="20">
        <v>3.5</v>
      </c>
      <c r="G91" s="26">
        <f t="shared" si="2"/>
        <v>0.7</v>
      </c>
      <c r="H91" s="27" t="str">
        <f t="shared" si="3"/>
        <v>جيد</v>
      </c>
      <c r="I91" s="41"/>
      <c r="J91" s="42"/>
    </row>
    <row r="92" spans="1:10" ht="30" customHeight="1" x14ac:dyDescent="0.2">
      <c r="A92" s="11"/>
      <c r="B92" s="105" t="s">
        <v>127</v>
      </c>
      <c r="C92" s="106"/>
      <c r="D92" s="107"/>
      <c r="E92" s="30"/>
      <c r="F92" s="20"/>
      <c r="G92" s="26"/>
      <c r="H92" s="27"/>
      <c r="I92" s="41"/>
      <c r="J92" s="42"/>
    </row>
    <row r="93" spans="1:10" ht="30" customHeight="1" x14ac:dyDescent="0.2">
      <c r="A93" s="11"/>
      <c r="B93" s="90" t="s">
        <v>128</v>
      </c>
      <c r="C93" s="91"/>
      <c r="D93" s="91"/>
      <c r="E93" s="9">
        <v>5</v>
      </c>
      <c r="F93" s="20">
        <v>3.5</v>
      </c>
      <c r="G93" s="26">
        <f t="shared" si="2"/>
        <v>0.7</v>
      </c>
      <c r="H93" s="27" t="str">
        <f t="shared" si="3"/>
        <v>جيد</v>
      </c>
      <c r="I93" s="41"/>
      <c r="J93" s="42"/>
    </row>
    <row r="94" spans="1:10" ht="30" customHeight="1" x14ac:dyDescent="0.2">
      <c r="A94" s="11"/>
      <c r="B94" s="90" t="s">
        <v>129</v>
      </c>
      <c r="C94" s="91"/>
      <c r="D94" s="91"/>
      <c r="E94" s="9">
        <v>5</v>
      </c>
      <c r="F94" s="20">
        <v>3.5</v>
      </c>
      <c r="G94" s="26">
        <f t="shared" si="2"/>
        <v>0.7</v>
      </c>
      <c r="H94" s="27" t="str">
        <f t="shared" si="3"/>
        <v>جيد</v>
      </c>
      <c r="I94" s="41"/>
      <c r="J94" s="42"/>
    </row>
    <row r="95" spans="1:10" ht="30" customHeight="1" x14ac:dyDescent="0.2">
      <c r="A95" s="11"/>
      <c r="B95" s="90" t="s">
        <v>130</v>
      </c>
      <c r="C95" s="91"/>
      <c r="D95" s="91"/>
      <c r="E95" s="9">
        <v>5</v>
      </c>
      <c r="F95" s="20">
        <v>3.5</v>
      </c>
      <c r="G95" s="26">
        <f t="shared" si="2"/>
        <v>0.7</v>
      </c>
      <c r="H95" s="27" t="str">
        <f t="shared" si="3"/>
        <v>جيد</v>
      </c>
      <c r="I95" s="41"/>
      <c r="J95" s="42"/>
    </row>
    <row r="96" spans="1:10" ht="30" customHeight="1" x14ac:dyDescent="0.2">
      <c r="A96" s="11"/>
      <c r="B96" s="101" t="s">
        <v>131</v>
      </c>
      <c r="C96" s="102"/>
      <c r="D96" s="102"/>
      <c r="E96" s="9">
        <v>5</v>
      </c>
      <c r="F96" s="20">
        <v>3.5</v>
      </c>
      <c r="G96" s="26">
        <f t="shared" si="2"/>
        <v>0.7</v>
      </c>
      <c r="H96" s="27" t="str">
        <f t="shared" si="3"/>
        <v>جيد</v>
      </c>
      <c r="I96" s="41"/>
      <c r="J96" s="42"/>
    </row>
    <row r="97" spans="1:10" ht="30" customHeight="1" thickBot="1" x14ac:dyDescent="0.25">
      <c r="A97" s="11"/>
      <c r="B97" s="103" t="s">
        <v>132</v>
      </c>
      <c r="C97" s="104"/>
      <c r="D97" s="104"/>
      <c r="E97" s="23">
        <v>5</v>
      </c>
      <c r="F97" s="21">
        <v>3.5</v>
      </c>
      <c r="G97" s="28">
        <f t="shared" si="2"/>
        <v>0.7</v>
      </c>
      <c r="H97" s="29" t="str">
        <f t="shared" si="3"/>
        <v>جيد</v>
      </c>
      <c r="I97" s="49"/>
      <c r="J97" s="50"/>
    </row>
    <row r="98" spans="1:10" ht="30" customHeight="1" x14ac:dyDescent="0.2">
      <c r="A98" s="11"/>
      <c r="B98" s="108" t="s">
        <v>164</v>
      </c>
      <c r="C98" s="109"/>
      <c r="D98" s="109"/>
      <c r="E98" s="109"/>
      <c r="F98" s="109"/>
      <c r="G98" s="109"/>
      <c r="H98" s="109"/>
      <c r="I98" s="109"/>
      <c r="J98" s="110"/>
    </row>
    <row r="99" spans="1:10" ht="30" customHeight="1" x14ac:dyDescent="0.2">
      <c r="A99" s="11"/>
      <c r="B99" s="105" t="s">
        <v>133</v>
      </c>
      <c r="C99" s="106"/>
      <c r="D99" s="107"/>
      <c r="E99" s="30"/>
      <c r="F99" s="20"/>
      <c r="G99" s="26"/>
      <c r="H99" s="27"/>
      <c r="I99" s="41"/>
      <c r="J99" s="42"/>
    </row>
    <row r="100" spans="1:10" ht="30" customHeight="1" x14ac:dyDescent="0.2">
      <c r="A100" s="11"/>
      <c r="B100" s="90" t="s">
        <v>134</v>
      </c>
      <c r="C100" s="91"/>
      <c r="D100" s="91"/>
      <c r="E100" s="9">
        <v>5</v>
      </c>
      <c r="F100" s="20">
        <v>3.5</v>
      </c>
      <c r="G100" s="26">
        <f t="shared" si="2"/>
        <v>0.7</v>
      </c>
      <c r="H100" s="27" t="str">
        <f t="shared" si="3"/>
        <v>جيد</v>
      </c>
      <c r="I100" s="41"/>
      <c r="J100" s="42"/>
    </row>
    <row r="101" spans="1:10" ht="30" customHeight="1" x14ac:dyDescent="0.2">
      <c r="A101" s="11"/>
      <c r="B101" s="90" t="s">
        <v>135</v>
      </c>
      <c r="C101" s="91"/>
      <c r="D101" s="91"/>
      <c r="E101" s="9">
        <v>5</v>
      </c>
      <c r="F101" s="20">
        <v>3.5</v>
      </c>
      <c r="G101" s="26">
        <f t="shared" si="2"/>
        <v>0.7</v>
      </c>
      <c r="H101" s="27" t="str">
        <f t="shared" si="3"/>
        <v>جيد</v>
      </c>
      <c r="I101" s="41"/>
      <c r="J101" s="42"/>
    </row>
    <row r="102" spans="1:10" ht="30" customHeight="1" x14ac:dyDescent="0.2">
      <c r="A102" s="11"/>
      <c r="B102" s="90" t="s">
        <v>136</v>
      </c>
      <c r="C102" s="91"/>
      <c r="D102" s="91"/>
      <c r="E102" s="9">
        <v>5</v>
      </c>
      <c r="F102" s="20">
        <v>3.5</v>
      </c>
      <c r="G102" s="26">
        <f t="shared" si="2"/>
        <v>0.7</v>
      </c>
      <c r="H102" s="27" t="str">
        <f t="shared" si="3"/>
        <v>جيد</v>
      </c>
      <c r="I102" s="41"/>
      <c r="J102" s="42"/>
    </row>
    <row r="103" spans="1:10" ht="30" customHeight="1" x14ac:dyDescent="0.2">
      <c r="A103" s="11"/>
      <c r="B103" s="105" t="s">
        <v>137</v>
      </c>
      <c r="C103" s="106"/>
      <c r="D103" s="107"/>
      <c r="E103" s="30"/>
      <c r="F103" s="20"/>
      <c r="G103" s="26"/>
      <c r="H103" s="27"/>
      <c r="I103" s="41"/>
      <c r="J103" s="42"/>
    </row>
    <row r="104" spans="1:10" ht="30" customHeight="1" x14ac:dyDescent="0.2">
      <c r="A104" s="11"/>
      <c r="B104" s="90" t="s">
        <v>138</v>
      </c>
      <c r="C104" s="91"/>
      <c r="D104" s="91"/>
      <c r="E104" s="9">
        <v>5</v>
      </c>
      <c r="F104" s="20">
        <v>3.5</v>
      </c>
      <c r="G104" s="26">
        <f t="shared" si="2"/>
        <v>0.7</v>
      </c>
      <c r="H104" s="27" t="str">
        <f t="shared" si="3"/>
        <v>جيد</v>
      </c>
      <c r="I104" s="41"/>
      <c r="J104" s="42"/>
    </row>
    <row r="105" spans="1:10" ht="30" customHeight="1" x14ac:dyDescent="0.2">
      <c r="A105" s="11"/>
      <c r="B105" s="90" t="s">
        <v>139</v>
      </c>
      <c r="C105" s="91"/>
      <c r="D105" s="91"/>
      <c r="E105" s="9">
        <v>5</v>
      </c>
      <c r="F105" s="20">
        <v>3.5</v>
      </c>
      <c r="G105" s="26">
        <f t="shared" si="2"/>
        <v>0.7</v>
      </c>
      <c r="H105" s="27" t="str">
        <f t="shared" si="3"/>
        <v>جيد</v>
      </c>
      <c r="I105" s="41"/>
      <c r="J105" s="42"/>
    </row>
    <row r="106" spans="1:10" ht="30" customHeight="1" x14ac:dyDescent="0.2">
      <c r="A106" s="11"/>
      <c r="B106" s="105" t="s">
        <v>140</v>
      </c>
      <c r="C106" s="106"/>
      <c r="D106" s="107"/>
      <c r="E106" s="30"/>
      <c r="F106" s="20"/>
      <c r="G106" s="26"/>
      <c r="H106" s="27"/>
      <c r="I106" s="41"/>
      <c r="J106" s="42"/>
    </row>
    <row r="107" spans="1:10" ht="39.950000000000003" customHeight="1" x14ac:dyDescent="0.2">
      <c r="A107" s="11"/>
      <c r="B107" s="90" t="s">
        <v>141</v>
      </c>
      <c r="C107" s="91"/>
      <c r="D107" s="91"/>
      <c r="E107" s="9">
        <v>5</v>
      </c>
      <c r="F107" s="20">
        <v>3.5</v>
      </c>
      <c r="G107" s="26">
        <f t="shared" si="2"/>
        <v>0.7</v>
      </c>
      <c r="H107" s="27" t="str">
        <f t="shared" si="3"/>
        <v>جيد</v>
      </c>
      <c r="I107" s="41"/>
      <c r="J107" s="42"/>
    </row>
    <row r="108" spans="1:10" ht="30" customHeight="1" thickBot="1" x14ac:dyDescent="0.25">
      <c r="A108" s="11"/>
      <c r="B108" s="111" t="s">
        <v>142</v>
      </c>
      <c r="C108" s="112"/>
      <c r="D108" s="112"/>
      <c r="E108" s="23">
        <v>5</v>
      </c>
      <c r="F108" s="21">
        <v>3.5</v>
      </c>
      <c r="G108" s="28">
        <f t="shared" si="2"/>
        <v>0.7</v>
      </c>
      <c r="H108" s="29" t="str">
        <f t="shared" si="3"/>
        <v>جيد</v>
      </c>
      <c r="I108" s="49"/>
      <c r="J108" s="50"/>
    </row>
    <row r="109" spans="1:10" ht="30" customHeight="1" thickBot="1" x14ac:dyDescent="0.25">
      <c r="A109" s="11"/>
      <c r="B109" s="70" t="s">
        <v>165</v>
      </c>
      <c r="C109" s="71"/>
      <c r="D109" s="71"/>
      <c r="E109" s="10">
        <v>5</v>
      </c>
      <c r="F109" s="31">
        <v>3.5</v>
      </c>
      <c r="G109" s="32">
        <f t="shared" si="2"/>
        <v>0.7</v>
      </c>
      <c r="H109" s="22" t="str">
        <f t="shared" si="3"/>
        <v>جيد</v>
      </c>
      <c r="I109" s="47"/>
      <c r="J109" s="48"/>
    </row>
    <row r="110" spans="1:10" ht="30" customHeight="1" thickBot="1" x14ac:dyDescent="0.25">
      <c r="A110" s="4"/>
      <c r="B110" s="82" t="s">
        <v>5</v>
      </c>
      <c r="C110" s="83"/>
      <c r="D110" s="83"/>
      <c r="E110" s="10">
        <f>SUM(E8:E109)</f>
        <v>415</v>
      </c>
      <c r="F110" s="10">
        <f>SUM(F8:F109)</f>
        <v>292</v>
      </c>
      <c r="G110" s="44"/>
      <c r="H110" s="45"/>
      <c r="I110" s="45"/>
      <c r="J110" s="46"/>
    </row>
    <row r="111" spans="1:10" ht="30" customHeight="1" thickBot="1" x14ac:dyDescent="0.25">
      <c r="A111" s="4"/>
      <c r="B111" s="82" t="s">
        <v>54</v>
      </c>
      <c r="C111" s="83"/>
      <c r="D111" s="83"/>
      <c r="E111" s="76">
        <f>F110/E110/100*100</f>
        <v>0.70361445783132526</v>
      </c>
      <c r="F111" s="76"/>
      <c r="G111" s="76"/>
      <c r="H111" s="76"/>
      <c r="I111" s="76"/>
      <c r="J111" s="77"/>
    </row>
    <row r="112" spans="1:10" ht="30" customHeight="1" thickBot="1" x14ac:dyDescent="0.25">
      <c r="A112" s="4"/>
      <c r="B112" s="82" t="s">
        <v>55</v>
      </c>
      <c r="C112" s="83"/>
      <c r="D112" s="83"/>
      <c r="E112" s="88" t="str">
        <f>_xlfn.IFS(E111&gt;=90%,"ممتاز",E111&gt;=80%,"جيد جداً",E111&gt;=70%,"جيد",E111&gt;=60%,"مقبول",E111&lt;60%,"راسب")</f>
        <v>جيد</v>
      </c>
      <c r="F112" s="88"/>
      <c r="G112" s="88"/>
      <c r="H112" s="88"/>
      <c r="I112" s="88"/>
      <c r="J112" s="89"/>
    </row>
    <row r="113" spans="1:10" ht="42" customHeight="1" x14ac:dyDescent="0.2">
      <c r="B113" s="84" t="s">
        <v>145</v>
      </c>
      <c r="C113" s="84"/>
      <c r="D113" s="84"/>
      <c r="E113" s="51" t="s">
        <v>52</v>
      </c>
      <c r="F113" s="51"/>
      <c r="G113" s="86" t="s">
        <v>198</v>
      </c>
      <c r="H113" s="86"/>
      <c r="I113" s="86"/>
      <c r="J113" s="86"/>
    </row>
    <row r="114" spans="1:10" ht="165" customHeight="1" x14ac:dyDescent="0.2">
      <c r="A114" s="5"/>
      <c r="B114" s="85"/>
      <c r="C114" s="85"/>
      <c r="D114" s="85"/>
      <c r="E114" s="43" t="s">
        <v>53</v>
      </c>
      <c r="F114" s="43"/>
      <c r="G114" s="87"/>
      <c r="H114" s="87"/>
      <c r="I114" s="87"/>
      <c r="J114" s="87"/>
    </row>
  </sheetData>
  <sheetProtection sheet="1" formatCells="0" formatColumns="0" formatRows="0" insertColumns="0" insertRows="0" insertHyperlinks="0" deleteColumns="0" deleteRows="0" selectLockedCells="1" sort="0" autoFilter="0" pivotTables="0"/>
  <mergeCells count="211">
    <mergeCell ref="B104:D104"/>
    <mergeCell ref="B105:D105"/>
    <mergeCell ref="B107:D107"/>
    <mergeCell ref="B108:D108"/>
    <mergeCell ref="B109:D109"/>
    <mergeCell ref="B103:D103"/>
    <mergeCell ref="B106:D106"/>
    <mergeCell ref="B11:J11"/>
    <mergeCell ref="B16:J16"/>
    <mergeCell ref="B27:J27"/>
    <mergeCell ref="B34:J34"/>
    <mergeCell ref="B40:J40"/>
    <mergeCell ref="B41:D41"/>
    <mergeCell ref="B52:D52"/>
    <mergeCell ref="B53:D53"/>
    <mergeCell ref="B57:D57"/>
    <mergeCell ref="B64:D64"/>
    <mergeCell ref="B65:D65"/>
    <mergeCell ref="B70:J70"/>
    <mergeCell ref="B76:D76"/>
    <mergeCell ref="B83:D83"/>
    <mergeCell ref="B81:J81"/>
    <mergeCell ref="B101:D101"/>
    <mergeCell ref="B102:D102"/>
    <mergeCell ref="B94:D94"/>
    <mergeCell ref="B95:D95"/>
    <mergeCell ref="B96:D96"/>
    <mergeCell ref="B97:D97"/>
    <mergeCell ref="B100:D100"/>
    <mergeCell ref="B92:D92"/>
    <mergeCell ref="B98:J98"/>
    <mergeCell ref="B99:D99"/>
    <mergeCell ref="I91:J91"/>
    <mergeCell ref="I92:J92"/>
    <mergeCell ref="I93:J93"/>
    <mergeCell ref="I94:J94"/>
    <mergeCell ref="I95:J95"/>
    <mergeCell ref="I96:J96"/>
    <mergeCell ref="I97:J97"/>
    <mergeCell ref="I99:J99"/>
    <mergeCell ref="I100:J100"/>
    <mergeCell ref="B85:D85"/>
    <mergeCell ref="B86:D86"/>
    <mergeCell ref="B87:D87"/>
    <mergeCell ref="B88:D88"/>
    <mergeCell ref="B84:D84"/>
    <mergeCell ref="B89:D89"/>
    <mergeCell ref="B90:D90"/>
    <mergeCell ref="B91:D91"/>
    <mergeCell ref="B93:D93"/>
    <mergeCell ref="B72:D72"/>
    <mergeCell ref="B73:D73"/>
    <mergeCell ref="B74:D74"/>
    <mergeCell ref="B75:D75"/>
    <mergeCell ref="B77:D77"/>
    <mergeCell ref="B78:D78"/>
    <mergeCell ref="B79:D79"/>
    <mergeCell ref="B80:D80"/>
    <mergeCell ref="B82:D82"/>
    <mergeCell ref="B60:D60"/>
    <mergeCell ref="B61:D61"/>
    <mergeCell ref="B62:D62"/>
    <mergeCell ref="B63:D63"/>
    <mergeCell ref="B66:D66"/>
    <mergeCell ref="B67:D67"/>
    <mergeCell ref="B68:D68"/>
    <mergeCell ref="B69:D69"/>
    <mergeCell ref="B71:D71"/>
    <mergeCell ref="B48:D48"/>
    <mergeCell ref="B49:D49"/>
    <mergeCell ref="B50:D50"/>
    <mergeCell ref="B51:D51"/>
    <mergeCell ref="B54:D54"/>
    <mergeCell ref="B55:D55"/>
    <mergeCell ref="B56:D56"/>
    <mergeCell ref="B58:D58"/>
    <mergeCell ref="B59:D59"/>
    <mergeCell ref="B35:D35"/>
    <mergeCell ref="B36:D36"/>
    <mergeCell ref="B37:D37"/>
    <mergeCell ref="B38:D38"/>
    <mergeCell ref="B39:D39"/>
    <mergeCell ref="B42:D42"/>
    <mergeCell ref="B43:D43"/>
    <mergeCell ref="B44:D44"/>
    <mergeCell ref="B45:D45"/>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113:D114"/>
    <mergeCell ref="G113:J113"/>
    <mergeCell ref="G114:J114"/>
    <mergeCell ref="E112:J112"/>
    <mergeCell ref="I39:J39"/>
    <mergeCell ref="I41:J41"/>
    <mergeCell ref="I42:J42"/>
    <mergeCell ref="I43:J43"/>
    <mergeCell ref="I82:J82"/>
    <mergeCell ref="I48:J48"/>
    <mergeCell ref="I49:J49"/>
    <mergeCell ref="I50:J50"/>
    <mergeCell ref="I51:J51"/>
    <mergeCell ref="I52:J52"/>
    <mergeCell ref="I53:J53"/>
    <mergeCell ref="I54:J54"/>
    <mergeCell ref="I55:J55"/>
    <mergeCell ref="I56:J56"/>
    <mergeCell ref="I57:J57"/>
    <mergeCell ref="I90:J90"/>
    <mergeCell ref="B112:D112"/>
    <mergeCell ref="I83:J83"/>
    <mergeCell ref="B46:D46"/>
    <mergeCell ref="B47:D47"/>
    <mergeCell ref="E111:J111"/>
    <mergeCell ref="B7:D7"/>
    <mergeCell ref="I37:J37"/>
    <mergeCell ref="I38:J38"/>
    <mergeCell ref="I71:J71"/>
    <mergeCell ref="I72:J72"/>
    <mergeCell ref="I29:J29"/>
    <mergeCell ref="I30:J30"/>
    <mergeCell ref="I36:J36"/>
    <mergeCell ref="I7:J7"/>
    <mergeCell ref="I10:J10"/>
    <mergeCell ref="I31:J31"/>
    <mergeCell ref="I32:J32"/>
    <mergeCell ref="I33:J33"/>
    <mergeCell ref="I35:J35"/>
    <mergeCell ref="I8:J8"/>
    <mergeCell ref="B110:D110"/>
    <mergeCell ref="B111:D111"/>
    <mergeCell ref="B8:D8"/>
    <mergeCell ref="I12:J12"/>
    <mergeCell ref="I13:J13"/>
    <mergeCell ref="I17:J17"/>
    <mergeCell ref="I18:J18"/>
    <mergeCell ref="I19:J19"/>
    <mergeCell ref="I28:J28"/>
    <mergeCell ref="I58: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I20:J20"/>
    <mergeCell ref="I21:J21"/>
    <mergeCell ref="I45:J45"/>
    <mergeCell ref="I46:J46"/>
    <mergeCell ref="I47:J47"/>
    <mergeCell ref="I89:J89"/>
    <mergeCell ref="I84:J84"/>
    <mergeCell ref="I85:J85"/>
    <mergeCell ref="I86:J86"/>
    <mergeCell ref="I87:J87"/>
    <mergeCell ref="I88:J88"/>
    <mergeCell ref="I64:J64"/>
    <mergeCell ref="I65:J65"/>
    <mergeCell ref="I66:J66"/>
    <mergeCell ref="I67:J67"/>
    <mergeCell ref="I68:J68"/>
    <mergeCell ref="I69:J69"/>
    <mergeCell ref="I24:J24"/>
    <mergeCell ref="E114:F114"/>
    <mergeCell ref="G110:J110"/>
    <mergeCell ref="I109:J109"/>
    <mergeCell ref="I73:J73"/>
    <mergeCell ref="I74:J74"/>
    <mergeCell ref="I75:J75"/>
    <mergeCell ref="I76:J76"/>
    <mergeCell ref="I77:J77"/>
    <mergeCell ref="I78:J78"/>
    <mergeCell ref="I79:J79"/>
    <mergeCell ref="I80:J80"/>
    <mergeCell ref="I101:J101"/>
    <mergeCell ref="I102:J102"/>
    <mergeCell ref="I103:J103"/>
    <mergeCell ref="I104:J104"/>
    <mergeCell ref="I105:J105"/>
    <mergeCell ref="I106:J106"/>
    <mergeCell ref="I107:J107"/>
    <mergeCell ref="I108:J108"/>
    <mergeCell ref="E113:F113"/>
    <mergeCell ref="I25:J25"/>
    <mergeCell ref="I26:J26"/>
    <mergeCell ref="I44:J44"/>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12">
    <cfRule type="expression" dxfId="21" priority="57">
      <formula>$E112="راسب"</formula>
    </cfRule>
  </conditionalFormatting>
  <conditionalFormatting sqref="E112:J112">
    <cfRule type="expression" dxfId="20" priority="60">
      <formula>$E112="جيد جداً"</formula>
    </cfRule>
    <cfRule type="expression" dxfId="19" priority="59">
      <formula>$E112="جيد"</formula>
    </cfRule>
    <cfRule type="expression" dxfId="18" priority="58">
      <formula>$E112="مقبول"</formula>
    </cfRule>
    <cfRule type="expression" dxfId="17" priority="61">
      <formula>$E112="ممتاز"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71:F80 F99:F109 F82:F97 F41:F69">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13:J113">
    <cfRule type="containsText" dxfId="12" priority="15" operator="containsText" text="أدخل اسم المحكم">
      <formula>NOT(ISERROR(SEARCH("أدخل اسم المحكم",G113)))</formula>
    </cfRule>
  </conditionalFormatting>
  <conditionalFormatting sqref="H8:H10">
    <cfRule type="containsText" dxfId="11" priority="10" operator="containsText" text="راسب">
      <formula>NOT(ISERROR(SEARCH("راسب",H8)))</formula>
    </cfRule>
    <cfRule type="containsText" dxfId="10" priority="9" operator="containsText" text="مقبول">
      <formula>NOT(ISERROR(SEARCH("مقبول",H8)))</formula>
    </cfRule>
    <cfRule type="containsText" dxfId="9" priority="8" operator="containsText" text="جيد">
      <formula>NOT(ISERROR(SEARCH("جيد",H8)))</formula>
    </cfRule>
    <cfRule type="containsText" dxfId="8" priority="7" operator="containsText" text="جيد جداً">
      <formula>NOT(ISERROR(SEARCH("جيد جداً",H8)))</formula>
    </cfRule>
    <cfRule type="containsText" dxfId="7" priority="6" operator="containsText" text="ممتاز">
      <formula>NOT(ISERROR(SEARCH("ممتاز",H8)))</formula>
    </cfRule>
    <cfRule type="containsText" dxfId="6" priority="5" operator="containsText" text="أدخل العلامة">
      <formula>NOT(ISERROR(SEARCH("أدخل العلامة",H8)))</formula>
    </cfRule>
  </conditionalFormatting>
  <conditionalFormatting sqref="H12:H15 H17:H26 H28:H33 H35:H39 H41:H69 H71:H80 H82:H97 H99:H109">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2" manualBreakCount="2">
    <brk id="90" max="9" man="1"/>
    <brk id="112" max="9" man="1"/>
  </rowBreaks>
  <drawing r:id="rId2"/>
  <extLst>
    <ext xmlns:x14="http://schemas.microsoft.com/office/spreadsheetml/2009/9/main" uri="{CCE6A557-97BC-4b89-ADB6-D9C93CAAB3DF}">
      <x14:dataValidations xmlns:xm="http://schemas.microsoft.com/office/excel/2006/main" count="9">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F8:F10 F12:F15 F47:F51 F28:F33 F35:F39 F18:F25 F85:F91 F100:F102 F77:F80 F58:F63 F107:F109 F104:F105 F93:F97 F82 F71:F75 F66:F69 F56 F42:F44</xm:sqref>
        </x14:dataValidation>
        <x14:dataValidation type="list" allowBlank="1" showInputMessage="1" showErrorMessage="1" xr:uid="{AE50457C-7424-4A4C-907B-8DC6AA09E7A3}">
          <x14:formula1>
            <xm:f>'بيانات التقييم'!$A$198:$A$286</xm:f>
          </x14:formula1>
          <xm:sqref>G113:J113 F3:J3</xm:sqref>
        </x14:dataValidation>
        <x14:dataValidation type="list" allowBlank="1" showInputMessage="1" showErrorMessage="1" xr:uid="{74512448-CAED-4995-932E-CDA01DC3A5DC}">
          <x14:formula1>
            <xm:f>'بيانات التقييم'!$C$1:$C$29</xm:f>
          </x14:formula1>
          <xm:sqref>C3:D3</xm:sqref>
        </x14:dataValidation>
        <x14:dataValidation type="list" allowBlank="1" showInputMessage="1" showErrorMessage="1" xr:uid="{A07638DF-177B-4749-BBD9-F227B42CD9E3}">
          <x14:formula1>
            <xm:f>'بيانات التقييم'!$A$111:$A$153</xm:f>
          </x14:formula1>
          <xm:sqref>F26 F46</xm:sqref>
        </x14:dataValidation>
        <x14:dataValidation type="list" allowBlank="1" showInputMessage="1" showErrorMessage="1" xr:uid="{545AD49E-6A84-4CE1-ABD5-338C2ACC07D9}">
          <x14:formula1>
            <xm:f>'بيانات التقييم'!$A$111:$A$173</xm:f>
          </x14:formula1>
          <xm:sqref>F17</xm:sqref>
        </x14:dataValidation>
        <x14:dataValidation type="list" allowBlank="1" showInputMessage="1" showErrorMessage="1" xr:uid="{60226CD7-4FED-46B7-AD0B-219A03EA35ED}">
          <x14:formula1>
            <xm:f>'بيانات التقييم'!$A$111:$A$121</xm:f>
          </x14:formula1>
          <xm:sqref>F54</xm:sqref>
        </x14:dataValidation>
        <x14:dataValidation type="list" allowBlank="1" showInputMessage="1" showErrorMessage="1" xr:uid="{11FD8333-61DC-49A8-831E-D2E51FDAFACA}">
          <x14:formula1>
            <xm:f>'بيانات التقييم'!$A$111:$A$125</xm:f>
          </x14:formula1>
          <xm:sqref>F55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7"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34" t="s">
        <v>167</v>
      </c>
    </row>
    <row r="3" spans="1:3" ht="20.100000000000001" customHeight="1" thickBot="1" x14ac:dyDescent="0.3">
      <c r="A3" s="2" t="s">
        <v>26</v>
      </c>
      <c r="C3" s="34" t="s">
        <v>168</v>
      </c>
    </row>
    <row r="4" spans="1:3" ht="20.100000000000001" customHeight="1" thickBot="1" x14ac:dyDescent="0.3">
      <c r="A4" s="2" t="s">
        <v>36</v>
      </c>
      <c r="C4" s="34" t="s">
        <v>169</v>
      </c>
    </row>
    <row r="5" spans="1:3" ht="20.100000000000001" customHeight="1" thickBot="1" x14ac:dyDescent="0.3">
      <c r="A5" s="2" t="s">
        <v>37</v>
      </c>
      <c r="C5" s="34" t="s">
        <v>170</v>
      </c>
    </row>
    <row r="6" spans="1:3" ht="20.100000000000001" customHeight="1" thickBot="1" x14ac:dyDescent="0.3">
      <c r="A6" s="2" t="s">
        <v>38</v>
      </c>
      <c r="C6" s="34" t="s">
        <v>171</v>
      </c>
    </row>
    <row r="7" spans="1:3" ht="20.100000000000001" customHeight="1" thickBot="1" x14ac:dyDescent="0.3">
      <c r="A7" s="2" t="s">
        <v>39</v>
      </c>
      <c r="C7" s="34" t="s">
        <v>172</v>
      </c>
    </row>
    <row r="8" spans="1:3" ht="20.100000000000001" customHeight="1" thickBot="1" x14ac:dyDescent="0.3">
      <c r="A8" s="2" t="s">
        <v>40</v>
      </c>
      <c r="C8" s="34" t="s">
        <v>173</v>
      </c>
    </row>
    <row r="9" spans="1:3" ht="20.100000000000001" customHeight="1" thickBot="1" x14ac:dyDescent="0.3">
      <c r="A9" s="2" t="s">
        <v>41</v>
      </c>
      <c r="C9" s="34" t="s">
        <v>174</v>
      </c>
    </row>
    <row r="10" spans="1:3" ht="20.100000000000001" customHeight="1" thickBot="1" x14ac:dyDescent="0.3">
      <c r="A10" s="2" t="s">
        <v>42</v>
      </c>
      <c r="C10" s="34" t="s">
        <v>175</v>
      </c>
    </row>
    <row r="11" spans="1:3" ht="20.100000000000001" customHeight="1" thickBot="1" x14ac:dyDescent="0.3">
      <c r="A11" s="2" t="s">
        <v>43</v>
      </c>
      <c r="C11" s="34" t="s">
        <v>176</v>
      </c>
    </row>
    <row r="12" spans="1:3" ht="20.100000000000001" customHeight="1" thickBot="1" x14ac:dyDescent="0.3">
      <c r="A12" s="2" t="s">
        <v>44</v>
      </c>
      <c r="C12" s="34" t="s">
        <v>177</v>
      </c>
    </row>
    <row r="13" spans="1:3" ht="20.100000000000001" customHeight="1" thickBot="1" x14ac:dyDescent="0.3">
      <c r="A13" s="2" t="s">
        <v>45</v>
      </c>
      <c r="C13" s="34" t="s">
        <v>178</v>
      </c>
    </row>
    <row r="14" spans="1:3" ht="20.100000000000001" customHeight="1" thickBot="1" x14ac:dyDescent="0.3">
      <c r="A14" s="2" t="s">
        <v>46</v>
      </c>
      <c r="C14" s="34" t="s">
        <v>179</v>
      </c>
    </row>
    <row r="15" spans="1:3" ht="20.100000000000001" customHeight="1" thickBot="1" x14ac:dyDescent="0.3">
      <c r="A15" s="2" t="s">
        <v>47</v>
      </c>
      <c r="C15" s="34" t="s">
        <v>180</v>
      </c>
    </row>
    <row r="16" spans="1:3" ht="20.100000000000001" customHeight="1" thickBot="1" x14ac:dyDescent="0.3">
      <c r="A16" s="2" t="s">
        <v>10</v>
      </c>
      <c r="C16" s="34" t="s">
        <v>181</v>
      </c>
    </row>
    <row r="17" spans="1:3" ht="20.100000000000001" customHeight="1" thickBot="1" x14ac:dyDescent="0.3">
      <c r="A17" s="2" t="s">
        <v>27</v>
      </c>
      <c r="C17" s="34" t="s">
        <v>182</v>
      </c>
    </row>
    <row r="18" spans="1:3" ht="20.100000000000001" customHeight="1" thickBot="1" x14ac:dyDescent="0.3">
      <c r="A18" s="2" t="s">
        <v>48</v>
      </c>
      <c r="C18" s="34" t="s">
        <v>183</v>
      </c>
    </row>
    <row r="19" spans="1:3" ht="20.100000000000001" customHeight="1" thickBot="1" x14ac:dyDescent="0.3">
      <c r="A19" s="2" t="s">
        <v>49</v>
      </c>
      <c r="C19" s="34" t="s">
        <v>184</v>
      </c>
    </row>
    <row r="20" spans="1:3" ht="20.100000000000001" customHeight="1" thickBot="1" x14ac:dyDescent="0.3">
      <c r="A20" s="2" t="s">
        <v>50</v>
      </c>
      <c r="C20" s="34" t="s">
        <v>185</v>
      </c>
    </row>
    <row r="21" spans="1:3" ht="20.100000000000001" customHeight="1" thickBot="1" x14ac:dyDescent="0.3">
      <c r="A21" s="2" t="s">
        <v>51</v>
      </c>
      <c r="C21" s="34" t="s">
        <v>186</v>
      </c>
    </row>
    <row r="22" spans="1:3" ht="20.100000000000001" customHeight="1" thickBot="1" x14ac:dyDescent="0.3">
      <c r="A22" s="2" t="s">
        <v>11</v>
      </c>
      <c r="C22" s="34" t="s">
        <v>187</v>
      </c>
    </row>
    <row r="23" spans="1:3" ht="20.100000000000001" customHeight="1" thickBot="1" x14ac:dyDescent="0.3">
      <c r="A23" s="2" t="s">
        <v>12</v>
      </c>
      <c r="C23" s="34" t="s">
        <v>188</v>
      </c>
    </row>
    <row r="24" spans="1:3" ht="20.100000000000001" customHeight="1" thickBot="1" x14ac:dyDescent="0.3">
      <c r="A24" s="2" t="s">
        <v>15</v>
      </c>
      <c r="C24" s="34" t="s">
        <v>189</v>
      </c>
    </row>
    <row r="25" spans="1:3" ht="20.100000000000001" customHeight="1" thickBot="1" x14ac:dyDescent="0.3">
      <c r="A25" s="2" t="s">
        <v>28</v>
      </c>
      <c r="C25" s="34" t="s">
        <v>190</v>
      </c>
    </row>
    <row r="26" spans="1:3" ht="20.100000000000001" customHeight="1" thickBot="1" x14ac:dyDescent="0.3">
      <c r="A26" s="2" t="s">
        <v>29</v>
      </c>
      <c r="C26" s="34" t="s">
        <v>191</v>
      </c>
    </row>
    <row r="27" spans="1:3" ht="20.100000000000001" customHeight="1" thickBot="1" x14ac:dyDescent="0.3">
      <c r="A27" s="2" t="s">
        <v>13</v>
      </c>
      <c r="C27" s="34" t="s">
        <v>192</v>
      </c>
    </row>
    <row r="28" spans="1:3" ht="20.100000000000001" customHeight="1" thickBot="1" x14ac:dyDescent="0.3">
      <c r="A28" s="2" t="s">
        <v>30</v>
      </c>
      <c r="C28" s="34" t="s">
        <v>193</v>
      </c>
    </row>
    <row r="29" spans="1:3" ht="20.100000000000001" customHeight="1" thickBot="1" x14ac:dyDescent="0.3">
      <c r="A29" s="2" t="s">
        <v>31</v>
      </c>
      <c r="C29" s="2" t="s">
        <v>61</v>
      </c>
    </row>
    <row r="30" spans="1:3" ht="20.100000000000001" customHeight="1" thickBot="1" x14ac:dyDescent="0.3">
      <c r="A30" s="2" t="s">
        <v>32</v>
      </c>
      <c r="C30" s="2" t="s">
        <v>61</v>
      </c>
    </row>
    <row r="31" spans="1:3" ht="20.100000000000001" customHeight="1" thickBot="1" x14ac:dyDescent="0.3">
      <c r="A31" s="2" t="s">
        <v>33</v>
      </c>
      <c r="C31" s="2" t="s">
        <v>61</v>
      </c>
    </row>
    <row r="32" spans="1:3" ht="20.100000000000001" customHeight="1" thickBot="1" x14ac:dyDescent="0.3">
      <c r="A32" s="2" t="s">
        <v>16</v>
      </c>
      <c r="C32" s="2" t="s">
        <v>61</v>
      </c>
    </row>
    <row r="33" spans="1:9" ht="20.100000000000001" customHeight="1" thickBot="1" x14ac:dyDescent="0.3">
      <c r="A33" s="2" t="s">
        <v>14</v>
      </c>
      <c r="C33" s="2" t="s">
        <v>61</v>
      </c>
    </row>
    <row r="34" spans="1:9" ht="20.100000000000001" customHeight="1" thickBot="1" x14ac:dyDescent="0.3">
      <c r="A34" s="2" t="s">
        <v>34</v>
      </c>
      <c r="C34" s="2" t="s">
        <v>61</v>
      </c>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62</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35" t="s">
        <v>194</v>
      </c>
    </row>
    <row r="200" spans="1:1" ht="20.100000000000001" customHeight="1" x14ac:dyDescent="0.2">
      <c r="A200" s="35" t="s">
        <v>195</v>
      </c>
    </row>
    <row r="201" spans="1:1" ht="20.100000000000001" customHeight="1" x14ac:dyDescent="0.2">
      <c r="A201" s="35" t="s">
        <v>196</v>
      </c>
    </row>
    <row r="202" spans="1:1" ht="20.100000000000001" customHeight="1" x14ac:dyDescent="0.2">
      <c r="A202" s="35" t="s">
        <v>197</v>
      </c>
    </row>
    <row r="203" spans="1:1" ht="20.100000000000001" customHeight="1" x14ac:dyDescent="0.2">
      <c r="A203" s="35" t="s">
        <v>198</v>
      </c>
    </row>
    <row r="204" spans="1:1" ht="20.100000000000001" customHeight="1" x14ac:dyDescent="0.2">
      <c r="A204" s="35" t="s">
        <v>199</v>
      </c>
    </row>
    <row r="205" spans="1:1" ht="20.100000000000001" customHeight="1" x14ac:dyDescent="0.2">
      <c r="A205" s="35" t="s">
        <v>200</v>
      </c>
    </row>
    <row r="206" spans="1:1" ht="20.100000000000001" customHeight="1" x14ac:dyDescent="0.2">
      <c r="A206" s="35" t="s">
        <v>201</v>
      </c>
    </row>
    <row r="207" spans="1:1" ht="20.100000000000001" customHeight="1" x14ac:dyDescent="0.2">
      <c r="A207" s="35" t="s">
        <v>202</v>
      </c>
    </row>
    <row r="208" spans="1:1" ht="20.100000000000001" customHeight="1" x14ac:dyDescent="0.2">
      <c r="A208" s="36" t="s">
        <v>203</v>
      </c>
    </row>
    <row r="209" spans="1:1" ht="20.100000000000001" customHeight="1" x14ac:dyDescent="0.2">
      <c r="A209" s="36" t="s">
        <v>204</v>
      </c>
    </row>
    <row r="210" spans="1:1" ht="20.100000000000001" customHeight="1" x14ac:dyDescent="0.2">
      <c r="A210" s="35" t="s">
        <v>205</v>
      </c>
    </row>
    <row r="211" spans="1:1" ht="20.100000000000001" customHeight="1" x14ac:dyDescent="0.2">
      <c r="A211" s="35" t="s">
        <v>206</v>
      </c>
    </row>
    <row r="212" spans="1:1" ht="20.100000000000001" customHeight="1" x14ac:dyDescent="0.2">
      <c r="A212" s="35" t="s">
        <v>207</v>
      </c>
    </row>
    <row r="213" spans="1:1" ht="20.100000000000001" customHeight="1" x14ac:dyDescent="0.2">
      <c r="A213" s="35" t="s">
        <v>208</v>
      </c>
    </row>
    <row r="214" spans="1:1" ht="20.100000000000001" customHeight="1" x14ac:dyDescent="0.2">
      <c r="A214" s="35" t="s">
        <v>209</v>
      </c>
    </row>
    <row r="215" spans="1:1" ht="20.100000000000001" customHeight="1" x14ac:dyDescent="0.2">
      <c r="A215" s="35" t="s">
        <v>210</v>
      </c>
    </row>
    <row r="216" spans="1:1" ht="20.100000000000001" customHeight="1" x14ac:dyDescent="0.2">
      <c r="A216" s="35" t="s">
        <v>211</v>
      </c>
    </row>
    <row r="217" spans="1:1" ht="20.100000000000001" customHeight="1" x14ac:dyDescent="0.2">
      <c r="A217" s="35" t="s">
        <v>212</v>
      </c>
    </row>
    <row r="218" spans="1:1" ht="20.100000000000001" customHeight="1" x14ac:dyDescent="0.2">
      <c r="A218" s="35" t="s">
        <v>213</v>
      </c>
    </row>
    <row r="219" spans="1:1" ht="20.100000000000001" customHeight="1" x14ac:dyDescent="0.2">
      <c r="A219" s="35" t="s">
        <v>214</v>
      </c>
    </row>
    <row r="220" spans="1:1" ht="20.100000000000001" customHeight="1" x14ac:dyDescent="0.2">
      <c r="A220" s="35" t="s">
        <v>215</v>
      </c>
    </row>
    <row r="221" spans="1:1" ht="20.100000000000001" customHeight="1" x14ac:dyDescent="0.2">
      <c r="A221" s="35" t="s">
        <v>216</v>
      </c>
    </row>
    <row r="222" spans="1:1" ht="20.100000000000001" customHeight="1" x14ac:dyDescent="0.2">
      <c r="A222" s="35" t="s">
        <v>217</v>
      </c>
    </row>
    <row r="223" spans="1:1" ht="20.100000000000001" customHeight="1" x14ac:dyDescent="0.2">
      <c r="A223" s="35" t="s">
        <v>218</v>
      </c>
    </row>
    <row r="224" spans="1:1" ht="20.100000000000001" customHeight="1" x14ac:dyDescent="0.2">
      <c r="A224" s="35" t="s">
        <v>219</v>
      </c>
    </row>
    <row r="225" spans="1:1" ht="20.100000000000001" customHeight="1" x14ac:dyDescent="0.2">
      <c r="A225" s="35" t="s">
        <v>220</v>
      </c>
    </row>
    <row r="226" spans="1:1" ht="20.100000000000001" customHeight="1" x14ac:dyDescent="0.2">
      <c r="A226" s="35" t="s">
        <v>221</v>
      </c>
    </row>
    <row r="227" spans="1:1" ht="20.100000000000001" customHeight="1" x14ac:dyDescent="0.2">
      <c r="A227" s="35" t="s">
        <v>222</v>
      </c>
    </row>
    <row r="228" spans="1:1" ht="20.100000000000001" customHeight="1" x14ac:dyDescent="0.2">
      <c r="A228" s="35" t="s">
        <v>223</v>
      </c>
    </row>
    <row r="229" spans="1:1" ht="20.100000000000001" customHeight="1" x14ac:dyDescent="0.2">
      <c r="A229" s="35" t="s">
        <v>224</v>
      </c>
    </row>
    <row r="230" spans="1:1" ht="20.100000000000001" customHeight="1" x14ac:dyDescent="0.2">
      <c r="A230" s="35" t="s">
        <v>225</v>
      </c>
    </row>
    <row r="231" spans="1:1" ht="20.100000000000001" customHeight="1" x14ac:dyDescent="0.2">
      <c r="A231" s="35" t="s">
        <v>226</v>
      </c>
    </row>
    <row r="232" spans="1:1" ht="20.100000000000001" customHeight="1" x14ac:dyDescent="0.2">
      <c r="A232" s="35" t="s">
        <v>227</v>
      </c>
    </row>
    <row r="233" spans="1:1" ht="20.100000000000001" customHeight="1" x14ac:dyDescent="0.2">
      <c r="A233" s="35" t="s">
        <v>228</v>
      </c>
    </row>
    <row r="234" spans="1:1" ht="20.100000000000001" customHeight="1" x14ac:dyDescent="0.2">
      <c r="A234" s="35" t="s">
        <v>229</v>
      </c>
    </row>
    <row r="235" spans="1:1" ht="20.100000000000001" customHeight="1" x14ac:dyDescent="0.2">
      <c r="A235" s="37" t="s">
        <v>230</v>
      </c>
    </row>
    <row r="236" spans="1:1" ht="20.100000000000001" customHeight="1" x14ac:dyDescent="0.2">
      <c r="A236" s="35" t="s">
        <v>231</v>
      </c>
    </row>
    <row r="237" spans="1:1" ht="20.100000000000001" customHeight="1" x14ac:dyDescent="0.2">
      <c r="A237" s="35" t="s">
        <v>232</v>
      </c>
    </row>
    <row r="238" spans="1:1" ht="20.100000000000001" customHeight="1" x14ac:dyDescent="0.2">
      <c r="A238" s="35" t="s">
        <v>233</v>
      </c>
    </row>
    <row r="239" spans="1:1" ht="20.100000000000001" customHeight="1" x14ac:dyDescent="0.2">
      <c r="A239" s="35" t="s">
        <v>234</v>
      </c>
    </row>
    <row r="240" spans="1:1" ht="20.100000000000001" customHeight="1" x14ac:dyDescent="0.2">
      <c r="A240" s="35" t="s">
        <v>235</v>
      </c>
    </row>
    <row r="241" spans="1:1" ht="20.100000000000001" customHeight="1" x14ac:dyDescent="0.2">
      <c r="A241" s="35" t="s">
        <v>236</v>
      </c>
    </row>
    <row r="242" spans="1:1" ht="20.100000000000001" customHeight="1" x14ac:dyDescent="0.2">
      <c r="A242" s="35" t="s">
        <v>237</v>
      </c>
    </row>
    <row r="243" spans="1:1" ht="20.100000000000001" customHeight="1" x14ac:dyDescent="0.2">
      <c r="A243" s="35" t="s">
        <v>238</v>
      </c>
    </row>
    <row r="244" spans="1:1" ht="20.100000000000001" customHeight="1" x14ac:dyDescent="0.2">
      <c r="A244" s="35" t="s">
        <v>239</v>
      </c>
    </row>
    <row r="245" spans="1:1" ht="20.100000000000001" customHeight="1" x14ac:dyDescent="0.2">
      <c r="A245" s="35" t="s">
        <v>240</v>
      </c>
    </row>
    <row r="246" spans="1:1" ht="20.100000000000001" customHeight="1" x14ac:dyDescent="0.2">
      <c r="A246" s="35" t="s">
        <v>241</v>
      </c>
    </row>
    <row r="247" spans="1:1" ht="20.100000000000001" customHeight="1" x14ac:dyDescent="0.2">
      <c r="A247" s="35" t="s">
        <v>232</v>
      </c>
    </row>
    <row r="248" spans="1:1" ht="20.100000000000001" customHeight="1" x14ac:dyDescent="0.2">
      <c r="A248" s="35" t="s">
        <v>242</v>
      </c>
    </row>
    <row r="249" spans="1:1" ht="20.100000000000001" customHeight="1" x14ac:dyDescent="0.2">
      <c r="A249" s="35" t="s">
        <v>243</v>
      </c>
    </row>
    <row r="250" spans="1:1" ht="20.100000000000001" customHeight="1" x14ac:dyDescent="0.2">
      <c r="A250" s="37" t="s">
        <v>244</v>
      </c>
    </row>
    <row r="251" spans="1:1" ht="20.100000000000001" customHeight="1" x14ac:dyDescent="0.2">
      <c r="A251" s="38" t="s">
        <v>245</v>
      </c>
    </row>
    <row r="252" spans="1:1" ht="20.100000000000001" customHeight="1" x14ac:dyDescent="0.2">
      <c r="A252" s="35" t="s">
        <v>246</v>
      </c>
    </row>
    <row r="253" spans="1:1" ht="20.100000000000001" customHeight="1" x14ac:dyDescent="0.2">
      <c r="A253" s="35" t="s">
        <v>247</v>
      </c>
    </row>
    <row r="254" spans="1:1" ht="20.100000000000001" customHeight="1" x14ac:dyDescent="0.2">
      <c r="A254" s="39" t="s">
        <v>248</v>
      </c>
    </row>
    <row r="255" spans="1:1" ht="20.100000000000001" customHeight="1" x14ac:dyDescent="0.2">
      <c r="A255" s="39" t="s">
        <v>249</v>
      </c>
    </row>
    <row r="256" spans="1:1" ht="20.100000000000001" customHeight="1" x14ac:dyDescent="0.2">
      <c r="A256" s="38" t="s">
        <v>250</v>
      </c>
    </row>
    <row r="257" spans="1:1" ht="20.100000000000001" customHeight="1" x14ac:dyDescent="0.2">
      <c r="A257" s="35" t="s">
        <v>251</v>
      </c>
    </row>
    <row r="258" spans="1:1" ht="20.100000000000001" customHeight="1" x14ac:dyDescent="0.2">
      <c r="A258" s="38" t="s">
        <v>252</v>
      </c>
    </row>
    <row r="259" spans="1:1" ht="20.100000000000001" customHeight="1" x14ac:dyDescent="0.2">
      <c r="A259" s="35" t="s">
        <v>253</v>
      </c>
    </row>
    <row r="260" spans="1:1" ht="20.100000000000001" customHeight="1" x14ac:dyDescent="0.2">
      <c r="A260" s="38" t="s">
        <v>254</v>
      </c>
    </row>
    <row r="261" spans="1:1" ht="20.100000000000001" customHeight="1" x14ac:dyDescent="0.2">
      <c r="A261" s="35" t="s">
        <v>255</v>
      </c>
    </row>
    <row r="262" spans="1:1" ht="20.100000000000001" customHeight="1" x14ac:dyDescent="0.2">
      <c r="A262" s="35" t="s">
        <v>256</v>
      </c>
    </row>
    <row r="263" spans="1:1" ht="20.100000000000001" customHeight="1" x14ac:dyDescent="0.2">
      <c r="A263" s="38" t="s">
        <v>257</v>
      </c>
    </row>
    <row r="264" spans="1:1" ht="20.100000000000001" customHeight="1" x14ac:dyDescent="0.2">
      <c r="A264" s="38" t="s">
        <v>258</v>
      </c>
    </row>
    <row r="265" spans="1:1" ht="20.100000000000001" customHeight="1" x14ac:dyDescent="0.2">
      <c r="A265" s="38" t="s">
        <v>259</v>
      </c>
    </row>
    <row r="266" spans="1:1" ht="20.100000000000001" customHeight="1" x14ac:dyDescent="0.2">
      <c r="A266" s="35" t="s">
        <v>260</v>
      </c>
    </row>
    <row r="267" spans="1:1" ht="20.100000000000001" customHeight="1" x14ac:dyDescent="0.2">
      <c r="A267" s="35" t="s">
        <v>261</v>
      </c>
    </row>
    <row r="268" spans="1:1" ht="20.100000000000001" customHeight="1" x14ac:dyDescent="0.2">
      <c r="A268" s="35" t="s">
        <v>262</v>
      </c>
    </row>
    <row r="269" spans="1:1" ht="20.100000000000001" customHeight="1" x14ac:dyDescent="0.2">
      <c r="A269" s="35" t="s">
        <v>263</v>
      </c>
    </row>
    <row r="270" spans="1:1" ht="20.100000000000001" customHeight="1" x14ac:dyDescent="0.2">
      <c r="A270" s="38" t="s">
        <v>264</v>
      </c>
    </row>
    <row r="271" spans="1:1" ht="20.100000000000001" customHeight="1" x14ac:dyDescent="0.2">
      <c r="A271" s="38" t="s">
        <v>265</v>
      </c>
    </row>
    <row r="272" spans="1:1" ht="20.100000000000001" customHeight="1" x14ac:dyDescent="0.2">
      <c r="A272" s="35" t="s">
        <v>266</v>
      </c>
    </row>
    <row r="273" spans="1:1" ht="20.100000000000001" customHeight="1" x14ac:dyDescent="0.2">
      <c r="A273" s="38" t="s">
        <v>267</v>
      </c>
    </row>
    <row r="274" spans="1:1" ht="20.100000000000001" customHeight="1" x14ac:dyDescent="0.2">
      <c r="A274" s="38" t="s">
        <v>268</v>
      </c>
    </row>
    <row r="275" spans="1:1" ht="20.100000000000001" customHeight="1" x14ac:dyDescent="0.2">
      <c r="A275" s="35" t="s">
        <v>269</v>
      </c>
    </row>
    <row r="276" spans="1:1" ht="20.100000000000001" customHeight="1" x14ac:dyDescent="0.2">
      <c r="A276" s="35" t="s">
        <v>270</v>
      </c>
    </row>
    <row r="277" spans="1:1" ht="20.100000000000001" customHeight="1" x14ac:dyDescent="0.2">
      <c r="A277" s="38" t="s">
        <v>271</v>
      </c>
    </row>
    <row r="278" spans="1:1" ht="20.100000000000001" customHeight="1" x14ac:dyDescent="0.2">
      <c r="A278" s="35" t="s">
        <v>272</v>
      </c>
    </row>
    <row r="279" spans="1:1" ht="20.100000000000001" customHeight="1" x14ac:dyDescent="0.2">
      <c r="A279" s="35" t="s">
        <v>273</v>
      </c>
    </row>
    <row r="280" spans="1:1" ht="20.100000000000001" customHeight="1" x14ac:dyDescent="0.2">
      <c r="A280" s="35" t="s">
        <v>274</v>
      </c>
    </row>
    <row r="281" spans="1:1" ht="20.100000000000001" customHeight="1" x14ac:dyDescent="0.2">
      <c r="A281" s="35" t="s">
        <v>275</v>
      </c>
    </row>
    <row r="282" spans="1:1" ht="20.100000000000001" customHeight="1" x14ac:dyDescent="0.2">
      <c r="A282" s="38" t="s">
        <v>276</v>
      </c>
    </row>
    <row r="283" spans="1:1" ht="20.100000000000001" customHeight="1" x14ac:dyDescent="0.2">
      <c r="A283" s="38" t="s">
        <v>277</v>
      </c>
    </row>
    <row r="284" spans="1:1" ht="20.100000000000001" customHeight="1" x14ac:dyDescent="0.2">
      <c r="A284" s="38" t="s">
        <v>278</v>
      </c>
    </row>
    <row r="285" spans="1:1" ht="20.100000000000001" customHeight="1" thickBot="1" x14ac:dyDescent="0.25">
      <c r="A285" s="35" t="s">
        <v>279</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2025-10-19T15:37:09Z</dcterms:modified>
</cp:coreProperties>
</file>