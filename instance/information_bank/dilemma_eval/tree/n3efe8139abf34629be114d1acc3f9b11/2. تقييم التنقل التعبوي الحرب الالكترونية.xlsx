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F9FEC7C-80AA-4CC3-ABCA-049966CEE5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1" i="2"/>
  <c r="H11" i="2" s="1"/>
  <c r="G12" i="2"/>
  <c r="H12" i="2" s="1"/>
  <c r="G14" i="2"/>
  <c r="H14" i="2" s="1"/>
  <c r="G15" i="2"/>
  <c r="H15" i="2"/>
  <c r="G16" i="2"/>
  <c r="H16" i="2" s="1"/>
  <c r="G17" i="2"/>
  <c r="H17" i="2"/>
  <c r="G18" i="2"/>
  <c r="H18" i="2" s="1"/>
  <c r="G19" i="2"/>
  <c r="H19" i="2" s="1"/>
  <c r="G20" i="2"/>
  <c r="H20" i="2" s="1"/>
  <c r="G21" i="2"/>
  <c r="H21" i="2"/>
  <c r="G22" i="2"/>
  <c r="H22" i="2"/>
  <c r="G23" i="2"/>
  <c r="H23" i="2"/>
  <c r="G24" i="2"/>
  <c r="H24" i="2" s="1"/>
  <c r="G25" i="2"/>
  <c r="H25" i="2" s="1"/>
  <c r="G26" i="2"/>
  <c r="H26" i="2" s="1"/>
  <c r="G27" i="2"/>
  <c r="H27" i="2" s="1"/>
  <c r="G30" i="2"/>
  <c r="H30" i="2" s="1"/>
  <c r="G31" i="2"/>
  <c r="H31" i="2"/>
  <c r="G32" i="2"/>
  <c r="H32" i="2" s="1"/>
  <c r="G33" i="2"/>
  <c r="H33" i="2" s="1"/>
  <c r="G34" i="2"/>
  <c r="H34" i="2"/>
  <c r="G35" i="2"/>
  <c r="H35" i="2"/>
  <c r="G36" i="2"/>
  <c r="H36" i="2"/>
  <c r="G38" i="2"/>
  <c r="H38" i="2" s="1"/>
  <c r="G39" i="2"/>
  <c r="H39" i="2" s="1"/>
  <c r="G40" i="2"/>
  <c r="H40" i="2"/>
  <c r="G41" i="2"/>
  <c r="H41" i="2" s="1"/>
  <c r="G42" i="2"/>
  <c r="H42" i="2" s="1"/>
  <c r="G43" i="2"/>
  <c r="H43" i="2" s="1"/>
  <c r="G44" i="2"/>
  <c r="H44" i="2"/>
  <c r="G45" i="2"/>
  <c r="H45" i="2"/>
  <c r="G46" i="2"/>
  <c r="H46" i="2"/>
  <c r="G47" i="2"/>
  <c r="H47" i="2" s="1"/>
  <c r="G48" i="2"/>
  <c r="H48" i="2"/>
  <c r="G49" i="2"/>
  <c r="H49" i="2"/>
  <c r="G50" i="2"/>
  <c r="H50" i="2"/>
  <c r="F51" i="2"/>
  <c r="E51" i="2"/>
  <c r="E52" i="2" s="1"/>
  <c r="E53" i="2" s="1"/>
</calcChain>
</file>

<file path=xl/sharedStrings.xml><?xml version="1.0" encoding="utf-8"?>
<sst xmlns="http://schemas.openxmlformats.org/spreadsheetml/2006/main" count="314" uniqueCount="226">
  <si>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</si>
  <si>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</si>
  <si>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</si>
  <si>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</si>
  <si>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</si>
  <si>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</si>
  <si>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</si>
  <si>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</si>
  <si>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</si>
  <si>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</si>
  <si>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</si>
  <si>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</si>
  <si>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</si>
  <si>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</si>
  <si>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</si>
  <si>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</si>
  <si>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</si>
  <si>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</si>
  <si>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</si>
  <si>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</si>
  <si>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</si>
  <si>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</si>
  <si>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</si>
  <si>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</si>
  <si>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</si>
  <si>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</si>
  <si>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</si>
  <si>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</si>
  <si>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</si>
  <si>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</si>
  <si>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</si>
  <si>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</si>
  <si>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</si>
  <si>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</si>
  <si>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</si>
  <si>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</si>
  <si>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</si>
  <si>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</si>
  <si>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</si>
  <si>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</si>
  <si>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</si>
  <si>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</si>
  <si>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</si>
  <si>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</si>
  <si>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</si>
  <si>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</si>
  <si>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</si>
  <si>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</si>
  <si>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</si>
  <si>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</si>
  <si>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</si>
  <si>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</si>
  <si>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</si>
  <si>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</si>
  <si>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</si>
  <si>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</si>
  <si>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</si>
  <si>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</si>
  <si>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</si>
  <si>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</si>
  <si>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</si>
  <si>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</si>
  <si>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</si>
  <si>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</si>
  <si>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</si>
  <si>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</si>
  <si>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</si>
  <si>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</si>
  <si>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</si>
  <si>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</si>
  <si>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</si>
  <si>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</si>
  <si>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</si>
  <si>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</si>
  <si>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</si>
  <si>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</si>
  <si>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</si>
  <si>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</si>
  <si>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</si>
  <si>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</si>
  <si>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</si>
  <si>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</si>
  <si>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</si>
  <si>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</si>
  <si>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</si>
  <si>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</si>
  <si>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</si>
  <si>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</si>
  <si>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</si>
  <si>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</si>
  <si>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</si>
  <si>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</si>
  <si>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</si>
  <si>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</si>
  <si>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</si>
  <si>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</si>
  <si>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</si>
  <si>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</si>
  <si>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</si>
  <si>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</si>
  <si>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</si>
  <si>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</si>
  <si>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</si>
  <si>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</si>
  <si>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</si>
  <si>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</si>
  <si>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</si>
  <si>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</si>
  <si>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</si>
  <si>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</si>
  <si>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</si>
  <si>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</si>
  <si>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</si>
  <si>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</si>
  <si>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</si>
  <si>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</si>
  <si>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</si>
  <si>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</si>
  <si>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</si>
  <si>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</si>
  <si>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</si>
  <si>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</si>
  <si>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</si>
  <si>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</si>
  <si>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</si>
  <si>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</si>
  <si>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</si>
  <si>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</si>
  <si>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</si>
  <si>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</si>
  <si>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</si>
  <si>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</si>
  <si>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</si>
  <si>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</si>
  <si>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</si>
  <si>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</si>
  <si>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</si>
  <si>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</si>
  <si>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</si>
  <si>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</si>
  <si>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</si>
  <si>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</si>
  <si>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</si>
  <si>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</si>
  <si>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</si>
  <si>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</si>
  <si>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</si>
  <si>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</si>
  <si>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</si>
  <si>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</si>
  <si>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</si>
  <si>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</si>
  <si>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</si>
  <si>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</si>
  <si>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</si>
  <si>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</si>
  <si>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</si>
  <si>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</si>
  <si>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</si>
  <si>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</si>
  <si>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</si>
  <si>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</si>
  <si>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</si>
  <si>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</si>
  <si>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</si>
  <si>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</si>
  <si>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</si>
  <si>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</si>
  <si>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</si>
  <si>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</si>
  <si>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</si>
  <si>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</si>
  <si>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</si>
  <si>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</si>
  <si>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</si>
  <si>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</si>
  <si>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</si>
  <si>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</si>
  <si>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</si>
  <si>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</si>
  <si>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</si>
  <si>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يعمل القادة في فصيل الاستطلاع على فهم الموقف باستخدام معدات الاتصال المتوفرة، والخرائط، وتقارير الموقف، ومصادر المعلومات المتوفرة الأخرى. 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</si>
  <si>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تستلم فصيل الاستطلاع أمر العمليات أو الأمر المجزأ لتنفيذ عملية التنقل التعبوي ويتم البدء بإجراءات التخطيط وكما يلي:</t>
    </r>
  </si>
  <si>
    <t>أ. تحديد متطلبات التنقل.</t>
  </si>
  <si>
    <t>ب. طلب المنتجات الاستخبارية المحدّثة من المستوى الأعلى في حالة عدم استلامها مع أمر العمليات.</t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</si>
  <si>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تنفيذ الاستطلاع من الخارطة لتحديد ما يلي:</t>
    </r>
  </si>
  <si>
    <t>أ. طريق/ طرق التنقل في حالة عدم تحديدها في أمر المستوى الأعلى.</t>
  </si>
  <si>
    <t>ب. مقتربات العدو الأكثر احتمالاً (في حال كان التماس مع العدو متوقعاً).</t>
  </si>
  <si>
    <t>جـ. انتخاب نقطة البدء ونقطة الانتشار.</t>
  </si>
  <si>
    <t>د. المناطق الحرجة، مثل المناطق الخطرة، الممرات الضيقة، الخوانق، نقاط السيطرة على المسير.</t>
  </si>
  <si>
    <t>هـ. منطقة التجمع ومنطقة المأوى.</t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</si>
  <si>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دفع عناصر الاستطلاع والمراقبة مبكراً للمساعدة في عملية التخطيط (حسب الحاجة).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</si>
  <si>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إجراءات الحماية التي سيتم تطبيقها قبل بدء التنقل، أثناء التنقل وبعد الوصول.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</si>
  <si>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إصدار الأوامر المرؤوسين، وتقديم إيجازات تأكيدية من القادة المرؤوسين فور استلامهم للأوامر للتأكد من فهمهم لقصد القائد ومفهوم عملياته.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</si>
  <si>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توفر الطرق والظروف المناسبة للتنقل إذا لم يتم تحديد الطرق من قبل المستوى الأعلى.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</si>
  <si>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ملائمة نقطة البدء ونقطة الانتشار.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</si>
  <si>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المسافة بين نقاط الضبط والسيطرة على الطرق والمسافة الكلية من نقطة البدء وحتى نقطة الانتشار.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</si>
  <si>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التأكد من موقع منطقة التجمع أو المأوى.</t>
    </r>
  </si>
  <si>
    <r>
      <t>11.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التأكد من مواقع نقاط الضبط والسيطرة على الطريق.</t>
    </r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</si>
  <si>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تحديد وتأشير الموانع على الخارطة.</t>
    </r>
  </si>
  <si>
    <t>مرحلة التحضير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</si>
  <si>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يقوم فصيل الاستطلاع بالتحضير للتنقل التعبوي كما يلي:</t>
    </r>
  </si>
  <si>
    <t>أ. قيام الفصيل باستطلاع الطريق المؤدي إلى نقطة البدء وتحديد الوقت الدقيق للوصول إليها.</t>
  </si>
  <si>
    <t>ب. تنفيذ تفقدات وتفتيشات ما قبل المعركة.</t>
  </si>
  <si>
    <t>جـ. الإشراف على إجراءات التأكد من أن جهود التخطيط والتحضير تجري في الاتجاه الصحيح وتتوافق مع قصد القائد.</t>
  </si>
  <si>
    <t>د. إجراء التجارب خلال ساعات النهار وفي ظل ظروف الرؤية المحدودة إن أمكن.</t>
  </si>
  <si>
    <t>هـ. تحميل كافة الآليات وفقاً لخطة التحميل وخطة الإدامة.</t>
  </si>
  <si>
    <t>ز. فحص أجهزة الاتصالات في كافة الآليات قبل البدء بالحركة.</t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</si>
  <si>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توضيع عناصر الاستطلاع ضمن نظام المسير الصحيح.</t>
    </r>
  </si>
  <si>
    <t>مرحلة التنفيذ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</si>
  <si>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اجتياز نقطة البدء في الوقت المحدد في أمر العمليات أو الأمر المجزأ.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</si>
  <si>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التشكيلة المحددة، أسلوب التنقل ومعدل المسير والمحافظة على السرعة الملائمة للوصول إلى نقاط الضبط والسيطرة في الأوقات المحددة في الأمر.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</si>
  <si>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إشارات التعارف البصرية أو الأجهزة اللاسلكية للاتصال مع الوحدات وبما يتوافق مع أمر العمليات والأوامر التعبوية المستديمة.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</si>
  <si>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إدامة المراقبة لجميع الجهات بما في ذلك المراقبة الجوية أثناء الحركة والوقفات.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</si>
  <si>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تمرير المعلومات عند اجتياز نقاط الضبط والسيطرة بما يتوافق مع أمر العمليات والأوامر التعبوية المستديمة.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</si>
  <si>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تنفيذ الوقفات المبرمجة ضمن المسافات الاعتيادية وبما يتوافق مع أمر العمليات أو الأوامر التعبوية المستديمة في حالة سمح الموقف التعبوي بذلك، والقيام بإجراء الصيانة الوقائية وإعادة التزود بالوقود عند الضرورة.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</si>
  <si>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التعامل مع الموانع حسب الأوامر.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</si>
  <si>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تمرير مواقع الوحدات للمستوى الأعلى وحسب الطلب.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</si>
  <si>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تطبيق إجراءات التماس مع قوات العدو حسب أمر العمليات أو الأوامر التعبوية المستديمة.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</si>
  <si>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الوصول إلى نقاط الانتشار واجتيازها حسب الوقت المحدد في أمر العمليات.</t>
    </r>
  </si>
  <si>
    <r>
      <t>11.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تمرير المعلومات الوصول إلى نقاط الانتشار واتمام اجتيازها دون توقف.</t>
    </r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</si>
  <si>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تعين الأدلاء منطقة التجمع المحددة.</t>
    </r>
  </si>
  <si>
    <r>
      <t>13.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تطبيق الانتشار وإجراءات التخفية والتمويه الملائمة.</t>
    </r>
  </si>
  <si>
    <t xml:space="preserve">   تقييم سرية الحرب الإلكترونية التعبوية  في التنقل التعبوي
تمرين جاهزية مجموعة لواء الإمارات/1 (جندي الصحراء 2025/20)</t>
  </si>
  <si>
    <t>النقيب مهندس/ سلطان سعيد النيادي</t>
  </si>
  <si>
    <t>رائد ركن / جمعه محمد مسعود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</si>
</sst>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5" borderId="12" xfId="0" applyFont="1" applyFill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3" fillId="5" borderId="23" xfId="0" applyFont="1" applyFill="1" applyBorder="1" applyAlignment="1">
      <alignment horizontal="right" vertical="center" wrapText="1" indent="2" readingOrder="2"/>
    </xf>
    <xf numFmtId="0" fontId="13" fillId="5" borderId="3" xfId="0" applyFont="1" applyFill="1" applyBorder="1" applyAlignment="1">
      <alignment horizontal="right" vertical="center" wrapText="1" indent="2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24" xfId="0" applyFont="1" applyFill="1" applyBorder="1" applyAlignment="1">
      <alignment horizontal="right" vertical="center" wrapText="1" readingOrder="2"/>
    </xf>
    <xf numFmtId="0" fontId="13" fillId="5" borderId="14" xfId="0" applyFont="1" applyFill="1" applyBorder="1" applyAlignment="1">
      <alignment horizontal="right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3" fillId="6" borderId="26" xfId="0" applyFont="1" applyFill="1" applyBorder="1" applyAlignment="1">
      <alignment horizontal="right" vertical="center" wrapText="1" readingOrder="2"/>
    </xf>
    <xf numFmtId="0" fontId="3" fillId="6" borderId="27" xfId="0" applyFont="1" applyFill="1" applyBorder="1" applyAlignment="1">
      <alignment horizontal="right" vertical="center" wrapText="1" readingOrder="2"/>
    </xf>
    <xf numFmtId="0" fontId="3" fillId="6" borderId="28" xfId="0" applyFont="1" applyFill="1" applyBorder="1" applyAlignment="1">
      <alignment horizontal="right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345461</xdr:colOff>
      <xdr:row>54</xdr:row>
      <xdr:rowOff>127720</xdr:rowOff>
    </xdr:from>
    <xdr:to>
      <xdr:col>8</xdr:col>
      <xdr:colOff>379637</xdr:colOff>
      <xdr:row>55</xdr:row>
      <xdr:rowOff>94613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799EE13-ED12-2558-B7F9-9B7701A199F1}"/>
                </a:ext>
              </a:extLst>
            </xdr14:cNvPr>
            <xdr14:cNvContentPartPr/>
          </xdr14:nvContentPartPr>
          <xdr14:nvPr macro=""/>
          <xdr14:xfrm>
            <a:off x="10398865269" y="24003720"/>
            <a:ext cx="1350360" cy="613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799EE13-ED12-2558-B7F9-9B7701A199F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59149" y="23997600"/>
              <a:ext cx="1362600" cy="62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447701</xdr:colOff>
      <xdr:row>54</xdr:row>
      <xdr:rowOff>299800</xdr:rowOff>
    </xdr:from>
    <xdr:to>
      <xdr:col>6</xdr:col>
      <xdr:colOff>482621</xdr:colOff>
      <xdr:row>54</xdr:row>
      <xdr:rowOff>323560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5B5457B-FC0C-AFE1-4BAF-78178376840C}"/>
                </a:ext>
              </a:extLst>
            </xdr14:cNvPr>
            <xdr14:cNvContentPartPr/>
          </xdr14:nvContentPartPr>
          <xdr14:nvPr macro=""/>
          <xdr14:xfrm>
            <a:off x="10400078469" y="24175800"/>
            <a:ext cx="34920" cy="237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5B5457B-FC0C-AFE1-4BAF-7817837684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072349" y="24169680"/>
              <a:ext cx="4716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6:32:03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2871 1203 1416,'0'0'0,"0"0"1240,0 0-728,0 0-512,0 0 456,-5 0 280,5 0 297,0 0 375,0 0-1408,0 0 1408,0-3-247,0 0-241,0-2-168,0 5-752,0-3 680,0-6 0,0 1-80,0-1-48,0 9-552,0-23 505,0 18 15,0-18-32,6 14-24,-6 9-464,5-32 344,3 7-120,-4-4-40,6-2-104,-10 31-80,5-31 64,3-5-16,0 0 32,15-1-80,-23 37 0,0-37 0,7-1 48,2 1-64,-1-6 64,-8 43-48,23-40 24,-18-1 32,4 2-56,12 2 24,-21 37-24,0-38 8,9 4-8,12 2 24,-21 1-24,0 31 0,10-31 8,-3-7-8,2 4 0,12 2 16,-21 32-16,0-34 8,10 8 8,-2 3-16,0 0-24,-8 23 24,7-23-16,3 12-16,-7-17 24,5 19 16,-8 9-8,4-24-32,6 16 0,-3-4-32,-3 1-48,-4 11 112,10-8-120,-1-1-40,-2 3-24,2 4-24,-9 2 208,5-3-232,2 0-32,-7 3 24,7 0 24,-7 0 216,8 0-216,0 0 16,2 0 24,-3 0 64,-7 0 112,7 0-104,16 0 47,-23 0 17,10 0 0,-10 0 40,5 0 32,3 0-16,0 0 8,16 0-16,-24 0-8,0 0-8,6 0 8,3 0 8,14 0 25,-23 0-33,3 6-8,7-6-17,13 0 9,-19 0-40,-4 0 56,8 0 0,15 5-40,-19-5 24,4 0 8,-8 0 8,23 6-32,-16-6 32,0 6-16,3-6-48,-10 0 64,23 5-64,-23-5 0,7 6-40,14 0 32,-21-6 72,0 5-56,7-5-24,5 6 16,-6 0-8,-6-6 72,7 5-64,3 1 16,0-6 40,-8 7-24,-2-7 32,6 0-32,-1 5 24,-5-5 0,7 6 24,-7-6-16,0 0-8,0 0 0,0 6-32,0-6 40,0 6-16,-2-1 16,-3-5 16,5 0-16,-7 6-16,1 0 80,-4-1 16,-13 4-40,23-9-40,-7 23 96,-19-18-48,14 4 0,-20 16 40,32-25-88,-28 6 24,-5 21 0,-4-19-32,-6 18-24,43-26 32,-47 22-64,1 1 0,-6 0 0,-6 3 8,58-26 56,-61 26 0,-11 3 24,-3 5-24,-5 5 0,80-39 0,-86 44-16,-3 2 8,-9 5 8,-8 7 64,106-58-64,-112 57 32,-9 0 8,-3-3-32,2-5-72,122-49 64,-121 49-24,-3-3-112,-4 2-32,6 1-24,122-49 192,-124 51-176,5 3 144,-5 1 24,5-1 64,119-54-56,-115 54 32,3-1-40,2-5 16,6-5-8,104-43 0,-97 43 64,6-6 32,19-6 32,-1-2 64,73-29-192,-58 9 128,11 20 24,4-23-8,11 2 24,32-8-168,-30 9 216,9-1 97,9-2 7,1-6-8,11 0-312,-10 0 280,8 0-8,-1 0-24,3 0-208,0 0-40,0 0-64,5-3-200,5-3 0,15-2 176,-25 8 88,10-9-56,29 1 80,-7-18 0,2 14-112,-34 12 88,41-32 24,-1 4-40,3 0 16,5-1 32,-48 29-32,50-29-40,2-3 40,8 1 8,1 3 48,-61 28-56,63-31 0,-5 1 80,-4-1-80,-5 0-16,-49 31 16,49-26 56,-2-2-80,-3 4 24,1 1 24,-45 23-24,42-23-32,-7 12 0,7-15 72,-12 15-72,-30 11 32,33-26 16,-3 18 64,-7-19-64,2 19-16,-25 8 0,8-12 88,14 1-16,-17-12 40,1 15 160,-6 8-272,7-23 304,0 14-32,-7-2 40,0 0 0,0 11-312,0-24 240,0 18 72,-2-5-48,-3 0-56,5 11-208,-10-12 152,-1 1-56,-10 2-24,15 1-80,6 8 8,-10-9 0,3 3-48,-3 4-64,-1-1-24,11 3 136,-10-3-168,1 3-24,4 0-96,3 0-56,2 0 344,0 0-416,-3 0-56,3 0 48,0 0 96,0 0 328,0 6-328,5 2 144,5 1 72,10 13 112,-20-22 0,7 6 8,24 3 24,-24 13-24,18-16-8,-25-6 0,8 6 56,22 2 0,-4 2 48,0-4-96,-26-6-8,33 0 56,-8 0-56,3 0 48,-2 0 48,-26 0-96,28 0 128,2-6-16,-2-4 8,-5-1-56,-23 11-64,27-23 48,-19 15-24,25-15-24,-26 14 40,-7 9-40,28-25-8,-18 16 96,11-16-56,-14 15 24,-7 10-56,4-23 64,1 15-16,0-21-8,-5 18 0,0 11-40,7-28 40,-7 5-24,0 14 96,0-14 40,0 23-152,0-9 112,0 1-8,-2-1-32,-3 3-48,5 6-24,-2-2 0,2-1 56,-3 3-152,1 0-72,2 0 168,-3 0-192,-1 0-176,-1 0 104,5 5 0,0-5 264,0 6-280,0 0 96,-2 2-16,2 21 80,0-29 120,0 9 48,0 17 0,0-18-24,0 15 40,0-23-64,7 9 0,-7 13-24,4-16 120,4 3-64,-8-9-32,7 8-8,0 1 104,-1-4-80,-6 1 32,0-6-48,8 0 152,-1 7-64,-2-7 24,2 0-16,-7 0-96,2 0 168,4 0-112,2 0 176,15 0-128,-23 0-104,7-4 72,0 1 96,-7 0-72,5 0 72,-5 3-168,0-3 128,7-2-8,-2-4 24,-5 1 0,0 8-144,4-9 168,-4 1-56,0-4 8,0 4 144,0 8-264,0-9 136,0 1 72,0-1-96,-4 3-104,4 6-8,-2-5 112,-6-1-88,6 0 56,2 4-104,0 2 24,0-3 24,0 0 0,0 3-8,0 0-16,0 0-72,0 0-64,0 0 8,0 0-72,0 0 736,0 0-1344,0 0 488,0 0-48,0 0 32,0 0 2168,0 0-3944,0 0 1784,0 6 104,7-1 72,-7-5 152,0 6-224,5 0 152,-5-1-96,4 1 72,-4-6 96,7 6-40,-7 2-16,5 1 8,-5-1-64,0-8 112,7 9-16,-2-1 8,-5-2 0,5 0 40,-5-6-32,3 5-24,-3 1 64,8-6-8,-8 6 0,0-6-32,0 0 136,0 0 48,0 0 112,4 0 88,-4 0-384,0 0 352,0 0 56,0-3 0,0 0-48,0 3-360,0-6 440,0-2-184,0-1 8,0-13 0,0 22-264,-2-9 137,-8-17-17,9 4 64,-4-5-40,5 27-144,-7-23 208,2 1-96,-2-1-40,7 0-56,0 23-16,-9-25-48,7 1 160,-3 1-80,-4 15-16,9 8-16,-3-26 64,-2 17-40,3 1-72,2-1 72,0 9-24,0-8-80,0 2 24,0 3-32,0 1 40,0 2 48,0-3-64,0 3-56,0 0-56,0 0-40,0 0 216,0 0-176,0 0 31,0 0 89,2 0-80,-2 0 136,10 8-80,0 15 56,15-15 24,-15 29 120,-10-37-120,32 35 120,-4 8 25,0 11-73,5 7-40,-33-61-32,32 65 48,8 5-104,7 3 64,7 5-16,-54-78 8,58 83-96,7 9-769,15 4-3000,0 16-4560,-80-112 8425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6:32:05.2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96 66 24013,'0'0'0,"-36"-9"3312,12-13-3312,24 22 0,-24-9-392,17 3-200,2 4-288,5-1-40,0 3 920,0-3-1000,0 0-73,0 0-31,0 3-264,0 0 1368,0 0-2121,7-3-1936,-2 0-4576,-5 3 8633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5"/>
  <sheetViews>
    <sheetView rightToLeft="1" tabSelected="1" view="pageBreakPreview" topLeftCell="A47" zoomScale="130" zoomScaleNormal="100" zoomScaleSheetLayoutView="130" workbookViewId="0">
      <selection activeCell="F49" sqref="F4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8" t="s">
        <v>223</v>
      </c>
      <c r="C1" s="38"/>
      <c r="D1" s="38"/>
      <c r="E1" s="38"/>
      <c r="F1" s="38"/>
      <c r="G1" s="38"/>
      <c r="H1" s="38"/>
      <c r="I1" s="38"/>
      <c r="J1" s="38"/>
    </row>
    <row r="2" spans="1:10" ht="30" customHeight="1" x14ac:dyDescent="0.3">
      <c r="B2" s="10" t="s">
        <v>8</v>
      </c>
      <c r="C2" s="44" t="s">
        <v>14</v>
      </c>
      <c r="D2" s="44"/>
      <c r="E2" s="10" t="s">
        <v>7</v>
      </c>
      <c r="F2" s="39">
        <v>45939</v>
      </c>
      <c r="G2" s="39"/>
      <c r="H2" s="39"/>
      <c r="I2" s="39"/>
      <c r="J2" s="39"/>
    </row>
    <row r="3" spans="1:10" ht="30" customHeight="1" x14ac:dyDescent="0.3">
      <c r="B3" s="10" t="s">
        <v>9</v>
      </c>
      <c r="C3" s="44"/>
      <c r="D3" s="44"/>
      <c r="E3" s="10" t="s">
        <v>6</v>
      </c>
      <c r="F3" s="44" t="s">
        <v>59</v>
      </c>
      <c r="G3" s="44"/>
      <c r="H3" s="44"/>
      <c r="I3" s="44"/>
      <c r="J3" s="44"/>
    </row>
    <row r="4" spans="1:10" ht="30" customHeight="1" thickBot="1" x14ac:dyDescent="0.35">
      <c r="B4" s="6"/>
      <c r="C4" s="7"/>
      <c r="D4" s="7" t="s">
        <v>224</v>
      </c>
      <c r="E4" s="6"/>
      <c r="F4" s="7"/>
      <c r="G4" s="66" t="s">
        <v>225</v>
      </c>
      <c r="H4" s="66"/>
      <c r="I4" s="66"/>
      <c r="J4" s="66"/>
    </row>
    <row r="5" spans="1:10" ht="24.9" customHeight="1" x14ac:dyDescent="0.3">
      <c r="A5" s="8"/>
      <c r="B5" s="40" t="s">
        <v>0</v>
      </c>
      <c r="C5" s="41"/>
      <c r="D5" s="41"/>
      <c r="E5" s="51" t="s">
        <v>1</v>
      </c>
      <c r="F5" s="51"/>
      <c r="G5" s="51"/>
      <c r="H5" s="51"/>
      <c r="I5" s="51" t="s">
        <v>2</v>
      </c>
      <c r="J5" s="52"/>
    </row>
    <row r="6" spans="1:10" ht="24.9" customHeight="1" thickBot="1" x14ac:dyDescent="0.35">
      <c r="A6" s="8"/>
      <c r="B6" s="42"/>
      <c r="C6" s="43"/>
      <c r="D6" s="43"/>
      <c r="E6" s="9" t="s">
        <v>3</v>
      </c>
      <c r="F6" s="9" t="s">
        <v>4</v>
      </c>
      <c r="G6" s="9" t="s">
        <v>23</v>
      </c>
      <c r="H6" s="9" t="s">
        <v>24</v>
      </c>
      <c r="I6" s="53"/>
      <c r="J6" s="54"/>
    </row>
    <row r="7" spans="1:10" ht="24.9" customHeight="1" thickBot="1" x14ac:dyDescent="0.35">
      <c r="A7" s="8"/>
      <c r="B7" s="47" t="s">
        <v>21</v>
      </c>
      <c r="C7" s="48"/>
      <c r="D7" s="48"/>
      <c r="E7" s="26" t="s">
        <v>18</v>
      </c>
      <c r="F7" s="26" t="s">
        <v>19</v>
      </c>
      <c r="G7" s="26" t="s">
        <v>22</v>
      </c>
      <c r="H7" s="26" t="s">
        <v>20</v>
      </c>
      <c r="I7" s="55" t="s">
        <v>25</v>
      </c>
      <c r="J7" s="56"/>
    </row>
    <row r="8" spans="1:10" ht="30" customHeight="1" x14ac:dyDescent="0.3">
      <c r="A8" s="8"/>
      <c r="B8" s="82" t="s">
        <v>180</v>
      </c>
      <c r="C8" s="83"/>
      <c r="D8" s="83"/>
      <c r="E8" s="83"/>
      <c r="F8" s="83"/>
      <c r="G8" s="83"/>
      <c r="H8" s="83"/>
      <c r="I8" s="83"/>
      <c r="J8" s="84"/>
    </row>
    <row r="9" spans="1:10" ht="51" customHeight="1" x14ac:dyDescent="0.3">
      <c r="A9" s="8"/>
      <c r="B9" s="59" t="s">
        <v>181</v>
      </c>
      <c r="C9" s="60"/>
      <c r="D9" s="60"/>
      <c r="E9" s="30">
        <v>0</v>
      </c>
      <c r="F9" s="24" t="s">
        <v>17</v>
      </c>
      <c r="G9" s="28" t="str">
        <f>IFERROR(F9/E9,"")</f>
        <v/>
      </c>
      <c r="H9" s="29" t="str">
        <f>_xlfn.IFS(F9="أدخل العلامة","",F9="لا ينطبق","تم الإلغاء",G9&gt;=90%,"ممتاز",G9&gt;=80%,"جيد جداً",G9&gt;=70%,"جيد",G9&gt;=60%,"مقبول",G9&lt;60%,"راسب")</f>
        <v>تم الإلغاء</v>
      </c>
      <c r="I9" s="49"/>
      <c r="J9" s="50"/>
    </row>
    <row r="10" spans="1:10" ht="39.9" customHeight="1" x14ac:dyDescent="0.3">
      <c r="A10" s="8"/>
      <c r="B10" s="59" t="s">
        <v>182</v>
      </c>
      <c r="C10" s="60"/>
      <c r="D10" s="60"/>
      <c r="E10" s="30"/>
      <c r="F10" s="24"/>
      <c r="G10" s="28"/>
      <c r="H10" s="29"/>
      <c r="I10" s="49"/>
      <c r="J10" s="50"/>
    </row>
    <row r="11" spans="1:10" ht="30" customHeight="1" x14ac:dyDescent="0.3">
      <c r="A11" s="8"/>
      <c r="B11" s="57" t="s">
        <v>183</v>
      </c>
      <c r="C11" s="58"/>
      <c r="D11" s="58"/>
      <c r="E11" s="30">
        <v>0</v>
      </c>
      <c r="F11" s="24" t="s">
        <v>17</v>
      </c>
      <c r="G11" s="28" t="str">
        <f t="shared" ref="G11:G50" si="0">IFERROR(F11/E11,"")</f>
        <v/>
      </c>
      <c r="H11" s="29" t="str">
        <f t="shared" ref="H11:H50" si="1">_xlfn.IFS(F11="أدخل العلامة","",F11="لا ينطبق","تم الإلغاء",G11&gt;=90%,"ممتاز",G11&gt;=80%,"جيد جداً",G11&gt;=70%,"جيد",G11&gt;=60%,"مقبول",G11&lt;60%,"راسب")</f>
        <v>تم الإلغاء</v>
      </c>
      <c r="I11" s="49"/>
      <c r="J11" s="50"/>
    </row>
    <row r="12" spans="1:10" ht="39.9" customHeight="1" x14ac:dyDescent="0.3">
      <c r="A12" s="8"/>
      <c r="B12" s="57" t="s">
        <v>184</v>
      </c>
      <c r="C12" s="58"/>
      <c r="D12" s="58"/>
      <c r="E12" s="30">
        <v>0</v>
      </c>
      <c r="F12" s="24" t="s">
        <v>17</v>
      </c>
      <c r="G12" s="28" t="str">
        <f t="shared" si="0"/>
        <v/>
      </c>
      <c r="H12" s="29" t="str">
        <f t="shared" si="1"/>
        <v>تم الإلغاء</v>
      </c>
      <c r="I12" s="49"/>
      <c r="J12" s="50"/>
    </row>
    <row r="13" spans="1:10" ht="30" customHeight="1" x14ac:dyDescent="0.3">
      <c r="A13" s="8"/>
      <c r="B13" s="59" t="s">
        <v>185</v>
      </c>
      <c r="C13" s="60"/>
      <c r="D13" s="60"/>
      <c r="E13" s="30"/>
      <c r="F13" s="24"/>
      <c r="G13" s="28"/>
      <c r="H13" s="29"/>
      <c r="I13" s="49"/>
      <c r="J13" s="50"/>
    </row>
    <row r="14" spans="1:10" ht="30" customHeight="1" x14ac:dyDescent="0.3">
      <c r="A14" s="8"/>
      <c r="B14" s="57" t="s">
        <v>186</v>
      </c>
      <c r="C14" s="58"/>
      <c r="D14" s="58"/>
      <c r="E14" s="30">
        <v>0</v>
      </c>
      <c r="F14" s="24" t="s">
        <v>17</v>
      </c>
      <c r="G14" s="28" t="str">
        <f t="shared" si="0"/>
        <v/>
      </c>
      <c r="H14" s="29" t="str">
        <f t="shared" si="1"/>
        <v>تم الإلغاء</v>
      </c>
      <c r="I14" s="49"/>
      <c r="J14" s="50"/>
    </row>
    <row r="15" spans="1:10" ht="39.9" customHeight="1" x14ac:dyDescent="0.3">
      <c r="A15" s="8"/>
      <c r="B15" s="57" t="s">
        <v>187</v>
      </c>
      <c r="C15" s="58"/>
      <c r="D15" s="58"/>
      <c r="E15" s="30">
        <v>0</v>
      </c>
      <c r="F15" s="24" t="s">
        <v>17</v>
      </c>
      <c r="G15" s="28" t="str">
        <f t="shared" si="0"/>
        <v/>
      </c>
      <c r="H15" s="29" t="str">
        <f t="shared" si="1"/>
        <v>تم الإلغاء</v>
      </c>
      <c r="I15" s="49"/>
      <c r="J15" s="50"/>
    </row>
    <row r="16" spans="1:10" ht="30" customHeight="1" x14ac:dyDescent="0.3">
      <c r="A16" s="8"/>
      <c r="B16" s="57" t="s">
        <v>188</v>
      </c>
      <c r="C16" s="58"/>
      <c r="D16" s="58"/>
      <c r="E16" s="30">
        <v>0</v>
      </c>
      <c r="F16" s="24" t="s">
        <v>17</v>
      </c>
      <c r="G16" s="28" t="str">
        <f t="shared" si="0"/>
        <v/>
      </c>
      <c r="H16" s="29" t="str">
        <f t="shared" si="1"/>
        <v>تم الإلغاء</v>
      </c>
      <c r="I16" s="49"/>
      <c r="J16" s="50"/>
    </row>
    <row r="17" spans="1:10" ht="39.9" customHeight="1" x14ac:dyDescent="0.3">
      <c r="A17" s="8"/>
      <c r="B17" s="57" t="s">
        <v>189</v>
      </c>
      <c r="C17" s="58"/>
      <c r="D17" s="58"/>
      <c r="E17" s="30">
        <v>0</v>
      </c>
      <c r="F17" s="24" t="s">
        <v>17</v>
      </c>
      <c r="G17" s="28" t="str">
        <f t="shared" si="0"/>
        <v/>
      </c>
      <c r="H17" s="29" t="str">
        <f t="shared" si="1"/>
        <v>تم الإلغاء</v>
      </c>
      <c r="I17" s="49"/>
      <c r="J17" s="50"/>
    </row>
    <row r="18" spans="1:10" ht="30" customHeight="1" x14ac:dyDescent="0.3">
      <c r="A18" s="8"/>
      <c r="B18" s="57" t="s">
        <v>190</v>
      </c>
      <c r="C18" s="58"/>
      <c r="D18" s="58"/>
      <c r="E18" s="30">
        <v>0</v>
      </c>
      <c r="F18" s="24" t="s">
        <v>17</v>
      </c>
      <c r="G18" s="28" t="str">
        <f t="shared" si="0"/>
        <v/>
      </c>
      <c r="H18" s="29" t="str">
        <f t="shared" si="1"/>
        <v>تم الإلغاء</v>
      </c>
      <c r="I18" s="49"/>
      <c r="J18" s="50"/>
    </row>
    <row r="19" spans="1:10" ht="39.9" customHeight="1" x14ac:dyDescent="0.3">
      <c r="A19" s="8"/>
      <c r="B19" s="59" t="s">
        <v>191</v>
      </c>
      <c r="C19" s="60"/>
      <c r="D19" s="60"/>
      <c r="E19" s="30">
        <v>0</v>
      </c>
      <c r="F19" s="24" t="s">
        <v>17</v>
      </c>
      <c r="G19" s="28" t="str">
        <f t="shared" si="0"/>
        <v/>
      </c>
      <c r="H19" s="29" t="str">
        <f t="shared" si="1"/>
        <v>تم الإلغاء</v>
      </c>
      <c r="I19" s="49"/>
      <c r="J19" s="50"/>
    </row>
    <row r="20" spans="1:10" ht="39.9" customHeight="1" x14ac:dyDescent="0.3">
      <c r="A20" s="8"/>
      <c r="B20" s="59" t="s">
        <v>192</v>
      </c>
      <c r="C20" s="60"/>
      <c r="D20" s="60"/>
      <c r="E20" s="30">
        <v>0</v>
      </c>
      <c r="F20" s="24" t="s">
        <v>17</v>
      </c>
      <c r="G20" s="28" t="str">
        <f t="shared" si="0"/>
        <v/>
      </c>
      <c r="H20" s="29" t="str">
        <f t="shared" si="1"/>
        <v>تم الإلغاء</v>
      </c>
      <c r="I20" s="49"/>
      <c r="J20" s="50"/>
    </row>
    <row r="21" spans="1:10" ht="51" customHeight="1" x14ac:dyDescent="0.3">
      <c r="A21" s="8"/>
      <c r="B21" s="59" t="s">
        <v>193</v>
      </c>
      <c r="C21" s="60"/>
      <c r="D21" s="60"/>
      <c r="E21" s="30">
        <v>5</v>
      </c>
      <c r="F21" s="24">
        <v>3.5</v>
      </c>
      <c r="G21" s="28">
        <f t="shared" si="0"/>
        <v>0.7</v>
      </c>
      <c r="H21" s="29" t="str">
        <f t="shared" si="1"/>
        <v>جيد</v>
      </c>
      <c r="I21" s="49"/>
      <c r="J21" s="50"/>
    </row>
    <row r="22" spans="1:10" ht="39.9" customHeight="1" x14ac:dyDescent="0.3">
      <c r="A22" s="8"/>
      <c r="B22" s="59" t="s">
        <v>194</v>
      </c>
      <c r="C22" s="60"/>
      <c r="D22" s="60"/>
      <c r="E22" s="30">
        <v>0</v>
      </c>
      <c r="F22" s="24" t="s">
        <v>17</v>
      </c>
      <c r="G22" s="28" t="str">
        <f t="shared" si="0"/>
        <v/>
      </c>
      <c r="H22" s="29" t="str">
        <f t="shared" si="1"/>
        <v>تم الإلغاء</v>
      </c>
      <c r="I22" s="49"/>
      <c r="J22" s="50"/>
    </row>
    <row r="23" spans="1:10" ht="30" customHeight="1" x14ac:dyDescent="0.3">
      <c r="A23" s="8"/>
      <c r="B23" s="59" t="s">
        <v>195</v>
      </c>
      <c r="C23" s="60"/>
      <c r="D23" s="60"/>
      <c r="E23" s="30">
        <v>0</v>
      </c>
      <c r="F23" s="24" t="s">
        <v>17</v>
      </c>
      <c r="G23" s="28" t="str">
        <f t="shared" si="0"/>
        <v/>
      </c>
      <c r="H23" s="29" t="str">
        <f t="shared" si="1"/>
        <v>تم الإلغاء</v>
      </c>
      <c r="I23" s="49"/>
      <c r="J23" s="50"/>
    </row>
    <row r="24" spans="1:10" ht="39.9" customHeight="1" x14ac:dyDescent="0.3">
      <c r="A24" s="8"/>
      <c r="B24" s="59" t="s">
        <v>196</v>
      </c>
      <c r="C24" s="60"/>
      <c r="D24" s="60"/>
      <c r="E24" s="30">
        <v>0</v>
      </c>
      <c r="F24" s="24" t="s">
        <v>17</v>
      </c>
      <c r="G24" s="28" t="str">
        <f t="shared" si="0"/>
        <v/>
      </c>
      <c r="H24" s="29" t="str">
        <f t="shared" si="1"/>
        <v>تم الإلغاء</v>
      </c>
      <c r="I24" s="49"/>
      <c r="J24" s="50"/>
    </row>
    <row r="25" spans="1:10" ht="30" customHeight="1" x14ac:dyDescent="0.3">
      <c r="A25" s="8"/>
      <c r="B25" s="59" t="s">
        <v>197</v>
      </c>
      <c r="C25" s="60"/>
      <c r="D25" s="60"/>
      <c r="E25" s="30">
        <v>0</v>
      </c>
      <c r="F25" s="24" t="s">
        <v>17</v>
      </c>
      <c r="G25" s="28" t="str">
        <f t="shared" si="0"/>
        <v/>
      </c>
      <c r="H25" s="29" t="str">
        <f t="shared" si="1"/>
        <v>تم الإلغاء</v>
      </c>
      <c r="I25" s="49"/>
      <c r="J25" s="50"/>
    </row>
    <row r="26" spans="1:10" ht="30" customHeight="1" x14ac:dyDescent="0.3">
      <c r="A26" s="8"/>
      <c r="B26" s="59" t="s">
        <v>198</v>
      </c>
      <c r="C26" s="60"/>
      <c r="D26" s="60"/>
      <c r="E26" s="30">
        <v>0</v>
      </c>
      <c r="F26" s="24" t="s">
        <v>17</v>
      </c>
      <c r="G26" s="28" t="str">
        <f t="shared" si="0"/>
        <v/>
      </c>
      <c r="H26" s="29" t="str">
        <f t="shared" si="1"/>
        <v>تم الإلغاء</v>
      </c>
      <c r="I26" s="49"/>
      <c r="J26" s="50"/>
    </row>
    <row r="27" spans="1:10" ht="30" customHeight="1" thickBot="1" x14ac:dyDescent="0.35">
      <c r="A27" s="8"/>
      <c r="B27" s="61" t="s">
        <v>199</v>
      </c>
      <c r="C27" s="62"/>
      <c r="D27" s="62"/>
      <c r="E27" s="34">
        <v>0</v>
      </c>
      <c r="F27" s="35" t="s">
        <v>17</v>
      </c>
      <c r="G27" s="36" t="str">
        <f t="shared" si="0"/>
        <v/>
      </c>
      <c r="H27" s="37" t="str">
        <f t="shared" si="1"/>
        <v>تم الإلغاء</v>
      </c>
      <c r="I27" s="85"/>
      <c r="J27" s="86"/>
    </row>
    <row r="28" spans="1:10" ht="30" customHeight="1" x14ac:dyDescent="0.3">
      <c r="A28" s="8"/>
      <c r="B28" s="82" t="s">
        <v>200</v>
      </c>
      <c r="C28" s="83"/>
      <c r="D28" s="83"/>
      <c r="E28" s="83"/>
      <c r="F28" s="83"/>
      <c r="G28" s="83"/>
      <c r="H28" s="83"/>
      <c r="I28" s="83"/>
      <c r="J28" s="84"/>
    </row>
    <row r="29" spans="1:10" ht="30" customHeight="1" x14ac:dyDescent="0.3">
      <c r="A29" s="8"/>
      <c r="B29" s="59" t="s">
        <v>201</v>
      </c>
      <c r="C29" s="60"/>
      <c r="D29" s="60"/>
      <c r="E29" s="30"/>
      <c r="F29" s="24"/>
      <c r="G29" s="28"/>
      <c r="H29" s="29"/>
      <c r="I29" s="49"/>
      <c r="J29" s="50"/>
    </row>
    <row r="30" spans="1:10" ht="39.9" customHeight="1" x14ac:dyDescent="0.3">
      <c r="A30" s="8"/>
      <c r="B30" s="57" t="s">
        <v>202</v>
      </c>
      <c r="C30" s="58"/>
      <c r="D30" s="58"/>
      <c r="E30" s="30">
        <v>0</v>
      </c>
      <c r="F30" s="24" t="s">
        <v>17</v>
      </c>
      <c r="G30" s="28" t="str">
        <f t="shared" si="0"/>
        <v/>
      </c>
      <c r="H30" s="29" t="str">
        <f t="shared" si="1"/>
        <v>تم الإلغاء</v>
      </c>
      <c r="I30" s="49"/>
      <c r="J30" s="50"/>
    </row>
    <row r="31" spans="1:10" ht="30" customHeight="1" x14ac:dyDescent="0.3">
      <c r="A31" s="8"/>
      <c r="B31" s="57" t="s">
        <v>203</v>
      </c>
      <c r="C31" s="58"/>
      <c r="D31" s="58"/>
      <c r="E31" s="30">
        <v>0</v>
      </c>
      <c r="F31" s="24" t="s">
        <v>17</v>
      </c>
      <c r="G31" s="28" t="str">
        <f t="shared" si="0"/>
        <v/>
      </c>
      <c r="H31" s="29" t="str">
        <f t="shared" si="1"/>
        <v>تم الإلغاء</v>
      </c>
      <c r="I31" s="49"/>
      <c r="J31" s="50"/>
    </row>
    <row r="32" spans="1:10" ht="39.9" customHeight="1" x14ac:dyDescent="0.3">
      <c r="A32" s="8"/>
      <c r="B32" s="57" t="s">
        <v>204</v>
      </c>
      <c r="C32" s="58"/>
      <c r="D32" s="58"/>
      <c r="E32" s="30">
        <v>0</v>
      </c>
      <c r="F32" s="24" t="s">
        <v>17</v>
      </c>
      <c r="G32" s="28" t="str">
        <f t="shared" si="0"/>
        <v/>
      </c>
      <c r="H32" s="29" t="str">
        <f t="shared" si="1"/>
        <v>تم الإلغاء</v>
      </c>
      <c r="I32" s="49"/>
      <c r="J32" s="50"/>
    </row>
    <row r="33" spans="1:10" ht="39.9" customHeight="1" x14ac:dyDescent="0.3">
      <c r="A33" s="8"/>
      <c r="B33" s="57" t="s">
        <v>205</v>
      </c>
      <c r="C33" s="58"/>
      <c r="D33" s="58"/>
      <c r="E33" s="30">
        <v>0</v>
      </c>
      <c r="F33" s="24" t="s">
        <v>17</v>
      </c>
      <c r="G33" s="28" t="str">
        <f t="shared" si="0"/>
        <v/>
      </c>
      <c r="H33" s="29" t="str">
        <f t="shared" si="1"/>
        <v>تم الإلغاء</v>
      </c>
      <c r="I33" s="49"/>
      <c r="J33" s="50"/>
    </row>
    <row r="34" spans="1:10" ht="30" customHeight="1" x14ac:dyDescent="0.3">
      <c r="A34" s="8"/>
      <c r="B34" s="57" t="s">
        <v>206</v>
      </c>
      <c r="C34" s="58"/>
      <c r="D34" s="58"/>
      <c r="E34" s="30">
        <v>0</v>
      </c>
      <c r="F34" s="24" t="s">
        <v>17</v>
      </c>
      <c r="G34" s="28" t="str">
        <f t="shared" si="0"/>
        <v/>
      </c>
      <c r="H34" s="29" t="str">
        <f t="shared" si="1"/>
        <v>تم الإلغاء</v>
      </c>
      <c r="I34" s="49"/>
      <c r="J34" s="50"/>
    </row>
    <row r="35" spans="1:10" ht="30" customHeight="1" x14ac:dyDescent="0.3">
      <c r="A35" s="8"/>
      <c r="B35" s="57" t="s">
        <v>207</v>
      </c>
      <c r="C35" s="58"/>
      <c r="D35" s="58"/>
      <c r="E35" s="30">
        <v>5</v>
      </c>
      <c r="F35" s="24">
        <v>4</v>
      </c>
      <c r="G35" s="28">
        <f t="shared" si="0"/>
        <v>0.8</v>
      </c>
      <c r="H35" s="29" t="str">
        <f t="shared" si="1"/>
        <v>جيد جداً</v>
      </c>
      <c r="I35" s="49"/>
      <c r="J35" s="50"/>
    </row>
    <row r="36" spans="1:10" ht="30" customHeight="1" thickBot="1" x14ac:dyDescent="0.35">
      <c r="A36" s="8"/>
      <c r="B36" s="80" t="s">
        <v>208</v>
      </c>
      <c r="C36" s="81"/>
      <c r="D36" s="81"/>
      <c r="E36" s="31">
        <v>0</v>
      </c>
      <c r="F36" s="25" t="s">
        <v>17</v>
      </c>
      <c r="G36" s="32" t="str">
        <f t="shared" si="0"/>
        <v/>
      </c>
      <c r="H36" s="33" t="str">
        <f t="shared" si="1"/>
        <v>تم الإلغاء</v>
      </c>
      <c r="I36" s="69"/>
      <c r="J36" s="70"/>
    </row>
    <row r="37" spans="1:10" ht="30" customHeight="1" x14ac:dyDescent="0.3">
      <c r="A37" s="8"/>
      <c r="B37" s="82" t="s">
        <v>209</v>
      </c>
      <c r="C37" s="83"/>
      <c r="D37" s="83"/>
      <c r="E37" s="83"/>
      <c r="F37" s="83"/>
      <c r="G37" s="83"/>
      <c r="H37" s="83"/>
      <c r="I37" s="83"/>
      <c r="J37" s="84"/>
    </row>
    <row r="38" spans="1:10" ht="30" customHeight="1" x14ac:dyDescent="0.3">
      <c r="A38" s="8"/>
      <c r="B38" s="59" t="s">
        <v>210</v>
      </c>
      <c r="C38" s="60"/>
      <c r="D38" s="60"/>
      <c r="E38" s="30">
        <v>0</v>
      </c>
      <c r="F38" s="24" t="s">
        <v>17</v>
      </c>
      <c r="G38" s="28" t="str">
        <f t="shared" si="0"/>
        <v/>
      </c>
      <c r="H38" s="29" t="str">
        <f t="shared" si="1"/>
        <v>تم الإلغاء</v>
      </c>
      <c r="I38" s="49"/>
      <c r="J38" s="50"/>
    </row>
    <row r="39" spans="1:10" ht="53.25" customHeight="1" x14ac:dyDescent="0.3">
      <c r="A39" s="8"/>
      <c r="B39" s="59" t="s">
        <v>211</v>
      </c>
      <c r="C39" s="60"/>
      <c r="D39" s="60"/>
      <c r="E39" s="30">
        <v>0</v>
      </c>
      <c r="F39" s="24" t="s">
        <v>17</v>
      </c>
      <c r="G39" s="28" t="str">
        <f t="shared" si="0"/>
        <v/>
      </c>
      <c r="H39" s="29" t="str">
        <f t="shared" si="1"/>
        <v>تم الإلغاء</v>
      </c>
      <c r="I39" s="49"/>
      <c r="J39" s="50"/>
    </row>
    <row r="40" spans="1:10" ht="39.9" customHeight="1" x14ac:dyDescent="0.3">
      <c r="A40" s="8"/>
      <c r="B40" s="59" t="s">
        <v>212</v>
      </c>
      <c r="C40" s="60"/>
      <c r="D40" s="60"/>
      <c r="E40" s="30">
        <v>0</v>
      </c>
      <c r="F40" s="24" t="s">
        <v>17</v>
      </c>
      <c r="G40" s="28" t="str">
        <f t="shared" si="0"/>
        <v/>
      </c>
      <c r="H40" s="29" t="str">
        <f t="shared" si="1"/>
        <v>تم الإلغاء</v>
      </c>
      <c r="I40" s="49"/>
      <c r="J40" s="50"/>
    </row>
    <row r="41" spans="1:10" ht="39.9" customHeight="1" x14ac:dyDescent="0.3">
      <c r="A41" s="8"/>
      <c r="B41" s="59" t="s">
        <v>213</v>
      </c>
      <c r="C41" s="60"/>
      <c r="D41" s="60"/>
      <c r="E41" s="30">
        <v>0</v>
      </c>
      <c r="F41" s="24" t="s">
        <v>17</v>
      </c>
      <c r="G41" s="28" t="str">
        <f t="shared" si="0"/>
        <v/>
      </c>
      <c r="H41" s="29" t="str">
        <f t="shared" si="1"/>
        <v>تم الإلغاء</v>
      </c>
      <c r="I41" s="49"/>
      <c r="J41" s="50"/>
    </row>
    <row r="42" spans="1:10" ht="39.9" customHeight="1" x14ac:dyDescent="0.3">
      <c r="A42" s="8"/>
      <c r="B42" s="59" t="s">
        <v>214</v>
      </c>
      <c r="C42" s="60"/>
      <c r="D42" s="60"/>
      <c r="E42" s="30">
        <v>0</v>
      </c>
      <c r="F42" s="24" t="s">
        <v>17</v>
      </c>
      <c r="G42" s="28" t="str">
        <f t="shared" si="0"/>
        <v/>
      </c>
      <c r="H42" s="29" t="str">
        <f t="shared" si="1"/>
        <v>تم الإلغاء</v>
      </c>
      <c r="I42" s="49"/>
      <c r="J42" s="50"/>
    </row>
    <row r="43" spans="1:10" ht="54" customHeight="1" x14ac:dyDescent="0.3">
      <c r="A43" s="8"/>
      <c r="B43" s="59" t="s">
        <v>215</v>
      </c>
      <c r="C43" s="60"/>
      <c r="D43" s="60"/>
      <c r="E43" s="30">
        <v>0</v>
      </c>
      <c r="F43" s="24" t="s">
        <v>17</v>
      </c>
      <c r="G43" s="28" t="str">
        <f t="shared" si="0"/>
        <v/>
      </c>
      <c r="H43" s="29" t="str">
        <f t="shared" si="1"/>
        <v>تم الإلغاء</v>
      </c>
      <c r="I43" s="49"/>
      <c r="J43" s="50"/>
    </row>
    <row r="44" spans="1:10" ht="30" customHeight="1" x14ac:dyDescent="0.3">
      <c r="A44" s="8"/>
      <c r="B44" s="59" t="s">
        <v>216</v>
      </c>
      <c r="C44" s="60"/>
      <c r="D44" s="60"/>
      <c r="E44" s="30">
        <v>0</v>
      </c>
      <c r="F44" s="24" t="s">
        <v>17</v>
      </c>
      <c r="G44" s="28" t="str">
        <f t="shared" si="0"/>
        <v/>
      </c>
      <c r="H44" s="29" t="str">
        <f t="shared" si="1"/>
        <v>تم الإلغاء</v>
      </c>
      <c r="I44" s="49"/>
      <c r="J44" s="50"/>
    </row>
    <row r="45" spans="1:10" ht="30" customHeight="1" x14ac:dyDescent="0.3">
      <c r="A45" s="8"/>
      <c r="B45" s="59" t="s">
        <v>217</v>
      </c>
      <c r="C45" s="60"/>
      <c r="D45" s="60"/>
      <c r="E45" s="30">
        <v>0</v>
      </c>
      <c r="F45" s="24" t="s">
        <v>17</v>
      </c>
      <c r="G45" s="28" t="str">
        <f t="shared" si="0"/>
        <v/>
      </c>
      <c r="H45" s="29" t="str">
        <f t="shared" si="1"/>
        <v>تم الإلغاء</v>
      </c>
      <c r="I45" s="49"/>
      <c r="J45" s="50"/>
    </row>
    <row r="46" spans="1:10" ht="39.9" customHeight="1" x14ac:dyDescent="0.3">
      <c r="A46" s="8"/>
      <c r="B46" s="59" t="s">
        <v>218</v>
      </c>
      <c r="C46" s="60"/>
      <c r="D46" s="60"/>
      <c r="E46" s="30">
        <v>0</v>
      </c>
      <c r="F46" s="24" t="s">
        <v>17</v>
      </c>
      <c r="G46" s="28" t="str">
        <f t="shared" si="0"/>
        <v/>
      </c>
      <c r="H46" s="29" t="str">
        <f t="shared" si="1"/>
        <v>تم الإلغاء</v>
      </c>
      <c r="I46" s="49"/>
      <c r="J46" s="50"/>
    </row>
    <row r="47" spans="1:10" ht="39.9" customHeight="1" x14ac:dyDescent="0.3">
      <c r="A47" s="8"/>
      <c r="B47" s="59" t="s">
        <v>219</v>
      </c>
      <c r="C47" s="60"/>
      <c r="D47" s="60"/>
      <c r="E47" s="30">
        <v>0</v>
      </c>
      <c r="F47" s="24" t="s">
        <v>17</v>
      </c>
      <c r="G47" s="28" t="str">
        <f t="shared" si="0"/>
        <v/>
      </c>
      <c r="H47" s="29" t="str">
        <f t="shared" si="1"/>
        <v>تم الإلغاء</v>
      </c>
      <c r="I47" s="49"/>
      <c r="J47" s="50"/>
    </row>
    <row r="48" spans="1:10" ht="30" customHeight="1" x14ac:dyDescent="0.3">
      <c r="A48" s="8"/>
      <c r="B48" s="59" t="s">
        <v>220</v>
      </c>
      <c r="C48" s="60"/>
      <c r="D48" s="60"/>
      <c r="E48" s="30">
        <v>0</v>
      </c>
      <c r="F48" s="24" t="s">
        <v>17</v>
      </c>
      <c r="G48" s="28" t="str">
        <f t="shared" si="0"/>
        <v/>
      </c>
      <c r="H48" s="29" t="str">
        <f t="shared" si="1"/>
        <v>تم الإلغاء</v>
      </c>
      <c r="I48" s="49"/>
      <c r="J48" s="50"/>
    </row>
    <row r="49" spans="1:10" ht="30" customHeight="1" x14ac:dyDescent="0.3">
      <c r="A49" s="8"/>
      <c r="B49" s="59" t="s">
        <v>221</v>
      </c>
      <c r="C49" s="60"/>
      <c r="D49" s="60"/>
      <c r="E49" s="30">
        <v>5</v>
      </c>
      <c r="F49" s="24">
        <v>3.5</v>
      </c>
      <c r="G49" s="28">
        <f t="shared" si="0"/>
        <v>0.7</v>
      </c>
      <c r="H49" s="29" t="str">
        <f t="shared" si="1"/>
        <v>جيد</v>
      </c>
      <c r="I49" s="49"/>
      <c r="J49" s="50"/>
    </row>
    <row r="50" spans="1:10" ht="30" customHeight="1" thickBot="1" x14ac:dyDescent="0.35">
      <c r="A50" s="8"/>
      <c r="B50" s="80" t="s">
        <v>222</v>
      </c>
      <c r="C50" s="81"/>
      <c r="D50" s="81"/>
      <c r="E50" s="31">
        <v>5</v>
      </c>
      <c r="F50" s="25">
        <v>3.5</v>
      </c>
      <c r="G50" s="32">
        <f t="shared" si="0"/>
        <v>0.7</v>
      </c>
      <c r="H50" s="33" t="str">
        <f t="shared" si="1"/>
        <v>جيد</v>
      </c>
      <c r="I50" s="69"/>
      <c r="J50" s="70"/>
    </row>
    <row r="51" spans="1:10" ht="30" customHeight="1" thickBot="1" x14ac:dyDescent="0.35">
      <c r="A51" s="4"/>
      <c r="B51" s="76" t="s">
        <v>5</v>
      </c>
      <c r="C51" s="77"/>
      <c r="D51" s="77"/>
      <c r="E51" s="27">
        <f>SUM(E8:E50)</f>
        <v>20</v>
      </c>
      <c r="F51" s="27">
        <f>SUM(F8:F50)</f>
        <v>14.5</v>
      </c>
      <c r="G51" s="73"/>
      <c r="H51" s="74"/>
      <c r="I51" s="74"/>
      <c r="J51" s="75"/>
    </row>
    <row r="52" spans="1:10" ht="30" customHeight="1" thickBot="1" x14ac:dyDescent="0.35">
      <c r="A52" s="4"/>
      <c r="B52" s="78" t="s">
        <v>54</v>
      </c>
      <c r="C52" s="79"/>
      <c r="D52" s="79"/>
      <c r="E52" s="45">
        <f>F51/E51/100*100</f>
        <v>0.72499999999999998</v>
      </c>
      <c r="F52" s="45"/>
      <c r="G52" s="45"/>
      <c r="H52" s="45"/>
      <c r="I52" s="45"/>
      <c r="J52" s="46"/>
    </row>
    <row r="53" spans="1:10" ht="30" customHeight="1" thickBot="1" x14ac:dyDescent="0.35">
      <c r="A53" s="4"/>
      <c r="B53" s="78" t="s">
        <v>55</v>
      </c>
      <c r="C53" s="79"/>
      <c r="D53" s="79"/>
      <c r="E53" s="67" t="str">
        <f>_xlfn.IFS(E52&gt;=90%,"ممتاز",E52&gt;=80%,"جيد جداً",E52&gt;=70%,"جيد",E52&gt;=60%,"مقبول",E52&lt;60%,"راسب")</f>
        <v>جيد</v>
      </c>
      <c r="F53" s="67"/>
      <c r="G53" s="67"/>
      <c r="H53" s="67"/>
      <c r="I53" s="67"/>
      <c r="J53" s="68"/>
    </row>
    <row r="54" spans="1:10" ht="42" customHeight="1" x14ac:dyDescent="0.3">
      <c r="B54" s="63" t="s">
        <v>174</v>
      </c>
      <c r="C54" s="63"/>
      <c r="D54" s="63"/>
      <c r="E54" s="71" t="s">
        <v>52</v>
      </c>
      <c r="F54" s="71"/>
      <c r="G54" s="65" t="s">
        <v>123</v>
      </c>
      <c r="H54" s="65"/>
      <c r="I54" s="65"/>
      <c r="J54" s="65"/>
    </row>
    <row r="55" spans="1:10" ht="51" customHeight="1" x14ac:dyDescent="0.3">
      <c r="A55" s="5"/>
      <c r="B55" s="64"/>
      <c r="C55" s="64"/>
      <c r="D55" s="64"/>
      <c r="E55" s="72" t="s">
        <v>53</v>
      </c>
      <c r="F55" s="72"/>
      <c r="G55" s="66"/>
      <c r="H55" s="66"/>
      <c r="I55" s="66"/>
      <c r="J55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5">
    <mergeCell ref="G4:J4"/>
    <mergeCell ref="I18:J18"/>
    <mergeCell ref="B28:J28"/>
    <mergeCell ref="B35:D35"/>
    <mergeCell ref="B36:D36"/>
    <mergeCell ref="I29:J29"/>
    <mergeCell ref="B32:D32"/>
    <mergeCell ref="B33:D33"/>
    <mergeCell ref="B34:D34"/>
    <mergeCell ref="B29:D29"/>
    <mergeCell ref="B30:D30"/>
    <mergeCell ref="B31:D31"/>
    <mergeCell ref="I32:J32"/>
    <mergeCell ref="I33:J33"/>
    <mergeCell ref="I34:J34"/>
    <mergeCell ref="I35:J35"/>
    <mergeCell ref="I36:J36"/>
    <mergeCell ref="I27:J27"/>
    <mergeCell ref="I23:J23"/>
    <mergeCell ref="I24:J24"/>
    <mergeCell ref="I25:J25"/>
    <mergeCell ref="I26:J26"/>
    <mergeCell ref="B8:J8"/>
    <mergeCell ref="I9:J9"/>
    <mergeCell ref="I11:J11"/>
    <mergeCell ref="I12:J12"/>
    <mergeCell ref="I13:J13"/>
    <mergeCell ref="I14:J14"/>
    <mergeCell ref="I15:J15"/>
    <mergeCell ref="I16:J16"/>
    <mergeCell ref="B26:D26"/>
    <mergeCell ref="B17:D17"/>
    <mergeCell ref="B18:D18"/>
    <mergeCell ref="B19:D19"/>
    <mergeCell ref="B20:D20"/>
    <mergeCell ref="B21:D21"/>
    <mergeCell ref="B22:D22"/>
    <mergeCell ref="B23:D23"/>
    <mergeCell ref="B9:D9"/>
    <mergeCell ref="B10:D10"/>
    <mergeCell ref="B11:D11"/>
    <mergeCell ref="I19:J19"/>
    <mergeCell ref="I20:J20"/>
    <mergeCell ref="I21:J21"/>
    <mergeCell ref="I22:J22"/>
    <mergeCell ref="I17:J17"/>
    <mergeCell ref="B47:D47"/>
    <mergeCell ref="B48:D48"/>
    <mergeCell ref="B49:D49"/>
    <mergeCell ref="B50:D50"/>
    <mergeCell ref="B37:J37"/>
    <mergeCell ref="B38:D38"/>
    <mergeCell ref="B39:D39"/>
    <mergeCell ref="B40:D40"/>
    <mergeCell ref="B41:D41"/>
    <mergeCell ref="B42:D42"/>
    <mergeCell ref="B43:D43"/>
    <mergeCell ref="B54:D55"/>
    <mergeCell ref="G54:J54"/>
    <mergeCell ref="G55:J55"/>
    <mergeCell ref="E53:J53"/>
    <mergeCell ref="I40:J40"/>
    <mergeCell ref="I41:J41"/>
    <mergeCell ref="I42:J42"/>
    <mergeCell ref="I43:J43"/>
    <mergeCell ref="I44:J44"/>
    <mergeCell ref="I49:J49"/>
    <mergeCell ref="I50:J50"/>
    <mergeCell ref="I45:J45"/>
    <mergeCell ref="I46:J46"/>
    <mergeCell ref="I47:J47"/>
    <mergeCell ref="I48:J48"/>
    <mergeCell ref="E54:F54"/>
    <mergeCell ref="E55:F55"/>
    <mergeCell ref="G51:J51"/>
    <mergeCell ref="B51:D51"/>
    <mergeCell ref="B52:D52"/>
    <mergeCell ref="B53:D53"/>
    <mergeCell ref="B44:D44"/>
    <mergeCell ref="B45:D45"/>
    <mergeCell ref="B46:D46"/>
    <mergeCell ref="B1:J1"/>
    <mergeCell ref="F2:J2"/>
    <mergeCell ref="B5:D6"/>
    <mergeCell ref="C2:D2"/>
    <mergeCell ref="C3:D3"/>
    <mergeCell ref="F3:J3"/>
    <mergeCell ref="E52:J52"/>
    <mergeCell ref="B7:D7"/>
    <mergeCell ref="I38:J38"/>
    <mergeCell ref="I39:J39"/>
    <mergeCell ref="I30:J30"/>
    <mergeCell ref="I31:J31"/>
    <mergeCell ref="E5:H5"/>
    <mergeCell ref="I5:J6"/>
    <mergeCell ref="I7:J7"/>
    <mergeCell ref="I10:J10"/>
    <mergeCell ref="B12:D12"/>
    <mergeCell ref="B13:D13"/>
    <mergeCell ref="B14:D14"/>
    <mergeCell ref="B15:D15"/>
    <mergeCell ref="B16:D16"/>
    <mergeCell ref="B27:D27"/>
    <mergeCell ref="B24:D24"/>
    <mergeCell ref="B25:D25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3">
    <cfRule type="expression" dxfId="21" priority="57">
      <formula>$E53="راسب"</formula>
    </cfRule>
  </conditionalFormatting>
  <conditionalFormatting sqref="E53:J53">
    <cfRule type="expression" dxfId="20" priority="60">
      <formula>$E53="جيد جداً"</formula>
    </cfRule>
    <cfRule type="expression" dxfId="19" priority="59">
      <formula>$E53="جيد"</formula>
    </cfRule>
    <cfRule type="expression" dxfId="18" priority="58">
      <formula>$E53="مقبول"</formula>
    </cfRule>
    <cfRule type="expression" dxfId="17" priority="61">
      <formula>$E53="ممتاز"</formula>
    </cfRule>
  </conditionalFormatting>
  <conditionalFormatting sqref="F9:F27">
    <cfRule type="containsText" dxfId="16" priority="4" operator="containsText" text="أدخل العلامة">
      <formula>NOT(ISERROR(SEARCH("أدخل العلامة",F9)))</formula>
    </cfRule>
  </conditionalFormatting>
  <conditionalFormatting sqref="F29:F36 F38:F50">
    <cfRule type="containsText" dxfId="15" priority="14" operator="containsText" text="أدخل العلامة">
      <formula>NOT(ISERROR(SEARCH("أدخل العلامة",F29)))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4:J54">
    <cfRule type="containsText" dxfId="12" priority="15" operator="containsText" text="أدخل اسم المحكم">
      <formula>NOT(ISERROR(SEARCH("أدخل اسم المحكم",G54)))</formula>
    </cfRule>
  </conditionalFormatting>
  <conditionalFormatting sqref="H9:H27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9:H36 H38:H50">
    <cfRule type="containsText" dxfId="5" priority="38" operator="containsText" text="أدخل العلامة">
      <formula>NOT(ISERROR(SEARCH("أدخل العلامة",H29)))</formula>
    </cfRule>
    <cfRule type="containsText" dxfId="4" priority="39" operator="containsText" text="ممتاز">
      <formula>NOT(ISERROR(SEARCH("ممتاز",H29)))</formula>
    </cfRule>
    <cfRule type="containsText" dxfId="3" priority="40" operator="containsText" text="جيد جداً">
      <formula>NOT(ISERROR(SEARCH("جيد جداً",H29)))</formula>
    </cfRule>
    <cfRule type="containsText" dxfId="2" priority="41" operator="containsText" text="جيد">
      <formula>NOT(ISERROR(SEARCH("جيد",H29)))</formula>
    </cfRule>
    <cfRule type="containsText" dxfId="1" priority="42" operator="containsText" text="مقبول">
      <formula>NOT(ISERROR(SEARCH("مقبول",H29)))</formula>
    </cfRule>
    <cfRule type="containsText" dxfId="0" priority="43" operator="containsText" text="راسب">
      <formula>NOT(ISERROR(SEARCH("راسب",H29)))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F38:F50 F30:F36 F14:F27 F11:F12 F9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G54:J54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62</v>
      </c>
    </row>
    <row r="3" spans="1:3" ht="20.100000000000001" customHeight="1" thickBot="1" x14ac:dyDescent="0.35">
      <c r="A3" s="2" t="s">
        <v>26</v>
      </c>
      <c r="C3" s="17" t="s">
        <v>63</v>
      </c>
    </row>
    <row r="4" spans="1:3" ht="20.100000000000001" customHeight="1" thickBot="1" x14ac:dyDescent="0.35">
      <c r="A4" s="2" t="s">
        <v>36</v>
      </c>
      <c r="C4" s="17" t="s">
        <v>64</v>
      </c>
    </row>
    <row r="5" spans="1:3" ht="20.100000000000001" customHeight="1" thickBot="1" x14ac:dyDescent="0.35">
      <c r="A5" s="2" t="s">
        <v>37</v>
      </c>
      <c r="C5" s="17" t="s">
        <v>65</v>
      </c>
    </row>
    <row r="6" spans="1:3" ht="20.100000000000001" customHeight="1" thickBot="1" x14ac:dyDescent="0.35">
      <c r="A6" s="2" t="s">
        <v>38</v>
      </c>
      <c r="C6" s="17" t="s">
        <v>66</v>
      </c>
    </row>
    <row r="7" spans="1:3" ht="20.100000000000001" customHeight="1" thickBot="1" x14ac:dyDescent="0.35">
      <c r="A7" s="2" t="s">
        <v>39</v>
      </c>
      <c r="C7" s="17" t="s">
        <v>67</v>
      </c>
    </row>
    <row r="8" spans="1:3" ht="20.100000000000001" customHeight="1" thickBot="1" x14ac:dyDescent="0.35">
      <c r="A8" s="2" t="s">
        <v>40</v>
      </c>
      <c r="C8" s="17" t="s">
        <v>68</v>
      </c>
    </row>
    <row r="9" spans="1:3" ht="20.100000000000001" customHeight="1" thickBot="1" x14ac:dyDescent="0.35">
      <c r="A9" s="2" t="s">
        <v>41</v>
      </c>
      <c r="C9" s="17" t="s">
        <v>69</v>
      </c>
    </row>
    <row r="10" spans="1:3" ht="20.100000000000001" customHeight="1" thickBot="1" x14ac:dyDescent="0.35">
      <c r="A10" s="2" t="s">
        <v>42</v>
      </c>
      <c r="C10" s="17" t="s">
        <v>70</v>
      </c>
    </row>
    <row r="11" spans="1:3" ht="20.100000000000001" customHeight="1" thickBot="1" x14ac:dyDescent="0.35">
      <c r="A11" s="2" t="s">
        <v>43</v>
      </c>
      <c r="C11" s="17" t="s">
        <v>71</v>
      </c>
    </row>
    <row r="12" spans="1:3" ht="20.100000000000001" customHeight="1" thickBot="1" x14ac:dyDescent="0.35">
      <c r="A12" s="2" t="s">
        <v>44</v>
      </c>
      <c r="C12" s="17" t="s">
        <v>72</v>
      </c>
    </row>
    <row r="13" spans="1:3" ht="20.100000000000001" customHeight="1" thickBot="1" x14ac:dyDescent="0.35">
      <c r="A13" s="2" t="s">
        <v>45</v>
      </c>
      <c r="C13" s="17" t="s">
        <v>73</v>
      </c>
    </row>
    <row r="14" spans="1:3" ht="20.100000000000001" customHeight="1" thickBot="1" x14ac:dyDescent="0.35">
      <c r="A14" s="2" t="s">
        <v>46</v>
      </c>
      <c r="C14" s="17" t="s">
        <v>74</v>
      </c>
    </row>
    <row r="15" spans="1:3" ht="20.100000000000001" customHeight="1" thickBot="1" x14ac:dyDescent="0.35">
      <c r="A15" s="2" t="s">
        <v>47</v>
      </c>
      <c r="C15" s="17" t="s">
        <v>75</v>
      </c>
    </row>
    <row r="16" spans="1:3" ht="20.100000000000001" customHeight="1" thickBot="1" x14ac:dyDescent="0.35">
      <c r="A16" s="2" t="s">
        <v>10</v>
      </c>
      <c r="C16" s="17" t="s">
        <v>76</v>
      </c>
    </row>
    <row r="17" spans="1:3" ht="20.100000000000001" customHeight="1" thickBot="1" x14ac:dyDescent="0.35">
      <c r="A17" s="2" t="s">
        <v>27</v>
      </c>
      <c r="C17" s="17" t="s">
        <v>77</v>
      </c>
    </row>
    <row r="18" spans="1:3" ht="20.100000000000001" customHeight="1" thickBot="1" x14ac:dyDescent="0.35">
      <c r="A18" s="2" t="s">
        <v>48</v>
      </c>
      <c r="C18" s="17" t="s">
        <v>78</v>
      </c>
    </row>
    <row r="19" spans="1:3" ht="20.100000000000001" customHeight="1" thickBot="1" x14ac:dyDescent="0.35">
      <c r="A19" s="2" t="s">
        <v>49</v>
      </c>
      <c r="C19" s="17" t="s">
        <v>79</v>
      </c>
    </row>
    <row r="20" spans="1:3" ht="20.100000000000001" customHeight="1" thickBot="1" x14ac:dyDescent="0.35">
      <c r="A20" s="2" t="s">
        <v>50</v>
      </c>
      <c r="C20" s="17" t="s">
        <v>80</v>
      </c>
    </row>
    <row r="21" spans="1:3" ht="20.100000000000001" customHeight="1" thickBot="1" x14ac:dyDescent="0.35">
      <c r="A21" s="2" t="s">
        <v>51</v>
      </c>
      <c r="C21" s="17" t="s">
        <v>81</v>
      </c>
    </row>
    <row r="22" spans="1:3" ht="20.100000000000001" customHeight="1" thickBot="1" x14ac:dyDescent="0.35">
      <c r="A22" s="2" t="s">
        <v>11</v>
      </c>
      <c r="C22" s="17" t="s">
        <v>82</v>
      </c>
    </row>
    <row r="23" spans="1:3" ht="20.100000000000001" customHeight="1" thickBot="1" x14ac:dyDescent="0.35">
      <c r="A23" s="2" t="s">
        <v>12</v>
      </c>
      <c r="C23" s="17" t="s">
        <v>83</v>
      </c>
    </row>
    <row r="24" spans="1:3" ht="20.100000000000001" customHeight="1" thickBot="1" x14ac:dyDescent="0.35">
      <c r="A24" s="2" t="s">
        <v>15</v>
      </c>
      <c r="C24" s="17" t="s">
        <v>84</v>
      </c>
    </row>
    <row r="25" spans="1:3" ht="20.100000000000001" customHeight="1" thickBot="1" x14ac:dyDescent="0.35">
      <c r="A25" s="2" t="s">
        <v>28</v>
      </c>
      <c r="C25" s="17" t="s">
        <v>85</v>
      </c>
    </row>
    <row r="26" spans="1:3" ht="20.100000000000001" customHeight="1" thickBot="1" x14ac:dyDescent="0.35">
      <c r="A26" s="2" t="s">
        <v>29</v>
      </c>
      <c r="C26" s="17" t="s">
        <v>86</v>
      </c>
    </row>
    <row r="27" spans="1:3" ht="20.100000000000001" customHeight="1" thickBot="1" x14ac:dyDescent="0.35">
      <c r="A27" s="2" t="s">
        <v>13</v>
      </c>
      <c r="C27" s="17" t="s">
        <v>87</v>
      </c>
    </row>
    <row r="28" spans="1:3" ht="20.100000000000001" customHeight="1" thickBot="1" x14ac:dyDescent="0.35">
      <c r="A28" s="2" t="s">
        <v>30</v>
      </c>
      <c r="C28" s="17" t="s">
        <v>88</v>
      </c>
    </row>
    <row r="29" spans="1:3" ht="20.100000000000001" customHeight="1" thickBot="1" x14ac:dyDescent="0.35">
      <c r="A29" s="2" t="s">
        <v>31</v>
      </c>
      <c r="C29" s="17" t="s">
        <v>177</v>
      </c>
    </row>
    <row r="30" spans="1:3" ht="20.100000000000001" customHeight="1" thickBot="1" x14ac:dyDescent="0.35">
      <c r="A30" s="2" t="s">
        <v>32</v>
      </c>
      <c r="C30" s="17" t="s">
        <v>178</v>
      </c>
    </row>
    <row r="31" spans="1:3" ht="20.100000000000001" customHeight="1" thickBot="1" x14ac:dyDescent="0.35">
      <c r="A31" s="2" t="s">
        <v>33</v>
      </c>
      <c r="C31" s="17" t="s">
        <v>179</v>
      </c>
    </row>
    <row r="32" spans="1:3" ht="20.100000000000001" customHeight="1" thickBot="1" x14ac:dyDescent="0.35">
      <c r="A32" s="2" t="s">
        <v>16</v>
      </c>
      <c r="C32" s="17"/>
    </row>
    <row r="33" spans="1:9" ht="20.100000000000001" customHeight="1" thickBot="1" x14ac:dyDescent="0.35">
      <c r="A33" s="2" t="s">
        <v>14</v>
      </c>
      <c r="C33" s="17"/>
    </row>
    <row r="34" spans="1:9" ht="20.100000000000001" customHeight="1" thickBot="1" x14ac:dyDescent="0.35">
      <c r="A34" s="2" t="s">
        <v>34</v>
      </c>
      <c r="C34" s="17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45901</v>
      </c>
    </row>
    <row r="40" spans="1:9" ht="20.100000000000001" customHeight="1" thickBot="1" x14ac:dyDescent="0.35">
      <c r="A40" s="11">
        <v>45902</v>
      </c>
    </row>
    <row r="41" spans="1:9" ht="20.100000000000001" customHeight="1" thickBot="1" x14ac:dyDescent="0.35">
      <c r="A41" s="11">
        <v>45903</v>
      </c>
    </row>
    <row r="42" spans="1:9" ht="20.100000000000001" customHeight="1" thickBot="1" x14ac:dyDescent="0.35">
      <c r="A42" s="11">
        <v>45904</v>
      </c>
    </row>
    <row r="43" spans="1:9" ht="20.100000000000001" customHeight="1" thickBot="1" x14ac:dyDescent="0.35">
      <c r="A43" s="11">
        <v>45905</v>
      </c>
    </row>
    <row r="44" spans="1:9" ht="20.100000000000001" customHeight="1" thickBot="1" x14ac:dyDescent="0.35">
      <c r="A44" s="11">
        <v>45906</v>
      </c>
    </row>
    <row r="45" spans="1:9" ht="20.100000000000001" customHeight="1" thickBot="1" x14ac:dyDescent="0.35">
      <c r="A45" s="11">
        <v>45907</v>
      </c>
    </row>
    <row r="46" spans="1:9" ht="20.100000000000001" customHeight="1" thickBot="1" x14ac:dyDescent="0.35">
      <c r="A46" s="11">
        <v>45908</v>
      </c>
    </row>
    <row r="47" spans="1:9" ht="20.100000000000001" customHeight="1" thickBot="1" x14ac:dyDescent="0.35">
      <c r="A47" s="11">
        <v>45909</v>
      </c>
    </row>
    <row r="48" spans="1:9" ht="20.100000000000001" customHeight="1" thickBot="1" x14ac:dyDescent="0.35">
      <c r="A48" s="11">
        <v>45910</v>
      </c>
    </row>
    <row r="49" spans="1:1" ht="20.100000000000001" customHeight="1" thickBot="1" x14ac:dyDescent="0.35">
      <c r="A49" s="11">
        <v>45911</v>
      </c>
    </row>
    <row r="50" spans="1:1" ht="20.100000000000001" customHeight="1" thickBot="1" x14ac:dyDescent="0.35">
      <c r="A50" s="11">
        <v>45912</v>
      </c>
    </row>
    <row r="51" spans="1:1" ht="20.100000000000001" customHeight="1" thickBot="1" x14ac:dyDescent="0.35">
      <c r="A51" s="11">
        <v>45913</v>
      </c>
    </row>
    <row r="52" spans="1:1" ht="20.100000000000001" customHeight="1" thickBot="1" x14ac:dyDescent="0.35">
      <c r="A52" s="11">
        <v>45914</v>
      </c>
    </row>
    <row r="53" spans="1:1" ht="20.100000000000001" customHeight="1" thickBot="1" x14ac:dyDescent="0.35">
      <c r="A53" s="11">
        <v>45915</v>
      </c>
    </row>
    <row r="54" spans="1:1" ht="20.100000000000001" customHeight="1" thickBot="1" x14ac:dyDescent="0.35">
      <c r="A54" s="11">
        <v>45916</v>
      </c>
    </row>
    <row r="55" spans="1:1" ht="20.100000000000001" customHeight="1" thickBot="1" x14ac:dyDescent="0.35">
      <c r="A55" s="11">
        <v>45917</v>
      </c>
    </row>
    <row r="56" spans="1:1" ht="20.100000000000001" customHeight="1" thickBot="1" x14ac:dyDescent="0.35">
      <c r="A56" s="11">
        <v>45918</v>
      </c>
    </row>
    <row r="57" spans="1:1" ht="20.100000000000001" customHeight="1" thickBot="1" x14ac:dyDescent="0.35">
      <c r="A57" s="11">
        <v>45919</v>
      </c>
    </row>
    <row r="58" spans="1:1" ht="20.100000000000001" customHeight="1" thickBot="1" x14ac:dyDescent="0.35">
      <c r="A58" s="11">
        <v>45920</v>
      </c>
    </row>
    <row r="59" spans="1:1" ht="20.100000000000001" customHeight="1" thickBot="1" x14ac:dyDescent="0.35">
      <c r="A59" s="11">
        <v>45921</v>
      </c>
    </row>
    <row r="60" spans="1:1" ht="20.100000000000001" customHeight="1" thickBot="1" x14ac:dyDescent="0.35">
      <c r="A60" s="11">
        <v>45922</v>
      </c>
    </row>
    <row r="61" spans="1:1" ht="20.100000000000001" customHeight="1" thickBot="1" x14ac:dyDescent="0.35">
      <c r="A61" s="11">
        <v>45923</v>
      </c>
    </row>
    <row r="62" spans="1:1" ht="20.100000000000001" customHeight="1" thickBot="1" x14ac:dyDescent="0.35">
      <c r="A62" s="11">
        <v>45924</v>
      </c>
    </row>
    <row r="63" spans="1:1" ht="20.100000000000001" customHeight="1" thickBot="1" x14ac:dyDescent="0.35">
      <c r="A63" s="11">
        <v>45925</v>
      </c>
    </row>
    <row r="64" spans="1:1" ht="20.100000000000001" customHeight="1" thickBot="1" x14ac:dyDescent="0.35">
      <c r="A64" s="11">
        <v>45926</v>
      </c>
    </row>
    <row r="65" spans="1:1" ht="20.100000000000001" customHeight="1" thickBot="1" x14ac:dyDescent="0.35">
      <c r="A65" s="11">
        <v>45927</v>
      </c>
    </row>
    <row r="66" spans="1:1" ht="20.100000000000001" customHeight="1" thickBot="1" x14ac:dyDescent="0.35">
      <c r="A66" s="11">
        <v>45928</v>
      </c>
    </row>
    <row r="67" spans="1:1" ht="20.100000000000001" customHeight="1" thickBot="1" x14ac:dyDescent="0.35">
      <c r="A67" s="11">
        <v>45929</v>
      </c>
    </row>
    <row r="68" spans="1:1" ht="20.100000000000001" customHeight="1" thickBot="1" x14ac:dyDescent="0.35">
      <c r="A68" s="11">
        <v>45930</v>
      </c>
    </row>
    <row r="69" spans="1:1" ht="20.100000000000001" customHeight="1" thickBot="1" x14ac:dyDescent="0.35">
      <c r="A69" s="11">
        <v>45931</v>
      </c>
    </row>
    <row r="70" spans="1:1" ht="20.100000000000001" customHeight="1" thickBot="1" x14ac:dyDescent="0.35">
      <c r="A70" s="11">
        <v>45932</v>
      </c>
    </row>
    <row r="71" spans="1:1" ht="20.100000000000001" customHeight="1" thickBot="1" x14ac:dyDescent="0.35">
      <c r="A71" s="11">
        <v>45933</v>
      </c>
    </row>
    <row r="72" spans="1:1" ht="20.100000000000001" customHeight="1" thickBot="1" x14ac:dyDescent="0.35">
      <c r="A72" s="11">
        <v>45934</v>
      </c>
    </row>
    <row r="73" spans="1:1" ht="20.100000000000001" customHeight="1" thickBot="1" x14ac:dyDescent="0.35">
      <c r="A73" s="11">
        <v>45935</v>
      </c>
    </row>
    <row r="74" spans="1:1" ht="20.100000000000001" customHeight="1" thickBot="1" x14ac:dyDescent="0.35">
      <c r="A74" s="11">
        <v>45936</v>
      </c>
    </row>
    <row r="75" spans="1:1" ht="20.100000000000001" customHeight="1" thickBot="1" x14ac:dyDescent="0.35">
      <c r="A75" s="11">
        <v>45937</v>
      </c>
    </row>
    <row r="76" spans="1:1" ht="20.100000000000001" customHeight="1" thickBot="1" x14ac:dyDescent="0.35">
      <c r="A76" s="11">
        <v>45938</v>
      </c>
    </row>
    <row r="77" spans="1:1" ht="20.100000000000001" customHeight="1" thickBot="1" x14ac:dyDescent="0.35">
      <c r="A77" s="11">
        <v>45939</v>
      </c>
    </row>
    <row r="78" spans="1:1" ht="20.100000000000001" customHeight="1" thickBot="1" x14ac:dyDescent="0.35">
      <c r="A78" s="11">
        <v>45940</v>
      </c>
    </row>
    <row r="79" spans="1:1" ht="20.100000000000001" customHeight="1" thickBot="1" x14ac:dyDescent="0.35">
      <c r="A79" s="11">
        <v>45941</v>
      </c>
    </row>
    <row r="80" spans="1:1" ht="20.100000000000001" customHeight="1" thickBot="1" x14ac:dyDescent="0.35">
      <c r="A80" s="11">
        <v>45942</v>
      </c>
    </row>
    <row r="81" spans="1:1" ht="20.100000000000001" customHeight="1" thickBot="1" x14ac:dyDescent="0.35">
      <c r="A81" s="11">
        <v>45943</v>
      </c>
    </row>
    <row r="82" spans="1:1" ht="20.100000000000001" customHeight="1" thickBot="1" x14ac:dyDescent="0.35">
      <c r="A82" s="11">
        <v>45944</v>
      </c>
    </row>
    <row r="83" spans="1:1" ht="20.100000000000001" customHeight="1" thickBot="1" x14ac:dyDescent="0.35">
      <c r="A83" s="11">
        <v>45945</v>
      </c>
    </row>
    <row r="84" spans="1:1" ht="20.100000000000001" customHeight="1" thickBot="1" x14ac:dyDescent="0.35">
      <c r="A84" s="11">
        <v>45946</v>
      </c>
    </row>
    <row r="85" spans="1:1" ht="20.100000000000001" customHeight="1" thickBot="1" x14ac:dyDescent="0.35">
      <c r="A85" s="11">
        <v>45947</v>
      </c>
    </row>
    <row r="86" spans="1:1" ht="20.100000000000001" customHeight="1" thickBot="1" x14ac:dyDescent="0.35">
      <c r="A86" s="11">
        <v>45948</v>
      </c>
    </row>
    <row r="87" spans="1:1" ht="20.100000000000001" customHeight="1" thickBot="1" x14ac:dyDescent="0.35">
      <c r="A87" s="11">
        <v>45949</v>
      </c>
    </row>
    <row r="88" spans="1:1" ht="20.100000000000001" customHeight="1" thickBot="1" x14ac:dyDescent="0.35">
      <c r="A88" s="11">
        <v>45950</v>
      </c>
    </row>
    <row r="89" spans="1:1" ht="20.100000000000001" customHeight="1" thickBot="1" x14ac:dyDescent="0.35">
      <c r="A89" s="11">
        <v>45951</v>
      </c>
    </row>
    <row r="90" spans="1:1" ht="20.100000000000001" customHeight="1" thickBot="1" x14ac:dyDescent="0.35">
      <c r="A90" s="11">
        <v>45952</v>
      </c>
    </row>
    <row r="91" spans="1:1" ht="20.100000000000001" customHeight="1" thickBot="1" x14ac:dyDescent="0.35">
      <c r="A91" s="11">
        <v>45953</v>
      </c>
    </row>
    <row r="92" spans="1:1" ht="20.100000000000001" customHeight="1" thickBot="1" x14ac:dyDescent="0.35">
      <c r="A92" s="11">
        <v>45954</v>
      </c>
    </row>
    <row r="93" spans="1:1" ht="20.100000000000001" customHeight="1" thickBot="1" x14ac:dyDescent="0.35">
      <c r="A93" s="11">
        <v>45955</v>
      </c>
    </row>
    <row r="94" spans="1:1" ht="20.100000000000001" customHeight="1" thickBot="1" x14ac:dyDescent="0.35">
      <c r="A94" s="11">
        <v>45956</v>
      </c>
    </row>
    <row r="95" spans="1:1" ht="20.100000000000001" customHeight="1" thickBot="1" x14ac:dyDescent="0.35">
      <c r="A95" s="11">
        <v>45957</v>
      </c>
    </row>
    <row r="96" spans="1:1" ht="20.100000000000001" customHeight="1" thickBot="1" x14ac:dyDescent="0.35">
      <c r="A96" s="11">
        <v>45958</v>
      </c>
    </row>
    <row r="97" spans="1:9" ht="20.100000000000001" customHeight="1" thickBot="1" x14ac:dyDescent="0.35">
      <c r="A97" s="11">
        <v>45959</v>
      </c>
    </row>
    <row r="98" spans="1:9" ht="20.100000000000001" customHeight="1" thickBot="1" x14ac:dyDescent="0.35">
      <c r="A98" s="11">
        <v>45960</v>
      </c>
    </row>
    <row r="99" spans="1:9" ht="20.100000000000001" customHeight="1" thickBot="1" x14ac:dyDescent="0.35">
      <c r="A99" s="11">
        <v>45961</v>
      </c>
    </row>
    <row r="100" spans="1:9" ht="20.100000000000001" customHeight="1" thickBot="1" x14ac:dyDescent="0.35">
      <c r="A100" s="11">
        <v>45962</v>
      </c>
    </row>
    <row r="101" spans="1:9" ht="20.100000000000001" customHeight="1" thickBot="1" x14ac:dyDescent="0.35">
      <c r="A101" s="11">
        <v>45963</v>
      </c>
    </row>
    <row r="102" spans="1:9" ht="20.100000000000001" customHeight="1" thickBot="1" x14ac:dyDescent="0.35">
      <c r="A102" s="11">
        <v>45964</v>
      </c>
    </row>
    <row r="103" spans="1:9" ht="20.100000000000001" customHeight="1" thickBot="1" x14ac:dyDescent="0.35">
      <c r="A103" s="11">
        <v>45965</v>
      </c>
    </row>
    <row r="104" spans="1:9" ht="20.100000000000001" customHeight="1" thickBot="1" x14ac:dyDescent="0.35">
      <c r="A104" s="11">
        <v>45966</v>
      </c>
    </row>
    <row r="105" spans="1:9" ht="20.100000000000001" customHeight="1" thickBot="1" x14ac:dyDescent="0.35">
      <c r="A105" s="11">
        <v>45967</v>
      </c>
    </row>
    <row r="106" spans="1:9" ht="20.100000000000001" customHeight="1" thickBot="1" x14ac:dyDescent="0.35">
      <c r="A106" s="11">
        <v>45968</v>
      </c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89</v>
      </c>
    </row>
    <row r="200" spans="1:1" ht="20.100000000000001" customHeight="1" x14ac:dyDescent="0.3">
      <c r="A200" s="18" t="s">
        <v>90</v>
      </c>
    </row>
    <row r="201" spans="1:1" ht="20.100000000000001" customHeight="1" x14ac:dyDescent="0.3">
      <c r="A201" s="18" t="s">
        <v>91</v>
      </c>
    </row>
    <row r="202" spans="1:1" ht="20.100000000000001" customHeight="1" x14ac:dyDescent="0.3">
      <c r="A202" s="18" t="s">
        <v>92</v>
      </c>
    </row>
    <row r="203" spans="1:1" ht="20.100000000000001" customHeight="1" x14ac:dyDescent="0.3">
      <c r="A203" s="18" t="s">
        <v>93</v>
      </c>
    </row>
    <row r="204" spans="1:1" ht="20.100000000000001" customHeight="1" x14ac:dyDescent="0.3">
      <c r="A204" s="18" t="s">
        <v>94</v>
      </c>
    </row>
    <row r="205" spans="1:1" ht="20.100000000000001" customHeight="1" x14ac:dyDescent="0.3">
      <c r="A205" s="18" t="s">
        <v>95</v>
      </c>
    </row>
    <row r="206" spans="1:1" ht="20.100000000000001" customHeight="1" x14ac:dyDescent="0.3">
      <c r="A206" s="18" t="s">
        <v>96</v>
      </c>
    </row>
    <row r="207" spans="1:1" ht="20.100000000000001" customHeight="1" x14ac:dyDescent="0.3">
      <c r="A207" s="18" t="s">
        <v>97</v>
      </c>
    </row>
    <row r="208" spans="1:1" ht="20.100000000000001" customHeight="1" x14ac:dyDescent="0.3">
      <c r="A208" s="19" t="s">
        <v>98</v>
      </c>
    </row>
    <row r="209" spans="1:1" ht="20.100000000000001" customHeight="1" x14ac:dyDescent="0.3">
      <c r="A209" s="19" t="s">
        <v>99</v>
      </c>
    </row>
    <row r="210" spans="1:1" ht="20.100000000000001" customHeight="1" x14ac:dyDescent="0.3">
      <c r="A210" s="18" t="s">
        <v>100</v>
      </c>
    </row>
    <row r="211" spans="1:1" ht="20.100000000000001" customHeight="1" x14ac:dyDescent="0.3">
      <c r="A211" s="18" t="s">
        <v>101</v>
      </c>
    </row>
    <row r="212" spans="1:1" ht="20.100000000000001" customHeight="1" x14ac:dyDescent="0.3">
      <c r="A212" s="18" t="s">
        <v>175</v>
      </c>
    </row>
    <row r="213" spans="1:1" ht="20.100000000000001" customHeight="1" x14ac:dyDescent="0.3">
      <c r="A213" s="18" t="s">
        <v>102</v>
      </c>
    </row>
    <row r="214" spans="1:1" ht="20.100000000000001" customHeight="1" x14ac:dyDescent="0.3">
      <c r="A214" s="18" t="s">
        <v>103</v>
      </c>
    </row>
    <row r="215" spans="1:1" ht="20.100000000000001" customHeight="1" x14ac:dyDescent="0.3">
      <c r="A215" s="18" t="s">
        <v>104</v>
      </c>
    </row>
    <row r="216" spans="1:1" ht="20.100000000000001" customHeight="1" x14ac:dyDescent="0.3">
      <c r="A216" s="18" t="s">
        <v>105</v>
      </c>
    </row>
    <row r="217" spans="1:1" ht="20.100000000000001" customHeight="1" x14ac:dyDescent="0.3">
      <c r="A217" s="18" t="s">
        <v>106</v>
      </c>
    </row>
    <row r="218" spans="1:1" ht="20.100000000000001" customHeight="1" x14ac:dyDescent="0.3">
      <c r="A218" s="18" t="s">
        <v>107</v>
      </c>
    </row>
    <row r="219" spans="1:1" ht="20.100000000000001" customHeight="1" x14ac:dyDescent="0.3">
      <c r="A219" s="18" t="s">
        <v>108</v>
      </c>
    </row>
    <row r="220" spans="1:1" ht="20.100000000000001" customHeight="1" x14ac:dyDescent="0.3">
      <c r="A220" s="18" t="s">
        <v>109</v>
      </c>
    </row>
    <row r="221" spans="1:1" ht="20.100000000000001" customHeight="1" x14ac:dyDescent="0.3">
      <c r="A221" s="18" t="s">
        <v>110</v>
      </c>
    </row>
    <row r="222" spans="1:1" ht="20.100000000000001" customHeight="1" x14ac:dyDescent="0.3">
      <c r="A222" s="18" t="s">
        <v>111</v>
      </c>
    </row>
    <row r="223" spans="1:1" ht="20.100000000000001" customHeight="1" x14ac:dyDescent="0.3">
      <c r="A223" s="18" t="s">
        <v>112</v>
      </c>
    </row>
    <row r="224" spans="1:1" ht="20.100000000000001" customHeight="1" x14ac:dyDescent="0.3">
      <c r="A224" s="18" t="s">
        <v>176</v>
      </c>
    </row>
    <row r="225" spans="1:1" ht="20.100000000000001" customHeight="1" x14ac:dyDescent="0.3">
      <c r="A225" s="18" t="s">
        <v>113</v>
      </c>
    </row>
    <row r="226" spans="1:1" ht="20.100000000000001" customHeight="1" x14ac:dyDescent="0.3">
      <c r="A226" s="18" t="s">
        <v>114</v>
      </c>
    </row>
    <row r="227" spans="1:1" ht="20.100000000000001" customHeight="1" x14ac:dyDescent="0.3">
      <c r="A227" s="18" t="s">
        <v>115</v>
      </c>
    </row>
    <row r="228" spans="1:1" ht="20.100000000000001" customHeight="1" x14ac:dyDescent="0.3">
      <c r="A228" s="18" t="s">
        <v>116</v>
      </c>
    </row>
    <row r="229" spans="1:1" ht="20.100000000000001" customHeight="1" x14ac:dyDescent="0.3">
      <c r="A229" s="18" t="s">
        <v>117</v>
      </c>
    </row>
    <row r="230" spans="1:1" ht="20.100000000000001" customHeight="1" x14ac:dyDescent="0.3">
      <c r="A230" s="18" t="s">
        <v>118</v>
      </c>
    </row>
    <row r="231" spans="1:1" ht="20.100000000000001" customHeight="1" x14ac:dyDescent="0.3">
      <c r="A231" s="18" t="s">
        <v>119</v>
      </c>
    </row>
    <row r="232" spans="1:1" ht="20.100000000000001" customHeight="1" x14ac:dyDescent="0.3">
      <c r="A232" s="18" t="s">
        <v>120</v>
      </c>
    </row>
    <row r="233" spans="1:1" ht="20.100000000000001" customHeight="1" x14ac:dyDescent="0.3">
      <c r="A233" s="18" t="s">
        <v>121</v>
      </c>
    </row>
    <row r="234" spans="1:1" ht="20.100000000000001" customHeight="1" x14ac:dyDescent="0.3">
      <c r="A234" s="18" t="s">
        <v>122</v>
      </c>
    </row>
    <row r="235" spans="1:1" ht="20.100000000000001" customHeight="1" x14ac:dyDescent="0.3">
      <c r="A235" s="18" t="s">
        <v>123</v>
      </c>
    </row>
    <row r="236" spans="1:1" ht="20.100000000000001" customHeight="1" x14ac:dyDescent="0.3">
      <c r="A236" s="20" t="s">
        <v>124</v>
      </c>
    </row>
    <row r="237" spans="1:1" ht="20.100000000000001" customHeight="1" x14ac:dyDescent="0.3">
      <c r="A237" s="18" t="s">
        <v>125</v>
      </c>
    </row>
    <row r="238" spans="1:1" ht="20.100000000000001" customHeight="1" x14ac:dyDescent="0.3">
      <c r="A238" s="18" t="s">
        <v>126</v>
      </c>
    </row>
    <row r="239" spans="1:1" ht="20.100000000000001" customHeight="1" x14ac:dyDescent="0.3">
      <c r="A239" s="18" t="s">
        <v>127</v>
      </c>
    </row>
    <row r="240" spans="1:1" ht="20.100000000000001" customHeight="1" x14ac:dyDescent="0.3">
      <c r="A240" s="18" t="s">
        <v>128</v>
      </c>
    </row>
    <row r="241" spans="1:1" ht="20.100000000000001" customHeight="1" x14ac:dyDescent="0.3">
      <c r="A241" s="18" t="s">
        <v>129</v>
      </c>
    </row>
    <row r="242" spans="1:1" ht="20.100000000000001" customHeight="1" x14ac:dyDescent="0.3">
      <c r="A242" s="18" t="s">
        <v>130</v>
      </c>
    </row>
    <row r="243" spans="1:1" ht="20.100000000000001" customHeight="1" x14ac:dyDescent="0.3">
      <c r="A243" s="18" t="s">
        <v>131</v>
      </c>
    </row>
    <row r="244" spans="1:1" ht="20.100000000000001" customHeight="1" x14ac:dyDescent="0.3">
      <c r="A244" s="18" t="s">
        <v>132</v>
      </c>
    </row>
    <row r="245" spans="1:1" ht="20.100000000000001" customHeight="1" x14ac:dyDescent="0.3">
      <c r="A245" s="18" t="s">
        <v>133</v>
      </c>
    </row>
    <row r="246" spans="1:1" ht="20.100000000000001" customHeight="1" x14ac:dyDescent="0.3">
      <c r="A246" s="18" t="s">
        <v>134</v>
      </c>
    </row>
    <row r="247" spans="1:1" ht="20.100000000000001" customHeight="1" x14ac:dyDescent="0.3">
      <c r="A247" s="18" t="s">
        <v>135</v>
      </c>
    </row>
    <row r="248" spans="1:1" ht="20.100000000000001" customHeight="1" x14ac:dyDescent="0.3">
      <c r="A248" s="18" t="s">
        <v>126</v>
      </c>
    </row>
    <row r="249" spans="1:1" ht="20.100000000000001" customHeight="1" x14ac:dyDescent="0.3">
      <c r="A249" s="18" t="s">
        <v>136</v>
      </c>
    </row>
    <row r="250" spans="1:1" ht="20.100000000000001" customHeight="1" x14ac:dyDescent="0.3">
      <c r="A250" s="18" t="s">
        <v>137</v>
      </c>
    </row>
    <row r="251" spans="1:1" ht="20.100000000000001" customHeight="1" x14ac:dyDescent="0.3">
      <c r="A251" s="20" t="s">
        <v>138</v>
      </c>
    </row>
    <row r="252" spans="1:1" ht="20.100000000000001" customHeight="1" x14ac:dyDescent="0.3">
      <c r="A252" s="21" t="s">
        <v>139</v>
      </c>
    </row>
    <row r="253" spans="1:1" ht="20.100000000000001" customHeight="1" x14ac:dyDescent="0.3">
      <c r="A253" s="18" t="s">
        <v>140</v>
      </c>
    </row>
    <row r="254" spans="1:1" ht="20.100000000000001" customHeight="1" x14ac:dyDescent="0.3">
      <c r="A254" s="18" t="s">
        <v>141</v>
      </c>
    </row>
    <row r="255" spans="1:1" ht="20.100000000000001" customHeight="1" x14ac:dyDescent="0.3">
      <c r="A255" s="22" t="s">
        <v>142</v>
      </c>
    </row>
    <row r="256" spans="1:1" ht="20.100000000000001" customHeight="1" x14ac:dyDescent="0.3">
      <c r="A256" s="22" t="s">
        <v>143</v>
      </c>
    </row>
    <row r="257" spans="1:1" ht="20.100000000000001" customHeight="1" x14ac:dyDescent="0.3">
      <c r="A257" s="23" t="s">
        <v>144</v>
      </c>
    </row>
    <row r="258" spans="1:1" ht="20.100000000000001" customHeight="1" x14ac:dyDescent="0.3">
      <c r="A258" s="18" t="s">
        <v>145</v>
      </c>
    </row>
    <row r="259" spans="1:1" ht="20.100000000000001" customHeight="1" x14ac:dyDescent="0.3">
      <c r="A259" s="23" t="s">
        <v>146</v>
      </c>
    </row>
    <row r="260" spans="1:1" ht="20.100000000000001" customHeight="1" x14ac:dyDescent="0.3">
      <c r="A260" s="18" t="s">
        <v>147</v>
      </c>
    </row>
    <row r="261" spans="1:1" ht="20.100000000000001" customHeight="1" x14ac:dyDescent="0.3">
      <c r="A261" s="23" t="s">
        <v>148</v>
      </c>
    </row>
    <row r="262" spans="1:1" ht="20.100000000000001" customHeight="1" x14ac:dyDescent="0.3">
      <c r="A262" s="18" t="s">
        <v>149</v>
      </c>
    </row>
    <row r="263" spans="1:1" ht="20.100000000000001" customHeight="1" x14ac:dyDescent="0.3">
      <c r="A263" s="18" t="s">
        <v>150</v>
      </c>
    </row>
    <row r="264" spans="1:1" ht="20.100000000000001" customHeight="1" x14ac:dyDescent="0.3">
      <c r="A264" s="23" t="s">
        <v>151</v>
      </c>
    </row>
    <row r="265" spans="1:1" ht="20.100000000000001" customHeight="1" x14ac:dyDescent="0.3">
      <c r="A265" s="23" t="s">
        <v>152</v>
      </c>
    </row>
    <row r="266" spans="1:1" ht="20.100000000000001" customHeight="1" x14ac:dyDescent="0.3">
      <c r="A266" s="23" t="s">
        <v>153</v>
      </c>
    </row>
    <row r="267" spans="1:1" ht="20.100000000000001" customHeight="1" x14ac:dyDescent="0.3">
      <c r="A267" s="18" t="s">
        <v>154</v>
      </c>
    </row>
    <row r="268" spans="1:1" ht="20.100000000000001" customHeight="1" x14ac:dyDescent="0.3">
      <c r="A268" s="18" t="s">
        <v>155</v>
      </c>
    </row>
    <row r="269" spans="1:1" ht="20.100000000000001" customHeight="1" x14ac:dyDescent="0.3">
      <c r="A269" s="18" t="s">
        <v>156</v>
      </c>
    </row>
    <row r="270" spans="1:1" ht="20.100000000000001" customHeight="1" x14ac:dyDescent="0.3">
      <c r="A270" s="18" t="s">
        <v>157</v>
      </c>
    </row>
    <row r="271" spans="1:1" ht="20.100000000000001" customHeight="1" x14ac:dyDescent="0.3">
      <c r="A271" s="23" t="s">
        <v>158</v>
      </c>
    </row>
    <row r="272" spans="1:1" ht="20.100000000000001" customHeight="1" x14ac:dyDescent="0.3">
      <c r="A272" s="23" t="s">
        <v>159</v>
      </c>
    </row>
    <row r="273" spans="1:1" ht="20.100000000000001" customHeight="1" x14ac:dyDescent="0.3">
      <c r="A273" s="18" t="s">
        <v>160</v>
      </c>
    </row>
    <row r="274" spans="1:1" ht="20.100000000000001" customHeight="1" x14ac:dyDescent="0.3">
      <c r="A274" s="23" t="s">
        <v>161</v>
      </c>
    </row>
    <row r="275" spans="1:1" ht="20.100000000000001" customHeight="1" x14ac:dyDescent="0.3">
      <c r="A275" s="23" t="s">
        <v>162</v>
      </c>
    </row>
    <row r="276" spans="1:1" ht="20.100000000000001" customHeight="1" x14ac:dyDescent="0.3">
      <c r="A276" s="18" t="s">
        <v>163</v>
      </c>
    </row>
    <row r="277" spans="1:1" ht="20.100000000000001" customHeight="1" x14ac:dyDescent="0.3">
      <c r="A277" s="18" t="s">
        <v>164</v>
      </c>
    </row>
    <row r="278" spans="1:1" ht="20.100000000000001" customHeight="1" x14ac:dyDescent="0.3">
      <c r="A278" s="23" t="s">
        <v>165</v>
      </c>
    </row>
    <row r="279" spans="1:1" ht="20.100000000000001" customHeight="1" x14ac:dyDescent="0.3">
      <c r="A279" s="18" t="s">
        <v>166</v>
      </c>
    </row>
    <row r="280" spans="1:1" ht="20.100000000000001" customHeight="1" x14ac:dyDescent="0.3">
      <c r="A280" s="18" t="s">
        <v>167</v>
      </c>
    </row>
    <row r="281" spans="1:1" ht="20.100000000000001" customHeight="1" x14ac:dyDescent="0.3">
      <c r="A281" s="18" t="s">
        <v>168</v>
      </c>
    </row>
    <row r="282" spans="1:1" ht="20.100000000000001" customHeight="1" x14ac:dyDescent="0.3">
      <c r="A282" s="18" t="s">
        <v>169</v>
      </c>
    </row>
    <row r="283" spans="1:1" ht="20.100000000000001" customHeight="1" x14ac:dyDescent="0.3">
      <c r="A283" s="23" t="s">
        <v>170</v>
      </c>
    </row>
    <row r="284" spans="1:1" ht="20.100000000000001" customHeight="1" x14ac:dyDescent="0.3">
      <c r="A284" s="23" t="s">
        <v>171</v>
      </c>
    </row>
    <row r="285" spans="1:1" ht="20.100000000000001" customHeight="1" x14ac:dyDescent="0.3">
      <c r="A285" s="23" t="s">
        <v>172</v>
      </c>
    </row>
    <row r="286" spans="1:1" ht="20.100000000000001" customHeight="1" thickBot="1" x14ac:dyDescent="0.35">
      <c r="A286" s="1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2025-10-09T18:42:29Z</dcterms:modified>
</cp:coreProperties>
</file>