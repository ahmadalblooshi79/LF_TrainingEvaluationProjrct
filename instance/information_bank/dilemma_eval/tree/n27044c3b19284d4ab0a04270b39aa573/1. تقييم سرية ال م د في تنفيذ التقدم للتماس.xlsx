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1CA7246-2EB7-4163-8DB5-C17C031DBF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2" i="2"/>
  <c r="H22" i="2" s="1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 s="1"/>
  <c r="E32" i="2" s="1"/>
</calcChain>
</file>

<file path=xl/sharedStrings.xml><?xml version="1.0" encoding="utf-8"?>
<sst xmlns="http://schemas.openxmlformats.org/spreadsheetml/2006/main" count="256" uniqueCount="199">
  <si>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</si>
  <si>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</si>
  <si>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</si>
  <si>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</si>
  <si>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</si>
  <si>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</si>
  <si>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</si>
  <si>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</si>
  <si>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</si>
  <si>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</si>
  <si>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</si>
  <si>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</si>
  <si>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</si>
  <si>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</si>
  <si>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</si>
  <si>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</si>
  <si>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</si>
  <si>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</si>
  <si>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</si>
  <si>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</si>
  <si>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</si>
  <si>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</si>
  <si>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</si>
  <si>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</si>
  <si>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</si>
  <si>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</si>
  <si>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</si>
  <si>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</si>
  <si>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</si>
  <si>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</si>
  <si>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</si>
  <si>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</si>
  <si>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</si>
  <si>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</si>
  <si>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</si>
  <si>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</si>
  <si>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</si>
  <si>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</si>
  <si>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</si>
  <si>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</si>
  <si>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</si>
  <si>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</si>
  <si>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</si>
  <si>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</si>
  <si>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</si>
  <si>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</si>
  <si>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</si>
  <si>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</si>
  <si>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</si>
  <si>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</si>
  <si>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</si>
  <si>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</si>
  <si>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</si>
  <si>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</si>
  <si>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</si>
  <si>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</si>
  <si>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</si>
  <si>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</si>
  <si>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</si>
  <si>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</si>
  <si>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</si>
  <si>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</si>
  <si>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</si>
  <si>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</si>
  <si>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</si>
  <si>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</si>
  <si>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</si>
  <si>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</si>
  <si>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</si>
  <si>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</si>
  <si>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</si>
  <si>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</si>
  <si>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</si>
  <si>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</si>
  <si>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</si>
  <si>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</si>
  <si>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</si>
  <si>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</si>
  <si>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</si>
  <si>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</si>
  <si>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</si>
  <si>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</si>
  <si>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</si>
  <si>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</si>
  <si>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</si>
  <si>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</si>
  <si>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</si>
  <si>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</si>
  <si>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</si>
  <si>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</si>
  <si>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</si>
  <si>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</si>
  <si>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</si>
  <si>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</si>
  <si>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</si>
  <si>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</si>
  <si>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</si>
  <si>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</si>
  <si>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</si>
  <si>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</si>
  <si>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</si>
  <si>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</si>
  <si>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</si>
  <si>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</si>
  <si>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</si>
  <si>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</si>
  <si>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</si>
  <si>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</si>
  <si>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</si>
  <si>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</si>
  <si>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</si>
  <si>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</si>
  <si>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</si>
  <si>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</si>
  <si>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</si>
  <si>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</si>
  <si>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</si>
  <si>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</si>
  <si>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</si>
  <si>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</si>
  <si>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</si>
  <si>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</si>
  <si>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</si>
  <si>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</si>
  <si>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</si>
  <si>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</si>
  <si>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</si>
  <si>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</si>
  <si>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</si>
  <si>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</si>
  <si>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</si>
  <si>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</si>
  <si>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</si>
  <si>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</si>
  <si>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</si>
  <si>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</si>
  <si>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</si>
  <si>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</si>
  <si>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</si>
  <si>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</si>
  <si>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</si>
  <si>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</si>
  <si>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</si>
  <si>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</si>
  <si>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</si>
  <si>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</si>
  <si>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</si>
  <si>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</si>
  <si>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</si>
  <si>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</si>
  <si>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</si>
  <si>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</si>
  <si>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</si>
  <si>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</si>
  <si>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</si>
  <si>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</si>
  <si>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</si>
  <si>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</si>
  <si>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</si>
  <si>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</si>
  <si>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</si>
  <si>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</si>
  <si>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</si>
  <si>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</si>
  <si>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</si>
  <si>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</si>
  <si>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</si>
  <si>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</si>
  <si>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</si>
  <si>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</si>
  <si>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</si>
  <si>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</si>
  <si>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</si>
  <si>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</si>
  <si>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</si>
  <si>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</si>
  <si>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</si>
  <si>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يعمل قائد سرية الـ م/د على فهم الموقف باستخدام معدات الاتصال المتوفرة، والخرائط .</t>
    </r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</si>
  <si>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</si>
  <si>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سرية الـ م/د بالإشراف على الفصائل أثناء تحضيرها للتقدم للتماس.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</si>
  <si>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تنفذ قيادة سرية الـ م/د الإجراءات التالية:</t>
    </r>
  </si>
  <si>
    <t>أ.   تنقيح الخطة بناءً على التحديث المستمر للمعلومات الاستخبارية.</t>
  </si>
  <si>
    <t>ب.  تنفيذ تفقدات وتفتيشات ما قبل القتال.</t>
  </si>
  <si>
    <t>جـ.   التنسيق مع قيادة اللواء.</t>
  </si>
  <si>
    <t>د.  الإشراف على عملية التخطيط والتحضير للوحدات المرؤوسة لضمان أن التخطيط والتحضير يتماشى مع قصد قائد مجموعة اللواء.</t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</si>
  <si>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rgb="FF000000"/>
        <rFont val="Arial"/>
        <family val="2"/>
      </rPr>
      <t>إجراء التجارب على تنفيذ المهمة  لتشمل ما يلي:</t>
    </r>
  </si>
  <si>
    <t>أ.     أسلوب الحركة والتشكيلات.</t>
  </si>
  <si>
    <t>ب.   الإجراءات عند التماس.</t>
  </si>
  <si>
    <t>إجراءات التنفيذ.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</si>
  <si>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 يقوم قائد السرية بدراسة الارض على ضوء خطة سرية الـ م/د   وخطة جمع المعلومات الصادرة من ركن استخبارات اللواء بوضع خطته ويقوم بتوزيع سرية الـ م/د   وبحيث تغطي محور التقدم على أن تكون أقواس المراقبة متقاطعة بين المجموعات مع الاحتفاظ بعناصر استطلاع كاحتياط لتبديل أو تعويض مجموعات سرية الـ م/د أو دفعها في اتجاه آخر.</t>
    </r>
  </si>
  <si>
    <r>
      <t xml:space="preserve">1.        </t>
    </r>
    <r>
      <rPr>
        <b/>
        <u/>
        <sz val="12"/>
        <color rgb="FF000000"/>
        <rFont val="Arial"/>
        <family val="2"/>
      </rPr>
      <t>اقسام الـ م /د</t>
    </r>
    <r>
      <rPr>
        <sz val="12"/>
        <color rgb="FF000000"/>
        <rFont val="Arial"/>
        <family val="2"/>
      </rPr>
      <t>. يتم دفع اقسام الـ م /د  خلف سرية مقدمة الحرس.</t>
    </r>
  </si>
  <si>
    <r>
      <t xml:space="preserve">2.        </t>
    </r>
    <r>
      <rPr>
        <b/>
        <u/>
        <sz val="12"/>
        <color rgb="FF000000"/>
        <rFont val="Arial"/>
        <family val="2"/>
      </rPr>
      <t>فصائل الـ م/د</t>
    </r>
    <r>
      <rPr>
        <sz val="12"/>
        <color rgb="FF000000"/>
        <rFont val="Arial"/>
        <family val="2"/>
      </rPr>
      <t>.  تندفع فصائل الـ م /د  أمام التشكيل المتقدم، أو على الأجنحة المكشوفة لمجموعة اللواء المتقدم.</t>
    </r>
  </si>
  <si>
    <t>3.        التماس المباشر  مع قوات العدو.</t>
  </si>
  <si>
    <t>4.        التماس الغير مباشر مع قوات العدو.</t>
  </si>
  <si>
    <t xml:space="preserve">5.        التماس مع اشخاص او جماعات صديقة او غير صديقة. </t>
  </si>
  <si>
    <t>6.        تأمين . تقوم سرية الـ م /د بتنفيذ تأمين الممر وذلك لتطهير الممرات من الموانع وقوات العدو.</t>
  </si>
  <si>
    <t>7.        إبلاغ المستوى الأعلى بحصول التماس.</t>
  </si>
  <si>
    <t>8.        التقيد بقواعد الاشتباك.</t>
  </si>
  <si>
    <r>
      <rPr>
        <b/>
        <sz val="14"/>
        <color rgb="FF000000"/>
        <rFont val="Arial"/>
        <family val="2"/>
      </rPr>
      <t>تقييم سرية الـ م/ د في تنفيذ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</si>
</sst>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1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" fillId="5" borderId="28" xfId="0" applyFont="1" applyFill="1" applyBorder="1" applyAlignment="1">
      <alignment horizontal="right" vertical="center" wrapText="1" readingOrder="2"/>
    </xf>
    <xf numFmtId="0" fontId="1" fillId="5" borderId="29" xfId="0" applyFont="1" applyFill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4" fillId="0" borderId="25" xfId="0" applyFont="1" applyBorder="1" applyAlignment="1">
      <alignment horizontal="right" vertical="center" wrapText="1" indent="2" readingOrder="2"/>
    </xf>
    <xf numFmtId="0" fontId="14" fillId="0" borderId="26" xfId="0" applyFont="1" applyBorder="1" applyAlignment="1">
      <alignment horizontal="right" vertical="center" wrapText="1" indent="2" readingOrder="2"/>
    </xf>
    <xf numFmtId="0" fontId="14" fillId="0" borderId="27" xfId="0" applyFont="1" applyBorder="1" applyAlignment="1">
      <alignment horizontal="right" vertical="center" wrapText="1" indent="2" readingOrder="2"/>
    </xf>
    <xf numFmtId="0" fontId="16" fillId="0" borderId="25" xfId="0" applyFont="1" applyBorder="1" applyAlignment="1">
      <alignment horizontal="right" vertical="center" wrapText="1" readingOrder="2"/>
    </xf>
    <xf numFmtId="0" fontId="16" fillId="0" borderId="26" xfId="0" applyFont="1" applyBorder="1" applyAlignment="1">
      <alignment horizontal="right" vertical="center" wrapText="1" readingOrder="2"/>
    </xf>
    <xf numFmtId="0" fontId="16" fillId="0" borderId="27" xfId="0" applyFont="1" applyBorder="1" applyAlignment="1">
      <alignment horizontal="right" vertical="center" wrapText="1" readingOrder="2"/>
    </xf>
    <xf numFmtId="0" fontId="14" fillId="0" borderId="30" xfId="0" applyFont="1" applyBorder="1" applyAlignment="1">
      <alignment horizontal="right" vertical="center" wrapText="1" indent="2" readingOrder="2"/>
    </xf>
    <xf numFmtId="0" fontId="14" fillId="0" borderId="31" xfId="0" applyFont="1" applyBorder="1" applyAlignment="1">
      <alignment horizontal="right" vertical="center" wrapText="1" indent="2" readingOrder="2"/>
    </xf>
    <xf numFmtId="0" fontId="14" fillId="0" borderId="32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26" xfId="0" applyFont="1" applyBorder="1" applyAlignment="1">
      <alignment horizontal="right" vertical="center" wrapText="1" readingOrder="2"/>
    </xf>
    <xf numFmtId="0" fontId="14" fillId="0" borderId="27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23" xfId="0" applyFont="1" applyBorder="1" applyAlignment="1" applyProtection="1">
      <alignment horizontal="center" vertical="center" wrapText="1" readingOrder="2"/>
      <protection locked="0"/>
    </xf>
    <xf numFmtId="0" fontId="3" fillId="0" borderId="33" xfId="0" applyFont="1" applyBorder="1" applyAlignment="1" applyProtection="1">
      <alignment horizontal="center" vertical="center" wrapText="1" readingOrder="2"/>
      <protection locked="0"/>
    </xf>
    <xf numFmtId="0" fontId="3" fillId="0" borderId="3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498957</xdr:colOff>
      <xdr:row>32</xdr:row>
      <xdr:rowOff>408405</xdr:rowOff>
    </xdr:from>
    <xdr:to>
      <xdr:col>9</xdr:col>
      <xdr:colOff>324663</xdr:colOff>
      <xdr:row>35</xdr:row>
      <xdr:rowOff>121027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FD288636-B52F-F112-D09D-48CB7B7AC6BB}"/>
                </a:ext>
              </a:extLst>
            </xdr14:cNvPr>
            <xdr14:cNvContentPartPr/>
          </xdr14:nvContentPartPr>
          <xdr14:nvPr macro=""/>
          <xdr14:xfrm>
            <a:off x="11438115065" y="14049360"/>
            <a:ext cx="1973160" cy="106344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FD288636-B52F-F112-D09D-48CB7B7AC6B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06425" y="14040720"/>
              <a:ext cx="1990800" cy="1081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6:04:55.1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522 1497,'0'0,"0"0,0 0,0 0,0 0,0 0,0 0,0 0,0 0,0 0,0 0,0 0,0 0,0 0,0 0,0 0,0 0,0 0,0 0,0 0,0 0,0 16,0-14,-15-4,15 18,0-14,0 13,-12 17,10-27,4 6,-2 6,0-14,0 10,12 3,-9-13,24-22,15 3,-36 14,72-45,34-18,-95 56,92-79,45-10,-133 84,126-86,35-30,-156 112,132-78,10-1,-144 83,64-53,11 17,-87 44,60-37,-18 11,-44 28,10-8,7-5,-23 15,7 4,2-2,-12 0,12 0,-11 0,-4 17,2-16,-14 14,1 1,11-13,-11 10,-14 4,22-14,-5 26,-17-13,22-13,-5 28,-5 1,15-28,-12 8,-3 5,13-15,4 12,-2-6,15-16,12-8,-23 13,19-11,34-2,-49 13,26-26,8 11,-35 16,43-12,-8-2,-36 14,15-12,6 14,-22 0,5 0,-25 16,15-13,0 10,-12 3,10-12,-11 10,-1 2,14-14,-13 12,13 2,0-14,-15-4,9 2,12 17,9-17,-13 0,-4 16,2-8,13 0,-13 8,0-14,0 13,0 17,0-28,-13 8,13 21,0-28,-15 6,1 21,14-27,-13 7,-2 4,13-14,-10 28,5-14,14-16,-7 9,14-34,1 25,-13 0,9 0,3 0,-12 0,24-16,-12 16,-12 0,23 16,-10-16,-13 0,-4 16,-13 1,15-14,0 26,-12-13,10-13,-11 27,-1-14,14-13,-13 11,-2 3,13-15,19-4,-11 2,15-17,21-16,-36 29,72-57,34-20,-93 69,103-74,31-27,-129 96,121-97,23-16,-140 111,127-108,28-3,-156 110,85-58,-13-3,-82 69,50-41,-10 20,-49 28,26-22,-22 27,-9 0,-33 0,28 0,-80 49,-30 16,94-55,-120 61,-72 60,179-112,-175 140,-89 20,249-151,-202 172,-74 27,272-192,-209 174,-51 35,264-207,-173 170,-33 4,212-177,-145 128,-10 0,163-135,-105 92,-4-4,118-98,-53 47,-8-15,74-42,-49 34,2-24,49-14,-26 10,21 3,12-13,-27-6,15 3,13 16,-29-16,27 0,4-16,-2 0,0 14,57-61,41-34,-84 82,84-84,43-32,-120 112,126-108,49-51,-166 150,150-140,45-43,-191 179,127-116,23-30,-159 151,118-108,26-29,-145 139,90-112,13-25,-106 136,84-95,8-25,-96 123,35-68,-10 9,-35 70,28-41,-7-12,-23 56,19-31,-24-8,0 41,0-3,0-6,0 14,-29-12,1 14,25 0,-51 16,-30 33,74-42,-76 51,-41 23,109-68,-104 72,11 13,93-84,-49 53,-4 14,60-69,-33 41,14-4,27-41,6 16,27-8,-27-13,64 10,32-13,-85 0,98 0,27 0,-117 0,124-16,9 0,-131 14,120-12,52-2,-165 14,79-13,-13-1,-81 14,40 4,13-2,-59 0,22 16,-4 1,-22-14,2 26,-8 3,0-26,0 22,-14 21,14-42,-14 34,0 8,12-42,-24 35,-3 6,27-41,-23 35,-2-10,20-25,-16 35,-4-9,22-27,-5 4,10 6,0-13,30-6,-29 3,52-32,46-33,-83 55,121-78,31-9,-140 82,155-100,15 17,-169 84,123-86,31-13,-154 94,82-44,15-1,-107 52,47-26,-24 5,-36 28,-42 10,36-5,-111 49,-43 17,129-56,-76 61,-151 59,214-111,-261 158,-80 50,321-192,-249 191,-15 17,270-203,-149 132,-9 6,176-149,-115 72,-230 225,321-275,-164 191,82-128,119-97,-55 63,5-31,60-42,-20 34,4-25,22-12,-5 9,-3 3,11-13,-11-6,13-13,0 14,0 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zoomScale="130" zoomScaleNormal="100" zoomScaleSheetLayoutView="130" workbookViewId="0">
      <selection activeCell="F22" sqref="F2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198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3" t="s">
        <v>8</v>
      </c>
      <c r="C2" s="77" t="s">
        <v>27</v>
      </c>
      <c r="D2" s="77"/>
      <c r="E2" s="13" t="s">
        <v>7</v>
      </c>
      <c r="F2" s="72">
        <v>45923</v>
      </c>
      <c r="G2" s="72"/>
      <c r="H2" s="72"/>
      <c r="I2" s="72"/>
      <c r="J2" s="72"/>
    </row>
    <row r="3" spans="1:10" ht="30" customHeight="1" x14ac:dyDescent="0.3">
      <c r="B3" s="13" t="s">
        <v>9</v>
      </c>
      <c r="C3" s="77" t="s">
        <v>70</v>
      </c>
      <c r="D3" s="77"/>
      <c r="E3" s="13" t="s">
        <v>6</v>
      </c>
      <c r="F3" s="77" t="s">
        <v>116</v>
      </c>
      <c r="G3" s="77"/>
      <c r="H3" s="77"/>
      <c r="I3" s="77"/>
      <c r="J3" s="77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80" t="s">
        <v>21</v>
      </c>
      <c r="C7" s="81"/>
      <c r="D7" s="81"/>
      <c r="E7" s="29" t="s">
        <v>18</v>
      </c>
      <c r="F7" s="29" t="s">
        <v>19</v>
      </c>
      <c r="G7" s="29" t="s">
        <v>22</v>
      </c>
      <c r="H7" s="29" t="s">
        <v>20</v>
      </c>
      <c r="I7" s="86" t="s">
        <v>25</v>
      </c>
      <c r="J7" s="87"/>
    </row>
    <row r="8" spans="1:10" ht="30" customHeight="1" x14ac:dyDescent="0.3">
      <c r="A8" s="11"/>
      <c r="B8" s="40" t="s">
        <v>176</v>
      </c>
      <c r="C8" s="41"/>
      <c r="D8" s="41"/>
      <c r="E8" s="41"/>
      <c r="F8" s="41"/>
      <c r="G8" s="41"/>
      <c r="H8" s="41"/>
      <c r="I8" s="41"/>
      <c r="J8" s="42"/>
    </row>
    <row r="9" spans="1:10" ht="39.9" customHeight="1" x14ac:dyDescent="0.3">
      <c r="A9" s="11"/>
      <c r="B9" s="36" t="s">
        <v>177</v>
      </c>
      <c r="C9" s="37"/>
      <c r="D9" s="37"/>
      <c r="E9" s="9">
        <v>5</v>
      </c>
      <c r="F9" s="27">
        <v>4</v>
      </c>
      <c r="G9" s="31">
        <f>IFERROR(F9/E9,"")</f>
        <v>0.8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4"/>
      <c r="J9" s="55"/>
    </row>
    <row r="10" spans="1:10" ht="84" customHeight="1" thickBot="1" x14ac:dyDescent="0.35">
      <c r="A10" s="11"/>
      <c r="B10" s="38" t="s">
        <v>189</v>
      </c>
      <c r="C10" s="39"/>
      <c r="D10" s="39"/>
      <c r="E10" s="33">
        <v>5</v>
      </c>
      <c r="F10" s="28">
        <v>3.75</v>
      </c>
      <c r="G10" s="34">
        <f t="shared" ref="G10:G29" si="0">IFERROR(F10/E10,"")</f>
        <v>0.75</v>
      </c>
      <c r="H10" s="35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0" customHeight="1" x14ac:dyDescent="0.3">
      <c r="A11" s="11"/>
      <c r="B11" s="40" t="s">
        <v>178</v>
      </c>
      <c r="C11" s="41"/>
      <c r="D11" s="41"/>
      <c r="E11" s="41"/>
      <c r="F11" s="41"/>
      <c r="G11" s="41"/>
      <c r="H11" s="41"/>
      <c r="I11" s="41"/>
      <c r="J11" s="42"/>
    </row>
    <row r="12" spans="1:10" ht="39.9" customHeight="1" x14ac:dyDescent="0.3">
      <c r="A12" s="11"/>
      <c r="B12" s="56" t="s">
        <v>179</v>
      </c>
      <c r="C12" s="57"/>
      <c r="D12" s="58"/>
      <c r="E12" s="9">
        <v>5</v>
      </c>
      <c r="F12" s="27">
        <v>4</v>
      </c>
      <c r="G12" s="31">
        <f t="shared" si="0"/>
        <v>0.8</v>
      </c>
      <c r="H12" s="32" t="str">
        <f t="shared" si="1"/>
        <v>جيد جداً</v>
      </c>
      <c r="I12" s="61"/>
      <c r="J12" s="62"/>
    </row>
    <row r="13" spans="1:10" ht="30" customHeight="1" x14ac:dyDescent="0.3">
      <c r="A13" s="11"/>
      <c r="B13" s="56" t="s">
        <v>180</v>
      </c>
      <c r="C13" s="57"/>
      <c r="D13" s="58"/>
      <c r="E13" s="30"/>
      <c r="F13" s="27"/>
      <c r="G13" s="31"/>
      <c r="H13" s="32"/>
      <c r="I13" s="61"/>
      <c r="J13" s="62"/>
    </row>
    <row r="14" spans="1:10" ht="30" customHeight="1" x14ac:dyDescent="0.3">
      <c r="A14" s="11"/>
      <c r="B14" s="43" t="s">
        <v>181</v>
      </c>
      <c r="C14" s="44"/>
      <c r="D14" s="45"/>
      <c r="E14" s="9">
        <v>5</v>
      </c>
      <c r="F14" s="27">
        <v>3.75</v>
      </c>
      <c r="G14" s="31">
        <f t="shared" si="0"/>
        <v>0.75</v>
      </c>
      <c r="H14" s="32" t="str">
        <f t="shared" si="1"/>
        <v>جيد</v>
      </c>
      <c r="I14" s="61"/>
      <c r="J14" s="62"/>
    </row>
    <row r="15" spans="1:10" ht="30" customHeight="1" x14ac:dyDescent="0.3">
      <c r="A15" s="11"/>
      <c r="B15" s="43" t="s">
        <v>182</v>
      </c>
      <c r="C15" s="44"/>
      <c r="D15" s="45"/>
      <c r="E15" s="9">
        <v>5</v>
      </c>
      <c r="F15" s="27">
        <v>3.5</v>
      </c>
      <c r="G15" s="31">
        <f t="shared" si="0"/>
        <v>0.7</v>
      </c>
      <c r="H15" s="32" t="str">
        <f t="shared" si="1"/>
        <v>جيد</v>
      </c>
      <c r="I15" s="61"/>
      <c r="J15" s="62"/>
    </row>
    <row r="16" spans="1:10" ht="30" customHeight="1" x14ac:dyDescent="0.3">
      <c r="A16" s="11"/>
      <c r="B16" s="43" t="s">
        <v>183</v>
      </c>
      <c r="C16" s="44"/>
      <c r="D16" s="45"/>
      <c r="E16" s="9">
        <v>5</v>
      </c>
      <c r="F16" s="27">
        <v>3.75</v>
      </c>
      <c r="G16" s="31">
        <f t="shared" si="0"/>
        <v>0.75</v>
      </c>
      <c r="H16" s="32" t="str">
        <f t="shared" si="1"/>
        <v>جيد</v>
      </c>
      <c r="I16" s="61"/>
      <c r="J16" s="62"/>
    </row>
    <row r="17" spans="1:10" ht="39.9" customHeight="1" x14ac:dyDescent="0.3">
      <c r="A17" s="11"/>
      <c r="B17" s="43" t="s">
        <v>184</v>
      </c>
      <c r="C17" s="44"/>
      <c r="D17" s="45"/>
      <c r="E17" s="9">
        <v>5</v>
      </c>
      <c r="F17" s="27">
        <v>3.75</v>
      </c>
      <c r="G17" s="31">
        <f t="shared" si="0"/>
        <v>0.75</v>
      </c>
      <c r="H17" s="32" t="str">
        <f t="shared" si="1"/>
        <v>جيد</v>
      </c>
      <c r="I17" s="61"/>
      <c r="J17" s="62"/>
    </row>
    <row r="18" spans="1:10" ht="30" customHeight="1" x14ac:dyDescent="0.3">
      <c r="A18" s="11"/>
      <c r="B18" s="46" t="s">
        <v>185</v>
      </c>
      <c r="C18" s="47"/>
      <c r="D18" s="48"/>
      <c r="E18" s="9"/>
      <c r="F18" s="27"/>
      <c r="G18" s="31"/>
      <c r="H18" s="32"/>
      <c r="I18" s="61"/>
      <c r="J18" s="62"/>
    </row>
    <row r="19" spans="1:10" ht="30" customHeight="1" x14ac:dyDescent="0.3">
      <c r="A19" s="11"/>
      <c r="B19" s="43" t="s">
        <v>186</v>
      </c>
      <c r="C19" s="44"/>
      <c r="D19" s="45"/>
      <c r="E19" s="9">
        <v>5</v>
      </c>
      <c r="F19" s="27">
        <v>3.5</v>
      </c>
      <c r="G19" s="31">
        <f t="shared" si="0"/>
        <v>0.7</v>
      </c>
      <c r="H19" s="32" t="str">
        <f t="shared" si="1"/>
        <v>جيد</v>
      </c>
      <c r="I19" s="61"/>
      <c r="J19" s="62"/>
    </row>
    <row r="20" spans="1:10" ht="30" customHeight="1" thickBot="1" x14ac:dyDescent="0.35">
      <c r="A20" s="11"/>
      <c r="B20" s="49" t="s">
        <v>187</v>
      </c>
      <c r="C20" s="50"/>
      <c r="D20" s="51"/>
      <c r="E20" s="33">
        <v>5</v>
      </c>
      <c r="F20" s="28">
        <v>3.5</v>
      </c>
      <c r="G20" s="34">
        <f t="shared" si="0"/>
        <v>0.7</v>
      </c>
      <c r="H20" s="35" t="str">
        <f t="shared" si="1"/>
        <v>جيد</v>
      </c>
      <c r="I20" s="63"/>
      <c r="J20" s="64"/>
    </row>
    <row r="21" spans="1:10" ht="30" customHeight="1" x14ac:dyDescent="0.3">
      <c r="A21" s="11"/>
      <c r="B21" s="40" t="s">
        <v>188</v>
      </c>
      <c r="C21" s="41"/>
      <c r="D21" s="41"/>
      <c r="E21" s="41"/>
      <c r="F21" s="41"/>
      <c r="G21" s="41"/>
      <c r="H21" s="41"/>
      <c r="I21" s="41"/>
      <c r="J21" s="42"/>
    </row>
    <row r="22" spans="1:10" ht="39.9" customHeight="1" x14ac:dyDescent="0.3">
      <c r="A22" s="11"/>
      <c r="B22" s="36" t="s">
        <v>190</v>
      </c>
      <c r="C22" s="37"/>
      <c r="D22" s="37"/>
      <c r="E22" s="9">
        <v>0</v>
      </c>
      <c r="F22" s="27" t="s">
        <v>17</v>
      </c>
      <c r="G22" s="31" t="str">
        <f t="shared" si="0"/>
        <v/>
      </c>
      <c r="H22" s="32" t="str">
        <f t="shared" si="1"/>
        <v>تم الإلغاء</v>
      </c>
      <c r="I22" s="54"/>
      <c r="J22" s="55"/>
    </row>
    <row r="23" spans="1:10" ht="39.9" customHeight="1" x14ac:dyDescent="0.3">
      <c r="A23" s="11"/>
      <c r="B23" s="36" t="s">
        <v>191</v>
      </c>
      <c r="C23" s="37"/>
      <c r="D23" s="37"/>
      <c r="E23" s="9">
        <v>5</v>
      </c>
      <c r="F23" s="27">
        <v>4</v>
      </c>
      <c r="G23" s="31">
        <f t="shared" si="0"/>
        <v>0.8</v>
      </c>
      <c r="H23" s="32" t="str">
        <f t="shared" si="1"/>
        <v>جيد جداً</v>
      </c>
      <c r="I23" s="54"/>
      <c r="J23" s="55"/>
    </row>
    <row r="24" spans="1:10" ht="30" customHeight="1" x14ac:dyDescent="0.3">
      <c r="A24" s="11"/>
      <c r="B24" s="36" t="s">
        <v>192</v>
      </c>
      <c r="C24" s="37"/>
      <c r="D24" s="37"/>
      <c r="E24" s="9">
        <v>5</v>
      </c>
      <c r="F24" s="27">
        <v>3.75</v>
      </c>
      <c r="G24" s="31">
        <f t="shared" si="0"/>
        <v>0.75</v>
      </c>
      <c r="H24" s="32" t="str">
        <f t="shared" si="1"/>
        <v>جيد</v>
      </c>
      <c r="I24" s="54"/>
      <c r="J24" s="55"/>
    </row>
    <row r="25" spans="1:10" ht="30" customHeight="1" x14ac:dyDescent="0.3">
      <c r="A25" s="11"/>
      <c r="B25" s="36" t="s">
        <v>193</v>
      </c>
      <c r="C25" s="37"/>
      <c r="D25" s="37"/>
      <c r="E25" s="9">
        <v>5</v>
      </c>
      <c r="F25" s="27">
        <v>3.5</v>
      </c>
      <c r="G25" s="31">
        <f t="shared" si="0"/>
        <v>0.7</v>
      </c>
      <c r="H25" s="32" t="str">
        <f t="shared" si="1"/>
        <v>جيد</v>
      </c>
      <c r="I25" s="54"/>
      <c r="J25" s="55"/>
    </row>
    <row r="26" spans="1:10" ht="30" customHeight="1" x14ac:dyDescent="0.3">
      <c r="A26" s="11"/>
      <c r="B26" s="36" t="s">
        <v>194</v>
      </c>
      <c r="C26" s="37"/>
      <c r="D26" s="37"/>
      <c r="E26" s="9">
        <v>5</v>
      </c>
      <c r="F26" s="27">
        <v>3.75</v>
      </c>
      <c r="G26" s="31">
        <f t="shared" si="0"/>
        <v>0.75</v>
      </c>
      <c r="H26" s="32" t="str">
        <f t="shared" si="1"/>
        <v>جيد</v>
      </c>
      <c r="I26" s="54"/>
      <c r="J26" s="55"/>
    </row>
    <row r="27" spans="1:10" ht="39.9" customHeight="1" x14ac:dyDescent="0.3">
      <c r="A27" s="11"/>
      <c r="B27" s="36" t="s">
        <v>195</v>
      </c>
      <c r="C27" s="37"/>
      <c r="D27" s="37"/>
      <c r="E27" s="9">
        <v>5</v>
      </c>
      <c r="F27" s="27">
        <v>3.5</v>
      </c>
      <c r="G27" s="31">
        <f t="shared" si="0"/>
        <v>0.7</v>
      </c>
      <c r="H27" s="32" t="str">
        <f t="shared" si="1"/>
        <v>جيد</v>
      </c>
      <c r="I27" s="54"/>
      <c r="J27" s="55"/>
    </row>
    <row r="28" spans="1:10" ht="30" customHeight="1" x14ac:dyDescent="0.3">
      <c r="A28" s="11"/>
      <c r="B28" s="36" t="s">
        <v>196</v>
      </c>
      <c r="C28" s="37"/>
      <c r="D28" s="37"/>
      <c r="E28" s="9">
        <v>5</v>
      </c>
      <c r="F28" s="27">
        <v>3.75</v>
      </c>
      <c r="G28" s="31">
        <f t="shared" si="0"/>
        <v>0.75</v>
      </c>
      <c r="H28" s="32" t="str">
        <f t="shared" si="1"/>
        <v>جيد</v>
      </c>
      <c r="I28" s="54"/>
      <c r="J28" s="55"/>
    </row>
    <row r="29" spans="1:10" ht="30" customHeight="1" thickBot="1" x14ac:dyDescent="0.35">
      <c r="A29" s="11"/>
      <c r="B29" s="38" t="s">
        <v>197</v>
      </c>
      <c r="C29" s="39"/>
      <c r="D29" s="39"/>
      <c r="E29" s="33">
        <v>5</v>
      </c>
      <c r="F29" s="28">
        <v>3.75</v>
      </c>
      <c r="G29" s="34">
        <f t="shared" si="0"/>
        <v>0.75</v>
      </c>
      <c r="H29" s="35" t="str">
        <f t="shared" si="1"/>
        <v>جيد</v>
      </c>
      <c r="I29" s="52"/>
      <c r="J29" s="53"/>
    </row>
    <row r="30" spans="1:10" ht="30" customHeight="1" thickBot="1" x14ac:dyDescent="0.35">
      <c r="A30" s="4"/>
      <c r="B30" s="59" t="s">
        <v>5</v>
      </c>
      <c r="C30" s="60"/>
      <c r="D30" s="60"/>
      <c r="E30" s="10">
        <f>SUM(E8:E29)</f>
        <v>80</v>
      </c>
      <c r="F30" s="10">
        <f>SUM(F8:F29)</f>
        <v>59.5</v>
      </c>
      <c r="G30" s="90"/>
      <c r="H30" s="91"/>
      <c r="I30" s="91"/>
      <c r="J30" s="92"/>
    </row>
    <row r="31" spans="1:10" ht="30" customHeight="1" thickBot="1" x14ac:dyDescent="0.35">
      <c r="A31" s="4"/>
      <c r="B31" s="59" t="s">
        <v>54</v>
      </c>
      <c r="C31" s="60"/>
      <c r="D31" s="60"/>
      <c r="E31" s="78">
        <f>F30/E30/100*100</f>
        <v>0.74375000000000002</v>
      </c>
      <c r="F31" s="78"/>
      <c r="G31" s="78"/>
      <c r="H31" s="78"/>
      <c r="I31" s="78"/>
      <c r="J31" s="79"/>
    </row>
    <row r="32" spans="1:10" ht="30" customHeight="1" thickBot="1" x14ac:dyDescent="0.35">
      <c r="A32" s="4"/>
      <c r="B32" s="59" t="s">
        <v>55</v>
      </c>
      <c r="C32" s="60"/>
      <c r="D32" s="60"/>
      <c r="E32" s="69" t="str">
        <f>_xlfn.IFS(E31&gt;=90%,"ممتاز",E31&gt;=80%,"جيد جداً",E31&gt;=70%,"جيد",E31&gt;=60%,"مقبول",E31&lt;60%,"راسب")</f>
        <v>جيد</v>
      </c>
      <c r="F32" s="69"/>
      <c r="G32" s="69"/>
      <c r="H32" s="69"/>
      <c r="I32" s="69"/>
      <c r="J32" s="70"/>
    </row>
    <row r="33" spans="1:10" ht="42" customHeight="1" x14ac:dyDescent="0.3">
      <c r="B33" s="65" t="s">
        <v>175</v>
      </c>
      <c r="C33" s="65"/>
      <c r="D33" s="65"/>
      <c r="E33" s="88" t="s">
        <v>52</v>
      </c>
      <c r="F33" s="88"/>
      <c r="G33" s="67" t="s">
        <v>116</v>
      </c>
      <c r="H33" s="67"/>
      <c r="I33" s="67"/>
      <c r="J33" s="67"/>
    </row>
    <row r="34" spans="1:10" ht="51" customHeight="1" x14ac:dyDescent="0.3">
      <c r="A34" s="5"/>
      <c r="B34" s="66"/>
      <c r="C34" s="66"/>
      <c r="D34" s="66"/>
      <c r="E34" s="89" t="s">
        <v>53</v>
      </c>
      <c r="F34" s="89"/>
      <c r="G34" s="68"/>
      <c r="H34" s="68"/>
      <c r="I34" s="68"/>
      <c r="J34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2">
    <mergeCell ref="I24:J24"/>
    <mergeCell ref="I25:J25"/>
    <mergeCell ref="I26:J26"/>
    <mergeCell ref="E33:F33"/>
    <mergeCell ref="E34:F34"/>
    <mergeCell ref="G30:J30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9:J29"/>
    <mergeCell ref="E5:H5"/>
    <mergeCell ref="I5:J6"/>
    <mergeCell ref="I7:J7"/>
    <mergeCell ref="B30:D30"/>
    <mergeCell ref="B31:D31"/>
    <mergeCell ref="B32:D32"/>
    <mergeCell ref="I12:J12"/>
    <mergeCell ref="I13:J13"/>
    <mergeCell ref="I14:J14"/>
    <mergeCell ref="I15:J15"/>
    <mergeCell ref="I16:J16"/>
    <mergeCell ref="I17:J17"/>
    <mergeCell ref="I18:J18"/>
    <mergeCell ref="I27:J27"/>
    <mergeCell ref="I28:J28"/>
    <mergeCell ref="I19:J19"/>
    <mergeCell ref="I20:J20"/>
    <mergeCell ref="I22:J22"/>
    <mergeCell ref="I23:J23"/>
    <mergeCell ref="B22:D22"/>
    <mergeCell ref="B23:D23"/>
    <mergeCell ref="B24:D24"/>
    <mergeCell ref="B9:D9"/>
    <mergeCell ref="B10:D10"/>
    <mergeCell ref="B12:D12"/>
    <mergeCell ref="B13:D13"/>
    <mergeCell ref="B14:D14"/>
    <mergeCell ref="B15:D15"/>
    <mergeCell ref="B16:D16"/>
    <mergeCell ref="B8:J8"/>
    <mergeCell ref="B11:J11"/>
    <mergeCell ref="B21:J21"/>
    <mergeCell ref="B17:D17"/>
    <mergeCell ref="B18:D18"/>
    <mergeCell ref="B19:D19"/>
    <mergeCell ref="B20:D20"/>
    <mergeCell ref="I10:J10"/>
    <mergeCell ref="I9:J9"/>
    <mergeCell ref="B25:D25"/>
    <mergeCell ref="B26:D26"/>
    <mergeCell ref="B27:D27"/>
    <mergeCell ref="B28:D28"/>
    <mergeCell ref="B29:D2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21" priority="57">
      <formula>$E32="راسب"</formula>
    </cfRule>
  </conditionalFormatting>
  <conditionalFormatting sqref="E32:J32">
    <cfRule type="expression" dxfId="20" priority="60">
      <formula>$E32="جيد جداً"</formula>
    </cfRule>
    <cfRule type="expression" dxfId="19" priority="59">
      <formula>$E32="جيد"</formula>
    </cfRule>
    <cfRule type="expression" dxfId="18" priority="58">
      <formula>$E32="مقبول"</formula>
    </cfRule>
    <cfRule type="expression" dxfId="17" priority="61">
      <formula>$E32="ممتاز"</formula>
    </cfRule>
  </conditionalFormatting>
  <conditionalFormatting sqref="F9:F10">
    <cfRule type="containsText" dxfId="16" priority="4" operator="containsText" text="أدخل العلامة">
      <formula>NOT(ISERROR(SEARCH("أدخل العلامة",F9)))</formula>
    </cfRule>
  </conditionalFormatting>
  <conditionalFormatting sqref="F12:F20">
    <cfRule type="containsText" dxfId="15" priority="14" operator="containsText" text="أدخل العلامة">
      <formula>NOT(ISERROR(SEARCH("أدخل العلامة",F12)))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12" priority="15" operator="containsText" text="أدخل اسم المحكم">
      <formula>NOT(ISERROR(SEARCH("أدخل اسم المحكم",G33)))</formula>
    </cfRule>
  </conditionalFormatting>
  <conditionalFormatting sqref="H9:H10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2:H20 F22:F29 H22:H29">
    <cfRule type="containsText" dxfId="5" priority="38" operator="containsText" text="أدخل العلامة">
      <formula>NOT(ISERROR(SEARCH("أدخل العلامة",F12)))</formula>
    </cfRule>
  </conditionalFormatting>
  <conditionalFormatting sqref="H12:H20 H22:H29">
    <cfRule type="containsText" dxfId="4" priority="39" operator="containsText" text="ممتاز">
      <formula>NOT(ISERROR(SEARCH("ممتاز",H12)))</formula>
    </cfRule>
    <cfRule type="containsText" dxfId="3" priority="40" operator="containsText" text="جيد جداً">
      <formula>NOT(ISERROR(SEARCH("جيد جداً",H12)))</formula>
    </cfRule>
    <cfRule type="containsText" dxfId="2" priority="41" operator="containsText" text="جيد">
      <formula>NOT(ISERROR(SEARCH("جيد",H12)))</formula>
    </cfRule>
    <cfRule type="containsText" dxfId="1" priority="42" operator="containsText" text="مقبول">
      <formula>NOT(ISERROR(SEARCH("مقبول",H12)))</formula>
    </cfRule>
    <cfRule type="containsText" dxfId="0" priority="43" operator="containsText" text="راسب">
      <formula>NOT(ISERROR(SEARCH("راسب",H12)))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F14:F20 F12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102</v>
      </c>
    </row>
    <row r="213" spans="1:1" ht="20.100000000000001" customHeight="1" x14ac:dyDescent="0.3">
      <c r="A213" s="21" t="s">
        <v>103</v>
      </c>
    </row>
    <row r="214" spans="1:1" ht="20.100000000000001" customHeight="1" x14ac:dyDescent="0.3">
      <c r="A214" s="21" t="s">
        <v>104</v>
      </c>
    </row>
    <row r="215" spans="1:1" ht="20.100000000000001" customHeight="1" x14ac:dyDescent="0.3">
      <c r="A215" s="21" t="s">
        <v>105</v>
      </c>
    </row>
    <row r="216" spans="1:1" ht="20.100000000000001" customHeight="1" x14ac:dyDescent="0.3">
      <c r="A216" s="21" t="s">
        <v>106</v>
      </c>
    </row>
    <row r="217" spans="1:1" ht="20.100000000000001" customHeight="1" x14ac:dyDescent="0.3">
      <c r="A217" s="21" t="s">
        <v>107</v>
      </c>
    </row>
    <row r="218" spans="1:1" ht="20.100000000000001" customHeight="1" x14ac:dyDescent="0.3">
      <c r="A218" s="21" t="s">
        <v>108</v>
      </c>
    </row>
    <row r="219" spans="1:1" ht="20.100000000000001" customHeight="1" x14ac:dyDescent="0.3">
      <c r="A219" s="21" t="s">
        <v>109</v>
      </c>
    </row>
    <row r="220" spans="1:1" ht="20.100000000000001" customHeight="1" x14ac:dyDescent="0.3">
      <c r="A220" s="21" t="s">
        <v>110</v>
      </c>
    </row>
    <row r="221" spans="1:1" ht="20.100000000000001" customHeight="1" x14ac:dyDescent="0.3">
      <c r="A221" s="21" t="s">
        <v>111</v>
      </c>
    </row>
    <row r="222" spans="1:1" ht="20.100000000000001" customHeight="1" x14ac:dyDescent="0.3">
      <c r="A222" s="21" t="s">
        <v>112</v>
      </c>
    </row>
    <row r="223" spans="1:1" ht="20.100000000000001" customHeight="1" x14ac:dyDescent="0.3">
      <c r="A223" s="21" t="s">
        <v>113</v>
      </c>
    </row>
    <row r="224" spans="1:1" ht="20.100000000000001" customHeight="1" x14ac:dyDescent="0.3">
      <c r="A224" s="21" t="s">
        <v>114</v>
      </c>
    </row>
    <row r="225" spans="1:1" ht="20.100000000000001" customHeight="1" x14ac:dyDescent="0.3">
      <c r="A225" s="21" t="s">
        <v>115</v>
      </c>
    </row>
    <row r="226" spans="1:1" ht="20.100000000000001" customHeight="1" x14ac:dyDescent="0.3">
      <c r="A226" s="21" t="s">
        <v>116</v>
      </c>
    </row>
    <row r="227" spans="1:1" ht="20.100000000000001" customHeight="1" x14ac:dyDescent="0.3">
      <c r="A227" s="21" t="s">
        <v>117</v>
      </c>
    </row>
    <row r="228" spans="1:1" ht="20.100000000000001" customHeight="1" x14ac:dyDescent="0.3">
      <c r="A228" s="21" t="s">
        <v>118</v>
      </c>
    </row>
    <row r="229" spans="1:1" ht="20.100000000000001" customHeight="1" x14ac:dyDescent="0.3">
      <c r="A229" s="21" t="s">
        <v>119</v>
      </c>
    </row>
    <row r="230" spans="1:1" ht="20.100000000000001" customHeight="1" x14ac:dyDescent="0.3">
      <c r="A230" s="21" t="s">
        <v>120</v>
      </c>
    </row>
    <row r="231" spans="1:1" ht="20.100000000000001" customHeight="1" x14ac:dyDescent="0.3">
      <c r="A231" s="21" t="s">
        <v>121</v>
      </c>
    </row>
    <row r="232" spans="1:1" ht="20.100000000000001" customHeight="1" x14ac:dyDescent="0.3">
      <c r="A232" s="21" t="s">
        <v>122</v>
      </c>
    </row>
    <row r="233" spans="1:1" ht="20.100000000000001" customHeight="1" x14ac:dyDescent="0.3">
      <c r="A233" s="21" t="s">
        <v>123</v>
      </c>
    </row>
    <row r="234" spans="1:1" ht="20.100000000000001" customHeight="1" x14ac:dyDescent="0.3">
      <c r="A234" s="21" t="s">
        <v>124</v>
      </c>
    </row>
    <row r="235" spans="1:1" ht="20.100000000000001" customHeight="1" x14ac:dyDescent="0.3">
      <c r="A235" s="23" t="s">
        <v>125</v>
      </c>
    </row>
    <row r="236" spans="1:1" ht="20.100000000000001" customHeight="1" x14ac:dyDescent="0.3">
      <c r="A236" s="21" t="s">
        <v>126</v>
      </c>
    </row>
    <row r="237" spans="1:1" ht="20.100000000000001" customHeight="1" x14ac:dyDescent="0.3">
      <c r="A237" s="21" t="s">
        <v>127</v>
      </c>
    </row>
    <row r="238" spans="1:1" ht="20.100000000000001" customHeight="1" x14ac:dyDescent="0.3">
      <c r="A238" s="21" t="s">
        <v>128</v>
      </c>
    </row>
    <row r="239" spans="1:1" ht="20.100000000000001" customHeight="1" x14ac:dyDescent="0.3">
      <c r="A239" s="21" t="s">
        <v>129</v>
      </c>
    </row>
    <row r="240" spans="1:1" ht="20.100000000000001" customHeight="1" x14ac:dyDescent="0.3">
      <c r="A240" s="21" t="s">
        <v>130</v>
      </c>
    </row>
    <row r="241" spans="1:1" ht="20.100000000000001" customHeight="1" x14ac:dyDescent="0.3">
      <c r="A241" s="21" t="s">
        <v>131</v>
      </c>
    </row>
    <row r="242" spans="1:1" ht="20.100000000000001" customHeight="1" x14ac:dyDescent="0.3">
      <c r="A242" s="21" t="s">
        <v>132</v>
      </c>
    </row>
    <row r="243" spans="1:1" ht="20.100000000000001" customHeight="1" x14ac:dyDescent="0.3">
      <c r="A243" s="21" t="s">
        <v>133</v>
      </c>
    </row>
    <row r="244" spans="1:1" ht="20.100000000000001" customHeight="1" x14ac:dyDescent="0.3">
      <c r="A244" s="21" t="s">
        <v>134</v>
      </c>
    </row>
    <row r="245" spans="1:1" ht="20.100000000000001" customHeight="1" x14ac:dyDescent="0.3">
      <c r="A245" s="21" t="s">
        <v>135</v>
      </c>
    </row>
    <row r="246" spans="1:1" ht="20.100000000000001" customHeight="1" x14ac:dyDescent="0.3">
      <c r="A246" s="21" t="s">
        <v>136</v>
      </c>
    </row>
    <row r="247" spans="1:1" ht="20.100000000000001" customHeight="1" x14ac:dyDescent="0.3">
      <c r="A247" s="21" t="s">
        <v>127</v>
      </c>
    </row>
    <row r="248" spans="1:1" ht="20.100000000000001" customHeight="1" x14ac:dyDescent="0.3">
      <c r="A248" s="21" t="s">
        <v>137</v>
      </c>
    </row>
    <row r="249" spans="1:1" ht="20.100000000000001" customHeight="1" x14ac:dyDescent="0.3">
      <c r="A249" s="21" t="s">
        <v>138</v>
      </c>
    </row>
    <row r="250" spans="1:1" ht="20.100000000000001" customHeight="1" x14ac:dyDescent="0.3">
      <c r="A250" s="23" t="s">
        <v>139</v>
      </c>
    </row>
    <row r="251" spans="1:1" ht="20.100000000000001" customHeight="1" x14ac:dyDescent="0.3">
      <c r="A251" s="24" t="s">
        <v>140</v>
      </c>
    </row>
    <row r="252" spans="1:1" ht="20.100000000000001" customHeight="1" x14ac:dyDescent="0.3">
      <c r="A252" s="21" t="s">
        <v>141</v>
      </c>
    </row>
    <row r="253" spans="1:1" ht="20.100000000000001" customHeight="1" x14ac:dyDescent="0.3">
      <c r="A253" s="21" t="s">
        <v>142</v>
      </c>
    </row>
    <row r="254" spans="1:1" ht="20.100000000000001" customHeight="1" x14ac:dyDescent="0.3">
      <c r="A254" s="25" t="s">
        <v>143</v>
      </c>
    </row>
    <row r="255" spans="1:1" ht="20.100000000000001" customHeight="1" x14ac:dyDescent="0.3">
      <c r="A255" s="25" t="s">
        <v>144</v>
      </c>
    </row>
    <row r="256" spans="1:1" ht="20.100000000000001" customHeight="1" x14ac:dyDescent="0.3">
      <c r="A256" s="26" t="s">
        <v>145</v>
      </c>
    </row>
    <row r="257" spans="1:1" ht="20.100000000000001" customHeight="1" x14ac:dyDescent="0.3">
      <c r="A257" s="21" t="s">
        <v>146</v>
      </c>
    </row>
    <row r="258" spans="1:1" ht="20.100000000000001" customHeight="1" x14ac:dyDescent="0.3">
      <c r="A258" s="26" t="s">
        <v>147</v>
      </c>
    </row>
    <row r="259" spans="1:1" ht="20.100000000000001" customHeight="1" x14ac:dyDescent="0.3">
      <c r="A259" s="21" t="s">
        <v>148</v>
      </c>
    </row>
    <row r="260" spans="1:1" ht="20.100000000000001" customHeight="1" x14ac:dyDescent="0.3">
      <c r="A260" s="26" t="s">
        <v>149</v>
      </c>
    </row>
    <row r="261" spans="1:1" ht="20.100000000000001" customHeight="1" x14ac:dyDescent="0.3">
      <c r="A261" s="21" t="s">
        <v>150</v>
      </c>
    </row>
    <row r="262" spans="1:1" ht="20.100000000000001" customHeight="1" x14ac:dyDescent="0.3">
      <c r="A262" s="21" t="s">
        <v>151</v>
      </c>
    </row>
    <row r="263" spans="1:1" ht="20.100000000000001" customHeight="1" x14ac:dyDescent="0.3">
      <c r="A263" s="26" t="s">
        <v>152</v>
      </c>
    </row>
    <row r="264" spans="1:1" ht="20.100000000000001" customHeight="1" x14ac:dyDescent="0.3">
      <c r="A264" s="26" t="s">
        <v>153</v>
      </c>
    </row>
    <row r="265" spans="1:1" ht="20.100000000000001" customHeight="1" x14ac:dyDescent="0.3">
      <c r="A265" s="26" t="s">
        <v>154</v>
      </c>
    </row>
    <row r="266" spans="1:1" ht="20.100000000000001" customHeight="1" x14ac:dyDescent="0.3">
      <c r="A266" s="21" t="s">
        <v>155</v>
      </c>
    </row>
    <row r="267" spans="1:1" ht="20.100000000000001" customHeight="1" x14ac:dyDescent="0.3">
      <c r="A267" s="21" t="s">
        <v>156</v>
      </c>
    </row>
    <row r="268" spans="1:1" ht="20.100000000000001" customHeight="1" x14ac:dyDescent="0.3">
      <c r="A268" s="21" t="s">
        <v>157</v>
      </c>
    </row>
    <row r="269" spans="1:1" ht="20.100000000000001" customHeight="1" x14ac:dyDescent="0.3">
      <c r="A269" s="21" t="s">
        <v>158</v>
      </c>
    </row>
    <row r="270" spans="1:1" ht="20.100000000000001" customHeight="1" x14ac:dyDescent="0.3">
      <c r="A270" s="26" t="s">
        <v>159</v>
      </c>
    </row>
    <row r="271" spans="1:1" ht="20.100000000000001" customHeight="1" x14ac:dyDescent="0.3">
      <c r="A271" s="26" t="s">
        <v>160</v>
      </c>
    </row>
    <row r="272" spans="1:1" ht="20.100000000000001" customHeight="1" x14ac:dyDescent="0.3">
      <c r="A272" s="21" t="s">
        <v>161</v>
      </c>
    </row>
    <row r="273" spans="1:1" ht="20.100000000000001" customHeight="1" x14ac:dyDescent="0.3">
      <c r="A273" s="26" t="s">
        <v>162</v>
      </c>
    </row>
    <row r="274" spans="1:1" ht="20.100000000000001" customHeight="1" x14ac:dyDescent="0.3">
      <c r="A274" s="26" t="s">
        <v>163</v>
      </c>
    </row>
    <row r="275" spans="1:1" ht="20.100000000000001" customHeight="1" x14ac:dyDescent="0.3">
      <c r="A275" s="21" t="s">
        <v>164</v>
      </c>
    </row>
    <row r="276" spans="1:1" ht="20.100000000000001" customHeight="1" x14ac:dyDescent="0.3">
      <c r="A276" s="21" t="s">
        <v>165</v>
      </c>
    </row>
    <row r="277" spans="1:1" ht="20.100000000000001" customHeight="1" x14ac:dyDescent="0.3">
      <c r="A277" s="26" t="s">
        <v>166</v>
      </c>
    </row>
    <row r="278" spans="1:1" ht="20.100000000000001" customHeight="1" x14ac:dyDescent="0.3">
      <c r="A278" s="21" t="s">
        <v>167</v>
      </c>
    </row>
    <row r="279" spans="1:1" ht="20.100000000000001" customHeight="1" x14ac:dyDescent="0.3">
      <c r="A279" s="21" t="s">
        <v>168</v>
      </c>
    </row>
    <row r="280" spans="1:1" ht="20.100000000000001" customHeight="1" x14ac:dyDescent="0.3">
      <c r="A280" s="21" t="s">
        <v>169</v>
      </c>
    </row>
    <row r="281" spans="1:1" ht="20.100000000000001" customHeight="1" x14ac:dyDescent="0.3">
      <c r="A281" s="21" t="s">
        <v>170</v>
      </c>
    </row>
    <row r="282" spans="1:1" ht="20.100000000000001" customHeight="1" x14ac:dyDescent="0.3">
      <c r="A282" s="26" t="s">
        <v>171</v>
      </c>
    </row>
    <row r="283" spans="1:1" ht="20.100000000000001" customHeight="1" x14ac:dyDescent="0.3">
      <c r="A283" s="26" t="s">
        <v>172</v>
      </c>
    </row>
    <row r="284" spans="1:1" ht="20.100000000000001" customHeight="1" x14ac:dyDescent="0.3">
      <c r="A284" s="26" t="s">
        <v>173</v>
      </c>
    </row>
    <row r="285" spans="1:1" ht="20.100000000000001" customHeight="1" thickBot="1" x14ac:dyDescent="0.35">
      <c r="A285" s="21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2025-10-23T20:26:07Z</dcterms:modified>
</cp:coreProperties>
</file>