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E28C6FA-A977-4232-B0A6-077F39AA7A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<sst xmlns="http://schemas.openxmlformats.org/spreadsheetml/2006/main" count="283" uniqueCount="227">
  <si>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</si>
  <si>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</si>
  <si>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</si>
  <si>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</si>
  <si>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</si>
  <si>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</si>
  <si>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</si>
  <si>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</si>
  <si>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</si>
  <si>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</si>
  <si>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</si>
  <si>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</si>
  <si>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</si>
  <si>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</si>
  <si>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</si>
  <si>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</si>
  <si>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</si>
  <si>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</si>
  <si>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</si>
  <si>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</si>
  <si>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</si>
  <si>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</si>
  <si>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</si>
  <si>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</si>
  <si>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</si>
  <si>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</si>
  <si>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</si>
  <si>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</si>
  <si>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</si>
  <si>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</si>
  <si>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</si>
  <si>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</si>
  <si>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</si>
  <si>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</si>
  <si>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</si>
  <si>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</si>
  <si>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</si>
  <si>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</si>
  <si>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</si>
  <si>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</si>
  <si>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</si>
  <si>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</si>
  <si>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</si>
  <si>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</si>
  <si>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</si>
  <si>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</si>
  <si>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</si>
  <si>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</si>
  <si>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</si>
  <si>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</si>
  <si>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</si>
  <si>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</si>
  <si>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</si>
  <si>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</si>
  <si>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</si>
  <si>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</si>
  <si>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</si>
  <si>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</si>
  <si>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</si>
  <si>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</si>
  <si>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</si>
  <si>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</si>
  <si>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</si>
  <si>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</si>
  <si>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</si>
  <si>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</si>
  <si>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</si>
  <si>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</si>
  <si>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</si>
  <si>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</si>
  <si>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</si>
  <si>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</si>
  <si>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</si>
  <si>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</si>
  <si>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</si>
  <si>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</si>
  <si>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</si>
  <si>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</si>
  <si>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</si>
  <si>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</si>
  <si>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</si>
  <si>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</si>
  <si>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</si>
  <si>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</si>
  <si>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</si>
  <si>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</si>
  <si>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</si>
  <si>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</si>
  <si>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</si>
  <si>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</si>
  <si>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</si>
  <si>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</si>
  <si>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</si>
  <si>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</si>
  <si>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</si>
  <si>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</si>
  <si>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</si>
  <si>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</si>
  <si>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</si>
  <si>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</si>
  <si>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</si>
  <si>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</si>
  <si>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</si>
  <si>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</si>
  <si>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</si>
  <si>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</si>
  <si>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</si>
  <si>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</si>
  <si>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</si>
  <si>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</si>
  <si>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</si>
  <si>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</si>
  <si>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</si>
  <si>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</si>
  <si>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</si>
  <si>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</si>
  <si>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</si>
  <si>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</si>
  <si>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</si>
  <si>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</si>
  <si>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</si>
  <si>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</si>
  <si>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</si>
  <si>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</si>
  <si>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</si>
  <si>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</si>
  <si>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</si>
  <si>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</si>
  <si>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</si>
  <si>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</si>
  <si>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</si>
  <si>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</si>
  <si>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</si>
  <si>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</si>
  <si>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</si>
  <si>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</si>
  <si>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</si>
  <si>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</si>
  <si>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</si>
  <si>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</si>
  <si>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</si>
  <si>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</si>
  <si>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</si>
  <si>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</si>
  <si>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</si>
  <si>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</si>
  <si>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</si>
  <si>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</si>
  <si>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</si>
  <si>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</si>
  <si>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</si>
  <si>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</si>
  <si>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</si>
  <si>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</si>
  <si>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</si>
  <si>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</si>
  <si>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</si>
  <si>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</si>
  <si>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</si>
  <si>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</si>
  <si>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</si>
  <si>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</si>
  <si>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</si>
  <si>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</si>
  <si>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</si>
  <si>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</si>
  <si>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</si>
  <si>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</si>
  <si>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</si>
  <si>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</si>
  <si>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</si>
  <si>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</si>
  <si>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</si>
  <si>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</si>
  <si>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</si>
  <si>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</si>
  <si>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</si>
  <si>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</si>
  <si>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</si>
  <si>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</si>
  <si>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</si>
  <si>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</si>
  <si>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</si>
  <si>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</si>
  <si>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</si>
  <si>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(1)  التجميع للواجب بما يتلاءم مع المهمة (حسب الواجب الرئيسي للسرية والذي قد يكون العمل كحرس مقدمة أو كجزء من الجسم الرئيسي أو احتياط للكتيبة/ مجموعة القتال).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</si>
  <si>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</si>
  <si>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</si>
  <si>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</si>
  <si>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</si>
  <si>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</si>
  <si>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</si>
  <si>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</si>
  <si>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</si>
  <si>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</si>
  <si>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</si>
  <si>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</si>
  <si>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</si>
  <si>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</si>
  <si>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</si>
  <si>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</si>
  <si>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</si>
  <si>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</si>
  <si>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</si>
  <si>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</si>
  <si>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</si>
  <si>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</si>
  <si>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</si>
  <si>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</si>
  <si>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</si>
  <si>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</si>
  <si>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</si>
  <si>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</si>
  <si>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</si>
  <si>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</si>
  <si>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</si>
  <si>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</si>
  <si>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</si>
  <si>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</si>
  <si>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>هـ. اتخاذ القرار للتعامل مع قوات العدو حسب الخيارات المتوفرة.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</si>
  <si>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</si>
  <si>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</si>
  <si>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</si>
  <si>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</si>
  <si>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</si>
  <si>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t>تقييم سرية فريق القتال المشاة الآلي/الدروع في التقدم للتماس
تمرين جاهزية مجموعة لواء الإمارات/1 (جندي الصحراء 2025/20)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</si>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</sst>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221628</xdr:colOff>
      <xdr:row>56</xdr:row>
      <xdr:rowOff>13392</xdr:rowOff>
    </xdr:from>
    <xdr:to>
      <xdr:col>7</xdr:col>
      <xdr:colOff>594218</xdr:colOff>
      <xdr:row>56</xdr:row>
      <xdr:rowOff>601272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FF2B3D1-27E1-6559-D1D4-7CD5F8124D9C}"/>
                </a:ext>
              </a:extLst>
            </xdr14:cNvPr>
            <xdr14:cNvContentPartPr/>
          </xdr14:nvContentPartPr>
          <xdr14:nvPr macro=""/>
          <xdr14:xfrm>
            <a:off x="10399308782" y="25453800"/>
            <a:ext cx="1030680" cy="587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FF2B3D1-27E1-6559-D1D4-7CD5F8124D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00142" y="25444800"/>
              <a:ext cx="1048320" cy="60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214428</xdr:colOff>
      <xdr:row>56</xdr:row>
      <xdr:rowOff>1152</xdr:rowOff>
    </xdr:from>
    <xdr:to>
      <xdr:col>7</xdr:col>
      <xdr:colOff>355178</xdr:colOff>
      <xdr:row>56</xdr:row>
      <xdr:rowOff>286992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23ED295-8995-CB84-A291-4E6C362591BA}"/>
                </a:ext>
              </a:extLst>
            </xdr14:cNvPr>
            <xdr14:cNvContentPartPr/>
          </xdr14:nvContentPartPr>
          <xdr14:nvPr macro=""/>
          <xdr14:xfrm>
            <a:off x="10399547822" y="25441560"/>
            <a:ext cx="798840" cy="285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23ED295-8995-CB84-A291-4E6C362591B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539182" y="25432560"/>
              <a:ext cx="816480" cy="303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7:10:50.4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2541 706 12394,'0'0'0,"-15"-12"760,15 12-760,-13-11 328,-6-1-176,9 8-88,8-2-48,2 6-16,0-4 0,0 1-16,0 2 8,0 0-8,0 1 16,-3 0-64,3 0 16,-2 0-64,-1 0-32,3 0 144,0 2-136,-4 3 16,0 7 32,-6 1 40,10-13 48,-7 19-24,-7 9 16,-6 9 16,-3 7-16,23-44 8,-26 53 0,0 5 0,-5 3 8,3 3 32,28-64-40,-33 58 24,7-5 56,1-6 40,1-7 72,24-40-192,-22 35 240,-1-2-8,4-7 65,3-7 55,16-19-352,-12 13 464,0-10 136,4 0 40,4-3-40,4 0-600,-5 0 480,0-2-136,5-2-184,-2-10-144,2 14-16,0-16-72,0-8-56,2-6 8,10-7 64,-12 37 56,12-39-48,-2-1 40,4-1-8,-5 5-8,-9 36 24,5-34 16,9 5-32,-12 8 32,1 4 16,-3 17-32,0-6-8,5 1 48,-5 0 24,0 4-16,0 1-48,0 0-24,0 3-104,-5 10-72,-5-1-16,10-12 216,-12 19-144,7 5 64,-15 5 48,8-1 32,12-28 0,-17 27-8,3 0 16,2-3-8,8-4-24,4-20 24,-12 17 0,9-5-32,1-10-16,-1 1 48,3-3 0,-2 0-56,0 0 48,2 0 8,0 0-56,0 0 56,0 0-72,0 0-64,0 0-112,0-1-64,0 1 312,0-2-368,0 0 16,0-3 104,0 2 88,0 3 160,0-2-64,-3 0 80,3 1 24,-5 1 64,5 0-104,-3 0 112,0 0-48,-2 4-56,-12 10-64,17-14 56,-4 12-72,-13 3 16,3 2 8,2 0 48,12-17 0,-12 17-24,0-4-32,1-1 48,6-10 8,5-2 0,-7 3 40,5 0 16,-1-3-16,1 0-56,2 0 16,0-1-160,0-4-16,0-9 8,0 0-1,0 14 169,5-20-72,-3-7 56,10-3 16,-12-4 48,0 34-48,14-37 56,0-6 0,1-5-23,0-6-33,-15 54 0,12-61 0,10-6 0,-4-8 16,6-8-8,-24 83-8,28-85 24,-1-4-24,-1-5-16,4 0 32,-30 94-16,26-91 8,-2 8-8,0 18-8,-6 12 8,-18 53 0,17-36-16,-3 10 8,-9 12-24,-1 9-33,-4 5 65,0 0-8,0 0 0,0 18 16,-13 3 73,13-21-81,-17 33 0,-5 12 32,-3 12-16,-4 10-105,29-67 89,-33 75-32,1 6-32,-2 2-40,-1-1 56,35-82 48,-33 80-104,-1-5 32,4-7 0,4-5 40,26-63 32,-26 57 48,2-6 24,1-4 160,-1-3 1,24-44-233,-23 40 272,1-5 16,1-2-32,2-6 8,19-27-264,-21 25 216,4-3-40,1-4-48,2-4 8,14-14-136,-12 5 88,7 6 24,-11-11-24,14 3 8,2-3-96,-3 0-16,1 0 16,-1 0-120,3 0-152,0 0 272,0-3-288,0-8-80,5-1 32,-2-3 80,-3 15 256,11-19-160,-11-5 8,14 0 64,-4-3 32,-10 27 56,5-26-113,11 2-7,-5 0-16,-8 3-48,-3 21 184,14-16-256,-9 2 8,-3 8-16,-2-5 112,0 11 152,0-2-16,0 1 80,0 1 48,-2 0 0,2 0-112,-5 0 56,0 4-40,-2 0-40,-4 11-48,11-15 72,-5 4-64,-9 14 0,2-4 56,0 2-16,12-16 24,-14 17-40,0-1 56,2 1-32,0-3 40,12-14-24,-2 13 16,-6-9-24,5 8-32,0-10-8,3-2 48,-5 3-72,3-3 8,0 3-16,2 0-48,0-3 128,0 3-160,-3 0-88,1-1 0,2 3-96,0-5 344,0 4-336,0 9-104,0-10-120,0 9-105,0-12 665,-3 5-784,-2 10-24,5-3 128,-2 3 216,2-15 464,-7 17-256,-3 0 168,5 3 88,-6-3 8,11-17-8,-12 19 48,8-2 112,-16-1 88,12-1 40,8-15-288,-5 14 352,-10-2 0,11-8-56,1 10 0,3-14-296,-12 3 272,7 1-72,1 1-32,1-3 104,3-2-272,-4 3 353,0 0 119,4-3 144,-3 0-8,3 0-608,-2 0 568,2-1-56,0-4-176,0-7-120,0 12-216,0-15 112,0-7-48,2-8-24,1-11 0,-3 41-40,7-50 72,6-8-48,-3-9-40,4-6 24,-14 73-8,12-76 8,-1-7-16,4-4 48,4 1-24,-19 86-16,13-84 8,4 7 8,-2 14 8,-10 12 16,-5 51-40,12-42 24,-12 9 16,3 6 32,-3 10 48,0 17-120,0-4 216,0-1 65,-1 5-121,-1 5-184,2-5 24,-12 21-185,-3 5-159,-7 9 56,-1 13 72,23-48 216,-32 60-128,-4 10 48,-4 11 16,-5 8-8,45-89 72,-47 97-80,0 5 16,1 2 24,1 0 48,45-104-8,-39 97 56,-1-16 104,4-17 200,5-16 112,31-48-472,-24 37 521,6-7 23,4-8-144,11-7 48,3-15-448,-5 3 320,3-1-8,2-2-176,0 0-64,0 0-72,0 0 96,0 0-24,0-4 40,5-7-72,-5 11-40,12-16-16,0-5-40,1-9 24,2-4-64,-15 34 96,21-39-56,2 0-64,1-5 0,-1-3-32,-23 47 152,25-46-280,-6-1-32,4 6-40,-4 3 0,-19 38 352,21-33-272,-7 6 80,-2 6 32,-2 5 56,-10 16 104,5-13-169,-1 9-23,7 0-88,-11 2-56,0 2 336,0 0-200,0 0 96,-2 0 192,0 4 144,2-4-232,-4 5 152,1 9-64,-11-3-72,2 2 48,12-13-64,-7 16 0,-5-2 48,-2 0 16,2 0-24,12-14-40,-14 15 72,4-1-40,4 0 24,-11-1-88,17-13 32,-9 11 56,1-7 24,-9 14 0,6-7-16,11-11-64,-12 11 81,-4 1 7,2-1-80,0-7 64,14-4-72,-15 16 32,3-12-16,-4 9 48,-3-9 32,19-4-96,-14 5-32,-7 7 16,-3-9 0,0 9-16,24-12 32,-30 4 8,-5 7-16,-1-8-40,-4 8-32,40-11 80,-40 3-16,-7 9 48,4-8 56,-11 11 96,54-15-184,-57 13 304,-2 2 96,-5 2 80,8 0-24,56-17-456,-60 20 440,6 2-24,24-10 8,-1 2-32,31-14-392,-31 14 248,1 2-96,4-3-160,2 2-128,24-15 136,-14 13-256,0 1-120,14-2 40,19-10 32,-19-2 304,54 0-136,28-12 136,29-25 24,5-15-24,-116 52 0,132-65-16,17-13-64,16-10-88,15-12-192,-180 100 360,191-105-488,5-6-104,2-1 16,-2-2 151,-196 114 425,197-112-344,-9 4 48,-18 8-312,-21 11-696,-149 89 1304,130-81-1840,-24 10-1321,-26 10-592,-80 61 3753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7:10:50.8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2166 0 5385,'0'0'0,"-54"0"3416,-28 5-1567,82-5-1849,-113 20 1712,-2 5 9,-9 12-177,-13 9-240,137-46-1304,-145 51 1096,-10 8-175,-3 7-113,-4 1-72,162-67-736,-159 65 656,8-1-112,11-5-168,17-4-168,123-55-208,-108 48 96,21-5-152,24-9-72,18-8-112,45-26 240,-28 15-296,12-10-544,16-2-872,0-3-777,0 0 2489,9 0-3209,14-13-1808,12-9-1088,-35 22 6105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K58"/>
  <sheetViews>
    <sheetView rightToLeft="1" tabSelected="1" view="pageBreakPreview" topLeftCell="B1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225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2" t="s">
        <v>8</v>
      </c>
      <c r="C2" s="71" t="s">
        <v>38</v>
      </c>
      <c r="D2" s="71"/>
      <c r="E2" s="12" t="s">
        <v>7</v>
      </c>
      <c r="F2" s="66">
        <v>45953</v>
      </c>
      <c r="G2" s="66"/>
      <c r="H2" s="66"/>
      <c r="I2" s="66"/>
      <c r="J2" s="66"/>
    </row>
    <row r="3" spans="1:10" ht="30" customHeight="1" x14ac:dyDescent="0.3">
      <c r="B3" s="12" t="s">
        <v>9</v>
      </c>
      <c r="C3" s="71" t="s">
        <v>177</v>
      </c>
      <c r="D3" s="71"/>
      <c r="E3" s="12" t="s">
        <v>6</v>
      </c>
      <c r="F3" s="71" t="s">
        <v>141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7" t="s">
        <v>0</v>
      </c>
      <c r="C5" s="68"/>
      <c r="D5" s="68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8"/>
      <c r="J6" s="79"/>
    </row>
    <row r="7" spans="1:10" ht="24.9" customHeight="1" thickBot="1" x14ac:dyDescent="0.35">
      <c r="A7" s="10"/>
      <c r="B7" s="74" t="s">
        <v>21</v>
      </c>
      <c r="C7" s="75"/>
      <c r="D7" s="75"/>
      <c r="E7" s="28" t="s">
        <v>18</v>
      </c>
      <c r="F7" s="28" t="s">
        <v>19</v>
      </c>
      <c r="G7" s="28" t="s">
        <v>22</v>
      </c>
      <c r="H7" s="28" t="s">
        <v>20</v>
      </c>
      <c r="I7" s="80" t="s">
        <v>25</v>
      </c>
      <c r="J7" s="81"/>
    </row>
    <row r="8" spans="1:10" ht="30" customHeight="1" x14ac:dyDescent="0.3">
      <c r="A8" s="10"/>
      <c r="B8" s="43" t="s">
        <v>180</v>
      </c>
      <c r="C8" s="44"/>
      <c r="D8" s="44"/>
      <c r="E8" s="44"/>
      <c r="F8" s="44"/>
      <c r="G8" s="44"/>
      <c r="H8" s="44"/>
      <c r="I8" s="44"/>
      <c r="J8" s="45"/>
    </row>
    <row r="9" spans="1:10" ht="39.9" customHeight="1" x14ac:dyDescent="0.3">
      <c r="A9" s="10"/>
      <c r="B9" s="41" t="s">
        <v>181</v>
      </c>
      <c r="C9" s="42"/>
      <c r="D9" s="42"/>
      <c r="E9" s="9"/>
      <c r="F9" s="26"/>
      <c r="G9" s="30"/>
      <c r="H9" s="31"/>
      <c r="I9" s="46"/>
      <c r="J9" s="47"/>
    </row>
    <row r="10" spans="1:10" ht="72" customHeight="1" x14ac:dyDescent="0.3">
      <c r="A10" s="10"/>
      <c r="B10" s="37" t="s">
        <v>182</v>
      </c>
      <c r="C10" s="38"/>
      <c r="D10" s="38"/>
      <c r="E10" s="9">
        <v>5</v>
      </c>
      <c r="F10" s="26">
        <v>3.75</v>
      </c>
      <c r="G10" s="30">
        <f t="shared" ref="G10:G52" si="0">IFERROR(F10/E10,"")</f>
        <v>0.75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0" customHeight="1" x14ac:dyDescent="0.3">
      <c r="A11" s="10"/>
      <c r="B11" s="37" t="s">
        <v>183</v>
      </c>
      <c r="C11" s="38"/>
      <c r="D11" s="38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6"/>
      <c r="J11" s="47"/>
    </row>
    <row r="12" spans="1:10" ht="30" customHeight="1" x14ac:dyDescent="0.3">
      <c r="A12" s="10"/>
      <c r="B12" s="37" t="s">
        <v>184</v>
      </c>
      <c r="C12" s="38"/>
      <c r="D12" s="38"/>
      <c r="E12" s="9"/>
      <c r="F12" s="26"/>
      <c r="G12" s="30"/>
      <c r="H12" s="31"/>
      <c r="I12" s="46"/>
      <c r="J12" s="47"/>
    </row>
    <row r="13" spans="1:10" ht="75" customHeight="1" x14ac:dyDescent="0.3">
      <c r="A13" s="10"/>
      <c r="B13" s="35" t="s">
        <v>185</v>
      </c>
      <c r="C13" s="36"/>
      <c r="D13" s="36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6"/>
      <c r="J13" s="47"/>
    </row>
    <row r="14" spans="1:10" ht="39.9" customHeight="1" x14ac:dyDescent="0.3">
      <c r="A14" s="10"/>
      <c r="B14" s="35" t="s">
        <v>186</v>
      </c>
      <c r="C14" s="36"/>
      <c r="D14" s="36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6"/>
      <c r="J14" s="47"/>
    </row>
    <row r="15" spans="1:10" ht="62.25" customHeight="1" x14ac:dyDescent="0.3">
      <c r="A15" s="10"/>
      <c r="B15" s="35" t="s">
        <v>187</v>
      </c>
      <c r="C15" s="36"/>
      <c r="D15" s="36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6"/>
      <c r="J15" s="47"/>
    </row>
    <row r="16" spans="1:10" ht="39.9" customHeight="1" x14ac:dyDescent="0.3">
      <c r="A16" s="10"/>
      <c r="B16" s="35" t="s">
        <v>188</v>
      </c>
      <c r="C16" s="36"/>
      <c r="D16" s="36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6"/>
      <c r="J16" s="47"/>
    </row>
    <row r="17" spans="1:10" ht="39.9" customHeight="1" x14ac:dyDescent="0.3">
      <c r="A17" s="10"/>
      <c r="B17" s="35" t="s">
        <v>189</v>
      </c>
      <c r="C17" s="36"/>
      <c r="D17" s="36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6"/>
      <c r="J17" s="47"/>
    </row>
    <row r="18" spans="1:10" ht="62.25" customHeight="1" x14ac:dyDescent="0.3">
      <c r="A18" s="10"/>
      <c r="B18" s="37" t="s">
        <v>190</v>
      </c>
      <c r="C18" s="38"/>
      <c r="D18" s="38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6"/>
      <c r="J18" s="47"/>
    </row>
    <row r="19" spans="1:10" ht="39.9" customHeight="1" x14ac:dyDescent="0.3">
      <c r="A19" s="10"/>
      <c r="B19" s="37" t="s">
        <v>191</v>
      </c>
      <c r="C19" s="38"/>
      <c r="D19" s="38"/>
      <c r="E19" s="9"/>
      <c r="F19" s="26"/>
      <c r="G19" s="30"/>
      <c r="H19" s="31"/>
      <c r="I19" s="46"/>
      <c r="J19" s="47"/>
    </row>
    <row r="20" spans="1:10" ht="30" customHeight="1" x14ac:dyDescent="0.3">
      <c r="A20" s="10"/>
      <c r="B20" s="35" t="s">
        <v>192</v>
      </c>
      <c r="C20" s="36"/>
      <c r="D20" s="36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6"/>
      <c r="J20" s="47"/>
    </row>
    <row r="21" spans="1:10" ht="30" customHeight="1" x14ac:dyDescent="0.3">
      <c r="A21" s="10"/>
      <c r="B21" s="35" t="s">
        <v>193</v>
      </c>
      <c r="C21" s="36"/>
      <c r="D21" s="36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6"/>
      <c r="J21" s="47"/>
    </row>
    <row r="22" spans="1:10" ht="30" customHeight="1" x14ac:dyDescent="0.3">
      <c r="A22" s="10"/>
      <c r="B22" s="35" t="s">
        <v>194</v>
      </c>
      <c r="C22" s="36"/>
      <c r="D22" s="36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6"/>
      <c r="J22" s="47"/>
    </row>
    <row r="23" spans="1:10" ht="30" customHeight="1" thickBot="1" x14ac:dyDescent="0.35">
      <c r="A23" s="10"/>
      <c r="B23" s="39" t="s">
        <v>195</v>
      </c>
      <c r="C23" s="40"/>
      <c r="D23" s="40"/>
      <c r="E23" s="32">
        <v>5</v>
      </c>
      <c r="F23" s="27">
        <v>3.75</v>
      </c>
      <c r="G23" s="33">
        <f t="shared" si="0"/>
        <v>0.75</v>
      </c>
      <c r="H23" s="34" t="str">
        <f t="shared" si="1"/>
        <v>جيد</v>
      </c>
      <c r="I23" s="48"/>
      <c r="J23" s="49"/>
    </row>
    <row r="24" spans="1:10" ht="30" customHeight="1" x14ac:dyDescent="0.3">
      <c r="A24" s="10"/>
      <c r="B24" s="43" t="s">
        <v>196</v>
      </c>
      <c r="C24" s="44"/>
      <c r="D24" s="44"/>
      <c r="E24" s="44"/>
      <c r="F24" s="44"/>
      <c r="G24" s="44"/>
      <c r="H24" s="44"/>
      <c r="I24" s="44"/>
      <c r="J24" s="45"/>
    </row>
    <row r="25" spans="1:10" ht="30" customHeight="1" x14ac:dyDescent="0.3">
      <c r="A25" s="10"/>
      <c r="B25" s="41" t="s">
        <v>197</v>
      </c>
      <c r="C25" s="42"/>
      <c r="D25" s="42"/>
      <c r="E25" s="9"/>
      <c r="F25" s="26"/>
      <c r="G25" s="30"/>
      <c r="H25" s="31"/>
      <c r="I25" s="46"/>
      <c r="J25" s="47"/>
    </row>
    <row r="26" spans="1:10" ht="39.9" customHeight="1" x14ac:dyDescent="0.3">
      <c r="A26" s="10"/>
      <c r="B26" s="37" t="s">
        <v>198</v>
      </c>
      <c r="C26" s="38"/>
      <c r="D26" s="38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6"/>
      <c r="J26" s="47"/>
    </row>
    <row r="27" spans="1:10" ht="30" customHeight="1" x14ac:dyDescent="0.3">
      <c r="A27" s="10"/>
      <c r="B27" s="37" t="s">
        <v>199</v>
      </c>
      <c r="C27" s="38"/>
      <c r="D27" s="38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6"/>
      <c r="J27" s="47"/>
    </row>
    <row r="28" spans="1:10" ht="30" customHeight="1" x14ac:dyDescent="0.3">
      <c r="A28" s="10"/>
      <c r="B28" s="37" t="s">
        <v>200</v>
      </c>
      <c r="C28" s="38"/>
      <c r="D28" s="38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46"/>
      <c r="J28" s="47"/>
    </row>
    <row r="29" spans="1:10" ht="30" customHeight="1" x14ac:dyDescent="0.3">
      <c r="A29" s="10"/>
      <c r="B29" s="41" t="s">
        <v>201</v>
      </c>
      <c r="C29" s="42"/>
      <c r="D29" s="42"/>
      <c r="E29" s="9"/>
      <c r="F29" s="26"/>
      <c r="G29" s="30"/>
      <c r="H29" s="31"/>
      <c r="I29" s="46"/>
      <c r="J29" s="47"/>
    </row>
    <row r="30" spans="1:10" ht="30" customHeight="1" x14ac:dyDescent="0.3">
      <c r="A30" s="10"/>
      <c r="B30" s="37" t="s">
        <v>202</v>
      </c>
      <c r="C30" s="38"/>
      <c r="D30" s="38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6"/>
      <c r="J30" s="47"/>
    </row>
    <row r="31" spans="1:10" ht="30" customHeight="1" x14ac:dyDescent="0.3">
      <c r="A31" s="10"/>
      <c r="B31" s="37" t="s">
        <v>203</v>
      </c>
      <c r="C31" s="38"/>
      <c r="D31" s="38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6"/>
      <c r="J31" s="47"/>
    </row>
    <row r="32" spans="1:10" ht="30" customHeight="1" x14ac:dyDescent="0.3">
      <c r="A32" s="10"/>
      <c r="B32" s="37" t="s">
        <v>204</v>
      </c>
      <c r="C32" s="38"/>
      <c r="D32" s="38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6"/>
      <c r="J32" s="47"/>
    </row>
    <row r="33" spans="1:10" ht="30" customHeight="1" x14ac:dyDescent="0.3">
      <c r="A33" s="10"/>
      <c r="B33" s="37" t="s">
        <v>205</v>
      </c>
      <c r="C33" s="38"/>
      <c r="D33" s="38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46"/>
      <c r="J33" s="47"/>
    </row>
    <row r="34" spans="1:10" ht="30" customHeight="1" thickBot="1" x14ac:dyDescent="0.35">
      <c r="A34" s="10"/>
      <c r="B34" s="39" t="s">
        <v>206</v>
      </c>
      <c r="C34" s="40"/>
      <c r="D34" s="40"/>
      <c r="E34" s="32">
        <v>5</v>
      </c>
      <c r="F34" s="27">
        <v>3.5</v>
      </c>
      <c r="G34" s="33">
        <f t="shared" si="0"/>
        <v>0.7</v>
      </c>
      <c r="H34" s="34" t="str">
        <f t="shared" si="1"/>
        <v>جيد</v>
      </c>
      <c r="I34" s="48"/>
      <c r="J34" s="49"/>
    </row>
    <row r="35" spans="1:10" ht="30" customHeight="1" x14ac:dyDescent="0.3">
      <c r="A35" s="10"/>
      <c r="B35" s="43" t="s">
        <v>207</v>
      </c>
      <c r="C35" s="44"/>
      <c r="D35" s="44"/>
      <c r="E35" s="44"/>
      <c r="F35" s="44"/>
      <c r="G35" s="44"/>
      <c r="H35" s="44"/>
      <c r="I35" s="44"/>
      <c r="J35" s="45"/>
    </row>
    <row r="36" spans="1:10" ht="39.9" customHeight="1" x14ac:dyDescent="0.3">
      <c r="A36" s="10"/>
      <c r="B36" s="41" t="s">
        <v>208</v>
      </c>
      <c r="C36" s="42"/>
      <c r="D36" s="42"/>
      <c r="E36" s="9"/>
      <c r="F36" s="26"/>
      <c r="G36" s="30"/>
      <c r="H36" s="31"/>
      <c r="I36" s="46"/>
      <c r="J36" s="47"/>
    </row>
    <row r="37" spans="1:10" ht="39.9" customHeight="1" x14ac:dyDescent="0.3">
      <c r="A37" s="10"/>
      <c r="B37" s="37" t="s">
        <v>209</v>
      </c>
      <c r="C37" s="38"/>
      <c r="D37" s="38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46"/>
      <c r="J37" s="47"/>
    </row>
    <row r="38" spans="1:10" ht="39.9" customHeight="1" x14ac:dyDescent="0.3">
      <c r="A38" s="10"/>
      <c r="B38" s="37" t="s">
        <v>210</v>
      </c>
      <c r="C38" s="38"/>
      <c r="D38" s="38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46"/>
      <c r="J38" s="47"/>
    </row>
    <row r="39" spans="1:10" ht="30" customHeight="1" x14ac:dyDescent="0.3">
      <c r="A39" s="10"/>
      <c r="B39" s="37" t="s">
        <v>211</v>
      </c>
      <c r="C39" s="38"/>
      <c r="D39" s="38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46"/>
      <c r="J39" s="47"/>
    </row>
    <row r="40" spans="1:10" ht="30" customHeight="1" x14ac:dyDescent="0.3">
      <c r="A40" s="10"/>
      <c r="B40" s="37" t="s">
        <v>212</v>
      </c>
      <c r="C40" s="38"/>
      <c r="D40" s="38"/>
      <c r="E40" s="9">
        <v>5</v>
      </c>
      <c r="F40" s="26">
        <v>3.5</v>
      </c>
      <c r="G40" s="30">
        <f t="shared" si="0"/>
        <v>0.7</v>
      </c>
      <c r="H40" s="31" t="str">
        <f t="shared" si="1"/>
        <v>جيد</v>
      </c>
      <c r="I40" s="46"/>
      <c r="J40" s="47"/>
    </row>
    <row r="41" spans="1:10" ht="39.9" customHeight="1" x14ac:dyDescent="0.3">
      <c r="A41" s="10"/>
      <c r="B41" s="41" t="s">
        <v>213</v>
      </c>
      <c r="C41" s="42"/>
      <c r="D41" s="42"/>
      <c r="E41" s="9">
        <v>5</v>
      </c>
      <c r="F41" s="26">
        <v>3.5</v>
      </c>
      <c r="G41" s="30">
        <f t="shared" si="0"/>
        <v>0.7</v>
      </c>
      <c r="H41" s="31" t="str">
        <f t="shared" si="1"/>
        <v>جيد</v>
      </c>
      <c r="I41" s="46"/>
      <c r="J41" s="47"/>
    </row>
    <row r="42" spans="1:10" ht="30" customHeight="1" x14ac:dyDescent="0.3">
      <c r="A42" s="10"/>
      <c r="B42" s="41" t="s">
        <v>214</v>
      </c>
      <c r="C42" s="42"/>
      <c r="D42" s="42"/>
      <c r="E42" s="9"/>
      <c r="F42" s="26"/>
      <c r="G42" s="30"/>
      <c r="H42" s="31"/>
      <c r="I42" s="46"/>
      <c r="J42" s="47"/>
    </row>
    <row r="43" spans="1:10" ht="30" customHeight="1" x14ac:dyDescent="0.3">
      <c r="A43" s="10"/>
      <c r="B43" s="37" t="s">
        <v>215</v>
      </c>
      <c r="C43" s="38"/>
      <c r="D43" s="38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46"/>
      <c r="J43" s="47"/>
    </row>
    <row r="44" spans="1:10" ht="30" customHeight="1" x14ac:dyDescent="0.3">
      <c r="A44" s="10"/>
      <c r="B44" s="37" t="s">
        <v>216</v>
      </c>
      <c r="C44" s="38"/>
      <c r="D44" s="38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46"/>
      <c r="J44" s="47"/>
    </row>
    <row r="45" spans="1:10" ht="30" customHeight="1" x14ac:dyDescent="0.3">
      <c r="A45" s="10"/>
      <c r="B45" s="37" t="s">
        <v>217</v>
      </c>
      <c r="C45" s="38"/>
      <c r="D45" s="38"/>
      <c r="E45" s="9">
        <v>5</v>
      </c>
      <c r="F45" s="26">
        <v>3.5</v>
      </c>
      <c r="G45" s="30">
        <f t="shared" si="0"/>
        <v>0.7</v>
      </c>
      <c r="H45" s="31" t="str">
        <f t="shared" si="1"/>
        <v>جيد</v>
      </c>
      <c r="I45" s="46"/>
      <c r="J45" s="47"/>
    </row>
    <row r="46" spans="1:10" ht="30" customHeight="1" x14ac:dyDescent="0.3">
      <c r="A46" s="10"/>
      <c r="B46" s="37" t="s">
        <v>218</v>
      </c>
      <c r="C46" s="38"/>
      <c r="D46" s="38"/>
      <c r="E46" s="9">
        <v>5</v>
      </c>
      <c r="F46" s="26">
        <v>3.5</v>
      </c>
      <c r="G46" s="30">
        <f t="shared" si="0"/>
        <v>0.7</v>
      </c>
      <c r="H46" s="31" t="str">
        <f t="shared" si="1"/>
        <v>جيد</v>
      </c>
      <c r="I46" s="46"/>
      <c r="J46" s="47"/>
    </row>
    <row r="47" spans="1:10" ht="39.9" customHeight="1" x14ac:dyDescent="0.3">
      <c r="A47" s="10"/>
      <c r="B47" s="37" t="s">
        <v>219</v>
      </c>
      <c r="C47" s="38"/>
      <c r="D47" s="38"/>
      <c r="E47" s="9"/>
      <c r="F47" s="26"/>
      <c r="G47" s="30"/>
      <c r="H47" s="31"/>
      <c r="I47" s="46"/>
      <c r="J47" s="47"/>
    </row>
    <row r="48" spans="1:10" ht="39.9" customHeight="1" x14ac:dyDescent="0.3">
      <c r="A48" s="10"/>
      <c r="B48" s="35" t="s">
        <v>220</v>
      </c>
      <c r="C48" s="36"/>
      <c r="D48" s="36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46"/>
      <c r="J48" s="47"/>
    </row>
    <row r="49" spans="1:11" ht="60" customHeight="1" x14ac:dyDescent="0.3">
      <c r="A49" s="10"/>
      <c r="B49" s="35" t="s">
        <v>221</v>
      </c>
      <c r="C49" s="36"/>
      <c r="D49" s="36"/>
      <c r="E49" s="9">
        <v>5</v>
      </c>
      <c r="F49" s="26">
        <v>3.5</v>
      </c>
      <c r="G49" s="30">
        <f t="shared" si="0"/>
        <v>0.7</v>
      </c>
      <c r="H49" s="31" t="str">
        <f t="shared" si="1"/>
        <v>جيد</v>
      </c>
      <c r="I49" s="46"/>
      <c r="J49" s="47"/>
    </row>
    <row r="50" spans="1:11" ht="39.9" customHeight="1" x14ac:dyDescent="0.3">
      <c r="A50" s="10"/>
      <c r="B50" s="35" t="s">
        <v>222</v>
      </c>
      <c r="C50" s="36"/>
      <c r="D50" s="36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46"/>
      <c r="J50" s="47"/>
    </row>
    <row r="51" spans="1:11" ht="30" customHeight="1" x14ac:dyDescent="0.3">
      <c r="A51" s="10"/>
      <c r="B51" s="37" t="s">
        <v>223</v>
      </c>
      <c r="C51" s="38"/>
      <c r="D51" s="38"/>
      <c r="E51" s="9">
        <v>5</v>
      </c>
      <c r="F51" s="26">
        <v>3.5</v>
      </c>
      <c r="G51" s="30">
        <f t="shared" si="0"/>
        <v>0.7</v>
      </c>
      <c r="H51" s="31" t="str">
        <f t="shared" si="1"/>
        <v>جيد</v>
      </c>
      <c r="I51" s="46"/>
      <c r="J51" s="47"/>
    </row>
    <row r="52" spans="1:11" ht="30" customHeight="1" thickBot="1" x14ac:dyDescent="0.35">
      <c r="A52" s="10"/>
      <c r="B52" s="39" t="s">
        <v>224</v>
      </c>
      <c r="C52" s="40"/>
      <c r="D52" s="40"/>
      <c r="E52" s="32">
        <v>5</v>
      </c>
      <c r="F52" s="27">
        <v>3.75</v>
      </c>
      <c r="G52" s="33">
        <f t="shared" si="0"/>
        <v>0.75</v>
      </c>
      <c r="H52" s="34" t="str">
        <f t="shared" si="1"/>
        <v>جيد</v>
      </c>
      <c r="I52" s="48"/>
      <c r="J52" s="49"/>
    </row>
    <row r="53" spans="1:11" ht="30" customHeight="1" thickBot="1" x14ac:dyDescent="0.35">
      <c r="A53" s="4"/>
      <c r="B53" s="50" t="s">
        <v>5</v>
      </c>
      <c r="C53" s="51"/>
      <c r="D53" s="51"/>
      <c r="E53" s="29">
        <f>SUM(E8:E52)</f>
        <v>170</v>
      </c>
      <c r="F53" s="29">
        <f>SUM(F8:F52)</f>
        <v>122.75</v>
      </c>
      <c r="G53" s="62"/>
      <c r="H53" s="63"/>
      <c r="I53" s="63"/>
      <c r="J53" s="64"/>
    </row>
    <row r="54" spans="1:11" ht="30" customHeight="1" thickBot="1" x14ac:dyDescent="0.35">
      <c r="A54" s="4"/>
      <c r="B54" s="52" t="s">
        <v>54</v>
      </c>
      <c r="C54" s="53"/>
      <c r="D54" s="53"/>
      <c r="E54" s="72">
        <f>F53/E53/100*100</f>
        <v>0.72205882352941175</v>
      </c>
      <c r="F54" s="72"/>
      <c r="G54" s="72"/>
      <c r="H54" s="72"/>
      <c r="I54" s="72"/>
      <c r="J54" s="73"/>
    </row>
    <row r="55" spans="1:11" ht="30" customHeight="1" thickBot="1" x14ac:dyDescent="0.35">
      <c r="A55" s="4"/>
      <c r="B55" s="52" t="s">
        <v>55</v>
      </c>
      <c r="C55" s="53"/>
      <c r="D55" s="53"/>
      <c r="E55" s="58" t="str">
        <f>_xlfn.IFS(E54&gt;=90%,"ممتاز",E54&gt;=80%,"جيد جداً",E54&gt;=70%,"جيد",E54&gt;=60%,"مقبول",E54&lt;60%,"راسب")</f>
        <v>جيد</v>
      </c>
      <c r="F55" s="58"/>
      <c r="G55" s="58"/>
      <c r="H55" s="58"/>
      <c r="I55" s="58"/>
      <c r="J55" s="59"/>
    </row>
    <row r="56" spans="1:11" ht="42" customHeight="1" x14ac:dyDescent="0.3">
      <c r="B56" s="54" t="s">
        <v>174</v>
      </c>
      <c r="C56" s="54"/>
      <c r="D56" s="54"/>
      <c r="E56" s="60" t="s">
        <v>52</v>
      </c>
      <c r="F56" s="60"/>
      <c r="G56" s="56" t="s">
        <v>141</v>
      </c>
      <c r="H56" s="56"/>
      <c r="I56" s="56"/>
      <c r="J56" s="56"/>
    </row>
    <row r="57" spans="1:11" ht="51" customHeight="1" x14ac:dyDescent="0.3">
      <c r="A57" s="5"/>
      <c r="B57" s="55"/>
      <c r="C57" s="55"/>
      <c r="D57" s="55"/>
      <c r="E57" s="61" t="s">
        <v>53</v>
      </c>
      <c r="F57" s="61"/>
      <c r="G57" s="57"/>
      <c r="H57" s="57"/>
      <c r="I57" s="57"/>
      <c r="J57" s="57"/>
    </row>
    <row r="58" spans="1:11" x14ac:dyDescent="0.3">
      <c r="K58" s="1" t="s">
        <v>226</v>
      </c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B26:D26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B27:D27"/>
    <mergeCell ref="B28:D28"/>
    <mergeCell ref="B29:D29"/>
    <mergeCell ref="B30:D30"/>
    <mergeCell ref="B31:D31"/>
    <mergeCell ref="B46:D46"/>
    <mergeCell ref="B47:D47"/>
    <mergeCell ref="B48:D48"/>
    <mergeCell ref="B49:D49"/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I32:J32"/>
    <mergeCell ref="I33:J33"/>
    <mergeCell ref="I34:J34"/>
    <mergeCell ref="I36:J3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4 F36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4 H36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2025-10-27T22:22:51Z</dcterms:modified>
</cp:coreProperties>
</file>