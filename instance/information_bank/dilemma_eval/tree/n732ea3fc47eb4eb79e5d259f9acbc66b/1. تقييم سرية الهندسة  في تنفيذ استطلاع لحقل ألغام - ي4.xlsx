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1" i="2"/>
  <c r="H11" i="2" s="1"/>
  <c r="G12" i="2"/>
  <c r="H12" i="2" s="1"/>
  <c r="G13" i="2"/>
  <c r="H13" i="2" s="1"/>
  <c r="G14" i="2"/>
  <c r="H14" i="2" s="1"/>
  <c r="G15" i="2"/>
  <c r="H15" i="2" s="1"/>
  <c r="G16" i="2"/>
  <c r="H16" i="2" s="1"/>
  <c r="G18" i="2"/>
  <c r="H18" i="2" s="1"/>
  <c r="G19" i="2"/>
  <c r="H19" i="2" s="1"/>
  <c r="G20" i="2"/>
  <c r="H20" i="2" s="1"/>
  <c r="G21" i="2"/>
  <c r="H21" i="2" s="1"/>
  <c r="G22" i="2"/>
  <c r="H22" i="2" s="1"/>
  <c r="G24" i="2"/>
  <c r="H24" i="2" s="1"/>
  <c r="G25" i="2"/>
  <c r="H25" i="2" s="1"/>
  <c r="G26" i="2"/>
  <c r="H26" i="2" s="1"/>
  <c r="G27" i="2"/>
  <c r="H27" i="2" s="1"/>
  <c r="G28" i="2"/>
  <c r="H28" i="2" s="1"/>
  <c r="G29" i="2"/>
  <c r="H29" i="2" s="1"/>
  <c r="G30" i="2"/>
  <c r="H30" i="2" s="1"/>
  <c r="G31" i="2"/>
  <c r="H31" i="2" s="1"/>
  <c r="G32" i="2"/>
  <c r="H32" i="2" s="1"/>
  <c r="F33" i="2" l="1"/>
  <c r="E33" i="2" l="1"/>
  <c r="E34" i="2" l="1"/>
  <c r="E35" i="2" s="1"/>
</calcChain>
</file>

<file path=xl/sharedStrings.xml><?xml version="1.0" encoding="utf-8"?>
<sst xmlns="http://schemas.openxmlformats.org/spreadsheetml/2006/main" count="76" uniqueCount="54">
  <si>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</si>
  <si>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</si>
  <si>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</si>
  <si>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</si>
  <si>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</si>
  <si>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</si>
  <si>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</si>
  <si>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</si>
  <si>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</si>
  <si>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</si>
  <si>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</si>
  <si>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</si>
  <si>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</si>
  <si>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</si>
  <si>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</si>
  <si>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</si>
  <si>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</si>
  <si>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</si>
  <si>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</si>
  <si>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</si>
  <si>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</si>
  <si>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</si>
  <si>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</si>
  <si>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</si>
  <si>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</si>
  <si>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</si>
  <si>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</si>
  <si>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</si>
  <si>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</si>
  <si>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r>
      <t>1.</t>
    </r>
    <r>
      <rPr>
        <sz val="7"/>
        <color rgb="FF000000"/>
        <rFont val="Times New Roman"/>
        <family val="1"/>
      </rPr>
      <t xml:space="preserve">        </t>
    </r>
    <r>
      <rPr>
        <sz val="12"/>
        <color rgb="FF000000"/>
        <rFont val="Arial"/>
        <family val="2"/>
      </rPr>
      <t>دراسة موقف العدو والذي يشمل قدرة أنظمة أسلحة العدو المحتملة للتأثير على الممر.</t>
    </r>
  </si>
  <si>
    <r>
      <t>2.</t>
    </r>
    <r>
      <rPr>
        <sz val="7"/>
        <color rgb="FF000000"/>
        <rFont val="Times New Roman"/>
        <family val="1"/>
      </rPr>
      <t xml:space="preserve">        </t>
    </r>
    <r>
      <rPr>
        <sz val="12"/>
        <color rgb="FF000000"/>
        <rFont val="Arial"/>
        <family val="2"/>
      </rPr>
      <t>معرفة نشاطات العدو السابقة والحالية عبر الممر المخطط له.</t>
    </r>
  </si>
  <si>
    <r>
      <t>3.</t>
    </r>
    <r>
      <rPr>
        <sz val="7"/>
        <color rgb="FF000000"/>
        <rFont val="Times New Roman"/>
        <family val="1"/>
      </rPr>
      <t xml:space="preserve">        </t>
    </r>
    <r>
      <rPr>
        <sz val="12"/>
        <color rgb="FF000000"/>
        <rFont val="Arial"/>
        <family val="2"/>
      </rPr>
      <t>تحديد إجراءات السيطرة مثل نقطة البدء والحدود ونقطة الانطلاق وسرعة التقدم.</t>
    </r>
  </si>
  <si>
    <r>
      <t>4.</t>
    </r>
    <r>
      <rPr>
        <sz val="7"/>
        <color rgb="FF000000"/>
        <rFont val="Times New Roman"/>
        <family val="1"/>
      </rPr>
      <t xml:space="preserve">        </t>
    </r>
    <r>
      <rPr>
        <sz val="12"/>
        <color rgb="FF000000"/>
        <rFont val="Arial"/>
        <family val="2"/>
      </rPr>
      <t>معرفة موقف المدنيين ضمن المنطقة والذي يشمل القوات غير التقليدية (الميلشيات والقوات شبه العسكرية)، العصابات الإجرامية المنظمة ونشاطاتها، الجماعات (الطوائف) ومعلومات عن قادتها، الأماكن، التأليف والتوزيعات للعناصر الصديقة المعروفة والمحايدة والتهديدات.</t>
    </r>
  </si>
  <si>
    <r>
      <t>5.</t>
    </r>
    <r>
      <rPr>
        <sz val="7"/>
        <color rgb="FF000000"/>
        <rFont val="Times New Roman"/>
        <family val="1"/>
      </rPr>
      <t xml:space="preserve">        </t>
    </r>
    <r>
      <rPr>
        <sz val="12"/>
        <color rgb="FF000000"/>
        <rFont val="Arial"/>
        <family val="2"/>
      </rPr>
      <t>دراسة طبيعة الأرض وتشمل (المراقبة وميادين الرمي، المقتربات، الأرض الحاكمة والحاسمة، الموانع، التخفية والتستر).</t>
    </r>
  </si>
  <si>
    <r>
      <t>6.</t>
    </r>
    <r>
      <rPr>
        <sz val="7"/>
        <color rgb="FF000000"/>
        <rFont val="Times New Roman"/>
        <family val="1"/>
      </rPr>
      <t xml:space="preserve">        </t>
    </r>
    <r>
      <rPr>
        <sz val="12"/>
        <color rgb="FF000000"/>
        <rFont val="Arial"/>
        <family val="2"/>
      </rPr>
      <t>دراسة تأثيرات الطقس على حالة وقدرات الأفراد وأنظمة الأسلحة بما في ذلك إمكانية حركة المرور والرؤية.</t>
    </r>
  </si>
  <si>
    <r>
      <t>7.</t>
    </r>
    <r>
      <rPr>
        <sz val="7"/>
        <color rgb="FF000000"/>
        <rFont val="Times New Roman"/>
        <family val="1"/>
      </rPr>
      <t xml:space="preserve">        </t>
    </r>
    <r>
      <rPr>
        <sz val="12"/>
        <color rgb="FF000000"/>
        <rFont val="Arial"/>
        <family val="2"/>
      </rPr>
      <t>معرفة قصد قائد المستوى الأعلى من تنفيذ عملية الاستطلاع.</t>
    </r>
  </si>
  <si>
    <r>
      <t>8.</t>
    </r>
    <r>
      <rPr>
        <sz val="7"/>
        <color rgb="FF000000"/>
        <rFont val="Times New Roman"/>
        <family val="1"/>
      </rPr>
      <t xml:space="preserve">        </t>
    </r>
    <r>
      <rPr>
        <sz val="12"/>
        <color rgb="FF000000"/>
        <rFont val="Arial"/>
        <family val="2"/>
      </rPr>
      <t>تحديد قواعد الاشتباك.</t>
    </r>
  </si>
  <si>
    <t>إجراءات التحضير.</t>
  </si>
  <si>
    <r>
      <t>1.</t>
    </r>
    <r>
      <rPr>
        <sz val="7"/>
        <color rgb="FF000000"/>
        <rFont val="Times New Roman"/>
        <family val="1"/>
      </rPr>
      <t xml:space="preserve">        </t>
    </r>
    <r>
      <rPr>
        <u/>
        <sz val="12"/>
        <color rgb="FF000000"/>
        <rFont val="Arial"/>
        <family val="2"/>
      </rPr>
      <t>الأفراد</t>
    </r>
    <r>
      <rPr>
        <sz val="12"/>
        <color rgb="FF000000"/>
        <rFont val="Arial"/>
        <family val="2"/>
      </rPr>
      <t>. تحضير المعدات، الملابس، الأرزاق والمياه، الأسلحة الخفيفة والمتوسطة.</t>
    </r>
  </si>
  <si>
    <r>
      <t>2.</t>
    </r>
    <r>
      <rPr>
        <sz val="7"/>
        <color rgb="FF000000"/>
        <rFont val="Times New Roman"/>
        <family val="1"/>
      </rPr>
      <t xml:space="preserve">        </t>
    </r>
    <r>
      <rPr>
        <u/>
        <sz val="12"/>
        <color rgb="FF000000"/>
        <rFont val="Arial"/>
        <family val="2"/>
      </rPr>
      <t>المعدات</t>
    </r>
    <r>
      <rPr>
        <sz val="12"/>
        <color rgb="FF000000"/>
        <rFont val="Arial"/>
        <family val="2"/>
      </rPr>
      <t>. صلاحية المعدات وتوفير المعدات الخاصة (مجسات، مصابيح، أدوات حفر، أدوات قطع الأسلاك ، وغير ذلك).</t>
    </r>
  </si>
  <si>
    <r>
      <t>3.</t>
    </r>
    <r>
      <rPr>
        <sz val="7"/>
        <color rgb="FF000000"/>
        <rFont val="Times New Roman"/>
        <family val="1"/>
      </rPr>
      <t xml:space="preserve">        </t>
    </r>
    <r>
      <rPr>
        <u/>
        <sz val="12"/>
        <color rgb="FF000000"/>
        <rFont val="Arial"/>
        <family val="2"/>
      </rPr>
      <t>الأسلحة</t>
    </r>
    <r>
      <rPr>
        <sz val="12"/>
        <color rgb="FF000000"/>
        <rFont val="Arial"/>
        <family val="2"/>
      </rPr>
      <t>. فحص الأسلحة، تعبئة الذخيرة، الصلاحية والصيانة.</t>
    </r>
  </si>
  <si>
    <r>
      <t>4.</t>
    </r>
    <r>
      <rPr>
        <sz val="7"/>
        <color rgb="FF000000"/>
        <rFont val="Times New Roman"/>
        <family val="1"/>
      </rPr>
      <t xml:space="preserve">        </t>
    </r>
    <r>
      <rPr>
        <u/>
        <sz val="12"/>
        <color rgb="FF000000"/>
        <rFont val="Arial"/>
        <family val="2"/>
      </rPr>
      <t>الآليات</t>
    </r>
    <r>
      <rPr>
        <sz val="12"/>
        <color rgb="FF000000"/>
        <rFont val="Arial"/>
        <family val="2"/>
      </rPr>
      <t>. تنفيذ اصلاح الأعطال، تعبئة خزانات الوقود، تحميل كافة الآليات وفقاً لخطة التحميل وخطة الإدامة والإمدادات. فحص أجهزة الاتصالات في كافة الآليات قبل البدء بالحركة.</t>
    </r>
  </si>
  <si>
    <r>
      <t>5.</t>
    </r>
    <r>
      <rPr>
        <sz val="7"/>
        <color rgb="FF000000"/>
        <rFont val="Times New Roman"/>
        <family val="1"/>
      </rPr>
      <t xml:space="preserve">        </t>
    </r>
    <r>
      <rPr>
        <sz val="12"/>
        <color rgb="FF000000"/>
        <rFont val="Arial"/>
        <family val="2"/>
      </rPr>
      <t>قبل بدء عملية الاستطلاع ينسق قائد سرية الهندسة مع قيادة مجموعة اللواء التالي: وقت ومكان البدء واتجاه الاستطلاع والتأليف، والطرق للاستطلاع في منطقة العمليات.</t>
    </r>
  </si>
  <si>
    <t>إجراءات التنفيذ.</t>
  </si>
  <si>
    <r>
      <t>1.</t>
    </r>
    <r>
      <rPr>
        <sz val="7"/>
        <color rgb="FF000000"/>
        <rFont val="Times New Roman"/>
        <family val="1"/>
      </rPr>
      <t xml:space="preserve">        </t>
    </r>
    <r>
      <rPr>
        <sz val="12"/>
        <color rgb="FF000000"/>
        <rFont val="Arial"/>
        <family val="2"/>
      </rPr>
      <t>تتحرك السرية إلى نقطة الانطلاق وتستعد لبدء تنفيذ المهمة.</t>
    </r>
  </si>
  <si>
    <r>
      <t>2.</t>
    </r>
    <r>
      <rPr>
        <sz val="7"/>
        <color rgb="FF000000"/>
        <rFont val="Times New Roman"/>
        <family val="1"/>
      </rPr>
      <t xml:space="preserve">        </t>
    </r>
    <r>
      <rPr>
        <sz val="12"/>
        <color rgb="FF000000"/>
        <rFont val="Arial"/>
        <family val="2"/>
      </rPr>
      <t>توضيع وتمويه آليات الاستطلاع.</t>
    </r>
  </si>
  <si>
    <r>
      <t>3.</t>
    </r>
    <r>
      <rPr>
        <sz val="7"/>
        <color rgb="FF000000"/>
        <rFont val="Times New Roman"/>
        <family val="1"/>
      </rPr>
      <t xml:space="preserve">        </t>
    </r>
    <r>
      <rPr>
        <sz val="12"/>
        <color rgb="FF000000"/>
        <rFont val="Arial"/>
        <family val="2"/>
      </rPr>
      <t>معرفة طول حقل الألغام المعادي وعمقه.</t>
    </r>
  </si>
  <si>
    <r>
      <t>4.</t>
    </r>
    <r>
      <rPr>
        <sz val="7"/>
        <color rgb="FF000000"/>
        <rFont val="Times New Roman"/>
        <family val="1"/>
      </rPr>
      <t xml:space="preserve">        </t>
    </r>
    <r>
      <rPr>
        <sz val="12"/>
        <color rgb="FF000000"/>
        <rFont val="Arial"/>
        <family val="2"/>
      </rPr>
      <t>معرفة كثافة الحقل ونوعه.</t>
    </r>
  </si>
  <si>
    <r>
      <t>5.</t>
    </r>
    <r>
      <rPr>
        <sz val="7"/>
        <color rgb="FF000000"/>
        <rFont val="Times New Roman"/>
        <family val="1"/>
      </rPr>
      <t xml:space="preserve">        </t>
    </r>
    <r>
      <rPr>
        <sz val="12"/>
        <color rgb="FF000000"/>
        <rFont val="Arial"/>
        <family val="2"/>
      </rPr>
      <t>تحديد نوع الألغام الموجودة في الحقل.</t>
    </r>
  </si>
  <si>
    <r>
      <t>6.</t>
    </r>
    <r>
      <rPr>
        <sz val="7"/>
        <color rgb="FF000000"/>
        <rFont val="Times New Roman"/>
        <family val="1"/>
      </rPr>
      <t xml:space="preserve">        </t>
    </r>
    <r>
      <rPr>
        <sz val="12"/>
        <color rgb="FF000000"/>
        <rFont val="Arial"/>
        <family val="2"/>
      </rPr>
      <t>تعبية نموذج الاستطلاع الخاص.</t>
    </r>
  </si>
  <si>
    <r>
      <t>7.</t>
    </r>
    <r>
      <rPr>
        <sz val="7"/>
        <color rgb="FF000000"/>
        <rFont val="Times New Roman"/>
        <family val="1"/>
      </rPr>
      <t xml:space="preserve">        </t>
    </r>
    <r>
      <rPr>
        <sz val="12"/>
        <color rgb="FF000000"/>
        <rFont val="Arial"/>
        <family val="2"/>
      </rPr>
      <t>رسم مخطط للحقل الألغام وإرساله إلى القيادة الأعلى.</t>
    </r>
  </si>
  <si>
    <r>
      <t>8.</t>
    </r>
    <r>
      <rPr>
        <sz val="7"/>
        <color rgb="FF000000"/>
        <rFont val="Times New Roman"/>
        <family val="1"/>
      </rPr>
      <t xml:space="preserve">        </t>
    </r>
    <r>
      <rPr>
        <sz val="12"/>
        <color rgb="FF000000"/>
        <rFont val="Arial"/>
        <family val="2"/>
      </rPr>
      <t>التأكد من عدم ترك أية آثار تدلل على عملية الاستطلاع.</t>
    </r>
  </si>
  <si>
    <r>
      <t>9.</t>
    </r>
    <r>
      <rPr>
        <sz val="7"/>
        <color rgb="FF000000"/>
        <rFont val="Times New Roman"/>
        <family val="1"/>
      </rPr>
      <t xml:space="preserve">        </t>
    </r>
    <r>
      <rPr>
        <sz val="12"/>
        <color rgb="FF000000"/>
        <rFont val="Arial"/>
        <family val="2"/>
      </rPr>
      <t>قيادة السرية تراقب الوضع عن كثب وتتابع سير العمل وتقوم بإبلاغ ذلك للقيادة الأعلى.</t>
    </r>
  </si>
  <si>
    <t>تقييم سرية الـهندسة في تنفيذ استطلاع لحقل ألغام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</si>
</sst>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11"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
      <sz val="10"/>
      <color theme="1"/>
      <name val="Calibri Light"/>
      <family val="2"/>
    </font>
    <font>
      <sz val="7"/>
      <color rgb="FF000000"/>
      <name val="Times New Roman"/>
      <family val="1"/>
    </font>
    <font>
      <u/>
      <sz val="12"/>
      <color rgb="FF000000"/>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75">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10" xfId="0" applyFont="1" applyBorder="1" applyAlignment="1">
      <alignment horizontal="center" vertical="center" wrapText="1" readingOrder="1"/>
    </xf>
    <xf numFmtId="9" fontId="3" fillId="0" borderId="10"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2"/>
    </xf>
    <xf numFmtId="0" fontId="2" fillId="0" borderId="8"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5" fillId="3" borderId="20" xfId="0" applyFont="1" applyFill="1" applyBorder="1" applyAlignment="1" applyProtection="1">
      <alignment horizontal="center" vertical="center" wrapText="1" readingOrder="2"/>
      <protection locked="0"/>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8" fillId="0" borderId="3" xfId="0" applyFont="1" applyBorder="1" applyAlignment="1">
      <alignment vertical="center" wrapText="1"/>
    </xf>
    <xf numFmtId="0" fontId="3" fillId="0" borderId="3" xfId="0" applyFont="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8" fillId="0" borderId="10" xfId="0" applyFont="1" applyBorder="1" applyAlignment="1">
      <alignment vertical="center" wrapText="1"/>
    </xf>
    <xf numFmtId="0" fontId="7" fillId="0" borderId="22" xfId="0" applyFont="1" applyBorder="1" applyAlignment="1">
      <alignment horizontal="right" vertical="center" wrapText="1" readingOrder="2"/>
    </xf>
    <xf numFmtId="0" fontId="7" fillId="0" borderId="2" xfId="0" applyFont="1" applyBorder="1" applyAlignment="1">
      <alignment horizontal="right" vertical="center" wrapText="1" readingOrder="2"/>
    </xf>
    <xf numFmtId="0" fontId="7" fillId="0" borderId="11" xfId="0" applyFont="1" applyBorder="1" applyAlignment="1">
      <alignment horizontal="right" vertical="center" wrapText="1" readingOrder="2"/>
    </xf>
    <xf numFmtId="0" fontId="7" fillId="0" borderId="12" xfId="0" applyFont="1" applyBorder="1" applyAlignment="1">
      <alignment horizontal="right" vertical="center" wrapText="1" readingOrder="2"/>
    </xf>
    <xf numFmtId="0" fontId="1" fillId="0" borderId="4" xfId="0" applyFont="1" applyBorder="1" applyAlignment="1">
      <alignment horizontal="right" vertical="center" wrapText="1" readingOrder="2"/>
    </xf>
    <xf numFmtId="0" fontId="1" fillId="0" borderId="3" xfId="0" applyFont="1" applyBorder="1" applyAlignment="1">
      <alignment horizontal="right" vertical="center" wrapText="1" readingOrder="2"/>
    </xf>
    <xf numFmtId="0" fontId="1" fillId="0" borderId="14" xfId="0" applyFont="1" applyBorder="1" applyAlignment="1">
      <alignment horizontal="right" vertical="center" wrapText="1" readingOrder="2"/>
    </xf>
    <xf numFmtId="0" fontId="1" fillId="0" borderId="10" xfId="0" applyFont="1" applyBorder="1" applyAlignment="1">
      <alignment horizontal="right" vertical="center" wrapText="1" readingOrder="2"/>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6" xfId="0" applyFont="1" applyBorder="1" applyAlignment="1">
      <alignment horizontal="center" vertical="center" wrapText="1" readingOrder="2"/>
    </xf>
    <xf numFmtId="0" fontId="2" fillId="0" borderId="17" xfId="0" applyFont="1" applyBorder="1" applyAlignment="1">
      <alignment horizontal="center" vertical="center" wrapText="1" readingOrder="2"/>
    </xf>
    <xf numFmtId="0" fontId="2" fillId="0" borderId="18" xfId="0" applyFont="1" applyBorder="1" applyAlignment="1">
      <alignment horizontal="center"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15" xfId="0" applyFont="1" applyBorder="1" applyAlignment="1" applyProtection="1">
      <alignment horizontal="center" vertical="center" wrapText="1" readingOrder="2"/>
      <protection locked="0"/>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6" fillId="3" borderId="12"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9" xfId="0" applyFont="1" applyFill="1" applyBorder="1" applyAlignment="1" applyProtection="1">
      <alignment horizontal="center" vertical="center" wrapText="1" readingOrder="2"/>
      <protection locked="0"/>
    </xf>
    <xf numFmtId="0" fontId="6" fillId="3" borderId="20" xfId="0" applyFont="1" applyFill="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3" xfId="0" applyFont="1" applyFill="1" applyBorder="1" applyAlignment="1" applyProtection="1">
      <alignment horizontal="center" vertical="center" wrapText="1" readingOrder="2"/>
      <protection locked="0"/>
    </xf>
    <xf numFmtId="0" fontId="5" fillId="3" borderId="20" xfId="0" applyFont="1" applyFill="1" applyBorder="1" applyAlignment="1" applyProtection="1">
      <alignment horizontal="center" vertical="center" wrapText="1" readingOrder="2"/>
      <protection locked="0"/>
    </xf>
    <xf numFmtId="0" fontId="5" fillId="3" borderId="21"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3" fillId="0" borderId="3" xfId="0" applyFont="1" applyBorder="1" applyAlignment="1" applyProtection="1">
      <alignment horizontal="center" vertical="center" wrapText="1" readingOrder="2"/>
      <protection locked="0"/>
    </xf>
    <xf numFmtId="0" fontId="3" fillId="0" borderId="5" xfId="0" applyFont="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37"/>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74" t="s">
        <v>53</v>
      </c>
      <c r="C1" s="74"/>
      <c r="D1" s="74"/>
      <c r="E1" s="74"/>
      <c r="F1" s="74"/>
      <c r="G1" s="74"/>
      <c r="H1" s="74"/>
      <c r="I1" s="74"/>
      <c r="J1" s="74"/>
    </row>
    <row r="2" spans="1:10" ht="30" customHeight="1" x14ac:dyDescent="0.25">
      <c r="B2" s="14" t="s">
        <v>8</v>
      </c>
      <c r="C2" s="53" t="s">
        <v>23</v>
      </c>
      <c r="D2" s="53"/>
      <c r="E2" s="14" t="s">
        <v>7</v>
      </c>
      <c r="F2" s="48" t="s">
        <v>22</v>
      </c>
      <c r="G2" s="48"/>
      <c r="H2" s="48"/>
      <c r="I2" s="48"/>
      <c r="J2" s="48"/>
    </row>
    <row r="3" spans="1:10" ht="30" customHeight="1" x14ac:dyDescent="0.25">
      <c r="B3" s="14" t="s">
        <v>9</v>
      </c>
      <c r="C3" s="53" t="s">
        <v>25</v>
      </c>
      <c r="D3" s="53"/>
      <c r="E3" s="14" t="s">
        <v>6</v>
      </c>
      <c r="F3" s="53" t="s">
        <v>24</v>
      </c>
      <c r="G3" s="53"/>
      <c r="H3" s="53"/>
      <c r="I3" s="53"/>
      <c r="J3" s="53"/>
    </row>
    <row r="4" spans="1:10" ht="30" customHeight="1" thickBot="1" x14ac:dyDescent="0.3">
      <c r="B4" s="5"/>
      <c r="C4" s="6"/>
      <c r="D4" s="6"/>
      <c r="E4" s="5"/>
      <c r="F4" s="6"/>
      <c r="G4" s="6"/>
      <c r="H4" s="7"/>
      <c r="I4" s="6"/>
      <c r="J4" s="6"/>
    </row>
    <row r="5" spans="1:10" ht="24.95" customHeight="1" x14ac:dyDescent="0.25">
      <c r="A5" s="12"/>
      <c r="B5" s="49" t="s">
        <v>0</v>
      </c>
      <c r="C5" s="50"/>
      <c r="D5" s="50"/>
      <c r="E5" s="58" t="s">
        <v>1</v>
      </c>
      <c r="F5" s="58"/>
      <c r="G5" s="58"/>
      <c r="H5" s="58"/>
      <c r="I5" s="58" t="s">
        <v>2</v>
      </c>
      <c r="J5" s="59"/>
    </row>
    <row r="6" spans="1:10" ht="24.95" customHeight="1" thickBot="1" x14ac:dyDescent="0.3">
      <c r="A6" s="12"/>
      <c r="B6" s="51"/>
      <c r="C6" s="52"/>
      <c r="D6" s="52"/>
      <c r="E6" s="13" t="s">
        <v>3</v>
      </c>
      <c r="F6" s="13" t="s">
        <v>4</v>
      </c>
      <c r="G6" s="13" t="s">
        <v>15</v>
      </c>
      <c r="H6" s="13" t="s">
        <v>16</v>
      </c>
      <c r="I6" s="60"/>
      <c r="J6" s="61"/>
    </row>
    <row r="7" spans="1:10" ht="24.95" customHeight="1" thickBot="1" x14ac:dyDescent="0.3">
      <c r="A7" s="12"/>
      <c r="B7" s="56" t="s">
        <v>13</v>
      </c>
      <c r="C7" s="57"/>
      <c r="D7" s="57"/>
      <c r="E7" s="18" t="s">
        <v>10</v>
      </c>
      <c r="F7" s="18" t="s">
        <v>11</v>
      </c>
      <c r="G7" s="18" t="s">
        <v>14</v>
      </c>
      <c r="H7" s="18" t="s">
        <v>12</v>
      </c>
      <c r="I7" s="62" t="s">
        <v>17</v>
      </c>
      <c r="J7" s="63"/>
    </row>
    <row r="8" spans="1:10" ht="30" customHeight="1" x14ac:dyDescent="0.25">
      <c r="A8" s="12"/>
      <c r="B8" s="33" t="s">
        <v>28</v>
      </c>
      <c r="C8" s="34"/>
      <c r="D8" s="34"/>
      <c r="E8" s="21"/>
      <c r="F8" s="22"/>
      <c r="G8" s="23"/>
      <c r="H8" s="24"/>
      <c r="I8" s="70"/>
      <c r="J8" s="71"/>
    </row>
    <row r="9" spans="1:10" ht="39.950000000000003" customHeight="1" x14ac:dyDescent="0.25">
      <c r="A9" s="12"/>
      <c r="B9" s="29" t="s">
        <v>29</v>
      </c>
      <c r="C9" s="30"/>
      <c r="D9" s="30"/>
      <c r="E9" s="10">
        <v>5</v>
      </c>
      <c r="F9" s="16" t="s">
        <v>26</v>
      </c>
      <c r="G9" s="19" t="str">
        <f>IFERROR(F9/E9,"")</f>
        <v/>
      </c>
      <c r="H9" s="20" t="str">
        <f>_xlfn.IFS(F9="أدخل العلامة","",F9="لا ينطبق","تم الإلغاء",G9&gt;=90%,"ممتاز",G9&gt;=80%,"جيد جداً",G9&gt;=70%,"جيد",G9&gt;=60%,"مقبول",G9&lt;60%,"راسب")</f>
        <v/>
      </c>
      <c r="I9" s="37"/>
      <c r="J9" s="38"/>
    </row>
    <row r="10" spans="1:10" ht="39.950000000000003" customHeight="1" x14ac:dyDescent="0.25">
      <c r="A10" s="12"/>
      <c r="B10" s="29" t="s">
        <v>30</v>
      </c>
      <c r="C10" s="30"/>
      <c r="D10" s="30"/>
      <c r="E10" s="10">
        <v>5</v>
      </c>
      <c r="F10" s="16" t="s">
        <v>26</v>
      </c>
      <c r="G10" s="19" t="str">
        <f t="shared" ref="G10:G32" si="0">IFERROR(F10/E10,"")</f>
        <v/>
      </c>
      <c r="H10" s="20" t="str">
        <f t="shared" ref="H10:H32" si="1">_xlfn.IFS(F10="أدخل العلامة","",F10="لا ينطبق","تم الإلغاء",G10&gt;=90%,"ممتاز",G10&gt;=80%,"جيد جداً",G10&gt;=70%,"جيد",G10&gt;=60%,"مقبول",G10&lt;60%,"راسب")</f>
        <v/>
      </c>
      <c r="I10" s="37"/>
      <c r="J10" s="38"/>
    </row>
    <row r="11" spans="1:10" ht="39.950000000000003" customHeight="1" x14ac:dyDescent="0.25">
      <c r="A11" s="12"/>
      <c r="B11" s="29" t="s">
        <v>31</v>
      </c>
      <c r="C11" s="30"/>
      <c r="D11" s="30"/>
      <c r="E11" s="10">
        <v>5</v>
      </c>
      <c r="F11" s="16" t="s">
        <v>26</v>
      </c>
      <c r="G11" s="19" t="str">
        <f t="shared" si="0"/>
        <v/>
      </c>
      <c r="H11" s="20" t="str">
        <f t="shared" si="1"/>
        <v/>
      </c>
      <c r="I11" s="37"/>
      <c r="J11" s="38"/>
    </row>
    <row r="12" spans="1:10" ht="69" customHeight="1" x14ac:dyDescent="0.25">
      <c r="A12" s="12"/>
      <c r="B12" s="29" t="s">
        <v>32</v>
      </c>
      <c r="C12" s="30"/>
      <c r="D12" s="30"/>
      <c r="E12" s="10">
        <v>5</v>
      </c>
      <c r="F12" s="16" t="s">
        <v>26</v>
      </c>
      <c r="G12" s="19" t="str">
        <f t="shared" si="0"/>
        <v/>
      </c>
      <c r="H12" s="20" t="str">
        <f t="shared" si="1"/>
        <v/>
      </c>
      <c r="I12" s="37"/>
      <c r="J12" s="38"/>
    </row>
    <row r="13" spans="1:10" ht="39.950000000000003" customHeight="1" x14ac:dyDescent="0.25">
      <c r="A13" s="12"/>
      <c r="B13" s="29" t="s">
        <v>33</v>
      </c>
      <c r="C13" s="30"/>
      <c r="D13" s="30"/>
      <c r="E13" s="10">
        <v>5</v>
      </c>
      <c r="F13" s="16" t="s">
        <v>26</v>
      </c>
      <c r="G13" s="19" t="str">
        <f t="shared" si="0"/>
        <v/>
      </c>
      <c r="H13" s="20" t="str">
        <f t="shared" si="1"/>
        <v/>
      </c>
      <c r="I13" s="37"/>
      <c r="J13" s="38"/>
    </row>
    <row r="14" spans="1:10" ht="39.950000000000003" customHeight="1" x14ac:dyDescent="0.25">
      <c r="A14" s="12"/>
      <c r="B14" s="29" t="s">
        <v>34</v>
      </c>
      <c r="C14" s="30"/>
      <c r="D14" s="30"/>
      <c r="E14" s="10">
        <v>5</v>
      </c>
      <c r="F14" s="16" t="s">
        <v>26</v>
      </c>
      <c r="G14" s="19" t="str">
        <f t="shared" si="0"/>
        <v/>
      </c>
      <c r="H14" s="20" t="str">
        <f t="shared" si="1"/>
        <v/>
      </c>
      <c r="I14" s="37"/>
      <c r="J14" s="38"/>
    </row>
    <row r="15" spans="1:10" ht="30" customHeight="1" x14ac:dyDescent="0.25">
      <c r="A15" s="12"/>
      <c r="B15" s="29" t="s">
        <v>35</v>
      </c>
      <c r="C15" s="30"/>
      <c r="D15" s="30"/>
      <c r="E15" s="10">
        <v>5</v>
      </c>
      <c r="F15" s="16" t="s">
        <v>26</v>
      </c>
      <c r="G15" s="19" t="str">
        <f t="shared" si="0"/>
        <v/>
      </c>
      <c r="H15" s="20" t="str">
        <f t="shared" si="1"/>
        <v/>
      </c>
      <c r="I15" s="37"/>
      <c r="J15" s="38"/>
    </row>
    <row r="16" spans="1:10" ht="30" customHeight="1" thickBot="1" x14ac:dyDescent="0.3">
      <c r="A16" s="12"/>
      <c r="B16" s="31" t="s">
        <v>36</v>
      </c>
      <c r="C16" s="32"/>
      <c r="D16" s="32"/>
      <c r="E16" s="25">
        <v>5</v>
      </c>
      <c r="F16" s="17" t="s">
        <v>26</v>
      </c>
      <c r="G16" s="26" t="str">
        <f t="shared" si="0"/>
        <v/>
      </c>
      <c r="H16" s="27" t="str">
        <f t="shared" si="1"/>
        <v/>
      </c>
      <c r="I16" s="44"/>
      <c r="J16" s="45"/>
    </row>
    <row r="17" spans="1:10" ht="30" customHeight="1" x14ac:dyDescent="0.25">
      <c r="A17" s="12"/>
      <c r="B17" s="33" t="s">
        <v>37</v>
      </c>
      <c r="C17" s="34"/>
      <c r="D17" s="34"/>
      <c r="E17" s="21"/>
      <c r="F17" s="22"/>
      <c r="G17" s="23"/>
      <c r="H17" s="24"/>
      <c r="I17" s="70"/>
      <c r="J17" s="71"/>
    </row>
    <row r="18" spans="1:10" ht="39.950000000000003" customHeight="1" x14ac:dyDescent="0.25">
      <c r="A18" s="12"/>
      <c r="B18" s="29" t="s">
        <v>38</v>
      </c>
      <c r="C18" s="30"/>
      <c r="D18" s="30"/>
      <c r="E18" s="10">
        <v>5</v>
      </c>
      <c r="F18" s="16" t="s">
        <v>26</v>
      </c>
      <c r="G18" s="19" t="str">
        <f t="shared" si="0"/>
        <v/>
      </c>
      <c r="H18" s="20" t="str">
        <f t="shared" si="1"/>
        <v/>
      </c>
      <c r="I18" s="37"/>
      <c r="J18" s="38"/>
    </row>
    <row r="19" spans="1:10" ht="39.950000000000003" customHeight="1" x14ac:dyDescent="0.25">
      <c r="A19" s="12"/>
      <c r="B19" s="29" t="s">
        <v>39</v>
      </c>
      <c r="C19" s="30"/>
      <c r="D19" s="30"/>
      <c r="E19" s="10">
        <v>5</v>
      </c>
      <c r="F19" s="16" t="s">
        <v>26</v>
      </c>
      <c r="G19" s="19" t="str">
        <f t="shared" si="0"/>
        <v/>
      </c>
      <c r="H19" s="20" t="str">
        <f t="shared" si="1"/>
        <v/>
      </c>
      <c r="I19" s="37"/>
      <c r="J19" s="38"/>
    </row>
    <row r="20" spans="1:10" ht="30" customHeight="1" x14ac:dyDescent="0.25">
      <c r="A20" s="12"/>
      <c r="B20" s="29" t="s">
        <v>40</v>
      </c>
      <c r="C20" s="30"/>
      <c r="D20" s="30"/>
      <c r="E20" s="10">
        <v>5</v>
      </c>
      <c r="F20" s="16" t="s">
        <v>26</v>
      </c>
      <c r="G20" s="19" t="str">
        <f t="shared" si="0"/>
        <v/>
      </c>
      <c r="H20" s="20" t="str">
        <f t="shared" si="1"/>
        <v/>
      </c>
      <c r="I20" s="37"/>
      <c r="J20" s="38"/>
    </row>
    <row r="21" spans="1:10" ht="39.950000000000003" customHeight="1" x14ac:dyDescent="0.25">
      <c r="A21" s="12"/>
      <c r="B21" s="29" t="s">
        <v>41</v>
      </c>
      <c r="C21" s="30"/>
      <c r="D21" s="30"/>
      <c r="E21" s="10">
        <v>5</v>
      </c>
      <c r="F21" s="16" t="s">
        <v>26</v>
      </c>
      <c r="G21" s="19" t="str">
        <f t="shared" si="0"/>
        <v/>
      </c>
      <c r="H21" s="20" t="str">
        <f t="shared" si="1"/>
        <v/>
      </c>
      <c r="I21" s="37"/>
      <c r="J21" s="38"/>
    </row>
    <row r="22" spans="1:10" ht="57" customHeight="1" thickBot="1" x14ac:dyDescent="0.3">
      <c r="A22" s="12"/>
      <c r="B22" s="31" t="s">
        <v>42</v>
      </c>
      <c r="C22" s="32"/>
      <c r="D22" s="32"/>
      <c r="E22" s="25">
        <v>5</v>
      </c>
      <c r="F22" s="17" t="s">
        <v>26</v>
      </c>
      <c r="G22" s="26" t="str">
        <f t="shared" si="0"/>
        <v/>
      </c>
      <c r="H22" s="27" t="str">
        <f t="shared" si="1"/>
        <v/>
      </c>
      <c r="I22" s="44"/>
      <c r="J22" s="45"/>
    </row>
    <row r="23" spans="1:10" ht="30" customHeight="1" x14ac:dyDescent="0.25">
      <c r="A23" s="12"/>
      <c r="B23" s="35" t="s">
        <v>43</v>
      </c>
      <c r="C23" s="36"/>
      <c r="D23" s="36"/>
      <c r="E23" s="28"/>
      <c r="F23" s="15"/>
      <c r="G23" s="9"/>
      <c r="H23" s="8"/>
      <c r="I23" s="46"/>
      <c r="J23" s="47"/>
    </row>
    <row r="24" spans="1:10" ht="30" customHeight="1" x14ac:dyDescent="0.25">
      <c r="A24" s="12"/>
      <c r="B24" s="29" t="s">
        <v>44</v>
      </c>
      <c r="C24" s="30"/>
      <c r="D24" s="30"/>
      <c r="E24" s="10">
        <v>5</v>
      </c>
      <c r="F24" s="16" t="s">
        <v>26</v>
      </c>
      <c r="G24" s="19" t="str">
        <f t="shared" si="0"/>
        <v/>
      </c>
      <c r="H24" s="20" t="str">
        <f t="shared" si="1"/>
        <v/>
      </c>
      <c r="I24" s="37"/>
      <c r="J24" s="38"/>
    </row>
    <row r="25" spans="1:10" ht="30" customHeight="1" x14ac:dyDescent="0.25">
      <c r="A25" s="12"/>
      <c r="B25" s="29" t="s">
        <v>45</v>
      </c>
      <c r="C25" s="30"/>
      <c r="D25" s="30"/>
      <c r="E25" s="10">
        <v>5</v>
      </c>
      <c r="F25" s="16" t="s">
        <v>26</v>
      </c>
      <c r="G25" s="19" t="str">
        <f t="shared" si="0"/>
        <v/>
      </c>
      <c r="H25" s="20" t="str">
        <f t="shared" si="1"/>
        <v/>
      </c>
      <c r="I25" s="37"/>
      <c r="J25" s="38"/>
    </row>
    <row r="26" spans="1:10" ht="30" customHeight="1" x14ac:dyDescent="0.25">
      <c r="A26" s="12"/>
      <c r="B26" s="29" t="s">
        <v>46</v>
      </c>
      <c r="C26" s="30"/>
      <c r="D26" s="30"/>
      <c r="E26" s="10">
        <v>5</v>
      </c>
      <c r="F26" s="16" t="s">
        <v>26</v>
      </c>
      <c r="G26" s="19" t="str">
        <f t="shared" si="0"/>
        <v/>
      </c>
      <c r="H26" s="20" t="str">
        <f t="shared" si="1"/>
        <v/>
      </c>
      <c r="I26" s="37"/>
      <c r="J26" s="38"/>
    </row>
    <row r="27" spans="1:10" ht="30" customHeight="1" x14ac:dyDescent="0.25">
      <c r="A27" s="12"/>
      <c r="B27" s="29" t="s">
        <v>47</v>
      </c>
      <c r="C27" s="30"/>
      <c r="D27" s="30"/>
      <c r="E27" s="10">
        <v>5</v>
      </c>
      <c r="F27" s="16" t="s">
        <v>26</v>
      </c>
      <c r="G27" s="19" t="str">
        <f t="shared" si="0"/>
        <v/>
      </c>
      <c r="H27" s="20" t="str">
        <f t="shared" si="1"/>
        <v/>
      </c>
      <c r="I27" s="37"/>
      <c r="J27" s="38"/>
    </row>
    <row r="28" spans="1:10" ht="30" customHeight="1" x14ac:dyDescent="0.25">
      <c r="A28" s="12"/>
      <c r="B28" s="29" t="s">
        <v>48</v>
      </c>
      <c r="C28" s="30"/>
      <c r="D28" s="30"/>
      <c r="E28" s="10">
        <v>5</v>
      </c>
      <c r="F28" s="16" t="s">
        <v>26</v>
      </c>
      <c r="G28" s="19" t="str">
        <f t="shared" si="0"/>
        <v/>
      </c>
      <c r="H28" s="20" t="str">
        <f t="shared" si="1"/>
        <v/>
      </c>
      <c r="I28" s="37"/>
      <c r="J28" s="38"/>
    </row>
    <row r="29" spans="1:10" ht="30" customHeight="1" x14ac:dyDescent="0.25">
      <c r="A29" s="12"/>
      <c r="B29" s="29" t="s">
        <v>49</v>
      </c>
      <c r="C29" s="30"/>
      <c r="D29" s="30"/>
      <c r="E29" s="10">
        <v>5</v>
      </c>
      <c r="F29" s="16" t="s">
        <v>26</v>
      </c>
      <c r="G29" s="19" t="str">
        <f t="shared" si="0"/>
        <v/>
      </c>
      <c r="H29" s="20" t="str">
        <f t="shared" si="1"/>
        <v/>
      </c>
      <c r="I29" s="37"/>
      <c r="J29" s="38"/>
    </row>
    <row r="30" spans="1:10" ht="30" customHeight="1" x14ac:dyDescent="0.25">
      <c r="A30" s="12"/>
      <c r="B30" s="29" t="s">
        <v>50</v>
      </c>
      <c r="C30" s="30"/>
      <c r="D30" s="30"/>
      <c r="E30" s="10">
        <v>5</v>
      </c>
      <c r="F30" s="16" t="s">
        <v>26</v>
      </c>
      <c r="G30" s="19" t="str">
        <f t="shared" si="0"/>
        <v/>
      </c>
      <c r="H30" s="20" t="str">
        <f t="shared" si="1"/>
        <v/>
      </c>
      <c r="I30" s="37"/>
      <c r="J30" s="38"/>
    </row>
    <row r="31" spans="1:10" ht="30" customHeight="1" x14ac:dyDescent="0.25">
      <c r="A31" s="12"/>
      <c r="B31" s="29" t="s">
        <v>51</v>
      </c>
      <c r="C31" s="30"/>
      <c r="D31" s="30"/>
      <c r="E31" s="10">
        <v>5</v>
      </c>
      <c r="F31" s="16" t="s">
        <v>26</v>
      </c>
      <c r="G31" s="19" t="str">
        <f t="shared" si="0"/>
        <v/>
      </c>
      <c r="H31" s="20" t="str">
        <f t="shared" si="1"/>
        <v/>
      </c>
      <c r="I31" s="37"/>
      <c r="J31" s="38"/>
    </row>
    <row r="32" spans="1:10" ht="39.950000000000003" customHeight="1" thickBot="1" x14ac:dyDescent="0.3">
      <c r="A32" s="12"/>
      <c r="B32" s="31" t="s">
        <v>52</v>
      </c>
      <c r="C32" s="32"/>
      <c r="D32" s="32"/>
      <c r="E32" s="25">
        <v>5</v>
      </c>
      <c r="F32" s="17" t="s">
        <v>26</v>
      </c>
      <c r="G32" s="26" t="str">
        <f t="shared" si="0"/>
        <v/>
      </c>
      <c r="H32" s="27" t="str">
        <f t="shared" si="1"/>
        <v/>
      </c>
      <c r="I32" s="44"/>
      <c r="J32" s="45"/>
    </row>
    <row r="33" spans="1:10" ht="30" customHeight="1" thickBot="1" x14ac:dyDescent="0.3">
      <c r="A33" s="3"/>
      <c r="B33" s="72" t="s">
        <v>5</v>
      </c>
      <c r="C33" s="73"/>
      <c r="D33" s="73"/>
      <c r="E33" s="11">
        <f>SUM(E8:E32)</f>
        <v>110</v>
      </c>
      <c r="F33" s="11">
        <f>SUM(F8:F32)</f>
        <v>0</v>
      </c>
      <c r="G33" s="41"/>
      <c r="H33" s="42"/>
      <c r="I33" s="42"/>
      <c r="J33" s="43"/>
    </row>
    <row r="34" spans="1:10" ht="30" customHeight="1" thickBot="1" x14ac:dyDescent="0.3">
      <c r="A34" s="3"/>
      <c r="B34" s="72" t="s">
        <v>20</v>
      </c>
      <c r="C34" s="73"/>
      <c r="D34" s="73"/>
      <c r="E34" s="54">
        <f>F33/E33/100*100</f>
        <v>0</v>
      </c>
      <c r="F34" s="54"/>
      <c r="G34" s="54"/>
      <c r="H34" s="54"/>
      <c r="I34" s="54"/>
      <c r="J34" s="55"/>
    </row>
    <row r="35" spans="1:10" ht="30" customHeight="1" thickBot="1" x14ac:dyDescent="0.3">
      <c r="A35" s="3"/>
      <c r="B35" s="72" t="s">
        <v>21</v>
      </c>
      <c r="C35" s="73"/>
      <c r="D35" s="73"/>
      <c r="E35" s="68" t="str">
        <f>_xlfn.IFS(E34&gt;=90%,"ممتاز",E34&gt;=80%,"جيد جداً",E34&gt;=70%,"جيد",E34&gt;=60%,"مقبول",E34&lt;60%,"راسب")</f>
        <v>راسب</v>
      </c>
      <c r="F35" s="68"/>
      <c r="G35" s="68"/>
      <c r="H35" s="68"/>
      <c r="I35" s="68"/>
      <c r="J35" s="69"/>
    </row>
    <row r="36" spans="1:10" ht="42" customHeight="1" x14ac:dyDescent="0.25">
      <c r="B36" s="64" t="s">
        <v>27</v>
      </c>
      <c r="C36" s="64"/>
      <c r="D36" s="64"/>
      <c r="E36" s="39" t="s">
        <v>18</v>
      </c>
      <c r="F36" s="39"/>
      <c r="G36" s="66" t="s">
        <v>24</v>
      </c>
      <c r="H36" s="66"/>
      <c r="I36" s="66"/>
      <c r="J36" s="66"/>
    </row>
    <row r="37" spans="1:10" ht="51" customHeight="1" x14ac:dyDescent="0.25">
      <c r="A37" s="4"/>
      <c r="B37" s="65"/>
      <c r="C37" s="65"/>
      <c r="D37" s="65"/>
      <c r="E37" s="40" t="s">
        <v>19</v>
      </c>
      <c r="F37" s="40"/>
      <c r="G37" s="67"/>
      <c r="H37" s="67"/>
      <c r="I37" s="67"/>
      <c r="J37" s="67"/>
    </row>
  </sheetData>
  <sheetProtection sheet="1" formatCells="0" formatColumns="0" formatRows="0" insertColumns="0" insertRows="0" insertHyperlinks="0" deleteColumns="0" deleteRows="0" selectLockedCells="1" sort="0" autoFilter="0" pivotTables="0"/>
  <mergeCells count="71">
    <mergeCell ref="B36:D37"/>
    <mergeCell ref="G36:J36"/>
    <mergeCell ref="G37:J37"/>
    <mergeCell ref="E35:J35"/>
    <mergeCell ref="I32:J32"/>
    <mergeCell ref="B33:D33"/>
    <mergeCell ref="B34:D34"/>
    <mergeCell ref="B35:D35"/>
    <mergeCell ref="B7:D7"/>
    <mergeCell ref="I30:J30"/>
    <mergeCell ref="I31:J31"/>
    <mergeCell ref="E5:H5"/>
    <mergeCell ref="I5:J6"/>
    <mergeCell ref="I7:J7"/>
    <mergeCell ref="I10:J10"/>
    <mergeCell ref="I8:J8"/>
    <mergeCell ref="I11:J11"/>
    <mergeCell ref="I12:J12"/>
    <mergeCell ref="I13:J13"/>
    <mergeCell ref="I14:J14"/>
    <mergeCell ref="I15:J15"/>
    <mergeCell ref="I16:J16"/>
    <mergeCell ref="I17:J17"/>
    <mergeCell ref="I18:J18"/>
    <mergeCell ref="B1:J1"/>
    <mergeCell ref="F2:J2"/>
    <mergeCell ref="B5:D6"/>
    <mergeCell ref="C2:D2"/>
    <mergeCell ref="C3:D3"/>
    <mergeCell ref="F3:J3"/>
    <mergeCell ref="E36:F36"/>
    <mergeCell ref="E37:F37"/>
    <mergeCell ref="G33:J33"/>
    <mergeCell ref="I19:J19"/>
    <mergeCell ref="I20:J20"/>
    <mergeCell ref="I21:J21"/>
    <mergeCell ref="I22:J22"/>
    <mergeCell ref="I23:J23"/>
    <mergeCell ref="I24:J24"/>
    <mergeCell ref="I25:J25"/>
    <mergeCell ref="I26:J26"/>
    <mergeCell ref="I27:J27"/>
    <mergeCell ref="E34:J34"/>
    <mergeCell ref="I28:J28"/>
    <mergeCell ref="I29:J29"/>
    <mergeCell ref="B13:D13"/>
    <mergeCell ref="B14:D14"/>
    <mergeCell ref="B15:D15"/>
    <mergeCell ref="B16:D16"/>
    <mergeCell ref="I9:J9"/>
    <mergeCell ref="B8:D8"/>
    <mergeCell ref="B9:D9"/>
    <mergeCell ref="B10:D10"/>
    <mergeCell ref="B11:D11"/>
    <mergeCell ref="B12:D12"/>
    <mergeCell ref="B31:D31"/>
    <mergeCell ref="B32:D32"/>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s>
  <conditionalFormatting sqref="E35">
    <cfRule type="expression" dxfId="23" priority="57">
      <formula>$E35="راسب"</formula>
    </cfRule>
  </conditionalFormatting>
  <conditionalFormatting sqref="E35:J35">
    <cfRule type="expression" dxfId="22" priority="58">
      <formula>$E35="مقبول"</formula>
    </cfRule>
    <cfRule type="expression" dxfId="21" priority="59">
      <formula>$E35="جيد"</formula>
    </cfRule>
    <cfRule type="expression" dxfId="20" priority="60">
      <formula>$E35="جيد جداً"</formula>
    </cfRule>
    <cfRule type="expression" dxfId="19" priority="61">
      <formula>$E35="ممتاز"</formula>
    </cfRule>
  </conditionalFormatting>
  <conditionalFormatting sqref="H8 H10:H32">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32">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36:J36">
    <cfRule type="containsText" dxfId="8" priority="15" operator="containsText" text="أدخل اسم المحكم">
      <formula>NOT(ISERROR(SEARCH("أدخل اسم المحكم",G36)))</formula>
    </cfRule>
  </conditionalFormatting>
  <conditionalFormatting sqref="F8 F10:F32">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F24:F32 F18:F22 F9:F16</xm:sqref>
        </x14:dataValidation>
        <x14:dataValidation type="list" allowBlank="1" showInputMessage="1" showErrorMessage="1">
          <x14:formula1>
            <xm:f>#REF!</xm:f>
          </x14:formula1>
          <xm:sqref>G36:J36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2026-08-30T05:16:40Z</dcterms:modified>
</cp:coreProperties>
</file>