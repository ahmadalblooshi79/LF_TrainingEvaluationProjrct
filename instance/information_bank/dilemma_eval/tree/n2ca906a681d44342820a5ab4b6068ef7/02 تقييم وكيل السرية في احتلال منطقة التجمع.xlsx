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8469E26-82BE-4FD6-9084-786FECE999AB}"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<sst xmlns="http://schemas.openxmlformats.org/spreadsheetml/2006/main" count="266" uniqueCount="210">
  <si>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</si>
  <si>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</si>
  <si>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</si>
  <si>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</si>
  <si>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</si>
  <si>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</si>
  <si>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</si>
  <si>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</si>
  <si>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</si>
  <si>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</si>
  <si>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</si>
  <si>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</si>
  <si>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</si>
  <si>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</si>
  <si>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</si>
  <si>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</si>
  <si>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</si>
  <si>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</si>
  <si>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</si>
  <si>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</si>
  <si>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</si>
  <si>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</si>
  <si>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</si>
  <si>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</si>
  <si>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</si>
  <si>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</si>
  <si>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</si>
  <si>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</si>
  <si>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</si>
  <si>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</si>
  <si>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</si>
  <si>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</si>
  <si>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</si>
  <si>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</si>
  <si>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</si>
  <si>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</si>
  <si>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</si>
  <si>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</si>
  <si>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</si>
  <si>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</si>
  <si>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</si>
  <si>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</si>
  <si>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</si>
  <si>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</si>
  <si>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</si>
  <si>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</si>
  <si>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</si>
  <si>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</si>
  <si>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</si>
  <si>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</si>
  <si>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</si>
  <si>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</si>
  <si>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</si>
  <si>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</si>
  <si>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</si>
  <si>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</si>
  <si>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</si>
  <si>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</si>
  <si>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</si>
  <si>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</si>
  <si>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</si>
  <si>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</si>
  <si>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</si>
  <si>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</si>
  <si>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</si>
  <si>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</si>
  <si>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</si>
  <si>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</si>
  <si>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</si>
  <si>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</si>
  <si>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</si>
  <si>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</si>
  <si>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</si>
  <si>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</si>
  <si>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</si>
  <si>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</si>
  <si>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</si>
  <si>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</si>
  <si>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</si>
  <si>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</si>
  <si>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</si>
  <si>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</si>
  <si>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</si>
  <si>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</si>
  <si>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</si>
  <si>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</si>
  <si>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</si>
  <si>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</si>
  <si>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</si>
  <si>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</si>
  <si>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</si>
  <si>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</si>
  <si>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</si>
  <si>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</si>
  <si>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</si>
  <si>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</si>
  <si>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</si>
  <si>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</si>
  <si>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</si>
  <si>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</si>
  <si>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</si>
  <si>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</si>
  <si>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</si>
  <si>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</si>
  <si>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</si>
  <si>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</si>
  <si>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</si>
  <si>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</si>
  <si>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</si>
  <si>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</si>
  <si>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</si>
  <si>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</si>
  <si>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</si>
  <si>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</si>
  <si>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</si>
  <si>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</si>
  <si>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</si>
  <si>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</si>
  <si>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</si>
  <si>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</si>
  <si>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</si>
  <si>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</si>
  <si>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</si>
  <si>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</si>
  <si>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</si>
  <si>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</si>
  <si>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</si>
  <si>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</si>
  <si>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</si>
  <si>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</si>
  <si>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</si>
  <si>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</si>
  <si>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</si>
  <si>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</si>
  <si>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</si>
  <si>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</si>
  <si>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</si>
  <si>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</si>
  <si>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</si>
  <si>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</si>
  <si>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</si>
  <si>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</si>
  <si>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</si>
  <si>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</si>
  <si>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</si>
  <si>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</si>
  <si>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</si>
  <si>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</si>
  <si>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</si>
  <si>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</si>
  <si>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</si>
  <si>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</si>
  <si>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</si>
  <si>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</si>
  <si>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</si>
  <si>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</si>
  <si>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</si>
  <si>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</si>
  <si>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</si>
  <si>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</si>
  <si>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</si>
  <si>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</si>
  <si>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</si>
  <si>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</si>
  <si>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</si>
  <si>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</si>
  <si>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</si>
  <si>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</si>
  <si>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</si>
  <si>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</si>
  <si>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</si>
  <si>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</si>
  <si>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</si>
  <si>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</si>
  <si>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</si>
  <si>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</si>
  <si>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</si>
  <si>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</si>
  <si>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</si>
  <si>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</si>
  <si>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</si>
  <si>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</si>
  <si>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</si>
  <si>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</si>
  <si>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</si>
  <si>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</si>
  <si>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</si>
  <si>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</si>
  <si>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</si>
  <si>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</si>
  <si>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</si>
  <si>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</si>
  <si>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</si>
  <si>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</si>
  <si>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</si>
  <si>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</si>
  <si>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</si>
  <si>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</si>
  <si>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</si>
  <si>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</si>
  <si>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</si>
  <si>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</si>
  <si>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</si>
  <si>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</si>
  <si>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</si>
  <si>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</si>
  <si>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</si>
  <si>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</si>
  <si>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</si>
  <si>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 علي حسن البلوشي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</si>
</sst>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181708</xdr:colOff>
      <xdr:row>39</xdr:row>
      <xdr:rowOff>58615</xdr:rowOff>
    </xdr:from>
    <xdr:to>
      <xdr:col>8</xdr:col>
      <xdr:colOff>543755</xdr:colOff>
      <xdr:row>39</xdr:row>
      <xdr:rowOff>527538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7B58657-7029-477D-A847-E9B4CE3E10D4}"/>
                </a:ext>
              </a:extLst>
            </xdr14:cNvPr>
            <xdr14:cNvContentPartPr/>
          </xdr14:nvContentPartPr>
          <xdr14:nvPr macro=""/>
          <xdr14:xfrm>
            <a:off x="10078723322" y="16834338"/>
            <a:ext cx="1000954" cy="468923"/>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20:55:23.454"/>
    </inkml:context>
    <inkml:brush xml:id="br0">
      <inkml:brushProperty name="width" value="0.035" units="cm"/>
      <inkml:brushProperty name="height" value="0.035" units="cm"/>
    </inkml:brush>
  </inkml:definitions>
  <inkml:trace contextRef="#ctx0" brushRef="#br0">0 737,'0'0,"0"0,0 0,0 0,0 0,0 0,0 0,0 0,0 0,10 0,-10-14,4 14,0 0,6 0,-6 0,2 0,2 0,-3 0,0 0,13 0,-13 7,0 0,4 5,-4-4,-1-1,6 7,-2-3,2 6,-1 10,0-16,1 5,9 13,-15-18,0 5,16 11,-16-20,0 1,15 19,-15-27,0 0,15 14,-14-14,-1 0,6-14,-6 14,1 0,4-27,-4 20,0-1,4-19,-4 20,-1-1,5-18,-9 12,0 0,10 0,-6 6,-8 1,8 14,1 1,-5 2,0-6,9 9,-9-5,0-1,10 7,-10-9,0 2,9 21,-9-21,0 0,9 8,-9-9,0 1,10-7,-6 0,0 0,1 0,0 0,5-13,-10 6,0-1,8-19,-3 20,0-1,5-18,-6 19,0-1,-4-5,5 13,0 0,4-14,-9 21,0 0,9-7,-4 7,0-1,4 9,-4-8,-1 0,5 20,-4-20,0-1,4 8,-4-6,-1-1,6 6,-1-7,0 2,1 6,-6-14,0 0,6 0,-5-7,0 0,3-20,2 5,0 2,-2-49,2 33,-1 3,9-78,-13 68,-1 3,5-55,-4 52,0 1,4-26,-9 39,0 2,9-27,-9 39,0 1,0 1,0-2,0 2,9-16,-9 17,0-2,10-14,-10 21,0 0,9-6,-9 6,0 0,0-8,0 9,9-1,-6 3,-6 21,3-2,0-8,0 0,0 6,0 8,0 0,10 20,-10-5,0-3,8 77,-3-59,0-5,5 79,-6-75,0-4,6 38,-5-42,0-1,3 28,-8-48,0-1,10 7,-10-19,0-1,0 6,0-7,0 2,0 6,0-7,0-1,7-16,-5 7,-2-11,5 6,-1 2,-4-7,0 6,0-1,10 8,-10-7,0 0,9 7,-4 0,-1 0,-4 7,0 0,10 8,-5-8,-1-1,5 22,-4-21,-1-1,6 22,-5-21,-1 0,-4 8,5-8,-1-2,-4 9,5-6,0-2,-5 5,0-8,9-3,-5 0,1 0,5 0,-10-7,0 0,8-7,-3 14,0 0,5-26,-6 26,0 0,4-13,-6 11,8 2,-6 0,0 15,1-1,0-2,4 16,-9-13,0-3,9 2,-4 1,0-2,-5 28,5-27,-1 0,5 0,-4-7,-1 0,-4 7,6-14,-2 0,5-14,-5 7,0-28,1 14,0 1,4-117,1 63,-1 8,-1-85,2 101,0 3,8-64,-13 60,0 6,3-108,2 117,-1 4,-9-10,5 35,-1 0,-4-6,0 6,0-1,-9 8,9 8,0-1,0-22,0 30,0-2,0 1,0 15,0-2,-9 69,4-38,0-5,5 99,0-87,0-7,0 94,0-101,0-4,0 23,5-34,0-3,-15-21,10 2,0 1,-8-2,12-6,0 0,-12-21,12 14,0 0,6-28,-5 14,-1 2,5-31,-4 7,0 4,4-10,-4 14,-1 0,6-12,-10 16,0 6,9-37,-4 27,-10 42,10-21,-1 0,-4 21,0-7,0 0,0 48,0-33,0-2,9 34,-9-25,0-2,0 28,5-33,0-3,-5 9,0-21,0 1,9 18,-5-11,1-30,5 1,-2 2,2-3,4-6,0 0,14-48,-18 41,-2 2,11-31,-10 29,1 2,8-15,-18 34,0 0,0-4,0 8,9 3,-9 15,0-2,10-1,-1 5,0-5,19 16,-5-14,-1-2,62 3,-31-15,-3 0,61 0,-39-22,-6 3,74-9,-62 14,-8-1,51-25,-74 26,-2-1,29-26,-50 28,-2-1,16 0,-29 7,0 0,-2-2,-5 4,-20 5,-2 16,3-4,-77-12,27 15,6-2,-106 0,60 3,9-3,-133 28,101-26,10-2,-122 14,117-13,9-1,-115 16,118-22,13-2,-85 10,97-1,9-1,-14-13,58 8,5-1,-16-7,32 7,0-1,22-16,-6 7,-12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B35" zoomScale="130" zoomScaleNormal="100" zoomScaleSheetLayoutView="130" workbookViewId="0">
      <selection activeCell="G40" sqref="G40:J40"/>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3" t="s">
        <v>178</v>
      </c>
      <c r="C2" s="72" t="s">
        <v>55</v>
      </c>
      <c r="D2" s="72"/>
      <c r="E2" s="13" t="s">
        <v>7</v>
      </c>
      <c r="F2" s="67" t="s">
        <v>54</v>
      </c>
      <c r="G2" s="67"/>
      <c r="H2" s="67"/>
      <c r="I2" s="67"/>
      <c r="J2" s="67"/>
    </row>
    <row r="3" spans="1:10" ht="30" customHeight="1" x14ac:dyDescent="0.3">
      <c r="B3" s="13" t="s">
        <v>179</v>
      </c>
      <c r="C3" s="72" t="s">
        <v>209</v>
      </c>
      <c r="D3" s="72"/>
      <c r="E3" s="13" t="s">
        <v>6</v>
      </c>
      <c r="F3" s="72" t="s">
        <v>57</v>
      </c>
      <c r="G3" s="72"/>
      <c r="H3" s="72"/>
      <c r="I3" s="72"/>
      <c r="J3" s="72"/>
    </row>
    <row r="4" spans="1:10" ht="30" customHeight="1" thickBot="1" x14ac:dyDescent="0.35">
      <c r="B4" s="6"/>
      <c r="C4" s="7"/>
      <c r="D4" s="7"/>
      <c r="E4" s="6"/>
      <c r="F4" s="7"/>
      <c r="G4" s="7"/>
      <c r="H4" s="8"/>
      <c r="I4" s="7"/>
      <c r="J4" s="7"/>
    </row>
    <row r="5" spans="1:10" ht="24.9" customHeight="1" x14ac:dyDescent="0.3">
      <c r="A5" s="11"/>
      <c r="B5" s="68" t="s">
        <v>0</v>
      </c>
      <c r="C5" s="69"/>
      <c r="D5" s="69"/>
      <c r="E5" s="77" t="s">
        <v>1</v>
      </c>
      <c r="F5" s="77"/>
      <c r="G5" s="77"/>
      <c r="H5" s="77"/>
      <c r="I5" s="77" t="s">
        <v>2</v>
      </c>
      <c r="J5" s="78"/>
    </row>
    <row r="6" spans="1:10" ht="24.9" customHeight="1" thickBot="1" x14ac:dyDescent="0.35">
      <c r="A6" s="11"/>
      <c r="B6" s="70"/>
      <c r="C6" s="71"/>
      <c r="D6" s="71"/>
      <c r="E6" s="12" t="s">
        <v>3</v>
      </c>
      <c r="F6" s="12" t="s">
        <v>4</v>
      </c>
      <c r="G6" s="12" t="s">
        <v>21</v>
      </c>
      <c r="H6" s="12" t="s">
        <v>22</v>
      </c>
      <c r="I6" s="79"/>
      <c r="J6" s="80"/>
    </row>
    <row r="7" spans="1:10" ht="24.9" customHeight="1" thickBot="1" x14ac:dyDescent="0.35">
      <c r="A7" s="11"/>
      <c r="B7" s="75" t="s">
        <v>19</v>
      </c>
      <c r="C7" s="76"/>
      <c r="D7" s="76"/>
      <c r="E7" s="30" t="s">
        <v>16</v>
      </c>
      <c r="F7" s="30" t="s">
        <v>17</v>
      </c>
      <c r="G7" s="30" t="s">
        <v>20</v>
      </c>
      <c r="H7" s="30" t="s">
        <v>18</v>
      </c>
      <c r="I7" s="86" t="s">
        <v>23</v>
      </c>
      <c r="J7" s="87"/>
    </row>
    <row r="8" spans="1:10" ht="30" customHeight="1" x14ac:dyDescent="0.3">
      <c r="A8" s="11"/>
      <c r="B8" s="42" t="s">
        <v>181</v>
      </c>
      <c r="C8" s="43"/>
      <c r="D8" s="43"/>
      <c r="E8" s="33"/>
      <c r="F8" s="34"/>
      <c r="G8" s="35"/>
      <c r="H8" s="36"/>
      <c r="I8" s="58"/>
      <c r="J8" s="59"/>
    </row>
    <row r="9" spans="1:10" ht="30" customHeight="1" x14ac:dyDescent="0.3">
      <c r="A9" s="11"/>
      <c r="B9" s="44" t="s">
        <v>182</v>
      </c>
      <c r="C9" s="45"/>
      <c r="D9" s="45"/>
      <c r="E9" s="9">
        <v>5</v>
      </c>
      <c r="F9" s="27">
        <v>4</v>
      </c>
      <c r="G9" s="31">
        <f>IFERROR(F9/E9,"")</f>
        <v>0.8</v>
      </c>
      <c r="H9" s="32" t="str">
        <f>_xlfn.IFS(F9="أدخل العلامة","",F9="لا ينطبق","تم الإلغاء",G9&gt;=90%,"ممتاز",G9&gt;=80%,"جيد جداً",G9&gt;=70%,"جيد",G9&gt;=60%,"مقبول",G9&lt;60%,"راسب")</f>
        <v>جيد جداً</v>
      </c>
      <c r="I9" s="50"/>
      <c r="J9" s="51"/>
    </row>
    <row r="10" spans="1:10" ht="39.9" customHeight="1" x14ac:dyDescent="0.3">
      <c r="A10" s="11"/>
      <c r="B10" s="44" t="s">
        <v>183</v>
      </c>
      <c r="C10" s="45"/>
      <c r="D10" s="45"/>
      <c r="E10" s="9">
        <v>5</v>
      </c>
      <c r="F10" s="27">
        <v>4</v>
      </c>
      <c r="G10" s="31">
        <f t="shared" ref="G10:G35" si="0">IFERROR(F10/E10,"")</f>
        <v>0.8</v>
      </c>
      <c r="H10" s="32" t="str">
        <f t="shared" ref="H10:H35" si="1">_xlfn.IFS(F10="أدخل العلامة","",F10="لا ينطبق","تم الإلغاء",G10&gt;=90%,"ممتاز",G10&gt;=80%,"جيد جداً",G10&gt;=70%,"جيد",G10&gt;=60%,"مقبول",G10&lt;60%,"راسب")</f>
        <v>جيد جداً</v>
      </c>
      <c r="I10" s="50"/>
      <c r="J10" s="51"/>
    </row>
    <row r="11" spans="1:10" ht="65.25" customHeight="1" x14ac:dyDescent="0.3">
      <c r="A11" s="11"/>
      <c r="B11" s="44" t="s">
        <v>184</v>
      </c>
      <c r="C11" s="45"/>
      <c r="D11" s="45"/>
      <c r="E11" s="9">
        <v>5</v>
      </c>
      <c r="F11" s="27">
        <v>4</v>
      </c>
      <c r="G11" s="31">
        <f t="shared" si="0"/>
        <v>0.8</v>
      </c>
      <c r="H11" s="32" t="str">
        <f t="shared" si="1"/>
        <v>جيد جداً</v>
      </c>
      <c r="I11" s="50"/>
      <c r="J11" s="51"/>
    </row>
    <row r="12" spans="1:10" ht="39.9" customHeight="1" x14ac:dyDescent="0.3">
      <c r="A12" s="11"/>
      <c r="B12" s="44" t="s">
        <v>185</v>
      </c>
      <c r="C12" s="45"/>
      <c r="D12" s="45"/>
      <c r="E12" s="9">
        <v>5</v>
      </c>
      <c r="F12" s="27">
        <v>4</v>
      </c>
      <c r="G12" s="31">
        <f t="shared" si="0"/>
        <v>0.8</v>
      </c>
      <c r="H12" s="32" t="str">
        <f t="shared" si="1"/>
        <v>جيد جداً</v>
      </c>
      <c r="I12" s="50"/>
      <c r="J12" s="51"/>
    </row>
    <row r="13" spans="1:10" ht="58.5" customHeight="1" x14ac:dyDescent="0.3">
      <c r="A13" s="11"/>
      <c r="B13" s="44" t="s">
        <v>186</v>
      </c>
      <c r="C13" s="45"/>
      <c r="D13" s="45"/>
      <c r="E13" s="9">
        <v>5</v>
      </c>
      <c r="F13" s="27">
        <v>4</v>
      </c>
      <c r="G13" s="31">
        <f t="shared" si="0"/>
        <v>0.8</v>
      </c>
      <c r="H13" s="32" t="str">
        <f t="shared" si="1"/>
        <v>جيد جداً</v>
      </c>
      <c r="I13" s="50"/>
      <c r="J13" s="51"/>
    </row>
    <row r="14" spans="1:10" ht="30" customHeight="1" x14ac:dyDescent="0.3">
      <c r="A14" s="11"/>
      <c r="B14" s="44" t="s">
        <v>187</v>
      </c>
      <c r="C14" s="45"/>
      <c r="D14" s="45"/>
      <c r="E14" s="9">
        <v>5</v>
      </c>
      <c r="F14" s="27">
        <v>4</v>
      </c>
      <c r="G14" s="31">
        <f t="shared" si="0"/>
        <v>0.8</v>
      </c>
      <c r="H14" s="32" t="str">
        <f t="shared" si="1"/>
        <v>جيد جداً</v>
      </c>
      <c r="I14" s="50"/>
      <c r="J14" s="51"/>
    </row>
    <row r="15" spans="1:10" ht="30" customHeight="1" x14ac:dyDescent="0.3">
      <c r="A15" s="11"/>
      <c r="B15" s="44" t="s">
        <v>188</v>
      </c>
      <c r="C15" s="45"/>
      <c r="D15" s="45"/>
      <c r="E15" s="9">
        <v>5</v>
      </c>
      <c r="F15" s="27">
        <v>4</v>
      </c>
      <c r="G15" s="31">
        <f t="shared" si="0"/>
        <v>0.8</v>
      </c>
      <c r="H15" s="32" t="str">
        <f t="shared" si="1"/>
        <v>جيد جداً</v>
      </c>
      <c r="I15" s="50"/>
      <c r="J15" s="51"/>
    </row>
    <row r="16" spans="1:10" ht="30" customHeight="1" thickBot="1" x14ac:dyDescent="0.35">
      <c r="A16" s="11"/>
      <c r="B16" s="46" t="s">
        <v>189</v>
      </c>
      <c r="C16" s="47"/>
      <c r="D16" s="47"/>
      <c r="E16" s="37">
        <v>5</v>
      </c>
      <c r="F16" s="29">
        <v>4</v>
      </c>
      <c r="G16" s="38">
        <f t="shared" si="0"/>
        <v>0.8</v>
      </c>
      <c r="H16" s="39" t="str">
        <f t="shared" si="1"/>
        <v>جيد جداً</v>
      </c>
      <c r="I16" s="54"/>
      <c r="J16" s="55"/>
    </row>
    <row r="17" spans="1:10" ht="39.9" customHeight="1" thickBot="1" x14ac:dyDescent="0.35">
      <c r="A17" s="11"/>
      <c r="B17" s="48" t="s">
        <v>190</v>
      </c>
      <c r="C17" s="49"/>
      <c r="D17" s="49"/>
      <c r="E17" s="10">
        <v>5</v>
      </c>
      <c r="F17" s="40">
        <v>3.75</v>
      </c>
      <c r="G17" s="41">
        <f t="shared" si="0"/>
        <v>0.75</v>
      </c>
      <c r="H17" s="28" t="str">
        <f t="shared" si="1"/>
        <v>جيد</v>
      </c>
      <c r="I17" s="56"/>
      <c r="J17" s="57"/>
    </row>
    <row r="18" spans="1:10" ht="39.9" customHeight="1" x14ac:dyDescent="0.3">
      <c r="A18" s="11"/>
      <c r="B18" s="42" t="s">
        <v>191</v>
      </c>
      <c r="C18" s="43"/>
      <c r="D18" s="43"/>
      <c r="E18" s="33"/>
      <c r="F18" s="34"/>
      <c r="G18" s="35"/>
      <c r="H18" s="36"/>
      <c r="I18" s="58"/>
      <c r="J18" s="59"/>
    </row>
    <row r="19" spans="1:10" ht="30" customHeight="1" x14ac:dyDescent="0.3">
      <c r="A19" s="11"/>
      <c r="B19" s="44" t="s">
        <v>192</v>
      </c>
      <c r="C19" s="45"/>
      <c r="D19" s="45"/>
      <c r="E19" s="9">
        <v>5</v>
      </c>
      <c r="F19" s="27">
        <v>4</v>
      </c>
      <c r="G19" s="31">
        <f t="shared" si="0"/>
        <v>0.8</v>
      </c>
      <c r="H19" s="32" t="str">
        <f t="shared" si="1"/>
        <v>جيد جداً</v>
      </c>
      <c r="I19" s="50"/>
      <c r="J19" s="51"/>
    </row>
    <row r="20" spans="1:10" ht="30" customHeight="1" x14ac:dyDescent="0.3">
      <c r="A20" s="11"/>
      <c r="B20" s="44" t="s">
        <v>193</v>
      </c>
      <c r="C20" s="45"/>
      <c r="D20" s="45"/>
      <c r="E20" s="9">
        <v>5</v>
      </c>
      <c r="F20" s="27">
        <v>3.75</v>
      </c>
      <c r="G20" s="31">
        <f t="shared" si="0"/>
        <v>0.75</v>
      </c>
      <c r="H20" s="32" t="str">
        <f t="shared" si="1"/>
        <v>جيد</v>
      </c>
      <c r="I20" s="50"/>
      <c r="J20" s="51"/>
    </row>
    <row r="21" spans="1:10" ht="30" customHeight="1" x14ac:dyDescent="0.3">
      <c r="A21" s="11"/>
      <c r="B21" s="44" t="s">
        <v>194</v>
      </c>
      <c r="C21" s="45"/>
      <c r="D21" s="45"/>
      <c r="E21" s="9">
        <v>5</v>
      </c>
      <c r="F21" s="27">
        <v>4</v>
      </c>
      <c r="G21" s="31">
        <f t="shared" si="0"/>
        <v>0.8</v>
      </c>
      <c r="H21" s="32" t="str">
        <f t="shared" si="1"/>
        <v>جيد جداً</v>
      </c>
      <c r="I21" s="50"/>
      <c r="J21" s="51"/>
    </row>
    <row r="22" spans="1:10" ht="39.9" customHeight="1" thickBot="1" x14ac:dyDescent="0.35">
      <c r="A22" s="11"/>
      <c r="B22" s="46" t="s">
        <v>195</v>
      </c>
      <c r="C22" s="47"/>
      <c r="D22" s="47"/>
      <c r="E22" s="37">
        <v>5</v>
      </c>
      <c r="F22" s="29">
        <v>3.75</v>
      </c>
      <c r="G22" s="38">
        <f t="shared" si="0"/>
        <v>0.75</v>
      </c>
      <c r="H22" s="39" t="str">
        <f t="shared" si="1"/>
        <v>جيد</v>
      </c>
      <c r="I22" s="54"/>
      <c r="J22" s="55"/>
    </row>
    <row r="23" spans="1:10" ht="39.9" customHeight="1" thickBot="1" x14ac:dyDescent="0.35">
      <c r="A23" s="11"/>
      <c r="B23" s="48" t="s">
        <v>196</v>
      </c>
      <c r="C23" s="49"/>
      <c r="D23" s="49"/>
      <c r="E23" s="10">
        <v>5</v>
      </c>
      <c r="F23" s="40">
        <v>3.75</v>
      </c>
      <c r="G23" s="41">
        <f t="shared" si="0"/>
        <v>0.75</v>
      </c>
      <c r="H23" s="28" t="str">
        <f t="shared" si="1"/>
        <v>جيد</v>
      </c>
      <c r="I23" s="56"/>
      <c r="J23" s="57"/>
    </row>
    <row r="24" spans="1:10" ht="30" customHeight="1" x14ac:dyDescent="0.3">
      <c r="A24" s="11"/>
      <c r="B24" s="42" t="s">
        <v>197</v>
      </c>
      <c r="C24" s="43"/>
      <c r="D24" s="43"/>
      <c r="E24" s="33"/>
      <c r="F24" s="34"/>
      <c r="G24" s="35"/>
      <c r="H24" s="36"/>
      <c r="I24" s="58"/>
      <c r="J24" s="59"/>
    </row>
    <row r="25" spans="1:10" ht="30" customHeight="1" x14ac:dyDescent="0.3">
      <c r="A25" s="11"/>
      <c r="B25" s="44" t="s">
        <v>198</v>
      </c>
      <c r="C25" s="45"/>
      <c r="D25" s="45"/>
      <c r="E25" s="9">
        <v>5</v>
      </c>
      <c r="F25" s="27">
        <v>4</v>
      </c>
      <c r="G25" s="31">
        <f t="shared" si="0"/>
        <v>0.8</v>
      </c>
      <c r="H25" s="32" t="str">
        <f t="shared" si="1"/>
        <v>جيد جداً</v>
      </c>
      <c r="I25" s="50"/>
      <c r="J25" s="51"/>
    </row>
    <row r="26" spans="1:10" ht="30" customHeight="1" x14ac:dyDescent="0.3">
      <c r="A26" s="11"/>
      <c r="B26" s="44" t="s">
        <v>199</v>
      </c>
      <c r="C26" s="45"/>
      <c r="D26" s="45"/>
      <c r="E26" s="9">
        <v>5</v>
      </c>
      <c r="F26" s="27">
        <v>4</v>
      </c>
      <c r="G26" s="31">
        <f t="shared" si="0"/>
        <v>0.8</v>
      </c>
      <c r="H26" s="32" t="str">
        <f t="shared" si="1"/>
        <v>جيد جداً</v>
      </c>
      <c r="I26" s="50"/>
      <c r="J26" s="51"/>
    </row>
    <row r="27" spans="1:10" ht="39.9" customHeight="1" x14ac:dyDescent="0.3">
      <c r="A27" s="11"/>
      <c r="B27" s="44" t="s">
        <v>200</v>
      </c>
      <c r="C27" s="45"/>
      <c r="D27" s="45"/>
      <c r="E27" s="9">
        <v>5</v>
      </c>
      <c r="F27" s="27">
        <v>4</v>
      </c>
      <c r="G27" s="31">
        <f t="shared" si="0"/>
        <v>0.8</v>
      </c>
      <c r="H27" s="32" t="str">
        <f t="shared" si="1"/>
        <v>جيد جداً</v>
      </c>
      <c r="I27" s="50"/>
      <c r="J27" s="51"/>
    </row>
    <row r="28" spans="1:10" ht="30" customHeight="1" x14ac:dyDescent="0.3">
      <c r="A28" s="11"/>
      <c r="B28" s="44" t="s">
        <v>201</v>
      </c>
      <c r="C28" s="45"/>
      <c r="D28" s="45"/>
      <c r="E28" s="9">
        <v>5</v>
      </c>
      <c r="F28" s="27">
        <v>4</v>
      </c>
      <c r="G28" s="31">
        <f t="shared" si="0"/>
        <v>0.8</v>
      </c>
      <c r="H28" s="32" t="str">
        <f t="shared" si="1"/>
        <v>جيد جداً</v>
      </c>
      <c r="I28" s="50"/>
      <c r="J28" s="51"/>
    </row>
    <row r="29" spans="1:10" ht="30" customHeight="1" x14ac:dyDescent="0.3">
      <c r="A29" s="11"/>
      <c r="B29" s="44" t="s">
        <v>202</v>
      </c>
      <c r="C29" s="45"/>
      <c r="D29" s="45"/>
      <c r="E29" s="9">
        <v>5</v>
      </c>
      <c r="F29" s="27">
        <v>4</v>
      </c>
      <c r="G29" s="31">
        <f t="shared" si="0"/>
        <v>0.8</v>
      </c>
      <c r="H29" s="32" t="str">
        <f t="shared" si="1"/>
        <v>جيد جداً</v>
      </c>
      <c r="I29" s="50"/>
      <c r="J29" s="51"/>
    </row>
    <row r="30" spans="1:10" ht="30" customHeight="1" x14ac:dyDescent="0.3">
      <c r="A30" s="11"/>
      <c r="B30" s="44" t="s">
        <v>203</v>
      </c>
      <c r="C30" s="45"/>
      <c r="D30" s="45"/>
      <c r="E30" s="9">
        <v>5</v>
      </c>
      <c r="F30" s="27">
        <v>4</v>
      </c>
      <c r="G30" s="31">
        <f t="shared" si="0"/>
        <v>0.8</v>
      </c>
      <c r="H30" s="32" t="str">
        <f t="shared" si="1"/>
        <v>جيد جداً</v>
      </c>
      <c r="I30" s="50"/>
      <c r="J30" s="51"/>
    </row>
    <row r="31" spans="1:10" ht="30" customHeight="1" x14ac:dyDescent="0.3">
      <c r="A31" s="11"/>
      <c r="B31" s="44" t="s">
        <v>204</v>
      </c>
      <c r="C31" s="45"/>
      <c r="D31" s="45"/>
      <c r="E31" s="9">
        <v>5</v>
      </c>
      <c r="F31" s="27">
        <v>3.75</v>
      </c>
      <c r="G31" s="31">
        <f t="shared" si="0"/>
        <v>0.75</v>
      </c>
      <c r="H31" s="32" t="str">
        <f t="shared" si="1"/>
        <v>جيد</v>
      </c>
      <c r="I31" s="50"/>
      <c r="J31" s="51"/>
    </row>
    <row r="32" spans="1:10" ht="39.9" customHeight="1" x14ac:dyDescent="0.3">
      <c r="A32" s="11"/>
      <c r="B32" s="44" t="s">
        <v>205</v>
      </c>
      <c r="C32" s="45"/>
      <c r="D32" s="45"/>
      <c r="E32" s="9">
        <v>5</v>
      </c>
      <c r="F32" s="27">
        <v>4</v>
      </c>
      <c r="G32" s="31">
        <f t="shared" si="0"/>
        <v>0.8</v>
      </c>
      <c r="H32" s="32" t="str">
        <f t="shared" si="1"/>
        <v>جيد جداً</v>
      </c>
      <c r="I32" s="50"/>
      <c r="J32" s="51"/>
    </row>
    <row r="33" spans="1:10" ht="30" customHeight="1" x14ac:dyDescent="0.3">
      <c r="A33" s="11"/>
      <c r="B33" s="44" t="s">
        <v>206</v>
      </c>
      <c r="C33" s="45"/>
      <c r="D33" s="45"/>
      <c r="E33" s="9">
        <v>5</v>
      </c>
      <c r="F33" s="27">
        <v>3.75</v>
      </c>
      <c r="G33" s="31">
        <f t="shared" si="0"/>
        <v>0.75</v>
      </c>
      <c r="H33" s="32" t="str">
        <f t="shared" si="1"/>
        <v>جيد</v>
      </c>
      <c r="I33" s="50"/>
      <c r="J33" s="51"/>
    </row>
    <row r="34" spans="1:10" ht="30" customHeight="1" x14ac:dyDescent="0.3">
      <c r="A34" s="11"/>
      <c r="B34" s="44" t="s">
        <v>207</v>
      </c>
      <c r="C34" s="45"/>
      <c r="D34" s="45"/>
      <c r="E34" s="9">
        <v>5</v>
      </c>
      <c r="F34" s="27">
        <v>4</v>
      </c>
      <c r="G34" s="31">
        <f t="shared" si="0"/>
        <v>0.8</v>
      </c>
      <c r="H34" s="32" t="str">
        <f t="shared" si="1"/>
        <v>جيد جداً</v>
      </c>
      <c r="I34" s="50"/>
      <c r="J34" s="51"/>
    </row>
    <row r="35" spans="1:10" ht="30" customHeight="1" thickBot="1" x14ac:dyDescent="0.35">
      <c r="A35" s="11"/>
      <c r="B35" s="46" t="s">
        <v>208</v>
      </c>
      <c r="C35" s="47"/>
      <c r="D35" s="47"/>
      <c r="E35" s="37">
        <v>5</v>
      </c>
      <c r="F35" s="29">
        <v>3.75</v>
      </c>
      <c r="G35" s="38">
        <f t="shared" si="0"/>
        <v>0.75</v>
      </c>
      <c r="H35" s="39" t="str">
        <f t="shared" si="1"/>
        <v>جيد</v>
      </c>
      <c r="I35" s="54"/>
      <c r="J35" s="55"/>
    </row>
    <row r="36" spans="1:10" ht="30" customHeight="1" thickBot="1" x14ac:dyDescent="0.35">
      <c r="A36" s="4"/>
      <c r="B36" s="52" t="s">
        <v>5</v>
      </c>
      <c r="C36" s="53"/>
      <c r="D36" s="53"/>
      <c r="E36" s="10">
        <f>SUM(E8:E35)</f>
        <v>125</v>
      </c>
      <c r="F36" s="10">
        <f>SUM(F8:F35)</f>
        <v>98.25</v>
      </c>
      <c r="G36" s="83"/>
      <c r="H36" s="84"/>
      <c r="I36" s="84"/>
      <c r="J36" s="85"/>
    </row>
    <row r="37" spans="1:10" ht="30" customHeight="1" thickBot="1" x14ac:dyDescent="0.35">
      <c r="A37" s="4"/>
      <c r="B37" s="52" t="s">
        <v>52</v>
      </c>
      <c r="C37" s="53"/>
      <c r="D37" s="53"/>
      <c r="E37" s="73">
        <f>F36/E36/100*100</f>
        <v>0.78600000000000003</v>
      </c>
      <c r="F37" s="73"/>
      <c r="G37" s="73"/>
      <c r="H37" s="73"/>
      <c r="I37" s="73"/>
      <c r="J37" s="74"/>
    </row>
    <row r="38" spans="1:10" ht="30" customHeight="1" thickBot="1" x14ac:dyDescent="0.35">
      <c r="A38" s="4"/>
      <c r="B38" s="52" t="s">
        <v>53</v>
      </c>
      <c r="C38" s="53"/>
      <c r="D38" s="53"/>
      <c r="E38" s="64" t="str">
        <f>_xlfn.IFS(E37&gt;=90%,"ممتاز",E37&gt;=80%,"جيد جداً",E37&gt;=70%,"جيد",E37&gt;=60%,"مقبول",E37&lt;60%,"راسب")</f>
        <v>جيد</v>
      </c>
      <c r="F38" s="64"/>
      <c r="G38" s="64"/>
      <c r="H38" s="64"/>
      <c r="I38" s="64"/>
      <c r="J38" s="65"/>
    </row>
    <row r="39" spans="1:10" ht="42" customHeight="1" x14ac:dyDescent="0.3">
      <c r="B39" s="60" t="s">
        <v>172</v>
      </c>
      <c r="C39" s="60"/>
      <c r="D39" s="60"/>
      <c r="E39" s="81" t="s">
        <v>50</v>
      </c>
      <c r="F39" s="81"/>
      <c r="G39" s="62" t="s">
        <v>57</v>
      </c>
      <c r="H39" s="62"/>
      <c r="I39" s="62"/>
      <c r="J39" s="62"/>
    </row>
    <row r="40" spans="1:10" ht="51" customHeight="1" x14ac:dyDescent="0.3">
      <c r="A40" s="5"/>
      <c r="B40" s="61"/>
      <c r="C40" s="61"/>
      <c r="D40" s="61"/>
      <c r="E40" s="82" t="s">
        <v>51</v>
      </c>
      <c r="F40" s="82"/>
      <c r="G40" s="63"/>
      <c r="H40" s="63"/>
      <c r="I40" s="63"/>
      <c r="J40" s="63"/>
    </row>
  </sheetData>
  <sheetProtection sheet="1" formatCells="0" formatColumns="0" formatRows="0" insertColumns="0" insertRows="0" insertHyperlinks="0" deleteColumns="0" deleteRows="0" selectLockedCells="1" sort="0" autoFilter="0" pivotTables="0"/>
  <mergeCells count="77">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2025-10-23T20:55:33Z</dcterms:modified>
</cp:coreProperties>
</file>