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0D3509F-90E6-43C5-B8FE-98BF69AEC9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8" i="2"/>
  <c r="H8" i="2"/>
  <c r="F21" i="2"/>
  <c r="E21" i="2"/>
  <c r="E22" i="2"/>
  <c r="E23" i="2"/>
</calcChain>
</file>

<file path=xl/sharedStrings.xml><?xml version="1.0" encoding="utf-8"?>
<sst xmlns="http://schemas.openxmlformats.org/spreadsheetml/2006/main" count="250" uniqueCount="195">
  <si>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</si>
  <si>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</si>
  <si>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</si>
  <si>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</si>
  <si>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</si>
  <si>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</si>
  <si>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</si>
  <si>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</si>
  <si>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</si>
  <si>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</si>
  <si>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</si>
  <si>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</si>
  <si>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</si>
  <si>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</si>
  <si>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</si>
  <si>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</si>
  <si>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</si>
  <si>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</si>
  <si>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</si>
  <si>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</si>
  <si>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</si>
  <si>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</si>
  <si>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</si>
  <si>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</si>
  <si>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</si>
  <si>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</si>
  <si>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</si>
  <si>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</si>
  <si>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</si>
  <si>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</si>
  <si>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</si>
  <si>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</si>
  <si>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</si>
  <si>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</si>
  <si>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</si>
  <si>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</si>
  <si>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</si>
  <si>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</si>
  <si>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</si>
  <si>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</si>
  <si>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</si>
  <si>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</si>
  <si>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</si>
  <si>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</si>
  <si>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</si>
  <si>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</si>
  <si>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</si>
  <si>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</si>
  <si>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</si>
  <si>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</si>
  <si>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</si>
  <si>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</si>
  <si>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</si>
  <si>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</si>
  <si>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</si>
  <si>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</si>
  <si>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</si>
  <si>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</si>
  <si>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</si>
  <si>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</si>
  <si>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</si>
  <si>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</si>
  <si>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</si>
  <si>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</si>
  <si>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</si>
  <si>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</si>
  <si>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</si>
  <si>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</si>
  <si>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</si>
  <si>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</si>
  <si>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</si>
  <si>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</si>
  <si>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</si>
  <si>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</si>
  <si>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</si>
  <si>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</si>
  <si>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</si>
  <si>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</si>
  <si>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</si>
  <si>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</si>
  <si>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</si>
  <si>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</si>
  <si>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</si>
  <si>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</si>
  <si>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</si>
  <si>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</si>
  <si>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</si>
  <si>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</si>
  <si>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</si>
  <si>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</si>
  <si>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</si>
  <si>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</si>
  <si>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</si>
  <si>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</si>
  <si>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</si>
  <si>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</si>
  <si>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</si>
  <si>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</si>
  <si>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</si>
  <si>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</si>
  <si>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</si>
  <si>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</si>
  <si>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</si>
  <si>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</si>
  <si>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</si>
  <si>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</si>
  <si>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</si>
  <si>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</si>
  <si>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</si>
  <si>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</si>
  <si>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</si>
  <si>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</si>
  <si>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</si>
  <si>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</si>
  <si>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</si>
  <si>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</si>
  <si>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</si>
  <si>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</si>
  <si>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</si>
  <si>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</si>
  <si>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</si>
  <si>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</si>
  <si>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</si>
  <si>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</si>
  <si>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</si>
  <si>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</si>
  <si>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</si>
  <si>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</si>
  <si>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</si>
  <si>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</si>
  <si>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</si>
  <si>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</si>
  <si>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</si>
  <si>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</si>
  <si>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</si>
  <si>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</si>
  <si>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</si>
  <si>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</si>
  <si>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</si>
  <si>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</si>
  <si>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</si>
  <si>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</si>
  <si>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</si>
  <si>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</si>
  <si>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</si>
  <si>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</si>
  <si>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</si>
  <si>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</si>
  <si>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</si>
  <si>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</si>
  <si>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</si>
  <si>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</si>
  <si>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</si>
  <si>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</si>
  <si>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</si>
  <si>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</si>
  <si>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</si>
  <si>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</si>
  <si>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</si>
  <si>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</si>
  <si>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</si>
  <si>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</si>
  <si>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</si>
  <si>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</si>
  <si>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</si>
  <si>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</si>
  <si>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</si>
  <si>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</si>
  <si>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</si>
  <si>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</si>
  <si>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</si>
  <si>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</si>
  <si>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</si>
  <si>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</si>
  <si>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</si>
  <si>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</si>
  <si>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</si>
  <si>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</si>
  <si>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</si>
  <si>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</si>
  <si>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</si>
  <si>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</si>
  <si>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</si>
  <si>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</si>
  <si>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</si>
  <si>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</si>
  <si>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</si>
  <si>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</si>
  <si>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</si>
  <si>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</si>
  <si>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</si>
  <si>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</si>
  <si>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</si>
  <si>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r>
      <rPr>
        <b/>
        <sz val="14"/>
        <color rgb="FF000000"/>
        <rFont val="Arial"/>
        <family val="2"/>
      </rPr>
      <t>تقييم وكيل الكتيبة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</si>
  <si>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وكيل/1 راشد سلطان راشد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</si>
</sst>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62315</xdr:colOff>
      <xdr:row>23</xdr:row>
      <xdr:rowOff>441080</xdr:rowOff>
    </xdr:from>
    <xdr:to>
      <xdr:col>8</xdr:col>
      <xdr:colOff>343823</xdr:colOff>
      <xdr:row>24</xdr:row>
      <xdr:rowOff>464028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E2D6295-8844-7F3D-FEBD-4B54FEA29300}"/>
                </a:ext>
              </a:extLst>
            </xdr14:cNvPr>
            <xdr14:cNvContentPartPr/>
          </xdr14:nvContentPartPr>
          <xdr14:nvPr macro=""/>
          <xdr14:xfrm>
            <a:off x="10398901085" y="10855080"/>
            <a:ext cx="939600" cy="5540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E2D6295-8844-7F3D-FEBD-4B54FEA293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94965" y="10848960"/>
              <a:ext cx="951840" cy="566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6:09:58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2325 1523 10250,'0'0'0,"0"0"0,0-20 2200,4 3-992,0 0-431,0 0-177,-4 17-600,0 0 424,0 0-160,-1 0-176,-3 0-32,4 0-56,-6 0 0,-9 0-32,0 0 40,-4 0-16,19 0 8,-25 0 96,-6 0 8,-5 0 8,-7-3 56,43 3-168,-47-3 128,-4-1 16,-5-1 40,-3 0-24,59 5-160,-63-11 152,-2 8 0,-1-10-64,-1 9-32,67 4-56,-70-16 48,-2 12-8,-1-13-64,-1 5 24,74 12 0,-70-12 0,6-3 0,5 0 8,8-4 16,51 19-24,-46-18 56,5-3 16,9-1 0,6 1 0,26 21-72,-19-24 48,13-3-64,3 0 8,6-6-56,-3 33 64,20-34-64,6-3-48,9-1 32,13 1-32,-48 37 112,62-35-128,12-1 24,11-1 24,7 3-24,-92 34 104,95-30-64,-2 1 56,-2 6-80,-3 3 64,-88 20 24,83-15-48,0 3 0,-4 8 104,-2 0 24,-77 4-80,72-3 72,-3 3-48,-7 0 0,-5 4-64,-57-4 40,53 14 16,-7-1-32,-7 1-24,-11 2 0,-28-16 40,22 16-56,-10 2-48,-12 2-16,-3-2 8,3-18 112,-23 21-104,-14-1 80,-19-1 0,-18-2 0,74-17 24,-84 6-32,-8 5 8,-4-11 40,-5 0 24,101 0-40,-103-13 96,0-4-8,0-3-8,-3-7-48,-1-4-16,107 31-16,-111-37-136,-2 0-168,3-2-88,3-3-136,107 42 528,-103-44-496,6-2-88,3-4-33,3 0 81,91 50 536,-87-51-480,4 3 232,10 0 120,73 48 128,-69-47-64,6 0 88,7 3 16,4 1 32,5 7 32,47 36-104,-40-31 168,7 5 72,11 10 0,8 12-104,14 4-136,-3-3-72,3 3-128,4 16-48,17 8 72,-21-24 176,29 33-72,12 10 16,15 7 64,11 3 24,-67-53-32,80 58 16,8 4 32,4 4 0,0 0 16,-92-66-64,86 71 40,-6 2 0,-11-4-64,-6-1-16,-63-68 40,57 68-24,-4-4-8,-4-1 0,0-3 56,-49-60-24,47 56 96,2-2 32,2-7 104,5 0 40,-56-47-272,58 45 240,5-5-24,4-2-64,-1-4-16,-66-34-136,67 28 32,-3 0-24,-1-5 24,-2-1-40,-61-22 8,59 19 24,-2-3 48,-6-3-39,-4-7-33,-47-6 0,37 14-153,-9-10-1711,-15 0-5762,-13-4 7626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B1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193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178</v>
      </c>
      <c r="C2" s="65" t="s">
        <v>33</v>
      </c>
      <c r="D2" s="65"/>
      <c r="E2" s="12" t="s">
        <v>7</v>
      </c>
      <c r="F2" s="60">
        <v>45944</v>
      </c>
      <c r="G2" s="60"/>
      <c r="H2" s="60"/>
      <c r="I2" s="60"/>
      <c r="J2" s="60"/>
    </row>
    <row r="3" spans="1:10" ht="30" customHeight="1" x14ac:dyDescent="0.3">
      <c r="B3" s="12" t="s">
        <v>179</v>
      </c>
      <c r="C3" s="65"/>
      <c r="D3" s="65"/>
      <c r="E3" s="12" t="s">
        <v>6</v>
      </c>
      <c r="F3" s="65" t="s">
        <v>163</v>
      </c>
      <c r="G3" s="65"/>
      <c r="H3" s="65"/>
      <c r="I3" s="65"/>
      <c r="J3" s="65"/>
    </row>
    <row r="4" spans="1:10" ht="30" customHeight="1" thickBot="1" x14ac:dyDescent="0.35">
      <c r="B4" s="6"/>
      <c r="C4" s="66" t="s">
        <v>194</v>
      </c>
      <c r="D4" s="66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21</v>
      </c>
      <c r="H6" s="11" t="s">
        <v>22</v>
      </c>
      <c r="I6" s="51"/>
      <c r="J6" s="52"/>
    </row>
    <row r="7" spans="1:10" ht="24.9" customHeight="1" thickBot="1" x14ac:dyDescent="0.35">
      <c r="A7" s="10"/>
      <c r="B7" s="47" t="s">
        <v>19</v>
      </c>
      <c r="C7" s="48"/>
      <c r="D7" s="48"/>
      <c r="E7" s="28" t="s">
        <v>16</v>
      </c>
      <c r="F7" s="28" t="s">
        <v>17</v>
      </c>
      <c r="G7" s="28" t="s">
        <v>20</v>
      </c>
      <c r="H7" s="28" t="s">
        <v>18</v>
      </c>
      <c r="I7" s="53" t="s">
        <v>23</v>
      </c>
      <c r="J7" s="54"/>
    </row>
    <row r="8" spans="1:10" ht="39.9" customHeight="1" x14ac:dyDescent="0.3">
      <c r="A8" s="10"/>
      <c r="B8" s="57" t="s">
        <v>180</v>
      </c>
      <c r="C8" s="58"/>
      <c r="D8" s="58"/>
      <c r="E8" s="32">
        <v>5</v>
      </c>
      <c r="F8" s="33">
        <v>3.5</v>
      </c>
      <c r="G8" s="34">
        <f>IFERROR(F8/E8,"")</f>
        <v>0.7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5"/>
      <c r="J8" s="56"/>
    </row>
    <row r="9" spans="1:10" ht="39.9" customHeight="1" x14ac:dyDescent="0.3">
      <c r="A9" s="10"/>
      <c r="B9" s="39" t="s">
        <v>181</v>
      </c>
      <c r="C9" s="40"/>
      <c r="D9" s="40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39" t="s">
        <v>182</v>
      </c>
      <c r="C10" s="40"/>
      <c r="D10" s="40"/>
      <c r="E10" s="9">
        <v>5</v>
      </c>
      <c r="F10" s="26">
        <v>3</v>
      </c>
      <c r="G10" s="30">
        <f t="shared" ref="G10:G20" si="0">IFERROR(F10/E10,"")</f>
        <v>0.6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45"/>
      <c r="J10" s="46"/>
    </row>
    <row r="11" spans="1:10" ht="39.9" customHeight="1" x14ac:dyDescent="0.3">
      <c r="A11" s="10"/>
      <c r="B11" s="39" t="s">
        <v>183</v>
      </c>
      <c r="C11" s="40"/>
      <c r="D11" s="40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39" t="s">
        <v>184</v>
      </c>
      <c r="C12" s="40"/>
      <c r="D12" s="40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5"/>
      <c r="J12" s="46"/>
    </row>
    <row r="13" spans="1:10" ht="39.9" customHeight="1" x14ac:dyDescent="0.3">
      <c r="A13" s="10"/>
      <c r="B13" s="39" t="s">
        <v>185</v>
      </c>
      <c r="C13" s="40"/>
      <c r="D13" s="40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5"/>
      <c r="J13" s="46"/>
    </row>
    <row r="14" spans="1:10" ht="39.9" customHeight="1" x14ac:dyDescent="0.3">
      <c r="A14" s="10"/>
      <c r="B14" s="39" t="s">
        <v>186</v>
      </c>
      <c r="C14" s="40"/>
      <c r="D14" s="40"/>
      <c r="E14" s="9">
        <v>5</v>
      </c>
      <c r="F14" s="26">
        <v>4</v>
      </c>
      <c r="G14" s="30">
        <f t="shared" si="0"/>
        <v>0.8</v>
      </c>
      <c r="H14" s="31" t="str">
        <f t="shared" si="1"/>
        <v>جيد جداً</v>
      </c>
      <c r="I14" s="45"/>
      <c r="J14" s="46"/>
    </row>
    <row r="15" spans="1:10" ht="39.9" customHeight="1" x14ac:dyDescent="0.3">
      <c r="A15" s="10"/>
      <c r="B15" s="39" t="s">
        <v>187</v>
      </c>
      <c r="C15" s="40"/>
      <c r="D15" s="4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39" t="s">
        <v>188</v>
      </c>
      <c r="C16" s="40"/>
      <c r="D16" s="4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39" t="s">
        <v>192</v>
      </c>
      <c r="C17" s="40"/>
      <c r="D17" s="40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39" t="s">
        <v>189</v>
      </c>
      <c r="C18" s="40"/>
      <c r="D18" s="40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39" t="s">
        <v>190</v>
      </c>
      <c r="C19" s="40"/>
      <c r="D19" s="40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5"/>
      <c r="J19" s="46"/>
    </row>
    <row r="20" spans="1:10" ht="39.9" customHeight="1" thickBot="1" x14ac:dyDescent="0.35">
      <c r="A20" s="10"/>
      <c r="B20" s="43" t="s">
        <v>191</v>
      </c>
      <c r="C20" s="44"/>
      <c r="D20" s="44"/>
      <c r="E20" s="36">
        <v>5</v>
      </c>
      <c r="F20" s="27">
        <v>3.25</v>
      </c>
      <c r="G20" s="37">
        <f t="shared" si="0"/>
        <v>0.65</v>
      </c>
      <c r="H20" s="38" t="str">
        <f t="shared" si="1"/>
        <v>مقبول</v>
      </c>
      <c r="I20" s="41"/>
      <c r="J20" s="42"/>
    </row>
    <row r="21" spans="1:10" ht="30" customHeight="1" thickBot="1" x14ac:dyDescent="0.35">
      <c r="A21" s="4"/>
      <c r="B21" s="80" t="s">
        <v>5</v>
      </c>
      <c r="C21" s="81"/>
      <c r="D21" s="81"/>
      <c r="E21" s="29">
        <f>SUM(E8:E20)</f>
        <v>65</v>
      </c>
      <c r="F21" s="29">
        <f>SUM(F8:F20)</f>
        <v>46.5</v>
      </c>
      <c r="G21" s="69"/>
      <c r="H21" s="70"/>
      <c r="I21" s="70"/>
      <c r="J21" s="71"/>
    </row>
    <row r="22" spans="1:10" ht="30" customHeight="1" thickBot="1" x14ac:dyDescent="0.35">
      <c r="A22" s="4"/>
      <c r="B22" s="82" t="s">
        <v>52</v>
      </c>
      <c r="C22" s="83"/>
      <c r="D22" s="83"/>
      <c r="E22" s="78">
        <f>F21/E21/100*100</f>
        <v>0.7153846153846154</v>
      </c>
      <c r="F22" s="78"/>
      <c r="G22" s="78"/>
      <c r="H22" s="78"/>
      <c r="I22" s="78"/>
      <c r="J22" s="79"/>
    </row>
    <row r="23" spans="1:10" ht="30" customHeight="1" thickBot="1" x14ac:dyDescent="0.35">
      <c r="A23" s="4"/>
      <c r="B23" s="82" t="s">
        <v>53</v>
      </c>
      <c r="C23" s="83"/>
      <c r="D23" s="83"/>
      <c r="E23" s="76" t="str">
        <f>_xlfn.IFS(E22&gt;=90%,"ممتاز",E22&gt;=80%,"جيد جداً",E22&gt;=70%,"جيد",E22&gt;=60%,"مقبول",E22&lt;60%,"راسب")</f>
        <v>جيد</v>
      </c>
      <c r="F23" s="76"/>
      <c r="G23" s="76"/>
      <c r="H23" s="76"/>
      <c r="I23" s="76"/>
      <c r="J23" s="77"/>
    </row>
    <row r="24" spans="1:10" ht="42" customHeight="1" x14ac:dyDescent="0.3">
      <c r="B24" s="72" t="s">
        <v>172</v>
      </c>
      <c r="C24" s="72"/>
      <c r="D24" s="72"/>
      <c r="E24" s="67" t="s">
        <v>50</v>
      </c>
      <c r="F24" s="67"/>
      <c r="G24" s="74" t="s">
        <v>163</v>
      </c>
      <c r="H24" s="74"/>
      <c r="I24" s="74"/>
      <c r="J24" s="74"/>
    </row>
    <row r="25" spans="1:10" ht="51" customHeight="1" x14ac:dyDescent="0.3">
      <c r="A25" s="5"/>
      <c r="B25" s="73"/>
      <c r="C25" s="73"/>
      <c r="D25" s="73"/>
      <c r="E25" s="68" t="s">
        <v>51</v>
      </c>
      <c r="F25" s="68"/>
      <c r="G25" s="75"/>
      <c r="H25" s="75"/>
      <c r="I25" s="75"/>
      <c r="J25" s="7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8"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C4:D4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15:J15"/>
    <mergeCell ref="I16:J16"/>
    <mergeCell ref="I17:J17"/>
    <mergeCell ref="I18:J18"/>
    <mergeCell ref="I19:J19"/>
    <mergeCell ref="I20:J20"/>
    <mergeCell ref="B17:D17"/>
    <mergeCell ref="B18:D18"/>
    <mergeCell ref="B19:D19"/>
    <mergeCell ref="B20:D20"/>
    <mergeCell ref="B16:D16"/>
    <mergeCell ref="B11:D11"/>
    <mergeCell ref="B12:D12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2025-10-20T04:39:15Z</dcterms:modified>
</cp:coreProperties>
</file>