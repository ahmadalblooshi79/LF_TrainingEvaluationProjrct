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2B1DB4A2-4AF4-4A04-B0D1-D2EF426A86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 s="1"/>
  <c r="G11" i="2"/>
  <c r="H11" i="2"/>
  <c r="G12" i="2"/>
  <c r="H12" i="2" s="1"/>
  <c r="G13" i="2"/>
  <c r="H13" i="2"/>
  <c r="G14" i="2"/>
  <c r="H14" i="2"/>
  <c r="G8" i="2"/>
  <c r="H8" i="2"/>
  <c r="F15" i="2"/>
  <c r="E16" i="2" s="1"/>
  <c r="E17" i="2" s="1"/>
  <c r="E15" i="2"/>
</calcChain>
</file>

<file path=xl/sharedStrings.xml><?xml version="1.0" encoding="utf-8"?>
<sst xmlns="http://schemas.openxmlformats.org/spreadsheetml/2006/main" count="244" uniqueCount="188">
  <si>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</si>
  <si>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</si>
  <si>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</si>
  <si>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</si>
  <si>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</si>
  <si>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</si>
  <si>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</si>
  <si>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</si>
  <si>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</si>
  <si>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</si>
  <si>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</si>
  <si>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</si>
  <si>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</si>
  <si>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</si>
  <si>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</si>
  <si>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</si>
  <si>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</si>
  <si>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</si>
  <si>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</si>
  <si>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</si>
  <si>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</si>
  <si>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</si>
  <si>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</si>
  <si>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</si>
  <si>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</si>
  <si>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</si>
  <si>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</si>
  <si>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</si>
  <si>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</si>
  <si>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</si>
  <si>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</si>
  <si>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</si>
  <si>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</si>
  <si>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</si>
  <si>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</si>
  <si>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</si>
  <si>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</si>
  <si>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</si>
  <si>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</si>
  <si>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</si>
  <si>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</si>
  <si>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</si>
  <si>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</si>
  <si>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</si>
  <si>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</si>
  <si>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</si>
  <si>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</si>
  <si>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</si>
  <si>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</si>
  <si>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</si>
  <si>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</si>
  <si>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</si>
  <si>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</si>
  <si>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</si>
  <si>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</si>
  <si>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</si>
  <si>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</si>
  <si>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</si>
  <si>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</si>
  <si>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</si>
  <si>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</si>
  <si>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</si>
  <si>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</si>
  <si>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</si>
  <si>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</si>
  <si>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</si>
  <si>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</si>
  <si>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</si>
  <si>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</si>
  <si>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</si>
  <si>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</si>
  <si>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</si>
  <si>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</si>
  <si>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</si>
  <si>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</si>
  <si>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</si>
  <si>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</si>
  <si>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</si>
  <si>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</si>
  <si>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</si>
  <si>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</si>
  <si>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</si>
  <si>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</si>
  <si>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</si>
  <si>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</si>
  <si>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</si>
  <si>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</si>
  <si>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</si>
  <si>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</si>
  <si>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</si>
  <si>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</si>
  <si>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</si>
  <si>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</si>
  <si>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</si>
  <si>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</si>
  <si>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</si>
  <si>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</si>
  <si>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</si>
  <si>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</si>
  <si>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</si>
  <si>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</si>
  <si>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</si>
  <si>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</si>
  <si>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</si>
  <si>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</si>
  <si>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</si>
  <si>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</si>
  <si>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</si>
  <si>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</si>
  <si>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</si>
  <si>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</si>
  <si>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</si>
  <si>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</si>
  <si>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</si>
  <si>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</si>
  <si>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</si>
  <si>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</si>
  <si>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</si>
  <si>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</si>
  <si>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</si>
  <si>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</si>
  <si>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</si>
  <si>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</si>
  <si>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</si>
  <si>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</si>
  <si>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</si>
  <si>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</si>
  <si>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</si>
  <si>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</si>
  <si>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</si>
  <si>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</si>
  <si>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</si>
  <si>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</si>
  <si>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</si>
  <si>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</si>
  <si>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</si>
  <si>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</si>
  <si>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</si>
  <si>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</si>
  <si>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</si>
  <si>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</si>
  <si>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</si>
  <si>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</si>
  <si>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</si>
  <si>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</si>
  <si>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</si>
  <si>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</si>
  <si>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</si>
  <si>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</si>
  <si>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</si>
  <si>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</si>
  <si>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</si>
  <si>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</si>
  <si>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</si>
  <si>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</si>
  <si>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</si>
  <si>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</si>
  <si>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</si>
  <si>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</si>
  <si>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</si>
  <si>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</si>
  <si>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</si>
  <si>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</si>
  <si>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</si>
  <si>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</si>
  <si>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</si>
  <si>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</si>
  <si>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</si>
  <si>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</si>
  <si>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</si>
  <si>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</si>
  <si>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</si>
  <si>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</si>
  <si>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</si>
  <si>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</si>
  <si>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</si>
  <si>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</si>
  <si>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</si>
  <si>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</si>
  <si>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</si>
  <si>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7.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صلاحية مكان المبيت.</t>
    </r>
  </si>
  <si>
    <r>
      <t>5.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أقواس الرمي.</t>
    </r>
  </si>
  <si>
    <r>
      <t>4.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توزيع الفصيلة على شكل دائري.</t>
    </r>
  </si>
  <si>
    <r>
      <t>3.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كلمة السر.</t>
    </r>
  </si>
  <si>
    <r>
      <t>2.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الخفارة وإجراءات الخفير.</t>
    </r>
  </si>
  <si>
    <r>
      <t>1.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الضبط والسيطرة.</t>
    </r>
  </si>
  <si>
    <r>
      <rPr>
        <b/>
        <sz val="14"/>
        <color rgb="FF000000"/>
        <rFont val="Arial"/>
        <family val="2"/>
      </rPr>
      <t>تقييم سرية مشاة راجلة في المبيت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</si>
  <si>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6.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مكان قائد السرية (في الوسط).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</si>
</sst>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4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80795</xdr:colOff>
      <xdr:row>18</xdr:row>
      <xdr:rowOff>26485</xdr:rowOff>
    </xdr:from>
    <xdr:to>
      <xdr:col>8</xdr:col>
      <xdr:colOff>540932</xdr:colOff>
      <xdr:row>18</xdr:row>
      <xdr:rowOff>511765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AA943BC-2670-013C-53D2-2AB7D93337CD}"/>
                </a:ext>
              </a:extLst>
            </xdr14:cNvPr>
            <xdr14:cNvContentPartPr/>
          </xdr14:nvContentPartPr>
          <xdr14:nvPr macro=""/>
          <xdr14:xfrm>
            <a:off x="10423161868" y="7027920"/>
            <a:ext cx="1114560" cy="4852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AA943BC-2670-013C-53D2-2AB7D93337C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153228" y="7018920"/>
              <a:ext cx="1132200" cy="50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592715</xdr:colOff>
      <xdr:row>18</xdr:row>
      <xdr:rowOff>153925</xdr:rowOff>
    </xdr:from>
    <xdr:to>
      <xdr:col>8</xdr:col>
      <xdr:colOff>572612</xdr:colOff>
      <xdr:row>18</xdr:row>
      <xdr:rowOff>570445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F79DCAC-0C61-4C37-2473-89346C04622C}"/>
                </a:ext>
              </a:extLst>
            </xdr14:cNvPr>
            <xdr14:cNvContentPartPr/>
          </xdr14:nvContentPartPr>
          <xdr14:nvPr macro=""/>
          <xdr14:xfrm>
            <a:off x="10423130188" y="7155360"/>
            <a:ext cx="634320" cy="4165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F79DCAC-0C61-4C37-2473-89346C04622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121188" y="7146720"/>
              <a:ext cx="651960" cy="434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17:52:38.6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2329 619 1792,'0'0'0,"0"-3"784,-2 0-8,2 3-776,-3-5 416,1 1-144,0 1-40,2-1 24,-3 3 25,3-2 31,0 3-312,0-2 352,0 1 0,0-2-16,0 1-32,0 0-40,0-1-56,0 3-208,0-1 176,0 0-32,0-2-16,0 2-16,0-1-16,2 1 0,-2 1-96,1-2 72,0 1-16,0 1-32,0-1-40,3 0-40,-2 0-16,-2 1 72,4-2-40,1 2-72,-1-1 16,6 1 8,-5-1-48,7 0 48,-12 1 88,11-1-24,0-1-40,0 2-8,3-1 8,0 1-64,3-1 48,-17 1 80,17-2-96,1 0-24,1 1 24,0-1-16,1 1 56,2-2-24,-22 3 80,23-3-24,-1 0-8,1 1 0,0 1 48,1-1-88,0 1 144,-24 1-72,24 0-64,-3 0 64,1 0 16,0 0-88,-1 0 128,2 4-40,-23-4-16,20 2-16,2 2 24,-3 8-8,0-9-24,0 12 24,0-3 8,-19-12-8,17 9-32,-1 5-8,-3-1-8,0 1-32,0 2 72,-1-2-64,-12-14 72,11 16-8,0 0-32,-6 0-48,7 1 64,-9 1-56,2-4 120,-5-14-40,5 16-64,-1-2 16,-2-1 16,-1 3-88,-1-2 64,0 1 8,0-15 48,-2 13-96,-2-2-16,-7 1 56,8-2-8,-11 0 48,5 1 64,9-11-48,-12 11 8,-1-1 8,1 0 0,-1-1 8,-1-5 32,1 7-8,13-11-48,-15 2 56,-1 2-16,-1-2-8,0-2 0,1 0 56,-2 0-24,18 0-64,-18 0 128,0-1-40,0-1-24,-1-8 80,1 5-32,2-5-16,16 10-96,-17-11 64,-1 0-64,0-1 64,-3-1-56,-1-2 8,-1 1-24,23 14 8,-23-16-72,-3 2 56,1-3 24,-2-1-48,-1 2-16,-1 0 0,29 16 56,-30-16-120,-2 3 88,-3-2 24,0 3-64,-1 0 16,1 1-48,35 11 104,-35-5-112,-1-7 8,0 8 40,-1 0-16,-2-1 8,0-5 40,39 10 32,-37-1-72,-2-1 56,1-1-40,-2 3 8,-1 0-16,0 0-41,41 0 105,-41 0-72,1 0 64,2 3-24,0-1-48,-2 0 8,1 1-64,39-3 136,-39 2-136,1-2 40,2 0-32,3 0 8,0 0-16,1 3-16,32-3 152,-34 0-176,4-2-8,0-1-104,3-2-88,1-6-56,1 7-32,25 4 464,-24-15-376,2 4 112,0-4 64,2-2 56,-1 0 32,3-4 8,18 21 104,-18-21-64,3 0 24,-1-1 8,2 1 16,0-3 0,4 1 16,10 23 0,-11-24 8,7-1 8,-5 2 8,7 1 8,-1 0 0,0 0 8,3 22-40,-4-19 40,1 0 0,3 1-8,0 1 0,2 0 0,1-1-8,-3 18-24,10-15 24,-7-1-8,8 2-8,2 2 0,-2 0-8,6 0 8,-17 12-8,18-12 16,2 1 0,4 0 8,0 1 0,1 6 0,5-6 16,-30 10-40,33-3 64,1-7 8,5 8 8,-2-2 16,4 0 0,2 1 0,-43 3-96,44-1 88,4-1 0,4 1 8,-1 1-8,2 0 0,-2 0-8,-51 0-80,50 0 80,-1 3-16,-1 0 0,1 7-24,-1-8 0,-1 9-8,-47-11-32,45 4 32,0 9 8,-3-4 8,2 1-16,-3 2 0,-3 0-8,-38-12-24,36 12 16,0 1 8,-3 0-16,0 3-8,-3-1 0,-3 1-8,-27-16 8,24 17-16,-1-2 16,-4 3-16,-1-2 8,-1-1-8,-2 1-8,-15-16 24,16 16-32,-4-2-16,0 0 8,-7 1 0,4-2 24,-7 1 8,-2-14 8,1 13-16,-1 1 24,-3-1 24,-6 0 56,-3 3 80,-3-2 72,15-14-240,-19 14 320,-2 3 40,-3-1 24,-5 0-48,-2 4-56,-6-2-48,37-18-232,-40 19 209,-2-1-57,-2 0-32,-3 2-24,-2-2-56,-5 1 16,54-19-56,-55 18 56,-5 1-48,-1 2-8,-3-2 0,-3 3-48,0-2 64,67-20-16,-72 24-8,-1-3 8,-2 2 16,-2 0-16,0-1 48,4 2 72,73-24-120,-74 25 64,2-1 80,1 0-8,2-2-64,3 0-24,-1 0-160,67-22 112,-64 21 32,2 2-120,2-2 48,5 2 32,1-1-160,3-3 104,51-19 64,-48 19-32,3-1-48,2-2-16,1 1-16,0-6-8,2 1-64,40-12 184,-37 12-16,1 2-137,3-2-103,2-3-112,2 1-488,1-8-24,28-2 880,-24 11-1032,4-9 240,2 1 440,3-1 256,6-2 96,5-1 0,4 1 0,-3-10 0,3 0 0,0 10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17:52:39.6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1761 7 4112,'0'0'0,"0"0"0,-3 0 2385,0 0-1537,-9-1-528,8-2-304,-12 2-96,4 0 0,12 1 80,-14 0-160,-5 0 96,0 0 64,-3 9-80,-1-5 0,-1 10-16,24-14 96,-26 12-144,-4 0 24,0 2 8,-1 1 0,-3 0-32,2 1 8,0 1-32,32-17 168,-35 17-152,3 0-24,0 1 56,1 0 16,2-2 0,0 2 24,29-18 80,-27 17-120,1-2-96,1 1 8,2-1-81,-2-1-207,3 0-248,22-14 744,-20 12-968,1-8-32,3 10 224,2-10 400,-1 7 240,3-9 104,12-2 32,-14 3 0,2-3 0,1 0 0,11 0 0</inkml:trace>
  <inkml:trace contextRef="#ctx0" brushRef="#br0" timeOffset="1">748 356 8,'0'0'0,"0"0"0,-17 0 0,3 2 0,-6 2 0,6 9 0,-1-10 0,-2 12 0,17-15 0,-17 3 0,1 13 0,2-6 0,0-7 0,4 12 0,0-12 0,1 10 0,9-13 0,-2 4 0,-9 5 0,11-6 0,-4 0 0,2 0 0,-1-1 0,3-2 0,-2 0 0,-2 0 0,4-3 0,0 3 0</inkml:trace>
  <inkml:trace contextRef="#ctx0" brushRef="#br0" timeOffset="2">214 465 8,'0'0'0,"-25"0"0,4 0 0,-6 0 0,5 0 0,22 0 0,-19 2 0,2 0 0,1 1 0,2-3 0,1 0 0,3 0 0,10 0 0,-3 0 0,-10 0 0,11-1 0,-1-3 0,-1-7 0,2 8 0,2 3 0,-3-11 0,3 11 0</inkml:trace>
  <inkml:trace contextRef="#ctx0" brushRef="#br0" timeOffset="3">528 208 8,'0'0'0,"0"0"0,-3 46 0,-9 2 0,2 9 0,1 0 0,5-17 0,-7-1 0,11-39 0,-2 42 0,-2-2 0,1 1 0,1 0 16,2-4 16,0-2 32,0-35-64,3 36 104,9-2 16,0-1 40,1-2 32,3-3-40,2-2 88,-18-26-240,22 25 224,4-1-8,5-2 48,2-1-40,5-2 40,2-2 16,-40-17-280,43 14 224,2 1-40,5-3 32,2-1-88,3-1 96,1 1-72,-56-11-152,58 10 48,3-1 0,1-5-96,5 6-208,4-8-376,3 0-88,-74-2 720,80 0-600,3 0 224,1-3-760,-84 3 1136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9"/>
  <sheetViews>
    <sheetView rightToLeft="1" tabSelected="1" view="pageBreakPreview" topLeftCell="A11" zoomScale="130" zoomScaleNormal="100" zoomScaleSheetLayoutView="130" workbookViewId="0">
      <selection activeCell="F8" sqref="F8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8" t="s">
        <v>186</v>
      </c>
      <c r="C1" s="48"/>
      <c r="D1" s="48"/>
      <c r="E1" s="48"/>
      <c r="F1" s="48"/>
      <c r="G1" s="48"/>
      <c r="H1" s="48"/>
      <c r="I1" s="48"/>
      <c r="J1" s="48"/>
    </row>
    <row r="2" spans="1:10" ht="30" customHeight="1" x14ac:dyDescent="0.3">
      <c r="B2" s="12" t="s">
        <v>8</v>
      </c>
      <c r="C2" s="54" t="s">
        <v>41</v>
      </c>
      <c r="D2" s="54"/>
      <c r="E2" s="12" t="s">
        <v>7</v>
      </c>
      <c r="F2" s="49">
        <v>45943</v>
      </c>
      <c r="G2" s="49"/>
      <c r="H2" s="49"/>
      <c r="I2" s="49"/>
      <c r="J2" s="49"/>
    </row>
    <row r="3" spans="1:10" ht="30" customHeight="1" x14ac:dyDescent="0.3">
      <c r="B3" s="12" t="s">
        <v>9</v>
      </c>
      <c r="C3" s="54" t="s">
        <v>82</v>
      </c>
      <c r="D3" s="54"/>
      <c r="E3" s="12" t="s">
        <v>6</v>
      </c>
      <c r="F3" s="54" t="s">
        <v>92</v>
      </c>
      <c r="G3" s="54"/>
      <c r="H3" s="54"/>
      <c r="I3" s="54"/>
      <c r="J3" s="54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0" t="s">
        <v>0</v>
      </c>
      <c r="C5" s="51"/>
      <c r="D5" s="51"/>
      <c r="E5" s="57" t="s">
        <v>1</v>
      </c>
      <c r="F5" s="57"/>
      <c r="G5" s="57"/>
      <c r="H5" s="57"/>
      <c r="I5" s="57" t="s">
        <v>2</v>
      </c>
      <c r="J5" s="58"/>
    </row>
    <row r="6" spans="1:10" ht="24.9" customHeight="1" thickBot="1" x14ac:dyDescent="0.35">
      <c r="A6" s="10"/>
      <c r="B6" s="52"/>
      <c r="C6" s="53"/>
      <c r="D6" s="53"/>
      <c r="E6" s="11" t="s">
        <v>3</v>
      </c>
      <c r="F6" s="11" t="s">
        <v>4</v>
      </c>
      <c r="G6" s="11" t="s">
        <v>23</v>
      </c>
      <c r="H6" s="11" t="s">
        <v>24</v>
      </c>
      <c r="I6" s="59"/>
      <c r="J6" s="60"/>
    </row>
    <row r="7" spans="1:10" ht="24.9" customHeight="1" x14ac:dyDescent="0.3">
      <c r="A7" s="10"/>
      <c r="B7" s="55" t="s">
        <v>21</v>
      </c>
      <c r="C7" s="56"/>
      <c r="D7" s="56"/>
      <c r="E7" s="27" t="s">
        <v>18</v>
      </c>
      <c r="F7" s="27" t="s">
        <v>19</v>
      </c>
      <c r="G7" s="27" t="s">
        <v>22</v>
      </c>
      <c r="H7" s="27" t="s">
        <v>20</v>
      </c>
      <c r="I7" s="61" t="s">
        <v>25</v>
      </c>
      <c r="J7" s="62"/>
    </row>
    <row r="8" spans="1:10" ht="30" customHeight="1" x14ac:dyDescent="0.3">
      <c r="A8" s="10"/>
      <c r="B8" s="47" t="s">
        <v>185</v>
      </c>
      <c r="C8" s="47"/>
      <c r="D8" s="47"/>
      <c r="E8" s="9">
        <v>5</v>
      </c>
      <c r="F8" s="26">
        <v>3.75</v>
      </c>
      <c r="G8" s="29">
        <f>IFERROR(F8/E8,"")</f>
        <v>0.75</v>
      </c>
      <c r="H8" s="30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36"/>
      <c r="J8" s="36"/>
    </row>
    <row r="9" spans="1:10" ht="30" customHeight="1" x14ac:dyDescent="0.3">
      <c r="A9" s="10"/>
      <c r="B9" s="47" t="s">
        <v>184</v>
      </c>
      <c r="C9" s="47"/>
      <c r="D9" s="47"/>
      <c r="E9" s="9">
        <v>5</v>
      </c>
      <c r="F9" s="26">
        <v>3.75</v>
      </c>
      <c r="G9" s="29">
        <f>IFERROR(F9/E9,"")</f>
        <v>0.75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36"/>
      <c r="J9" s="36"/>
    </row>
    <row r="10" spans="1:10" ht="30" customHeight="1" x14ac:dyDescent="0.3">
      <c r="A10" s="10"/>
      <c r="B10" s="47" t="s">
        <v>183</v>
      </c>
      <c r="C10" s="47"/>
      <c r="D10" s="47"/>
      <c r="E10" s="9">
        <v>5</v>
      </c>
      <c r="F10" s="26">
        <v>3.5</v>
      </c>
      <c r="G10" s="29">
        <f t="shared" ref="G10:G14" si="0">IFERROR(F10/E10,"")</f>
        <v>0.7</v>
      </c>
      <c r="H10" s="30" t="str">
        <f t="shared" ref="H10:H14" si="1">_xlfn.IFS(F10="أدخل العلامة","",F10="لا ينطبق","تم الإلغاء",G10&gt;=90%,"ممتاز",G10&gt;=80%,"جيد جداً",G10&gt;=70%,"جيد",G10&gt;=60%,"مقبول",G10&lt;60%,"راسب")</f>
        <v>جيد</v>
      </c>
      <c r="I10" s="36"/>
      <c r="J10" s="36"/>
    </row>
    <row r="11" spans="1:10" ht="30" customHeight="1" x14ac:dyDescent="0.3">
      <c r="A11" s="10"/>
      <c r="B11" s="47" t="s">
        <v>182</v>
      </c>
      <c r="C11" s="47"/>
      <c r="D11" s="47"/>
      <c r="E11" s="9">
        <v>5</v>
      </c>
      <c r="F11" s="26">
        <v>3.5</v>
      </c>
      <c r="G11" s="29">
        <f t="shared" si="0"/>
        <v>0.7</v>
      </c>
      <c r="H11" s="30" t="str">
        <f t="shared" si="1"/>
        <v>جيد</v>
      </c>
      <c r="I11" s="36"/>
      <c r="J11" s="36"/>
    </row>
    <row r="12" spans="1:10" ht="30" customHeight="1" x14ac:dyDescent="0.3">
      <c r="A12" s="10"/>
      <c r="B12" s="47" t="s">
        <v>181</v>
      </c>
      <c r="C12" s="47"/>
      <c r="D12" s="47"/>
      <c r="E12" s="9">
        <v>5</v>
      </c>
      <c r="F12" s="26">
        <v>3.75</v>
      </c>
      <c r="G12" s="29">
        <f t="shared" si="0"/>
        <v>0.75</v>
      </c>
      <c r="H12" s="30" t="str">
        <f t="shared" si="1"/>
        <v>جيد</v>
      </c>
      <c r="I12" s="36"/>
      <c r="J12" s="36"/>
    </row>
    <row r="13" spans="1:10" ht="30" customHeight="1" x14ac:dyDescent="0.3">
      <c r="A13" s="10"/>
      <c r="B13" s="47" t="s">
        <v>187</v>
      </c>
      <c r="C13" s="47"/>
      <c r="D13" s="47"/>
      <c r="E13" s="9">
        <v>5</v>
      </c>
      <c r="F13" s="26">
        <v>3.75</v>
      </c>
      <c r="G13" s="29">
        <f t="shared" si="0"/>
        <v>0.75</v>
      </c>
      <c r="H13" s="30" t="str">
        <f t="shared" si="1"/>
        <v>جيد</v>
      </c>
      <c r="I13" s="36"/>
      <c r="J13" s="36"/>
    </row>
    <row r="14" spans="1:10" ht="30" customHeight="1" x14ac:dyDescent="0.3">
      <c r="A14" s="10"/>
      <c r="B14" s="47" t="s">
        <v>180</v>
      </c>
      <c r="C14" s="47"/>
      <c r="D14" s="47"/>
      <c r="E14" s="9">
        <v>5</v>
      </c>
      <c r="F14" s="26">
        <v>3.75</v>
      </c>
      <c r="G14" s="29">
        <f t="shared" si="0"/>
        <v>0.75</v>
      </c>
      <c r="H14" s="30" t="str">
        <f t="shared" si="1"/>
        <v>جيد</v>
      </c>
      <c r="I14" s="36"/>
      <c r="J14" s="36"/>
    </row>
    <row r="15" spans="1:10" ht="30" customHeight="1" thickBot="1" x14ac:dyDescent="0.35">
      <c r="A15" s="4"/>
      <c r="B15" s="63" t="s">
        <v>5</v>
      </c>
      <c r="C15" s="64"/>
      <c r="D15" s="64"/>
      <c r="E15" s="28">
        <f>SUM(E8:E14)</f>
        <v>35</v>
      </c>
      <c r="F15" s="28">
        <f>SUM(F8:F14)</f>
        <v>25.75</v>
      </c>
      <c r="G15" s="33"/>
      <c r="H15" s="34"/>
      <c r="I15" s="34"/>
      <c r="J15" s="35"/>
    </row>
    <row r="16" spans="1:10" ht="30" customHeight="1" thickBot="1" x14ac:dyDescent="0.35">
      <c r="A16" s="4"/>
      <c r="B16" s="45" t="s">
        <v>54</v>
      </c>
      <c r="C16" s="46"/>
      <c r="D16" s="46"/>
      <c r="E16" s="43">
        <f>F15/E15/100*100</f>
        <v>0.73571428571428577</v>
      </c>
      <c r="F16" s="43"/>
      <c r="G16" s="43"/>
      <c r="H16" s="43"/>
      <c r="I16" s="43"/>
      <c r="J16" s="44"/>
    </row>
    <row r="17" spans="1:10" ht="30" customHeight="1" thickBot="1" x14ac:dyDescent="0.35">
      <c r="A17" s="4"/>
      <c r="B17" s="45" t="s">
        <v>55</v>
      </c>
      <c r="C17" s="46"/>
      <c r="D17" s="46"/>
      <c r="E17" s="41" t="str">
        <f>_xlfn.IFS(E16&gt;=90%,"ممتاز",E16&gt;=80%,"جيد جداً",E16&gt;=70%,"جيد",E16&gt;=60%,"مقبول",E16&lt;60%,"راسب")</f>
        <v>جيد</v>
      </c>
      <c r="F17" s="41"/>
      <c r="G17" s="41"/>
      <c r="H17" s="41"/>
      <c r="I17" s="41"/>
      <c r="J17" s="42"/>
    </row>
    <row r="18" spans="1:10" ht="42" customHeight="1" x14ac:dyDescent="0.3">
      <c r="B18" s="37" t="s">
        <v>174</v>
      </c>
      <c r="C18" s="37"/>
      <c r="D18" s="37"/>
      <c r="E18" s="31" t="s">
        <v>52</v>
      </c>
      <c r="F18" s="31"/>
      <c r="G18" s="39" t="s">
        <v>92</v>
      </c>
      <c r="H18" s="39"/>
      <c r="I18" s="39"/>
      <c r="J18" s="39"/>
    </row>
    <row r="19" spans="1:10" ht="51" customHeight="1" x14ac:dyDescent="0.3">
      <c r="A19" s="5"/>
      <c r="B19" s="38"/>
      <c r="C19" s="38"/>
      <c r="D19" s="38"/>
      <c r="E19" s="32" t="s">
        <v>53</v>
      </c>
      <c r="F19" s="32"/>
      <c r="G19" s="40"/>
      <c r="H19" s="40"/>
      <c r="I19" s="40"/>
      <c r="J19" s="4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5">
    <mergeCell ref="B15:D15"/>
    <mergeCell ref="B16:D16"/>
    <mergeCell ref="B8:D8"/>
    <mergeCell ref="B9:D9"/>
    <mergeCell ref="B10:D10"/>
    <mergeCell ref="B11:D11"/>
    <mergeCell ref="B12:D12"/>
    <mergeCell ref="B7:D7"/>
    <mergeCell ref="E5:H5"/>
    <mergeCell ref="I5:J6"/>
    <mergeCell ref="I7:J7"/>
    <mergeCell ref="I10:J10"/>
    <mergeCell ref="I8:J8"/>
    <mergeCell ref="B1:J1"/>
    <mergeCell ref="F2:J2"/>
    <mergeCell ref="B5:D6"/>
    <mergeCell ref="C2:D2"/>
    <mergeCell ref="C3:D3"/>
    <mergeCell ref="F3:J3"/>
    <mergeCell ref="E18:F18"/>
    <mergeCell ref="E19:F19"/>
    <mergeCell ref="G15:J15"/>
    <mergeCell ref="I9:J9"/>
    <mergeCell ref="B18:D19"/>
    <mergeCell ref="G18:J18"/>
    <mergeCell ref="G19:J19"/>
    <mergeCell ref="E17:J17"/>
    <mergeCell ref="E16:J16"/>
    <mergeCell ref="B17:D17"/>
    <mergeCell ref="I11:J11"/>
    <mergeCell ref="I12:J12"/>
    <mergeCell ref="I13:J13"/>
    <mergeCell ref="I14:J14"/>
    <mergeCell ref="B13:D13"/>
    <mergeCell ref="B14:D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7">
    <cfRule type="expression" dxfId="14" priority="57">
      <formula>$E17="راسب"</formula>
    </cfRule>
  </conditionalFormatting>
  <conditionalFormatting sqref="E17:J17">
    <cfRule type="expression" dxfId="13" priority="58">
      <formula>$E17="مقبول"</formula>
    </cfRule>
    <cfRule type="expression" dxfId="12" priority="59">
      <formula>$E17="جيد"</formula>
    </cfRule>
    <cfRule type="expression" dxfId="11" priority="60">
      <formula>$E17="جيد جداً"</formula>
    </cfRule>
    <cfRule type="expression" dxfId="10" priority="61">
      <formula>$E17="ممتاز"</formula>
    </cfRule>
  </conditionalFormatting>
  <conditionalFormatting sqref="F8:F14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8:J18">
    <cfRule type="containsText" dxfId="6" priority="15" operator="containsText" text="أدخل اسم المحكم">
      <formula>NOT(ISERROR(SEARCH("أدخل اسم المحكم",G18)))</formula>
    </cfRule>
  </conditionalFormatting>
  <conditionalFormatting sqref="H8:H14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G18:J18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2025-10-15T16:59:56Z</dcterms:modified>
</cp:coreProperties>
</file>