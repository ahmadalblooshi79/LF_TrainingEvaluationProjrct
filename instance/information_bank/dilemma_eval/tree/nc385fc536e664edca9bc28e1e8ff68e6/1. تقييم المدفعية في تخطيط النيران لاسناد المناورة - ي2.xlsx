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التقييم'!$A$1:$J$83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4" i="2"/>
  <c r="H34" i="2" s="1"/>
  <c r="G35" i="2"/>
  <c r="H35" i="2" s="1"/>
  <c r="G37" i="2"/>
  <c r="H37" i="2" s="1"/>
  <c r="G38" i="2"/>
  <c r="H38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4" i="2"/>
  <c r="H54" i="2" s="1"/>
  <c r="G55" i="2"/>
  <c r="H55" i="2" s="1"/>
  <c r="G56" i="2"/>
  <c r="H56" i="2" s="1"/>
  <c r="G57" i="2"/>
  <c r="H57" i="2" s="1"/>
  <c r="G58" i="2"/>
  <c r="H58" i="2" s="1"/>
  <c r="G60" i="2"/>
  <c r="H60" i="2" s="1"/>
  <c r="G61" i="2"/>
  <c r="H61" i="2" s="1"/>
  <c r="G62" i="2"/>
  <c r="H62" i="2" s="1"/>
  <c r="G63" i="2"/>
  <c r="H63" i="2" s="1"/>
  <c r="G64" i="2"/>
  <c r="H64" i="2" s="1"/>
  <c r="G66" i="2"/>
  <c r="H66" i="2" s="1"/>
  <c r="G67" i="2"/>
  <c r="H67" i="2" s="1"/>
  <c r="G68" i="2"/>
  <c r="H68" i="2" s="1"/>
  <c r="G69" i="2"/>
  <c r="H69" i="2" s="1"/>
  <c r="G71" i="2"/>
  <c r="H71" i="2" s="1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F79" i="2" l="1"/>
  <c r="E79" i="2" l="1"/>
  <c r="E80" i="2" l="1"/>
  <c r="E81" i="2" s="1"/>
</calcChain>
</file>

<file path=xl/sharedStrings.xml><?xml version="1.0" encoding="utf-8"?>
<sst xmlns="http://schemas.openxmlformats.org/spreadsheetml/2006/main" count="160" uniqueCount="100">
  <si>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</si>
  <si>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</si>
  <si>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</si>
  <si>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</si>
  <si>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</si>
  <si>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</si>
  <si>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</si>
  <si>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</si>
  <si>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</si>
  <si>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</si>
  <si>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</si>
  <si>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</si>
  <si>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</si>
  <si>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</si>
  <si>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</si>
  <si>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</si>
  <si>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</si>
  <si>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</si>
  <si>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</si>
  <si>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</si>
  <si>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</si>
  <si>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</si>
  <si>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</si>
  <si>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</si>
  <si>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</si>
  <si>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</si>
  <si>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</si>
  <si>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</si>
  <si>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 xml:space="preserve">إجراءات التخطيط. </t>
    </r>
    <r>
      <rPr>
        <sz val="12"/>
        <color rgb="FF000000"/>
        <rFont val="Arial"/>
        <family val="2"/>
      </rPr>
      <t>يشارك رئيس فريق الإسناد الناري في عملية تخطيط الإسناد الناري وكما هو مطبق في العمليات التعرضية، الدفاعية، والعمليات الخاصة كما يلي: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</si>
  <si>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يُخطط مبكراً وبشكل مُستمر.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</si>
  <si>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يستثمر الأهداف المتوفرة.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</si>
  <si>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يخطط لاستخدام وسائل الهجوم القاتلة وغير القاتلة.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</si>
  <si>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ينتخب عدد وحدات الرمي القادرة على توفير إسناد فعَّال.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</si>
  <si>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ينتخب أكثر الوسائل فعالية.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</si>
  <si>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يجهز نوع الإسناد المطلوب.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</si>
  <si>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يتفادى الازدواجية.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</si>
  <si>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ينسق المجال الجوي.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</si>
  <si>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يوفر إسناد كافي.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</si>
  <si>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يوفر تنسيق سريع وفعال.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</si>
  <si>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يستخدم معايير تنسيق نيران الإسناد.</t>
    </r>
  </si>
  <si>
    <r>
      <t>12.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يوفر المرونة.</t>
    </r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</si>
  <si>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</si>
  <si>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عند استلام المهمة يقوم ضابط الإسناد الناري في فريق القتال بما يلي:</t>
    </r>
  </si>
  <si>
    <t>أ. يقوم بتحليل خطة الإسناد الناري للقيادة الأعلى وتشمل:</t>
  </si>
  <si>
    <r>
      <t>(1)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فقرة النيران.</t>
    </r>
  </si>
  <si>
    <r>
      <t>(2)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واجبات الإسناد الناري للوحدات المرؤوسة.</t>
    </r>
  </si>
  <si>
    <r>
      <t>(3)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وثائق الإسناد الناري.</t>
    </r>
  </si>
  <si>
    <r>
      <t>(4)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يراجع موقف القوات الصديقة والعدو.</t>
    </r>
  </si>
  <si>
    <r>
      <t>(5)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 xml:space="preserve">يُحدد ويخصص مصادر الإسناد الناري المتوفرة. </t>
    </r>
  </si>
  <si>
    <r>
      <t>(6)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يُحدد معايير تنسيق نيران الإسناد.</t>
    </r>
  </si>
  <si>
    <r>
      <t>(7)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يُحدد الواجبات الأساسية لنيران الإسناد والأهداف المٌحددة من قبل القيادة الأعلى لتنفيذها.</t>
    </r>
  </si>
  <si>
    <t>ب. يقدم النصح ويساعد القائد في اعداد دليل نار الإسناد.</t>
  </si>
  <si>
    <t>جـ. يستلم المهمة من القائد بعد إعادة صياغتها 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</si>
  <si>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خلال إصدار القائد للأمر الإنذاري يقوم ضابط الإسناد الناري بما يلي:</t>
    </r>
  </si>
  <si>
    <t>أ. يقوم بتزويد القائد بمعلومات نيران الإسناد الحالية ليتم دمجها.</t>
  </si>
  <si>
    <t>ب. يصدر أمر انذاري لفريق الإسناد الناري فيما يتعلق بأي صعوبات خاصة الاسناد الناري ( مثل: الواجبات الاساسية للإسناد الناري).</t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</si>
  <si>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بالتزامن مع ذلك يقوم ضابط الإسناد الناري بعمل ملحق أسناد ناري اولي اعتمادا على توجيهات القيادة الأعلى وتوجيهات القائد. </t>
    </r>
  </si>
  <si>
    <t>أ. يتأكد من تحديث جميع الأنظمة الرقمية (نظام أطلس) بالمعلومات الحالية.</t>
  </si>
  <si>
    <t>ب. يتأكد من توزيع معايير تنسيق نيران الإسناد مبكراً قدر الإمكان لتصِل الى أدنى مستوى .</t>
  </si>
  <si>
    <t>جـ. ينتخب الأسلوب الامثل لتحقيق واجبات نيران الإسناد الأساسية التي تم تحديدها في تحليل المهمة.</t>
  </si>
  <si>
    <r>
      <t>(1)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الهاونات مع فريق القتال.</t>
    </r>
  </si>
  <si>
    <r>
      <t>(2)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طلب المدفعية.</t>
    </r>
  </si>
  <si>
    <r>
      <t>(3)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طلب الهاون.</t>
    </r>
  </si>
  <si>
    <r>
      <t>(4)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طلب الإسناد الجوي القريب.</t>
    </r>
  </si>
  <si>
    <t>د. يدمج واجبات نيران الإسناد الأساسية ( التي تم تحديدها من قبل القيادة الأعلى والواجبات التي تم تطويرها اعتماداً على توجيه القائد لنيران الإسناد) في مفهوم النيران.</t>
  </si>
  <si>
    <t>هـ. يقدم النصح للقائد سواء كانت المصادر المتوفرة قادرة او غير قادرة على تلبية متطلبات تلك الواجبات.</t>
  </si>
  <si>
    <t xml:space="preserve"> و. يتأكد من خلو منطقة الرماية من القوات الصديق (تصريح بالرماية) لتجنُّب الاصابة بالنيران الصديقة.</t>
  </si>
  <si>
    <t xml:space="preserve"> ز. يُراجع معايير الاشتباك، الأهداف المخطط لها، مؤشرات ونقاط مرجع لبدء الرماية، مع تحديد ضباط الرصد لمشاغلة تلك الاهداف.</t>
  </si>
  <si>
    <t xml:space="preserve"> ح. يقوم بإعداد قائمة الأهداف.</t>
  </si>
  <si>
    <t>ط. يقوم بإعداد جدول الاسناد الناري (جدول الواجبات مع بيان الوحدات لكل هدف).</t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</si>
  <si>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</si>
  <si>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ايجاز القائد عن الخطة الاولية للإسناد الناري من أجل التوجيه الإضافي والتدقيق والموافقة على توزيعها وذلك لأغراض التخطيط.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</si>
  <si>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يوزع ضابط الإسناد ناري في فريق القتال الخطة الاولية للإسناد الناري الى الوحدات المرؤوسة لتسهيل الحركة إلى المراصد والقيام بتفتيشات ما قبل القتال وفحص المعدات.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</si>
  <si>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يرافق ضابط الإسناد الناري قائد فريق القتال خلال عملية الاستطلاع:</t>
    </r>
  </si>
  <si>
    <t>أ. يتأكد من مُؤشرات ونقاط المرجع لمشاغلة الاهداف ( الواجبات الاساسية للأسناد الناري ).</t>
  </si>
  <si>
    <t xml:space="preserve"> ب. يُعين ضابط رصد رئيسي وآخر بديل لتنفيذ واجبات الإسناد الناري الأساسية.</t>
  </si>
  <si>
    <t>جـ. يقوم بإعداد خطة المراقبة والرصد بحيث تتضمن جميع المصادر المتوفرة.</t>
  </si>
  <si>
    <t>د. يُدقق ويعدل الأهداف وإحداثيات مكان كل هدف حسب طبيعة الارض ودليل قائد فريق القتال .</t>
  </si>
  <si>
    <t>هـ. يُقدم توصية بإضافة أهداف الى قائمة الأهداف المُنتخبة بحيث تكون أهداف واضحة.</t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</si>
  <si>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يُكمل ضابط الإسناد الناري خطته وكما يلي:</t>
    </r>
  </si>
  <si>
    <t>أ. يُعدل ملحق الإسناد الناري بناءً على عملية الاستطلاع.</t>
  </si>
  <si>
    <t>ب. يُقدم إيجاز للقائد من أجل الموافقة على ملحق الإسناد الناري.</t>
  </si>
  <si>
    <t>جـ. يستلم موافقة القائد النهائية على خطة الاسناد الناري.</t>
  </si>
  <si>
    <t>د. يُرسل أية مراجعة نهائية للواجبات إلى عناصر الإسناد الناري للقوة.</t>
  </si>
  <si>
    <t>هـ. بشكل مُبكر، يُقدم إيجاز للمرؤوسين عن ملحق الإسناد الناري.</t>
  </si>
  <si>
    <t>و. يُحضر ويوزع وثائق الإسناد الناري المناسبة مثل:</t>
  </si>
  <si>
    <r>
      <t>(1)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جدول واجبات الإسناد الناري.</t>
    </r>
  </si>
  <si>
    <r>
      <t>(2)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قائمة الاهداف.</t>
    </r>
  </si>
  <si>
    <r>
      <t>(3)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شفاف الإسناد الناري.</t>
    </r>
  </si>
  <si>
    <r>
      <t>(4)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خطة المراقبة والرصد.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</si>
  <si>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يقدم ضابط الإسناد الناري إيجاز عن فقرة النيران في أمر عمليات فريق القتال ويشمل:</t>
    </r>
  </si>
  <si>
    <t>أ. القصد ( توجيه القائد لنيران الإسناد).</t>
  </si>
  <si>
    <t>ب. أولوية النيران</t>
  </si>
  <si>
    <t>جـ. تخصيص مصادر الإسناد الناري.</t>
  </si>
  <si>
    <t>د. التحديدات (مثل معايير تنسيق نيران الإسناد، القيود، التحديدات.. الخ)</t>
  </si>
  <si>
    <t>هـ. خطة الاسناد الناري/ تنفيذ واجب الأسناد الناري الأساسي لإسناد خطة المناورة.</t>
  </si>
  <si>
    <t>و. توقيتات تجارب الإسناد الناري.</t>
  </si>
  <si>
    <t>ز. الإجابة على جميع الأسئلة المتعلقة بنيران الإسناد.</t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</si>
  <si>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يُنسق ويُدقق ضابط الإسناد الناري خطة الإسناد مع خطة المناورة من خلال تجارب الأسلحة الموحدة وتجارب الإسناد الناري.</t>
    </r>
  </si>
  <si>
    <t>تقييم كتيبة المدفعية في تخطيط النيران لإسناد عمليات المناورة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</si>
</sst>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10" xfId="0" applyFont="1" applyBorder="1" applyAlignment="1">
      <alignment horizontal="center" vertical="center" wrapText="1" readingOrder="1"/>
    </xf>
    <xf numFmtId="9" fontId="3" fillId="0" borderId="10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3" borderId="21" xfId="0" applyFont="1" applyFill="1" applyBorder="1" applyAlignment="1" applyProtection="1">
      <alignment horizontal="center" vertical="center" wrapText="1" readingOrder="2"/>
      <protection locked="0"/>
    </xf>
    <xf numFmtId="0" fontId="8" fillId="0" borderId="2" xfId="0" applyFont="1" applyBorder="1" applyAlignment="1">
      <alignment vertical="center" wrapText="1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8" fillId="0" borderId="10" xfId="0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 wrapText="1" readingOrder="2"/>
    </xf>
    <xf numFmtId="0" fontId="3" fillId="0" borderId="19" xfId="0" applyFont="1" applyBorder="1" applyAlignment="1" applyProtection="1">
      <alignment horizontal="center" vertical="center" wrapText="1" readingOrder="2"/>
      <protection locked="0"/>
    </xf>
    <xf numFmtId="9" fontId="3" fillId="0" borderId="19" xfId="0" applyNumberFormat="1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1"/>
    </xf>
    <xf numFmtId="0" fontId="9" fillId="0" borderId="23" xfId="0" applyFont="1" applyBorder="1" applyAlignment="1">
      <alignment horizontal="right" vertical="center" wrapText="1" indent="2" readingOrder="2"/>
    </xf>
    <xf numFmtId="0" fontId="9" fillId="0" borderId="2" xfId="0" applyFont="1" applyBorder="1" applyAlignment="1">
      <alignment horizontal="right" vertical="center" wrapText="1" indent="2" readingOrder="2"/>
    </xf>
    <xf numFmtId="0" fontId="9" fillId="0" borderId="11" xfId="0" applyFont="1" applyBorder="1" applyAlignment="1">
      <alignment horizontal="right" vertical="center" wrapText="1" readingOrder="2"/>
    </xf>
    <xf numFmtId="0" fontId="9" fillId="0" borderId="12" xfId="0" applyFont="1" applyBorder="1" applyAlignment="1">
      <alignment horizontal="right" vertical="center" wrapText="1" readingOrder="2"/>
    </xf>
    <xf numFmtId="0" fontId="9" fillId="0" borderId="23" xfId="0" applyFont="1" applyBorder="1" applyAlignment="1">
      <alignment horizontal="right" vertical="center" wrapText="1" indent="4" readingOrder="2"/>
    </xf>
    <xf numFmtId="0" fontId="9" fillId="0" borderId="2" xfId="0" applyFont="1" applyBorder="1" applyAlignment="1">
      <alignment horizontal="right" vertical="center" wrapText="1" indent="4" readingOrder="2"/>
    </xf>
    <xf numFmtId="0" fontId="9" fillId="0" borderId="23" xfId="0" applyFont="1" applyBorder="1" applyAlignment="1">
      <alignment horizontal="right" vertical="center" wrapText="1" readingOrder="2"/>
    </xf>
    <xf numFmtId="0" fontId="9" fillId="0" borderId="2" xfId="0" applyFont="1" applyBorder="1" applyAlignment="1">
      <alignment horizontal="right" vertical="center" wrapText="1" readingOrder="2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12" xfId="0" applyFont="1" applyBorder="1" applyAlignment="1">
      <alignment horizontal="right" vertical="center" wrapText="1" indent="2" readingOrder="2"/>
    </xf>
    <xf numFmtId="0" fontId="1" fillId="0" borderId="14" xfId="0" applyFont="1" applyBorder="1" applyAlignment="1">
      <alignment horizontal="right" vertical="center" wrapText="1" readingOrder="2"/>
    </xf>
    <xf numFmtId="0" fontId="1" fillId="0" borderId="10" xfId="0" applyFont="1" applyBorder="1" applyAlignment="1">
      <alignment horizontal="right" vertical="center" wrapText="1" readingOrder="2"/>
    </xf>
    <xf numFmtId="0" fontId="9" fillId="0" borderId="24" xfId="0" applyFont="1" applyBorder="1" applyAlignment="1">
      <alignment horizontal="right" vertical="center" wrapText="1" readingOrder="2"/>
    </xf>
    <xf numFmtId="0" fontId="9" fillId="0" borderId="19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15" xfId="0" applyFont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6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20" xfId="0" applyFont="1" applyFill="1" applyBorder="1" applyAlignment="1" applyProtection="1">
      <alignment horizontal="center" vertical="center" wrapText="1" readingOrder="2"/>
      <protection locked="0"/>
    </xf>
    <xf numFmtId="0" fontId="6" fillId="3" borderId="21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3" xfId="0" applyFont="1" applyFill="1" applyBorder="1" applyAlignment="1" applyProtection="1">
      <alignment horizontal="center" vertical="center" wrapText="1" readingOrder="2"/>
      <protection locked="0"/>
    </xf>
    <xf numFmtId="0" fontId="5" fillId="3" borderId="21" xfId="0" applyFont="1" applyFill="1" applyBorder="1" applyAlignment="1" applyProtection="1">
      <alignment horizontal="center" vertical="center" wrapText="1" readingOrder="2"/>
      <protection locked="0"/>
    </xf>
    <xf numFmtId="0" fontId="5" fillId="3" borderId="22" xfId="0" applyFont="1" applyFill="1" applyBorder="1" applyAlignment="1" applyProtection="1">
      <alignment horizontal="center" vertical="center" wrapText="1" readingOrder="2"/>
      <protection locked="0"/>
    </xf>
    <xf numFmtId="0" fontId="3" fillId="0" borderId="19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83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89" t="s">
        <v>99</v>
      </c>
      <c r="C1" s="89"/>
      <c r="D1" s="89"/>
      <c r="E1" s="89"/>
      <c r="F1" s="89"/>
      <c r="G1" s="89"/>
      <c r="H1" s="89"/>
      <c r="I1" s="89"/>
      <c r="J1" s="89"/>
    </row>
    <row r="2" spans="1:10" ht="30" customHeight="1" x14ac:dyDescent="0.25">
      <c r="B2" s="14" t="s">
        <v>8</v>
      </c>
      <c r="C2" s="71" t="s">
        <v>23</v>
      </c>
      <c r="D2" s="71"/>
      <c r="E2" s="14" t="s">
        <v>7</v>
      </c>
      <c r="F2" s="66" t="s">
        <v>22</v>
      </c>
      <c r="G2" s="66"/>
      <c r="H2" s="66"/>
      <c r="I2" s="66"/>
      <c r="J2" s="66"/>
    </row>
    <row r="3" spans="1:10" ht="30" customHeight="1" x14ac:dyDescent="0.25">
      <c r="B3" s="14" t="s">
        <v>9</v>
      </c>
      <c r="C3" s="71" t="s">
        <v>25</v>
      </c>
      <c r="D3" s="71"/>
      <c r="E3" s="14" t="s">
        <v>6</v>
      </c>
      <c r="F3" s="71" t="s">
        <v>24</v>
      </c>
      <c r="G3" s="71"/>
      <c r="H3" s="71"/>
      <c r="I3" s="71"/>
      <c r="J3" s="71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12"/>
      <c r="B5" s="67" t="s">
        <v>0</v>
      </c>
      <c r="C5" s="68"/>
      <c r="D5" s="68"/>
      <c r="E5" s="76" t="s">
        <v>1</v>
      </c>
      <c r="F5" s="76"/>
      <c r="G5" s="76"/>
      <c r="H5" s="76"/>
      <c r="I5" s="76" t="s">
        <v>2</v>
      </c>
      <c r="J5" s="77"/>
    </row>
    <row r="6" spans="1:10" ht="24.95" customHeight="1" thickBot="1" x14ac:dyDescent="0.3">
      <c r="A6" s="12"/>
      <c r="B6" s="69"/>
      <c r="C6" s="70"/>
      <c r="D6" s="70"/>
      <c r="E6" s="13" t="s">
        <v>3</v>
      </c>
      <c r="F6" s="13" t="s">
        <v>4</v>
      </c>
      <c r="G6" s="13" t="s">
        <v>15</v>
      </c>
      <c r="H6" s="13" t="s">
        <v>16</v>
      </c>
      <c r="I6" s="78"/>
      <c r="J6" s="79"/>
    </row>
    <row r="7" spans="1:10" ht="24.95" customHeight="1" thickBot="1" x14ac:dyDescent="0.3">
      <c r="A7" s="12"/>
      <c r="B7" s="74" t="s">
        <v>13</v>
      </c>
      <c r="C7" s="75"/>
      <c r="D7" s="75"/>
      <c r="E7" s="18" t="s">
        <v>10</v>
      </c>
      <c r="F7" s="18" t="s">
        <v>11</v>
      </c>
      <c r="G7" s="18" t="s">
        <v>14</v>
      </c>
      <c r="H7" s="18" t="s">
        <v>12</v>
      </c>
      <c r="I7" s="80" t="s">
        <v>17</v>
      </c>
      <c r="J7" s="81"/>
    </row>
    <row r="8" spans="1:10" ht="50.25" customHeight="1" x14ac:dyDescent="0.25">
      <c r="A8" s="12"/>
      <c r="B8" s="48" t="s">
        <v>28</v>
      </c>
      <c r="C8" s="49"/>
      <c r="D8" s="49"/>
      <c r="E8" s="22"/>
      <c r="F8" s="23"/>
      <c r="G8" s="24"/>
      <c r="H8" s="25"/>
      <c r="I8" s="52"/>
      <c r="J8" s="53"/>
    </row>
    <row r="9" spans="1:10" ht="30" customHeight="1" x14ac:dyDescent="0.25">
      <c r="A9" s="12"/>
      <c r="B9" s="40" t="s">
        <v>29</v>
      </c>
      <c r="C9" s="41"/>
      <c r="D9" s="41"/>
      <c r="E9" s="10">
        <v>5</v>
      </c>
      <c r="F9" s="15" t="s">
        <v>26</v>
      </c>
      <c r="G9" s="20" t="str">
        <f>IFERROR(F9/E9,"")</f>
        <v/>
      </c>
      <c r="H9" s="21" t="str">
        <f>_xlfn.IFS(F9="أدخل العلامة","",F9="لا ينطبق","تم الإلغاء",G9&gt;=90%,"ممتاز",G9&gt;=80%,"جيد جداً",G9&gt;=70%,"جيد",G9&gt;=60%,"مقبول",G9&lt;60%,"راسب")</f>
        <v/>
      </c>
      <c r="I9" s="50"/>
      <c r="J9" s="51"/>
    </row>
    <row r="10" spans="1:10" ht="30" customHeight="1" x14ac:dyDescent="0.25">
      <c r="A10" s="12"/>
      <c r="B10" s="40" t="s">
        <v>30</v>
      </c>
      <c r="C10" s="41"/>
      <c r="D10" s="41"/>
      <c r="E10" s="10">
        <v>5</v>
      </c>
      <c r="F10" s="15" t="s">
        <v>26</v>
      </c>
      <c r="G10" s="20" t="str">
        <f t="shared" ref="G10:G73" si="0">IFERROR(F10/E10,"")</f>
        <v/>
      </c>
      <c r="H10" s="21" t="str">
        <f t="shared" ref="H10:H73" si="1">_xlfn.IFS(F10="أدخل العلامة","",F10="لا ينطبق","تم الإلغاء",G10&gt;=90%,"ممتاز",G10&gt;=80%,"جيد جداً",G10&gt;=70%,"جيد",G10&gt;=60%,"مقبول",G10&lt;60%,"راسب")</f>
        <v/>
      </c>
      <c r="I10" s="50"/>
      <c r="J10" s="51"/>
    </row>
    <row r="11" spans="1:10" ht="30" customHeight="1" x14ac:dyDescent="0.25">
      <c r="A11" s="12"/>
      <c r="B11" s="40" t="s">
        <v>31</v>
      </c>
      <c r="C11" s="41"/>
      <c r="D11" s="41"/>
      <c r="E11" s="10">
        <v>5</v>
      </c>
      <c r="F11" s="15" t="s">
        <v>26</v>
      </c>
      <c r="G11" s="20" t="str">
        <f t="shared" si="0"/>
        <v/>
      </c>
      <c r="H11" s="21" t="str">
        <f t="shared" si="1"/>
        <v/>
      </c>
      <c r="I11" s="50"/>
      <c r="J11" s="51"/>
    </row>
    <row r="12" spans="1:10" ht="30" customHeight="1" x14ac:dyDescent="0.25">
      <c r="A12" s="12"/>
      <c r="B12" s="40" t="s">
        <v>32</v>
      </c>
      <c r="C12" s="41"/>
      <c r="D12" s="41"/>
      <c r="E12" s="10">
        <v>5</v>
      </c>
      <c r="F12" s="15" t="s">
        <v>26</v>
      </c>
      <c r="G12" s="20" t="str">
        <f t="shared" si="0"/>
        <v/>
      </c>
      <c r="H12" s="21" t="str">
        <f t="shared" si="1"/>
        <v/>
      </c>
      <c r="I12" s="50"/>
      <c r="J12" s="51"/>
    </row>
    <row r="13" spans="1:10" ht="30" customHeight="1" x14ac:dyDescent="0.25">
      <c r="A13" s="12"/>
      <c r="B13" s="40" t="s">
        <v>33</v>
      </c>
      <c r="C13" s="41"/>
      <c r="D13" s="41"/>
      <c r="E13" s="10">
        <v>5</v>
      </c>
      <c r="F13" s="15" t="s">
        <v>26</v>
      </c>
      <c r="G13" s="20" t="str">
        <f t="shared" si="0"/>
        <v/>
      </c>
      <c r="H13" s="21" t="str">
        <f t="shared" si="1"/>
        <v/>
      </c>
      <c r="I13" s="50"/>
      <c r="J13" s="51"/>
    </row>
    <row r="14" spans="1:10" ht="30" customHeight="1" x14ac:dyDescent="0.25">
      <c r="A14" s="12"/>
      <c r="B14" s="40" t="s">
        <v>34</v>
      </c>
      <c r="C14" s="41"/>
      <c r="D14" s="41"/>
      <c r="E14" s="10">
        <v>5</v>
      </c>
      <c r="F14" s="15" t="s">
        <v>26</v>
      </c>
      <c r="G14" s="20" t="str">
        <f t="shared" si="0"/>
        <v/>
      </c>
      <c r="H14" s="21" t="str">
        <f t="shared" si="1"/>
        <v/>
      </c>
      <c r="I14" s="50"/>
      <c r="J14" s="51"/>
    </row>
    <row r="15" spans="1:10" ht="30" customHeight="1" x14ac:dyDescent="0.25">
      <c r="A15" s="12"/>
      <c r="B15" s="40" t="s">
        <v>35</v>
      </c>
      <c r="C15" s="41"/>
      <c r="D15" s="41"/>
      <c r="E15" s="10">
        <v>5</v>
      </c>
      <c r="F15" s="15" t="s">
        <v>26</v>
      </c>
      <c r="G15" s="20" t="str">
        <f t="shared" si="0"/>
        <v/>
      </c>
      <c r="H15" s="21" t="str">
        <f t="shared" si="1"/>
        <v/>
      </c>
      <c r="I15" s="50"/>
      <c r="J15" s="51"/>
    </row>
    <row r="16" spans="1:10" ht="30" customHeight="1" x14ac:dyDescent="0.25">
      <c r="A16" s="12"/>
      <c r="B16" s="40" t="s">
        <v>36</v>
      </c>
      <c r="C16" s="41"/>
      <c r="D16" s="41"/>
      <c r="E16" s="10">
        <v>5</v>
      </c>
      <c r="F16" s="15" t="s">
        <v>26</v>
      </c>
      <c r="G16" s="20" t="str">
        <f t="shared" si="0"/>
        <v/>
      </c>
      <c r="H16" s="21" t="str">
        <f t="shared" si="1"/>
        <v/>
      </c>
      <c r="I16" s="50"/>
      <c r="J16" s="51"/>
    </row>
    <row r="17" spans="1:10" ht="30" customHeight="1" x14ac:dyDescent="0.25">
      <c r="A17" s="12"/>
      <c r="B17" s="40" t="s">
        <v>37</v>
      </c>
      <c r="C17" s="41"/>
      <c r="D17" s="41"/>
      <c r="E17" s="10">
        <v>5</v>
      </c>
      <c r="F17" s="15" t="s">
        <v>26</v>
      </c>
      <c r="G17" s="20" t="str">
        <f t="shared" si="0"/>
        <v/>
      </c>
      <c r="H17" s="21" t="str">
        <f t="shared" si="1"/>
        <v/>
      </c>
      <c r="I17" s="50"/>
      <c r="J17" s="51"/>
    </row>
    <row r="18" spans="1:10" ht="30" customHeight="1" x14ac:dyDescent="0.25">
      <c r="A18" s="12"/>
      <c r="B18" s="40" t="s">
        <v>38</v>
      </c>
      <c r="C18" s="41"/>
      <c r="D18" s="41"/>
      <c r="E18" s="10">
        <v>5</v>
      </c>
      <c r="F18" s="15" t="s">
        <v>26</v>
      </c>
      <c r="G18" s="20" t="str">
        <f t="shared" si="0"/>
        <v/>
      </c>
      <c r="H18" s="21" t="str">
        <f t="shared" si="1"/>
        <v/>
      </c>
      <c r="I18" s="50"/>
      <c r="J18" s="51"/>
    </row>
    <row r="19" spans="1:10" ht="30" customHeight="1" x14ac:dyDescent="0.25">
      <c r="A19" s="12"/>
      <c r="B19" s="40" t="s">
        <v>39</v>
      </c>
      <c r="C19" s="41"/>
      <c r="D19" s="41"/>
      <c r="E19" s="10">
        <v>5</v>
      </c>
      <c r="F19" s="15" t="s">
        <v>26</v>
      </c>
      <c r="G19" s="20" t="str">
        <f t="shared" si="0"/>
        <v/>
      </c>
      <c r="H19" s="21" t="str">
        <f t="shared" si="1"/>
        <v/>
      </c>
      <c r="I19" s="50"/>
      <c r="J19" s="51"/>
    </row>
    <row r="20" spans="1:10" ht="30" customHeight="1" thickBot="1" x14ac:dyDescent="0.3">
      <c r="A20" s="12"/>
      <c r="B20" s="46" t="s">
        <v>40</v>
      </c>
      <c r="C20" s="47"/>
      <c r="D20" s="47"/>
      <c r="E20" s="30">
        <v>5</v>
      </c>
      <c r="F20" s="31" t="s">
        <v>26</v>
      </c>
      <c r="G20" s="32" t="str">
        <f t="shared" si="0"/>
        <v/>
      </c>
      <c r="H20" s="33" t="str">
        <f t="shared" si="1"/>
        <v/>
      </c>
      <c r="I20" s="82"/>
      <c r="J20" s="83"/>
    </row>
    <row r="21" spans="1:10" ht="30" customHeight="1" x14ac:dyDescent="0.25">
      <c r="A21" s="12"/>
      <c r="B21" s="48" t="s">
        <v>41</v>
      </c>
      <c r="C21" s="49"/>
      <c r="D21" s="49"/>
      <c r="E21" s="22"/>
      <c r="F21" s="23"/>
      <c r="G21" s="24"/>
      <c r="H21" s="25"/>
      <c r="I21" s="52"/>
      <c r="J21" s="53"/>
    </row>
    <row r="22" spans="1:10" ht="30" customHeight="1" x14ac:dyDescent="0.25">
      <c r="A22" s="12"/>
      <c r="B22" s="40" t="s">
        <v>42</v>
      </c>
      <c r="C22" s="41"/>
      <c r="D22" s="41"/>
      <c r="E22" s="10"/>
      <c r="F22" s="15"/>
      <c r="G22" s="20"/>
      <c r="H22" s="21"/>
      <c r="I22" s="50"/>
      <c r="J22" s="51"/>
    </row>
    <row r="23" spans="1:10" ht="30" customHeight="1" x14ac:dyDescent="0.25">
      <c r="A23" s="12"/>
      <c r="B23" s="34" t="s">
        <v>43</v>
      </c>
      <c r="C23" s="35"/>
      <c r="D23" s="35"/>
      <c r="E23" s="19"/>
      <c r="F23" s="15"/>
      <c r="G23" s="20"/>
      <c r="H23" s="21"/>
      <c r="I23" s="50"/>
      <c r="J23" s="51"/>
    </row>
    <row r="24" spans="1:10" ht="30" customHeight="1" x14ac:dyDescent="0.25">
      <c r="A24" s="12"/>
      <c r="B24" s="38" t="s">
        <v>44</v>
      </c>
      <c r="C24" s="39"/>
      <c r="D24" s="39"/>
      <c r="E24" s="10">
        <v>5</v>
      </c>
      <c r="F24" s="15" t="s">
        <v>26</v>
      </c>
      <c r="G24" s="20" t="str">
        <f t="shared" si="0"/>
        <v/>
      </c>
      <c r="H24" s="21" t="str">
        <f t="shared" si="1"/>
        <v/>
      </c>
      <c r="I24" s="50"/>
      <c r="J24" s="51"/>
    </row>
    <row r="25" spans="1:10" ht="30" customHeight="1" x14ac:dyDescent="0.25">
      <c r="A25" s="12"/>
      <c r="B25" s="38" t="s">
        <v>45</v>
      </c>
      <c r="C25" s="39"/>
      <c r="D25" s="39"/>
      <c r="E25" s="10">
        <v>5</v>
      </c>
      <c r="F25" s="15" t="s">
        <v>26</v>
      </c>
      <c r="G25" s="20" t="str">
        <f t="shared" si="0"/>
        <v/>
      </c>
      <c r="H25" s="21" t="str">
        <f t="shared" si="1"/>
        <v/>
      </c>
      <c r="I25" s="50"/>
      <c r="J25" s="51"/>
    </row>
    <row r="26" spans="1:10" ht="30" customHeight="1" x14ac:dyDescent="0.25">
      <c r="A26" s="12"/>
      <c r="B26" s="38" t="s">
        <v>46</v>
      </c>
      <c r="C26" s="39"/>
      <c r="D26" s="39"/>
      <c r="E26" s="10">
        <v>5</v>
      </c>
      <c r="F26" s="15" t="s">
        <v>26</v>
      </c>
      <c r="G26" s="20" t="str">
        <f t="shared" si="0"/>
        <v/>
      </c>
      <c r="H26" s="21" t="str">
        <f t="shared" si="1"/>
        <v/>
      </c>
      <c r="I26" s="50"/>
      <c r="J26" s="51"/>
    </row>
    <row r="27" spans="1:10" ht="30" customHeight="1" x14ac:dyDescent="0.25">
      <c r="A27" s="12"/>
      <c r="B27" s="38" t="s">
        <v>47</v>
      </c>
      <c r="C27" s="39"/>
      <c r="D27" s="39"/>
      <c r="E27" s="10">
        <v>5</v>
      </c>
      <c r="F27" s="15" t="s">
        <v>26</v>
      </c>
      <c r="G27" s="20" t="str">
        <f t="shared" si="0"/>
        <v/>
      </c>
      <c r="H27" s="21" t="str">
        <f t="shared" si="1"/>
        <v/>
      </c>
      <c r="I27" s="50"/>
      <c r="J27" s="51"/>
    </row>
    <row r="28" spans="1:10" ht="30" customHeight="1" x14ac:dyDescent="0.25">
      <c r="A28" s="12"/>
      <c r="B28" s="38" t="s">
        <v>48</v>
      </c>
      <c r="C28" s="39"/>
      <c r="D28" s="39"/>
      <c r="E28" s="10">
        <v>5</v>
      </c>
      <c r="F28" s="15" t="s">
        <v>26</v>
      </c>
      <c r="G28" s="20" t="str">
        <f t="shared" si="0"/>
        <v/>
      </c>
      <c r="H28" s="21" t="str">
        <f t="shared" si="1"/>
        <v/>
      </c>
      <c r="I28" s="50"/>
      <c r="J28" s="51"/>
    </row>
    <row r="29" spans="1:10" ht="30" customHeight="1" x14ac:dyDescent="0.25">
      <c r="A29" s="12"/>
      <c r="B29" s="38" t="s">
        <v>49</v>
      </c>
      <c r="C29" s="39"/>
      <c r="D29" s="39"/>
      <c r="E29" s="10">
        <v>5</v>
      </c>
      <c r="F29" s="15" t="s">
        <v>26</v>
      </c>
      <c r="G29" s="20" t="str">
        <f t="shared" si="0"/>
        <v/>
      </c>
      <c r="H29" s="21" t="str">
        <f t="shared" si="1"/>
        <v/>
      </c>
      <c r="I29" s="50"/>
      <c r="J29" s="51"/>
    </row>
    <row r="30" spans="1:10" ht="39.950000000000003" customHeight="1" x14ac:dyDescent="0.25">
      <c r="A30" s="12"/>
      <c r="B30" s="38" t="s">
        <v>50</v>
      </c>
      <c r="C30" s="39"/>
      <c r="D30" s="39"/>
      <c r="E30" s="10">
        <v>5</v>
      </c>
      <c r="F30" s="15" t="s">
        <v>26</v>
      </c>
      <c r="G30" s="20" t="str">
        <f t="shared" si="0"/>
        <v/>
      </c>
      <c r="H30" s="21" t="str">
        <f t="shared" si="1"/>
        <v/>
      </c>
      <c r="I30" s="50"/>
      <c r="J30" s="51"/>
    </row>
    <row r="31" spans="1:10" ht="30" customHeight="1" x14ac:dyDescent="0.25">
      <c r="A31" s="12"/>
      <c r="B31" s="34" t="s">
        <v>51</v>
      </c>
      <c r="C31" s="35"/>
      <c r="D31" s="35"/>
      <c r="E31" s="10">
        <v>5</v>
      </c>
      <c r="F31" s="15" t="s">
        <v>26</v>
      </c>
      <c r="G31" s="20" t="str">
        <f t="shared" si="0"/>
        <v/>
      </c>
      <c r="H31" s="21" t="str">
        <f t="shared" si="1"/>
        <v/>
      </c>
      <c r="I31" s="50"/>
      <c r="J31" s="51"/>
    </row>
    <row r="32" spans="1:10" ht="30" customHeight="1" x14ac:dyDescent="0.25">
      <c r="A32" s="12"/>
      <c r="B32" s="34" t="s">
        <v>52</v>
      </c>
      <c r="C32" s="35"/>
      <c r="D32" s="35"/>
      <c r="E32" s="10">
        <v>5</v>
      </c>
      <c r="F32" s="15" t="s">
        <v>26</v>
      </c>
      <c r="G32" s="20" t="str">
        <f t="shared" si="0"/>
        <v/>
      </c>
      <c r="H32" s="21" t="str">
        <f t="shared" si="1"/>
        <v/>
      </c>
      <c r="I32" s="50"/>
      <c r="J32" s="51"/>
    </row>
    <row r="33" spans="1:10" ht="30" customHeight="1" x14ac:dyDescent="0.25">
      <c r="A33" s="12"/>
      <c r="B33" s="40" t="s">
        <v>53</v>
      </c>
      <c r="C33" s="41"/>
      <c r="D33" s="41"/>
      <c r="E33" s="19"/>
      <c r="F33" s="15"/>
      <c r="G33" s="20"/>
      <c r="H33" s="21"/>
      <c r="I33" s="50"/>
      <c r="J33" s="51"/>
    </row>
    <row r="34" spans="1:10" ht="30" customHeight="1" x14ac:dyDescent="0.25">
      <c r="A34" s="12"/>
      <c r="B34" s="34" t="s">
        <v>54</v>
      </c>
      <c r="C34" s="35"/>
      <c r="D34" s="35"/>
      <c r="E34" s="10">
        <v>5</v>
      </c>
      <c r="F34" s="15" t="s">
        <v>26</v>
      </c>
      <c r="G34" s="20" t="str">
        <f t="shared" si="0"/>
        <v/>
      </c>
      <c r="H34" s="21" t="str">
        <f t="shared" si="1"/>
        <v/>
      </c>
      <c r="I34" s="50"/>
      <c r="J34" s="51"/>
    </row>
    <row r="35" spans="1:10" ht="39.950000000000003" customHeight="1" x14ac:dyDescent="0.25">
      <c r="A35" s="12"/>
      <c r="B35" s="34" t="s">
        <v>55</v>
      </c>
      <c r="C35" s="35"/>
      <c r="D35" s="35"/>
      <c r="E35" s="10">
        <v>5</v>
      </c>
      <c r="F35" s="15" t="s">
        <v>26</v>
      </c>
      <c r="G35" s="20" t="str">
        <f t="shared" si="0"/>
        <v/>
      </c>
      <c r="H35" s="21" t="str">
        <f t="shared" si="1"/>
        <v/>
      </c>
      <c r="I35" s="50"/>
      <c r="J35" s="51"/>
    </row>
    <row r="36" spans="1:10" ht="39.950000000000003" customHeight="1" x14ac:dyDescent="0.25">
      <c r="A36" s="12"/>
      <c r="B36" s="40" t="s">
        <v>56</v>
      </c>
      <c r="C36" s="41"/>
      <c r="D36" s="41"/>
      <c r="E36" s="19"/>
      <c r="F36" s="15"/>
      <c r="G36" s="20"/>
      <c r="H36" s="21"/>
      <c r="I36" s="50"/>
      <c r="J36" s="51"/>
    </row>
    <row r="37" spans="1:10" ht="30" customHeight="1" x14ac:dyDescent="0.25">
      <c r="A37" s="12"/>
      <c r="B37" s="34" t="s">
        <v>57</v>
      </c>
      <c r="C37" s="35"/>
      <c r="D37" s="35"/>
      <c r="E37" s="10">
        <v>5</v>
      </c>
      <c r="F37" s="15" t="s">
        <v>26</v>
      </c>
      <c r="G37" s="20" t="str">
        <f t="shared" si="0"/>
        <v/>
      </c>
      <c r="H37" s="21" t="str">
        <f t="shared" si="1"/>
        <v/>
      </c>
      <c r="I37" s="50"/>
      <c r="J37" s="51"/>
    </row>
    <row r="38" spans="1:10" ht="39.950000000000003" customHeight="1" x14ac:dyDescent="0.25">
      <c r="A38" s="12"/>
      <c r="B38" s="34" t="s">
        <v>58</v>
      </c>
      <c r="C38" s="35"/>
      <c r="D38" s="35"/>
      <c r="E38" s="10">
        <v>5</v>
      </c>
      <c r="F38" s="15" t="s">
        <v>26</v>
      </c>
      <c r="G38" s="20" t="str">
        <f t="shared" si="0"/>
        <v/>
      </c>
      <c r="H38" s="21" t="str">
        <f t="shared" si="1"/>
        <v/>
      </c>
      <c r="I38" s="50"/>
      <c r="J38" s="51"/>
    </row>
    <row r="39" spans="1:10" ht="39.950000000000003" customHeight="1" x14ac:dyDescent="0.25">
      <c r="A39" s="12"/>
      <c r="B39" s="34" t="s">
        <v>59</v>
      </c>
      <c r="C39" s="35"/>
      <c r="D39" s="35"/>
      <c r="E39" s="19"/>
      <c r="F39" s="15"/>
      <c r="G39" s="20"/>
      <c r="H39" s="21"/>
      <c r="I39" s="50"/>
      <c r="J39" s="51"/>
    </row>
    <row r="40" spans="1:10" ht="30" customHeight="1" x14ac:dyDescent="0.25">
      <c r="A40" s="12"/>
      <c r="B40" s="38" t="s">
        <v>60</v>
      </c>
      <c r="C40" s="39"/>
      <c r="D40" s="39"/>
      <c r="E40" s="10">
        <v>5</v>
      </c>
      <c r="F40" s="15" t="s">
        <v>26</v>
      </c>
      <c r="G40" s="20" t="str">
        <f t="shared" si="0"/>
        <v/>
      </c>
      <c r="H40" s="21" t="str">
        <f t="shared" si="1"/>
        <v/>
      </c>
      <c r="I40" s="50"/>
      <c r="J40" s="51"/>
    </row>
    <row r="41" spans="1:10" ht="30" customHeight="1" x14ac:dyDescent="0.25">
      <c r="A41" s="12"/>
      <c r="B41" s="38" t="s">
        <v>61</v>
      </c>
      <c r="C41" s="39"/>
      <c r="D41" s="39"/>
      <c r="E41" s="10">
        <v>5</v>
      </c>
      <c r="F41" s="15" t="s">
        <v>26</v>
      </c>
      <c r="G41" s="20" t="str">
        <f t="shared" si="0"/>
        <v/>
      </c>
      <c r="H41" s="21" t="str">
        <f t="shared" si="1"/>
        <v/>
      </c>
      <c r="I41" s="50"/>
      <c r="J41" s="51"/>
    </row>
    <row r="42" spans="1:10" ht="30" customHeight="1" x14ac:dyDescent="0.25">
      <c r="A42" s="12"/>
      <c r="B42" s="38" t="s">
        <v>62</v>
      </c>
      <c r="C42" s="39"/>
      <c r="D42" s="39"/>
      <c r="E42" s="10">
        <v>5</v>
      </c>
      <c r="F42" s="15" t="s">
        <v>26</v>
      </c>
      <c r="G42" s="20" t="str">
        <f t="shared" si="0"/>
        <v/>
      </c>
      <c r="H42" s="21" t="str">
        <f t="shared" si="1"/>
        <v/>
      </c>
      <c r="I42" s="50"/>
      <c r="J42" s="51"/>
    </row>
    <row r="43" spans="1:10" ht="30" customHeight="1" x14ac:dyDescent="0.25">
      <c r="A43" s="12"/>
      <c r="B43" s="38" t="s">
        <v>63</v>
      </c>
      <c r="C43" s="39"/>
      <c r="D43" s="39"/>
      <c r="E43" s="10">
        <v>5</v>
      </c>
      <c r="F43" s="15" t="s">
        <v>26</v>
      </c>
      <c r="G43" s="20" t="str">
        <f t="shared" si="0"/>
        <v/>
      </c>
      <c r="H43" s="21" t="str">
        <f t="shared" si="1"/>
        <v/>
      </c>
      <c r="I43" s="50"/>
      <c r="J43" s="51"/>
    </row>
    <row r="44" spans="1:10" ht="54" customHeight="1" x14ac:dyDescent="0.25">
      <c r="A44" s="12"/>
      <c r="B44" s="34" t="s">
        <v>64</v>
      </c>
      <c r="C44" s="35"/>
      <c r="D44" s="35"/>
      <c r="E44" s="10">
        <v>5</v>
      </c>
      <c r="F44" s="15" t="s">
        <v>26</v>
      </c>
      <c r="G44" s="20" t="str">
        <f t="shared" si="0"/>
        <v/>
      </c>
      <c r="H44" s="21" t="str">
        <f t="shared" si="1"/>
        <v/>
      </c>
      <c r="I44" s="50"/>
      <c r="J44" s="51"/>
    </row>
    <row r="45" spans="1:10" ht="39.950000000000003" customHeight="1" x14ac:dyDescent="0.25">
      <c r="A45" s="12"/>
      <c r="B45" s="34" t="s">
        <v>65</v>
      </c>
      <c r="C45" s="35"/>
      <c r="D45" s="35"/>
      <c r="E45" s="10">
        <v>5</v>
      </c>
      <c r="F45" s="15" t="s">
        <v>26</v>
      </c>
      <c r="G45" s="20" t="str">
        <f t="shared" si="0"/>
        <v/>
      </c>
      <c r="H45" s="21" t="str">
        <f t="shared" si="1"/>
        <v/>
      </c>
      <c r="I45" s="50"/>
      <c r="J45" s="51"/>
    </row>
    <row r="46" spans="1:10" ht="39.950000000000003" customHeight="1" x14ac:dyDescent="0.25">
      <c r="A46" s="12"/>
      <c r="B46" s="34" t="s">
        <v>66</v>
      </c>
      <c r="C46" s="35"/>
      <c r="D46" s="35"/>
      <c r="E46" s="10">
        <v>5</v>
      </c>
      <c r="F46" s="15" t="s">
        <v>26</v>
      </c>
      <c r="G46" s="20" t="str">
        <f t="shared" si="0"/>
        <v/>
      </c>
      <c r="H46" s="21" t="str">
        <f t="shared" si="1"/>
        <v/>
      </c>
      <c r="I46" s="50"/>
      <c r="J46" s="51"/>
    </row>
    <row r="47" spans="1:10" ht="39.950000000000003" customHeight="1" x14ac:dyDescent="0.25">
      <c r="A47" s="12"/>
      <c r="B47" s="34" t="s">
        <v>67</v>
      </c>
      <c r="C47" s="35"/>
      <c r="D47" s="35"/>
      <c r="E47" s="10">
        <v>5</v>
      </c>
      <c r="F47" s="15" t="s">
        <v>26</v>
      </c>
      <c r="G47" s="20" t="str">
        <f t="shared" si="0"/>
        <v/>
      </c>
      <c r="H47" s="21" t="str">
        <f t="shared" si="1"/>
        <v/>
      </c>
      <c r="I47" s="50"/>
      <c r="J47" s="51"/>
    </row>
    <row r="48" spans="1:10" ht="30" customHeight="1" x14ac:dyDescent="0.25">
      <c r="A48" s="12"/>
      <c r="B48" s="34" t="s">
        <v>68</v>
      </c>
      <c r="C48" s="35"/>
      <c r="D48" s="35"/>
      <c r="E48" s="10">
        <v>5</v>
      </c>
      <c r="F48" s="15" t="s">
        <v>26</v>
      </c>
      <c r="G48" s="20" t="str">
        <f t="shared" si="0"/>
        <v/>
      </c>
      <c r="H48" s="21" t="str">
        <f t="shared" si="1"/>
        <v/>
      </c>
      <c r="I48" s="50"/>
      <c r="J48" s="51"/>
    </row>
    <row r="49" spans="1:10" ht="39.950000000000003" customHeight="1" thickBot="1" x14ac:dyDescent="0.3">
      <c r="A49" s="12"/>
      <c r="B49" s="42" t="s">
        <v>69</v>
      </c>
      <c r="C49" s="43"/>
      <c r="D49" s="43"/>
      <c r="E49" s="26">
        <v>5</v>
      </c>
      <c r="F49" s="17" t="s">
        <v>26</v>
      </c>
      <c r="G49" s="27" t="str">
        <f t="shared" si="0"/>
        <v/>
      </c>
      <c r="H49" s="28" t="str">
        <f t="shared" si="1"/>
        <v/>
      </c>
      <c r="I49" s="62"/>
      <c r="J49" s="63"/>
    </row>
    <row r="50" spans="1:10" ht="30" customHeight="1" x14ac:dyDescent="0.25">
      <c r="A50" s="12"/>
      <c r="B50" s="44" t="s">
        <v>70</v>
      </c>
      <c r="C50" s="45"/>
      <c r="D50" s="45"/>
      <c r="E50" s="29"/>
      <c r="F50" s="16" t="s">
        <v>26</v>
      </c>
      <c r="G50" s="9" t="str">
        <f t="shared" si="0"/>
        <v/>
      </c>
      <c r="H50" s="8" t="str">
        <f t="shared" si="1"/>
        <v/>
      </c>
      <c r="I50" s="64"/>
      <c r="J50" s="65"/>
    </row>
    <row r="51" spans="1:10" ht="39.950000000000003" customHeight="1" x14ac:dyDescent="0.25">
      <c r="A51" s="12"/>
      <c r="B51" s="40" t="s">
        <v>71</v>
      </c>
      <c r="C51" s="41"/>
      <c r="D51" s="41"/>
      <c r="E51" s="10">
        <v>5</v>
      </c>
      <c r="F51" s="15" t="s">
        <v>26</v>
      </c>
      <c r="G51" s="20" t="str">
        <f t="shared" si="0"/>
        <v/>
      </c>
      <c r="H51" s="21" t="str">
        <f t="shared" si="1"/>
        <v/>
      </c>
      <c r="I51" s="50"/>
      <c r="J51" s="51"/>
    </row>
    <row r="52" spans="1:10" ht="49.5" customHeight="1" x14ac:dyDescent="0.25">
      <c r="A52" s="12"/>
      <c r="B52" s="40" t="s">
        <v>72</v>
      </c>
      <c r="C52" s="41"/>
      <c r="D52" s="41"/>
      <c r="E52" s="10">
        <v>5</v>
      </c>
      <c r="F52" s="15" t="s">
        <v>26</v>
      </c>
      <c r="G52" s="20" t="str">
        <f t="shared" si="0"/>
        <v/>
      </c>
      <c r="H52" s="21" t="str">
        <f t="shared" si="1"/>
        <v/>
      </c>
      <c r="I52" s="50"/>
      <c r="J52" s="51"/>
    </row>
    <row r="53" spans="1:10" ht="30" customHeight="1" x14ac:dyDescent="0.25">
      <c r="A53" s="12"/>
      <c r="B53" s="40" t="s">
        <v>73</v>
      </c>
      <c r="C53" s="41"/>
      <c r="D53" s="41"/>
      <c r="E53" s="19"/>
      <c r="F53" s="15"/>
      <c r="G53" s="20"/>
      <c r="H53" s="21"/>
      <c r="I53" s="50"/>
      <c r="J53" s="51"/>
    </row>
    <row r="54" spans="1:10" ht="39.950000000000003" customHeight="1" x14ac:dyDescent="0.25">
      <c r="A54" s="12"/>
      <c r="B54" s="34" t="s">
        <v>74</v>
      </c>
      <c r="C54" s="35"/>
      <c r="D54" s="35"/>
      <c r="E54" s="10">
        <v>5</v>
      </c>
      <c r="F54" s="15" t="s">
        <v>26</v>
      </c>
      <c r="G54" s="20" t="str">
        <f t="shared" si="0"/>
        <v/>
      </c>
      <c r="H54" s="21" t="str">
        <f t="shared" si="1"/>
        <v/>
      </c>
      <c r="I54" s="50"/>
      <c r="J54" s="51"/>
    </row>
    <row r="55" spans="1:10" ht="39.950000000000003" customHeight="1" x14ac:dyDescent="0.25">
      <c r="A55" s="12"/>
      <c r="B55" s="34" t="s">
        <v>75</v>
      </c>
      <c r="C55" s="35"/>
      <c r="D55" s="35"/>
      <c r="E55" s="10">
        <v>5</v>
      </c>
      <c r="F55" s="15" t="s">
        <v>26</v>
      </c>
      <c r="G55" s="20" t="str">
        <f t="shared" si="0"/>
        <v/>
      </c>
      <c r="H55" s="21" t="str">
        <f t="shared" si="1"/>
        <v/>
      </c>
      <c r="I55" s="50"/>
      <c r="J55" s="51"/>
    </row>
    <row r="56" spans="1:10" ht="39.950000000000003" customHeight="1" x14ac:dyDescent="0.25">
      <c r="A56" s="12"/>
      <c r="B56" s="34" t="s">
        <v>76</v>
      </c>
      <c r="C56" s="35"/>
      <c r="D56" s="35"/>
      <c r="E56" s="10">
        <v>5</v>
      </c>
      <c r="F56" s="15" t="s">
        <v>26</v>
      </c>
      <c r="G56" s="20" t="str">
        <f t="shared" si="0"/>
        <v/>
      </c>
      <c r="H56" s="21" t="str">
        <f t="shared" si="1"/>
        <v/>
      </c>
      <c r="I56" s="50"/>
      <c r="J56" s="51"/>
    </row>
    <row r="57" spans="1:10" ht="39.950000000000003" customHeight="1" x14ac:dyDescent="0.25">
      <c r="A57" s="12"/>
      <c r="B57" s="34" t="s">
        <v>77</v>
      </c>
      <c r="C57" s="35"/>
      <c r="D57" s="35"/>
      <c r="E57" s="10">
        <v>5</v>
      </c>
      <c r="F57" s="15" t="s">
        <v>26</v>
      </c>
      <c r="G57" s="20" t="str">
        <f t="shared" si="0"/>
        <v/>
      </c>
      <c r="H57" s="21" t="str">
        <f t="shared" si="1"/>
        <v/>
      </c>
      <c r="I57" s="50"/>
      <c r="J57" s="51"/>
    </row>
    <row r="58" spans="1:10" ht="39.950000000000003" customHeight="1" x14ac:dyDescent="0.25">
      <c r="A58" s="12"/>
      <c r="B58" s="34" t="s">
        <v>78</v>
      </c>
      <c r="C58" s="35"/>
      <c r="D58" s="35"/>
      <c r="E58" s="10">
        <v>5</v>
      </c>
      <c r="F58" s="15" t="s">
        <v>26</v>
      </c>
      <c r="G58" s="20" t="str">
        <f t="shared" si="0"/>
        <v/>
      </c>
      <c r="H58" s="21" t="str">
        <f t="shared" si="1"/>
        <v/>
      </c>
      <c r="I58" s="50"/>
      <c r="J58" s="51"/>
    </row>
    <row r="59" spans="1:10" ht="30" customHeight="1" x14ac:dyDescent="0.25">
      <c r="A59" s="12"/>
      <c r="B59" s="40" t="s">
        <v>79</v>
      </c>
      <c r="C59" s="41"/>
      <c r="D59" s="41"/>
      <c r="E59" s="19"/>
      <c r="F59" s="15"/>
      <c r="G59" s="20"/>
      <c r="H59" s="21"/>
      <c r="I59" s="50"/>
      <c r="J59" s="51"/>
    </row>
    <row r="60" spans="1:10" ht="30" customHeight="1" x14ac:dyDescent="0.25">
      <c r="A60" s="12"/>
      <c r="B60" s="34" t="s">
        <v>80</v>
      </c>
      <c r="C60" s="35"/>
      <c r="D60" s="35"/>
      <c r="E60" s="10">
        <v>5</v>
      </c>
      <c r="F60" s="15" t="s">
        <v>26</v>
      </c>
      <c r="G60" s="20" t="str">
        <f t="shared" si="0"/>
        <v/>
      </c>
      <c r="H60" s="21" t="str">
        <f t="shared" si="1"/>
        <v/>
      </c>
      <c r="I60" s="50"/>
      <c r="J60" s="51"/>
    </row>
    <row r="61" spans="1:10" ht="30" customHeight="1" x14ac:dyDescent="0.25">
      <c r="A61" s="12"/>
      <c r="B61" s="34" t="s">
        <v>81</v>
      </c>
      <c r="C61" s="35"/>
      <c r="D61" s="35"/>
      <c r="E61" s="10">
        <v>5</v>
      </c>
      <c r="F61" s="15" t="s">
        <v>26</v>
      </c>
      <c r="G61" s="20" t="str">
        <f t="shared" si="0"/>
        <v/>
      </c>
      <c r="H61" s="21" t="str">
        <f t="shared" si="1"/>
        <v/>
      </c>
      <c r="I61" s="50"/>
      <c r="J61" s="51"/>
    </row>
    <row r="62" spans="1:10" ht="30" customHeight="1" x14ac:dyDescent="0.25">
      <c r="A62" s="12"/>
      <c r="B62" s="34" t="s">
        <v>82</v>
      </c>
      <c r="C62" s="35"/>
      <c r="D62" s="35"/>
      <c r="E62" s="10">
        <v>5</v>
      </c>
      <c r="F62" s="15" t="s">
        <v>26</v>
      </c>
      <c r="G62" s="20" t="str">
        <f t="shared" si="0"/>
        <v/>
      </c>
      <c r="H62" s="21" t="str">
        <f t="shared" si="1"/>
        <v/>
      </c>
      <c r="I62" s="50"/>
      <c r="J62" s="51"/>
    </row>
    <row r="63" spans="1:10" ht="30" customHeight="1" x14ac:dyDescent="0.25">
      <c r="A63" s="12"/>
      <c r="B63" s="34" t="s">
        <v>83</v>
      </c>
      <c r="C63" s="35"/>
      <c r="D63" s="35"/>
      <c r="E63" s="10">
        <v>5</v>
      </c>
      <c r="F63" s="15" t="s">
        <v>26</v>
      </c>
      <c r="G63" s="20" t="str">
        <f t="shared" si="0"/>
        <v/>
      </c>
      <c r="H63" s="21" t="str">
        <f t="shared" si="1"/>
        <v/>
      </c>
      <c r="I63" s="50"/>
      <c r="J63" s="51"/>
    </row>
    <row r="64" spans="1:10" ht="30" customHeight="1" x14ac:dyDescent="0.25">
      <c r="A64" s="12"/>
      <c r="B64" s="34" t="s">
        <v>84</v>
      </c>
      <c r="C64" s="35"/>
      <c r="D64" s="35"/>
      <c r="E64" s="10">
        <v>5</v>
      </c>
      <c r="F64" s="15" t="s">
        <v>26</v>
      </c>
      <c r="G64" s="20" t="str">
        <f t="shared" si="0"/>
        <v/>
      </c>
      <c r="H64" s="21" t="str">
        <f t="shared" si="1"/>
        <v/>
      </c>
      <c r="I64" s="50"/>
      <c r="J64" s="51"/>
    </row>
    <row r="65" spans="1:10" ht="30" customHeight="1" x14ac:dyDescent="0.25">
      <c r="A65" s="12"/>
      <c r="B65" s="34" t="s">
        <v>85</v>
      </c>
      <c r="C65" s="35"/>
      <c r="D65" s="35"/>
      <c r="E65" s="19"/>
      <c r="F65" s="15"/>
      <c r="G65" s="20"/>
      <c r="H65" s="21"/>
      <c r="I65" s="50"/>
      <c r="J65" s="51"/>
    </row>
    <row r="66" spans="1:10" ht="30" customHeight="1" x14ac:dyDescent="0.25">
      <c r="A66" s="12"/>
      <c r="B66" s="38" t="s">
        <v>86</v>
      </c>
      <c r="C66" s="39"/>
      <c r="D66" s="39"/>
      <c r="E66" s="10">
        <v>5</v>
      </c>
      <c r="F66" s="15" t="s">
        <v>26</v>
      </c>
      <c r="G66" s="20" t="str">
        <f t="shared" si="0"/>
        <v/>
      </c>
      <c r="H66" s="21" t="str">
        <f t="shared" si="1"/>
        <v/>
      </c>
      <c r="I66" s="50"/>
      <c r="J66" s="51"/>
    </row>
    <row r="67" spans="1:10" ht="30" customHeight="1" x14ac:dyDescent="0.25">
      <c r="A67" s="12"/>
      <c r="B67" s="38" t="s">
        <v>87</v>
      </c>
      <c r="C67" s="39"/>
      <c r="D67" s="39"/>
      <c r="E67" s="10">
        <v>5</v>
      </c>
      <c r="F67" s="15" t="s">
        <v>26</v>
      </c>
      <c r="G67" s="20" t="str">
        <f t="shared" si="0"/>
        <v/>
      </c>
      <c r="H67" s="21" t="str">
        <f t="shared" si="1"/>
        <v/>
      </c>
      <c r="I67" s="50"/>
      <c r="J67" s="51"/>
    </row>
    <row r="68" spans="1:10" ht="30" customHeight="1" x14ac:dyDescent="0.25">
      <c r="A68" s="12"/>
      <c r="B68" s="38" t="s">
        <v>88</v>
      </c>
      <c r="C68" s="39"/>
      <c r="D68" s="39"/>
      <c r="E68" s="10">
        <v>5</v>
      </c>
      <c r="F68" s="15" t="s">
        <v>26</v>
      </c>
      <c r="G68" s="20" t="str">
        <f t="shared" si="0"/>
        <v/>
      </c>
      <c r="H68" s="21" t="str">
        <f t="shared" si="1"/>
        <v/>
      </c>
      <c r="I68" s="50"/>
      <c r="J68" s="51"/>
    </row>
    <row r="69" spans="1:10" ht="30" customHeight="1" x14ac:dyDescent="0.25">
      <c r="A69" s="12"/>
      <c r="B69" s="38" t="s">
        <v>89</v>
      </c>
      <c r="C69" s="39"/>
      <c r="D69" s="39"/>
      <c r="E69" s="10">
        <v>5</v>
      </c>
      <c r="F69" s="15" t="s">
        <v>26</v>
      </c>
      <c r="G69" s="20" t="str">
        <f t="shared" si="0"/>
        <v/>
      </c>
      <c r="H69" s="21" t="str">
        <f t="shared" si="1"/>
        <v/>
      </c>
      <c r="I69" s="50"/>
      <c r="J69" s="51"/>
    </row>
    <row r="70" spans="1:10" ht="39.950000000000003" customHeight="1" x14ac:dyDescent="0.25">
      <c r="A70" s="12"/>
      <c r="B70" s="40" t="s">
        <v>90</v>
      </c>
      <c r="C70" s="41"/>
      <c r="D70" s="41"/>
      <c r="E70" s="19"/>
      <c r="F70" s="15"/>
      <c r="G70" s="20"/>
      <c r="H70" s="21"/>
      <c r="I70" s="50"/>
      <c r="J70" s="51"/>
    </row>
    <row r="71" spans="1:10" ht="30" customHeight="1" x14ac:dyDescent="0.25">
      <c r="A71" s="12"/>
      <c r="B71" s="34" t="s">
        <v>91</v>
      </c>
      <c r="C71" s="35"/>
      <c r="D71" s="35"/>
      <c r="E71" s="10">
        <v>5</v>
      </c>
      <c r="F71" s="15" t="s">
        <v>26</v>
      </c>
      <c r="G71" s="20" t="str">
        <f t="shared" si="0"/>
        <v/>
      </c>
      <c r="H71" s="21" t="str">
        <f t="shared" si="1"/>
        <v/>
      </c>
      <c r="I71" s="50"/>
      <c r="J71" s="51"/>
    </row>
    <row r="72" spans="1:10" ht="30" customHeight="1" x14ac:dyDescent="0.25">
      <c r="A72" s="12"/>
      <c r="B72" s="34" t="s">
        <v>92</v>
      </c>
      <c r="C72" s="35"/>
      <c r="D72" s="35"/>
      <c r="E72" s="10">
        <v>5</v>
      </c>
      <c r="F72" s="15" t="s">
        <v>26</v>
      </c>
      <c r="G72" s="20" t="str">
        <f t="shared" si="0"/>
        <v/>
      </c>
      <c r="H72" s="21" t="str">
        <f t="shared" si="1"/>
        <v/>
      </c>
      <c r="I72" s="50"/>
      <c r="J72" s="51"/>
    </row>
    <row r="73" spans="1:10" ht="30" customHeight="1" x14ac:dyDescent="0.25">
      <c r="A73" s="12"/>
      <c r="B73" s="34" t="s">
        <v>93</v>
      </c>
      <c r="C73" s="35"/>
      <c r="D73" s="35"/>
      <c r="E73" s="10">
        <v>5</v>
      </c>
      <c r="F73" s="15" t="s">
        <v>26</v>
      </c>
      <c r="G73" s="20" t="str">
        <f t="shared" si="0"/>
        <v/>
      </c>
      <c r="H73" s="21" t="str">
        <f t="shared" si="1"/>
        <v/>
      </c>
      <c r="I73" s="50"/>
      <c r="J73" s="51"/>
    </row>
    <row r="74" spans="1:10" ht="30" customHeight="1" x14ac:dyDescent="0.25">
      <c r="A74" s="12"/>
      <c r="B74" s="34" t="s">
        <v>94</v>
      </c>
      <c r="C74" s="35"/>
      <c r="D74" s="35"/>
      <c r="E74" s="10">
        <v>5</v>
      </c>
      <c r="F74" s="15" t="s">
        <v>26</v>
      </c>
      <c r="G74" s="20" t="str">
        <f t="shared" ref="G74:G78" si="2">IFERROR(F74/E74,"")</f>
        <v/>
      </c>
      <c r="H74" s="21" t="str">
        <f t="shared" ref="H74:H78" si="3">_xlfn.IFS(F74="أدخل العلامة","",F74="لا ينطبق","تم الإلغاء",G74&gt;=90%,"ممتاز",G74&gt;=80%,"جيد جداً",G74&gt;=70%,"جيد",G74&gt;=60%,"مقبول",G74&lt;60%,"راسب")</f>
        <v/>
      </c>
      <c r="I74" s="50"/>
      <c r="J74" s="51"/>
    </row>
    <row r="75" spans="1:10" ht="39.950000000000003" customHeight="1" x14ac:dyDescent="0.25">
      <c r="A75" s="12"/>
      <c r="B75" s="34" t="s">
        <v>95</v>
      </c>
      <c r="C75" s="35"/>
      <c r="D75" s="35"/>
      <c r="E75" s="10">
        <v>5</v>
      </c>
      <c r="F75" s="15" t="s">
        <v>26</v>
      </c>
      <c r="G75" s="20" t="str">
        <f t="shared" si="2"/>
        <v/>
      </c>
      <c r="H75" s="21" t="str">
        <f t="shared" si="3"/>
        <v/>
      </c>
      <c r="I75" s="50"/>
      <c r="J75" s="51"/>
    </row>
    <row r="76" spans="1:10" ht="30" customHeight="1" x14ac:dyDescent="0.25">
      <c r="A76" s="12"/>
      <c r="B76" s="34" t="s">
        <v>96</v>
      </c>
      <c r="C76" s="35"/>
      <c r="D76" s="35"/>
      <c r="E76" s="10">
        <v>5</v>
      </c>
      <c r="F76" s="15" t="s">
        <v>26</v>
      </c>
      <c r="G76" s="20" t="str">
        <f t="shared" si="2"/>
        <v/>
      </c>
      <c r="H76" s="21" t="str">
        <f t="shared" si="3"/>
        <v/>
      </c>
      <c r="I76" s="50"/>
      <c r="J76" s="51"/>
    </row>
    <row r="77" spans="1:10" ht="30" customHeight="1" x14ac:dyDescent="0.25">
      <c r="A77" s="12"/>
      <c r="B77" s="34" t="s">
        <v>97</v>
      </c>
      <c r="C77" s="35"/>
      <c r="D77" s="35"/>
      <c r="E77" s="10">
        <v>5</v>
      </c>
      <c r="F77" s="15" t="s">
        <v>26</v>
      </c>
      <c r="G77" s="20" t="str">
        <f t="shared" si="2"/>
        <v/>
      </c>
      <c r="H77" s="21" t="str">
        <f t="shared" si="3"/>
        <v/>
      </c>
      <c r="I77" s="50"/>
      <c r="J77" s="51"/>
    </row>
    <row r="78" spans="1:10" ht="39.950000000000003" customHeight="1" thickBot="1" x14ac:dyDescent="0.3">
      <c r="A78" s="12"/>
      <c r="B78" s="36" t="s">
        <v>98</v>
      </c>
      <c r="C78" s="37"/>
      <c r="D78" s="37"/>
      <c r="E78" s="26">
        <v>5</v>
      </c>
      <c r="F78" s="17" t="s">
        <v>26</v>
      </c>
      <c r="G78" s="27" t="str">
        <f t="shared" si="2"/>
        <v/>
      </c>
      <c r="H78" s="28" t="str">
        <f t="shared" si="3"/>
        <v/>
      </c>
      <c r="I78" s="62"/>
      <c r="J78" s="63"/>
    </row>
    <row r="79" spans="1:10" ht="30" customHeight="1" thickBot="1" x14ac:dyDescent="0.3">
      <c r="A79" s="3"/>
      <c r="B79" s="54" t="s">
        <v>5</v>
      </c>
      <c r="C79" s="55"/>
      <c r="D79" s="55"/>
      <c r="E79" s="11">
        <f>SUM(E8:E78)</f>
        <v>295</v>
      </c>
      <c r="F79" s="11">
        <f>SUM(F8:F78)</f>
        <v>0</v>
      </c>
      <c r="G79" s="86"/>
      <c r="H79" s="87"/>
      <c r="I79" s="87"/>
      <c r="J79" s="88"/>
    </row>
    <row r="80" spans="1:10" ht="30" customHeight="1" thickBot="1" x14ac:dyDescent="0.3">
      <c r="A80" s="3"/>
      <c r="B80" s="54" t="s">
        <v>20</v>
      </c>
      <c r="C80" s="55"/>
      <c r="D80" s="55"/>
      <c r="E80" s="72">
        <f>F79/E79/100*100</f>
        <v>0</v>
      </c>
      <c r="F80" s="72"/>
      <c r="G80" s="72"/>
      <c r="H80" s="72"/>
      <c r="I80" s="72"/>
      <c r="J80" s="73"/>
    </row>
    <row r="81" spans="1:10" ht="30" customHeight="1" thickBot="1" x14ac:dyDescent="0.3">
      <c r="A81" s="3"/>
      <c r="B81" s="54" t="s">
        <v>21</v>
      </c>
      <c r="C81" s="55"/>
      <c r="D81" s="55"/>
      <c r="E81" s="60" t="str">
        <f>_xlfn.IFS(E80&gt;=90%,"ممتاز",E80&gt;=80%,"جيد جداً",E80&gt;=70%,"جيد",E80&gt;=60%,"مقبول",E80&lt;60%,"راسب")</f>
        <v>راسب</v>
      </c>
      <c r="F81" s="60"/>
      <c r="G81" s="60"/>
      <c r="H81" s="60"/>
      <c r="I81" s="60"/>
      <c r="J81" s="61"/>
    </row>
    <row r="82" spans="1:10" ht="42" customHeight="1" x14ac:dyDescent="0.25">
      <c r="B82" s="56" t="s">
        <v>27</v>
      </c>
      <c r="C82" s="56"/>
      <c r="D82" s="56"/>
      <c r="E82" s="84" t="s">
        <v>18</v>
      </c>
      <c r="F82" s="84"/>
      <c r="G82" s="58" t="s">
        <v>24</v>
      </c>
      <c r="H82" s="58"/>
      <c r="I82" s="58"/>
      <c r="J82" s="58"/>
    </row>
    <row r="83" spans="1:10" ht="51" customHeight="1" x14ac:dyDescent="0.25">
      <c r="A83" s="4"/>
      <c r="B83" s="57"/>
      <c r="C83" s="57"/>
      <c r="D83" s="57"/>
      <c r="E83" s="85" t="s">
        <v>19</v>
      </c>
      <c r="F83" s="85"/>
      <c r="G83" s="59"/>
      <c r="H83" s="59"/>
      <c r="I83" s="59"/>
      <c r="J83" s="5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63">
    <mergeCell ref="I9:J9"/>
    <mergeCell ref="E82:F82"/>
    <mergeCell ref="E83:F83"/>
    <mergeCell ref="G79:J79"/>
    <mergeCell ref="I72:J72"/>
    <mergeCell ref="I73:J73"/>
    <mergeCell ref="I74:J74"/>
    <mergeCell ref="I75:J75"/>
    <mergeCell ref="I76:J76"/>
    <mergeCell ref="I77:J77"/>
    <mergeCell ref="I78:J78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B1:J1"/>
    <mergeCell ref="F2:J2"/>
    <mergeCell ref="B5:D6"/>
    <mergeCell ref="C2:D2"/>
    <mergeCell ref="C3:D3"/>
    <mergeCell ref="F3:J3"/>
    <mergeCell ref="E80:J80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82:D83"/>
    <mergeCell ref="G82:J82"/>
    <mergeCell ref="G83:J83"/>
    <mergeCell ref="E81:J81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I32:J32"/>
    <mergeCell ref="I33:J33"/>
    <mergeCell ref="I34:J34"/>
    <mergeCell ref="I35:J35"/>
    <mergeCell ref="I36:J36"/>
    <mergeCell ref="I8:J8"/>
    <mergeCell ref="B79:D79"/>
    <mergeCell ref="B80:D80"/>
    <mergeCell ref="B81:D8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71:D71"/>
    <mergeCell ref="B72:D72"/>
    <mergeCell ref="B73:D73"/>
    <mergeCell ref="B74:D74"/>
    <mergeCell ref="B75:D75"/>
    <mergeCell ref="B76:D76"/>
    <mergeCell ref="B77:D77"/>
    <mergeCell ref="B78:D78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</mergeCells>
  <conditionalFormatting sqref="E81">
    <cfRule type="expression" dxfId="23" priority="57">
      <formula>$E81="راسب"</formula>
    </cfRule>
  </conditionalFormatting>
  <conditionalFormatting sqref="E81:J81">
    <cfRule type="expression" dxfId="22" priority="58">
      <formula>$E81="مقبول"</formula>
    </cfRule>
    <cfRule type="expression" dxfId="21" priority="59">
      <formula>$E81="جيد"</formula>
    </cfRule>
    <cfRule type="expression" dxfId="20" priority="60">
      <formula>$E81="جيد جداً"</formula>
    </cfRule>
    <cfRule type="expression" dxfId="19" priority="61">
      <formula>$E81="ممتاز"</formula>
    </cfRule>
  </conditionalFormatting>
  <conditionalFormatting sqref="H8 H10:H78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78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82:J82">
    <cfRule type="containsText" dxfId="8" priority="15" operator="containsText" text="أدخل اسم المحكم">
      <formula>NOT(ISERROR(SEARCH("أدخل اسم المحكم",G82)))</formula>
    </cfRule>
  </conditionalFormatting>
  <conditionalFormatting sqref="F8 F10:F78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F71:F78 F66:F69 F60:F64 F54:F58 F40:F52 F37:F38 F34:F35 F24:F32 F9:F20</xm:sqref>
        </x14:dataValidation>
        <x14:dataValidation type="list" allowBlank="1" showInputMessage="1" showErrorMessage="1">
          <x14:formula1>
            <xm:f>#REF!</xm:f>
          </x14:formula1>
          <xm:sqref>G82:J82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2026-08-30T05:15:28Z</dcterms:modified>
</cp:coreProperties>
</file>