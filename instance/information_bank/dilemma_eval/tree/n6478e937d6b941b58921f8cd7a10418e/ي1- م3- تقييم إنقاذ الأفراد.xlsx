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C96E2DF-DDDB-4AC0-8C6D-9EA92F11FE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/>
  <c r="G12" i="2"/>
  <c r="H12" i="2" s="1"/>
  <c r="G13" i="2"/>
  <c r="H13" i="2"/>
  <c r="G14" i="2"/>
  <c r="H14" i="2"/>
  <c r="G16" i="2"/>
  <c r="H16" i="2" s="1"/>
  <c r="G17" i="2"/>
  <c r="H17" i="2"/>
  <c r="G18" i="2"/>
  <c r="H18" i="2" s="1"/>
  <c r="G19" i="2"/>
  <c r="H19" i="2" s="1"/>
  <c r="G20" i="2"/>
  <c r="H20" i="2" s="1"/>
  <c r="G21" i="2"/>
  <c r="H21" i="2" s="1"/>
  <c r="F22" i="2"/>
  <c r="E22" i="2"/>
  <c r="E23" i="2" l="1"/>
  <c r="E24" i="2" s="1"/>
</calcChain>
</file>

<file path=xl/sharedStrings.xml><?xml version="1.0" encoding="utf-8"?>
<sst xmlns="http://schemas.openxmlformats.org/spreadsheetml/2006/main" count="251" uniqueCount="194">
  <si>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</si>
  <si>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</si>
  <si>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</si>
  <si>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</si>
  <si>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</si>
  <si>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</si>
  <si>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</si>
  <si>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</si>
  <si>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</si>
  <si>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</si>
  <si>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</si>
  <si>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</si>
  <si>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</si>
  <si>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</si>
  <si>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</si>
  <si>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</si>
  <si>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</si>
  <si>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</si>
  <si>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</si>
  <si>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</si>
  <si>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</si>
  <si>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</si>
  <si>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</si>
  <si>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</si>
  <si>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</si>
  <si>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</si>
  <si>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</si>
  <si>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</si>
  <si>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</si>
  <si>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</si>
  <si>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</si>
  <si>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</si>
  <si>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</si>
  <si>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</si>
  <si>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</si>
  <si>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</si>
  <si>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</si>
  <si>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</si>
  <si>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</si>
  <si>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</si>
  <si>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</si>
  <si>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</si>
  <si>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</si>
  <si>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</si>
  <si>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</si>
  <si>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</si>
  <si>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</si>
  <si>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</si>
  <si>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</si>
  <si>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</si>
  <si>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</si>
  <si>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</si>
  <si>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</si>
  <si>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</si>
  <si>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</si>
  <si>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</si>
  <si>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</si>
  <si>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</si>
  <si>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</si>
  <si>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</si>
  <si>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</si>
  <si>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</si>
  <si>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</si>
  <si>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</si>
  <si>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</si>
  <si>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</si>
  <si>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</si>
  <si>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</si>
  <si>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</si>
  <si>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</si>
  <si>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</si>
  <si>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</si>
  <si>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</si>
  <si>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</si>
  <si>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</si>
  <si>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</si>
  <si>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</si>
  <si>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</si>
  <si>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</si>
  <si>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</si>
  <si>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</si>
  <si>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</si>
  <si>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</si>
  <si>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</si>
  <si>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</si>
  <si>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</si>
  <si>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</si>
  <si>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</si>
  <si>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</si>
  <si>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</si>
  <si>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</si>
  <si>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</si>
  <si>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</si>
  <si>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</si>
  <si>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</si>
  <si>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</si>
  <si>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</si>
  <si>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</si>
  <si>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</si>
  <si>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</si>
  <si>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</si>
  <si>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</si>
  <si>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</si>
  <si>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</si>
  <si>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</si>
  <si>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</si>
  <si>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</si>
  <si>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</si>
  <si>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</si>
  <si>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</si>
  <si>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</si>
  <si>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</si>
  <si>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</si>
  <si>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</si>
  <si>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</si>
  <si>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</si>
  <si>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</si>
  <si>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</si>
  <si>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</si>
  <si>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</si>
  <si>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</si>
  <si>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</si>
  <si>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</si>
  <si>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</si>
  <si>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</si>
  <si>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</si>
  <si>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</si>
  <si>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</si>
  <si>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</si>
  <si>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</si>
  <si>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</si>
  <si>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</si>
  <si>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</si>
  <si>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</si>
  <si>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</si>
  <si>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</si>
  <si>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</si>
  <si>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</si>
  <si>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</si>
  <si>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</si>
  <si>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</si>
  <si>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</si>
  <si>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</si>
  <si>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</si>
  <si>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</si>
  <si>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</si>
  <si>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</si>
  <si>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</si>
  <si>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</si>
  <si>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</si>
  <si>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</si>
  <si>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</si>
  <si>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</si>
  <si>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</si>
  <si>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</si>
  <si>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</si>
  <si>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</si>
  <si>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</si>
  <si>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</si>
  <si>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</si>
  <si>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</si>
  <si>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</si>
  <si>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</si>
  <si>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</si>
  <si>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</si>
  <si>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</si>
  <si>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</si>
  <si>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</si>
  <si>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</si>
  <si>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</si>
  <si>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</si>
  <si>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</si>
  <si>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</si>
  <si>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</si>
  <si>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</si>
  <si>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</si>
  <si>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</si>
  <si>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</si>
  <si>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</si>
  <si>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</si>
  <si>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</si>
  <si>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</si>
  <si>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</si>
  <si>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</si>
  <si>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</si>
  <si>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</si>
  <si>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</si>
  <si>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</si>
  <si>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</si>
  <si>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</si>
  <si>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</si>
  <si>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</si>
  <si>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</si>
  <si>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معضلة/3 -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</si>
</sst>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30494</xdr:colOff>
      <xdr:row>25</xdr:row>
      <xdr:rowOff>34645</xdr:rowOff>
    </xdr:from>
    <xdr:to>
      <xdr:col>8</xdr:col>
      <xdr:colOff>313871</xdr:colOff>
      <xdr:row>25</xdr:row>
      <xdr:rowOff>350725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6F89867-467A-EA5D-2A67-66D5FEA19B2A}"/>
                </a:ext>
              </a:extLst>
            </xdr14:cNvPr>
            <xdr14:cNvContentPartPr/>
          </xdr14:nvContentPartPr>
          <xdr14:nvPr macro=""/>
          <xdr14:xfrm>
            <a:off x="10423388929" y="9703080"/>
            <a:ext cx="937800" cy="316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6F89867-467A-EA5D-2A67-66D5FEA19B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80289" y="9694080"/>
              <a:ext cx="955440" cy="33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552494</xdr:colOff>
      <xdr:row>25</xdr:row>
      <xdr:rowOff>172525</xdr:rowOff>
    </xdr:from>
    <xdr:to>
      <xdr:col>8</xdr:col>
      <xdr:colOff>622031</xdr:colOff>
      <xdr:row>25</xdr:row>
      <xdr:rowOff>576805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700E8B0-F672-2FA5-F446-D79629213005}"/>
                </a:ext>
              </a:extLst>
            </xdr14:cNvPr>
            <xdr14:cNvContentPartPr/>
          </xdr14:nvContentPartPr>
          <xdr14:nvPr macro=""/>
          <xdr14:xfrm>
            <a:off x="10423080769" y="9840960"/>
            <a:ext cx="723960" cy="404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700E8B0-F672-2FA5-F446-D7962921300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72129" y="9832320"/>
              <a:ext cx="741600" cy="421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8:05:46.1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2091 632 3144,'0'0'0,"0"0"576,0 0-40,0 0-536,0 0 312,1 0-151,0 0-81,0 2-24,0 1 24,2-1 40,-3-2-120,4 0 104,-2 2 32,1-2 8,1 3-40,0-3 96,-2 2-32,-2-2-168,4 0 168,-1 3-24,2-1-48,0-2-8,0 4 24,4-4 56,-9 0-168,4 2 136,1-2-24,5 0-8,-6 2-40,8 1 40,-7-1 24,-5-2-128,12 0 88,-3 0-16,1 0-24,1 0 8,-1 0 0,1 0-24,-11 0-32,13 0 8,1 0-16,-1 0 16,1 0-32,-1 0 40,2-1-32,-15 1 16,15 0-48,0-1 24,0 0 0,0-1-24,0 1 96,2 0-64,-17 1 16,13 0-48,2-1 56,-2 1-32,0 0 16,0 0-16,0 0 24,-13 0 0,12 0-16,0 0 72,-1 2-48,-1 1-8,-1-1 8,-5 0-40,-4-2 32,11 3-16,-8-3 16,7 2-40,-8 1 40,2-3-88,-1 2-40,-3-2 128,4 2-128,-2 2-32,-1 0 48,1-2-56,-2 2 8,0-2-24,0-2 184,0 4-192,0-2 96,0 8-48,-4-10 104,1 3 16,-7 7 8,10-10 16,-3 2 64,-8 2-72,7-1 64,-10 8-32,3-11 16,-2 4 32,13-4-72,-14 9 24,0-9 24,1 4-24,-2-2 24,2 1 8,0-1 16,13-2-72,-14 0 80,-1 0 8,0 0 0,-2 0-32,1 0 0,0 0-8,16 0-48,-16-1 16,-1 0 56,0-2-80,-1 2 8,2 0-8,-2 0-40,18 1 48,-18-1 32,0-1-16,-1 2-8,-1 0-8,1 0 0,-1 0-8,20 0 8,-19 0 0,-3 0 24,1 3 8,-1-1-8,-1 1-8,1 0-8,22-3-8,-22 4 24,-1-1 8,0 1 8,2 0 16,-3 5-16,1-9 0,23 0-40,-25 4 48,0-1 0,0 1 32,-2-1 0,3 0 24,-2-1 8,26-2-112,-24 3 96,-1-3 8,0 0 8,-1 0-16,1 0 16,-1 0 0,26 0-112,-24 0 112,-2-2 0,1-1 24,2-1-8,-3-5-8,1 5 8,25 4-128,-25-9 104,0-1 0,-4 0 8,0 0 1,0 0 7,-2-3 0,31 13-120,-29-12 136,-1-3-32,1 2-24,-1-1-16,2-1-56,0 2 8,28 13-16,-29-13 16,2 1-16,0-1 8,2-1 0,-1 0-8,5 0 32,21 14-32,-19-12 40,1 0 16,-1 0 0,1-1 0,1 1 0,1-1 16,16 13-72,-12-12 64,0-1-16,3 1 8,-1 0-24,7-2 0,3 14-32,-13-13 24,10 0-24,-1-1-48,1 0-48,0 1-72,3-1-72,-2-1-56,2 15 296,0-15-368,0 1-49,0-2-15,4-1-16,-1-1 72,-3 18 376,12-18-328,-2 0 16,1 0 32,0 0-8,2 2 40,0-1 64,-13 17 184,13-16-168,2 1 24,2 0 0,0 2-48,2 0 16,-1 2 16,-18 11 160,21-10-144,0 1 64,-1-1 24,3 7 8,1-8 16,0 7 16,-24 4 16,25-3-16,1-1 16,-1 1 8,1-1 8,-1 3-8,2 0 0,-27 1-8,26-2 8,1 2-8,2 0 0,-2 4 8,-1 6 8,-2-8 8,-24-2-24,23 11-8,-2-8 24,2 8-16,0-7 0,-2 9 8,0-10-16,-21-3 8,20 16 0,-1-12-16,-1 11-8,0-4-8,-1 0-16,0 1 24,-17-12 24,17 14-40,-2-2 8,0 0 8,-3 1-9,0-1 17,-2 1 24,-10-13-8,10 15 0,0-2 16,-6 0-8,7 2 0,-7-5 1,-1 2 31,-3-12-40,4 14 32,-3-2 24,0 0 32,-1 1 0,0-1 24,0 0 32,0-12-144,-3 10 136,-1 2 0,-8 0 24,9 2-40,-11 0 32,4 0 32,10-14-184,-14 15 232,1-2 0,-2-1 40,-2 0 8,-2 1-16,-1 0 32,20-13-296,-21 13 264,-2-2-8,-2 1-8,-2-2 0,1 1-8,-1 1-64,27-12-176,-30 12 176,0-2-39,-4 1 7,-1-1 48,1 0 32,-4 2-32,38-12-192,-37 10 192,0 1-16,-1-2-56,-2-5-16,-2 13 0,-1-6 0,43-11-104,-44 12 96,-2 1 56,0-4-64,0 1 24,-1 1 56,3 1-40,44-12-128,-46 9 112,3 2-32,0-1-64,-1-7-24,2 12 72,0-6-40,42-9-24,-40 4-8,3 8 40,1-10 0,3 2-8,0 5-16,2-6-8,31-3 0,-30 3-64,1 0-56,4-1-208,1-2-200,4 3-240,0-3-217,20 0 985,-21 0-1264,3 0-272,0 0-152,3-3 327,0 0 489,2-2 384,13 5 488,-12-10-152,9 1-1648,3 9 1800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8:05:47.1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1976 39 4705,'0'0'0,"2"-1"1408,2 0-608,-1 0-392,2-1-208,-1 2-120,-4 0-80,2 0 48,2 0-8,-2 3 24,2-1 40,-2 1 72,-1-1 24,-1-2-200,2 4 184,-2-1-48,-3 1 0,1 7-16,-10-8 32,8 8-16,4-11-136,-17 4 96,3 9-8,-1-4-24,-5 2-47,1-1-9,-1-1-25,20-9 17,-22 10-32,1-1 0,-1 1 0,1-6 8,-2 8-8,0-9-16,23-3 48,-25 10-64,1-8-40,0 8-32,1-8-64,-1 1-176,1 0-240,23-3 616,-24 3-928,3-1-184,-1-2-105,2 0 217,1 0 344,0 0 256,19 0 400,-20-1-144,2-3 104,0 1 8,2-2 8,-4 0 8,2 0 0,18 5 16,-18-3-16,0-1 16,3 2 0,2 0 16,-2 1 0,1 1 8,14 0-24,-13 0 24,0 0 0,0 0 8,-1 0 8,0 0-8,-2 0 8,16 0-40,-15 3 32,-1-1 24,-1 0 48,-1 1 88,2 0 96,-4 1 96,20-4-384,-19 10 448,0-8 24,-2 2 1,1 6-17,0-7-48,-2 6-48,22-9-360,-20 3 256,-2 0-40,0 8-40,1-9-56,0 2 24,0 7-40,21-11-104,-19 2 72,0 2-8,3 5-16,0-9 0,-1 3-24,3 0 8,14-3-32,-17 3 64,2-1-32,-1 1 32,1-1-16,-2-2-32,2 0 0,15 0-16,-16 2 56,-1-2-40,-1 0 0,0 0 8,3 0-48,-2-1 32,17 1-8,-13-1-32,-1 0 8,-1 0-8,3-1 8,-1 1 8,1 0 24,12 1-8,-12 0 8,0 0-8,0-1 0,-1 1-24,-1 0 0,-1 0 24,15 0 0,-14 0 24,-1 0-16,0 0 0,1 0 0,-2 0 8,0 0 16,16 0-32,-15 2 32,-1 1 40,1-1 8,-1-2-40,2 0 104,-2 4-184,16-4 40,-14 3 8,-3 0 32,1-3-56,2 0 120,1 0-72,1 0 32,12 0-64,-12 0 88,1 0-24,0 0 32,2-2-16,-1 0-64,6 0 8,4 2-24,-13-4 56,10 0-72,-9-5-24,9 4 0,-8-7-216,9 7-80,2 5 336,-3-12-440,-7 3-80,7-2-8,0-3 8,-1-1 40,2 1-40,2 14 520,0-17-545,0 0-15,0 0 24,0 1 152,2 0 168,3 2 120,-5 14 96,11-15-8,-7 3 24,7 2 16,-6-1 0,6 7 8,-6-8 16,-5 12-56,12-3 48,-7-2-8,8-5 40,-2 8-24,-1-2 0,0 1 8,-10 3-64,9-3 24,1 2 24,-5 0-8,7 1 0,-7 0 32,7 2 8,-12-2-80,3 10 120,7-8 16,-8 10 0,2-1-24,0 2 24,-1 2 32,-3-15-168,4 18 168,-3 1 56,0 1-31,-1 3-33,0 0 0,0 2-16,0-25-144,-2 26 168,-1 2-32,1-1 96,-2 1-48,1 3-8,-1 0 88,4-31-264,-9 33 200,6 1 120,1-1 48,-2-1 32,2 0 56,2 2 0,0-34-456,0 33 552,0 1 73,1-2-25,1-2 32,3-1-24,5-3-80,-10-26-528,4 27 528,10-2-24,-3 0-64,2-1 49,-2 0 7,5-2-48,-16-22-448,17 22 448,2 0-48,3 0-88,2-3-32,2 0-24,3-2-96,-29-17-160,30 15 200,1 0 8,2-2-40,2-2-16,4-2-48,4-5-72,-43-4-32,43 13 64,4-9-40,0 6-16,3-7 8,4 0-80,1 0-120,-55-3 184,61 2-408,1-2-560,4 3-1273,5-3-1335,1 0-17,7-2 976,-79 2 2617,80-4-1480,2-12-984,-82 16 2464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F17" sqref="F1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1" t="s">
        <v>8</v>
      </c>
      <c r="C2" s="66" t="s">
        <v>41</v>
      </c>
      <c r="D2" s="66"/>
      <c r="E2" s="11" t="s">
        <v>7</v>
      </c>
      <c r="F2" s="61">
        <v>45943</v>
      </c>
      <c r="G2" s="61"/>
      <c r="H2" s="61"/>
      <c r="I2" s="61"/>
      <c r="J2" s="61"/>
    </row>
    <row r="3" spans="1:10" ht="30" customHeight="1" x14ac:dyDescent="0.3">
      <c r="B3" s="11" t="s">
        <v>9</v>
      </c>
      <c r="C3" s="66" t="s">
        <v>82</v>
      </c>
      <c r="D3" s="66"/>
      <c r="E3" s="11" t="s">
        <v>6</v>
      </c>
      <c r="F3" s="66" t="s">
        <v>92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" customHeight="1" thickBot="1" x14ac:dyDescent="0.35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3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 x14ac:dyDescent="0.3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9"/>
      <c r="B10" s="77" t="s">
        <v>183</v>
      </c>
      <c r="C10" s="78"/>
      <c r="D10" s="78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3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 x14ac:dyDescent="0.3">
      <c r="A12" s="9"/>
      <c r="B12" s="77" t="s">
        <v>185</v>
      </c>
      <c r="C12" s="78"/>
      <c r="D12" s="78"/>
      <c r="E12" s="32">
        <v>0</v>
      </c>
      <c r="F12" s="25" t="s">
        <v>17</v>
      </c>
      <c r="G12" s="33" t="str">
        <f t="shared" si="0"/>
        <v/>
      </c>
      <c r="H12" s="34" t="str">
        <f t="shared" si="1"/>
        <v>تم الإلغاء</v>
      </c>
      <c r="I12" s="54"/>
      <c r="J12" s="55"/>
    </row>
    <row r="13" spans="1:10" ht="30" customHeight="1" x14ac:dyDescent="0.3">
      <c r="A13" s="9"/>
      <c r="B13" s="77" t="s">
        <v>186</v>
      </c>
      <c r="C13" s="78"/>
      <c r="D13" s="78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54"/>
      <c r="J13" s="55"/>
    </row>
    <row r="14" spans="1:10" ht="30" customHeight="1" thickBot="1" x14ac:dyDescent="0.35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 x14ac:dyDescent="0.3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 x14ac:dyDescent="0.3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 x14ac:dyDescent="0.3">
      <c r="A17" s="9"/>
      <c r="B17" s="77" t="s">
        <v>180</v>
      </c>
      <c r="C17" s="78"/>
      <c r="D17" s="78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54"/>
      <c r="J17" s="55"/>
    </row>
    <row r="18" spans="1:10" ht="30" customHeight="1" x14ac:dyDescent="0.3">
      <c r="A18" s="9"/>
      <c r="B18" s="77" t="s">
        <v>181</v>
      </c>
      <c r="C18" s="78"/>
      <c r="D18" s="78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54"/>
      <c r="J18" s="55"/>
    </row>
    <row r="19" spans="1:10" ht="30" customHeight="1" x14ac:dyDescent="0.3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 x14ac:dyDescent="0.3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 x14ac:dyDescent="0.35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 x14ac:dyDescent="0.35">
      <c r="A22" s="4"/>
      <c r="B22" s="50" t="s">
        <v>5</v>
      </c>
      <c r="C22" s="51"/>
      <c r="D22" s="51"/>
      <c r="E22" s="31">
        <f>SUM(E8:E21)</f>
        <v>33</v>
      </c>
      <c r="F22" s="31">
        <f>SUM(F8:F21)</f>
        <v>24.25</v>
      </c>
      <c r="G22" s="87"/>
      <c r="H22" s="88"/>
      <c r="I22" s="88"/>
      <c r="J22" s="89"/>
    </row>
    <row r="23" spans="1:10" ht="30" customHeight="1" thickBot="1" x14ac:dyDescent="0.35">
      <c r="A23" s="4"/>
      <c r="B23" s="52" t="s">
        <v>54</v>
      </c>
      <c r="C23" s="53"/>
      <c r="D23" s="53"/>
      <c r="E23" s="90">
        <f>F22/E22/100*100</f>
        <v>0.73484848484848486</v>
      </c>
      <c r="F23" s="90"/>
      <c r="G23" s="90"/>
      <c r="H23" s="90"/>
      <c r="I23" s="90"/>
      <c r="J23" s="91"/>
    </row>
    <row r="24" spans="1:10" ht="30" customHeight="1" thickBot="1" x14ac:dyDescent="0.35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 x14ac:dyDescent="0.3">
      <c r="B25" s="79" t="s">
        <v>192</v>
      </c>
      <c r="C25" s="79"/>
      <c r="D25" s="79"/>
      <c r="E25" s="85" t="s">
        <v>52</v>
      </c>
      <c r="F25" s="85"/>
      <c r="G25" s="81" t="s">
        <v>92</v>
      </c>
      <c r="H25" s="81"/>
      <c r="I25" s="81"/>
      <c r="J25" s="81"/>
    </row>
    <row r="26" spans="1:10" ht="51" customHeight="1" x14ac:dyDescent="0.3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 ht="15.6" x14ac:dyDescent="0.3">
      <c r="A27" s="27">
        <v>3</v>
      </c>
      <c r="B27" s="42" t="s">
        <v>175</v>
      </c>
      <c r="C27" s="43"/>
    </row>
    <row r="28" spans="1:10" ht="15.6" x14ac:dyDescent="0.3">
      <c r="A28" s="28">
        <v>2</v>
      </c>
      <c r="B28" s="44" t="s">
        <v>176</v>
      </c>
      <c r="C28" s="45"/>
    </row>
    <row r="29" spans="1:10" ht="15.6" x14ac:dyDescent="0.3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2025-10-16T04:32:06Z</dcterms:modified>
</cp:coreProperties>
</file>