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4CD6E829-369B-499A-B11C-A1C9750C0232}"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9" i="2"/>
  <c r="H19" i="2"/>
  <c r="G20" i="2"/>
  <c r="H20" i="2"/>
  <c r="G21" i="2"/>
  <c r="H21" i="2"/>
  <c r="G22" i="2"/>
  <c r="H22" i="2"/>
  <c r="G23" i="2"/>
  <c r="H23" i="2"/>
  <c r="G25" i="2"/>
  <c r="H25" i="2"/>
  <c r="G26" i="2"/>
  <c r="H26" i="2"/>
  <c r="G27" i="2"/>
  <c r="H27" i="2"/>
  <c r="G28" i="2"/>
  <c r="H28" i="2"/>
  <c r="G29" i="2"/>
  <c r="H29" i="2"/>
  <c r="G30" i="2"/>
  <c r="H30" i="2"/>
  <c r="G31" i="2"/>
  <c r="H31" i="2"/>
  <c r="G32" i="2"/>
  <c r="H32" i="2"/>
  <c r="G33" i="2"/>
  <c r="H33" i="2"/>
  <c r="G34" i="2"/>
  <c r="H34" i="2"/>
  <c r="G35" i="2"/>
  <c r="H35" i="2"/>
  <c r="F36" i="2"/>
  <c r="E36" i="2"/>
  <c r="E37" i="2"/>
  <c r="E38" i="2"/>
</calcChain>
</file>

<file path=xl/sharedStrings.xml><?xml version="1.0" encoding="utf-8"?>
<sst xmlns="http://schemas.openxmlformats.org/spreadsheetml/2006/main" count="265" uniqueCount="210">
  <si>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</si>
  <si>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</si>
  <si>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</si>
  <si>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</si>
  <si>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</si>
  <si>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</si>
  <si>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</si>
  <si>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</si>
  <si>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</si>
  <si>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</si>
  <si>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</si>
  <si>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</si>
  <si>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</si>
  <si>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</si>
  <si>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</si>
  <si>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</si>
  <si>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</si>
  <si>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</si>
  <si>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</si>
  <si>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</si>
  <si>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</si>
  <si>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</si>
  <si>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</si>
  <si>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</si>
  <si>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</si>
  <si>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</si>
  <si>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</si>
  <si>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</si>
  <si>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</si>
  <si>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</si>
  <si>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</si>
  <si>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</si>
  <si>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</si>
  <si>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</si>
  <si>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</si>
  <si>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</si>
  <si>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</si>
  <si>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</si>
  <si>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</si>
  <si>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</si>
  <si>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</si>
  <si>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</si>
  <si>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</si>
  <si>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</si>
  <si>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</si>
  <si>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</si>
  <si>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</si>
  <si>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</si>
  <si>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</si>
  <si>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</si>
  <si>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</si>
  <si>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</si>
  <si>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</si>
  <si>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</si>
  <si>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</si>
  <si>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</si>
  <si>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</si>
  <si>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</si>
  <si>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</si>
  <si>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</si>
  <si>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</si>
  <si>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</si>
  <si>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</si>
  <si>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</si>
  <si>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</si>
  <si>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</si>
  <si>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</si>
  <si>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</si>
  <si>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</si>
  <si>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</si>
  <si>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</si>
  <si>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</si>
  <si>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</si>
  <si>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</si>
  <si>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</si>
  <si>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</si>
  <si>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</si>
  <si>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</si>
  <si>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</si>
  <si>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</si>
  <si>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</si>
  <si>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</si>
  <si>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</si>
  <si>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</si>
  <si>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</si>
  <si>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</si>
  <si>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</si>
  <si>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</si>
  <si>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</si>
  <si>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</si>
  <si>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</si>
  <si>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</si>
  <si>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</si>
  <si>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</si>
  <si>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</si>
  <si>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</si>
  <si>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</si>
  <si>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</si>
  <si>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</si>
  <si>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</si>
  <si>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</si>
  <si>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</si>
  <si>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</si>
  <si>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</si>
  <si>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</si>
  <si>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</si>
  <si>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</si>
  <si>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</si>
  <si>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</si>
  <si>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</si>
  <si>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</si>
  <si>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</si>
  <si>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</si>
  <si>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</si>
  <si>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</si>
  <si>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</si>
  <si>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</si>
  <si>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</si>
  <si>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</si>
  <si>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</si>
  <si>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</si>
  <si>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</si>
  <si>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</si>
  <si>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</si>
  <si>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</si>
  <si>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</si>
  <si>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</si>
  <si>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</si>
  <si>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</si>
  <si>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</si>
  <si>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</si>
  <si>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</si>
  <si>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</si>
  <si>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</si>
  <si>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</si>
  <si>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</si>
  <si>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</si>
  <si>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</si>
  <si>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</si>
  <si>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</si>
  <si>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</si>
  <si>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</si>
  <si>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</si>
  <si>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</si>
  <si>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</si>
  <si>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</si>
  <si>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</si>
  <si>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</si>
  <si>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</si>
  <si>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</si>
  <si>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</si>
  <si>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</si>
  <si>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</si>
  <si>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</si>
  <si>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</si>
  <si>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</si>
  <si>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</si>
  <si>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</si>
  <si>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</si>
  <si>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</si>
  <si>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</si>
  <si>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</si>
  <si>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</si>
  <si>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</si>
  <si>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</si>
  <si>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</si>
  <si>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</si>
  <si>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</si>
  <si>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</si>
  <si>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</si>
  <si>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</si>
  <si>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</si>
  <si>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</si>
  <si>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</si>
  <si>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</si>
  <si>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</si>
  <si>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</si>
  <si>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</si>
  <si>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</si>
  <si>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</si>
  <si>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احتلال منطقة التجمع</t>
    </r>
    <r>
      <rPr>
        <b/>
        <u/>
        <sz val="14"/>
        <color rgb="FF000000"/>
        <rFont val="Arial"/>
        <family val="2"/>
      </rPr>
      <t xml:space="preserve">
تمرين جاهزية مجموعة لواء الإمارات/1 (جندي الصحراء 2025/20)</t>
    </r>
  </si>
  <si>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</si>
  <si>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</si>
  <si>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</si>
  <si>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</si>
  <si>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</si>
  <si>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</si>
  <si>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</si>
  <si>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</si>
  <si>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</si>
  <si>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</si>
  <si>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</si>
  <si>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</si>
  <si>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</si>
  <si>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</si>
  <si>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</si>
  <si>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</si>
  <si>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</si>
  <si>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</si>
  <si>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</si>
  <si>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</si>
  <si>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</si>
  <si>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</si>
  <si>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</si>
  <si>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</si>
  <si>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</si>
  <si>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</si>
  <si>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</si>
  <si>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</si>
  <si>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t>وكيل/ محمد مبارك النوبي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</si>
</sst>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9">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22" xfId="0" applyFont="1" applyBorder="1" applyAlignment="1" applyProtection="1">
      <alignment horizontal="center" vertical="center" wrapText="1" readingOrder="2"/>
      <protection locked="0"/>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535665</xdr:colOff>
      <xdr:row>38</xdr:row>
      <xdr:rowOff>514138</xdr:rowOff>
    </xdr:from>
    <xdr:to>
      <xdr:col>8</xdr:col>
      <xdr:colOff>6</xdr:colOff>
      <xdr:row>39</xdr:row>
      <xdr:rowOff>422967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3B4CD5EA-C87E-336E-5AC2-E8F283DADF98}"/>
                </a:ext>
              </a:extLst>
            </xdr14:cNvPr>
            <xdr14:cNvContentPartPr/>
          </xdr14:nvContentPartPr>
          <xdr14:nvPr macro=""/>
          <xdr14:xfrm>
            <a:off x="10399256467" y="16816320"/>
            <a:ext cx="768960" cy="439920"/>
          </xdr14:xfrm>
        </xdr:contentPart>
      </mc:Choice>
      <mc:Fallback xmlns="">
        <xdr:pic>
          <xdr:nvPicPr>
            <xdr:cNvPr id="2" name="Ink 1">
              <a:extLst>
                <a:ext uri="{FF2B5EF4-FFF2-40B4-BE49-F238E27FC236}">
                  <a16:creationId xmlns:a16="http://schemas.microsoft.com/office/drawing/2014/main" id="{3B4CD5EA-C87E-336E-5AC2-E8F283DADF98}"/>
                </a:ext>
              </a:extLst>
            </xdr:cNvPr>
            <xdr:cNvPicPr/>
          </xdr:nvPicPr>
          <xdr:blipFill>
            <a:blip xmlns:r="http://schemas.openxmlformats.org/officeDocument/2006/relationships" r:embed="rId2"/>
            <a:stretch>
              <a:fillRect/>
            </a:stretch>
          </xdr:blipFill>
          <xdr:spPr>
            <a:xfrm>
              <a:off x="10399250347" y="16810200"/>
              <a:ext cx="781200" cy="452160"/>
            </a:xfrm>
            <a:prstGeom prst="rect">
              <a:avLst/>
            </a:prstGeom>
          </xdr:spPr>
        </xdr:pic>
      </mc:Fallback>
    </mc:AlternateContent>
    <xdr:clientData/>
  </xdr:twoCellAnchor>
  <xdr:twoCellAnchor editAs="oneCell">
    <xdr:from>
      <xdr:col>7</xdr:col>
      <xdr:colOff>597213</xdr:colOff>
      <xdr:row>39</xdr:row>
      <xdr:rowOff>9687</xdr:rowOff>
    </xdr:from>
    <xdr:to>
      <xdr:col>9</xdr:col>
      <xdr:colOff>84911</xdr:colOff>
      <xdr:row>39</xdr:row>
      <xdr:rowOff>390207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D9400AE7-94A6-6824-0772-B98114E9DE78}"/>
                </a:ext>
              </a:extLst>
            </xdr14:cNvPr>
            <xdr14:cNvContentPartPr/>
          </xdr14:nvContentPartPr>
          <xdr14:nvPr macro=""/>
          <xdr14:xfrm>
            <a:off x="10398501907" y="16842960"/>
            <a:ext cx="803880" cy="380520"/>
          </xdr14:xfrm>
        </xdr:contentPart>
      </mc:Choice>
      <mc:Fallback xmlns="">
        <xdr:pic>
          <xdr:nvPicPr>
            <xdr:cNvPr id="3" name="Ink 2">
              <a:extLst>
                <a:ext uri="{FF2B5EF4-FFF2-40B4-BE49-F238E27FC236}">
                  <a16:creationId xmlns:a16="http://schemas.microsoft.com/office/drawing/2014/main" id="{D9400AE7-94A6-6824-0772-B98114E9DE78}"/>
                </a:ext>
              </a:extLst>
            </xdr:cNvPr>
            <xdr:cNvPicPr/>
          </xdr:nvPicPr>
          <xdr:blipFill>
            <a:blip xmlns:r="http://schemas.openxmlformats.org/officeDocument/2006/relationships" r:embed="rId4"/>
            <a:stretch>
              <a:fillRect/>
            </a:stretch>
          </xdr:blipFill>
          <xdr:spPr>
            <a:xfrm>
              <a:off x="10398495787" y="16836840"/>
              <a:ext cx="816120" cy="3927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9T16:14:43.105"/>
    </inkml:context>
    <inkml:brush xml:id="br0">
      <inkml:brushProperty name="width" value="0.035" units="cm"/>
      <inkml:brushProperty name="height" value="0.035" units="cm"/>
    </inkml:brush>
  </inkml:definitions>
  <inkml:trace contextRef="#ctx0" brushRef="#br0">1966 1212,'0'0,"-15"0,10 0,-6 0,-20 0,25 0,-66-16,-36 16,86 0,-79-16,-55 0,124 12,-106-8,-47-21,167 30,-150-26,-33-20,184 45,-152-40,14-21,144 60,-101-38,18-5,85 43,-44-39,7-4,41 43,-21-54,41-23,-13 74,58-64,33-25,-82 87,102-60,11-27,-110 86,142-58,30 3,-166 59,176-50,6 41,-179 14,155 20,8-2,-164-14,95 28,7 3,-110-29,65 24,-17 21,-55-44,33 22,-25 21,-13-41,-19 35,-14 6,26-42,-52 36,-21 23,68-57,-88 48,-41-8,120-41,-118 36,-33-11,148-28,-126 8,-38-12,160 0,-102 0,4-32,107 27,-75-39,-16 11,93 29,-47-24,0-4,52 27,-26-22,5-6,26 28,-37-6,10-5,28 14,-22 4,10-2,14 0,-11 16,13 17,0-28,31 38,15 54,-38-81,62 65,23 32,-79-95,95 92,46 36,-133-126,111 105,-133-125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6:14:45.001"/>
    </inkml:context>
    <inkml:brush xml:id="br0">
      <inkml:brushProperty name="width" value="0.035" units="cm"/>
      <inkml:brushProperty name="height" value="0.035" units="cm"/>
    </inkml:brush>
  </inkml:definitions>
  <inkml:trace contextRef="#ctx0" brushRef="#br0">1129 784 5177,'0'0'0,"0"-5"984,0 5-984,0-11 328,2 8-232,1 0-56,9 3-40,-12 0 0,3 0 16,9 0-16,-9 0-32,1 0 16,-4 0 16,2 2-24,-2 0 32,-1 0 48,-13-1 16,14-1-72,-21 2 88,-9-2 0,-11 0-24,-10-3 56,51 3-120,-56-4 176,-4-12 88,-3 5 24,-2-4 8,65 15-296,-62-15 344,5-1 32,8-2 96,7-1 81,42 19-553,-36-21 576,8-2-24,8-1-72,8-6-112,12 30-368,0-33 184,3-8-128,23-6-128,9-1-88,-35 48 160,51-53-144,16 4 32,15 0 64,11 4 24,-93 45 24,103-41 0,9 4 8,7 4-48,6 7 72,-125 26-32,128-20 24,-1 9-16,-6 8 48,-13 3-32,-108 0-24,96 4-32,-16 14 16,-15 3-32,-13 6-32,-52-27 80,38 33-56,-15 5-32,-13 6-8,-11 4 48,1-48 48,-18 53-48,-12 4 56,-14 2 40,-16 1-16,60-60-32,-70 60 56,-17-5-24,-11-2-32,-8-3 16,106-50-16,-118 49-16,-5 1 8,-6-1 0,-2-5 8,131-44 0,-133 39 8,3-5 16,4-4 0,3-5-32,123-25 8,-112 19-8,7-6 32,12-9 0,12-4 8,81 0-32,-65-2 104,12-17 0,14-4 32,13-5 16,26 28-152,-18-34 16,13-6-184,3-4-152,5-7-112,-3 51 432,21-54-368,3-2 152,5-1 200,5-4 160,-34 61-144,41-65 264,3-5 96,3 1 64,1-1 32,-48 70-456,43-63 480,-5 9 64,-8 5 48,-9 7 41,-21 42-633,12-32 640,-12 5-24,0 10-96,-3 4-152,3 13-368,-15-4 200,0-8-184,-6 12-72,-4 0-80,25 0 136,-25 5-112,2 10 32,6-3 16,14 0-104,3-12 168,-3 15-216,6-1-40,25 1-48,9-2 144,-37-13 160,58 12-56,13-7 24,15 8 32,8-9 24,-94-4-24,102 12-16,-2-7 40,2 14 8,-2-3-40,-100-16 8,93 21-32,0 6 8,-9 7 0,-6 6 24,-78-40 0,69 48-24,-8 9 16,-4 3-16,-3 6-40,-54-66 64,50 72-40,-5 3-368,-6 12-1617,-11 6-5665,-28-93 7690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topLeftCell="A35" zoomScale="130" zoomScaleNormal="100" zoomScaleSheetLayoutView="130" workbookViewId="0">
      <selection activeCell="C3" sqref="C3:D3"/>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7" t="s">
        <v>180</v>
      </c>
      <c r="C1" s="67"/>
      <c r="D1" s="67"/>
      <c r="E1" s="67"/>
      <c r="F1" s="67"/>
      <c r="G1" s="67"/>
      <c r="H1" s="67"/>
      <c r="I1" s="67"/>
      <c r="J1" s="67"/>
    </row>
    <row r="2" spans="1:10" ht="30" customHeight="1" x14ac:dyDescent="0.3">
      <c r="B2" s="13" t="s">
        <v>178</v>
      </c>
      <c r="C2" s="73" t="s">
        <v>33</v>
      </c>
      <c r="D2" s="73"/>
      <c r="E2" s="13" t="s">
        <v>7</v>
      </c>
      <c r="F2" s="68">
        <v>45944</v>
      </c>
      <c r="G2" s="68"/>
      <c r="H2" s="68"/>
      <c r="I2" s="68"/>
      <c r="J2" s="68"/>
    </row>
    <row r="3" spans="1:10" ht="30" customHeight="1" x14ac:dyDescent="0.3">
      <c r="B3" s="13" t="s">
        <v>179</v>
      </c>
      <c r="C3" s="73"/>
      <c r="D3" s="73"/>
      <c r="E3" s="13" t="s">
        <v>6</v>
      </c>
      <c r="F3" s="73" t="s">
        <v>163</v>
      </c>
      <c r="G3" s="73"/>
      <c r="H3" s="73"/>
      <c r="I3" s="73"/>
      <c r="J3" s="73"/>
    </row>
    <row r="4" spans="1:10" ht="30" customHeight="1" thickBot="1" x14ac:dyDescent="0.35">
      <c r="B4" s="6"/>
      <c r="C4" s="42" t="s">
        <v>209</v>
      </c>
      <c r="D4" s="42"/>
      <c r="E4" s="6"/>
      <c r="F4" s="7"/>
      <c r="G4" s="7"/>
      <c r="H4" s="8"/>
      <c r="I4" s="7"/>
      <c r="J4" s="7"/>
    </row>
    <row r="5" spans="1:10" ht="24.9" customHeight="1" x14ac:dyDescent="0.3">
      <c r="A5" s="11"/>
      <c r="B5" s="69" t="s">
        <v>0</v>
      </c>
      <c r="C5" s="70"/>
      <c r="D5" s="70"/>
      <c r="E5" s="78" t="s">
        <v>1</v>
      </c>
      <c r="F5" s="78"/>
      <c r="G5" s="78"/>
      <c r="H5" s="78"/>
      <c r="I5" s="78" t="s">
        <v>2</v>
      </c>
      <c r="J5" s="79"/>
    </row>
    <row r="6" spans="1:10" ht="24.9" customHeight="1" thickBot="1" x14ac:dyDescent="0.35">
      <c r="A6" s="11"/>
      <c r="B6" s="71"/>
      <c r="C6" s="72"/>
      <c r="D6" s="72"/>
      <c r="E6" s="12" t="s">
        <v>3</v>
      </c>
      <c r="F6" s="12" t="s">
        <v>4</v>
      </c>
      <c r="G6" s="12" t="s">
        <v>21</v>
      </c>
      <c r="H6" s="12" t="s">
        <v>22</v>
      </c>
      <c r="I6" s="80"/>
      <c r="J6" s="81"/>
    </row>
    <row r="7" spans="1:10" ht="24.9" customHeight="1" thickBot="1" x14ac:dyDescent="0.35">
      <c r="A7" s="11"/>
      <c r="B7" s="76" t="s">
        <v>19</v>
      </c>
      <c r="C7" s="77"/>
      <c r="D7" s="77"/>
      <c r="E7" s="30" t="s">
        <v>16</v>
      </c>
      <c r="F7" s="30" t="s">
        <v>17</v>
      </c>
      <c r="G7" s="30" t="s">
        <v>20</v>
      </c>
      <c r="H7" s="30" t="s">
        <v>18</v>
      </c>
      <c r="I7" s="87" t="s">
        <v>23</v>
      </c>
      <c r="J7" s="88"/>
    </row>
    <row r="8" spans="1:10" ht="30" customHeight="1" x14ac:dyDescent="0.3">
      <c r="A8" s="11"/>
      <c r="B8" s="43" t="s">
        <v>181</v>
      </c>
      <c r="C8" s="44"/>
      <c r="D8" s="44"/>
      <c r="E8" s="33"/>
      <c r="F8" s="34"/>
      <c r="G8" s="35"/>
      <c r="H8" s="36"/>
      <c r="I8" s="59"/>
      <c r="J8" s="60"/>
    </row>
    <row r="9" spans="1:10" ht="30" customHeight="1" x14ac:dyDescent="0.3">
      <c r="A9" s="11"/>
      <c r="B9" s="45" t="s">
        <v>182</v>
      </c>
      <c r="C9" s="46"/>
      <c r="D9" s="46"/>
      <c r="E9" s="9">
        <v>5</v>
      </c>
      <c r="F9" s="27">
        <v>3.75</v>
      </c>
      <c r="G9" s="31">
        <f>IFERROR(F9/E9,"")</f>
        <v>0.75</v>
      </c>
      <c r="H9" s="32" t="str">
        <f>_xlfn.IFS(F9="أدخل العلامة","",F9="لا ينطبق","تم الإلغاء",G9&gt;=90%,"ممتاز",G9&gt;=80%,"جيد جداً",G9&gt;=70%,"جيد",G9&gt;=60%,"مقبول",G9&lt;60%,"راسب")</f>
        <v>جيد</v>
      </c>
      <c r="I9" s="51"/>
      <c r="J9" s="52"/>
    </row>
    <row r="10" spans="1:10" ht="39.9" customHeight="1" x14ac:dyDescent="0.3">
      <c r="A10" s="11"/>
      <c r="B10" s="45" t="s">
        <v>183</v>
      </c>
      <c r="C10" s="46"/>
      <c r="D10" s="46"/>
      <c r="E10" s="9">
        <v>5</v>
      </c>
      <c r="F10" s="27">
        <v>3.75</v>
      </c>
      <c r="G10" s="31">
        <f t="shared" ref="G10:G35" si="0">IFERROR(F10/E10,"")</f>
        <v>0.75</v>
      </c>
      <c r="H10" s="32" t="str">
        <f t="shared" ref="H10:H35" si="1">_xlfn.IFS(F10="أدخل العلامة","",F10="لا ينطبق","تم الإلغاء",G10&gt;=90%,"ممتاز",G10&gt;=80%,"جيد جداً",G10&gt;=70%,"جيد",G10&gt;=60%,"مقبول",G10&lt;60%,"راسب")</f>
        <v>جيد</v>
      </c>
      <c r="I10" s="51"/>
      <c r="J10" s="52"/>
    </row>
    <row r="11" spans="1:10" ht="65.25" customHeight="1" x14ac:dyDescent="0.3">
      <c r="A11" s="11"/>
      <c r="B11" s="45" t="s">
        <v>184</v>
      </c>
      <c r="C11" s="46"/>
      <c r="D11" s="46"/>
      <c r="E11" s="9">
        <v>5</v>
      </c>
      <c r="F11" s="27">
        <v>4</v>
      </c>
      <c r="G11" s="31">
        <f t="shared" si="0"/>
        <v>0.8</v>
      </c>
      <c r="H11" s="32" t="str">
        <f t="shared" si="1"/>
        <v>جيد جداً</v>
      </c>
      <c r="I11" s="51"/>
      <c r="J11" s="52"/>
    </row>
    <row r="12" spans="1:10" ht="39.9" customHeight="1" x14ac:dyDescent="0.3">
      <c r="A12" s="11"/>
      <c r="B12" s="45" t="s">
        <v>185</v>
      </c>
      <c r="C12" s="46"/>
      <c r="D12" s="46"/>
      <c r="E12" s="9">
        <v>5</v>
      </c>
      <c r="F12" s="27">
        <v>3</v>
      </c>
      <c r="G12" s="31">
        <f t="shared" si="0"/>
        <v>0.6</v>
      </c>
      <c r="H12" s="32" t="str">
        <f t="shared" si="1"/>
        <v>مقبول</v>
      </c>
      <c r="I12" s="51"/>
      <c r="J12" s="52"/>
    </row>
    <row r="13" spans="1:10" ht="58.5" customHeight="1" x14ac:dyDescent="0.3">
      <c r="A13" s="11"/>
      <c r="B13" s="45" t="s">
        <v>186</v>
      </c>
      <c r="C13" s="46"/>
      <c r="D13" s="46"/>
      <c r="E13" s="9">
        <v>5</v>
      </c>
      <c r="F13" s="27">
        <v>3.5</v>
      </c>
      <c r="G13" s="31">
        <f t="shared" si="0"/>
        <v>0.7</v>
      </c>
      <c r="H13" s="32" t="str">
        <f t="shared" si="1"/>
        <v>جيد</v>
      </c>
      <c r="I13" s="51"/>
      <c r="J13" s="52"/>
    </row>
    <row r="14" spans="1:10" ht="30" customHeight="1" x14ac:dyDescent="0.3">
      <c r="A14" s="11"/>
      <c r="B14" s="45" t="s">
        <v>187</v>
      </c>
      <c r="C14" s="46"/>
      <c r="D14" s="46"/>
      <c r="E14" s="9">
        <v>5</v>
      </c>
      <c r="F14" s="27">
        <v>3.75</v>
      </c>
      <c r="G14" s="31">
        <f t="shared" si="0"/>
        <v>0.75</v>
      </c>
      <c r="H14" s="32" t="str">
        <f t="shared" si="1"/>
        <v>جيد</v>
      </c>
      <c r="I14" s="51"/>
      <c r="J14" s="52"/>
    </row>
    <row r="15" spans="1:10" ht="30" customHeight="1" x14ac:dyDescent="0.3">
      <c r="A15" s="11"/>
      <c r="B15" s="45" t="s">
        <v>188</v>
      </c>
      <c r="C15" s="46"/>
      <c r="D15" s="46"/>
      <c r="E15" s="9">
        <v>5</v>
      </c>
      <c r="F15" s="27">
        <v>3.75</v>
      </c>
      <c r="G15" s="31">
        <f t="shared" si="0"/>
        <v>0.75</v>
      </c>
      <c r="H15" s="32" t="str">
        <f t="shared" si="1"/>
        <v>جيد</v>
      </c>
      <c r="I15" s="51"/>
      <c r="J15" s="52"/>
    </row>
    <row r="16" spans="1:10" ht="30" customHeight="1" thickBot="1" x14ac:dyDescent="0.35">
      <c r="A16" s="11"/>
      <c r="B16" s="47" t="s">
        <v>189</v>
      </c>
      <c r="C16" s="48"/>
      <c r="D16" s="48"/>
      <c r="E16" s="37">
        <v>5</v>
      </c>
      <c r="F16" s="29">
        <v>3</v>
      </c>
      <c r="G16" s="38">
        <f t="shared" si="0"/>
        <v>0.6</v>
      </c>
      <c r="H16" s="39" t="str">
        <f t="shared" si="1"/>
        <v>مقبول</v>
      </c>
      <c r="I16" s="55"/>
      <c r="J16" s="56"/>
    </row>
    <row r="17" spans="1:10" ht="39.9" customHeight="1" thickBot="1" x14ac:dyDescent="0.35">
      <c r="A17" s="11"/>
      <c r="B17" s="49" t="s">
        <v>190</v>
      </c>
      <c r="C17" s="50"/>
      <c r="D17" s="50"/>
      <c r="E17" s="10">
        <v>5</v>
      </c>
      <c r="F17" s="40">
        <v>3.5</v>
      </c>
      <c r="G17" s="41">
        <f t="shared" si="0"/>
        <v>0.7</v>
      </c>
      <c r="H17" s="28" t="str">
        <f t="shared" si="1"/>
        <v>جيد</v>
      </c>
      <c r="I17" s="57"/>
      <c r="J17" s="58"/>
    </row>
    <row r="18" spans="1:10" ht="39.9" customHeight="1" x14ac:dyDescent="0.3">
      <c r="A18" s="11"/>
      <c r="B18" s="43" t="s">
        <v>191</v>
      </c>
      <c r="C18" s="44"/>
      <c r="D18" s="44"/>
      <c r="E18" s="33"/>
      <c r="F18" s="34"/>
      <c r="G18" s="35"/>
      <c r="H18" s="36"/>
      <c r="I18" s="59"/>
      <c r="J18" s="60"/>
    </row>
    <row r="19" spans="1:10" ht="30" customHeight="1" x14ac:dyDescent="0.3">
      <c r="A19" s="11"/>
      <c r="B19" s="45" t="s">
        <v>192</v>
      </c>
      <c r="C19" s="46"/>
      <c r="D19" s="46"/>
      <c r="E19" s="9">
        <v>5</v>
      </c>
      <c r="F19" s="27">
        <v>3.75</v>
      </c>
      <c r="G19" s="31">
        <f t="shared" si="0"/>
        <v>0.75</v>
      </c>
      <c r="H19" s="32" t="str">
        <f t="shared" si="1"/>
        <v>جيد</v>
      </c>
      <c r="I19" s="51"/>
      <c r="J19" s="52"/>
    </row>
    <row r="20" spans="1:10" ht="30" customHeight="1" x14ac:dyDescent="0.3">
      <c r="A20" s="11"/>
      <c r="B20" s="45" t="s">
        <v>193</v>
      </c>
      <c r="C20" s="46"/>
      <c r="D20" s="46"/>
      <c r="E20" s="9">
        <v>5</v>
      </c>
      <c r="F20" s="27">
        <v>3.75</v>
      </c>
      <c r="G20" s="31">
        <f t="shared" si="0"/>
        <v>0.75</v>
      </c>
      <c r="H20" s="32" t="str">
        <f t="shared" si="1"/>
        <v>جيد</v>
      </c>
      <c r="I20" s="51"/>
      <c r="J20" s="52"/>
    </row>
    <row r="21" spans="1:10" ht="30" customHeight="1" x14ac:dyDescent="0.3">
      <c r="A21" s="11"/>
      <c r="B21" s="45" t="s">
        <v>194</v>
      </c>
      <c r="C21" s="46"/>
      <c r="D21" s="46"/>
      <c r="E21" s="9">
        <v>5</v>
      </c>
      <c r="F21" s="27">
        <v>3</v>
      </c>
      <c r="G21" s="31">
        <f t="shared" si="0"/>
        <v>0.6</v>
      </c>
      <c r="H21" s="32" t="str">
        <f t="shared" si="1"/>
        <v>مقبول</v>
      </c>
      <c r="I21" s="51"/>
      <c r="J21" s="52"/>
    </row>
    <row r="22" spans="1:10" ht="39.9" customHeight="1" thickBot="1" x14ac:dyDescent="0.35">
      <c r="A22" s="11"/>
      <c r="B22" s="47" t="s">
        <v>195</v>
      </c>
      <c r="C22" s="48"/>
      <c r="D22" s="48"/>
      <c r="E22" s="37">
        <v>5</v>
      </c>
      <c r="F22" s="29">
        <v>3</v>
      </c>
      <c r="G22" s="38">
        <f t="shared" si="0"/>
        <v>0.6</v>
      </c>
      <c r="H22" s="39" t="str">
        <f t="shared" si="1"/>
        <v>مقبول</v>
      </c>
      <c r="I22" s="55"/>
      <c r="J22" s="56"/>
    </row>
    <row r="23" spans="1:10" ht="39.9" customHeight="1" thickBot="1" x14ac:dyDescent="0.35">
      <c r="A23" s="11"/>
      <c r="B23" s="49" t="s">
        <v>196</v>
      </c>
      <c r="C23" s="50"/>
      <c r="D23" s="50"/>
      <c r="E23" s="10">
        <v>5</v>
      </c>
      <c r="F23" s="40">
        <v>3.5</v>
      </c>
      <c r="G23" s="41">
        <f t="shared" si="0"/>
        <v>0.7</v>
      </c>
      <c r="H23" s="28" t="str">
        <f t="shared" si="1"/>
        <v>جيد</v>
      </c>
      <c r="I23" s="57"/>
      <c r="J23" s="58"/>
    </row>
    <row r="24" spans="1:10" ht="30" customHeight="1" x14ac:dyDescent="0.3">
      <c r="A24" s="11"/>
      <c r="B24" s="43" t="s">
        <v>197</v>
      </c>
      <c r="C24" s="44"/>
      <c r="D24" s="44"/>
      <c r="E24" s="33"/>
      <c r="F24" s="34"/>
      <c r="G24" s="35"/>
      <c r="H24" s="36"/>
      <c r="I24" s="59"/>
      <c r="J24" s="60"/>
    </row>
    <row r="25" spans="1:10" ht="30" customHeight="1" x14ac:dyDescent="0.3">
      <c r="A25" s="11"/>
      <c r="B25" s="45" t="s">
        <v>198</v>
      </c>
      <c r="C25" s="46"/>
      <c r="D25" s="46"/>
      <c r="E25" s="9">
        <v>5</v>
      </c>
      <c r="F25" s="27">
        <v>3.25</v>
      </c>
      <c r="G25" s="31">
        <f t="shared" si="0"/>
        <v>0.65</v>
      </c>
      <c r="H25" s="32" t="str">
        <f t="shared" si="1"/>
        <v>مقبول</v>
      </c>
      <c r="I25" s="51"/>
      <c r="J25" s="52"/>
    </row>
    <row r="26" spans="1:10" ht="30" customHeight="1" x14ac:dyDescent="0.3">
      <c r="A26" s="11"/>
      <c r="B26" s="45" t="s">
        <v>199</v>
      </c>
      <c r="C26" s="46"/>
      <c r="D26" s="46"/>
      <c r="E26" s="9">
        <v>5</v>
      </c>
      <c r="F26" s="27">
        <v>3.75</v>
      </c>
      <c r="G26" s="31">
        <f t="shared" si="0"/>
        <v>0.75</v>
      </c>
      <c r="H26" s="32" t="str">
        <f t="shared" si="1"/>
        <v>جيد</v>
      </c>
      <c r="I26" s="51"/>
      <c r="J26" s="52"/>
    </row>
    <row r="27" spans="1:10" ht="39.9" customHeight="1" x14ac:dyDescent="0.3">
      <c r="A27" s="11"/>
      <c r="B27" s="45" t="s">
        <v>200</v>
      </c>
      <c r="C27" s="46"/>
      <c r="D27" s="46"/>
      <c r="E27" s="9">
        <v>5</v>
      </c>
      <c r="F27" s="27">
        <v>3.75</v>
      </c>
      <c r="G27" s="31">
        <f t="shared" si="0"/>
        <v>0.75</v>
      </c>
      <c r="H27" s="32" t="str">
        <f t="shared" si="1"/>
        <v>جيد</v>
      </c>
      <c r="I27" s="51"/>
      <c r="J27" s="52"/>
    </row>
    <row r="28" spans="1:10" ht="30" customHeight="1" x14ac:dyDescent="0.3">
      <c r="A28" s="11"/>
      <c r="B28" s="45" t="s">
        <v>201</v>
      </c>
      <c r="C28" s="46"/>
      <c r="D28" s="46"/>
      <c r="E28" s="9">
        <v>5</v>
      </c>
      <c r="F28" s="27">
        <v>3.5</v>
      </c>
      <c r="G28" s="31">
        <f t="shared" si="0"/>
        <v>0.7</v>
      </c>
      <c r="H28" s="32" t="str">
        <f t="shared" si="1"/>
        <v>جيد</v>
      </c>
      <c r="I28" s="51"/>
      <c r="J28" s="52"/>
    </row>
    <row r="29" spans="1:10" ht="30" customHeight="1" x14ac:dyDescent="0.3">
      <c r="A29" s="11"/>
      <c r="B29" s="45" t="s">
        <v>202</v>
      </c>
      <c r="C29" s="46"/>
      <c r="D29" s="46"/>
      <c r="E29" s="9">
        <v>5</v>
      </c>
      <c r="F29" s="27">
        <v>4</v>
      </c>
      <c r="G29" s="31">
        <f t="shared" si="0"/>
        <v>0.8</v>
      </c>
      <c r="H29" s="32" t="str">
        <f t="shared" si="1"/>
        <v>جيد جداً</v>
      </c>
      <c r="I29" s="51"/>
      <c r="J29" s="52"/>
    </row>
    <row r="30" spans="1:10" ht="30" customHeight="1" x14ac:dyDescent="0.3">
      <c r="A30" s="11"/>
      <c r="B30" s="45" t="s">
        <v>203</v>
      </c>
      <c r="C30" s="46"/>
      <c r="D30" s="46"/>
      <c r="E30" s="9">
        <v>5</v>
      </c>
      <c r="F30" s="27">
        <v>3.75</v>
      </c>
      <c r="G30" s="31">
        <f t="shared" si="0"/>
        <v>0.75</v>
      </c>
      <c r="H30" s="32" t="str">
        <f t="shared" si="1"/>
        <v>جيد</v>
      </c>
      <c r="I30" s="51"/>
      <c r="J30" s="52"/>
    </row>
    <row r="31" spans="1:10" ht="30" customHeight="1" x14ac:dyDescent="0.3">
      <c r="A31" s="11"/>
      <c r="B31" s="45" t="s">
        <v>204</v>
      </c>
      <c r="C31" s="46"/>
      <c r="D31" s="46"/>
      <c r="E31" s="9">
        <v>5</v>
      </c>
      <c r="F31" s="27">
        <v>3.75</v>
      </c>
      <c r="G31" s="31">
        <f t="shared" si="0"/>
        <v>0.75</v>
      </c>
      <c r="H31" s="32" t="str">
        <f t="shared" si="1"/>
        <v>جيد</v>
      </c>
      <c r="I31" s="51"/>
      <c r="J31" s="52"/>
    </row>
    <row r="32" spans="1:10" ht="39.9" customHeight="1" x14ac:dyDescent="0.3">
      <c r="A32" s="11"/>
      <c r="B32" s="45" t="s">
        <v>205</v>
      </c>
      <c r="C32" s="46"/>
      <c r="D32" s="46"/>
      <c r="E32" s="9">
        <v>5</v>
      </c>
      <c r="F32" s="27">
        <v>3.5</v>
      </c>
      <c r="G32" s="31">
        <f t="shared" si="0"/>
        <v>0.7</v>
      </c>
      <c r="H32" s="32" t="str">
        <f t="shared" si="1"/>
        <v>جيد</v>
      </c>
      <c r="I32" s="51"/>
      <c r="J32" s="52"/>
    </row>
    <row r="33" spans="1:10" ht="30" customHeight="1" x14ac:dyDescent="0.3">
      <c r="A33" s="11"/>
      <c r="B33" s="45" t="s">
        <v>206</v>
      </c>
      <c r="C33" s="46"/>
      <c r="D33" s="46"/>
      <c r="E33" s="9">
        <v>5</v>
      </c>
      <c r="F33" s="27">
        <v>3.75</v>
      </c>
      <c r="G33" s="31">
        <f t="shared" si="0"/>
        <v>0.75</v>
      </c>
      <c r="H33" s="32" t="str">
        <f t="shared" si="1"/>
        <v>جيد</v>
      </c>
      <c r="I33" s="51"/>
      <c r="J33" s="52"/>
    </row>
    <row r="34" spans="1:10" ht="30" customHeight="1" x14ac:dyDescent="0.3">
      <c r="A34" s="11"/>
      <c r="B34" s="45" t="s">
        <v>207</v>
      </c>
      <c r="C34" s="46"/>
      <c r="D34" s="46"/>
      <c r="E34" s="9">
        <v>5</v>
      </c>
      <c r="F34" s="27">
        <v>4</v>
      </c>
      <c r="G34" s="31">
        <f t="shared" si="0"/>
        <v>0.8</v>
      </c>
      <c r="H34" s="32" t="str">
        <f t="shared" si="1"/>
        <v>جيد جداً</v>
      </c>
      <c r="I34" s="51"/>
      <c r="J34" s="52"/>
    </row>
    <row r="35" spans="1:10" ht="30" customHeight="1" thickBot="1" x14ac:dyDescent="0.35">
      <c r="A35" s="11"/>
      <c r="B35" s="47" t="s">
        <v>208</v>
      </c>
      <c r="C35" s="48"/>
      <c r="D35" s="48"/>
      <c r="E35" s="37">
        <v>5</v>
      </c>
      <c r="F35" s="29">
        <v>3.75</v>
      </c>
      <c r="G35" s="38">
        <f t="shared" si="0"/>
        <v>0.75</v>
      </c>
      <c r="H35" s="39" t="str">
        <f t="shared" si="1"/>
        <v>جيد</v>
      </c>
      <c r="I35" s="55"/>
      <c r="J35" s="56"/>
    </row>
    <row r="36" spans="1:10" ht="30" customHeight="1" thickBot="1" x14ac:dyDescent="0.35">
      <c r="A36" s="4"/>
      <c r="B36" s="53" t="s">
        <v>5</v>
      </c>
      <c r="C36" s="54"/>
      <c r="D36" s="54"/>
      <c r="E36" s="10">
        <f>SUM(E8:E35)</f>
        <v>125</v>
      </c>
      <c r="F36" s="10">
        <f>SUM(F8:F35)</f>
        <v>89.75</v>
      </c>
      <c r="G36" s="84"/>
      <c r="H36" s="85"/>
      <c r="I36" s="85"/>
      <c r="J36" s="86"/>
    </row>
    <row r="37" spans="1:10" ht="30" customHeight="1" thickBot="1" x14ac:dyDescent="0.35">
      <c r="A37" s="4"/>
      <c r="B37" s="53" t="s">
        <v>52</v>
      </c>
      <c r="C37" s="54"/>
      <c r="D37" s="54"/>
      <c r="E37" s="74">
        <f>F36/E36/100*100</f>
        <v>0.71799999999999997</v>
      </c>
      <c r="F37" s="74"/>
      <c r="G37" s="74"/>
      <c r="H37" s="74"/>
      <c r="I37" s="74"/>
      <c r="J37" s="75"/>
    </row>
    <row r="38" spans="1:10" ht="30" customHeight="1" thickBot="1" x14ac:dyDescent="0.35">
      <c r="A38" s="4"/>
      <c r="B38" s="53" t="s">
        <v>53</v>
      </c>
      <c r="C38" s="54"/>
      <c r="D38" s="54"/>
      <c r="E38" s="65" t="str">
        <f>_xlfn.IFS(E37&gt;=90%,"ممتاز",E37&gt;=80%,"جيد جداً",E37&gt;=70%,"جيد",E37&gt;=60%,"مقبول",E37&lt;60%,"راسب")</f>
        <v>جيد</v>
      </c>
      <c r="F38" s="65"/>
      <c r="G38" s="65"/>
      <c r="H38" s="65"/>
      <c r="I38" s="65"/>
      <c r="J38" s="66"/>
    </row>
    <row r="39" spans="1:10" ht="42" customHeight="1" x14ac:dyDescent="0.3">
      <c r="B39" s="61" t="s">
        <v>172</v>
      </c>
      <c r="C39" s="61"/>
      <c r="D39" s="61"/>
      <c r="E39" s="82" t="s">
        <v>50</v>
      </c>
      <c r="F39" s="82"/>
      <c r="G39" s="63" t="s">
        <v>163</v>
      </c>
      <c r="H39" s="63"/>
      <c r="I39" s="63"/>
      <c r="J39" s="63"/>
    </row>
    <row r="40" spans="1:10" ht="51" customHeight="1" x14ac:dyDescent="0.3">
      <c r="A40" s="5"/>
      <c r="B40" s="62"/>
      <c r="C40" s="62"/>
      <c r="D40" s="62"/>
      <c r="E40" s="83" t="s">
        <v>51</v>
      </c>
      <c r="F40" s="83"/>
      <c r="G40" s="64"/>
      <c r="H40" s="64"/>
      <c r="I40" s="64"/>
      <c r="J40" s="64"/>
    </row>
  </sheetData>
  <sheetProtection sheet="1" formatCells="0" formatColumns="0" formatRows="0" insertColumns="0" insertRows="0" insertHyperlinks="0" deleteColumns="0" deleteRows="0" selectLockedCells="1" sort="0" autoFilter="0" pivotTables="0"/>
  <mergeCells count="78">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I27:J27"/>
    <mergeCell ref="B22:D22"/>
    <mergeCell ref="B23:D23"/>
    <mergeCell ref="B24:D24"/>
    <mergeCell ref="B25:D25"/>
    <mergeCell ref="B35:D35"/>
    <mergeCell ref="B26:D26"/>
    <mergeCell ref="B27:D27"/>
    <mergeCell ref="B28:D28"/>
    <mergeCell ref="B29:D29"/>
    <mergeCell ref="B30:D30"/>
    <mergeCell ref="B31:D31"/>
    <mergeCell ref="B32:D32"/>
    <mergeCell ref="B33:D33"/>
    <mergeCell ref="B34:D34"/>
    <mergeCell ref="C4:D4"/>
    <mergeCell ref="B18:D18"/>
    <mergeCell ref="B19:D19"/>
    <mergeCell ref="B20:D20"/>
    <mergeCell ref="B21:D21"/>
    <mergeCell ref="B13:D13"/>
    <mergeCell ref="B14:D14"/>
    <mergeCell ref="B15:D15"/>
    <mergeCell ref="B16:D16"/>
    <mergeCell ref="B17:D17"/>
    <mergeCell ref="B8:D8"/>
    <mergeCell ref="B9:D9"/>
    <mergeCell ref="B10:D10"/>
    <mergeCell ref="B11:D11"/>
    <mergeCell ref="B12:D12"/>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20" t="s">
        <v>60</v>
      </c>
    </row>
    <row r="3" spans="1:3" ht="20.100000000000001" customHeight="1" thickBot="1" x14ac:dyDescent="0.35">
      <c r="A3" s="2" t="s">
        <v>24</v>
      </c>
      <c r="C3" s="20" t="s">
        <v>61</v>
      </c>
    </row>
    <row r="4" spans="1:3" ht="20.100000000000001" customHeight="1" thickBot="1" x14ac:dyDescent="0.35">
      <c r="A4" s="2" t="s">
        <v>34</v>
      </c>
      <c r="C4" s="20" t="s">
        <v>62</v>
      </c>
    </row>
    <row r="5" spans="1:3" ht="20.100000000000001" customHeight="1" thickBot="1" x14ac:dyDescent="0.35">
      <c r="A5" s="2" t="s">
        <v>35</v>
      </c>
      <c r="C5" s="20" t="s">
        <v>63</v>
      </c>
    </row>
    <row r="6" spans="1:3" ht="20.100000000000001" customHeight="1" thickBot="1" x14ac:dyDescent="0.35">
      <c r="A6" s="2" t="s">
        <v>36</v>
      </c>
      <c r="C6" s="20" t="s">
        <v>64</v>
      </c>
    </row>
    <row r="7" spans="1:3" ht="20.100000000000001" customHeight="1" thickBot="1" x14ac:dyDescent="0.35">
      <c r="A7" s="2" t="s">
        <v>37</v>
      </c>
      <c r="C7" s="20" t="s">
        <v>65</v>
      </c>
    </row>
    <row r="8" spans="1:3" ht="20.100000000000001" customHeight="1" thickBot="1" x14ac:dyDescent="0.35">
      <c r="A8" s="2" t="s">
        <v>38</v>
      </c>
      <c r="C8" s="20" t="s">
        <v>66</v>
      </c>
    </row>
    <row r="9" spans="1:3" ht="20.100000000000001" customHeight="1" thickBot="1" x14ac:dyDescent="0.35">
      <c r="A9" s="2" t="s">
        <v>39</v>
      </c>
      <c r="C9" s="20" t="s">
        <v>67</v>
      </c>
    </row>
    <row r="10" spans="1:3" ht="20.100000000000001" customHeight="1" thickBot="1" x14ac:dyDescent="0.35">
      <c r="A10" s="2" t="s">
        <v>40</v>
      </c>
      <c r="C10" s="20" t="s">
        <v>68</v>
      </c>
    </row>
    <row r="11" spans="1:3" ht="20.100000000000001" customHeight="1" thickBot="1" x14ac:dyDescent="0.35">
      <c r="A11" s="2" t="s">
        <v>41</v>
      </c>
      <c r="C11" s="20" t="s">
        <v>69</v>
      </c>
    </row>
    <row r="12" spans="1:3" ht="20.100000000000001" customHeight="1" thickBot="1" x14ac:dyDescent="0.35">
      <c r="A12" s="2" t="s">
        <v>42</v>
      </c>
      <c r="C12" s="20" t="s">
        <v>70</v>
      </c>
    </row>
    <row r="13" spans="1:3" ht="20.100000000000001" customHeight="1" thickBot="1" x14ac:dyDescent="0.35">
      <c r="A13" s="2" t="s">
        <v>43</v>
      </c>
      <c r="C13" s="20" t="s">
        <v>71</v>
      </c>
    </row>
    <row r="14" spans="1:3" ht="20.100000000000001" customHeight="1" thickBot="1" x14ac:dyDescent="0.35">
      <c r="A14" s="2" t="s">
        <v>44</v>
      </c>
      <c r="C14" s="20" t="s">
        <v>72</v>
      </c>
    </row>
    <row r="15" spans="1:3" ht="20.100000000000001" customHeight="1" thickBot="1" x14ac:dyDescent="0.35">
      <c r="A15" s="2" t="s">
        <v>45</v>
      </c>
      <c r="C15" s="20" t="s">
        <v>73</v>
      </c>
    </row>
    <row r="16" spans="1:3" ht="20.100000000000001" customHeight="1" thickBot="1" x14ac:dyDescent="0.35">
      <c r="A16" s="2" t="s">
        <v>8</v>
      </c>
      <c r="C16" s="20" t="s">
        <v>74</v>
      </c>
    </row>
    <row r="17" spans="1:3" ht="20.100000000000001" customHeight="1" thickBot="1" x14ac:dyDescent="0.35">
      <c r="A17" s="2" t="s">
        <v>25</v>
      </c>
      <c r="C17" s="20" t="s">
        <v>75</v>
      </c>
    </row>
    <row r="18" spans="1:3" ht="20.100000000000001" customHeight="1" thickBot="1" x14ac:dyDescent="0.35">
      <c r="A18" s="2" t="s">
        <v>46</v>
      </c>
      <c r="C18" s="20" t="s">
        <v>76</v>
      </c>
    </row>
    <row r="19" spans="1:3" ht="20.100000000000001" customHeight="1" thickBot="1" x14ac:dyDescent="0.35">
      <c r="A19" s="2" t="s">
        <v>47</v>
      </c>
      <c r="C19" s="20" t="s">
        <v>77</v>
      </c>
    </row>
    <row r="20" spans="1:3" ht="20.100000000000001" customHeight="1" thickBot="1" x14ac:dyDescent="0.35">
      <c r="A20" s="2" t="s">
        <v>48</v>
      </c>
      <c r="C20" s="20" t="s">
        <v>78</v>
      </c>
    </row>
    <row r="21" spans="1:3" ht="20.100000000000001" customHeight="1" thickBot="1" x14ac:dyDescent="0.35">
      <c r="A21" s="2" t="s">
        <v>49</v>
      </c>
      <c r="C21" s="20" t="s">
        <v>79</v>
      </c>
    </row>
    <row r="22" spans="1:3" ht="20.100000000000001" customHeight="1" thickBot="1" x14ac:dyDescent="0.35">
      <c r="A22" s="2" t="s">
        <v>9</v>
      </c>
      <c r="C22" s="20" t="s">
        <v>80</v>
      </c>
    </row>
    <row r="23" spans="1:3" ht="20.100000000000001" customHeight="1" thickBot="1" x14ac:dyDescent="0.35">
      <c r="A23" s="2" t="s">
        <v>10</v>
      </c>
      <c r="C23" s="20" t="s">
        <v>81</v>
      </c>
    </row>
    <row r="24" spans="1:3" ht="20.100000000000001" customHeight="1" thickBot="1" x14ac:dyDescent="0.35">
      <c r="A24" s="2" t="s">
        <v>13</v>
      </c>
      <c r="C24" s="20" t="s">
        <v>82</v>
      </c>
    </row>
    <row r="25" spans="1:3" ht="20.100000000000001" customHeight="1" thickBot="1" x14ac:dyDescent="0.35">
      <c r="A25" s="2" t="s">
        <v>26</v>
      </c>
      <c r="C25" s="20" t="s">
        <v>83</v>
      </c>
    </row>
    <row r="26" spans="1:3" ht="20.100000000000001" customHeight="1" thickBot="1" x14ac:dyDescent="0.35">
      <c r="A26" s="2" t="s">
        <v>27</v>
      </c>
      <c r="C26" s="20" t="s">
        <v>84</v>
      </c>
    </row>
    <row r="27" spans="1:3" ht="20.100000000000001" customHeight="1" thickBot="1" x14ac:dyDescent="0.35">
      <c r="A27" s="2" t="s">
        <v>11</v>
      </c>
      <c r="C27" s="20" t="s">
        <v>85</v>
      </c>
    </row>
    <row r="28" spans="1:3" ht="20.100000000000001" customHeight="1" thickBot="1" x14ac:dyDescent="0.35">
      <c r="A28" s="2" t="s">
        <v>28</v>
      </c>
      <c r="C28" s="20" t="s">
        <v>86</v>
      </c>
    </row>
    <row r="29" spans="1:3" ht="20.100000000000001" customHeight="1" thickBot="1" x14ac:dyDescent="0.35">
      <c r="A29" s="2" t="s">
        <v>29</v>
      </c>
      <c r="C29" s="20" t="s">
        <v>175</v>
      </c>
    </row>
    <row r="30" spans="1:3" ht="20.100000000000001" customHeight="1" thickBot="1" x14ac:dyDescent="0.35">
      <c r="A30" s="2" t="s">
        <v>30</v>
      </c>
      <c r="C30" s="20" t="s">
        <v>176</v>
      </c>
    </row>
    <row r="31" spans="1:3" ht="20.100000000000001" customHeight="1" thickBot="1" x14ac:dyDescent="0.35">
      <c r="A31" s="2" t="s">
        <v>31</v>
      </c>
      <c r="C31" s="20" t="s">
        <v>177</v>
      </c>
    </row>
    <row r="32" spans="1:3" ht="20.100000000000001" customHeight="1" thickBot="1" x14ac:dyDescent="0.35">
      <c r="A32" s="2" t="s">
        <v>14</v>
      </c>
      <c r="C32" s="20"/>
    </row>
    <row r="33" spans="1:9" ht="20.100000000000001" customHeight="1" thickBot="1" x14ac:dyDescent="0.35">
      <c r="A33" s="2" t="s">
        <v>12</v>
      </c>
      <c r="C33" s="20"/>
    </row>
    <row r="34" spans="1:9" ht="20.100000000000001" customHeight="1" thickBot="1" x14ac:dyDescent="0.35">
      <c r="A34" s="2" t="s">
        <v>32</v>
      </c>
      <c r="C34" s="20"/>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54</v>
      </c>
    </row>
    <row r="39" spans="1:9" ht="20.100000000000001" customHeight="1" thickBot="1" x14ac:dyDescent="0.35">
      <c r="A39" s="14">
        <v>45931</v>
      </c>
    </row>
    <row r="40" spans="1:9" ht="20.100000000000001" customHeight="1" thickBot="1" x14ac:dyDescent="0.35">
      <c r="A40" s="14">
        <v>45932</v>
      </c>
    </row>
    <row r="41" spans="1:9" ht="20.100000000000001" customHeight="1" thickBot="1" x14ac:dyDescent="0.35">
      <c r="A41" s="14">
        <v>45933</v>
      </c>
    </row>
    <row r="42" spans="1:9" ht="20.100000000000001" customHeight="1" thickBot="1" x14ac:dyDescent="0.35">
      <c r="A42" s="14">
        <v>45934</v>
      </c>
    </row>
    <row r="43" spans="1:9" ht="20.100000000000001" customHeight="1" thickBot="1" x14ac:dyDescent="0.35">
      <c r="A43" s="14">
        <v>45935</v>
      </c>
    </row>
    <row r="44" spans="1:9" ht="20.100000000000001" customHeight="1" thickBot="1" x14ac:dyDescent="0.35">
      <c r="A44" s="14">
        <v>45936</v>
      </c>
    </row>
    <row r="45" spans="1:9" ht="20.100000000000001" customHeight="1" thickBot="1" x14ac:dyDescent="0.35">
      <c r="A45" s="14">
        <v>45937</v>
      </c>
    </row>
    <row r="46" spans="1:9" ht="20.100000000000001" customHeight="1" thickBot="1" x14ac:dyDescent="0.35">
      <c r="A46" s="14">
        <v>45938</v>
      </c>
    </row>
    <row r="47" spans="1:9" ht="20.100000000000001" customHeight="1" thickBot="1" x14ac:dyDescent="0.35">
      <c r="A47" s="14">
        <v>45939</v>
      </c>
    </row>
    <row r="48" spans="1:9" ht="20.100000000000001" customHeight="1" thickBot="1" x14ac:dyDescent="0.35">
      <c r="A48" s="14">
        <v>45940</v>
      </c>
    </row>
    <row r="49" spans="1:1" ht="20.100000000000001" customHeight="1" thickBot="1" x14ac:dyDescent="0.35">
      <c r="A49" s="14">
        <v>45941</v>
      </c>
    </row>
    <row r="50" spans="1:1" ht="20.100000000000001" customHeight="1" thickBot="1" x14ac:dyDescent="0.35">
      <c r="A50" s="14">
        <v>45942</v>
      </c>
    </row>
    <row r="51" spans="1:1" ht="20.100000000000001" customHeight="1" thickBot="1" x14ac:dyDescent="0.35">
      <c r="A51" s="14">
        <v>45943</v>
      </c>
    </row>
    <row r="52" spans="1:1" ht="20.100000000000001" customHeight="1" thickBot="1" x14ac:dyDescent="0.35">
      <c r="A52" s="14">
        <v>45944</v>
      </c>
    </row>
    <row r="53" spans="1:1" ht="20.100000000000001" customHeight="1" thickBot="1" x14ac:dyDescent="0.35">
      <c r="A53" s="14">
        <v>45945</v>
      </c>
    </row>
    <row r="54" spans="1:1" ht="20.100000000000001" customHeight="1" thickBot="1" x14ac:dyDescent="0.35">
      <c r="A54" s="14">
        <v>45946</v>
      </c>
    </row>
    <row r="55" spans="1:1" ht="20.100000000000001" customHeight="1" thickBot="1" x14ac:dyDescent="0.35">
      <c r="A55" s="14">
        <v>45947</v>
      </c>
    </row>
    <row r="56" spans="1:1" ht="20.100000000000001" customHeight="1" thickBot="1" x14ac:dyDescent="0.35">
      <c r="A56" s="14">
        <v>45948</v>
      </c>
    </row>
    <row r="57" spans="1:1" ht="20.100000000000001" customHeight="1" thickBot="1" x14ac:dyDescent="0.35">
      <c r="A57" s="14">
        <v>45949</v>
      </c>
    </row>
    <row r="58" spans="1:1" ht="20.100000000000001" customHeight="1" thickBot="1" x14ac:dyDescent="0.35">
      <c r="A58" s="14">
        <v>45950</v>
      </c>
    </row>
    <row r="59" spans="1:1" ht="20.100000000000001" customHeight="1" thickBot="1" x14ac:dyDescent="0.35">
      <c r="A59" s="14">
        <v>45951</v>
      </c>
    </row>
    <row r="60" spans="1:1" ht="20.100000000000001" customHeight="1" thickBot="1" x14ac:dyDescent="0.35">
      <c r="A60" s="14">
        <v>45952</v>
      </c>
    </row>
    <row r="61" spans="1:1" ht="20.100000000000001" customHeight="1" thickBot="1" x14ac:dyDescent="0.35">
      <c r="A61" s="14">
        <v>45953</v>
      </c>
    </row>
    <row r="62" spans="1:1" ht="20.100000000000001" customHeight="1" thickBot="1" x14ac:dyDescent="0.35">
      <c r="A62" s="14">
        <v>45954</v>
      </c>
    </row>
    <row r="63" spans="1:1" ht="20.100000000000001" customHeight="1" thickBot="1" x14ac:dyDescent="0.35">
      <c r="A63" s="14">
        <v>45955</v>
      </c>
    </row>
    <row r="64" spans="1:1" ht="20.100000000000001" customHeight="1" thickBot="1" x14ac:dyDescent="0.35">
      <c r="A64" s="14">
        <v>45956</v>
      </c>
    </row>
    <row r="65" spans="1:1" ht="20.100000000000001" customHeight="1" thickBot="1" x14ac:dyDescent="0.35">
      <c r="A65" s="14">
        <v>45957</v>
      </c>
    </row>
    <row r="66" spans="1:1" ht="20.100000000000001" customHeight="1" thickBot="1" x14ac:dyDescent="0.35">
      <c r="A66" s="14">
        <v>45958</v>
      </c>
    </row>
    <row r="67" spans="1:1" ht="20.100000000000001" customHeight="1" thickBot="1" x14ac:dyDescent="0.35">
      <c r="A67" s="14">
        <v>45959</v>
      </c>
    </row>
    <row r="68" spans="1:1" ht="20.100000000000001" customHeight="1" thickBot="1" x14ac:dyDescent="0.35">
      <c r="A68" s="14">
        <v>45960</v>
      </c>
    </row>
    <row r="69" spans="1:1" ht="20.100000000000001" customHeight="1" thickBot="1" x14ac:dyDescent="0.35">
      <c r="A69" s="14">
        <v>45961</v>
      </c>
    </row>
    <row r="70" spans="1:1" ht="20.100000000000001" customHeight="1" thickBot="1" x14ac:dyDescent="0.35">
      <c r="A70" s="14"/>
    </row>
    <row r="71" spans="1:1" ht="20.100000000000001" customHeight="1" thickBot="1" x14ac:dyDescent="0.35">
      <c r="A71" s="14"/>
    </row>
    <row r="72" spans="1:1" ht="20.100000000000001" customHeight="1" thickBot="1" x14ac:dyDescent="0.35">
      <c r="A72" s="14"/>
    </row>
    <row r="73" spans="1:1" ht="20.100000000000001" customHeight="1" thickBot="1" x14ac:dyDescent="0.35">
      <c r="A73" s="14"/>
    </row>
    <row r="74" spans="1:1" ht="20.100000000000001" customHeight="1" thickBot="1" x14ac:dyDescent="0.35">
      <c r="A74" s="14"/>
    </row>
    <row r="75" spans="1:1" ht="20.100000000000001" customHeight="1" thickBot="1" x14ac:dyDescent="0.35">
      <c r="A75" s="14"/>
    </row>
    <row r="76" spans="1:1" ht="20.100000000000001" customHeight="1" thickBot="1" x14ac:dyDescent="0.35">
      <c r="A76" s="14"/>
    </row>
    <row r="77" spans="1:1" ht="20.100000000000001" customHeight="1" thickBot="1" x14ac:dyDescent="0.35">
      <c r="A77" s="14"/>
    </row>
    <row r="78" spans="1:1" ht="20.100000000000001" customHeight="1" thickBot="1" x14ac:dyDescent="0.35">
      <c r="A78" s="14"/>
    </row>
    <row r="79" spans="1:1" ht="20.100000000000001" customHeight="1" thickBot="1" x14ac:dyDescent="0.35">
      <c r="A79" s="14"/>
    </row>
    <row r="80" spans="1:1" ht="20.100000000000001" customHeight="1" thickBot="1" x14ac:dyDescent="0.35">
      <c r="A80" s="14"/>
    </row>
    <row r="81" spans="1:1" ht="20.100000000000001" customHeight="1" thickBot="1" x14ac:dyDescent="0.35">
      <c r="A81" s="14"/>
    </row>
    <row r="82" spans="1:1" ht="20.100000000000001" customHeight="1" thickBot="1" x14ac:dyDescent="0.35">
      <c r="A82" s="14"/>
    </row>
    <row r="83" spans="1:1" ht="20.100000000000001" customHeight="1" thickBot="1" x14ac:dyDescent="0.35">
      <c r="A83" s="14"/>
    </row>
    <row r="84" spans="1:1" ht="20.100000000000001" customHeight="1" thickBot="1" x14ac:dyDescent="0.35">
      <c r="A84" s="14"/>
    </row>
    <row r="85" spans="1:1" ht="20.100000000000001" customHeight="1" thickBot="1" x14ac:dyDescent="0.35">
      <c r="A85" s="14"/>
    </row>
    <row r="86" spans="1:1" ht="20.100000000000001" customHeight="1" thickBot="1" x14ac:dyDescent="0.35">
      <c r="A86" s="14"/>
    </row>
    <row r="87" spans="1:1" ht="20.100000000000001" customHeight="1" thickBot="1" x14ac:dyDescent="0.35">
      <c r="A87" s="14"/>
    </row>
    <row r="88" spans="1:1" ht="20.100000000000001" customHeight="1" thickBot="1" x14ac:dyDescent="0.35">
      <c r="A88" s="14"/>
    </row>
    <row r="89" spans="1:1" ht="20.100000000000001" customHeight="1" thickBot="1" x14ac:dyDescent="0.35">
      <c r="A89" s="14"/>
    </row>
    <row r="90" spans="1:1" ht="20.100000000000001" customHeight="1" thickBot="1" x14ac:dyDescent="0.35">
      <c r="A90" s="14"/>
    </row>
    <row r="91" spans="1:1" ht="20.100000000000001" customHeight="1" thickBot="1" x14ac:dyDescent="0.35">
      <c r="A91" s="14"/>
    </row>
    <row r="92" spans="1:1" ht="20.100000000000001" customHeight="1" thickBot="1" x14ac:dyDescent="0.35">
      <c r="A92" s="14"/>
    </row>
    <row r="93" spans="1:1" ht="20.100000000000001" customHeight="1" thickBot="1" x14ac:dyDescent="0.35">
      <c r="A93" s="14"/>
    </row>
    <row r="94" spans="1:1" ht="20.100000000000001" customHeight="1" thickBot="1" x14ac:dyDescent="0.35">
      <c r="A94" s="14"/>
    </row>
    <row r="95" spans="1:1" ht="20.100000000000001" customHeight="1" thickBot="1" x14ac:dyDescent="0.35">
      <c r="A95" s="14"/>
    </row>
    <row r="96" spans="1:1" ht="20.100000000000001" customHeight="1" thickBot="1" x14ac:dyDescent="0.35">
      <c r="A96" s="14"/>
    </row>
    <row r="97" spans="1:9" ht="20.100000000000001" customHeight="1" thickBot="1" x14ac:dyDescent="0.35">
      <c r="A97" s="14"/>
    </row>
    <row r="98" spans="1:9" ht="20.100000000000001" customHeight="1" thickBot="1" x14ac:dyDescent="0.35">
      <c r="A98" s="14"/>
    </row>
    <row r="99" spans="1:9" ht="20.100000000000001" customHeight="1" thickBot="1" x14ac:dyDescent="0.35">
      <c r="A99" s="14"/>
    </row>
    <row r="100" spans="1:9" ht="20.100000000000001" customHeight="1" thickBot="1" x14ac:dyDescent="0.35">
      <c r="A100" s="14"/>
    </row>
    <row r="101" spans="1:9" ht="20.100000000000001" customHeight="1" thickBot="1" x14ac:dyDescent="0.35">
      <c r="A101" s="14"/>
    </row>
    <row r="102" spans="1:9" ht="20.100000000000001" customHeight="1" thickBot="1" x14ac:dyDescent="0.35">
      <c r="A102" s="14"/>
    </row>
    <row r="103" spans="1:9" ht="20.100000000000001" customHeight="1" thickBot="1" x14ac:dyDescent="0.35">
      <c r="A103" s="14"/>
    </row>
    <row r="104" spans="1:9" ht="20.100000000000001" customHeight="1" thickBot="1" x14ac:dyDescent="0.35">
      <c r="A104" s="14"/>
    </row>
    <row r="105" spans="1:9" ht="20.100000000000001" customHeight="1" thickBot="1" x14ac:dyDescent="0.35">
      <c r="A105" s="14"/>
    </row>
    <row r="106" spans="1:9" ht="20.100000000000001" customHeight="1" thickBot="1" x14ac:dyDescent="0.35">
      <c r="A106" s="14"/>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1" t="s">
        <v>87</v>
      </c>
    </row>
    <row r="200" spans="1:1" ht="20.100000000000001" customHeight="1" x14ac:dyDescent="0.3">
      <c r="A200" s="21" t="s">
        <v>88</v>
      </c>
    </row>
    <row r="201" spans="1:1" ht="20.100000000000001" customHeight="1" x14ac:dyDescent="0.3">
      <c r="A201" s="21" t="s">
        <v>89</v>
      </c>
    </row>
    <row r="202" spans="1:1" ht="20.100000000000001" customHeight="1" x14ac:dyDescent="0.3">
      <c r="A202" s="21" t="s">
        <v>90</v>
      </c>
    </row>
    <row r="203" spans="1:1" ht="20.100000000000001" customHeight="1" x14ac:dyDescent="0.3">
      <c r="A203" s="21" t="s">
        <v>91</v>
      </c>
    </row>
    <row r="204" spans="1:1" ht="20.100000000000001" customHeight="1" x14ac:dyDescent="0.3">
      <c r="A204" s="21" t="s">
        <v>92</v>
      </c>
    </row>
    <row r="205" spans="1:1" ht="20.100000000000001" customHeight="1" x14ac:dyDescent="0.3">
      <c r="A205" s="21" t="s">
        <v>93</v>
      </c>
    </row>
    <row r="206" spans="1:1" ht="20.100000000000001" customHeight="1" x14ac:dyDescent="0.3">
      <c r="A206" s="21" t="s">
        <v>94</v>
      </c>
    </row>
    <row r="207" spans="1:1" ht="20.100000000000001" customHeight="1" x14ac:dyDescent="0.3">
      <c r="A207" s="21" t="s">
        <v>95</v>
      </c>
    </row>
    <row r="208" spans="1:1" ht="20.100000000000001" customHeight="1" x14ac:dyDescent="0.3">
      <c r="A208" s="22" t="s">
        <v>96</v>
      </c>
    </row>
    <row r="209" spans="1:1" ht="20.100000000000001" customHeight="1" x14ac:dyDescent="0.3">
      <c r="A209" s="22" t="s">
        <v>97</v>
      </c>
    </row>
    <row r="210" spans="1:1" ht="20.100000000000001" customHeight="1" x14ac:dyDescent="0.3">
      <c r="A210" s="21" t="s">
        <v>98</v>
      </c>
    </row>
    <row r="211" spans="1:1" ht="20.100000000000001" customHeight="1" x14ac:dyDescent="0.3">
      <c r="A211" s="21" t="s">
        <v>99</v>
      </c>
    </row>
    <row r="212" spans="1:1" ht="20.100000000000001" customHeight="1" x14ac:dyDescent="0.3">
      <c r="A212" s="21" t="s">
        <v>173</v>
      </c>
    </row>
    <row r="213" spans="1:1" ht="20.100000000000001" customHeight="1" x14ac:dyDescent="0.3">
      <c r="A213" s="21" t="s">
        <v>100</v>
      </c>
    </row>
    <row r="214" spans="1:1" ht="20.100000000000001" customHeight="1" x14ac:dyDescent="0.3">
      <c r="A214" s="21" t="s">
        <v>101</v>
      </c>
    </row>
    <row r="215" spans="1:1" ht="20.100000000000001" customHeight="1" x14ac:dyDescent="0.3">
      <c r="A215" s="21" t="s">
        <v>102</v>
      </c>
    </row>
    <row r="216" spans="1:1" ht="20.100000000000001" customHeight="1" x14ac:dyDescent="0.3">
      <c r="A216" s="21" t="s">
        <v>103</v>
      </c>
    </row>
    <row r="217" spans="1:1" ht="20.100000000000001" customHeight="1" x14ac:dyDescent="0.3">
      <c r="A217" s="21" t="s">
        <v>104</v>
      </c>
    </row>
    <row r="218" spans="1:1" ht="20.100000000000001" customHeight="1" x14ac:dyDescent="0.3">
      <c r="A218" s="21" t="s">
        <v>105</v>
      </c>
    </row>
    <row r="219" spans="1:1" ht="20.100000000000001" customHeight="1" x14ac:dyDescent="0.3">
      <c r="A219" s="21" t="s">
        <v>106</v>
      </c>
    </row>
    <row r="220" spans="1:1" ht="20.100000000000001" customHeight="1" x14ac:dyDescent="0.3">
      <c r="A220" s="21" t="s">
        <v>107</v>
      </c>
    </row>
    <row r="221" spans="1:1" ht="20.100000000000001" customHeight="1" x14ac:dyDescent="0.3">
      <c r="A221" s="21" t="s">
        <v>108</v>
      </c>
    </row>
    <row r="222" spans="1:1" ht="20.100000000000001" customHeight="1" x14ac:dyDescent="0.3">
      <c r="A222" s="21" t="s">
        <v>109</v>
      </c>
    </row>
    <row r="223" spans="1:1" ht="20.100000000000001" customHeight="1" x14ac:dyDescent="0.3">
      <c r="A223" s="21" t="s">
        <v>110</v>
      </c>
    </row>
    <row r="224" spans="1:1" ht="20.100000000000001" customHeight="1" x14ac:dyDescent="0.3">
      <c r="A224" s="21" t="s">
        <v>174</v>
      </c>
    </row>
    <row r="225" spans="1:1" ht="20.100000000000001" customHeight="1" x14ac:dyDescent="0.3">
      <c r="A225" s="21" t="s">
        <v>111</v>
      </c>
    </row>
    <row r="226" spans="1:1" ht="20.100000000000001" customHeight="1" x14ac:dyDescent="0.3">
      <c r="A226" s="21" t="s">
        <v>112</v>
      </c>
    </row>
    <row r="227" spans="1:1" ht="20.100000000000001" customHeight="1" x14ac:dyDescent="0.3">
      <c r="A227" s="21" t="s">
        <v>113</v>
      </c>
    </row>
    <row r="228" spans="1:1" ht="20.100000000000001" customHeight="1" x14ac:dyDescent="0.3">
      <c r="A228" s="21" t="s">
        <v>114</v>
      </c>
    </row>
    <row r="229" spans="1:1" ht="20.100000000000001" customHeight="1" x14ac:dyDescent="0.3">
      <c r="A229" s="21" t="s">
        <v>115</v>
      </c>
    </row>
    <row r="230" spans="1:1" ht="20.100000000000001" customHeight="1" x14ac:dyDescent="0.3">
      <c r="A230" s="21" t="s">
        <v>116</v>
      </c>
    </row>
    <row r="231" spans="1:1" ht="20.100000000000001" customHeight="1" x14ac:dyDescent="0.3">
      <c r="A231" s="21" t="s">
        <v>117</v>
      </c>
    </row>
    <row r="232" spans="1:1" ht="20.100000000000001" customHeight="1" x14ac:dyDescent="0.3">
      <c r="A232" s="21" t="s">
        <v>118</v>
      </c>
    </row>
    <row r="233" spans="1:1" ht="20.100000000000001" customHeight="1" x14ac:dyDescent="0.3">
      <c r="A233" s="21" t="s">
        <v>119</v>
      </c>
    </row>
    <row r="234" spans="1:1" ht="20.100000000000001" customHeight="1" x14ac:dyDescent="0.3">
      <c r="A234" s="21" t="s">
        <v>120</v>
      </c>
    </row>
    <row r="235" spans="1:1" ht="20.100000000000001" customHeight="1" x14ac:dyDescent="0.3">
      <c r="A235" s="21" t="s">
        <v>121</v>
      </c>
    </row>
    <row r="236" spans="1:1" ht="20.100000000000001" customHeight="1" x14ac:dyDescent="0.3">
      <c r="A236" s="23" t="s">
        <v>122</v>
      </c>
    </row>
    <row r="237" spans="1:1" ht="20.100000000000001" customHeight="1" x14ac:dyDescent="0.3">
      <c r="A237" s="21" t="s">
        <v>123</v>
      </c>
    </row>
    <row r="238" spans="1:1" ht="20.100000000000001" customHeight="1" x14ac:dyDescent="0.3">
      <c r="A238" s="21" t="s">
        <v>124</v>
      </c>
    </row>
    <row r="239" spans="1:1" ht="20.100000000000001" customHeight="1" x14ac:dyDescent="0.3">
      <c r="A239" s="21" t="s">
        <v>125</v>
      </c>
    </row>
    <row r="240" spans="1:1" ht="20.100000000000001" customHeight="1" x14ac:dyDescent="0.3">
      <c r="A240" s="21" t="s">
        <v>126</v>
      </c>
    </row>
    <row r="241" spans="1:1" ht="20.100000000000001" customHeight="1" x14ac:dyDescent="0.3">
      <c r="A241" s="21" t="s">
        <v>127</v>
      </c>
    </row>
    <row r="242" spans="1:1" ht="20.100000000000001" customHeight="1" x14ac:dyDescent="0.3">
      <c r="A242" s="21" t="s">
        <v>128</v>
      </c>
    </row>
    <row r="243" spans="1:1" ht="20.100000000000001" customHeight="1" x14ac:dyDescent="0.3">
      <c r="A243" s="21" t="s">
        <v>129</v>
      </c>
    </row>
    <row r="244" spans="1:1" ht="20.100000000000001" customHeight="1" x14ac:dyDescent="0.3">
      <c r="A244" s="21" t="s">
        <v>130</v>
      </c>
    </row>
    <row r="245" spans="1:1" ht="20.100000000000001" customHeight="1" x14ac:dyDescent="0.3">
      <c r="A245" s="21" t="s">
        <v>131</v>
      </c>
    </row>
    <row r="246" spans="1:1" ht="20.100000000000001" customHeight="1" x14ac:dyDescent="0.3">
      <c r="A246" s="21" t="s">
        <v>132</v>
      </c>
    </row>
    <row r="247" spans="1:1" ht="20.100000000000001" customHeight="1" x14ac:dyDescent="0.3">
      <c r="A247" s="21" t="s">
        <v>133</v>
      </c>
    </row>
    <row r="248" spans="1:1" ht="20.100000000000001" customHeight="1" x14ac:dyDescent="0.3">
      <c r="A248" s="21" t="s">
        <v>124</v>
      </c>
    </row>
    <row r="249" spans="1:1" ht="20.100000000000001" customHeight="1" x14ac:dyDescent="0.3">
      <c r="A249" s="21" t="s">
        <v>134</v>
      </c>
    </row>
    <row r="250" spans="1:1" ht="20.100000000000001" customHeight="1" x14ac:dyDescent="0.3">
      <c r="A250" s="21" t="s">
        <v>135</v>
      </c>
    </row>
    <row r="251" spans="1:1" ht="20.100000000000001" customHeight="1" x14ac:dyDescent="0.3">
      <c r="A251" s="23" t="s">
        <v>136</v>
      </c>
    </row>
    <row r="252" spans="1:1" ht="20.100000000000001" customHeight="1" x14ac:dyDescent="0.3">
      <c r="A252" s="24" t="s">
        <v>137</v>
      </c>
    </row>
    <row r="253" spans="1:1" ht="20.100000000000001" customHeight="1" x14ac:dyDescent="0.3">
      <c r="A253" s="21" t="s">
        <v>138</v>
      </c>
    </row>
    <row r="254" spans="1:1" ht="20.100000000000001" customHeight="1" x14ac:dyDescent="0.3">
      <c r="A254" s="21" t="s">
        <v>139</v>
      </c>
    </row>
    <row r="255" spans="1:1" ht="20.100000000000001" customHeight="1" x14ac:dyDescent="0.3">
      <c r="A255" s="25" t="s">
        <v>140</v>
      </c>
    </row>
    <row r="256" spans="1:1" ht="20.100000000000001" customHeight="1" x14ac:dyDescent="0.3">
      <c r="A256" s="25" t="s">
        <v>141</v>
      </c>
    </row>
    <row r="257" spans="1:1" ht="20.100000000000001" customHeight="1" x14ac:dyDescent="0.3">
      <c r="A257" s="26" t="s">
        <v>142</v>
      </c>
    </row>
    <row r="258" spans="1:1" ht="20.100000000000001" customHeight="1" x14ac:dyDescent="0.3">
      <c r="A258" s="21" t="s">
        <v>143</v>
      </c>
    </row>
    <row r="259" spans="1:1" ht="20.100000000000001" customHeight="1" x14ac:dyDescent="0.3">
      <c r="A259" s="26" t="s">
        <v>144</v>
      </c>
    </row>
    <row r="260" spans="1:1" ht="20.100000000000001" customHeight="1" x14ac:dyDescent="0.3">
      <c r="A260" s="21" t="s">
        <v>145</v>
      </c>
    </row>
    <row r="261" spans="1:1" ht="20.100000000000001" customHeight="1" x14ac:dyDescent="0.3">
      <c r="A261" s="26" t="s">
        <v>146</v>
      </c>
    </row>
    <row r="262" spans="1:1" ht="20.100000000000001" customHeight="1" x14ac:dyDescent="0.3">
      <c r="A262" s="21" t="s">
        <v>147</v>
      </c>
    </row>
    <row r="263" spans="1:1" ht="20.100000000000001" customHeight="1" x14ac:dyDescent="0.3">
      <c r="A263" s="21" t="s">
        <v>148</v>
      </c>
    </row>
    <row r="264" spans="1:1" ht="20.100000000000001" customHeight="1" x14ac:dyDescent="0.3">
      <c r="A264" s="26" t="s">
        <v>149</v>
      </c>
    </row>
    <row r="265" spans="1:1" ht="20.100000000000001" customHeight="1" x14ac:dyDescent="0.3">
      <c r="A265" s="26" t="s">
        <v>150</v>
      </c>
    </row>
    <row r="266" spans="1:1" ht="20.100000000000001" customHeight="1" x14ac:dyDescent="0.3">
      <c r="A266" s="26" t="s">
        <v>151</v>
      </c>
    </row>
    <row r="267" spans="1:1" ht="20.100000000000001" customHeight="1" x14ac:dyDescent="0.3">
      <c r="A267" s="21" t="s">
        <v>152</v>
      </c>
    </row>
    <row r="268" spans="1:1" ht="20.100000000000001" customHeight="1" x14ac:dyDescent="0.3">
      <c r="A268" s="21" t="s">
        <v>153</v>
      </c>
    </row>
    <row r="269" spans="1:1" ht="20.100000000000001" customHeight="1" x14ac:dyDescent="0.3">
      <c r="A269" s="21" t="s">
        <v>154</v>
      </c>
    </row>
    <row r="270" spans="1:1" ht="20.100000000000001" customHeight="1" x14ac:dyDescent="0.3">
      <c r="A270" s="21" t="s">
        <v>155</v>
      </c>
    </row>
    <row r="271" spans="1:1" ht="20.100000000000001" customHeight="1" x14ac:dyDescent="0.3">
      <c r="A271" s="26" t="s">
        <v>156</v>
      </c>
    </row>
    <row r="272" spans="1:1" ht="20.100000000000001" customHeight="1" x14ac:dyDescent="0.3">
      <c r="A272" s="26" t="s">
        <v>157</v>
      </c>
    </row>
    <row r="273" spans="1:1" ht="20.100000000000001" customHeight="1" x14ac:dyDescent="0.3">
      <c r="A273" s="21" t="s">
        <v>158</v>
      </c>
    </row>
    <row r="274" spans="1:1" ht="20.100000000000001" customHeight="1" x14ac:dyDescent="0.3">
      <c r="A274" s="26" t="s">
        <v>159</v>
      </c>
    </row>
    <row r="275" spans="1:1" ht="20.100000000000001" customHeight="1" x14ac:dyDescent="0.3">
      <c r="A275" s="26" t="s">
        <v>160</v>
      </c>
    </row>
    <row r="276" spans="1:1" ht="20.100000000000001" customHeight="1" x14ac:dyDescent="0.3">
      <c r="A276" s="21" t="s">
        <v>161</v>
      </c>
    </row>
    <row r="277" spans="1:1" ht="20.100000000000001" customHeight="1" x14ac:dyDescent="0.3">
      <c r="A277" s="21" t="s">
        <v>162</v>
      </c>
    </row>
    <row r="278" spans="1:1" ht="20.100000000000001" customHeight="1" x14ac:dyDescent="0.3">
      <c r="A278" s="26" t="s">
        <v>163</v>
      </c>
    </row>
    <row r="279" spans="1:1" ht="20.100000000000001" customHeight="1" x14ac:dyDescent="0.3">
      <c r="A279" s="21" t="s">
        <v>164</v>
      </c>
    </row>
    <row r="280" spans="1:1" ht="20.100000000000001" customHeight="1" x14ac:dyDescent="0.3">
      <c r="A280" s="21" t="s">
        <v>165</v>
      </c>
    </row>
    <row r="281" spans="1:1" ht="20.100000000000001" customHeight="1" x14ac:dyDescent="0.3">
      <c r="A281" s="21" t="s">
        <v>166</v>
      </c>
    </row>
    <row r="282" spans="1:1" ht="20.100000000000001" customHeight="1" x14ac:dyDescent="0.3">
      <c r="A282" s="21" t="s">
        <v>167</v>
      </c>
    </row>
    <row r="283" spans="1:1" ht="20.100000000000001" customHeight="1" x14ac:dyDescent="0.3">
      <c r="A283" s="26" t="s">
        <v>168</v>
      </c>
    </row>
    <row r="284" spans="1:1" ht="20.100000000000001" customHeight="1" x14ac:dyDescent="0.3">
      <c r="A284" s="26" t="s">
        <v>169</v>
      </c>
    </row>
    <row r="285" spans="1:1" ht="20.100000000000001" customHeight="1" x14ac:dyDescent="0.3">
      <c r="A285" s="26" t="s">
        <v>170</v>
      </c>
    </row>
    <row r="286" spans="1:1" ht="20.100000000000001" customHeight="1" thickBot="1" x14ac:dyDescent="0.35">
      <c r="A286" s="21"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2025-10-20T04:50:35Z</dcterms:modified>
</cp:coreProperties>
</file>