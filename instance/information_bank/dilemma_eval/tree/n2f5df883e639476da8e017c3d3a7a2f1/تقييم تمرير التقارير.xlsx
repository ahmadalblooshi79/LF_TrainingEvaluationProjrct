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E23F7A65-19F6-43E9-B419-3F142EA8D82C}"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<sst xmlns="http://schemas.openxmlformats.org/spreadsheetml/2006/main" count="259" uniqueCount="203">
  <si>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</si>
  <si>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</si>
  <si>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</si>
  <si>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</si>
  <si>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</si>
  <si>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</si>
  <si>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</si>
  <si>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</si>
  <si>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</si>
  <si>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</si>
  <si>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</si>
  <si>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</si>
  <si>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</si>
  <si>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</si>
  <si>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</si>
  <si>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</si>
  <si>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</si>
  <si>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</si>
  <si>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</si>
  <si>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</si>
  <si>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</si>
  <si>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</si>
  <si>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</si>
  <si>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</si>
  <si>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</si>
  <si>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</si>
  <si>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</si>
  <si>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</si>
  <si>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</si>
  <si>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</si>
  <si>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</si>
  <si>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</si>
  <si>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</si>
  <si>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</si>
  <si>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</si>
  <si>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</si>
  <si>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</si>
  <si>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</si>
  <si>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</si>
  <si>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</si>
  <si>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</si>
  <si>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</si>
  <si>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</si>
  <si>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</si>
  <si>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</si>
  <si>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</si>
  <si>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</si>
  <si>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</si>
  <si>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</si>
  <si>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</si>
  <si>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</si>
  <si>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</si>
  <si>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</si>
  <si>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</si>
  <si>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</si>
  <si>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</si>
  <si>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</si>
  <si>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</si>
  <si>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</si>
  <si>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</si>
  <si>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</si>
  <si>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</si>
  <si>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</si>
  <si>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</si>
  <si>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</si>
  <si>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</si>
  <si>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</si>
  <si>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</si>
  <si>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</si>
  <si>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</si>
  <si>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</si>
  <si>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</si>
  <si>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</si>
  <si>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</si>
  <si>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</si>
  <si>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</si>
  <si>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</si>
  <si>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</si>
  <si>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</si>
  <si>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</si>
  <si>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</si>
  <si>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</si>
  <si>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</si>
  <si>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</si>
  <si>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</si>
  <si>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</si>
  <si>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</si>
  <si>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</si>
  <si>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</si>
  <si>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</si>
  <si>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</si>
  <si>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</si>
  <si>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</si>
  <si>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</si>
  <si>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</si>
  <si>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</si>
  <si>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</si>
  <si>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</si>
  <si>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</si>
  <si>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</si>
  <si>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</si>
  <si>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</si>
  <si>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</si>
  <si>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</si>
  <si>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</si>
  <si>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</si>
  <si>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</si>
  <si>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</si>
  <si>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</si>
  <si>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</si>
  <si>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</si>
  <si>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</si>
  <si>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</si>
  <si>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</si>
  <si>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</si>
  <si>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</si>
  <si>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</si>
  <si>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</si>
  <si>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</si>
  <si>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</si>
  <si>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</si>
  <si>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</si>
  <si>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</si>
  <si>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</si>
  <si>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</si>
  <si>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</si>
  <si>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</si>
  <si>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</si>
  <si>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</si>
  <si>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</si>
  <si>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</si>
  <si>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</si>
  <si>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</si>
  <si>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</si>
  <si>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</si>
  <si>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</si>
  <si>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</si>
  <si>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</si>
  <si>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</si>
  <si>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</si>
  <si>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</si>
  <si>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</si>
  <si>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</si>
  <si>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</si>
  <si>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</si>
  <si>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</si>
  <si>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</si>
  <si>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</si>
  <si>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</si>
  <si>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</si>
  <si>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</si>
  <si>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</si>
  <si>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</si>
  <si>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</si>
  <si>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</si>
  <si>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</si>
  <si>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</si>
  <si>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</si>
  <si>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</si>
  <si>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</si>
  <si>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</si>
  <si>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</si>
  <si>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</si>
  <si>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</si>
  <si>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</si>
  <si>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</si>
  <si>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</si>
  <si>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</si>
  <si>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</si>
  <si>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</si>
  <si>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</si>
  <si>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</si>
  <si>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</si>
  <si>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</si>
  <si>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</si>
  <si>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</si>
  <si>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</si>
  <si>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</si>
  <si>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</si>
  <si>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</si>
  <si>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</si>
  <si>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</si>
  <si>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</si>
  <si>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</si>
  <si>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</si>
  <si>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</si>
  <si>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</si>
  <si>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</si>
  <si>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</si>
  <si>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</si>
  <si>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</si>
  <si>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</si>
  <si>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</si>
  <si>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</si>
  <si>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</si>
  <si>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</si>
  <si>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</si>
  <si>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</si>
  <si>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</si>
  <si>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</si>
  <si>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</si>
  <si>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</si>
  <si>
    <t>ملازم/1 يوسف المصعبي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</si>
</sst>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5">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9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24" xfId="0" applyFont="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399863</xdr:colOff>
      <xdr:row>35</xdr:row>
      <xdr:rowOff>526102</xdr:rowOff>
    </xdr:from>
    <xdr:to>
      <xdr:col>8</xdr:col>
      <xdr:colOff>384721</xdr:colOff>
      <xdr:row>36</xdr:row>
      <xdr:rowOff>632782</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60CFDD5D-1B86-66F6-771C-EE8FCDA86DEA}"/>
                </a:ext>
              </a:extLst>
            </xdr14:cNvPr>
            <xdr14:cNvContentPartPr/>
          </xdr14:nvContentPartPr>
          <xdr14:nvPr macro=""/>
          <xdr14:xfrm>
            <a:off x="10436666935" y="18259920"/>
            <a:ext cx="1301040" cy="640080"/>
          </xdr14:xfrm>
        </xdr:contentPart>
      </mc:Choice>
      <mc:Fallback xmlns="">
        <xdr:pic>
          <xdr:nvPicPr>
            <xdr:cNvPr id="2" name="Ink 1">
              <a:extLst>
                <a:ext uri="{FF2B5EF4-FFF2-40B4-BE49-F238E27FC236}">
                  <a16:creationId xmlns:a16="http://schemas.microsoft.com/office/drawing/2014/main" id="{60CFDD5D-1B86-66F6-771C-EE8FCDA86DEA}"/>
                </a:ext>
              </a:extLst>
            </xdr:cNvPr>
            <xdr:cNvPicPr/>
          </xdr:nvPicPr>
          <xdr:blipFill>
            <a:blip xmlns:r="http://schemas.openxmlformats.org/officeDocument/2006/relationships" r:embed="rId2"/>
            <a:stretch>
              <a:fillRect/>
            </a:stretch>
          </xdr:blipFill>
          <xdr:spPr>
            <a:xfrm>
              <a:off x="10436658295" y="18250920"/>
              <a:ext cx="1318680" cy="6577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4T17:14:58.767"/>
    </inkml:context>
    <inkml:brush xml:id="br0">
      <inkml:brushProperty name="width" value="0.05" units="cm"/>
      <inkml:brushProperty name="height" value="0.05" units="cm"/>
    </inkml:brush>
  </inkml:definitions>
  <inkml:trace contextRef="#ctx0" brushRef="#br0">3508 860 14667,'0'0'0,"0"0"0,-5-2 488,0-1-480,-8-2-72,8 0 72,5 5-8,0-5-24,0-2 48,2 2-24,3-1 0,-5 6 0,0-5-24,2 2 24,-2 0 32,0 1 72,0 2-104,0-2 32,0 2 40,0 0-32,0 0-120,0 0 80,0 0-128,-2 4-112,-3-1-64,0 2-48,5-5 352,-4 14-305,-4-9 41,-5 19 24,-1-2 48,14-22 192,-14 24-128,-5 4 24,-2 2 32,2 3 72,19-33 0,-21 32 8,1 2 0,-2 2 32,-3 2-16,25-38-24,-24 37-32,-3 1 56,0-2-8,-3-1-16,30-35 0,-26 31 72,-1-4-32,4-3 48,1-5 24,22-19-112,-18 17 112,3-3 32,2-9-16,8 0 48,5-5-176,-12 5 265,7-1 31,3-4 112,-3 0 24,5 0-432,0-4 360,-2-3-64,0-10-184,0 4-152,2 13 40,0-17-128,-3-2 56,1-2 88,-1 1 0,3 20-16,-2-22 48,2 0-48,0-1-56,0 3 8,0 20 48,0-19-16,0 2 16,5 3-16,0 8 40,-5 6-24,4-14 0,-2 11-24,-2-3 16,0 1-56,0 5 64,0-3-40,0-2-48,5 0-8,-3-2-72,-2 7 168,5-14-184,-5 11 0,2-4 24,-2 0 120,0 7 40,0-7-56,0-6 112,0 9 16,0-1 16,0 5-88,0-5 88,0 0 16,0 1-24,-2 1-32,2 3-48,0-3 80,-2-1-56,-3 1-16,2 1-32,3 2 24,-2-2-32,-2 1-32,2-1 8,-1 2-32,3 0 88,-2 0-96,-1 0-64,-1 0-64,-1 0-8,5 0 232,0 5-280,-5 0 31,-1 0 9,1 12 40,5-17 200,-14 6-160,11 16 0,-13-5 40,12 2-8,4-19 128,-22 20-112,6 0 48,2 1 8,-5-4 48,19-17 8,-14 19 0,-4-4 16,1 2 56,-4-1 16,21-16-88,-16 5 120,0 12 64,-3-14 0,2 2 16,17-5-200,-4 5 240,-17 0-88,16-1 41,-9-4 79,14 0-272,-4 0 216,2 0 8,-3 0 104,-2-2-40,7 2-288,-5-5 264,5-9-96,-3 9-200,-2-13-128,5 18 160,0-18-168,0-2 88,0-2 0,3-4-32,-3 26 112,5-27-96,0 1 24,2 2-32,6 2 136,-13 22-32,0-15-40,3 8 0,1-7 48,-4 11-64,0 3 56,3-3 0,-3 1-112,0 2-80,0 0-128,0 0 320,0 3-401,-3 1-79,3-1-8,-4 2 40,4-5 448,-5 17-368,-9-3 120,10 3 16,-11 4 64,15-21 168,-4 23-112,-13 0 48,3-1 96,1-2 112,13-20-144,-15 19 120,2 1 40,-4-1 8,1-2-32,16-17-136,-19 19 216,-4-4 16,2 1 64,-3-1 32,24-15-328,-18 14 328,1-9 16,1 12-8,2-14-23,14-3-313,-7 4 344,-7-4 64,9 0-16,-8 0 8,13 0-400,-5 0 456,0 0-16,0-4 32,-2-1 0,7 5-472,-5-5 360,5-2-24,-2-8-136,2 8-160,0 7-40,0-22-16,0-4-104,14-6 40,-2-9 64,-12 41 16,19-51-48,4-5 24,1-9-56,1-7 40,-25 72 40,30-75-48,3-1-128,2-2-48,-2 1-24,-33 77 248,33-77-288,-3 2 112,-5 2 56,1 3-48,-26 70 168,26-65 8,-8 7-8,2 4 16,-4 7-16,-16 47 0,14-44-16,-1 3 88,-8 7-40,13 8 16,-18 26-48,0-17 56,3 14 0,-3 1-160,0 2-88,0 0 192,0 5-632,-4 18-192,-3 0 128,-10 12 111,17-35 585,-16 46-384,-5 7 96,-3 8 56,-1 5-56,25-66 288,-30 72-144,-3 7-48,-4 1 32,-8 2 48,45-82 112,-41 83-64,-7 1 232,4-2 0,2-7 80,42-75-248,-44 72 320,1-4 56,1-5 48,1-5 105,41-58-529,-42 55 424,-1-6-160,3-2 40,4-5-32,36-42-272,-35 39 200,2-4-8,0-5-48,3-2-72,30-28-72,-26 23 120,3-4 8,4-5 64,0-11-88,19-3-104,-16 5 168,4 0 104,8-5-112,-10 0-80,14 0-80,-2-1 48,-1-4-120,-1-12-136,4 3 104,0 14 104,-3-17-208,3-4-80,0-2 152,3-8 24,-3 31 112,4-33-104,15-2 40,-15-3-16,12 2-112,-16 36 192,7-37-112,15-1 80,-9 1-32,4 1 32,-17 36 32,14-36-40,0 5-80,-2 4 56,-8 7 40,-4 20 24,5-14-32,-3 9 112,-2 3-136,0 0-32,0 2 88,0 0-168,0 4-144,-7 11-32,3-10-24,4-5 368,-19 24-305,5-2 41,-2 4 120,-3 1 96,19-27 48,-19 26-8,-1-2 40,0 0 24,2-4-24,18-20-32,-17 17 32,1-2 8,4-9 16,5 11 56,7-17-112,-6 0 120,-8 3 33,14 0 47,-5-3-32,5 0-168,-3 0 152,1 0-40,0 0-80,-1-1-48,3 1 16,-1-4-64,-2-1-128,1 0-24,2 0-17,0 5 233,-3-5-240,3 3 80,0 0 16,-2 2 16,2 0 128,-2 0-168,-1 4-40,-2-1 24,1 11-40,4-14 224,-8 5-168,-5 15 32,6 1 24,-9 1 96,16-22 16,-17 26 0,1-1 48,-1-1 72,4-2 32,13-22-152,-14 19 240,-3-2 80,3-1 32,0-11 32,14-5-384,-5 5 377,-6 0-1,9-2 40,-1-3 40,3 0-456,0-1 336,0-5-24,0-11-240,0 0-176,0-5-48,0 22 152,5-34-192,6-7 96,-6-7 24,14-10 56,-19 58 16,16-66-16,8-13-16,1-9 0,-25 88 32,31-96-64,1-4 0,-1 2 16,4-1 32,-35 99 16,30-92 32,0 6 0,-2 11-24,-5 9-40,-23 66 32,19-57 0,-5 8 0,0 10 24,-9 6 32,0 11-16,-5 22-40,5-15 48,-5 11 16,0 3-56,-3 1-208,3 0 200,-4 5-288,-16 15-80,4 1 8,-4 9 127,20-30 233,-27 40-168,-1 7 16,-7 11 56,-4 9 80,39-67 16,-39 70 0,-1 3 48,-5 7 40,-3 6 32,48-86-120,-52 87 168,-2 0 41,-4 2 55,4-5-48,54-84-216,-51 81 336,-1-5 40,1-8 32,-1-2-16,52-66-392,-48 62 328,3-4-32,5-4-72,1-6-16,39-48-208,-35 41 128,5-7-72,1-5 0,3-3 72,26-26-128,-15 18 88,-5-2 24,14-13 0,-8 2-24,14-5-88,-3 4 40,1-4-80,2-2-72,0-3-136,0 5 248,0-15-264,2-1 0,3-3 56,0-6 80,-5 25 128,13-31-88,-1-5 56,-4-5 8,15 0-24,-23 41 48,20-44-8,-3 3-8,4 2 8,-2 5 16,-19 34-8,18-33-24,-3 8-8,-2 4 32,-8 3-24,-5 18 24,12-7 16,-7-9-16,-3 13-24,2-2 24,-4 5 0,2-2-32,-2 0 8,0 2-24,0 0-40,0 0 88,0 0-16,-2 4 32,0-1-16,-2 2 8,4-5-8,-17 6 0,4 7-32,-7-9 40,-3 11 88,23-15-96,-28 5 96,1 12-16,-13-3 48,5-9-32,35-5-96,-43 24 96,-1-7 56,-5 2 80,2 1 40,47-20-272,-51 21 264,-5-1-24,0 2-64,-3 0-40,59-22-136,-55 23 120,5-3-16,4 0-40,4-2-16,42-18-48,-38 15 0,8-10 32,5 14 9,5-16-41,20-3 0,-13 5 24,8 0-40,-2-1-33,7-4-47,0 0 96,0 0-168,0 0-80,5 0 16,13 0 48,-18 0 184,19 0-104,14 0 16,7-2 8,11-5 48,-51 7 32,60-22-16,15-2-8,11-6 24,7-8 16,-93 38-16,103-43-40,7-6 88,8-2-48,12-7 48,-130 58-48,133-60 152,9-5 40,3-3 104,-4-2 16,-141 70-312,136-73 289,-2 1-9,-1 0-48,-9 0-72,-124 72-160,119-70 80,-12 7 0,-16 5-8,-11 7-8,-80 51-64,65-46 64,-11 8 16,-17 6 24,-16 8 80,-21 24-184,14-17 344,-14 3 40,0 9 72,0-2 0,0 7-456,-7-13 352,-23 9-112,-1-1-144,-18 0-48,49 5-48,-63-5-40,-5 5 72,-23 3 16,-9 14-64,100-17 16,-114 19 0,-14 5-112,-15 5 16,-9 3 56,152-32 40,-156 36-80,-8 2 136,6-1-96,2 1-40,156-38 80,-153 36-24,20-1-176,17 1 16,13-5-48,103-31 232,-91 31-464,19-4-200,14-1-464,10-1-705,48-25 1833,-27 24-3072,7 0-4658,20-24 7730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B1" zoomScale="130" zoomScaleNormal="100" zoomScaleSheetLayoutView="130" workbookViewId="0">
      <selection activeCell="C4" sqref="C4:D4"/>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1" t="s">
        <v>201</v>
      </c>
      <c r="C1" s="61"/>
      <c r="D1" s="61"/>
      <c r="E1" s="61"/>
      <c r="F1" s="61"/>
      <c r="G1" s="61"/>
      <c r="H1" s="61"/>
      <c r="I1" s="61"/>
      <c r="J1" s="61"/>
    </row>
    <row r="2" spans="1:10" ht="30" customHeight="1" x14ac:dyDescent="0.3">
      <c r="B2" s="13" t="s">
        <v>8</v>
      </c>
      <c r="C2" s="67" t="s">
        <v>37</v>
      </c>
      <c r="D2" s="67"/>
      <c r="E2" s="13" t="s">
        <v>7</v>
      </c>
      <c r="F2" s="62">
        <v>45954</v>
      </c>
      <c r="G2" s="62"/>
      <c r="H2" s="62"/>
      <c r="I2" s="62"/>
      <c r="J2" s="62"/>
    </row>
    <row r="3" spans="1:10" ht="30" customHeight="1" x14ac:dyDescent="0.3">
      <c r="B3" s="13" t="s">
        <v>9</v>
      </c>
      <c r="C3" s="67" t="s">
        <v>60</v>
      </c>
      <c r="D3" s="67"/>
      <c r="E3" s="13" t="s">
        <v>6</v>
      </c>
      <c r="F3" s="67" t="s">
        <v>142</v>
      </c>
      <c r="G3" s="67"/>
      <c r="H3" s="67"/>
      <c r="I3" s="67"/>
      <c r="J3" s="67"/>
    </row>
    <row r="4" spans="1:10" ht="30" customHeight="1" thickBot="1" x14ac:dyDescent="0.35">
      <c r="B4" s="6"/>
      <c r="C4" s="43" t="s">
        <v>202</v>
      </c>
      <c r="D4" s="43"/>
      <c r="E4" s="6"/>
      <c r="F4" s="7"/>
      <c r="G4" s="7"/>
      <c r="H4" s="8"/>
      <c r="I4" s="7"/>
      <c r="J4" s="7"/>
    </row>
    <row r="5" spans="1:10" ht="24.9" customHeight="1" x14ac:dyDescent="0.3">
      <c r="A5" s="11"/>
      <c r="B5" s="63" t="s">
        <v>0</v>
      </c>
      <c r="C5" s="64"/>
      <c r="D5" s="64"/>
      <c r="E5" s="72" t="s">
        <v>1</v>
      </c>
      <c r="F5" s="72"/>
      <c r="G5" s="72"/>
      <c r="H5" s="72"/>
      <c r="I5" s="72" t="s">
        <v>2</v>
      </c>
      <c r="J5" s="73"/>
    </row>
    <row r="6" spans="1:10" ht="24.9" customHeight="1" thickBot="1" x14ac:dyDescent="0.35">
      <c r="A6" s="11"/>
      <c r="B6" s="65"/>
      <c r="C6" s="66"/>
      <c r="D6" s="66"/>
      <c r="E6" s="12" t="s">
        <v>3</v>
      </c>
      <c r="F6" s="12" t="s">
        <v>4</v>
      </c>
      <c r="G6" s="12" t="s">
        <v>23</v>
      </c>
      <c r="H6" s="12" t="s">
        <v>24</v>
      </c>
      <c r="I6" s="74"/>
      <c r="J6" s="75"/>
    </row>
    <row r="7" spans="1:10" ht="24.9" customHeight="1" thickBot="1" x14ac:dyDescent="0.35">
      <c r="A7" s="11"/>
      <c r="B7" s="70" t="s">
        <v>21</v>
      </c>
      <c r="C7" s="71"/>
      <c r="D7" s="71"/>
      <c r="E7" s="30" t="s">
        <v>18</v>
      </c>
      <c r="F7" s="30" t="s">
        <v>19</v>
      </c>
      <c r="G7" s="30" t="s">
        <v>22</v>
      </c>
      <c r="H7" s="30" t="s">
        <v>20</v>
      </c>
      <c r="I7" s="51" t="s">
        <v>25</v>
      </c>
      <c r="J7" s="52"/>
    </row>
    <row r="8" spans="1:10" ht="39.9" customHeight="1" thickBot="1" x14ac:dyDescent="0.35">
      <c r="A8" s="11"/>
      <c r="B8" s="90" t="s">
        <v>195</v>
      </c>
      <c r="C8" s="91"/>
      <c r="D8" s="91"/>
      <c r="E8" s="10">
        <v>5</v>
      </c>
      <c r="F8" s="41">
        <v>3.75</v>
      </c>
      <c r="G8" s="42">
        <f>IFERROR(F8/E8,"")</f>
        <v>0.75</v>
      </c>
      <c r="H8" s="28" t="str">
        <f>_xlfn.IFS(F8="أدخل العلامة","",F8="لا ينطبق","تم الإلغاء",G8&gt;=90%,"ممتاز",G8&gt;=80%,"جيد جداً",G8&gt;=70%,"جيد",G8&gt;=60%,"مقبول",G8&lt;60%,"راسب")</f>
        <v>جيد</v>
      </c>
      <c r="I8" s="49"/>
      <c r="J8" s="50"/>
    </row>
    <row r="9" spans="1:10" ht="39.9" customHeight="1" thickBot="1" x14ac:dyDescent="0.35">
      <c r="A9" s="11"/>
      <c r="B9" s="92" t="s">
        <v>196</v>
      </c>
      <c r="C9" s="93"/>
      <c r="D9" s="93"/>
      <c r="E9" s="10">
        <v>5</v>
      </c>
      <c r="F9" s="41">
        <v>3.5</v>
      </c>
      <c r="G9" s="42">
        <f>IFERROR(F9/E9,"")</f>
        <v>0.7</v>
      </c>
      <c r="H9" s="28" t="str">
        <f>_xlfn.IFS(F9="أدخل العلامة","",F9="لا ينطبق","تم الإلغاء",G9&gt;=90%,"ممتاز",G9&gt;=80%,"جيد جداً",G9&gt;=70%,"جيد",G9&gt;=60%,"مقبول",G9&lt;60%,"راسب")</f>
        <v>جيد</v>
      </c>
      <c r="I9" s="49"/>
      <c r="J9" s="50"/>
    </row>
    <row r="10" spans="1:10" ht="39.9" customHeight="1" thickBot="1" x14ac:dyDescent="0.35">
      <c r="A10" s="11"/>
      <c r="B10" s="92" t="s">
        <v>197</v>
      </c>
      <c r="C10" s="93"/>
      <c r="D10" s="93"/>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49"/>
      <c r="J10" s="50"/>
    </row>
    <row r="11" spans="1:10" ht="39.9" customHeight="1" x14ac:dyDescent="0.3">
      <c r="A11" s="11"/>
      <c r="B11" s="94" t="s">
        <v>198</v>
      </c>
      <c r="C11" s="95"/>
      <c r="D11" s="95"/>
      <c r="E11" s="40"/>
      <c r="F11" s="34"/>
      <c r="G11" s="35"/>
      <c r="H11" s="36"/>
      <c r="I11" s="80"/>
      <c r="J11" s="81"/>
    </row>
    <row r="12" spans="1:10" ht="39.9" customHeight="1" x14ac:dyDescent="0.3">
      <c r="A12" s="11"/>
      <c r="B12" s="84" t="s">
        <v>176</v>
      </c>
      <c r="C12" s="85"/>
      <c r="D12" s="85"/>
      <c r="E12" s="9">
        <v>5</v>
      </c>
      <c r="F12" s="27">
        <v>3.5</v>
      </c>
      <c r="G12" s="32">
        <f t="shared" si="0"/>
        <v>0.7</v>
      </c>
      <c r="H12" s="33" t="str">
        <f t="shared" si="1"/>
        <v>جيد</v>
      </c>
      <c r="I12" s="53"/>
      <c r="J12" s="54"/>
    </row>
    <row r="13" spans="1:10" ht="54.9" customHeight="1" x14ac:dyDescent="0.3">
      <c r="A13" s="11"/>
      <c r="B13" s="84" t="s">
        <v>177</v>
      </c>
      <c r="C13" s="85"/>
      <c r="D13" s="85"/>
      <c r="E13" s="9">
        <v>5</v>
      </c>
      <c r="F13" s="27">
        <v>3.75</v>
      </c>
      <c r="G13" s="32">
        <f t="shared" si="0"/>
        <v>0.75</v>
      </c>
      <c r="H13" s="33" t="str">
        <f t="shared" si="1"/>
        <v>جيد</v>
      </c>
      <c r="I13" s="53"/>
      <c r="J13" s="54"/>
    </row>
    <row r="14" spans="1:10" ht="71.25" customHeight="1" x14ac:dyDescent="0.3">
      <c r="A14" s="11"/>
      <c r="B14" s="84" t="s">
        <v>178</v>
      </c>
      <c r="C14" s="85"/>
      <c r="D14" s="85"/>
      <c r="E14" s="9">
        <v>5</v>
      </c>
      <c r="F14" s="27">
        <v>3.5</v>
      </c>
      <c r="G14" s="32">
        <f t="shared" si="0"/>
        <v>0.7</v>
      </c>
      <c r="H14" s="33" t="str">
        <f t="shared" si="1"/>
        <v>جيد</v>
      </c>
      <c r="I14" s="53"/>
      <c r="J14" s="54"/>
    </row>
    <row r="15" spans="1:10" ht="39.9" customHeight="1" x14ac:dyDescent="0.3">
      <c r="A15" s="11"/>
      <c r="B15" s="84" t="s">
        <v>179</v>
      </c>
      <c r="C15" s="85"/>
      <c r="D15" s="85"/>
      <c r="E15" s="9">
        <v>5</v>
      </c>
      <c r="F15" s="27">
        <v>3.75</v>
      </c>
      <c r="G15" s="32">
        <f t="shared" si="0"/>
        <v>0.75</v>
      </c>
      <c r="H15" s="33" t="str">
        <f t="shared" si="1"/>
        <v>جيد</v>
      </c>
      <c r="I15" s="53"/>
      <c r="J15" s="54"/>
    </row>
    <row r="16" spans="1:10" ht="68.25" customHeight="1" x14ac:dyDescent="0.3">
      <c r="A16" s="11"/>
      <c r="B16" s="84" t="s">
        <v>180</v>
      </c>
      <c r="C16" s="85"/>
      <c r="D16" s="85"/>
      <c r="E16" s="9">
        <v>5</v>
      </c>
      <c r="F16" s="27">
        <v>3.5</v>
      </c>
      <c r="G16" s="32">
        <f t="shared" si="0"/>
        <v>0.7</v>
      </c>
      <c r="H16" s="33" t="str">
        <f t="shared" si="1"/>
        <v>جيد</v>
      </c>
      <c r="I16" s="53"/>
      <c r="J16" s="54"/>
    </row>
    <row r="17" spans="1:10" ht="65.099999999999994" customHeight="1" thickBot="1" x14ac:dyDescent="0.35">
      <c r="A17" s="11"/>
      <c r="B17" s="86" t="s">
        <v>181</v>
      </c>
      <c r="C17" s="87"/>
      <c r="D17" s="87"/>
      <c r="E17" s="37">
        <v>5</v>
      </c>
      <c r="F17" s="29">
        <v>3.75</v>
      </c>
      <c r="G17" s="38">
        <f t="shared" si="0"/>
        <v>0.75</v>
      </c>
      <c r="H17" s="39" t="str">
        <f t="shared" si="1"/>
        <v>جيد</v>
      </c>
      <c r="I17" s="82"/>
      <c r="J17" s="83"/>
    </row>
    <row r="18" spans="1:10" ht="39.9" customHeight="1" x14ac:dyDescent="0.3">
      <c r="A18" s="11"/>
      <c r="B18" s="88" t="s">
        <v>199</v>
      </c>
      <c r="C18" s="89"/>
      <c r="D18" s="89"/>
      <c r="E18" s="40"/>
      <c r="F18" s="34"/>
      <c r="G18" s="35"/>
      <c r="H18" s="36"/>
      <c r="I18" s="80"/>
      <c r="J18" s="81"/>
    </row>
    <row r="19" spans="1:10" ht="39.9" customHeight="1" x14ac:dyDescent="0.3">
      <c r="A19" s="11"/>
      <c r="B19" s="84" t="s">
        <v>182</v>
      </c>
      <c r="C19" s="85"/>
      <c r="D19" s="85"/>
      <c r="E19" s="9">
        <v>5</v>
      </c>
      <c r="F19" s="27">
        <v>3.75</v>
      </c>
      <c r="G19" s="32">
        <f t="shared" si="0"/>
        <v>0.75</v>
      </c>
      <c r="H19" s="33" t="str">
        <f t="shared" si="1"/>
        <v>جيد</v>
      </c>
      <c r="I19" s="53"/>
      <c r="J19" s="54"/>
    </row>
    <row r="20" spans="1:10" ht="39.9" customHeight="1" x14ac:dyDescent="0.3">
      <c r="A20" s="11"/>
      <c r="B20" s="84" t="s">
        <v>183</v>
      </c>
      <c r="C20" s="85"/>
      <c r="D20" s="85"/>
      <c r="E20" s="9">
        <v>5</v>
      </c>
      <c r="F20" s="27">
        <v>3.75</v>
      </c>
      <c r="G20" s="32">
        <f t="shared" si="0"/>
        <v>0.75</v>
      </c>
      <c r="H20" s="33" t="str">
        <f t="shared" si="1"/>
        <v>جيد</v>
      </c>
      <c r="I20" s="53"/>
      <c r="J20" s="54"/>
    </row>
    <row r="21" spans="1:10" ht="39.9" customHeight="1" x14ac:dyDescent="0.3">
      <c r="A21" s="11"/>
      <c r="B21" s="84" t="s">
        <v>184</v>
      </c>
      <c r="C21" s="85"/>
      <c r="D21" s="85"/>
      <c r="E21" s="9">
        <v>5</v>
      </c>
      <c r="F21" s="27">
        <v>3.5</v>
      </c>
      <c r="G21" s="32">
        <f t="shared" si="0"/>
        <v>0.7</v>
      </c>
      <c r="H21" s="33" t="str">
        <f t="shared" si="1"/>
        <v>جيد</v>
      </c>
      <c r="I21" s="53"/>
      <c r="J21" s="54"/>
    </row>
    <row r="22" spans="1:10" ht="39.9" customHeight="1" x14ac:dyDescent="0.3">
      <c r="A22" s="11"/>
      <c r="B22" s="84" t="s">
        <v>185</v>
      </c>
      <c r="C22" s="85"/>
      <c r="D22" s="85"/>
      <c r="E22" s="9">
        <v>5</v>
      </c>
      <c r="F22" s="27">
        <v>3.75</v>
      </c>
      <c r="G22" s="32">
        <f t="shared" si="0"/>
        <v>0.75</v>
      </c>
      <c r="H22" s="33" t="str">
        <f t="shared" si="1"/>
        <v>جيد</v>
      </c>
      <c r="I22" s="53"/>
      <c r="J22" s="54"/>
    </row>
    <row r="23" spans="1:10" ht="39.9" customHeight="1" x14ac:dyDescent="0.3">
      <c r="A23" s="11"/>
      <c r="B23" s="84" t="s">
        <v>186</v>
      </c>
      <c r="C23" s="85"/>
      <c r="D23" s="85"/>
      <c r="E23" s="9">
        <v>5</v>
      </c>
      <c r="F23" s="27">
        <v>3.75</v>
      </c>
      <c r="G23" s="32">
        <f t="shared" si="0"/>
        <v>0.75</v>
      </c>
      <c r="H23" s="33" t="str">
        <f t="shared" si="1"/>
        <v>جيد</v>
      </c>
      <c r="I23" s="53"/>
      <c r="J23" s="54"/>
    </row>
    <row r="24" spans="1:10" ht="39.9" customHeight="1" x14ac:dyDescent="0.3">
      <c r="A24" s="11"/>
      <c r="B24" s="84" t="s">
        <v>187</v>
      </c>
      <c r="C24" s="85"/>
      <c r="D24" s="85"/>
      <c r="E24" s="9">
        <v>5</v>
      </c>
      <c r="F24" s="27">
        <v>3.5</v>
      </c>
      <c r="G24" s="32">
        <f t="shared" si="0"/>
        <v>0.7</v>
      </c>
      <c r="H24" s="33" t="str">
        <f t="shared" si="1"/>
        <v>جيد</v>
      </c>
      <c r="I24" s="53"/>
      <c r="J24" s="54"/>
    </row>
    <row r="25" spans="1:10" ht="39.9" customHeight="1" x14ac:dyDescent="0.3">
      <c r="A25" s="11"/>
      <c r="B25" s="84" t="s">
        <v>188</v>
      </c>
      <c r="C25" s="85"/>
      <c r="D25" s="85"/>
      <c r="E25" s="9">
        <v>5</v>
      </c>
      <c r="F25" s="27">
        <v>3.75</v>
      </c>
      <c r="G25" s="32">
        <f t="shared" si="0"/>
        <v>0.75</v>
      </c>
      <c r="H25" s="33" t="str">
        <f t="shared" si="1"/>
        <v>جيد</v>
      </c>
      <c r="I25" s="53"/>
      <c r="J25" s="54"/>
    </row>
    <row r="26" spans="1:10" ht="39.9" customHeight="1" thickBot="1" x14ac:dyDescent="0.35">
      <c r="A26" s="11"/>
      <c r="B26" s="86" t="s">
        <v>189</v>
      </c>
      <c r="C26" s="87"/>
      <c r="D26" s="87"/>
      <c r="E26" s="37">
        <v>5</v>
      </c>
      <c r="F26" s="29">
        <v>3.75</v>
      </c>
      <c r="G26" s="38">
        <f t="shared" si="0"/>
        <v>0.75</v>
      </c>
      <c r="H26" s="39" t="str">
        <f t="shared" si="1"/>
        <v>جيد</v>
      </c>
      <c r="I26" s="82"/>
      <c r="J26" s="83"/>
    </row>
    <row r="27" spans="1:10" ht="39.9" customHeight="1" x14ac:dyDescent="0.3">
      <c r="A27" s="11"/>
      <c r="B27" s="94" t="s">
        <v>200</v>
      </c>
      <c r="C27" s="95"/>
      <c r="D27" s="95"/>
      <c r="E27" s="40"/>
      <c r="F27" s="34"/>
      <c r="G27" s="35"/>
      <c r="H27" s="36"/>
      <c r="I27" s="80"/>
      <c r="J27" s="81"/>
    </row>
    <row r="28" spans="1:10" ht="39.9" customHeight="1" x14ac:dyDescent="0.3">
      <c r="A28" s="11"/>
      <c r="B28" s="84" t="s">
        <v>190</v>
      </c>
      <c r="C28" s="85"/>
      <c r="D28" s="85"/>
      <c r="E28" s="9">
        <v>5</v>
      </c>
      <c r="F28" s="27">
        <v>3.75</v>
      </c>
      <c r="G28" s="32">
        <f t="shared" si="0"/>
        <v>0.75</v>
      </c>
      <c r="H28" s="33" t="str">
        <f t="shared" si="1"/>
        <v>جيد</v>
      </c>
      <c r="I28" s="53"/>
      <c r="J28" s="54"/>
    </row>
    <row r="29" spans="1:10" ht="39.9" customHeight="1" x14ac:dyDescent="0.3">
      <c r="A29" s="11"/>
      <c r="B29" s="84" t="s">
        <v>191</v>
      </c>
      <c r="C29" s="85"/>
      <c r="D29" s="85"/>
      <c r="E29" s="9">
        <v>5</v>
      </c>
      <c r="F29" s="27">
        <v>3.75</v>
      </c>
      <c r="G29" s="32">
        <f t="shared" si="0"/>
        <v>0.75</v>
      </c>
      <c r="H29" s="33" t="str">
        <f t="shared" si="1"/>
        <v>جيد</v>
      </c>
      <c r="I29" s="53"/>
      <c r="J29" s="54"/>
    </row>
    <row r="30" spans="1:10" ht="39.9" customHeight="1" x14ac:dyDescent="0.3">
      <c r="A30" s="11"/>
      <c r="B30" s="84" t="s">
        <v>192</v>
      </c>
      <c r="C30" s="85"/>
      <c r="D30" s="85"/>
      <c r="E30" s="9">
        <v>5</v>
      </c>
      <c r="F30" s="27">
        <v>3.5</v>
      </c>
      <c r="G30" s="32">
        <f t="shared" si="0"/>
        <v>0.7</v>
      </c>
      <c r="H30" s="33" t="str">
        <f t="shared" si="1"/>
        <v>جيد</v>
      </c>
      <c r="I30" s="53"/>
      <c r="J30" s="54"/>
    </row>
    <row r="31" spans="1:10" ht="39.9" customHeight="1" x14ac:dyDescent="0.3">
      <c r="A31" s="11"/>
      <c r="B31" s="84" t="s">
        <v>193</v>
      </c>
      <c r="C31" s="85"/>
      <c r="D31" s="85"/>
      <c r="E31" s="9">
        <v>5</v>
      </c>
      <c r="F31" s="27">
        <v>3.75</v>
      </c>
      <c r="G31" s="32">
        <f t="shared" si="0"/>
        <v>0.75</v>
      </c>
      <c r="H31" s="33" t="str">
        <f t="shared" si="1"/>
        <v>جيد</v>
      </c>
      <c r="I31" s="53"/>
      <c r="J31" s="54"/>
    </row>
    <row r="32" spans="1:10" ht="39.9" customHeight="1" thickBot="1" x14ac:dyDescent="0.35">
      <c r="A32" s="11"/>
      <c r="B32" s="86" t="s">
        <v>194</v>
      </c>
      <c r="C32" s="87"/>
      <c r="D32" s="87"/>
      <c r="E32" s="37">
        <v>5</v>
      </c>
      <c r="F32" s="29">
        <v>3.75</v>
      </c>
      <c r="G32" s="38">
        <f t="shared" si="0"/>
        <v>0.75</v>
      </c>
      <c r="H32" s="39" t="str">
        <f t="shared" si="1"/>
        <v>جيد</v>
      </c>
      <c r="I32" s="82"/>
      <c r="J32" s="83"/>
    </row>
    <row r="33" spans="1:10" ht="30" customHeight="1" thickBot="1" x14ac:dyDescent="0.35">
      <c r="A33" s="4"/>
      <c r="B33" s="76" t="s">
        <v>5</v>
      </c>
      <c r="C33" s="77"/>
      <c r="D33" s="77"/>
      <c r="E33" s="31">
        <f>SUM(E8:E32)</f>
        <v>110</v>
      </c>
      <c r="F33" s="31">
        <f>SUM(F8:F32)</f>
        <v>80.75</v>
      </c>
      <c r="G33" s="46"/>
      <c r="H33" s="47"/>
      <c r="I33" s="47"/>
      <c r="J33" s="48"/>
    </row>
    <row r="34" spans="1:10" ht="30" customHeight="1" thickBot="1" x14ac:dyDescent="0.35">
      <c r="A34" s="4"/>
      <c r="B34" s="78" t="s">
        <v>54</v>
      </c>
      <c r="C34" s="79"/>
      <c r="D34" s="79"/>
      <c r="E34" s="68">
        <f>F33/E33/100*100</f>
        <v>0.73409090909090913</v>
      </c>
      <c r="F34" s="68"/>
      <c r="G34" s="68"/>
      <c r="H34" s="68"/>
      <c r="I34" s="68"/>
      <c r="J34" s="69"/>
    </row>
    <row r="35" spans="1:10" ht="30" customHeight="1" thickBot="1" x14ac:dyDescent="0.35">
      <c r="A35" s="4"/>
      <c r="B35" s="78" t="s">
        <v>55</v>
      </c>
      <c r="C35" s="79"/>
      <c r="D35" s="79"/>
      <c r="E35" s="59" t="str">
        <f>_xlfn.IFS(E34&gt;=90%,"ممتاز",E34&gt;=80%,"جيد جداً",E34&gt;=70%,"جيد",E34&gt;=60%,"مقبول",E34&lt;60%,"راسب")</f>
        <v>جيد</v>
      </c>
      <c r="F35" s="59"/>
      <c r="G35" s="59"/>
      <c r="H35" s="59"/>
      <c r="I35" s="59"/>
      <c r="J35" s="60"/>
    </row>
    <row r="36" spans="1:10" ht="42" customHeight="1" x14ac:dyDescent="0.3">
      <c r="B36" s="55" t="s">
        <v>175</v>
      </c>
      <c r="C36" s="55"/>
      <c r="D36" s="55"/>
      <c r="E36" s="44" t="s">
        <v>52</v>
      </c>
      <c r="F36" s="44"/>
      <c r="G36" s="57" t="s">
        <v>142</v>
      </c>
      <c r="H36" s="57"/>
      <c r="I36" s="57"/>
      <c r="J36" s="57"/>
    </row>
    <row r="37" spans="1:10" ht="51" customHeight="1" x14ac:dyDescent="0.3">
      <c r="A37" s="5"/>
      <c r="B37" s="56"/>
      <c r="C37" s="56"/>
      <c r="D37" s="56"/>
      <c r="E37" s="45" t="s">
        <v>53</v>
      </c>
      <c r="F37" s="45"/>
      <c r="G37" s="58"/>
      <c r="H37" s="58"/>
      <c r="I37" s="58"/>
      <c r="J37" s="58"/>
    </row>
  </sheetData>
  <sheetProtection formatCells="0" formatColumns="0" formatRows="0" insertColumns="0" insertRows="0" insertHyperlinks="0" deleteColumns="0" deleteRows="0" selectLockedCells="1" sort="0" autoFilter="0" pivotTables="0"/>
  <mergeCells count="72">
    <mergeCell ref="B32:D32"/>
    <mergeCell ref="B17:D17"/>
    <mergeCell ref="B18:D18"/>
    <mergeCell ref="B19:D19"/>
    <mergeCell ref="B20:D20"/>
    <mergeCell ref="B21:D21"/>
    <mergeCell ref="B22:D22"/>
    <mergeCell ref="B28:D28"/>
    <mergeCell ref="B29:D29"/>
    <mergeCell ref="B30:D30"/>
    <mergeCell ref="B23:D23"/>
    <mergeCell ref="B24:D24"/>
    <mergeCell ref="B25:D25"/>
    <mergeCell ref="B26:D26"/>
    <mergeCell ref="B27:D27"/>
    <mergeCell ref="I32:J32"/>
    <mergeCell ref="I24:J24"/>
    <mergeCell ref="I25:J25"/>
    <mergeCell ref="I26:J26"/>
    <mergeCell ref="I27:J27"/>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7:D7"/>
    <mergeCell ref="I30:J30"/>
    <mergeCell ref="I31:J31"/>
    <mergeCell ref="E5:H5"/>
    <mergeCell ref="I5:J6"/>
    <mergeCell ref="B14:D14"/>
    <mergeCell ref="B15:D15"/>
    <mergeCell ref="B16:D16"/>
    <mergeCell ref="B31:D31"/>
    <mergeCell ref="B8:D8"/>
    <mergeCell ref="B9:D9"/>
    <mergeCell ref="B10:D10"/>
    <mergeCell ref="B11:D11"/>
    <mergeCell ref="B12:D12"/>
    <mergeCell ref="B1:J1"/>
    <mergeCell ref="F2:J2"/>
    <mergeCell ref="B5:D6"/>
    <mergeCell ref="C2:D2"/>
    <mergeCell ref="C3:D3"/>
    <mergeCell ref="F3:J3"/>
    <mergeCell ref="C4:D4"/>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E34:J34"/>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2025-10-27T22:16:39Z</dcterms:modified>
</cp:coreProperties>
</file>