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BB63DE1-C5EC-4501-8B26-8F4EF5B161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 s="1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 s="1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 s="1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 s="1"/>
  <c r="F60" i="2"/>
  <c r="E61" i="2" s="1"/>
  <c r="E62" i="2" s="1"/>
  <c r="E60" i="2"/>
</calcChain>
</file>

<file path=xl/sharedStrings.xml><?xml version="1.0" encoding="utf-8"?>
<sst xmlns="http://schemas.openxmlformats.org/spreadsheetml/2006/main" count="290" uniqueCount="233">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</sst>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134510</xdr:colOff>
      <xdr:row>63</xdr:row>
      <xdr:rowOff>314498</xdr:rowOff>
    </xdr:from>
    <xdr:to>
      <xdr:col>7</xdr:col>
      <xdr:colOff>163670</xdr:colOff>
      <xdr:row>63</xdr:row>
      <xdr:rowOff>362018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657B98E-B61F-03E1-CB4B-B472F90F341E}"/>
                </a:ext>
              </a:extLst>
            </xdr14:cNvPr>
            <xdr14:cNvContentPartPr/>
          </xdr14:nvContentPartPr>
          <xdr14:nvPr macro=""/>
          <xdr14:xfrm>
            <a:off x="10437546076" y="25100280"/>
            <a:ext cx="29160" cy="475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657B98E-B61F-03E1-CB4B-B472F90F34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539956" y="25094160"/>
              <a:ext cx="4140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79070</xdr:colOff>
      <xdr:row>63</xdr:row>
      <xdr:rowOff>3098</xdr:rowOff>
    </xdr:from>
    <xdr:to>
      <xdr:col>8</xdr:col>
      <xdr:colOff>562900</xdr:colOff>
      <xdr:row>64</xdr:row>
      <xdr:rowOff>7494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0D4D0D6-8B00-6CEF-495F-613D0CCF0A0E}"/>
                </a:ext>
              </a:extLst>
            </xdr14:cNvPr>
            <xdr14:cNvContentPartPr/>
          </xdr14:nvContentPartPr>
          <xdr14:nvPr macro=""/>
          <xdr14:xfrm>
            <a:off x="10436488756" y="24788880"/>
            <a:ext cx="1141920" cy="6555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0D4D0D6-8B00-6CEF-495F-613D0CCF0A0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482636" y="24782760"/>
              <a:ext cx="1154160" cy="667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07:36:58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80 132 26301,'0'0'0,"-36"-48"-176,14 16-1032,3 0-88,19 32 1296,-3-19-1761,3 19-871,0 0-1401,22 0-16,-22 0 4049,24 0-7770,-24 0 7770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07:37:07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823 1740 3056,'0'0'0,"0"0"0,0 0 1793,-4 3-601,-1 2-128,-10 0-32,15-5-1032,0 6 856,0-3-255,0-3-177,0 3 64,0-3-488,0 0 576,0 0 208,0 0 224,0 0 128,0 0-4640,5-1 8249,-5-1-3593,0 0-112,0-3-120,0 5-920,0-5 705,-2-12-57,-1 2-72,3-6-160,0 21-416,-2-29 464,2-5-88,0-7-24,5-8 16,-5 49-368,5-55 304,11-5-96,-11-6-8,21-8-24,-26 74-176,19-81 16,3-6 24,-2-6-56,4 1-48,-24 92 64,24-92 40,-3-2-40,3 3 40,-2 6 112,-22 85-152,18-80 0,6 5 65,-1 3-106,-1 6-119,-22 66 160,24-63-16,-1 8 16,-4 9-16,-2 7 8,-17 39 8,5-29-16,13 8 0,-18 6 88,5 10 24,-5 5-96,5-5 48,-5 3-32,0 2-96,0 0 8,0 0 72,0 0-168,-5 3-104,0 14 128,-10 7-120,15-24 264,-15 34-40,-14 14-72,-2 8 0,-12 9-24,43-65 136,-45 72-184,-4 10 16,-3 6-16,0 6-72,52-94 256,-54 101-368,0 1-168,-3 1-248,2-2-8,55-101 792,-52 99-849,4-7 121,-1-8 232,2-9 120,47-75 376,-50 68-232,-2-3 72,2 0 40,-4-4 32,54-61 88,-50 55-80,3-11 48,7-8 80,4-9-40,36-27-8,-30 22 192,6-5 96,3-12 120,9 9 32,12-14-440,-7 0 528,4 0-168,3 0-160,0 0 40,0 0-240,5-3 40,17-13-32,1-4 200,11-8-7,-34 28-201,42-37 144,10-6-40,4-8-120,11-7-80,-67 58 96,71-63-257,9-5-87,3-4-248,-2-1-216,-81 73 808,80-80-552,3-6 88,-1-1 192,1-1 184,-83 88 88,81-85-56,-6 2 64,-4 6 48,-5 5 112,-66 72-168,64-61 56,-2 8 88,-5 7 8,-8 8 96,-49 38-248,45-30 296,-4 6-8,-6 5-40,-5 12-104,-30 7-144,24-7 112,-5 4-80,-14 3-16,0 0-120,-5 0 104,4 5-144,-4 14 32,-2 1 40,-15 9 72,17-29 0,-16 35-56,-10 7-48,0 6-56,-9 5 72,35-53 88,-39 60-48,-1 3-8,-7 1 160,0 1 0,47-65-104,-46 66 168,4-1 64,2-2-56,4 2 16,36-65-192,-37 64 120,4-1 56,2 1-96,-2-5-40,33-59-40,-31 58 8,5-1-16,0-8 32,4-3-88,22-46 64,-13 38 0,8-8-104,0-6-40,5-5-40,0-19 184,0 14-264,0-11 8,0 2-72,2 0 16,-2-5 312,14 4-336,-12-4 88,20-4 64,-5-11-8,-17 15 192,23-19-136,8-6-144,-5-6-136,2-5-65,-28 36 481,31-37-624,-2-1 64,1 2-32,1 4-48,-31 32 640,28-28-672,-2 6-40,2 5 0,-6 10 103,-22 7 609,19-13-448,-4 13 144,-12 0 168,14 5 160,-17-5-24,0 20 208,5-1 16,-5 5 8,0 5-64,0-29-168,-5 34 40,0 2-64,-2-2-24,2 0-40,5-34 88,-3 29-208,-2-5-32,0-5-120,5-6-80,0-13 440,0 4-432,0 1 88,0-2 88,0 1 104,0-4 152,2 0-32,3 0 40,-5-2 64,3-3 160,-3 5-232,3-14 520,2-3 200,0 0 240,0-5 73,-5 22-1033,7-22 880,-4 1-32,-3 1-264,2 3-112,-2 17-472,5-14 344,-3 9-240,-2 0-72,0 3-64,0 2 32,0-1-40,0 1-88,0 0-64,-2 3-64,2-3 256,-5 5-400,3 10 48,-3-9 32,0 16-128,5-22 448,-5 13-464,0 3 8,3-11 8,-1 12 71,3-17 377,0 3-384,0 1-56,0-1-112,5 1 8,-5-4 544,15 3-472,-10-3 128,14 0 56,-14-2 72,-5 2 216,20-13-176,-1-1-128,-2-5-120,4-1-209,-21 20 633,17-22-856,-3 1 8,1 2 320,-11 2 240,-4 17 288,4-7 184,1-8 544,0 13 160,-5 1 233,0 1-1121,-3-2 992,-1 2-264,-10 5 16,0 10-8,14-15-736,-17 16 680,-4 6-152,-3 0-111,5 4-185,19-26-232,-23 27 104,6-5-40,10-1 8,-10-4 0,17-17-72,-2 5-32,-3 12-104,2-17-24,3 3 16,0-3 144,0 4-152,5-4 168,0 0 56,7-4 72,-12 4-144,5-13 224,14 8 40,-7-16 32,9 4 40,-21 17-336,17-17 392,-1-3-24,5 1-184,-4-3 56,-17 22-240,22-23 208,-2-2-120,0-1 104,-1-1-200,-19 27 8,23-31-64,1-1-96,1-2-72,-1-6-56,-24 40 288,24-44-440,-1-2-8,-1-2-32,1-1 48,-23 49 432,17-46-208,2 5 88,-3 2 72,-11 6 80,-5 33-32,17-27-40,-15 7 88,-2 5 72,5 12 104,-5 3-224,0 0 344,-2 0 8,-1 15-8,-4 3 32,7-18-376,-18 25 400,3 10-48,-2 7-64,-4 8-48,21-50-240,-14 54 40,-2 1-24,8-2 8,-6-6-96,14-47 72,-3 43-16,-4-5-16,7-9 0,0-4-96,0-25 128,3 21-128,13-3-104,-11-2-136,17-13-104,-22-3 472,18 5-520,1-1-208,8-6-201,-2-13 17,-25 15 912,32-19-856,0-3 248,2 0 296,-1-4 168,-33 26 144,32-27-88,0-4 0,3 0 0,-6-1 8,-29 32 80,25-31-64,1 4 40,-2 1 56,-5 6-32,-19 20 0,17-14 56,-3 9 40,-12 0 32,3 1 72,-5 4-200,6-1 240,-3 1 0,-3 0-8,0 3-40,0-3-192,-3 5 136,3 11-40,0-13-8,-4 14 32,4-17-120,-2 5 64,-3 0 48,-2 9 120,2-14 152,5 0-384,-2 0 576,0 0 113,-1-2-9,-2 1-72,5 1-608,-4-6 528,1 1 72,-2 2 112,1 0-32,4 3-680,-16-2 625,11 0-225,-14 2-192,7 0-144,12 0-64,-15 4 8,-1 13-32,-1-4-8,-2 3 24,19-16 8,-20 17 8,3-2-24,0 0-64,-1 1 64,18-16 16,-5 5-96,-7 10-56,9-11-32,3-1-257,0-3 441,3 0-584,2 0-96,13-5-120,4-14 56,-22 19 744,28-25-800,5-13 16,9-8 63,6-5 105,-48 51 616,52-57-512,5-4 80,7-4 144,4-2 8,-68 67 280,71-70-160,-2 4 112,0 6 40,-6 4 80,-63 56-72,64-48 176,-7 5 224,-3 6 272,-4 6 296,-50 31-968,40-24 1305,1 5 31,-13 4-72,-4 10-184,-24 5-1080,20-5 817,-15 1-169,10 4-232,-15 0-8,0 0-408,0 5 264,-5 11-96,-12-1 16,-1 4-152,18-19-32,-24 25 48,-7 8 32,-7 1 80,-7 4 304,45-38-464,-45 39 584,-9 0 88,-7 4-47,-1 1-81,62-44-544,-74 49 480,6 6-32,-7 3 0,-6 1-152,81-59-296,-76 59 240,2 1-176,4-2-80,2 0 16,68-58 0,-69 51-88,5-5-240,7-12-320,15-6-568,42-28 1216,-31 19-2209,7-14-1600,10-5 257,14-2-3466,0 2 7018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topLeftCell="A55" zoomScale="130" zoomScaleNormal="100" zoomScaleSheetLayoutView="130" workbookViewId="0">
      <selection activeCell="F59" sqref="F5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9" t="s">
        <v>232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B2" s="13" t="s">
        <v>8</v>
      </c>
      <c r="C2" s="85" t="s">
        <v>38</v>
      </c>
      <c r="D2" s="85"/>
      <c r="E2" s="13" t="s">
        <v>7</v>
      </c>
      <c r="F2" s="80">
        <v>45931</v>
      </c>
      <c r="G2" s="80"/>
      <c r="H2" s="80"/>
      <c r="I2" s="80"/>
      <c r="J2" s="80"/>
    </row>
    <row r="3" spans="1:10" ht="30" customHeight="1" x14ac:dyDescent="0.3">
      <c r="B3" s="13" t="s">
        <v>9</v>
      </c>
      <c r="C3" s="85" t="s">
        <v>177</v>
      </c>
      <c r="D3" s="85"/>
      <c r="E3" s="13" t="s">
        <v>6</v>
      </c>
      <c r="F3" s="85" t="s">
        <v>129</v>
      </c>
      <c r="G3" s="85"/>
      <c r="H3" s="85"/>
      <c r="I3" s="85"/>
      <c r="J3" s="8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" customHeight="1" thickBot="1" x14ac:dyDescent="0.3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" customHeight="1" thickBot="1" x14ac:dyDescent="0.35">
      <c r="A7" s="11"/>
      <c r="B7" s="88" t="s">
        <v>21</v>
      </c>
      <c r="C7" s="89"/>
      <c r="D7" s="89"/>
      <c r="E7" s="33" t="s">
        <v>18</v>
      </c>
      <c r="F7" s="33" t="s">
        <v>19</v>
      </c>
      <c r="G7" s="33" t="s">
        <v>22</v>
      </c>
      <c r="H7" s="33" t="s">
        <v>20</v>
      </c>
      <c r="I7" s="94" t="s">
        <v>25</v>
      </c>
      <c r="J7" s="95"/>
    </row>
    <row r="8" spans="1:10" ht="30" customHeight="1" x14ac:dyDescent="0.3">
      <c r="A8" s="11"/>
      <c r="B8" s="48" t="s">
        <v>180</v>
      </c>
      <c r="C8" s="49"/>
      <c r="D8" s="49"/>
      <c r="E8" s="30"/>
      <c r="F8" s="37"/>
      <c r="G8" s="38"/>
      <c r="H8" s="39"/>
      <c r="I8" s="65"/>
      <c r="J8" s="66"/>
    </row>
    <row r="9" spans="1:10" ht="30" customHeight="1" x14ac:dyDescent="0.3">
      <c r="A9" s="11"/>
      <c r="B9" s="44" t="s">
        <v>181</v>
      </c>
      <c r="C9" s="45"/>
      <c r="D9" s="45"/>
      <c r="E9" s="31">
        <v>10</v>
      </c>
      <c r="F9" s="27">
        <v>7.75</v>
      </c>
      <c r="G9" s="35">
        <f>IFERROR(F9/E9,"")</f>
        <v>0.77500000000000002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0" customHeight="1" x14ac:dyDescent="0.3">
      <c r="A10" s="11"/>
      <c r="B10" s="44" t="s">
        <v>182</v>
      </c>
      <c r="C10" s="45"/>
      <c r="D10" s="45"/>
      <c r="E10" s="9">
        <v>10</v>
      </c>
      <c r="F10" s="27">
        <v>8</v>
      </c>
      <c r="G10" s="35">
        <f t="shared" ref="G10:G59" si="0">IFERROR(F10/E10,"")</f>
        <v>0.8</v>
      </c>
      <c r="H10" s="36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6"/>
      <c r="J10" s="57"/>
    </row>
    <row r="11" spans="1:10" ht="39.9" customHeight="1" x14ac:dyDescent="0.3">
      <c r="A11" s="11"/>
      <c r="B11" s="44" t="s">
        <v>183</v>
      </c>
      <c r="C11" s="45"/>
      <c r="D11" s="45"/>
      <c r="E11" s="9">
        <v>8</v>
      </c>
      <c r="F11" s="27">
        <v>7</v>
      </c>
      <c r="G11" s="35">
        <f t="shared" si="0"/>
        <v>0.875</v>
      </c>
      <c r="H11" s="36" t="str">
        <f t="shared" si="1"/>
        <v>جيد جداً</v>
      </c>
      <c r="I11" s="56"/>
      <c r="J11" s="57"/>
    </row>
    <row r="12" spans="1:10" ht="30" customHeight="1" x14ac:dyDescent="0.3">
      <c r="A12" s="11"/>
      <c r="B12" s="44" t="s">
        <v>184</v>
      </c>
      <c r="C12" s="45"/>
      <c r="D12" s="45"/>
      <c r="E12" s="9">
        <v>8</v>
      </c>
      <c r="F12" s="27">
        <v>6.75</v>
      </c>
      <c r="G12" s="35">
        <f t="shared" si="0"/>
        <v>0.84375</v>
      </c>
      <c r="H12" s="36" t="str">
        <f t="shared" si="1"/>
        <v>جيد جداً</v>
      </c>
      <c r="I12" s="56"/>
      <c r="J12" s="57"/>
    </row>
    <row r="13" spans="1:10" ht="30" customHeight="1" x14ac:dyDescent="0.3">
      <c r="A13" s="11"/>
      <c r="B13" s="44" t="s">
        <v>185</v>
      </c>
      <c r="C13" s="45"/>
      <c r="D13" s="45"/>
      <c r="E13" s="9">
        <v>5</v>
      </c>
      <c r="F13" s="27">
        <v>4.25</v>
      </c>
      <c r="G13" s="35">
        <f t="shared" si="0"/>
        <v>0.85</v>
      </c>
      <c r="H13" s="36" t="str">
        <f t="shared" si="1"/>
        <v>جيد جداً</v>
      </c>
      <c r="I13" s="56"/>
      <c r="J13" s="57"/>
    </row>
    <row r="14" spans="1:10" ht="30" customHeight="1" x14ac:dyDescent="0.3">
      <c r="A14" s="11"/>
      <c r="B14" s="44" t="s">
        <v>186</v>
      </c>
      <c r="C14" s="45"/>
      <c r="D14" s="45"/>
      <c r="E14" s="9">
        <v>8</v>
      </c>
      <c r="F14" s="27">
        <v>6.25</v>
      </c>
      <c r="G14" s="35">
        <f t="shared" si="0"/>
        <v>0.78125</v>
      </c>
      <c r="H14" s="36" t="str">
        <f t="shared" si="1"/>
        <v>جيد</v>
      </c>
      <c r="I14" s="56"/>
      <c r="J14" s="57"/>
    </row>
    <row r="15" spans="1:10" ht="30" customHeight="1" x14ac:dyDescent="0.3">
      <c r="A15" s="11"/>
      <c r="B15" s="44" t="s">
        <v>187</v>
      </c>
      <c r="C15" s="45"/>
      <c r="D15" s="45"/>
      <c r="E15" s="9">
        <v>7</v>
      </c>
      <c r="F15" s="27">
        <v>5.75</v>
      </c>
      <c r="G15" s="35">
        <f t="shared" si="0"/>
        <v>0.8214285714285714</v>
      </c>
      <c r="H15" s="36" t="str">
        <f t="shared" si="1"/>
        <v>جيد جداً</v>
      </c>
      <c r="I15" s="56"/>
      <c r="J15" s="57"/>
    </row>
    <row r="16" spans="1:10" ht="30" customHeight="1" x14ac:dyDescent="0.3">
      <c r="A16" s="11"/>
      <c r="B16" s="44" t="s">
        <v>188</v>
      </c>
      <c r="C16" s="45"/>
      <c r="D16" s="45"/>
      <c r="E16" s="9">
        <v>8</v>
      </c>
      <c r="F16" s="27">
        <v>6.25</v>
      </c>
      <c r="G16" s="35">
        <f t="shared" si="0"/>
        <v>0.78125</v>
      </c>
      <c r="H16" s="36" t="str">
        <f t="shared" si="1"/>
        <v>جيد</v>
      </c>
      <c r="I16" s="56"/>
      <c r="J16" s="57"/>
    </row>
    <row r="17" spans="1:10" ht="39.9" customHeight="1" x14ac:dyDescent="0.3">
      <c r="A17" s="11"/>
      <c r="B17" s="44" t="s">
        <v>189</v>
      </c>
      <c r="C17" s="45"/>
      <c r="D17" s="45"/>
      <c r="E17" s="9">
        <v>5</v>
      </c>
      <c r="F17" s="27">
        <v>3.75</v>
      </c>
      <c r="G17" s="35">
        <f t="shared" si="0"/>
        <v>0.75</v>
      </c>
      <c r="H17" s="36" t="str">
        <f t="shared" si="1"/>
        <v>جيد</v>
      </c>
      <c r="I17" s="56"/>
      <c r="J17" s="57"/>
    </row>
    <row r="18" spans="1:10" ht="30" customHeight="1" x14ac:dyDescent="0.3">
      <c r="A18" s="11"/>
      <c r="B18" s="60" t="s">
        <v>190</v>
      </c>
      <c r="C18" s="61"/>
      <c r="D18" s="61"/>
      <c r="E18" s="9">
        <v>5</v>
      </c>
      <c r="F18" s="27">
        <v>3.75</v>
      </c>
      <c r="G18" s="35">
        <f t="shared" si="0"/>
        <v>0.75</v>
      </c>
      <c r="H18" s="36" t="str">
        <f t="shared" si="1"/>
        <v>جيد</v>
      </c>
      <c r="I18" s="56"/>
      <c r="J18" s="57"/>
    </row>
    <row r="19" spans="1:10" ht="30" customHeight="1" x14ac:dyDescent="0.3">
      <c r="A19" s="11"/>
      <c r="B19" s="60" t="s">
        <v>191</v>
      </c>
      <c r="C19" s="61"/>
      <c r="D19" s="61"/>
      <c r="E19" s="9">
        <v>5</v>
      </c>
      <c r="F19" s="27">
        <v>4.25</v>
      </c>
      <c r="G19" s="35">
        <f t="shared" si="0"/>
        <v>0.85</v>
      </c>
      <c r="H19" s="36" t="str">
        <f t="shared" si="1"/>
        <v>جيد جداً</v>
      </c>
      <c r="I19" s="56"/>
      <c r="J19" s="57"/>
    </row>
    <row r="20" spans="1:10" ht="39.9" customHeight="1" x14ac:dyDescent="0.3">
      <c r="A20" s="11"/>
      <c r="B20" s="60" t="s">
        <v>192</v>
      </c>
      <c r="C20" s="61"/>
      <c r="D20" s="61"/>
      <c r="E20" s="9">
        <v>10</v>
      </c>
      <c r="F20" s="27">
        <v>7.25</v>
      </c>
      <c r="G20" s="35">
        <f t="shared" si="0"/>
        <v>0.72499999999999998</v>
      </c>
      <c r="H20" s="36" t="str">
        <f t="shared" si="1"/>
        <v>جيد</v>
      </c>
      <c r="I20" s="56"/>
      <c r="J20" s="57"/>
    </row>
    <row r="21" spans="1:10" ht="30" customHeight="1" x14ac:dyDescent="0.3">
      <c r="A21" s="11"/>
      <c r="B21" s="60" t="s">
        <v>193</v>
      </c>
      <c r="C21" s="61"/>
      <c r="D21" s="61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6"/>
      <c r="J21" s="57"/>
    </row>
    <row r="22" spans="1:10" ht="30" customHeight="1" x14ac:dyDescent="0.3">
      <c r="A22" s="11"/>
      <c r="B22" s="60" t="s">
        <v>194</v>
      </c>
      <c r="C22" s="61"/>
      <c r="D22" s="61"/>
      <c r="E22" s="9">
        <v>5</v>
      </c>
      <c r="F22" s="27" t="s">
        <v>17</v>
      </c>
      <c r="G22" s="35" t="str">
        <f t="shared" si="0"/>
        <v/>
      </c>
      <c r="H22" s="36" t="str">
        <f t="shared" si="1"/>
        <v>تم الإلغاء</v>
      </c>
      <c r="I22" s="56"/>
      <c r="J22" s="57"/>
    </row>
    <row r="23" spans="1:10" ht="30" customHeight="1" thickBot="1" x14ac:dyDescent="0.35">
      <c r="A23" s="11"/>
      <c r="B23" s="62" t="s">
        <v>195</v>
      </c>
      <c r="C23" s="63"/>
      <c r="D23" s="63"/>
      <c r="E23" s="32">
        <v>5</v>
      </c>
      <c r="F23" s="29">
        <v>3.75</v>
      </c>
      <c r="G23" s="40">
        <f t="shared" si="0"/>
        <v>0.75</v>
      </c>
      <c r="H23" s="41" t="str">
        <f t="shared" si="1"/>
        <v>جيد</v>
      </c>
      <c r="I23" s="67"/>
      <c r="J23" s="68"/>
    </row>
    <row r="24" spans="1:10" ht="30" customHeight="1" x14ac:dyDescent="0.3">
      <c r="A24" s="11"/>
      <c r="B24" s="52" t="s">
        <v>196</v>
      </c>
      <c r="C24" s="53"/>
      <c r="D24" s="53"/>
      <c r="E24" s="30"/>
      <c r="F24" s="37"/>
      <c r="G24" s="38"/>
      <c r="H24" s="39"/>
      <c r="I24" s="65"/>
      <c r="J24" s="66"/>
    </row>
    <row r="25" spans="1:10" ht="30" customHeight="1" x14ac:dyDescent="0.3">
      <c r="A25" s="11"/>
      <c r="B25" s="44" t="s">
        <v>197</v>
      </c>
      <c r="C25" s="45"/>
      <c r="D25" s="45"/>
      <c r="E25" s="9">
        <v>6</v>
      </c>
      <c r="F25" s="27">
        <v>4.75</v>
      </c>
      <c r="G25" s="35">
        <f t="shared" si="0"/>
        <v>0.79166666666666663</v>
      </c>
      <c r="H25" s="36" t="str">
        <f t="shared" si="1"/>
        <v>جيد</v>
      </c>
      <c r="I25" s="56"/>
      <c r="J25" s="57"/>
    </row>
    <row r="26" spans="1:10" ht="30" customHeight="1" x14ac:dyDescent="0.3">
      <c r="A26" s="11"/>
      <c r="B26" s="44" t="s">
        <v>198</v>
      </c>
      <c r="C26" s="45"/>
      <c r="D26" s="45"/>
      <c r="E26" s="9">
        <v>5</v>
      </c>
      <c r="F26" s="27">
        <v>3.75</v>
      </c>
      <c r="G26" s="35">
        <f t="shared" si="0"/>
        <v>0.75</v>
      </c>
      <c r="H26" s="36" t="str">
        <f t="shared" si="1"/>
        <v>جيد</v>
      </c>
      <c r="I26" s="56"/>
      <c r="J26" s="57"/>
    </row>
    <row r="27" spans="1:10" ht="30" customHeight="1" x14ac:dyDescent="0.3">
      <c r="A27" s="11"/>
      <c r="B27" s="44" t="s">
        <v>199</v>
      </c>
      <c r="C27" s="45"/>
      <c r="D27" s="45"/>
      <c r="E27" s="9">
        <v>5</v>
      </c>
      <c r="F27" s="27">
        <v>3.75</v>
      </c>
      <c r="G27" s="35">
        <f t="shared" si="0"/>
        <v>0.75</v>
      </c>
      <c r="H27" s="36" t="str">
        <f t="shared" si="1"/>
        <v>جيد</v>
      </c>
      <c r="I27" s="56"/>
      <c r="J27" s="57"/>
    </row>
    <row r="28" spans="1:10" ht="30" customHeight="1" x14ac:dyDescent="0.3">
      <c r="A28" s="11"/>
      <c r="B28" s="44" t="s">
        <v>200</v>
      </c>
      <c r="C28" s="45"/>
      <c r="D28" s="45"/>
      <c r="E28" s="9">
        <v>5</v>
      </c>
      <c r="F28" s="27">
        <v>3.75</v>
      </c>
      <c r="G28" s="35">
        <f t="shared" si="0"/>
        <v>0.75</v>
      </c>
      <c r="H28" s="36" t="str">
        <f t="shared" si="1"/>
        <v>جيد</v>
      </c>
      <c r="I28" s="56"/>
      <c r="J28" s="57"/>
    </row>
    <row r="29" spans="1:10" ht="30" customHeight="1" x14ac:dyDescent="0.3">
      <c r="A29" s="11"/>
      <c r="B29" s="44" t="s">
        <v>201</v>
      </c>
      <c r="C29" s="45"/>
      <c r="D29" s="45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56"/>
      <c r="J29" s="57"/>
    </row>
    <row r="30" spans="1:10" ht="30" customHeight="1" x14ac:dyDescent="0.3">
      <c r="A30" s="11"/>
      <c r="B30" s="44" t="s">
        <v>202</v>
      </c>
      <c r="C30" s="45"/>
      <c r="D30" s="45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56"/>
      <c r="J30" s="57"/>
    </row>
    <row r="31" spans="1:10" ht="30" customHeight="1" thickBot="1" x14ac:dyDescent="0.35">
      <c r="A31" s="11"/>
      <c r="B31" s="46" t="s">
        <v>203</v>
      </c>
      <c r="C31" s="47"/>
      <c r="D31" s="47"/>
      <c r="E31" s="32">
        <v>5</v>
      </c>
      <c r="F31" s="29">
        <v>4</v>
      </c>
      <c r="G31" s="40">
        <f t="shared" si="0"/>
        <v>0.8</v>
      </c>
      <c r="H31" s="41" t="str">
        <f t="shared" si="1"/>
        <v>جيد جداً</v>
      </c>
      <c r="I31" s="67"/>
      <c r="J31" s="68"/>
    </row>
    <row r="32" spans="1:10" ht="30" customHeight="1" x14ac:dyDescent="0.3">
      <c r="A32" s="11"/>
      <c r="B32" s="52" t="s">
        <v>204</v>
      </c>
      <c r="C32" s="53"/>
      <c r="D32" s="53"/>
      <c r="E32" s="30"/>
      <c r="F32" s="37"/>
      <c r="G32" s="38"/>
      <c r="H32" s="39"/>
      <c r="I32" s="65"/>
      <c r="J32" s="66"/>
    </row>
    <row r="33" spans="1:10" ht="39.9" customHeight="1" x14ac:dyDescent="0.3">
      <c r="A33" s="11"/>
      <c r="B33" s="44" t="s">
        <v>205</v>
      </c>
      <c r="C33" s="45"/>
      <c r="D33" s="45"/>
      <c r="E33" s="31">
        <v>6</v>
      </c>
      <c r="F33" s="27">
        <v>4.25</v>
      </c>
      <c r="G33" s="35">
        <f t="shared" si="0"/>
        <v>0.70833333333333337</v>
      </c>
      <c r="H33" s="36" t="str">
        <f t="shared" si="1"/>
        <v>جيد</v>
      </c>
      <c r="I33" s="56"/>
      <c r="J33" s="57"/>
    </row>
    <row r="34" spans="1:10" ht="30" customHeight="1" x14ac:dyDescent="0.3">
      <c r="A34" s="11"/>
      <c r="B34" s="44" t="s">
        <v>206</v>
      </c>
      <c r="C34" s="45"/>
      <c r="D34" s="45"/>
      <c r="E34" s="9">
        <v>5</v>
      </c>
      <c r="F34" s="27">
        <v>4.25</v>
      </c>
      <c r="G34" s="35">
        <f t="shared" si="0"/>
        <v>0.85</v>
      </c>
      <c r="H34" s="36" t="str">
        <f t="shared" si="1"/>
        <v>جيد جداً</v>
      </c>
      <c r="I34" s="56"/>
      <c r="J34" s="57"/>
    </row>
    <row r="35" spans="1:10" ht="30" customHeight="1" x14ac:dyDescent="0.3">
      <c r="A35" s="11"/>
      <c r="B35" s="44" t="s">
        <v>207</v>
      </c>
      <c r="C35" s="45"/>
      <c r="D35" s="45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56"/>
      <c r="J35" s="57"/>
    </row>
    <row r="36" spans="1:10" ht="30" customHeight="1" thickBot="1" x14ac:dyDescent="0.35">
      <c r="A36" s="11"/>
      <c r="B36" s="46" t="s">
        <v>208</v>
      </c>
      <c r="C36" s="47"/>
      <c r="D36" s="47"/>
      <c r="E36" s="32">
        <v>5</v>
      </c>
      <c r="F36" s="29">
        <v>4</v>
      </c>
      <c r="G36" s="40">
        <f t="shared" si="0"/>
        <v>0.8</v>
      </c>
      <c r="H36" s="41" t="str">
        <f t="shared" si="1"/>
        <v>جيد جداً</v>
      </c>
      <c r="I36" s="67"/>
      <c r="J36" s="68"/>
    </row>
    <row r="37" spans="1:10" ht="30" customHeight="1" x14ac:dyDescent="0.3">
      <c r="A37" s="11"/>
      <c r="B37" s="48" t="s">
        <v>209</v>
      </c>
      <c r="C37" s="49"/>
      <c r="D37" s="49"/>
      <c r="E37" s="30"/>
      <c r="F37" s="37"/>
      <c r="G37" s="38"/>
      <c r="H37" s="39"/>
      <c r="I37" s="65"/>
      <c r="J37" s="66"/>
    </row>
    <row r="38" spans="1:10" ht="30" customHeight="1" x14ac:dyDescent="0.3">
      <c r="A38" s="11"/>
      <c r="B38" s="44" t="s">
        <v>210</v>
      </c>
      <c r="C38" s="45"/>
      <c r="D38" s="45"/>
      <c r="E38" s="9">
        <v>6</v>
      </c>
      <c r="F38" s="27">
        <v>4.5</v>
      </c>
      <c r="G38" s="35">
        <f t="shared" si="0"/>
        <v>0.75</v>
      </c>
      <c r="H38" s="36" t="str">
        <f t="shared" si="1"/>
        <v>جيد</v>
      </c>
      <c r="I38" s="56"/>
      <c r="J38" s="57"/>
    </row>
    <row r="39" spans="1:10" ht="30" customHeight="1" x14ac:dyDescent="0.3">
      <c r="A39" s="11"/>
      <c r="B39" s="44" t="s">
        <v>211</v>
      </c>
      <c r="C39" s="45"/>
      <c r="D39" s="45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56"/>
      <c r="J39" s="57"/>
    </row>
    <row r="40" spans="1:10" ht="30" customHeight="1" x14ac:dyDescent="0.3">
      <c r="A40" s="11"/>
      <c r="B40" s="44" t="s">
        <v>212</v>
      </c>
      <c r="C40" s="45"/>
      <c r="D40" s="45"/>
      <c r="E40" s="9">
        <v>5</v>
      </c>
      <c r="F40" s="27">
        <v>4.25</v>
      </c>
      <c r="G40" s="35">
        <f t="shared" si="0"/>
        <v>0.85</v>
      </c>
      <c r="H40" s="36" t="str">
        <f t="shared" si="1"/>
        <v>جيد جداً</v>
      </c>
      <c r="I40" s="56"/>
      <c r="J40" s="57"/>
    </row>
    <row r="41" spans="1:10" ht="30" customHeight="1" x14ac:dyDescent="0.3">
      <c r="A41" s="11"/>
      <c r="B41" s="44" t="s">
        <v>213</v>
      </c>
      <c r="C41" s="45"/>
      <c r="D41" s="45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56"/>
      <c r="J41" s="57"/>
    </row>
    <row r="42" spans="1:10" ht="30" customHeight="1" x14ac:dyDescent="0.3">
      <c r="A42" s="11"/>
      <c r="B42" s="44" t="s">
        <v>214</v>
      </c>
      <c r="C42" s="45"/>
      <c r="D42" s="45"/>
      <c r="E42" s="9">
        <v>5</v>
      </c>
      <c r="F42" s="27">
        <v>4</v>
      </c>
      <c r="G42" s="35">
        <f t="shared" si="0"/>
        <v>0.8</v>
      </c>
      <c r="H42" s="36" t="str">
        <f t="shared" si="1"/>
        <v>جيد جداً</v>
      </c>
      <c r="I42" s="56"/>
      <c r="J42" s="57"/>
    </row>
    <row r="43" spans="1:10" ht="30" customHeight="1" x14ac:dyDescent="0.3">
      <c r="A43" s="11"/>
      <c r="B43" s="44" t="s">
        <v>215</v>
      </c>
      <c r="C43" s="45"/>
      <c r="D43" s="45"/>
      <c r="E43" s="9">
        <v>5</v>
      </c>
      <c r="F43" s="27">
        <v>3.5</v>
      </c>
      <c r="G43" s="35">
        <f t="shared" si="0"/>
        <v>0.7</v>
      </c>
      <c r="H43" s="36" t="str">
        <f t="shared" si="1"/>
        <v>جيد</v>
      </c>
      <c r="I43" s="56"/>
      <c r="J43" s="57"/>
    </row>
    <row r="44" spans="1:10" ht="30" customHeight="1" thickBot="1" x14ac:dyDescent="0.35">
      <c r="A44" s="11"/>
      <c r="B44" s="46" t="s">
        <v>216</v>
      </c>
      <c r="C44" s="47"/>
      <c r="D44" s="47"/>
      <c r="E44" s="32">
        <v>5</v>
      </c>
      <c r="F44" s="29">
        <v>4.25</v>
      </c>
      <c r="G44" s="40">
        <f t="shared" si="0"/>
        <v>0.85</v>
      </c>
      <c r="H44" s="41" t="str">
        <f t="shared" si="1"/>
        <v>جيد جداً</v>
      </c>
      <c r="I44" s="67"/>
      <c r="J44" s="68"/>
    </row>
    <row r="45" spans="1:10" ht="30" customHeight="1" x14ac:dyDescent="0.3">
      <c r="A45" s="11"/>
      <c r="B45" s="52" t="s">
        <v>217</v>
      </c>
      <c r="C45" s="53"/>
      <c r="D45" s="53"/>
      <c r="E45" s="30"/>
      <c r="F45" s="37"/>
      <c r="G45" s="38"/>
      <c r="H45" s="39"/>
      <c r="I45" s="65"/>
      <c r="J45" s="66"/>
    </row>
    <row r="46" spans="1:10" ht="30" customHeight="1" x14ac:dyDescent="0.3">
      <c r="A46" s="11"/>
      <c r="B46" s="44" t="s">
        <v>218</v>
      </c>
      <c r="C46" s="45"/>
      <c r="D46" s="45"/>
      <c r="E46" s="9">
        <v>5</v>
      </c>
      <c r="F46" s="27">
        <v>4</v>
      </c>
      <c r="G46" s="35">
        <f t="shared" si="0"/>
        <v>0.8</v>
      </c>
      <c r="H46" s="36" t="str">
        <f t="shared" si="1"/>
        <v>جيد جداً</v>
      </c>
      <c r="I46" s="56"/>
      <c r="J46" s="57"/>
    </row>
    <row r="47" spans="1:10" ht="30" customHeight="1" x14ac:dyDescent="0.3">
      <c r="A47" s="11"/>
      <c r="B47" s="44" t="s">
        <v>219</v>
      </c>
      <c r="C47" s="45"/>
      <c r="D47" s="45"/>
      <c r="E47" s="9">
        <v>8</v>
      </c>
      <c r="F47" s="27">
        <v>7</v>
      </c>
      <c r="G47" s="35">
        <f t="shared" si="0"/>
        <v>0.875</v>
      </c>
      <c r="H47" s="36" t="str">
        <f t="shared" si="1"/>
        <v>جيد جداً</v>
      </c>
      <c r="I47" s="56"/>
      <c r="J47" s="57"/>
    </row>
    <row r="48" spans="1:10" ht="30" customHeight="1" x14ac:dyDescent="0.3">
      <c r="A48" s="11"/>
      <c r="B48" s="44" t="s">
        <v>220</v>
      </c>
      <c r="C48" s="45"/>
      <c r="D48" s="45"/>
      <c r="E48" s="9">
        <v>5</v>
      </c>
      <c r="F48" s="27">
        <v>4</v>
      </c>
      <c r="G48" s="35">
        <f t="shared" si="0"/>
        <v>0.8</v>
      </c>
      <c r="H48" s="36" t="str">
        <f t="shared" si="1"/>
        <v>جيد جداً</v>
      </c>
      <c r="I48" s="56"/>
      <c r="J48" s="57"/>
    </row>
    <row r="49" spans="1:10" ht="30" customHeight="1" x14ac:dyDescent="0.3">
      <c r="A49" s="11"/>
      <c r="B49" s="44" t="s">
        <v>221</v>
      </c>
      <c r="C49" s="45"/>
      <c r="D49" s="45"/>
      <c r="E49" s="9">
        <v>5</v>
      </c>
      <c r="F49" s="27">
        <v>4.25</v>
      </c>
      <c r="G49" s="35">
        <f t="shared" si="0"/>
        <v>0.85</v>
      </c>
      <c r="H49" s="36" t="str">
        <f t="shared" si="1"/>
        <v>جيد جداً</v>
      </c>
      <c r="I49" s="56"/>
      <c r="J49" s="57"/>
    </row>
    <row r="50" spans="1:10" ht="30" customHeight="1" x14ac:dyDescent="0.3">
      <c r="A50" s="11"/>
      <c r="B50" s="44" t="s">
        <v>222</v>
      </c>
      <c r="C50" s="45"/>
      <c r="D50" s="45"/>
      <c r="E50" s="9">
        <v>5</v>
      </c>
      <c r="F50" s="27">
        <v>3.75</v>
      </c>
      <c r="G50" s="35">
        <f t="shared" si="0"/>
        <v>0.75</v>
      </c>
      <c r="H50" s="36" t="str">
        <f t="shared" si="1"/>
        <v>جيد</v>
      </c>
      <c r="I50" s="56"/>
      <c r="J50" s="57"/>
    </row>
    <row r="51" spans="1:10" ht="30" customHeight="1" thickBot="1" x14ac:dyDescent="0.35">
      <c r="A51" s="11"/>
      <c r="B51" s="46" t="s">
        <v>223</v>
      </c>
      <c r="C51" s="47"/>
      <c r="D51" s="47"/>
      <c r="E51" s="32">
        <v>5</v>
      </c>
      <c r="F51" s="29">
        <v>4.25</v>
      </c>
      <c r="G51" s="40">
        <f t="shared" si="0"/>
        <v>0.85</v>
      </c>
      <c r="H51" s="41" t="str">
        <f t="shared" si="1"/>
        <v>جيد جداً</v>
      </c>
      <c r="I51" s="67"/>
      <c r="J51" s="68"/>
    </row>
    <row r="52" spans="1:10" ht="30" customHeight="1" x14ac:dyDescent="0.3">
      <c r="A52" s="11"/>
      <c r="B52" s="48" t="s">
        <v>224</v>
      </c>
      <c r="C52" s="49"/>
      <c r="D52" s="49"/>
      <c r="E52" s="30"/>
      <c r="F52" s="37"/>
      <c r="G52" s="38"/>
      <c r="H52" s="39"/>
      <c r="I52" s="65"/>
      <c r="J52" s="66"/>
    </row>
    <row r="53" spans="1:10" ht="30" customHeight="1" x14ac:dyDescent="0.3">
      <c r="A53" s="11"/>
      <c r="B53" s="44" t="s">
        <v>225</v>
      </c>
      <c r="C53" s="45"/>
      <c r="D53" s="45"/>
      <c r="E53" s="9">
        <v>10</v>
      </c>
      <c r="F53" s="27">
        <v>8.75</v>
      </c>
      <c r="G53" s="35">
        <f t="shared" si="0"/>
        <v>0.875</v>
      </c>
      <c r="H53" s="36" t="str">
        <f t="shared" si="1"/>
        <v>جيد جداً</v>
      </c>
      <c r="I53" s="56"/>
      <c r="J53" s="57"/>
    </row>
    <row r="54" spans="1:10" ht="30" customHeight="1" x14ac:dyDescent="0.3">
      <c r="A54" s="11"/>
      <c r="B54" s="44" t="s">
        <v>226</v>
      </c>
      <c r="C54" s="45"/>
      <c r="D54" s="45"/>
      <c r="E54" s="9">
        <v>10</v>
      </c>
      <c r="F54" s="27">
        <v>8.75</v>
      </c>
      <c r="G54" s="35">
        <f t="shared" si="0"/>
        <v>0.875</v>
      </c>
      <c r="H54" s="36" t="str">
        <f t="shared" si="1"/>
        <v>جيد جداً</v>
      </c>
      <c r="I54" s="56"/>
      <c r="J54" s="57"/>
    </row>
    <row r="55" spans="1:10" ht="30" customHeight="1" thickBot="1" x14ac:dyDescent="0.35">
      <c r="A55" s="11"/>
      <c r="B55" s="46" t="s">
        <v>227</v>
      </c>
      <c r="C55" s="47"/>
      <c r="D55" s="47"/>
      <c r="E55" s="32">
        <v>5</v>
      </c>
      <c r="F55" s="29">
        <v>4</v>
      </c>
      <c r="G55" s="40">
        <f t="shared" si="0"/>
        <v>0.8</v>
      </c>
      <c r="H55" s="41" t="str">
        <f t="shared" si="1"/>
        <v>جيد جداً</v>
      </c>
      <c r="I55" s="67"/>
      <c r="J55" s="68"/>
    </row>
    <row r="56" spans="1:10" ht="30" customHeight="1" x14ac:dyDescent="0.3">
      <c r="A56" s="11"/>
      <c r="B56" s="48" t="s">
        <v>228</v>
      </c>
      <c r="C56" s="49"/>
      <c r="D56" s="49"/>
      <c r="E56" s="30"/>
      <c r="F56" s="37"/>
      <c r="G56" s="38"/>
      <c r="H56" s="39"/>
      <c r="I56" s="65"/>
      <c r="J56" s="66"/>
    </row>
    <row r="57" spans="1:10" ht="30" customHeight="1" x14ac:dyDescent="0.3">
      <c r="A57" s="11"/>
      <c r="B57" s="44" t="s">
        <v>229</v>
      </c>
      <c r="C57" s="45"/>
      <c r="D57" s="45"/>
      <c r="E57" s="9">
        <v>5</v>
      </c>
      <c r="F57" s="27">
        <v>3.75</v>
      </c>
      <c r="G57" s="35">
        <f t="shared" si="0"/>
        <v>0.75</v>
      </c>
      <c r="H57" s="36" t="str">
        <f t="shared" si="1"/>
        <v>جيد</v>
      </c>
      <c r="I57" s="56"/>
      <c r="J57" s="57"/>
    </row>
    <row r="58" spans="1:10" ht="30" customHeight="1" thickBot="1" x14ac:dyDescent="0.35">
      <c r="A58" s="11"/>
      <c r="B58" s="46" t="s">
        <v>230</v>
      </c>
      <c r="C58" s="47"/>
      <c r="D58" s="47"/>
      <c r="E58" s="32">
        <v>5</v>
      </c>
      <c r="F58" s="29">
        <v>3.5</v>
      </c>
      <c r="G58" s="40">
        <f t="shared" si="0"/>
        <v>0.7</v>
      </c>
      <c r="H58" s="41" t="str">
        <f t="shared" si="1"/>
        <v>جيد</v>
      </c>
      <c r="I58" s="67"/>
      <c r="J58" s="68"/>
    </row>
    <row r="59" spans="1:10" ht="39.9" customHeight="1" thickBot="1" x14ac:dyDescent="0.35">
      <c r="A59" s="11"/>
      <c r="B59" s="50" t="s">
        <v>231</v>
      </c>
      <c r="C59" s="51"/>
      <c r="D59" s="51"/>
      <c r="E59" s="10">
        <v>5</v>
      </c>
      <c r="F59" s="42">
        <v>4</v>
      </c>
      <c r="G59" s="43">
        <f t="shared" si="0"/>
        <v>0.8</v>
      </c>
      <c r="H59" s="28" t="str">
        <f t="shared" si="1"/>
        <v>جيد جداً</v>
      </c>
      <c r="I59" s="58"/>
      <c r="J59" s="59"/>
    </row>
    <row r="60" spans="1:10" ht="30" customHeight="1" thickBot="1" x14ac:dyDescent="0.35">
      <c r="A60" s="4"/>
      <c r="B60" s="96" t="s">
        <v>5</v>
      </c>
      <c r="C60" s="97"/>
      <c r="D60" s="97"/>
      <c r="E60" s="34">
        <f>SUM(E8:E59)</f>
        <v>270</v>
      </c>
      <c r="F60" s="34">
        <f>SUM(F8:F59)</f>
        <v>210.25</v>
      </c>
      <c r="G60" s="76"/>
      <c r="H60" s="77"/>
      <c r="I60" s="77"/>
      <c r="J60" s="78"/>
    </row>
    <row r="61" spans="1:10" ht="30" customHeight="1" thickBot="1" x14ac:dyDescent="0.35">
      <c r="A61" s="4"/>
      <c r="B61" s="54" t="s">
        <v>54</v>
      </c>
      <c r="C61" s="55"/>
      <c r="D61" s="55"/>
      <c r="E61" s="86">
        <f>F60/E60/100*100</f>
        <v>0.77870370370370368</v>
      </c>
      <c r="F61" s="86"/>
      <c r="G61" s="86"/>
      <c r="H61" s="86"/>
      <c r="I61" s="86"/>
      <c r="J61" s="87"/>
    </row>
    <row r="62" spans="1:10" ht="30" customHeight="1" thickBot="1" x14ac:dyDescent="0.35">
      <c r="A62" s="4"/>
      <c r="B62" s="54" t="s">
        <v>55</v>
      </c>
      <c r="C62" s="55"/>
      <c r="D62" s="55"/>
      <c r="E62" s="73" t="str">
        <f>_xlfn.IFS(E61&gt;=90%,"ممتاز",E61&gt;=80%,"جيد جداً",E61&gt;=70%,"جيد",E61&gt;=60%,"مقبول",E61&lt;60%,"راسب")</f>
        <v>جيد</v>
      </c>
      <c r="F62" s="73"/>
      <c r="G62" s="73"/>
      <c r="H62" s="73"/>
      <c r="I62" s="73"/>
      <c r="J62" s="74"/>
    </row>
    <row r="63" spans="1:10" ht="42" customHeight="1" x14ac:dyDescent="0.3">
      <c r="B63" s="69" t="s">
        <v>174</v>
      </c>
      <c r="C63" s="69"/>
      <c r="D63" s="69"/>
      <c r="E63" s="64" t="s">
        <v>52</v>
      </c>
      <c r="F63" s="64"/>
      <c r="G63" s="71" t="s">
        <v>129</v>
      </c>
      <c r="H63" s="71"/>
      <c r="I63" s="71"/>
      <c r="J63" s="71"/>
    </row>
    <row r="64" spans="1:10" ht="51" customHeight="1" x14ac:dyDescent="0.3">
      <c r="A64" s="5"/>
      <c r="B64" s="70"/>
      <c r="C64" s="70"/>
      <c r="D64" s="70"/>
      <c r="E64" s="75" t="s">
        <v>53</v>
      </c>
      <c r="F64" s="75"/>
      <c r="G64" s="72"/>
      <c r="H64" s="72"/>
      <c r="I64" s="72"/>
      <c r="J64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2025-10-08T20:48:03Z</dcterms:modified>
</cp:coreProperties>
</file>