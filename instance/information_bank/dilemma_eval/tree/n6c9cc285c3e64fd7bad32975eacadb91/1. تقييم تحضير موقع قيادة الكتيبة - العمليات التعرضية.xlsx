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9FE68EF-52BE-42A6-9872-73529627AA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G15" i="2"/>
  <c r="H15" i="2"/>
  <c r="G16" i="2"/>
  <c r="H16" i="2"/>
  <c r="G17" i="2"/>
  <c r="H17" i="2"/>
  <c r="G18" i="2"/>
  <c r="H18" i="2"/>
  <c r="G19" i="2"/>
  <c r="H19" i="2"/>
  <c r="G8" i="2"/>
  <c r="H8" i="2"/>
  <c r="F20" i="2"/>
  <c r="E20" i="2"/>
  <c r="E21" i="2"/>
  <c r="E22" i="2" s="1"/>
</calcChain>
</file>

<file path=xl/sharedStrings.xml><?xml version="1.0" encoding="utf-8"?>
<sst xmlns="http://schemas.openxmlformats.org/spreadsheetml/2006/main" count="266" uniqueCount="201">
  <si>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</si>
  <si>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</si>
  <si>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</si>
  <si>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</si>
  <si>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</si>
  <si>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</si>
  <si>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</si>
  <si>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</si>
  <si>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</si>
  <si>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</si>
  <si>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</si>
  <si>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</si>
  <si>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</si>
  <si>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</si>
  <si>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</si>
  <si>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</si>
  <si>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</si>
  <si>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</si>
  <si>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</si>
  <si>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</si>
  <si>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</si>
  <si>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</si>
  <si>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</si>
  <si>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</si>
  <si>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</si>
  <si>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</si>
  <si>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</si>
  <si>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</si>
  <si>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</si>
  <si>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</si>
  <si>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</si>
  <si>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</si>
  <si>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</si>
  <si>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</si>
  <si>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</si>
  <si>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</si>
  <si>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</si>
  <si>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</si>
  <si>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</si>
  <si>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</si>
  <si>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</si>
  <si>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</si>
  <si>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</si>
  <si>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</si>
  <si>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</si>
  <si>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</si>
  <si>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</si>
  <si>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</si>
  <si>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</si>
  <si>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</si>
  <si>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</si>
  <si>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</si>
  <si>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</si>
  <si>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</si>
  <si>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</si>
  <si>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</si>
  <si>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</si>
  <si>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</si>
  <si>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</si>
  <si>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</si>
  <si>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</si>
  <si>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</si>
  <si>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</si>
  <si>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</si>
  <si>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</si>
  <si>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</si>
  <si>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</si>
  <si>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</si>
  <si>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</si>
  <si>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</si>
  <si>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</si>
  <si>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</si>
  <si>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</si>
  <si>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</si>
  <si>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</si>
  <si>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</si>
  <si>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</si>
  <si>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</si>
  <si>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</si>
  <si>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</si>
  <si>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</si>
  <si>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</si>
  <si>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</si>
  <si>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</si>
  <si>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</si>
  <si>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</si>
  <si>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</si>
  <si>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</si>
  <si>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</si>
  <si>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</si>
  <si>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</si>
  <si>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</si>
  <si>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</si>
  <si>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</si>
  <si>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</si>
  <si>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</si>
  <si>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</si>
  <si>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</si>
  <si>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</si>
  <si>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</si>
  <si>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</si>
  <si>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</si>
  <si>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</si>
  <si>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</si>
  <si>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</si>
  <si>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</si>
  <si>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</si>
  <si>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</si>
  <si>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</si>
  <si>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</si>
  <si>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</si>
  <si>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</si>
  <si>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</si>
  <si>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</si>
  <si>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</si>
  <si>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</si>
  <si>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</si>
  <si>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</si>
  <si>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</si>
  <si>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</si>
  <si>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</si>
  <si>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</si>
  <si>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</si>
  <si>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</si>
  <si>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</si>
  <si>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</si>
  <si>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</si>
  <si>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</si>
  <si>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</si>
  <si>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</si>
  <si>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</si>
  <si>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</si>
  <si>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</si>
  <si>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</si>
  <si>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</si>
  <si>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</si>
  <si>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</si>
  <si>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</si>
  <si>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</si>
  <si>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</si>
  <si>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</si>
  <si>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</si>
  <si>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</si>
  <si>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</si>
  <si>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</si>
  <si>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</si>
  <si>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</si>
  <si>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</si>
  <si>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</si>
  <si>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</si>
  <si>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</si>
  <si>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</si>
  <si>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</si>
  <si>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</si>
  <si>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</si>
  <si>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</si>
  <si>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</si>
  <si>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</si>
  <si>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</si>
  <si>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</si>
  <si>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</si>
  <si>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</si>
  <si>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</si>
  <si>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</si>
  <si>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</si>
  <si>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</si>
  <si>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</si>
  <si>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</si>
  <si>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</si>
  <si>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</si>
  <si>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</si>
  <si>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</si>
  <si>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</si>
  <si>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</si>
  <si>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</si>
  <si>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</si>
  <si>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</si>
  <si>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</si>
  <si>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</si>
  <si>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</si>
  <si>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</si>
  <si>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</si>
  <si>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ينفذ ضباط قيادة الكتيبة/ مجموعة القتال عمليات مركز القيادة التالية:</t>
    </r>
  </si>
  <si>
    <t>أ. تأمين الحماية للمعلومات.</t>
  </si>
  <si>
    <t>ب. عرض خارطة الموقف وتحديثها.</t>
  </si>
  <si>
    <t>جـ. اكمال كافة التفقدات الخاصة بالاتصالات.</t>
  </si>
  <si>
    <t>د. إعداد الصورة العامة للعمليات.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</si>
  <si>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</si>
  <si>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إجمالـي العلامـــــــات</t>
  </si>
  <si>
    <t xml:space="preserve">النسبـــــة المئويـــــة </t>
  </si>
  <si>
    <t>%</t>
  </si>
  <si>
    <t>التقديـــــر العـــــــام</t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</si>
  <si>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</si>
  <si>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</si>
  <si>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</si>
  <si>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</si>
  <si>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</si>
  <si>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</si>
  <si>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ينفذ ضباط قيادة الكتيبة/ مجموعة القتال عمليات مركز القيادة التالية: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</si>
  <si>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</si>
  <si>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تقييم تحضير مركز قيادة الكتيبة/مجموعة القتال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</si>
</sst>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7CAAC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6" borderId="19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15" fillId="5" borderId="19" xfId="0" applyFont="1" applyFill="1" applyBorder="1" applyAlignment="1">
      <alignment horizontal="center" vertical="center" wrapText="1" readingOrder="2"/>
    </xf>
    <xf numFmtId="0" fontId="15" fillId="5" borderId="19" xfId="0" applyFont="1" applyFill="1" applyBorder="1" applyAlignment="1">
      <alignment horizontal="justify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15" fillId="5" borderId="21" xfId="0" applyFont="1" applyFill="1" applyBorder="1" applyAlignment="1">
      <alignment horizontal="center" vertical="center" wrapText="1" readingOrder="2"/>
    </xf>
    <xf numFmtId="0" fontId="15" fillId="5" borderId="21" xfId="0" applyFont="1" applyFill="1" applyBorder="1" applyAlignment="1">
      <alignment horizontal="justify" vertical="center" wrapText="1" readingOrder="2"/>
    </xf>
    <xf numFmtId="0" fontId="13" fillId="5" borderId="16" xfId="0" applyFont="1" applyFill="1" applyBorder="1" applyAlignment="1">
      <alignment horizontal="right" vertical="center" wrapText="1" readingOrder="2"/>
    </xf>
    <xf numFmtId="0" fontId="13" fillId="5" borderId="20" xfId="0" applyFont="1" applyFill="1" applyBorder="1" applyAlignment="1">
      <alignment horizontal="right" vertical="center" wrapText="1" readingOrder="2"/>
    </xf>
    <xf numFmtId="0" fontId="2" fillId="7" borderId="22" xfId="0" applyFont="1" applyFill="1" applyBorder="1" applyAlignment="1">
      <alignment horizontal="right" vertical="center" wrapText="1" readingOrder="2"/>
    </xf>
    <xf numFmtId="0" fontId="2" fillId="7" borderId="23" xfId="0" applyFont="1" applyFill="1" applyBorder="1" applyAlignment="1">
      <alignment horizontal="right" vertical="center" wrapText="1" readingOrder="2"/>
    </xf>
    <xf numFmtId="0" fontId="2" fillId="7" borderId="25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2" fillId="0" borderId="35" xfId="0" applyFont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5" borderId="38" xfId="0" applyFont="1" applyFill="1" applyBorder="1" applyAlignment="1">
      <alignment horizontal="right" vertical="center" wrapText="1" indent="2" readingOrder="2"/>
    </xf>
    <xf numFmtId="0" fontId="15" fillId="5" borderId="3" xfId="0" applyFont="1" applyFill="1" applyBorder="1" applyAlignment="1">
      <alignment horizontal="right" vertical="center" wrapText="1" indent="2" readingOrder="2"/>
    </xf>
    <xf numFmtId="0" fontId="15" fillId="5" borderId="38" xfId="0" applyFont="1" applyFill="1" applyBorder="1" applyAlignment="1">
      <alignment horizontal="right" vertical="center" wrapText="1" readingOrder="2"/>
    </xf>
    <xf numFmtId="0" fontId="15" fillId="5" borderId="3" xfId="0" applyFont="1" applyFill="1" applyBorder="1" applyAlignment="1">
      <alignment horizontal="right" vertical="center" wrapText="1" readingOrder="2"/>
    </xf>
    <xf numFmtId="0" fontId="15" fillId="5" borderId="11" xfId="0" applyFont="1" applyFill="1" applyBorder="1" applyAlignment="1">
      <alignment horizontal="right" vertical="center" wrapText="1" readingOrder="2"/>
    </xf>
    <xf numFmtId="0" fontId="15" fillId="5" borderId="12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31" xfId="0" applyFont="1" applyFill="1" applyBorder="1" applyAlignment="1" applyProtection="1">
      <alignment horizontal="center" vertical="center" wrapText="1" readingOrder="2"/>
      <protection locked="0"/>
    </xf>
    <xf numFmtId="0" fontId="7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33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36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37" xfId="0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6" fillId="4" borderId="35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6" borderId="15" xfId="0" applyFont="1" applyFill="1" applyBorder="1" applyAlignment="1">
      <alignment horizontal="right" vertical="center" wrapText="1" readingOrder="2"/>
    </xf>
    <xf numFmtId="0" fontId="2" fillId="6" borderId="16" xfId="0" applyFont="1" applyFill="1" applyBorder="1" applyAlignment="1">
      <alignment horizontal="right" vertical="center" wrapText="1" readingOrder="2"/>
    </xf>
    <xf numFmtId="0" fontId="2" fillId="6" borderId="17" xfId="0" applyFont="1" applyFill="1" applyBorder="1" applyAlignment="1">
      <alignment horizontal="center" vertical="center" wrapText="1" readingOrder="2"/>
    </xf>
    <xf numFmtId="0" fontId="2" fillId="6" borderId="26" xfId="0" applyFont="1" applyFill="1" applyBorder="1" applyAlignment="1">
      <alignment horizontal="center" vertical="center" wrapText="1" readingOrder="2"/>
    </xf>
    <xf numFmtId="0" fontId="2" fillId="6" borderId="18" xfId="0" applyFont="1" applyFill="1" applyBorder="1" applyAlignment="1">
      <alignment horizontal="center" vertical="center" wrapText="1" readingOrder="2"/>
    </xf>
    <xf numFmtId="0" fontId="2" fillId="6" borderId="19" xfId="0" applyFont="1" applyFill="1" applyBorder="1" applyAlignment="1">
      <alignment horizontal="center" vertical="center" wrapText="1" readingOrder="2"/>
    </xf>
    <xf numFmtId="0" fontId="16" fillId="5" borderId="27" xfId="0" applyFont="1" applyFill="1" applyBorder="1" applyAlignment="1">
      <alignment horizontal="center" vertical="center" wrapText="1" readingOrder="2"/>
    </xf>
    <xf numFmtId="0" fontId="16" fillId="5" borderId="28" xfId="0" applyFont="1" applyFill="1" applyBorder="1" applyAlignment="1">
      <alignment horizontal="center" vertical="center" wrapText="1" readingOrder="2"/>
    </xf>
    <xf numFmtId="0" fontId="15" fillId="5" borderId="29" xfId="0" applyFont="1" applyFill="1" applyBorder="1" applyAlignment="1">
      <alignment horizontal="justify" vertical="center" wrapText="1" readingOrder="2"/>
    </xf>
    <xf numFmtId="0" fontId="15" fillId="5" borderId="30" xfId="0" applyFont="1" applyFill="1" applyBorder="1" applyAlignment="1">
      <alignment horizontal="justify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165854</xdr:colOff>
      <xdr:row>23</xdr:row>
      <xdr:rowOff>30247</xdr:rowOff>
    </xdr:from>
    <xdr:to>
      <xdr:col>8</xdr:col>
      <xdr:colOff>325031</xdr:colOff>
      <xdr:row>23</xdr:row>
      <xdr:rowOff>374407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02B864C-2A69-305A-29E7-936ECDF0C9D0}"/>
                </a:ext>
              </a:extLst>
            </xdr14:cNvPr>
            <xdr14:cNvContentPartPr/>
          </xdr14:nvContentPartPr>
          <xdr14:nvPr macro=""/>
          <xdr14:xfrm>
            <a:off x="10423377769" y="9313200"/>
            <a:ext cx="813600" cy="344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02B864C-2A69-305A-29E7-936ECDF0C9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68769" y="9304560"/>
              <a:ext cx="83124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34151</xdr:colOff>
      <xdr:row>23</xdr:row>
      <xdr:rowOff>174967</xdr:rowOff>
    </xdr:from>
    <xdr:to>
      <xdr:col>9</xdr:col>
      <xdr:colOff>14407</xdr:colOff>
      <xdr:row>23</xdr:row>
      <xdr:rowOff>463687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E6DE63E-E3B9-DA6A-4257-2D8CA2AB1FAD}"/>
                </a:ext>
              </a:extLst>
            </xdr14:cNvPr>
            <xdr14:cNvContentPartPr/>
          </xdr14:nvContentPartPr>
          <xdr14:nvPr macro=""/>
          <xdr14:xfrm>
            <a:off x="10423033969" y="9457920"/>
            <a:ext cx="634680" cy="288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E6DE63E-E3B9-DA6A-4257-2D8CA2AB1FA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24969" y="9448920"/>
              <a:ext cx="652320" cy="306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15:15:52.8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1591 776 4841,'0'0'0,"-4"-11"1184,-1 8-808,-5-12-248,7 13-64,1-2 64,2 4-128,-3-9 184,2 9 24,0-4 8,1 1-104,0-1-120,0 0-80,0 4 88,2-3-144,2-7-16,6 8 16,-7-2 8,10-7 32,-2 9 32,-11 2 72,13-11-56,2 8 16,0-11 0,3 5 8,1-2 0,2 0-8,-21 11 40,21-12-8,2 2-24,1-1 8,3 1 24,-2 1-24,1 5-8,-26 4 32,26-13-56,-1 10-8,1-6-40,-2 6 0,0 1 0,-2-2-16,-22 4 120,23-2-80,1 0 0,-2-1 0,-1 3 0,1 0 8,-3 0 8,-19 0 64,18 0-80,-1 1 8,-3 3 8,0 0 0,0-1-8,-2 7 16,-12-10 56,9 3-48,-5 2 0,9 6 7,-11-7 1,8 8-8,-10-9-16,0-3 64,3 12-48,-3-7 0,0 8 48,0-8 24,-2 6 48,-3-7 16,5-4-88,-11 11 97,1-7-17,-2 7-24,-2-8 0,-3 7-16,-2-7 0,19-3-40,-22 10 32,-1-6 16,-3 0-8,-2 6 8,1-6 0,-2-1 0,29-3-48,-29 4 24,0-1 24,0 1-16,-2-2 0,0 1 24,1-2-8,30-1-48,-31 0 40,1 0 24,0 0 0,0-4 32,0 1-8,0-8 16,30 11-104,-31-2 104,-1-8 0,1 6 24,-1-8 16,0 3 32,1-1 48,31 10-224,-32-12 208,-1 0 32,-1 0-8,-2-2-24,0 1 16,0-3 24,36 16-248,-37-14 144,1-1 72,0 1-8,-1 0-24,-2-2 56,2 0-64,37 16-176,-37-13 201,1-1-41,-1 1-24,1 1 0,-1-4-48,1 3-48,36 13-40,-35-13 24,2 1 0,1 2-56,1-1 48,2 1 8,1 0-40,28 10 16,-28-4-16,0-8 24,3 10-24,3-7 32,0 5 48,4-7-32,18 11-32,-16-2-32,2-2 32,2-5-56,1 6-32,6 0 8,-4-8 32,9 11 48,-2-4-200,0-8-32,1 9-105,1-12-103,3 4 88,6-1-72,-9 12 424,11-12-336,2-2 24,3 1 24,2-1 120,2-1 40,3 1 80,-23 14 48,26-13-80,2 1 56,0 0-24,1 2-56,1-1 64,2 2 8,-32 9 32,34-4-8,2-10 8,1 10-40,3-10 32,-1 4-24,0 7 16,-39 3 16,38-10-8,0 10-32,-2-4 40,-1 1-16,0-1 16,-3 2 16,-32 2-16,33 0 24,-4 0-8,0 0 40,0 0-48,0 1-8,-2 3 24,-27-4-24,25 10-32,1-5 32,-5 8 72,0-8-8,-2 9-48,-1 0 0,-18-14-16,15 13-64,0 4 16,-2-3 104,-1 2-24,-3 0-8,-5 2-8,-4-18-16,13 21-24,-11-3 80,2 0 0,-1 1 56,-3 1-32,0 1-8,0-21-72,0 20 120,-4-1-48,-7 0 144,2 0-16,-5 2 0,0-1 72,14-20-272,-18 21 176,-3-2 0,-4 0 56,-2-1-56,-5 1-24,-2 3 8,34-22-160,-38 19 72,-3 2 56,-1 0 8,-1-1-15,-1 1-9,-3-2-8,47-19-104,-48 18 72,-1 1 88,-3-1-16,2-1 8,-4-1-16,1 0-72,53-16-64,-52 17 64,-1 0-48,-1-1 16,1 1-8,0-1-16,3-2 40,50-14-48,-47 14 8,2 0-8,3-2 0,0 0-8,3-2-24,5 0 0,34-10 32,-31 10-56,3-6-56,2 7-120,2-7-208,3 1-409,3-1-375,18-4 1224,-15 4-1464,2-1-121,3-1 473,5-1 400,0-1 328,2 0 256,3 0 128,-3-3-1960,3 3 1960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15:15:53.8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1715 33 2848,'0'0'0,"11"-4"184,-11 4-184,3-11 176,10 8 40,-11-7 80,1 10 104,1-2 136,0 2 41,-4 0-577,2-3 544,1 3-104,-1 0-144,-2 0-104,0 0-32,0 0 48,0 0-208,0 0 320,-1 1 88,0 1 48,-3 0-48,-1 2-152,-6-1-88,0 7-88,11-10-80,-14 9 16,-4 1-16,-3 3-32,-3 2-8,-5 1-8,29-16 48,-31 18-72,-4 0-72,-2 1-48,-3 1-48,2-2-16,0 1 40,38-19 216,-39 19-192,2-2 16,-1-1-16,1 0-16,-1-2-16,5 1-16,33-15 240,-34 14-248,2 1-48,1-3-40,1 0-24,2 0-24,2-8 0,26-4 384,-23 12-321,3-8-7,3 0 24,3 0 8,2 0 24,2-2 48,10-2 224,-4 0-136,-5 0 40,8 0 32,0 0 32,-1 0-16,2-2 32,0 2 16,0-2 0,0 2-8,0-3 24,0 3 32,0-2 48,-1 2 80,1 0-176,-1-3 264,-2 3 40,0 0 24,-1 0-64,-5 0-64,5 0-80,4 0-120,-9 2 136,-1-1-40,-2 0 33,-1 1 71,-1 2-32,-1 1 120,15-5-288,-17 4 280,-2 7-16,-1-7 16,-2 1-64,2 5 8,-1-6 24,21-4-248,-20 10 160,0-7-16,2 7-24,-1-7-64,1 1 56,1 6-24,17-10-88,-17 1 96,0 2-72,3 2-16,-2-1-32,3 1-64,1-3 136,12-2-48,-12 1-16,1 0-64,2 1-32,-1-2-208,0 1-96,7-1-168,3 0 584,-11 0-712,7-3-41,-6-6 73,6 9 136,-5-10 168,5 8 144,4 2 232,-5-4-144,-4-5 104,4 9 64,-7-4 40,1-6 80,0 10 16,11 0-160,-13-2 160,-1 0 8,-1-1 0,0 0 8,-1 0 24,-2 3 8,18 0-208,-17-2 184,1 2 0,-2 0 8,1-3-23,-1 3 39,1 0-8,17 0-200,-17-2 184,2 2 16,0 0-40,1 0-8,1-2 24,2-1-72,11 3-104,-11-2 112,2-1 24,5 0-40,-5-1-32,6-5-56,1 9-144,2 0 136,-2-4-288,1-5-88,1 6-184,0-6-129,4 5-31,5-8 120,-9 12 600,4-10-424,12-2 176,-3 0 168,0 0 64,1 0 0,-1 0 16,-13 12 0,15-9-16,-2-1-8,1 7 8,0-7-8,0 8 16,-1-2 0,-13 4 8,12-4 0,0 2 8,0 2-16,-1 0 8,0 0 0,-8 0 0,-3 0 0,14 1 16,-12 0-16,7 4 8,-9 5 0,4-7 8,-1 11-8,-3-14-8,0 9 8,0 2 0,-2 3 16,-1 2 0,-2 1 0,-6 3 32,11-20-56,-5 22 48,-8 0 16,2 2 24,2 2 8,-1-1-16,5-1 8,5-24-88,-12 26 80,9-1 8,-1 0-16,2-1 0,1-1 16,1-1 8,0-22-96,3 21 152,9-2 48,-1-1 88,3-1 96,3-1 81,5-2 127,-22-14-592,25 12 608,5-1 32,3-6-56,6 4-120,4-7-96,5-1-96,-48-1-272,51 0 208,6 0-64,0 0-56,4-4-48,4 1-24,0-1-104,-65 4 88,66-4-384,-1-5-552,2 9-760,0-3 31,0 0 409,0-1 504,-67 4 752,66-11-2064,-66 11 2064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19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200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1" t="s">
        <v>8</v>
      </c>
      <c r="C2" s="72" t="s">
        <v>40</v>
      </c>
      <c r="D2" s="72"/>
      <c r="E2" s="11" t="s">
        <v>7</v>
      </c>
      <c r="F2" s="67">
        <v>45951</v>
      </c>
      <c r="G2" s="67"/>
      <c r="H2" s="67"/>
      <c r="I2" s="67"/>
      <c r="J2" s="67"/>
    </row>
    <row r="3" spans="1:10" ht="30" customHeight="1" x14ac:dyDescent="0.3">
      <c r="B3" s="11" t="s">
        <v>9</v>
      </c>
      <c r="C3" s="72" t="s">
        <v>82</v>
      </c>
      <c r="D3" s="72"/>
      <c r="E3" s="11" t="s">
        <v>6</v>
      </c>
      <c r="F3" s="72" t="s">
        <v>93</v>
      </c>
      <c r="G3" s="72"/>
      <c r="H3" s="72"/>
      <c r="I3" s="72"/>
      <c r="J3" s="7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8" t="s">
        <v>0</v>
      </c>
      <c r="C5" s="69"/>
      <c r="D5" s="69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62"/>
      <c r="J6" s="63"/>
    </row>
    <row r="7" spans="1:10" ht="24.9" customHeight="1" x14ac:dyDescent="0.3">
      <c r="A7" s="9"/>
      <c r="B7" s="58" t="s">
        <v>21</v>
      </c>
      <c r="C7" s="59"/>
      <c r="D7" s="59"/>
      <c r="E7" s="40" t="s">
        <v>18</v>
      </c>
      <c r="F7" s="40" t="s">
        <v>19</v>
      </c>
      <c r="G7" s="40" t="s">
        <v>22</v>
      </c>
      <c r="H7" s="40" t="s">
        <v>20</v>
      </c>
      <c r="I7" s="64" t="s">
        <v>25</v>
      </c>
      <c r="J7" s="65"/>
    </row>
    <row r="8" spans="1:10" ht="30" customHeight="1" x14ac:dyDescent="0.3">
      <c r="A8" s="9"/>
      <c r="B8" s="50" t="s">
        <v>192</v>
      </c>
      <c r="C8" s="51"/>
      <c r="D8" s="51"/>
      <c r="E8" s="42">
        <v>5</v>
      </c>
      <c r="F8" s="25">
        <v>3.75</v>
      </c>
      <c r="G8" s="43">
        <f>IFERROR(F8/E8,"")</f>
        <v>0.75</v>
      </c>
      <c r="H8" s="4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4"/>
      <c r="J8" s="55"/>
    </row>
    <row r="9" spans="1:10" ht="39.9" customHeight="1" x14ac:dyDescent="0.3">
      <c r="A9" s="9"/>
      <c r="B9" s="50" t="s">
        <v>193</v>
      </c>
      <c r="C9" s="51"/>
      <c r="D9" s="51"/>
      <c r="E9" s="42">
        <v>10</v>
      </c>
      <c r="F9" s="25">
        <v>7.75</v>
      </c>
      <c r="G9" s="43">
        <f>IFERROR(F9/E9,"")</f>
        <v>0.77500000000000002</v>
      </c>
      <c r="H9" s="4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50" t="s">
        <v>194</v>
      </c>
      <c r="C10" s="51"/>
      <c r="D10" s="51"/>
      <c r="E10" s="42">
        <v>5</v>
      </c>
      <c r="F10" s="25">
        <v>3.75</v>
      </c>
      <c r="G10" s="43">
        <f t="shared" ref="G10:G19" si="0">IFERROR(F10/E10,"")</f>
        <v>0.75</v>
      </c>
      <c r="H10" s="44" t="str">
        <f t="shared" ref="H10:H19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3">
      <c r="A11" s="9"/>
      <c r="B11" s="50" t="s">
        <v>195</v>
      </c>
      <c r="C11" s="51"/>
      <c r="D11" s="51"/>
      <c r="E11" s="42">
        <v>5</v>
      </c>
      <c r="F11" s="25">
        <v>3.75</v>
      </c>
      <c r="G11" s="43">
        <f t="shared" si="0"/>
        <v>0.75</v>
      </c>
      <c r="H11" s="44" t="str">
        <f t="shared" si="1"/>
        <v>جيد</v>
      </c>
      <c r="I11" s="54"/>
      <c r="J11" s="55"/>
    </row>
    <row r="12" spans="1:10" ht="39.9" customHeight="1" x14ac:dyDescent="0.3">
      <c r="A12" s="9"/>
      <c r="B12" s="50" t="s">
        <v>196</v>
      </c>
      <c r="C12" s="51"/>
      <c r="D12" s="51"/>
      <c r="E12" s="42">
        <v>5</v>
      </c>
      <c r="F12" s="25">
        <v>4</v>
      </c>
      <c r="G12" s="43">
        <f t="shared" si="0"/>
        <v>0.8</v>
      </c>
      <c r="H12" s="44" t="str">
        <f t="shared" si="1"/>
        <v>جيد جداً</v>
      </c>
      <c r="I12" s="54"/>
      <c r="J12" s="55"/>
    </row>
    <row r="13" spans="1:10" ht="30" customHeight="1" x14ac:dyDescent="0.3">
      <c r="A13" s="9"/>
      <c r="B13" s="50" t="s">
        <v>197</v>
      </c>
      <c r="C13" s="51"/>
      <c r="D13" s="51"/>
      <c r="E13" s="42">
        <v>5</v>
      </c>
      <c r="F13" s="25">
        <v>4</v>
      </c>
      <c r="G13" s="43">
        <f t="shared" si="0"/>
        <v>0.8</v>
      </c>
      <c r="H13" s="44" t="str">
        <f t="shared" si="1"/>
        <v>جيد جداً</v>
      </c>
      <c r="I13" s="54"/>
      <c r="J13" s="55"/>
    </row>
    <row r="14" spans="1:10" ht="30" customHeight="1" x14ac:dyDescent="0.3">
      <c r="A14" s="9"/>
      <c r="B14" s="50" t="s">
        <v>198</v>
      </c>
      <c r="C14" s="51"/>
      <c r="D14" s="51"/>
      <c r="E14" s="42"/>
      <c r="F14" s="25"/>
      <c r="G14" s="43" t="str">
        <f t="shared" si="0"/>
        <v/>
      </c>
      <c r="H14" s="44"/>
      <c r="I14" s="54"/>
      <c r="J14" s="55"/>
    </row>
    <row r="15" spans="1:10" ht="30" customHeight="1" x14ac:dyDescent="0.3">
      <c r="A15" s="9"/>
      <c r="B15" s="48" t="s">
        <v>183</v>
      </c>
      <c r="C15" s="49"/>
      <c r="D15" s="49"/>
      <c r="E15" s="42">
        <v>5</v>
      </c>
      <c r="F15" s="25">
        <v>3.75</v>
      </c>
      <c r="G15" s="43">
        <f t="shared" si="0"/>
        <v>0.75</v>
      </c>
      <c r="H15" s="44" t="str">
        <f t="shared" si="1"/>
        <v>جيد</v>
      </c>
      <c r="I15" s="54"/>
      <c r="J15" s="55"/>
    </row>
    <row r="16" spans="1:10" ht="30" customHeight="1" x14ac:dyDescent="0.3">
      <c r="A16" s="9"/>
      <c r="B16" s="48" t="s">
        <v>184</v>
      </c>
      <c r="C16" s="49"/>
      <c r="D16" s="49"/>
      <c r="E16" s="42">
        <v>5</v>
      </c>
      <c r="F16" s="25">
        <v>4</v>
      </c>
      <c r="G16" s="43">
        <f t="shared" si="0"/>
        <v>0.8</v>
      </c>
      <c r="H16" s="44" t="str">
        <f t="shared" si="1"/>
        <v>جيد جداً</v>
      </c>
      <c r="I16" s="54"/>
      <c r="J16" s="55"/>
    </row>
    <row r="17" spans="1:10" ht="30" customHeight="1" x14ac:dyDescent="0.3">
      <c r="A17" s="9"/>
      <c r="B17" s="48" t="s">
        <v>185</v>
      </c>
      <c r="C17" s="49"/>
      <c r="D17" s="49"/>
      <c r="E17" s="42">
        <v>5</v>
      </c>
      <c r="F17" s="25">
        <v>3.75</v>
      </c>
      <c r="G17" s="43">
        <f t="shared" si="0"/>
        <v>0.75</v>
      </c>
      <c r="H17" s="44" t="str">
        <f t="shared" si="1"/>
        <v>جيد</v>
      </c>
      <c r="I17" s="54"/>
      <c r="J17" s="55"/>
    </row>
    <row r="18" spans="1:10" ht="30" customHeight="1" x14ac:dyDescent="0.3">
      <c r="A18" s="9"/>
      <c r="B18" s="50" t="s">
        <v>186</v>
      </c>
      <c r="C18" s="51"/>
      <c r="D18" s="51"/>
      <c r="E18" s="42">
        <v>5</v>
      </c>
      <c r="F18" s="25">
        <v>3.75</v>
      </c>
      <c r="G18" s="43">
        <f t="shared" si="0"/>
        <v>0.75</v>
      </c>
      <c r="H18" s="44" t="str">
        <f t="shared" si="1"/>
        <v>جيد</v>
      </c>
      <c r="I18" s="54"/>
      <c r="J18" s="55"/>
    </row>
    <row r="19" spans="1:10" ht="39.9" customHeight="1" thickBot="1" x14ac:dyDescent="0.35">
      <c r="A19" s="9"/>
      <c r="B19" s="52" t="s">
        <v>199</v>
      </c>
      <c r="C19" s="53"/>
      <c r="D19" s="53"/>
      <c r="E19" s="45">
        <v>5</v>
      </c>
      <c r="F19" s="26">
        <v>3.75</v>
      </c>
      <c r="G19" s="46">
        <f t="shared" si="0"/>
        <v>0.75</v>
      </c>
      <c r="H19" s="47" t="str">
        <f t="shared" si="1"/>
        <v>جيد</v>
      </c>
      <c r="I19" s="56"/>
      <c r="J19" s="57"/>
    </row>
    <row r="20" spans="1:10" ht="30" customHeight="1" thickBot="1" x14ac:dyDescent="0.35">
      <c r="A20" s="4"/>
      <c r="B20" s="86" t="s">
        <v>5</v>
      </c>
      <c r="C20" s="87"/>
      <c r="D20" s="87"/>
      <c r="E20" s="41">
        <f>SUM(E8:E19)</f>
        <v>60</v>
      </c>
      <c r="F20" s="41">
        <f>SUM(F8:F19)</f>
        <v>46</v>
      </c>
      <c r="G20" s="75"/>
      <c r="H20" s="76"/>
      <c r="I20" s="76"/>
      <c r="J20" s="77"/>
    </row>
    <row r="21" spans="1:10" ht="30" customHeight="1" thickBot="1" x14ac:dyDescent="0.35">
      <c r="A21" s="4"/>
      <c r="B21" s="88" t="s">
        <v>54</v>
      </c>
      <c r="C21" s="89"/>
      <c r="D21" s="89"/>
      <c r="E21" s="84">
        <f>F20/E20/100*100</f>
        <v>0.76666666666666672</v>
      </c>
      <c r="F21" s="84"/>
      <c r="G21" s="84"/>
      <c r="H21" s="84"/>
      <c r="I21" s="84"/>
      <c r="J21" s="85"/>
    </row>
    <row r="22" spans="1:10" ht="30" customHeight="1" thickBot="1" x14ac:dyDescent="0.35">
      <c r="A22" s="4"/>
      <c r="B22" s="88" t="s">
        <v>55</v>
      </c>
      <c r="C22" s="89"/>
      <c r="D22" s="89"/>
      <c r="E22" s="82" t="str">
        <f>_xlfn.IFS(E21&gt;=90%,"ممتاز",E21&gt;=80%,"جيد جداً",E21&gt;=70%,"جيد",E21&gt;=60%,"مقبول",E21&lt;60%,"راسب")</f>
        <v>جيد</v>
      </c>
      <c r="F22" s="82"/>
      <c r="G22" s="82"/>
      <c r="H22" s="82"/>
      <c r="I22" s="82"/>
      <c r="J22" s="83"/>
    </row>
    <row r="23" spans="1:10" ht="42" customHeight="1" x14ac:dyDescent="0.3">
      <c r="B23" s="78" t="s">
        <v>62</v>
      </c>
      <c r="C23" s="78"/>
      <c r="D23" s="78"/>
      <c r="E23" s="73" t="s">
        <v>52</v>
      </c>
      <c r="F23" s="73"/>
      <c r="G23" s="80" t="s">
        <v>93</v>
      </c>
      <c r="H23" s="80"/>
      <c r="I23" s="80"/>
      <c r="J23" s="80"/>
    </row>
    <row r="24" spans="1:10" ht="51" customHeight="1" x14ac:dyDescent="0.3">
      <c r="A24" s="5"/>
      <c r="B24" s="79"/>
      <c r="C24" s="79"/>
      <c r="D24" s="79"/>
      <c r="E24" s="74" t="s">
        <v>53</v>
      </c>
      <c r="F24" s="74"/>
      <c r="G24" s="81"/>
      <c r="H24" s="81"/>
      <c r="I24" s="81"/>
      <c r="J24" s="8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I15:J15"/>
    <mergeCell ref="I16:J16"/>
    <mergeCell ref="I17:J17"/>
    <mergeCell ref="I18:J18"/>
    <mergeCell ref="I19:J19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2">
    <cfRule type="expression" dxfId="14" priority="57">
      <formula>$E22="راسب"</formula>
    </cfRule>
  </conditionalFormatting>
  <conditionalFormatting sqref="E22:J22">
    <cfRule type="expression" dxfId="13" priority="58">
      <formula>$E22="مقبول"</formula>
    </cfRule>
    <cfRule type="expression" dxfId="12" priority="59">
      <formula>$E22="جيد"</formula>
    </cfRule>
    <cfRule type="expression" dxfId="11" priority="60">
      <formula>$E22="جيد جداً"</formula>
    </cfRule>
    <cfRule type="expression" dxfId="10" priority="61">
      <formula>$E22="ممتاز"</formula>
    </cfRule>
  </conditionalFormatting>
  <conditionalFormatting sqref="F8:F1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6" priority="15" operator="containsText" text="أدخل اسم المحكم">
      <formula>NOT(ISERROR(SEARCH("أدخل اسم المحكم",G23)))</formula>
    </cfRule>
  </conditionalFormatting>
  <conditionalFormatting sqref="H8:H1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 F10:F19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G23:J23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C3ACFA08-C2CF-46D8-8C01-4BDD9FB51932}">
          <x14:formula1>
            <xm:f>'بيانات التقييم'!$A$111:$A$153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5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63</v>
      </c>
    </row>
    <row r="3" spans="1:3" ht="20.100000000000001" customHeight="1" thickBot="1" x14ac:dyDescent="0.35">
      <c r="A3" s="2" t="s">
        <v>26</v>
      </c>
      <c r="C3" s="18" t="s">
        <v>64</v>
      </c>
    </row>
    <row r="4" spans="1:3" ht="20.100000000000001" customHeight="1" thickBot="1" x14ac:dyDescent="0.35">
      <c r="A4" s="2" t="s">
        <v>36</v>
      </c>
      <c r="C4" s="18" t="s">
        <v>65</v>
      </c>
    </row>
    <row r="5" spans="1:3" ht="20.100000000000001" customHeight="1" thickBot="1" x14ac:dyDescent="0.35">
      <c r="A5" s="2" t="s">
        <v>37</v>
      </c>
      <c r="C5" s="18" t="s">
        <v>66</v>
      </c>
    </row>
    <row r="6" spans="1:3" ht="20.100000000000001" customHeight="1" thickBot="1" x14ac:dyDescent="0.35">
      <c r="A6" s="2" t="s">
        <v>38</v>
      </c>
      <c r="C6" s="18" t="s">
        <v>67</v>
      </c>
    </row>
    <row r="7" spans="1:3" ht="20.100000000000001" customHeight="1" thickBot="1" x14ac:dyDescent="0.35">
      <c r="A7" s="2" t="s">
        <v>39</v>
      </c>
      <c r="C7" s="18" t="s">
        <v>68</v>
      </c>
    </row>
    <row r="8" spans="1:3" ht="20.100000000000001" customHeight="1" thickBot="1" x14ac:dyDescent="0.35">
      <c r="A8" s="2" t="s">
        <v>40</v>
      </c>
      <c r="C8" s="18" t="s">
        <v>69</v>
      </c>
    </row>
    <row r="9" spans="1:3" ht="20.100000000000001" customHeight="1" thickBot="1" x14ac:dyDescent="0.35">
      <c r="A9" s="2" t="s">
        <v>41</v>
      </c>
      <c r="C9" s="18" t="s">
        <v>70</v>
      </c>
    </row>
    <row r="10" spans="1:3" ht="20.100000000000001" customHeight="1" thickBot="1" x14ac:dyDescent="0.35">
      <c r="A10" s="2" t="s">
        <v>42</v>
      </c>
      <c r="C10" s="18" t="s">
        <v>71</v>
      </c>
    </row>
    <row r="11" spans="1:3" ht="20.100000000000001" customHeight="1" thickBot="1" x14ac:dyDescent="0.35">
      <c r="A11" s="2" t="s">
        <v>43</v>
      </c>
      <c r="C11" s="18" t="s">
        <v>72</v>
      </c>
    </row>
    <row r="12" spans="1:3" ht="20.100000000000001" customHeight="1" thickBot="1" x14ac:dyDescent="0.35">
      <c r="A12" s="2" t="s">
        <v>44</v>
      </c>
      <c r="C12" s="18" t="s">
        <v>73</v>
      </c>
    </row>
    <row r="13" spans="1:3" ht="20.100000000000001" customHeight="1" thickBot="1" x14ac:dyDescent="0.35">
      <c r="A13" s="2" t="s">
        <v>45</v>
      </c>
      <c r="C13" s="18" t="s">
        <v>74</v>
      </c>
    </row>
    <row r="14" spans="1:3" ht="20.100000000000001" customHeight="1" thickBot="1" x14ac:dyDescent="0.35">
      <c r="A14" s="2" t="s">
        <v>46</v>
      </c>
      <c r="C14" s="18" t="s">
        <v>75</v>
      </c>
    </row>
    <row r="15" spans="1:3" ht="20.100000000000001" customHeight="1" thickBot="1" x14ac:dyDescent="0.35">
      <c r="A15" s="2" t="s">
        <v>47</v>
      </c>
      <c r="C15" s="18" t="s">
        <v>76</v>
      </c>
    </row>
    <row r="16" spans="1:3" ht="20.100000000000001" customHeight="1" thickBot="1" x14ac:dyDescent="0.35">
      <c r="A16" s="2" t="s">
        <v>10</v>
      </c>
      <c r="C16" s="18" t="s">
        <v>77</v>
      </c>
    </row>
    <row r="17" spans="1:3" ht="20.100000000000001" customHeight="1" thickBot="1" x14ac:dyDescent="0.35">
      <c r="A17" s="2" t="s">
        <v>27</v>
      </c>
      <c r="C17" s="18" t="s">
        <v>78</v>
      </c>
    </row>
    <row r="18" spans="1:3" ht="20.100000000000001" customHeight="1" thickBot="1" x14ac:dyDescent="0.35">
      <c r="A18" s="2" t="s">
        <v>48</v>
      </c>
      <c r="C18" s="18" t="s">
        <v>79</v>
      </c>
    </row>
    <row r="19" spans="1:3" ht="20.100000000000001" customHeight="1" thickBot="1" x14ac:dyDescent="0.35">
      <c r="A19" s="2" t="s">
        <v>49</v>
      </c>
      <c r="C19" s="18" t="s">
        <v>80</v>
      </c>
    </row>
    <row r="20" spans="1:3" ht="20.100000000000001" customHeight="1" thickBot="1" x14ac:dyDescent="0.35">
      <c r="A20" s="2" t="s">
        <v>50</v>
      </c>
      <c r="C20" s="18" t="s">
        <v>81</v>
      </c>
    </row>
    <row r="21" spans="1:3" ht="20.100000000000001" customHeight="1" thickBot="1" x14ac:dyDescent="0.35">
      <c r="A21" s="2" t="s">
        <v>51</v>
      </c>
      <c r="C21" s="18" t="s">
        <v>82</v>
      </c>
    </row>
    <row r="22" spans="1:3" ht="20.100000000000001" customHeight="1" thickBot="1" x14ac:dyDescent="0.35">
      <c r="A22" s="2" t="s">
        <v>11</v>
      </c>
      <c r="C22" s="18" t="s">
        <v>83</v>
      </c>
    </row>
    <row r="23" spans="1:3" ht="20.100000000000001" customHeight="1" thickBot="1" x14ac:dyDescent="0.35">
      <c r="A23" s="2" t="s">
        <v>12</v>
      </c>
      <c r="C23" s="18" t="s">
        <v>84</v>
      </c>
    </row>
    <row r="24" spans="1:3" ht="20.100000000000001" customHeight="1" thickBot="1" x14ac:dyDescent="0.35">
      <c r="A24" s="2" t="s">
        <v>15</v>
      </c>
      <c r="C24" s="18" t="s">
        <v>85</v>
      </c>
    </row>
    <row r="25" spans="1:3" ht="20.100000000000001" customHeight="1" thickBot="1" x14ac:dyDescent="0.35">
      <c r="A25" s="2" t="s">
        <v>28</v>
      </c>
      <c r="C25" s="18" t="s">
        <v>86</v>
      </c>
    </row>
    <row r="26" spans="1:3" ht="20.100000000000001" customHeight="1" thickBot="1" x14ac:dyDescent="0.35">
      <c r="A26" s="2" t="s">
        <v>29</v>
      </c>
      <c r="C26" s="18" t="s">
        <v>87</v>
      </c>
    </row>
    <row r="27" spans="1:3" ht="20.100000000000001" customHeight="1" thickBot="1" x14ac:dyDescent="0.35">
      <c r="A27" s="2" t="s">
        <v>13</v>
      </c>
      <c r="C27" s="18" t="s">
        <v>88</v>
      </c>
    </row>
    <row r="28" spans="1:3" ht="20.100000000000001" customHeight="1" thickBot="1" x14ac:dyDescent="0.35">
      <c r="A28" s="2" t="s">
        <v>30</v>
      </c>
      <c r="C28" s="18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90</v>
      </c>
    </row>
    <row r="200" spans="1:1" ht="20.100000000000001" customHeight="1" x14ac:dyDescent="0.3">
      <c r="A200" s="19" t="s">
        <v>91</v>
      </c>
    </row>
    <row r="201" spans="1:1" ht="20.100000000000001" customHeight="1" x14ac:dyDescent="0.3">
      <c r="A201" s="19" t="s">
        <v>92</v>
      </c>
    </row>
    <row r="202" spans="1:1" ht="20.100000000000001" customHeight="1" x14ac:dyDescent="0.3">
      <c r="A202" s="19" t="s">
        <v>93</v>
      </c>
    </row>
    <row r="203" spans="1:1" ht="20.100000000000001" customHeight="1" x14ac:dyDescent="0.3">
      <c r="A203" s="19" t="s">
        <v>94</v>
      </c>
    </row>
    <row r="204" spans="1:1" ht="20.100000000000001" customHeight="1" x14ac:dyDescent="0.3">
      <c r="A204" s="19" t="s">
        <v>95</v>
      </c>
    </row>
    <row r="205" spans="1:1" ht="20.100000000000001" customHeight="1" x14ac:dyDescent="0.3">
      <c r="A205" s="19" t="s">
        <v>96</v>
      </c>
    </row>
    <row r="206" spans="1:1" ht="20.100000000000001" customHeight="1" x14ac:dyDescent="0.3">
      <c r="A206" s="19" t="s">
        <v>97</v>
      </c>
    </row>
    <row r="207" spans="1:1" ht="20.100000000000001" customHeight="1" x14ac:dyDescent="0.3">
      <c r="A207" s="19" t="s">
        <v>98</v>
      </c>
    </row>
    <row r="208" spans="1:1" ht="20.100000000000001" customHeight="1" x14ac:dyDescent="0.3">
      <c r="A208" s="20" t="s">
        <v>99</v>
      </c>
    </row>
    <row r="209" spans="1:1" ht="20.100000000000001" customHeight="1" x14ac:dyDescent="0.3">
      <c r="A209" s="20" t="s">
        <v>100</v>
      </c>
    </row>
    <row r="210" spans="1:1" ht="20.100000000000001" customHeight="1" x14ac:dyDescent="0.3">
      <c r="A210" s="19" t="s">
        <v>101</v>
      </c>
    </row>
    <row r="211" spans="1:1" ht="20.100000000000001" customHeight="1" x14ac:dyDescent="0.3">
      <c r="A211" s="19" t="s">
        <v>102</v>
      </c>
    </row>
    <row r="212" spans="1:1" ht="20.100000000000001" customHeight="1" x14ac:dyDescent="0.3">
      <c r="A212" s="19" t="s">
        <v>103</v>
      </c>
    </row>
    <row r="213" spans="1:1" ht="20.100000000000001" customHeight="1" x14ac:dyDescent="0.3">
      <c r="A213" s="19" t="s">
        <v>104</v>
      </c>
    </row>
    <row r="214" spans="1:1" ht="20.100000000000001" customHeight="1" x14ac:dyDescent="0.3">
      <c r="A214" s="19" t="s">
        <v>105</v>
      </c>
    </row>
    <row r="215" spans="1:1" ht="20.100000000000001" customHeight="1" x14ac:dyDescent="0.3">
      <c r="A215" s="19" t="s">
        <v>106</v>
      </c>
    </row>
    <row r="216" spans="1:1" ht="20.100000000000001" customHeight="1" x14ac:dyDescent="0.3">
      <c r="A216" s="19" t="s">
        <v>107</v>
      </c>
    </row>
    <row r="217" spans="1:1" ht="20.100000000000001" customHeight="1" x14ac:dyDescent="0.3">
      <c r="A217" s="19" t="s">
        <v>108</v>
      </c>
    </row>
    <row r="218" spans="1:1" ht="20.100000000000001" customHeight="1" x14ac:dyDescent="0.3">
      <c r="A218" s="19" t="s">
        <v>109</v>
      </c>
    </row>
    <row r="219" spans="1:1" ht="20.100000000000001" customHeight="1" x14ac:dyDescent="0.3">
      <c r="A219" s="19" t="s">
        <v>110</v>
      </c>
    </row>
    <row r="220" spans="1:1" ht="20.100000000000001" customHeight="1" x14ac:dyDescent="0.3">
      <c r="A220" s="19" t="s">
        <v>111</v>
      </c>
    </row>
    <row r="221" spans="1:1" ht="20.100000000000001" customHeight="1" x14ac:dyDescent="0.3">
      <c r="A221" s="19" t="s">
        <v>112</v>
      </c>
    </row>
    <row r="222" spans="1:1" ht="20.100000000000001" customHeight="1" x14ac:dyDescent="0.3">
      <c r="A222" s="19" t="s">
        <v>113</v>
      </c>
    </row>
    <row r="223" spans="1:1" ht="20.100000000000001" customHeight="1" x14ac:dyDescent="0.3">
      <c r="A223" s="19" t="s">
        <v>114</v>
      </c>
    </row>
    <row r="224" spans="1:1" ht="20.100000000000001" customHeight="1" x14ac:dyDescent="0.3">
      <c r="A224" s="19" t="s">
        <v>115</v>
      </c>
    </row>
    <row r="225" spans="1:1" ht="20.100000000000001" customHeight="1" x14ac:dyDescent="0.3">
      <c r="A225" s="19" t="s">
        <v>116</v>
      </c>
    </row>
    <row r="226" spans="1:1" ht="20.100000000000001" customHeight="1" x14ac:dyDescent="0.3">
      <c r="A226" s="19" t="s">
        <v>117</v>
      </c>
    </row>
    <row r="227" spans="1:1" ht="20.100000000000001" customHeight="1" x14ac:dyDescent="0.3">
      <c r="A227" s="19" t="s">
        <v>118</v>
      </c>
    </row>
    <row r="228" spans="1:1" ht="20.100000000000001" customHeight="1" x14ac:dyDescent="0.3">
      <c r="A228" s="19" t="s">
        <v>119</v>
      </c>
    </row>
    <row r="229" spans="1:1" ht="20.100000000000001" customHeight="1" x14ac:dyDescent="0.3">
      <c r="A229" s="19" t="s">
        <v>120</v>
      </c>
    </row>
    <row r="230" spans="1:1" ht="20.100000000000001" customHeight="1" x14ac:dyDescent="0.3">
      <c r="A230" s="19" t="s">
        <v>121</v>
      </c>
    </row>
    <row r="231" spans="1:1" ht="20.100000000000001" customHeight="1" x14ac:dyDescent="0.3">
      <c r="A231" s="19" t="s">
        <v>122</v>
      </c>
    </row>
    <row r="232" spans="1:1" ht="20.100000000000001" customHeight="1" x14ac:dyDescent="0.3">
      <c r="A232" s="19" t="s">
        <v>123</v>
      </c>
    </row>
    <row r="233" spans="1:1" ht="20.100000000000001" customHeight="1" x14ac:dyDescent="0.3">
      <c r="A233" s="19" t="s">
        <v>124</v>
      </c>
    </row>
    <row r="234" spans="1:1" ht="20.100000000000001" customHeight="1" x14ac:dyDescent="0.3">
      <c r="A234" s="19" t="s">
        <v>125</v>
      </c>
    </row>
    <row r="235" spans="1:1" ht="20.100000000000001" customHeight="1" x14ac:dyDescent="0.3">
      <c r="A235" s="21" t="s">
        <v>126</v>
      </c>
    </row>
    <row r="236" spans="1:1" ht="20.100000000000001" customHeight="1" x14ac:dyDescent="0.3">
      <c r="A236" s="19" t="s">
        <v>127</v>
      </c>
    </row>
    <row r="237" spans="1:1" ht="20.100000000000001" customHeight="1" x14ac:dyDescent="0.3">
      <c r="A237" s="19" t="s">
        <v>128</v>
      </c>
    </row>
    <row r="238" spans="1:1" ht="20.100000000000001" customHeight="1" x14ac:dyDescent="0.3">
      <c r="A238" s="19" t="s">
        <v>129</v>
      </c>
    </row>
    <row r="239" spans="1:1" ht="20.100000000000001" customHeight="1" x14ac:dyDescent="0.3">
      <c r="A239" s="19" t="s">
        <v>130</v>
      </c>
    </row>
    <row r="240" spans="1:1" ht="20.100000000000001" customHeight="1" x14ac:dyDescent="0.3">
      <c r="A240" s="19" t="s">
        <v>131</v>
      </c>
    </row>
    <row r="241" spans="1:1" ht="20.100000000000001" customHeight="1" x14ac:dyDescent="0.3">
      <c r="A241" s="19" t="s">
        <v>132</v>
      </c>
    </row>
    <row r="242" spans="1:1" ht="20.100000000000001" customHeight="1" x14ac:dyDescent="0.3">
      <c r="A242" s="19" t="s">
        <v>133</v>
      </c>
    </row>
    <row r="243" spans="1:1" ht="20.100000000000001" customHeight="1" x14ac:dyDescent="0.3">
      <c r="A243" s="19" t="s">
        <v>134</v>
      </c>
    </row>
    <row r="244" spans="1:1" ht="20.100000000000001" customHeight="1" x14ac:dyDescent="0.3">
      <c r="A244" s="19" t="s">
        <v>135</v>
      </c>
    </row>
    <row r="245" spans="1:1" ht="20.100000000000001" customHeight="1" x14ac:dyDescent="0.3">
      <c r="A245" s="19" t="s">
        <v>136</v>
      </c>
    </row>
    <row r="246" spans="1:1" ht="20.100000000000001" customHeight="1" x14ac:dyDescent="0.3">
      <c r="A246" s="19" t="s">
        <v>137</v>
      </c>
    </row>
    <row r="247" spans="1:1" ht="20.100000000000001" customHeight="1" x14ac:dyDescent="0.3">
      <c r="A247" s="19" t="s">
        <v>128</v>
      </c>
    </row>
    <row r="248" spans="1:1" ht="20.100000000000001" customHeight="1" x14ac:dyDescent="0.3">
      <c r="A248" s="19" t="s">
        <v>138</v>
      </c>
    </row>
    <row r="249" spans="1:1" ht="20.100000000000001" customHeight="1" x14ac:dyDescent="0.3">
      <c r="A249" s="19" t="s">
        <v>139</v>
      </c>
    </row>
    <row r="250" spans="1:1" ht="20.100000000000001" customHeight="1" x14ac:dyDescent="0.3">
      <c r="A250" s="21" t="s">
        <v>140</v>
      </c>
    </row>
    <row r="251" spans="1:1" ht="20.100000000000001" customHeight="1" x14ac:dyDescent="0.3">
      <c r="A251" s="22" t="s">
        <v>141</v>
      </c>
    </row>
    <row r="252" spans="1:1" ht="20.100000000000001" customHeight="1" x14ac:dyDescent="0.3">
      <c r="A252" s="19" t="s">
        <v>142</v>
      </c>
    </row>
    <row r="253" spans="1:1" ht="20.100000000000001" customHeight="1" x14ac:dyDescent="0.3">
      <c r="A253" s="19" t="s">
        <v>143</v>
      </c>
    </row>
    <row r="254" spans="1:1" ht="20.100000000000001" customHeight="1" x14ac:dyDescent="0.3">
      <c r="A254" s="23" t="s">
        <v>144</v>
      </c>
    </row>
    <row r="255" spans="1:1" ht="20.100000000000001" customHeight="1" x14ac:dyDescent="0.3">
      <c r="A255" s="23" t="s">
        <v>145</v>
      </c>
    </row>
    <row r="256" spans="1:1" ht="20.100000000000001" customHeight="1" x14ac:dyDescent="0.3">
      <c r="A256" s="24" t="s">
        <v>146</v>
      </c>
    </row>
    <row r="257" spans="1:1" ht="20.100000000000001" customHeight="1" x14ac:dyDescent="0.3">
      <c r="A257" s="19" t="s">
        <v>147</v>
      </c>
    </row>
    <row r="258" spans="1:1" ht="20.100000000000001" customHeight="1" x14ac:dyDescent="0.3">
      <c r="A258" s="24" t="s">
        <v>148</v>
      </c>
    </row>
    <row r="259" spans="1:1" ht="20.100000000000001" customHeight="1" x14ac:dyDescent="0.3">
      <c r="A259" s="19" t="s">
        <v>149</v>
      </c>
    </row>
    <row r="260" spans="1:1" ht="20.100000000000001" customHeight="1" x14ac:dyDescent="0.3">
      <c r="A260" s="24" t="s">
        <v>150</v>
      </c>
    </row>
    <row r="261" spans="1:1" ht="20.100000000000001" customHeight="1" x14ac:dyDescent="0.3">
      <c r="A261" s="19" t="s">
        <v>151</v>
      </c>
    </row>
    <row r="262" spans="1:1" ht="20.100000000000001" customHeight="1" x14ac:dyDescent="0.3">
      <c r="A262" s="19" t="s">
        <v>152</v>
      </c>
    </row>
    <row r="263" spans="1:1" ht="20.100000000000001" customHeight="1" x14ac:dyDescent="0.3">
      <c r="A263" s="24" t="s">
        <v>153</v>
      </c>
    </row>
    <row r="264" spans="1:1" ht="20.100000000000001" customHeight="1" x14ac:dyDescent="0.3">
      <c r="A264" s="24" t="s">
        <v>154</v>
      </c>
    </row>
    <row r="265" spans="1:1" ht="20.100000000000001" customHeight="1" x14ac:dyDescent="0.3">
      <c r="A265" s="24" t="s">
        <v>155</v>
      </c>
    </row>
    <row r="266" spans="1:1" ht="20.100000000000001" customHeight="1" x14ac:dyDescent="0.3">
      <c r="A266" s="19" t="s">
        <v>156</v>
      </c>
    </row>
    <row r="267" spans="1:1" ht="20.100000000000001" customHeight="1" x14ac:dyDescent="0.3">
      <c r="A267" s="19" t="s">
        <v>157</v>
      </c>
    </row>
    <row r="268" spans="1:1" ht="20.100000000000001" customHeight="1" x14ac:dyDescent="0.3">
      <c r="A268" s="19" t="s">
        <v>158</v>
      </c>
    </row>
    <row r="269" spans="1:1" ht="20.100000000000001" customHeight="1" x14ac:dyDescent="0.3">
      <c r="A269" s="19" t="s">
        <v>159</v>
      </c>
    </row>
    <row r="270" spans="1:1" ht="20.100000000000001" customHeight="1" x14ac:dyDescent="0.3">
      <c r="A270" s="24" t="s">
        <v>160</v>
      </c>
    </row>
    <row r="271" spans="1:1" ht="20.100000000000001" customHeight="1" x14ac:dyDescent="0.3">
      <c r="A271" s="24" t="s">
        <v>161</v>
      </c>
    </row>
    <row r="272" spans="1:1" ht="20.100000000000001" customHeight="1" x14ac:dyDescent="0.3">
      <c r="A272" s="19" t="s">
        <v>162</v>
      </c>
    </row>
    <row r="273" spans="1:1" ht="20.100000000000001" customHeight="1" x14ac:dyDescent="0.3">
      <c r="A273" s="24" t="s">
        <v>163</v>
      </c>
    </row>
    <row r="274" spans="1:1" ht="20.100000000000001" customHeight="1" x14ac:dyDescent="0.3">
      <c r="A274" s="24" t="s">
        <v>164</v>
      </c>
    </row>
    <row r="275" spans="1:1" ht="20.100000000000001" customHeight="1" x14ac:dyDescent="0.3">
      <c r="A275" s="19" t="s">
        <v>165</v>
      </c>
    </row>
    <row r="276" spans="1:1" ht="20.100000000000001" customHeight="1" x14ac:dyDescent="0.3">
      <c r="A276" s="19" t="s">
        <v>166</v>
      </c>
    </row>
    <row r="277" spans="1:1" ht="20.100000000000001" customHeight="1" x14ac:dyDescent="0.3">
      <c r="A277" s="24" t="s">
        <v>167</v>
      </c>
    </row>
    <row r="278" spans="1:1" ht="20.100000000000001" customHeight="1" x14ac:dyDescent="0.3">
      <c r="A278" s="19" t="s">
        <v>168</v>
      </c>
    </row>
    <row r="279" spans="1:1" ht="20.100000000000001" customHeight="1" x14ac:dyDescent="0.3">
      <c r="A279" s="19" t="s">
        <v>169</v>
      </c>
    </row>
    <row r="280" spans="1:1" ht="20.100000000000001" customHeight="1" x14ac:dyDescent="0.3">
      <c r="A280" s="19" t="s">
        <v>170</v>
      </c>
    </row>
    <row r="281" spans="1:1" ht="20.100000000000001" customHeight="1" x14ac:dyDescent="0.3">
      <c r="A281" s="19" t="s">
        <v>171</v>
      </c>
    </row>
    <row r="282" spans="1:1" ht="20.100000000000001" customHeight="1" x14ac:dyDescent="0.3">
      <c r="A282" s="24" t="s">
        <v>172</v>
      </c>
    </row>
    <row r="283" spans="1:1" ht="20.100000000000001" customHeight="1" x14ac:dyDescent="0.3">
      <c r="A283" s="24" t="s">
        <v>173</v>
      </c>
    </row>
    <row r="284" spans="1:1" ht="20.100000000000001" customHeight="1" x14ac:dyDescent="0.3">
      <c r="A284" s="24" t="s">
        <v>174</v>
      </c>
    </row>
    <row r="285" spans="1:1" ht="20.100000000000001" customHeight="1" thickBot="1" x14ac:dyDescent="0.35">
      <c r="A285" s="19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18"/>
  <sheetViews>
    <sheetView rightToLeft="1" workbookViewId="0">
      <selection activeCell="B3" sqref="A3:B14"/>
    </sheetView>
  </sheetViews>
  <sheetFormatPr defaultRowHeight="14.4" x14ac:dyDescent="0.3"/>
  <cols>
    <col min="1" max="1" width="30.88671875" style="39" customWidth="1"/>
  </cols>
  <sheetData>
    <row r="1" spans="1:4" ht="16.8" thickTop="1" thickBot="1" x14ac:dyDescent="0.35">
      <c r="A1" s="90" t="s">
        <v>0</v>
      </c>
      <c r="B1" s="92" t="s">
        <v>1</v>
      </c>
      <c r="C1" s="93"/>
      <c r="D1" s="94" t="s">
        <v>2</v>
      </c>
    </row>
    <row r="2" spans="1:4" ht="16.8" thickTop="1" thickBot="1" x14ac:dyDescent="0.35">
      <c r="A2" s="91"/>
      <c r="B2" s="27" t="s">
        <v>3</v>
      </c>
      <c r="C2" s="27" t="s">
        <v>4</v>
      </c>
      <c r="D2" s="95"/>
    </row>
    <row r="3" spans="1:4" ht="27.6" thickTop="1" thickBot="1" x14ac:dyDescent="0.35">
      <c r="A3" s="34" t="s">
        <v>176</v>
      </c>
      <c r="B3" s="28">
        <v>5</v>
      </c>
      <c r="C3" s="29"/>
      <c r="D3" s="30"/>
    </row>
    <row r="4" spans="1:4" ht="40.799999999999997" thickTop="1" thickBot="1" x14ac:dyDescent="0.35">
      <c r="A4" s="34" t="s">
        <v>177</v>
      </c>
      <c r="B4" s="28">
        <v>10</v>
      </c>
      <c r="C4" s="29"/>
      <c r="D4" s="30"/>
    </row>
    <row r="5" spans="1:4" ht="27.6" thickTop="1" thickBot="1" x14ac:dyDescent="0.35">
      <c r="A5" s="34" t="s">
        <v>178</v>
      </c>
      <c r="B5" s="28">
        <v>5</v>
      </c>
      <c r="C5" s="29"/>
      <c r="D5" s="30"/>
    </row>
    <row r="6" spans="1:4" ht="27.6" thickTop="1" thickBot="1" x14ac:dyDescent="0.35">
      <c r="A6" s="34" t="s">
        <v>179</v>
      </c>
      <c r="B6" s="28">
        <v>5</v>
      </c>
      <c r="C6" s="29"/>
      <c r="D6" s="30"/>
    </row>
    <row r="7" spans="1:4" ht="27.6" thickTop="1" thickBot="1" x14ac:dyDescent="0.35">
      <c r="A7" s="34" t="s">
        <v>180</v>
      </c>
      <c r="B7" s="28">
        <v>5</v>
      </c>
      <c r="C7" s="29"/>
      <c r="D7" s="30"/>
    </row>
    <row r="8" spans="1:4" ht="27.6" thickTop="1" thickBot="1" x14ac:dyDescent="0.35">
      <c r="A8" s="34" t="s">
        <v>181</v>
      </c>
      <c r="B8" s="28">
        <v>5</v>
      </c>
      <c r="C8" s="29"/>
      <c r="D8" s="30"/>
    </row>
    <row r="9" spans="1:4" ht="27" thickTop="1" x14ac:dyDescent="0.3">
      <c r="A9" s="35" t="s">
        <v>182</v>
      </c>
      <c r="B9" s="31"/>
      <c r="C9" s="32"/>
      <c r="D9" s="33"/>
    </row>
    <row r="10" spans="1:4" ht="15.6" x14ac:dyDescent="0.3">
      <c r="A10" s="35" t="s">
        <v>183</v>
      </c>
      <c r="B10" s="31">
        <v>5</v>
      </c>
      <c r="C10" s="32"/>
      <c r="D10" s="33"/>
    </row>
    <row r="11" spans="1:4" ht="15.6" x14ac:dyDescent="0.3">
      <c r="A11" s="35" t="s">
        <v>184</v>
      </c>
      <c r="B11" s="31">
        <v>5</v>
      </c>
      <c r="C11" s="32"/>
      <c r="D11" s="33"/>
    </row>
    <row r="12" spans="1:4" ht="15.6" x14ac:dyDescent="0.3">
      <c r="A12" s="35" t="s">
        <v>185</v>
      </c>
      <c r="B12" s="31">
        <v>5</v>
      </c>
      <c r="C12" s="32"/>
      <c r="D12" s="33"/>
    </row>
    <row r="13" spans="1:4" ht="16.2" thickBot="1" x14ac:dyDescent="0.35">
      <c r="A13" s="34" t="s">
        <v>186</v>
      </c>
      <c r="B13" s="28">
        <v>5</v>
      </c>
      <c r="C13" s="29"/>
      <c r="D13" s="30"/>
    </row>
    <row r="14" spans="1:4" ht="40.799999999999997" thickTop="1" thickBot="1" x14ac:dyDescent="0.35">
      <c r="A14" s="34" t="s">
        <v>187</v>
      </c>
      <c r="B14" s="28">
        <v>5</v>
      </c>
      <c r="C14" s="29"/>
      <c r="D14" s="30"/>
    </row>
    <row r="15" spans="1:4" ht="16.8" thickTop="1" thickBot="1" x14ac:dyDescent="0.35">
      <c r="A15" s="36" t="s">
        <v>188</v>
      </c>
      <c r="B15" s="28">
        <v>60</v>
      </c>
      <c r="C15" s="29"/>
      <c r="D15" s="29"/>
    </row>
    <row r="16" spans="1:4" ht="16.8" thickTop="1" thickBot="1" x14ac:dyDescent="0.35">
      <c r="A16" s="37" t="s">
        <v>189</v>
      </c>
      <c r="B16" s="96" t="s">
        <v>190</v>
      </c>
      <c r="C16" s="97"/>
      <c r="D16" s="97"/>
    </row>
    <row r="17" spans="1:4" ht="16.2" thickBot="1" x14ac:dyDescent="0.35">
      <c r="A17" s="38" t="s">
        <v>191</v>
      </c>
      <c r="B17" s="98"/>
      <c r="C17" s="99"/>
      <c r="D17" s="99"/>
    </row>
    <row r="18" spans="1:4" ht="15" thickTop="1" x14ac:dyDescent="0.3"/>
  </sheetData>
  <mergeCells count="5">
    <mergeCell ref="A1:A2"/>
    <mergeCell ref="B1:C1"/>
    <mergeCell ref="D1:D2"/>
    <mergeCell ref="B16:D16"/>
    <mergeCell ref="B17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2025-10-22T04:16:53Z</dcterms:modified>
</cp:coreProperties>
</file>