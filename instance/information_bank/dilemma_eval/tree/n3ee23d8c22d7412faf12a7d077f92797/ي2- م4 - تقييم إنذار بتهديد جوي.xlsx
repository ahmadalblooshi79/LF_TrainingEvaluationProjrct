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98602DC-0E9D-40D3-A78C-8E038AA4DA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 s="1"/>
  <c r="G10" i="2"/>
  <c r="H10" i="2"/>
  <c r="G12" i="2"/>
  <c r="H12" i="2" s="1"/>
  <c r="G11" i="2"/>
  <c r="H11" i="2"/>
  <c r="G13" i="2"/>
  <c r="H13" i="2" s="1"/>
  <c r="G16" i="2"/>
  <c r="H16" i="2" s="1"/>
  <c r="G18" i="2"/>
  <c r="H18" i="2"/>
  <c r="G8" i="2"/>
  <c r="H8" i="2"/>
  <c r="F19" i="2"/>
  <c r="E20" i="2" s="1"/>
  <c r="E21" i="2" s="1"/>
  <c r="E19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<sst xmlns="http://schemas.openxmlformats.org/spreadsheetml/2006/main" count="247" uniqueCount="191">
  <si>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</si>
  <si>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</si>
  <si>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</si>
  <si>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</si>
  <si>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</si>
  <si>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</si>
  <si>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</si>
  <si>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</si>
  <si>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</si>
  <si>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</si>
  <si>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</si>
  <si>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</si>
  <si>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</si>
  <si>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</si>
  <si>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</si>
  <si>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</si>
  <si>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</si>
  <si>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</si>
  <si>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</si>
  <si>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</si>
  <si>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</si>
  <si>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</si>
  <si>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</si>
  <si>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</si>
  <si>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</si>
  <si>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</si>
  <si>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</si>
  <si>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</si>
  <si>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</si>
  <si>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</si>
  <si>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</si>
  <si>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</si>
  <si>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</si>
  <si>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</si>
  <si>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</si>
  <si>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</si>
  <si>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</si>
  <si>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</si>
  <si>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</si>
  <si>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</si>
  <si>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</si>
  <si>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</si>
  <si>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</si>
  <si>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</si>
  <si>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</si>
  <si>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</si>
  <si>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</si>
  <si>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</si>
  <si>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</si>
  <si>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</si>
  <si>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</si>
  <si>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</si>
  <si>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</si>
  <si>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</si>
  <si>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</si>
  <si>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</si>
  <si>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</si>
  <si>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</si>
  <si>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</si>
  <si>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</si>
  <si>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</si>
  <si>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</si>
  <si>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</si>
  <si>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</si>
  <si>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</si>
  <si>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</si>
  <si>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</si>
  <si>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</si>
  <si>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</si>
  <si>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</si>
  <si>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</si>
  <si>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</si>
  <si>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</si>
  <si>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</si>
  <si>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</si>
  <si>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</si>
  <si>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</si>
  <si>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</si>
  <si>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</si>
  <si>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</si>
  <si>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</si>
  <si>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</si>
  <si>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</si>
  <si>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</si>
  <si>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</si>
  <si>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</si>
  <si>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</si>
  <si>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</si>
  <si>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</si>
  <si>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</si>
  <si>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</si>
  <si>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</si>
  <si>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</si>
  <si>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</si>
  <si>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</si>
  <si>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</si>
  <si>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</si>
  <si>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</si>
  <si>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</si>
  <si>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</si>
  <si>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</si>
  <si>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</si>
  <si>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</si>
  <si>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</si>
  <si>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</si>
  <si>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</si>
  <si>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</si>
  <si>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</si>
  <si>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</si>
  <si>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</si>
  <si>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</si>
  <si>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</si>
  <si>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</si>
  <si>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</si>
  <si>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</si>
  <si>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</si>
  <si>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</si>
  <si>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</si>
  <si>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</si>
  <si>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</si>
  <si>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</si>
  <si>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</si>
  <si>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</si>
  <si>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</si>
  <si>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</si>
  <si>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</si>
  <si>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</si>
  <si>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</si>
  <si>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</si>
  <si>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</si>
  <si>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</si>
  <si>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</si>
  <si>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</si>
  <si>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</si>
  <si>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</si>
  <si>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</si>
  <si>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</si>
  <si>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</si>
  <si>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</si>
  <si>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</si>
  <si>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</si>
  <si>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</si>
  <si>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</si>
  <si>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</si>
  <si>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</si>
  <si>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</si>
  <si>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</si>
  <si>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</si>
  <si>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</si>
  <si>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</si>
  <si>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</si>
  <si>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</si>
  <si>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</si>
  <si>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</si>
  <si>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</si>
  <si>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</si>
  <si>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</si>
  <si>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</si>
  <si>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</si>
  <si>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</si>
  <si>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</si>
  <si>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</si>
  <si>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</si>
  <si>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</si>
  <si>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</si>
  <si>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</si>
  <si>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</si>
  <si>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</si>
  <si>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</si>
  <si>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</si>
  <si>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</si>
  <si>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</si>
  <si>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</si>
  <si>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</si>
  <si>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</si>
  <si>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</si>
  <si>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</si>
  <si>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</si>
  <si>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</si>
  <si>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</si>
  <si>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</si>
  <si>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</si>
  <si>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</si>
  <si>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</si>
  <si>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</si>
  <si>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</si>
  <si>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</si>
  <si>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</si>
  <si>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</si>
  <si>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</si>
  <si>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اليوم/2 - تقييم معضلة/4 -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</si>
</sst>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3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128138</xdr:colOff>
      <xdr:row>22</xdr:row>
      <xdr:rowOff>48995</xdr:rowOff>
    </xdr:from>
    <xdr:to>
      <xdr:col>8</xdr:col>
      <xdr:colOff>460475</xdr:colOff>
      <xdr:row>22</xdr:row>
      <xdr:rowOff>410075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1A03C0B-D463-529C-C519-EBCB16B4E10F}"/>
                </a:ext>
              </a:extLst>
            </xdr14:cNvPr>
            <xdr14:cNvContentPartPr/>
          </xdr14:nvContentPartPr>
          <xdr14:nvPr macro=""/>
          <xdr14:xfrm>
            <a:off x="10423242325" y="10344960"/>
            <a:ext cx="986760" cy="3610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1A03C0B-D463-529C-C519-EBCB16B4E10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33325" y="10335960"/>
              <a:ext cx="1004400" cy="37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29195</xdr:colOff>
      <xdr:row>22</xdr:row>
      <xdr:rowOff>139715</xdr:rowOff>
    </xdr:from>
    <xdr:to>
      <xdr:col>9</xdr:col>
      <xdr:colOff>64531</xdr:colOff>
      <xdr:row>22</xdr:row>
      <xdr:rowOff>527435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DC5FEF2-F3E9-0A14-5F2B-39DEA2F899A1}"/>
                </a:ext>
              </a:extLst>
            </xdr14:cNvPr>
            <xdr14:cNvContentPartPr/>
          </xdr14:nvContentPartPr>
          <xdr14:nvPr macro=""/>
          <xdr14:xfrm>
            <a:off x="10422983845" y="10435680"/>
            <a:ext cx="689760" cy="387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DC5FEF2-F3E9-0A14-5F2B-39DEA2F899A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974845" y="10426680"/>
              <a:ext cx="707400" cy="405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18:33.6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2148 596 7705,'0'0'0,"0"0"0,0-2 3369,-4-1-1241,1 0-1384,-1-1-431,2 2-129,2-1-56,0 3-128,0-3 128,0 0 32,0 1-40,0 1-32,0-1 0,1 0-128,-1 2 40,1-2 0,0-1-16,2 2-32,-1 0 0,-1 0-120,1-3-24,-2 4 192,3-2-264,-1-2 32,2 2-49,1-2 17,4 2 32,-5-2-32,-4 4 264,12-3-264,-7-1 32,8 0 24,-2 1 16,-1 2 40,4-3 48,-14 4 104,12-4-120,1 1 0,1-1 48,-1 2-64,2-2 72,0 1-64,-15 3 128,16-4-104,-1 2 24,3-1-24,-2 2 56,1 0 40,0-2-80,-17 3 88,16-1-56,2 1-16,0 0-56,0 0 96,-1 0-40,0 0-8,-17 0 80,15 0-56,1 3 8,-1-1 24,1 2 32,1-1-48,-3 1-80,-14-4 120,15 9-88,-1-6-24,1 6 24,-2-5 104,-1 7-72,-1-9-48,-11-2 104,9 12-72,-4-9-88,5 8 15,-6-7 57,1 8-48,-1-1 8,-4-11 128,3 11-128,-1 1-8,0 2 40,-2-1 64,0 2-56,-4 0 32,4-15 56,-9 15-8,5 0-72,-9 1 144,2 0-40,-2 1-24,-2-1 40,15-16-40,-16 15 24,-2 1 32,-1 1 104,-1-3-112,0 1 64,0-1-40,20-14-72,-22 12 0,2 0 104,-2-1-48,-1-8 40,1 10-48,-3-9-8,25-4-40,-25 11 49,0-9-17,0 2 88,-1-2-24,0-2-32,1 0-8,25 0-56,-25 0 40,-1 0 8,0-1 72,-2-3-40,0-6-8,1 6-8,27 4-64,-27-11 56,1 8 88,0-9-48,-1 2-8,0 5 56,0-7 0,27 12-144,-26-4 240,-2-8 72,2 7-8,0-7-96,1 8-8,-1-7-72,26 11-128,-25-3 128,0-2 8,0-5-40,-1 8-8,-2-2-8,0 2 8,28 2-88,-29-2 88,1-2 56,-2 2 0,2-2 8,2 2 16,-4 0-16,30 2-152,-26-2 152,-4 1-24,1-2-39,0 2 63,-1-1-24,0-1 32,30 3-160,-29-2 168,2 0 56,-1-2-112,1 0 0,-2 1 0,-2-1-112,31 4 0,-28-5 144,0 1 16,-1-6-24,2 6-16,0-7-32,-1 7-72,28 4-16,-26-13 64,0 8-16,-1-9-8,2 3 0,-1-1-24,-1 0 8,27 12-24,-24-13-32,2-3-24,0 3-8,3-2-32,0 1 56,-3 0-8,22 14 48,-17-13-96,0 1-8,2 0-16,3 0-56,-2 0 0,3 0-40,11 12 216,-11-12-256,0 0 0,8 0-48,-9 1 23,12-1-71,0 1-136,0 11 488,0-12-616,0 1-136,1 1-8,2-2 32,1 1 64,6-2 143,-10 13 521,9-15-456,1 1 72,6-2 56,0 1 32,2-1 64,4-2 96,-22 18 136,24-17-128,0-1-24,3 0-24,2 2-16,0 0 32,3 2 24,-32 14 136,34-15-80,-1 1 40,3 2 24,1 0 32,-1 0-8,1 1 32,-37 11-40,41-12 40,0 3 0,-2-1-8,0 5 0,-5-6 0,0 8-8,-34 3-24,34-4 40,-2 1-8,-1-1 24,-1 3 8,0 0-8,0-1 8,-30 2-64,28 0 72,-1 0 16,-3 0 8,0 4 16,0 0-8,-2-1-16,-22-3-88,21 4 80,2 5 8,-5-6-16,1 0 8,0 8-16,-2-7 0,-17-4-64,17 12 32,-3-9 32,-1 12-16,1-12 8,-4 13 32,1-5-16,-11-11-72,11 10 112,-6 1-56,8 1 16,-9 0 8,0 1-40,1 1 40,-5-14-80,4 13 96,-2 1-32,-1 1 24,1 0-8,-2 1 24,-3-1 72,3-15-176,-2 16 168,-2-1 41,-5 1-25,5 1-24,-8-2 32,1 1 56,11-16-248,-11 14 200,-2 3 24,0-1 32,-1 0-88,-3 2 104,0-2 24,17-16-296,-19 13 224,-3 3 64,1-2-16,-2 1 0,-1 0 64,0 0 64,24-15-400,-26 14 336,1-1-24,-1 0-7,0 2-121,-2 0 64,-1 1-24,29-16-224,-31 12 120,0 2 16,0-2-56,-1 1 8,-1 2 96,1-2-128,32-13-56,-35 12 168,-2 1-8,-1 0 24,-3 0 48,-1 1-64,2-2-24,40-12-144,-43 13 104,3 0 56,-3 0-40,-1 2 48,4-3-104,-2-1-88,42-11 24,-42 11-24,0 1-24,-1 0 120,1-2 56,1 1 0,2-2-120,39-9-8,-39 10 0,2-1-40,0-5-32,1 8 56,1-10-8,3 9 0,32-11 24,-29 3-16,2 0-32,-1 9-16,3-12-16,1 3-160,2-1-296,22-2 536,-19 2-768,1-2-280,3 0-185,0 0-63,3 0-376,1 0-481,11 0 2153,-9 0-2224,-1-2 439,7-2 625,-9 0 640,9-7-1728,3 11 2248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18:34.7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1912 120 4648,'0'0'0,"0"0"0,0 0 1233,1 0-305,0 0-568,0 0-80,-1 0 96,0 0 144,0 0-520,0 0 672,0 0 73,0 2-9,0-2-96,0 3-80,-3-1-72,0 1-16,3-3-472,-9 2 432,5 2 0,-5-1-64,-2 9-47,-1-8-33,-3 9-96,15-13-192,-18 11 136,-1-1-32,-2 4-32,-2-1-24,-1-1 16,0 0-16,24-12-48,-26 13 64,-2 0 0,-2 3-16,0-1-8,-1 2-24,-4 0-8,35-17-8,-36 17-32,0 2 0,-3 0-16,4-1 32,-1 0 32,-1-4 0,37-14-16,-34 15 32,0-1-48,0-1-16,6-1-24,-3 0-72,2-2-144,29-10 272,-28 9-592,-1-5-393,3 8-487,0-10-520,3 9-473,0-8 289,23-3 2176,-22 2-1497,3-2 593,-1 0 608,0 0-1864,20 0 2160</inkml:trace>
  <inkml:trace contextRef="#ctx0" brushRef="#br0" timeOffset="1">869 312 7105,'0'0'0,"0"0"2865,-2 0-1121,-2 0-936,4 0-808,-2 0 440,-1 0-136,1 0-16,2 0-24,-2 0 1,-1 0-57,3 0-208,-2 0 208,-1 0-104,1 2-64,-2 0 8,1-2-80,-7 4 32,10-4 0,-2 4 8,-2-1-48,-7 1-24,9 5-16,-2-6-80,-6 0-16,10-3 176,-3 4-161,0 6-127,-8-8-64,9 2-152,-2 5-248,0-9-104,4 0 856,-3 4-992,-1-1-113,1 1 1,-1 0-8,0-2-16,1 0 136,3-2 992,-4 0-769,1 0 201,-7 3 264,7-3 152,-6 2 80,7 1 80,2-3-8,-11 0 56,7 0 64,-9 2 80,3 0 96,0 1 104,-2-1 128,12-2-528,-14 3 609,-1-1 71,-1 0 32,1 1-32,-3-1-8,0 2-56,18-4-616,-19 2 616,-1 2-79,1-2-81,-1 2-56,-2-1-32,2 1 8,20-4-376,-20 4 376,-2-1-56,1-1-64,0 1-32,1-1-32,-2-2 32,22 0-224,-21 3 184,0-3-72,1 0 0,1 0-96,-1 0 72,2-2 8,18 2-96,-18-3 16,2-1 24,0 1-80,1-2-40,0-5 64,1 7 40,14 3-24,-13-12-128,-1 2-72,2 1-144,2-5-216,0 0 168,7-2 24,3 16 368,-14-15-384,12-1-72,-8-1-248,8 1-9,-2-2-31,1 0 120,3 18 624,-3-16-480,3-1 32,0 2 168,0-1 120,2-2 0,0 3 64,-2 15 96,3-15-88,1 0-16,6 2 56,-8-2 64,3 2 88,5 1 8,-10 12-112,3-12 176,8 2-16,-8 1-48,9 4 24,-8-7 32,8 8-64,-12 4-104,5-9 96,5 5 16,-6 1-56,7-1 24,-8 2-56,2 0-48,-5 2 24,5-1-64,-1 0-40,-1 1-40,1 0 8,-1 4-32,0-1 16,-3-3 152,1 11-104,0-7-24,1 10 88,-1-1 56,0 3 80,-1 3 64,0-19-160,0 20 168,0 3-56,0 1-32,-2 1 0,-1 0 0,-1 3 32,4-28-112,-3 28 120,-1-1-32,1 2 80,-1 2 8,0 0 40,1 2 88,3-33-304,-4 32 296,1-1 16,0-1 24,1 0 17,2 0-33,0 0 24,0-30-344,0 30 320,0-1-32,4-1 56,-1 1 8,8 0-16,-7 0-56,-4-29-280,11 26 208,-1-1-24,1-1-56,3 0 8,2-2 0,1-2-40,-17-20-96,18 20 120,2-2 0,3 0 0,2-1 8,0-2-8,4-1-24,-29-14-96,28 11 96,3 0-40,2-2-32,1-5 8,2 8-56,2-10-40,-38-2 64,41 10-48,2-8-8,1 0 0,3 1-32,2-1-32,3-2-184,-52 0 304,52 0-664,2 0-496,3 0-768,3 0-769,-1-3 617,4-7 615,-63 10 1465,64-9-2920,-64 9 2920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A13" zoomScale="130" zoomScaleNormal="100" zoomScaleSheetLayoutView="130" workbookViewId="0">
      <selection activeCell="F16" sqref="F1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9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190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1" t="s">
        <v>8</v>
      </c>
      <c r="C2" s="60" t="s">
        <v>41</v>
      </c>
      <c r="D2" s="60"/>
      <c r="E2" s="11" t="s">
        <v>7</v>
      </c>
      <c r="F2" s="55">
        <v>45944</v>
      </c>
      <c r="G2" s="55"/>
      <c r="H2" s="55"/>
      <c r="I2" s="55"/>
      <c r="J2" s="55"/>
    </row>
    <row r="3" spans="1:10" ht="30" customHeight="1" x14ac:dyDescent="0.3">
      <c r="B3" s="11" t="s">
        <v>9</v>
      </c>
      <c r="C3" s="60" t="s">
        <v>82</v>
      </c>
      <c r="D3" s="60"/>
      <c r="E3" s="11" t="s">
        <v>6</v>
      </c>
      <c r="F3" s="60" t="s">
        <v>92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56" t="s">
        <v>0</v>
      </c>
      <c r="C5" s="57"/>
      <c r="D5" s="57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9"/>
      <c r="B6" s="58"/>
      <c r="C6" s="59"/>
      <c r="D6" s="59"/>
      <c r="E6" s="10" t="s">
        <v>3</v>
      </c>
      <c r="F6" s="10" t="s">
        <v>4</v>
      </c>
      <c r="G6" s="10" t="s">
        <v>23</v>
      </c>
      <c r="H6" s="10" t="s">
        <v>24</v>
      </c>
      <c r="I6" s="63"/>
      <c r="J6" s="64"/>
    </row>
    <row r="7" spans="1:10" ht="24.9" customHeight="1" x14ac:dyDescent="0.3">
      <c r="A7" s="9"/>
      <c r="B7" s="50" t="s">
        <v>21</v>
      </c>
      <c r="C7" s="51"/>
      <c r="D7" s="51"/>
      <c r="E7" s="30" t="s">
        <v>18</v>
      </c>
      <c r="F7" s="30" t="s">
        <v>19</v>
      </c>
      <c r="G7" s="30" t="s">
        <v>22</v>
      </c>
      <c r="H7" s="30" t="s">
        <v>20</v>
      </c>
      <c r="I7" s="52" t="s">
        <v>25</v>
      </c>
      <c r="J7" s="53"/>
    </row>
    <row r="8" spans="1:10" ht="60" customHeight="1" x14ac:dyDescent="0.3">
      <c r="A8" s="9"/>
      <c r="B8" s="39" t="s">
        <v>188</v>
      </c>
      <c r="C8" s="39"/>
      <c r="D8" s="39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0"/>
      <c r="J8" s="40"/>
    </row>
    <row r="9" spans="1:10" ht="39.9" customHeight="1" x14ac:dyDescent="0.3">
      <c r="A9" s="9"/>
      <c r="B9" s="39" t="s">
        <v>180</v>
      </c>
      <c r="C9" s="39"/>
      <c r="D9" s="39"/>
      <c r="E9" s="32">
        <v>3</v>
      </c>
      <c r="F9" s="25">
        <v>2</v>
      </c>
      <c r="G9" s="33">
        <f t="shared" ref="G9" si="0">IFERROR(F9/E9,"")</f>
        <v>0.66666666666666663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مقبول</v>
      </c>
      <c r="I9" s="40"/>
      <c r="J9" s="40"/>
    </row>
    <row r="10" spans="1:10" ht="39.9" customHeight="1" x14ac:dyDescent="0.3">
      <c r="A10" s="9"/>
      <c r="B10" s="39" t="s">
        <v>182</v>
      </c>
      <c r="C10" s="41"/>
      <c r="D10" s="41"/>
      <c r="E10" s="32">
        <v>3</v>
      </c>
      <c r="F10" s="25">
        <v>2</v>
      </c>
      <c r="G10" s="33">
        <f t="shared" ref="G10" si="2">IFERROR(F10/E10,"")</f>
        <v>0.66666666666666663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مقبول</v>
      </c>
      <c r="I10" s="40"/>
      <c r="J10" s="40"/>
    </row>
    <row r="11" spans="1:10" ht="30" customHeight="1" x14ac:dyDescent="0.3">
      <c r="A11" s="9"/>
      <c r="B11" s="39" t="s">
        <v>178</v>
      </c>
      <c r="C11" s="39"/>
      <c r="D11" s="39"/>
      <c r="E11" s="32">
        <v>3</v>
      </c>
      <c r="F11" s="25">
        <v>2.25</v>
      </c>
      <c r="G11" s="33">
        <f>IFERROR(F11/E11,"")</f>
        <v>0.75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</v>
      </c>
      <c r="I11" s="40"/>
      <c r="J11" s="40"/>
    </row>
    <row r="12" spans="1:10" ht="30" customHeight="1" x14ac:dyDescent="0.3">
      <c r="A12" s="9"/>
      <c r="B12" s="39" t="s">
        <v>179</v>
      </c>
      <c r="C12" s="39"/>
      <c r="D12" s="39"/>
      <c r="E12" s="32">
        <v>3</v>
      </c>
      <c r="F12" s="25">
        <v>2</v>
      </c>
      <c r="G12" s="33">
        <f>IFERROR(F12/E12,"")</f>
        <v>0.66666666666666663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مقبول</v>
      </c>
      <c r="I12" s="40"/>
      <c r="J12" s="40"/>
    </row>
    <row r="13" spans="1:10" ht="39.9" customHeight="1" x14ac:dyDescent="0.3">
      <c r="A13" s="9"/>
      <c r="B13" s="39" t="s">
        <v>189</v>
      </c>
      <c r="C13" s="39"/>
      <c r="D13" s="39"/>
      <c r="E13" s="32">
        <v>3</v>
      </c>
      <c r="F13" s="25">
        <v>2</v>
      </c>
      <c r="G13" s="33">
        <f t="shared" ref="G13:G18" si="4">IFERROR(F13/E13,"")</f>
        <v>0.66666666666666663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مقبول</v>
      </c>
      <c r="I13" s="40"/>
      <c r="J13" s="40"/>
    </row>
    <row r="14" spans="1:10" ht="30" customHeight="1" x14ac:dyDescent="0.3">
      <c r="A14" s="9"/>
      <c r="B14" s="39" t="s">
        <v>183</v>
      </c>
      <c r="C14" s="39"/>
      <c r="D14" s="39"/>
      <c r="E14" s="32">
        <v>3</v>
      </c>
      <c r="F14" s="25">
        <v>2</v>
      </c>
      <c r="G14" s="33">
        <f t="shared" ref="G14" si="6">IFERROR(F14/E14,"")</f>
        <v>0.66666666666666663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مقبول</v>
      </c>
      <c r="I14" s="40"/>
      <c r="J14" s="40"/>
    </row>
    <row r="15" spans="1:10" ht="39.9" customHeight="1" x14ac:dyDescent="0.3">
      <c r="A15" s="9"/>
      <c r="B15" s="39" t="s">
        <v>184</v>
      </c>
      <c r="C15" s="39"/>
      <c r="D15" s="39"/>
      <c r="E15" s="32">
        <v>3</v>
      </c>
      <c r="F15" s="25">
        <v>2</v>
      </c>
      <c r="G15" s="33">
        <f t="shared" ref="G15" si="8">IFERROR(F15/E15,"")</f>
        <v>0.66666666666666663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مقبول</v>
      </c>
      <c r="I15" s="40"/>
      <c r="J15" s="40"/>
    </row>
    <row r="16" spans="1:10" ht="60" customHeight="1" x14ac:dyDescent="0.3">
      <c r="A16" s="9"/>
      <c r="B16" s="47" t="s">
        <v>185</v>
      </c>
      <c r="C16" s="48"/>
      <c r="D16" s="49"/>
      <c r="E16" s="32">
        <v>3</v>
      </c>
      <c r="F16" s="25">
        <v>2.25</v>
      </c>
      <c r="G16" s="33">
        <f t="shared" si="4"/>
        <v>0.75</v>
      </c>
      <c r="H16" s="34" t="str">
        <f t="shared" si="5"/>
        <v>جيد</v>
      </c>
      <c r="I16" s="40"/>
      <c r="J16" s="40"/>
    </row>
    <row r="17" spans="1:10" ht="39.9" customHeight="1" x14ac:dyDescent="0.3">
      <c r="A17" s="9"/>
      <c r="B17" s="39" t="s">
        <v>186</v>
      </c>
      <c r="C17" s="41"/>
      <c r="D17" s="41"/>
      <c r="E17" s="32">
        <v>3</v>
      </c>
      <c r="F17" s="29">
        <v>2.25</v>
      </c>
      <c r="G17" s="33">
        <f>IFERROR(F17/E17,"")</f>
        <v>0.75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جيد</v>
      </c>
      <c r="I17" s="40"/>
      <c r="J17" s="40"/>
    </row>
    <row r="18" spans="1:10" ht="60" customHeight="1" x14ac:dyDescent="0.3">
      <c r="A18" s="9"/>
      <c r="B18" s="39" t="s">
        <v>181</v>
      </c>
      <c r="C18" s="39"/>
      <c r="D18" s="39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0"/>
      <c r="J18" s="40"/>
    </row>
    <row r="19" spans="1:10" ht="30" customHeight="1" thickBot="1" x14ac:dyDescent="0.35">
      <c r="A19" s="4"/>
      <c r="B19" s="73" t="s">
        <v>5</v>
      </c>
      <c r="C19" s="74"/>
      <c r="D19" s="74"/>
      <c r="E19" s="31">
        <f>SUM(E8:E18)</f>
        <v>33</v>
      </c>
      <c r="F19" s="31">
        <f>SUM(F8:F18)</f>
        <v>23.25</v>
      </c>
      <c r="G19" s="42"/>
      <c r="H19" s="43"/>
      <c r="I19" s="43"/>
      <c r="J19" s="44"/>
    </row>
    <row r="20" spans="1:10" ht="30" customHeight="1" thickBot="1" x14ac:dyDescent="0.35">
      <c r="A20" s="4"/>
      <c r="B20" s="75" t="s">
        <v>54</v>
      </c>
      <c r="C20" s="76"/>
      <c r="D20" s="76"/>
      <c r="E20" s="45">
        <f>F19/E19/100*100</f>
        <v>0.70454545454545459</v>
      </c>
      <c r="F20" s="45"/>
      <c r="G20" s="45"/>
      <c r="H20" s="45"/>
      <c r="I20" s="45"/>
      <c r="J20" s="46"/>
    </row>
    <row r="21" spans="1:10" ht="30" customHeight="1" thickBot="1" x14ac:dyDescent="0.35">
      <c r="A21" s="4"/>
      <c r="B21" s="75" t="s">
        <v>55</v>
      </c>
      <c r="C21" s="76"/>
      <c r="D21" s="76"/>
      <c r="E21" s="65" t="str">
        <f>_xlfn.IFS(E20&gt;=90%,"ممتاز",E20&gt;=80%,"جيد جداً",E20&gt;=70%,"جيد",E20&gt;=60%,"مقبول",E20&lt;60%,"راسب")</f>
        <v>جيد</v>
      </c>
      <c r="F21" s="65"/>
      <c r="G21" s="65"/>
      <c r="H21" s="65"/>
      <c r="I21" s="65"/>
      <c r="J21" s="66"/>
    </row>
    <row r="22" spans="1:10" ht="42" customHeight="1" x14ac:dyDescent="0.3">
      <c r="B22" s="35" t="s">
        <v>187</v>
      </c>
      <c r="C22" s="35"/>
      <c r="D22" s="35"/>
      <c r="E22" s="77" t="s">
        <v>52</v>
      </c>
      <c r="F22" s="77"/>
      <c r="G22" s="37" t="s">
        <v>92</v>
      </c>
      <c r="H22" s="37"/>
      <c r="I22" s="37"/>
      <c r="J22" s="37"/>
    </row>
    <row r="23" spans="1:10" ht="51" customHeight="1" x14ac:dyDescent="0.3">
      <c r="A23" s="5"/>
      <c r="B23" s="36"/>
      <c r="C23" s="36"/>
      <c r="D23" s="36"/>
      <c r="E23" s="78" t="s">
        <v>53</v>
      </c>
      <c r="F23" s="78"/>
      <c r="G23" s="38"/>
      <c r="H23" s="38"/>
      <c r="I23" s="38"/>
      <c r="J23" s="38"/>
    </row>
    <row r="24" spans="1:10" ht="15.6" x14ac:dyDescent="0.3">
      <c r="A24" s="26">
        <v>3</v>
      </c>
      <c r="B24" s="67" t="s">
        <v>175</v>
      </c>
      <c r="C24" s="68"/>
    </row>
    <row r="25" spans="1:10" ht="15.6" x14ac:dyDescent="0.3">
      <c r="A25" s="27">
        <v>2</v>
      </c>
      <c r="B25" s="69" t="s">
        <v>176</v>
      </c>
      <c r="C25" s="70"/>
    </row>
    <row r="26" spans="1:10" ht="15.6" x14ac:dyDescent="0.3">
      <c r="A26" s="28">
        <v>1</v>
      </c>
      <c r="B26" s="71" t="s">
        <v>177</v>
      </c>
      <c r="C26" s="7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3:J13"/>
    <mergeCell ref="B8:D8"/>
    <mergeCell ref="B13:D13"/>
    <mergeCell ref="B11:D11"/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10">
      <formula>$E21="ممتاز"</formula>
    </cfRule>
    <cfRule type="expression" dxfId="12" priority="109">
      <formula>$E21="جيد جداً"</formula>
    </cfRule>
    <cfRule type="expression" dxfId="11" priority="108">
      <formula>$E21="جيد"</formula>
    </cfRule>
    <cfRule type="expression" dxfId="10" priority="107">
      <formula>$E21="مقبول"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6" operator="containsText" text="راسب">
      <formula>NOT(ISERROR(SEARCH("راسب",H8)))</formula>
    </cfRule>
    <cfRule type="containsText" dxfId="3" priority="2" operator="containsText" text="ممتاز">
      <formula>NOT(ISERROR(SEARCH("ممتاز",H8)))</formula>
    </cfRule>
    <cfRule type="containsText" dxfId="2" priority="3" operator="containsText" text="جيد جداً">
      <formula>NOT(ISERROR(SEARCH("جيد جداً",H8)))</formula>
    </cfRule>
    <cfRule type="containsText" dxfId="1" priority="4" operator="containsText" text="جيد">
      <formula>NOT(ISERROR(SEARCH("جيد",H8)))</formula>
    </cfRule>
    <cfRule type="containsText" dxfId="0" priority="5" operator="containsText" text="مقبول">
      <formula>NOT(ISERROR(SEARCH("مقبول",H8)))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2025-10-15T17:34:35Z</dcterms:modified>
</cp:coreProperties>
</file>