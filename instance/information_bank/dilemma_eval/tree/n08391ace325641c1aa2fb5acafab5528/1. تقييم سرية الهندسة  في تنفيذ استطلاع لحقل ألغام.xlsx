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E1E5BF77-E5C5-4811-AB03-CFD025B60093}"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c r="G10" i="2"/>
  <c r="H10" i="2"/>
  <c r="G11" i="2"/>
  <c r="H11" i="2"/>
  <c r="G12" i="2"/>
  <c r="H12" i="2"/>
  <c r="G13" i="2"/>
  <c r="H13" i="2"/>
  <c r="G14" i="2"/>
  <c r="H14" i="2"/>
  <c r="G15" i="2"/>
  <c r="H15" i="2"/>
  <c r="G16" i="2"/>
  <c r="H16" i="2"/>
  <c r="G18" i="2"/>
  <c r="H18" i="2"/>
  <c r="G19" i="2"/>
  <c r="H19" i="2"/>
  <c r="G20" i="2"/>
  <c r="H20" i="2"/>
  <c r="G21" i="2"/>
  <c r="H21" i="2"/>
  <c r="G22" i="2"/>
  <c r="H22" i="2"/>
  <c r="G24" i="2"/>
  <c r="H24" i="2"/>
  <c r="G25" i="2"/>
  <c r="H25" i="2"/>
  <c r="G26" i="2"/>
  <c r="H26" i="2"/>
  <c r="G27" i="2"/>
  <c r="H27" i="2"/>
  <c r="G28" i="2"/>
  <c r="H28" i="2"/>
  <c r="G29" i="2"/>
  <c r="H29" i="2"/>
  <c r="G30" i="2"/>
  <c r="H30" i="2"/>
  <c r="G31" i="2"/>
  <c r="H31" i="2"/>
  <c r="G32" i="2"/>
  <c r="H32" i="2"/>
  <c r="F33" i="2"/>
  <c r="E33" i="2"/>
  <c r="E34" i="2"/>
  <c r="E35" i="2"/>
</calcChain>
</file>

<file path=xl/sharedStrings.xml><?xml version="1.0" encoding="utf-8"?>
<sst xmlns="http://schemas.openxmlformats.org/spreadsheetml/2006/main" count="259" uniqueCount="203">
  <si>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</si>
  <si>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</si>
  <si>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</si>
  <si>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</si>
  <si>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</si>
  <si>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</si>
  <si>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</si>
  <si>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</si>
  <si>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</si>
  <si>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</si>
  <si>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</si>
  <si>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</si>
  <si>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</si>
  <si>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</si>
  <si>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</si>
  <si>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</si>
  <si>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</si>
  <si>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</si>
  <si>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</si>
  <si>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</si>
  <si>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</si>
  <si>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</si>
  <si>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</si>
  <si>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</si>
  <si>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</si>
  <si>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</si>
  <si>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</si>
  <si>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</si>
  <si>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</si>
  <si>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</si>
  <si>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</si>
  <si>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</si>
  <si>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</si>
  <si>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</si>
  <si>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</si>
  <si>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</si>
  <si>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</si>
  <si>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</si>
  <si>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</si>
  <si>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</si>
  <si>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</si>
  <si>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</si>
  <si>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</si>
  <si>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</si>
  <si>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</si>
  <si>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</si>
  <si>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</si>
  <si>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</si>
  <si>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</si>
  <si>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</si>
  <si>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</si>
  <si>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</si>
  <si>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</si>
  <si>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</si>
  <si>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</si>
  <si>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</si>
  <si>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</si>
  <si>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</si>
  <si>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</si>
  <si>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</si>
  <si>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</si>
  <si>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</si>
  <si>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</si>
  <si>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</si>
  <si>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</si>
  <si>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</si>
  <si>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</si>
  <si>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</si>
  <si>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</si>
  <si>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</si>
  <si>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</si>
  <si>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</si>
  <si>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</si>
  <si>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</si>
  <si>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</si>
  <si>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</si>
  <si>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</si>
  <si>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</si>
  <si>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</si>
  <si>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</si>
  <si>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</si>
  <si>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</si>
  <si>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</si>
  <si>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</si>
  <si>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</si>
  <si>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</si>
  <si>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</si>
  <si>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</si>
  <si>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</si>
  <si>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</si>
  <si>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</si>
  <si>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</si>
  <si>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</si>
  <si>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</si>
  <si>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</si>
  <si>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</si>
  <si>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</si>
  <si>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</si>
  <si>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</si>
  <si>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</si>
  <si>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</si>
  <si>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</si>
  <si>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</si>
  <si>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</si>
  <si>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</si>
  <si>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</si>
  <si>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</si>
  <si>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</si>
  <si>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</si>
  <si>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</si>
  <si>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</si>
  <si>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</si>
  <si>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</si>
  <si>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</si>
  <si>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</si>
  <si>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</si>
  <si>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</si>
  <si>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</si>
  <si>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</si>
  <si>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</si>
  <si>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</si>
  <si>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</si>
  <si>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</si>
  <si>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</si>
  <si>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</si>
  <si>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</si>
  <si>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</si>
  <si>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</si>
  <si>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</si>
  <si>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</si>
  <si>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</si>
  <si>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</si>
  <si>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</si>
  <si>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</si>
  <si>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</si>
  <si>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</si>
  <si>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</si>
  <si>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</si>
  <si>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</si>
  <si>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</si>
  <si>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</si>
  <si>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</si>
  <si>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</si>
  <si>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</si>
  <si>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</si>
  <si>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</si>
  <si>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</si>
  <si>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</si>
  <si>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</si>
  <si>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</si>
  <si>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</si>
  <si>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</si>
  <si>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</si>
  <si>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</si>
  <si>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</si>
  <si>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</si>
  <si>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</si>
  <si>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</si>
  <si>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</si>
  <si>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</si>
  <si>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</si>
  <si>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</si>
  <si>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</si>
  <si>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</si>
  <si>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</si>
  <si>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</si>
  <si>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</si>
  <si>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</si>
  <si>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</si>
  <si>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</si>
  <si>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</si>
  <si>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</si>
  <si>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</si>
  <si>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</si>
  <si>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</si>
  <si>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</si>
  <si>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إجراءات التخطيط.</t>
  </si>
  <si>
    <r>
      <t>1.</t>
    </r>
    <r>
      <rPr>
        <sz val="7"/>
        <color rgb="FF000000"/>
        <rFont val="Times New Roman"/>
        <family val="1"/>
      </rPr>
      <t xml:space="preserve">        </t>
    </r>
    <r>
      <rPr>
        <sz val="12"/>
        <color rgb="FF000000"/>
        <rFont val="Arial"/>
        <family val="2"/>
      </rPr>
      <t>دراسة موقف العدو والذي يشمل قدرة أنظمة أسلحة العدو المحتملة للتأثير على الممر.</t>
    </r>
  </si>
  <si>
    <r>
      <t>2.</t>
    </r>
    <r>
      <rPr>
        <sz val="7"/>
        <color rgb="FF000000"/>
        <rFont val="Times New Roman"/>
        <family val="1"/>
      </rPr>
      <t xml:space="preserve">        </t>
    </r>
    <r>
      <rPr>
        <sz val="12"/>
        <color rgb="FF000000"/>
        <rFont val="Arial"/>
        <family val="2"/>
      </rPr>
      <t>معرفة نشاطات العدو السابقة والحالية عبر الممر المخطط له.</t>
    </r>
  </si>
  <si>
    <r>
      <t>3.</t>
    </r>
    <r>
      <rPr>
        <sz val="7"/>
        <color rgb="FF000000"/>
        <rFont val="Times New Roman"/>
        <family val="1"/>
      </rPr>
      <t xml:space="preserve">        </t>
    </r>
    <r>
      <rPr>
        <sz val="12"/>
        <color rgb="FF000000"/>
        <rFont val="Arial"/>
        <family val="2"/>
      </rPr>
      <t>تحديد إجراءات السيطرة مثل نقطة البدء والحدود ونقطة الانطلاق وسرعة التقدم.</t>
    </r>
  </si>
  <si>
    <r>
      <t>4.</t>
    </r>
    <r>
      <rPr>
        <sz val="7"/>
        <color rgb="FF000000"/>
        <rFont val="Times New Roman"/>
        <family val="1"/>
      </rPr>
      <t xml:space="preserve">        </t>
    </r>
    <r>
      <rPr>
        <sz val="12"/>
        <color rgb="FF000000"/>
        <rFont val="Arial"/>
        <family val="2"/>
      </rPr>
      <t>معرفة موقف المدنيين ضمن المنطقة والذي يشمل القوات غير التقليدية (الميلشيات والقوات شبه العسكرية)، العصابات الإجرامية المنظمة ونشاطاتها، الجماعات (الطوائف) ومعلومات عن قادتها، الأماكن، التأليف والتوزيعات للعناصر الصديقة المعروفة والمحايدة والتهديدات.</t>
    </r>
  </si>
  <si>
    <r>
      <t>5.</t>
    </r>
    <r>
      <rPr>
        <sz val="7"/>
        <color rgb="FF000000"/>
        <rFont val="Times New Roman"/>
        <family val="1"/>
      </rPr>
      <t xml:space="preserve">        </t>
    </r>
    <r>
      <rPr>
        <sz val="12"/>
        <color rgb="FF000000"/>
        <rFont val="Arial"/>
        <family val="2"/>
      </rPr>
      <t>دراسة طبيعة الأرض وتشمل (المراقبة وميادين الرمي، المقتربات، الأرض الحاكمة والحاسمة، الموانع، التخفية والتستر).</t>
    </r>
  </si>
  <si>
    <r>
      <t>6.</t>
    </r>
    <r>
      <rPr>
        <sz val="7"/>
        <color rgb="FF000000"/>
        <rFont val="Times New Roman"/>
        <family val="1"/>
      </rPr>
      <t xml:space="preserve">        </t>
    </r>
    <r>
      <rPr>
        <sz val="12"/>
        <color rgb="FF000000"/>
        <rFont val="Arial"/>
        <family val="2"/>
      </rPr>
      <t>دراسة تأثيرات الطقس على حالة وقدرات الأفراد وأنظمة الأسلحة بما في ذلك إمكانية حركة المرور والرؤية.</t>
    </r>
  </si>
  <si>
    <r>
      <t>7.</t>
    </r>
    <r>
      <rPr>
        <sz val="7"/>
        <color rgb="FF000000"/>
        <rFont val="Times New Roman"/>
        <family val="1"/>
      </rPr>
      <t xml:space="preserve">        </t>
    </r>
    <r>
      <rPr>
        <sz val="12"/>
        <color rgb="FF000000"/>
        <rFont val="Arial"/>
        <family val="2"/>
      </rPr>
      <t>معرفة قصد قائد المستوى الأعلى من تنفيذ عملية الاستطلاع.</t>
    </r>
  </si>
  <si>
    <r>
      <t>8.</t>
    </r>
    <r>
      <rPr>
        <sz val="7"/>
        <color rgb="FF000000"/>
        <rFont val="Times New Roman"/>
        <family val="1"/>
      </rPr>
      <t xml:space="preserve">        </t>
    </r>
    <r>
      <rPr>
        <sz val="12"/>
        <color rgb="FF000000"/>
        <rFont val="Arial"/>
        <family val="2"/>
      </rPr>
      <t>تحديد قواعد الاشتباك.</t>
    </r>
  </si>
  <si>
    <t>إجراءات التحضير.</t>
  </si>
  <si>
    <r>
      <t>1.</t>
    </r>
    <r>
      <rPr>
        <sz val="7"/>
        <color rgb="FF000000"/>
        <rFont val="Times New Roman"/>
        <family val="1"/>
      </rPr>
      <t xml:space="preserve">        </t>
    </r>
    <r>
      <rPr>
        <u/>
        <sz val="12"/>
        <color rgb="FF000000"/>
        <rFont val="Arial"/>
        <family val="2"/>
      </rPr>
      <t>الأفراد</t>
    </r>
    <r>
      <rPr>
        <sz val="12"/>
        <color rgb="FF000000"/>
        <rFont val="Arial"/>
        <family val="2"/>
      </rPr>
      <t>. تحضير المعدات، الملابس، الأرزاق والمياه، الأسلحة الخفيفة والمتوسطة.</t>
    </r>
  </si>
  <si>
    <r>
      <t>2.</t>
    </r>
    <r>
      <rPr>
        <sz val="7"/>
        <color rgb="FF000000"/>
        <rFont val="Times New Roman"/>
        <family val="1"/>
      </rPr>
      <t xml:space="preserve">        </t>
    </r>
    <r>
      <rPr>
        <u/>
        <sz val="12"/>
        <color rgb="FF000000"/>
        <rFont val="Arial"/>
        <family val="2"/>
      </rPr>
      <t>المعدات</t>
    </r>
    <r>
      <rPr>
        <sz val="12"/>
        <color rgb="FF000000"/>
        <rFont val="Arial"/>
        <family val="2"/>
      </rPr>
      <t>. صلاحية المعدات وتوفير المعدات الخاصة (مجسات، مصابيح، أدوات حفر، أدوات قطع الأسلاك ، وغير ذلك).</t>
    </r>
  </si>
  <si>
    <r>
      <t>3.</t>
    </r>
    <r>
      <rPr>
        <sz val="7"/>
        <color rgb="FF000000"/>
        <rFont val="Times New Roman"/>
        <family val="1"/>
      </rPr>
      <t xml:space="preserve">        </t>
    </r>
    <r>
      <rPr>
        <u/>
        <sz val="12"/>
        <color rgb="FF000000"/>
        <rFont val="Arial"/>
        <family val="2"/>
      </rPr>
      <t>الأسلحة</t>
    </r>
    <r>
      <rPr>
        <sz val="12"/>
        <color rgb="FF000000"/>
        <rFont val="Arial"/>
        <family val="2"/>
      </rPr>
      <t>. فحص الأسلحة، تعبئة الذخيرة، الصلاحية والصيانة.</t>
    </r>
  </si>
  <si>
    <r>
      <t>4.</t>
    </r>
    <r>
      <rPr>
        <sz val="7"/>
        <color rgb="FF000000"/>
        <rFont val="Times New Roman"/>
        <family val="1"/>
      </rPr>
      <t xml:space="preserve">        </t>
    </r>
    <r>
      <rPr>
        <u/>
        <sz val="12"/>
        <color rgb="FF000000"/>
        <rFont val="Arial"/>
        <family val="2"/>
      </rPr>
      <t>الآليات</t>
    </r>
    <r>
      <rPr>
        <sz val="12"/>
        <color rgb="FF000000"/>
        <rFont val="Arial"/>
        <family val="2"/>
      </rPr>
      <t>. تنفيذ اصلاح الأعطال، تعبئة خزانات الوقود، تحميل كافة الآليات وفقاً لخطة التحميل وخطة الإدامة والإمدادات. فحص أجهزة الاتصالات في كافة الآليات قبل البدء بالحركة.</t>
    </r>
  </si>
  <si>
    <r>
      <t>5.</t>
    </r>
    <r>
      <rPr>
        <sz val="7"/>
        <color rgb="FF000000"/>
        <rFont val="Times New Roman"/>
        <family val="1"/>
      </rPr>
      <t xml:space="preserve">        </t>
    </r>
    <r>
      <rPr>
        <sz val="12"/>
        <color rgb="FF000000"/>
        <rFont val="Arial"/>
        <family val="2"/>
      </rPr>
      <t>قبل بدء عملية الاستطلاع ينسق قائد سرية الهندسة مع قيادة مجموعة اللواء التالي: وقت ومكان البدء واتجاه الاستطلاع والتأليف، والطرق للاستطلاع في منطقة العمليات.</t>
    </r>
  </si>
  <si>
    <t>إجراءات التنفيذ.</t>
  </si>
  <si>
    <r>
      <t>1.</t>
    </r>
    <r>
      <rPr>
        <sz val="7"/>
        <color rgb="FF000000"/>
        <rFont val="Times New Roman"/>
        <family val="1"/>
      </rPr>
      <t xml:space="preserve">        </t>
    </r>
    <r>
      <rPr>
        <sz val="12"/>
        <color rgb="FF000000"/>
        <rFont val="Arial"/>
        <family val="2"/>
      </rPr>
      <t>تتحرك السرية إلى نقطة الانطلاق وتستعد لبدء تنفيذ المهمة.</t>
    </r>
  </si>
  <si>
    <r>
      <t>2.</t>
    </r>
    <r>
      <rPr>
        <sz val="7"/>
        <color rgb="FF000000"/>
        <rFont val="Times New Roman"/>
        <family val="1"/>
      </rPr>
      <t xml:space="preserve">        </t>
    </r>
    <r>
      <rPr>
        <sz val="12"/>
        <color rgb="FF000000"/>
        <rFont val="Arial"/>
        <family val="2"/>
      </rPr>
      <t>توضيع وتمويه آليات الاستطلاع.</t>
    </r>
  </si>
  <si>
    <r>
      <t>3.</t>
    </r>
    <r>
      <rPr>
        <sz val="7"/>
        <color rgb="FF000000"/>
        <rFont val="Times New Roman"/>
        <family val="1"/>
      </rPr>
      <t xml:space="preserve">        </t>
    </r>
    <r>
      <rPr>
        <sz val="12"/>
        <color rgb="FF000000"/>
        <rFont val="Arial"/>
        <family val="2"/>
      </rPr>
      <t>معرفة طول حقل الألغام المعادي وعمقه.</t>
    </r>
  </si>
  <si>
    <r>
      <t>4.</t>
    </r>
    <r>
      <rPr>
        <sz val="7"/>
        <color rgb="FF000000"/>
        <rFont val="Times New Roman"/>
        <family val="1"/>
      </rPr>
      <t xml:space="preserve">        </t>
    </r>
    <r>
      <rPr>
        <sz val="12"/>
        <color rgb="FF000000"/>
        <rFont val="Arial"/>
        <family val="2"/>
      </rPr>
      <t>معرفة كثافة الحقل ونوعه.</t>
    </r>
  </si>
  <si>
    <r>
      <t>5.</t>
    </r>
    <r>
      <rPr>
        <sz val="7"/>
        <color rgb="FF000000"/>
        <rFont val="Times New Roman"/>
        <family val="1"/>
      </rPr>
      <t xml:space="preserve">        </t>
    </r>
    <r>
      <rPr>
        <sz val="12"/>
        <color rgb="FF000000"/>
        <rFont val="Arial"/>
        <family val="2"/>
      </rPr>
      <t>تحديد نوع الألغام الموجودة في الحقل.</t>
    </r>
  </si>
  <si>
    <r>
      <t>6.</t>
    </r>
    <r>
      <rPr>
        <sz val="7"/>
        <color rgb="FF000000"/>
        <rFont val="Times New Roman"/>
        <family val="1"/>
      </rPr>
      <t xml:space="preserve">        </t>
    </r>
    <r>
      <rPr>
        <sz val="12"/>
        <color rgb="FF000000"/>
        <rFont val="Arial"/>
        <family val="2"/>
      </rPr>
      <t>تعبية نموذج الاستطلاع الخاص.</t>
    </r>
  </si>
  <si>
    <r>
      <t>7.</t>
    </r>
    <r>
      <rPr>
        <sz val="7"/>
        <color rgb="FF000000"/>
        <rFont val="Times New Roman"/>
        <family val="1"/>
      </rPr>
      <t xml:space="preserve">        </t>
    </r>
    <r>
      <rPr>
        <sz val="12"/>
        <color rgb="FF000000"/>
        <rFont val="Arial"/>
        <family val="2"/>
      </rPr>
      <t>رسم مخطط للحقل الألغام وإرساله إلى القيادة الأعلى.</t>
    </r>
  </si>
  <si>
    <r>
      <t>8.</t>
    </r>
    <r>
      <rPr>
        <sz val="7"/>
        <color rgb="FF000000"/>
        <rFont val="Times New Roman"/>
        <family val="1"/>
      </rPr>
      <t xml:space="preserve">        </t>
    </r>
    <r>
      <rPr>
        <sz val="12"/>
        <color rgb="FF000000"/>
        <rFont val="Arial"/>
        <family val="2"/>
      </rPr>
      <t>التأكد من عدم ترك أية آثار تدلل على عملية الاستطلاع.</t>
    </r>
  </si>
  <si>
    <r>
      <t>9.</t>
    </r>
    <r>
      <rPr>
        <sz val="7"/>
        <color rgb="FF000000"/>
        <rFont val="Times New Roman"/>
        <family val="1"/>
      </rPr>
      <t xml:space="preserve">        </t>
    </r>
    <r>
      <rPr>
        <sz val="12"/>
        <color rgb="FF000000"/>
        <rFont val="Arial"/>
        <family val="2"/>
      </rPr>
      <t>قيادة السرية تراقب الوضع عن كثب وتتابع سير العمل وتقوم بإبلاغ ذلك للقيادة الأعلى.</t>
    </r>
  </si>
  <si>
    <r>
      <rPr>
        <b/>
        <sz val="14"/>
        <color rgb="FF000000"/>
        <rFont val="Arial"/>
        <family val="2"/>
      </rPr>
      <t>تقييم سرية الـهندسة في تنفيذ استطلاع لحقل ألغام</t>
    </r>
    <r>
      <rPr>
        <b/>
        <u/>
        <sz val="14"/>
        <color rgb="FF000000"/>
        <rFont val="Arial"/>
        <family val="2"/>
      </rPr>
      <t xml:space="preserve">
تمرين جاهزية مجموعة لواء الإمارات/1 (جندي الصحراء 2025/20)</t>
    </r>
  </si>
  <si>
    <t>النقيب/ مطر محمد بالهوش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</si>
</sst>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5"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7"/>
      <color rgb="FF000000"/>
      <name val="Times New Roman"/>
      <family val="1"/>
    </font>
    <font>
      <u/>
      <sz val="12"/>
      <color rgb="FF000000"/>
      <name val="Arial"/>
      <family val="2"/>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
      <patternFill patternType="solid">
        <fgColor theme="4" tint="0.59999389629810485"/>
        <bgColor indexed="64"/>
      </patternFill>
    </fill>
  </fills>
  <borders count="26">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76">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17" xfId="0" applyFont="1" applyBorder="1" applyAlignment="1">
      <alignment horizontal="center" vertical="center"/>
    </xf>
    <xf numFmtId="0" fontId="10"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 fillId="5" borderId="22" xfId="0" applyFont="1" applyFill="1" applyBorder="1" applyAlignment="1">
      <alignment horizontal="right" vertical="center" wrapText="1" readingOrder="2"/>
    </xf>
    <xf numFmtId="0" fontId="1" fillId="5" borderId="23" xfId="0" applyFont="1" applyFill="1" applyBorder="1" applyAlignment="1">
      <alignment horizontal="right" vertical="center" wrapText="1" readingOrder="2"/>
    </xf>
    <xf numFmtId="0" fontId="1" fillId="5" borderId="24" xfId="0" applyFont="1" applyFill="1" applyBorder="1" applyAlignment="1">
      <alignment horizontal="right" vertical="center" wrapText="1" readingOrder="2"/>
    </xf>
    <xf numFmtId="0" fontId="12" fillId="0" borderId="21" xfId="0" applyFont="1" applyBorder="1" applyAlignment="1">
      <alignment horizontal="right" vertical="center" wrapText="1" readingOrder="2"/>
    </xf>
    <xf numFmtId="0" fontId="12" fillId="0" borderId="3" xfId="0" applyFont="1" applyBorder="1" applyAlignment="1">
      <alignment horizontal="right" vertical="center" wrapText="1" readingOrder="2"/>
    </xf>
    <xf numFmtId="0" fontId="12" fillId="0" borderId="11" xfId="0" applyFont="1" applyBorder="1" applyAlignment="1">
      <alignment horizontal="right" vertical="center" wrapText="1" readingOrder="2"/>
    </xf>
    <xf numFmtId="0" fontId="12" fillId="0" borderId="12" xfId="0" applyFont="1" applyBorder="1" applyAlignment="1">
      <alignment horizontal="right" vertical="center" wrapText="1" readingOrder="2"/>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0" fontId="7" fillId="4" borderId="18" xfId="0" applyFont="1" applyFill="1" applyBorder="1" applyAlignment="1" applyProtection="1">
      <alignment horizontal="center" vertical="center" wrapText="1" readingOrder="2"/>
      <protection locked="0"/>
    </xf>
    <xf numFmtId="0" fontId="7" fillId="4" borderId="19"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16" xfId="0" applyFont="1" applyBorder="1" applyAlignment="1">
      <alignment horizontal="center" vertical="center" wrapText="1" readingOrder="2"/>
    </xf>
    <xf numFmtId="0" fontId="6" fillId="0" borderId="25" xfId="0" applyFont="1" applyBorder="1" applyAlignment="1" applyProtection="1">
      <alignment horizontal="center" vertical="center" wrapText="1" readingOrder="2"/>
      <protection locked="0"/>
    </xf>
  </cellXfs>
  <cellStyles count="1">
    <cellStyle name="Normal" xfId="0" builtinId="0"/>
  </cellStyles>
  <dxfs count="24">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7</xdr:col>
      <xdr:colOff>391644</xdr:colOff>
      <xdr:row>36</xdr:row>
      <xdr:rowOff>3215</xdr:rowOff>
    </xdr:from>
    <xdr:to>
      <xdr:col>9</xdr:col>
      <xdr:colOff>256263</xdr:colOff>
      <xdr:row>36</xdr:row>
      <xdr:rowOff>563375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CA407501-649F-98B8-2DA5-4ECC9836F26B}"/>
                </a:ext>
              </a:extLst>
            </xdr14:cNvPr>
            <xdr14:cNvContentPartPr/>
          </xdr14:nvContentPartPr>
          <xdr14:nvPr macro=""/>
          <xdr14:xfrm>
            <a:off x="10398330556" y="16016760"/>
            <a:ext cx="1180800" cy="560160"/>
          </xdr14:xfrm>
        </xdr:contentPart>
      </mc:Choice>
      <mc:Fallback xmlns="">
        <xdr:pic>
          <xdr:nvPicPr>
            <xdr:cNvPr id="2" name="Ink 1">
              <a:extLst>
                <a:ext uri="{FF2B5EF4-FFF2-40B4-BE49-F238E27FC236}">
                  <a16:creationId xmlns:a16="http://schemas.microsoft.com/office/drawing/2014/main" id="{CA407501-649F-98B8-2DA5-4ECC9836F26B}"/>
                </a:ext>
              </a:extLst>
            </xdr:cNvPr>
            <xdr:cNvPicPr/>
          </xdr:nvPicPr>
          <xdr:blipFill>
            <a:blip xmlns:r="http://schemas.openxmlformats.org/officeDocument/2006/relationships" r:embed="rId2"/>
            <a:stretch>
              <a:fillRect/>
            </a:stretch>
          </xdr:blipFill>
          <xdr:spPr>
            <a:xfrm>
              <a:off x="10398321916" y="16008120"/>
              <a:ext cx="1198440" cy="5778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7T09:01:53.147"/>
    </inkml:context>
    <inkml:brush xml:id="br0">
      <inkml:brushProperty name="width" value="0.05" units="cm"/>
      <inkml:brushProperty name="height" value="0.05" units="cm"/>
    </inkml:brush>
  </inkml:definitions>
  <inkml:trace contextRef="#ctx0" brushRef="#br0">851 1463 5329,'0'0'0,"0"0"0,-12-4 3776,1 0-2855,-4-2-705,4 3-208,11 3-8,-2-1-32,2 1-56,-3 0 40,3 0 24,0 0 24,0 0-16,3 0 40,1 0 16,5-2 24,-9 2-64,3-1 40,11-3-128,-10-9-136,1 9-64,-5 4 288,12-14-257,-8 2 81,8-2 112,-8 0 16,-4 14 48,15-19 24,-13-1 24,12-1-64,-12-2 48,-2 23-32,5-24 16,-3-1 0,5-2-8,-4 0 40,-3 27-48,2-30-16,2-2 56,-2-2 8,-2 0-8,0 34-40,3-35 17,-3-2-74,0 1 41,0 1 97,0 35-81,0-35 88,0 6 40,-3 0-16,1 6 56,2 23-168,-6-18 192,3 5 80,-1 9 56,1 0-160,3 4-168,-2-3 72,2 1-136,-3 2-128,1 0-168,2 0 360,0 0-440,0 3 80,0 9-49,5-8 249,-5-4 160,12 17-48,-10-1-72,9 1 152,-4 2-72,-7-19 40,14 22-8,-2-1 40,0 2-24,-1 0 16,-11-23-24,2 24-48,18-1 24,-18-1 32,11 0-48,-13-22 40,13 20-48,-9-2 96,10-2-80,-12-2 48,-2-14-16,3 11 56,4-7-64,-5 9 64,-2-10-40,0-3-16,0 3 120,0 0 64,0 0 113,-2-3 159,2 0-456,-5 2 400,0 1-64,-9 0-136,-2 0-104,16-3-96,-16 0 152,-3 0-64,-2 0-48,-2-1-40,23 1 0,-28-3-152,-1-2 112,-2 1 88,-7-1 0,38 5-48,-40-12 136,0 8-64,-3-7-112,3 6 112,40 5-72,-40-4 8,1 0-16,2 2 96,-3 2-24,40 0-64,-35 0 88,3 5 0,2 9 24,1-10-96,29-4-16,-23 17 16,5-6 16,-2 2-80,12 0 16,8-13 32,-8 13-96,-4 3 48,10-1-40,1 1-8,1-16 96,0 17-72,3-2-136,17 1-32,-5-2-80,-15-14 320,24 12-344,8-8 48,3 0 32,5-1 72,-40-3 192,44 0-112,1-4-25,3-13 105,9-2 24,-57 19 8,53-22 16,3-7 32,2-4-56,-2-1 48,-56 34-40,58-35 16,-7-1 0,3 1-8,-5 1-24,-49 34 16,49-32-32,-3 2 56,-3 5-24,0 1 0,-43 24 0,35-20-32,-4 3-16,-6 4-24,-7 7 24,-18 6 48,12-5-64,-9 0-24,-3 4 72,0 1 0,0 0 16,-5 3 16,-6 8 0,6-7-40,-14 12-24,19-16 48,-18 14 16,-5 2 8,1 2 0,1 4-16,21-22-8,-23 21 16,3 2 16,8 1 0,-3 1-16,15-25-16,-2 29-56,-12 1 0,12 1 0,-1 3 32,3-34 24,0 31-48,0 1-16,0-2-8,5-2 0,-5-28 72,10 26-40,-4-4 16,6-2 0,-9-4-96,-3-16 120,12 13-120,-11-9-32,11 9 32,-10-10 0,-2-3 120,5 2-80,-2-2 0,1 0-64,-1 0 56,-3 0 88,4-1-32,-4-2 136,0-1 128,4-9 32,-4 13-264,5-11 232,-2-4-136,1 0-56,-1-2-16,-3 17-24,0-19 0,0-1 56,5 2-32,-5 2 48,0 16-72,0-14 144,-5 3-56,0 6 40,3 1 16,2 4-144,-3-3 104,3 2 65,-5-1-25,5 1-24,0 1-120,-4 0 112,0 0-32,-1 0 8,3 0-56,2 0-32,-3 3 0,-2-3 32,5 3-88,-4 0 32,4-3 24,-3 2-24,1 1-48,2 0 8,0 0 56,0-3 8,0 3-88,2 0-8,1-1-56,9 1-17,-12-3 169,2 5-128,11-1 56,-1 7 120,0-7-8,-12-4-40,14 12 32,0-8-24,0 7-8,3-8-24,-17-3 24,18 3 8,0 0-8,1-3-48,4-1 48,-23 1 0,21-6-8,4-11 0,2 0 40,1-6-40,-28 23 8,25-27-8,13-7 64,-4-6-56,6-5-24,-40 45 24,37-50 0,-4-1-8,-3-2 8,-2 2 48,-28 51-48,23-51 24,-2-5-48,-4 1 56,-4-1-8,-13 56-24,14-56 8,-9 0 32,4 1-32,-9-4-24,0 59 16,0-58 32,0-4 8,-11 2 9,6 3 7,5 57-56,-16-50 32,-1 8 40,2 8 16,-7 8-8,22 26-80,-18-19 176,-3 14 88,2-1 96,-4 5 40,23 1-400,-19 0 360,-7 4-152,3 19-128,0-1-32,23-22-48,-26 30-8,7 6-24,-1 4 24,1 5-24,19-45 32,-12 48-56,1 6 8,6 5-8,1 2-24,4-61 80,-3 65-40,3 1-8,12-1-16,-8 0 8,-4-65 56,19 67-72,0-1 32,-3-4 0,5-1-32,-21-61 72,18 61-64,4-4-32,-1-1 16,2-7 16,-23-49 64,16 45-112,3-6-8,-3-3-16,0-6 48,-16-30 88,14 25-88,-2-5 32,-7-3 0,7-12-16,-12-5 72,3 12-32,0-12 8,-3 0 16,5 0 8,-5 0 0,0 0 24,0-4 0,2-7-24,-2-2-8,0 13 8,0-16 8,0-2-24,0-2-8,0-3 64,0 23-40,-2-23 0,-3 1-8,2 2 16,1 4 16,2 16-24,-4-13 0,2 8 48,-5-8-16,2 10 8,5 3-40,-3-4 48,-4-1 8,5 4 0,-9 0 48,11 1-104,-5 0 128,0 0-16,0 0-16,1 2-32,4-2-64,-4 3 24,4 2 16,-3-3-16,1 1-32,2-3 8,0 3 0,0-3-40,0 3-8,0 0-8,0-3 56,2 3-80,1-1 40,1 10-16,12-8 40,-16-4 16,14 20 8,-2 1-48,2 3 32,2 5 8,-16-29 0,17 31-8,1 0 0,3 1-24,4-1 8,-25-31 24,27 28-24,-2-3-8,1-6 0,6-3-40,-32-16 72,35 4-80,-2 8 40,-1-12 0,3-4 16,-35 4 24,32-16-16,1-1-32,0-5 16,-3-7 8,-30 29 24,33-39-32,-1-5 0,-1-10 0,-6-6 32,-25 60 0,30-68 24,-6-4 32,0-5 0,-9-3-24,-15 80-32,21-85 24,-7-10 0,-3-6-32,-8-1 8,-3 102 0,5-100 0,-5 15 16,-14 14 96,-3 14 56,17 57-168,-20-43 224,2 10 64,-9 9-40,4 7 40,23 17-288,-28-11 312,5 8 56,2 0-8,2 2-40,19 1-320,-13 0 208,1 0-120,7 4-80,3 10-48,2-14 40,-5 13-56,1 4-16,4 2 24,0 3-16,0-22 64,4 25-64,8 0 56,-7 4-8,8 5 16,-13-34 0,12 37-16,4 5-16,-2 5 16,5 4-16,-19-51 32,21 57 8,2 9-16,3 5-24,2 1-16,-28-72 48,27 75-48,6-2-24,-3-3 8,1-1-16,-31-69 80,28 67-128,-1-3-16,-1-6-8,-2-4 16,-24-54 136,23 50-88,0-3-16,-2-7 64,-5-6 8,-16-34 32,19 30-8,-7-6-64,-1-7 24,-9-4 8,-2-13 40,3 3-64,-1 1 120,-2-1-32,0-3 8,0 0-32,-2 0 104,-1-2-8,-13-2-16,-2-12-40,18 16-40,-24-15 24,-1-4-24,-8-1-16,-2-4 32,35 24-16,-39-27 0,-3-3-64,-4-2 88,-9-4-32,55 36 8,-55-40-80,-6-4 144,-2-4-16,-4-3 0,67 51-48,-70-54 40,-2-2 0,-10 1 72,1 4 80,81 51-192,-91-47 352,-4 7 32,-1 7 8,-7 6 40,103 27-432,-109-20 480,0 5-175,-1 2-73,-1 7-48,111 6-184,-107-5 160,2-1 48,2 2-8,8-1-32,95 5-168,-93-1 64,6 0-8,8 1-32,5 0-40,74 0 16,-63 0-104,3 4 88,3 10 8,11-10 8,46-4 0,-45 17 8,14-12-40,2 10-8,6-10 8,23-5 32,-14 4 56,7 7-80,5-11-112,2 0-168,0 0 304,2 0-464,16 3-233,4 0 33,6 0 72,-28-3 592,36 3-528,11-1 272,9-2 104,7 0 32,-63 0 120,75 0-32,9-1 32,4-3-32,10-8 32,-98 12 0,104-5 32,6-12-56,9 0 0,8-5 64,-127 22-40,134-25 32,5-5-24,10 1-8,-2 1-24,-147 28 24,152-27-96,5 3 56,7 0 0,5 2-88,-169 22 128,171-20-176,1 0-224,12 3-1257,-3-4-1183,-181 21 2840,177-20-4625,-177 20 4625</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topLeftCell="D31" zoomScale="130" zoomScaleNormal="100" zoomScaleSheetLayoutView="130" workbookViewId="0">
      <selection activeCell="C2" sqref="C2:D2"/>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47" t="s">
        <v>201</v>
      </c>
      <c r="C1" s="47"/>
      <c r="D1" s="47"/>
      <c r="E1" s="47"/>
      <c r="F1" s="47"/>
      <c r="G1" s="47"/>
      <c r="H1" s="47"/>
      <c r="I1" s="47"/>
      <c r="J1" s="47"/>
    </row>
    <row r="2" spans="1:10" ht="30" customHeight="1" x14ac:dyDescent="0.3">
      <c r="B2" s="12" t="s">
        <v>8</v>
      </c>
      <c r="C2" s="53" t="s">
        <v>12</v>
      </c>
      <c r="D2" s="53"/>
      <c r="E2" s="12" t="s">
        <v>7</v>
      </c>
      <c r="F2" s="48">
        <v>45957</v>
      </c>
      <c r="G2" s="48"/>
      <c r="H2" s="48"/>
      <c r="I2" s="48"/>
      <c r="J2" s="48"/>
    </row>
    <row r="3" spans="1:10" ht="30" customHeight="1" x14ac:dyDescent="0.3">
      <c r="B3" s="12" t="s">
        <v>9</v>
      </c>
      <c r="C3" s="53" t="s">
        <v>73</v>
      </c>
      <c r="D3" s="53"/>
      <c r="E3" s="12" t="s">
        <v>6</v>
      </c>
      <c r="F3" s="53" t="s">
        <v>59</v>
      </c>
      <c r="G3" s="53"/>
      <c r="H3" s="53"/>
      <c r="I3" s="53"/>
      <c r="J3" s="53"/>
    </row>
    <row r="4" spans="1:10" ht="30" customHeight="1" thickBot="1" x14ac:dyDescent="0.35">
      <c r="B4" s="6"/>
      <c r="C4" s="7"/>
      <c r="D4" s="7"/>
      <c r="E4" s="6"/>
      <c r="F4" s="75" t="s">
        <v>202</v>
      </c>
      <c r="G4" s="75"/>
      <c r="H4" s="75"/>
      <c r="I4" s="75"/>
      <c r="J4" s="7"/>
    </row>
    <row r="5" spans="1:10" ht="24.9" customHeight="1" x14ac:dyDescent="0.3">
      <c r="A5" s="10"/>
      <c r="B5" s="49" t="s">
        <v>0</v>
      </c>
      <c r="C5" s="50"/>
      <c r="D5" s="50"/>
      <c r="E5" s="56" t="s">
        <v>1</v>
      </c>
      <c r="F5" s="56"/>
      <c r="G5" s="56"/>
      <c r="H5" s="56"/>
      <c r="I5" s="56" t="s">
        <v>2</v>
      </c>
      <c r="J5" s="57"/>
    </row>
    <row r="6" spans="1:10" ht="24.9" customHeight="1" thickBot="1" x14ac:dyDescent="0.35">
      <c r="A6" s="10"/>
      <c r="B6" s="51"/>
      <c r="C6" s="52"/>
      <c r="D6" s="52"/>
      <c r="E6" s="11" t="s">
        <v>3</v>
      </c>
      <c r="F6" s="11" t="s">
        <v>4</v>
      </c>
      <c r="G6" s="11" t="s">
        <v>23</v>
      </c>
      <c r="H6" s="11" t="s">
        <v>24</v>
      </c>
      <c r="I6" s="58"/>
      <c r="J6" s="59"/>
    </row>
    <row r="7" spans="1:10" ht="24.9" customHeight="1" thickBot="1" x14ac:dyDescent="0.35">
      <c r="A7" s="10"/>
      <c r="B7" s="54" t="s">
        <v>21</v>
      </c>
      <c r="C7" s="55"/>
      <c r="D7" s="55"/>
      <c r="E7" s="28" t="s">
        <v>18</v>
      </c>
      <c r="F7" s="28" t="s">
        <v>19</v>
      </c>
      <c r="G7" s="28" t="s">
        <v>22</v>
      </c>
      <c r="H7" s="28" t="s">
        <v>20</v>
      </c>
      <c r="I7" s="60" t="s">
        <v>25</v>
      </c>
      <c r="J7" s="61"/>
    </row>
    <row r="8" spans="1:10" ht="30" customHeight="1" x14ac:dyDescent="0.3">
      <c r="A8" s="10"/>
      <c r="B8" s="34" t="s">
        <v>176</v>
      </c>
      <c r="C8" s="35"/>
      <c r="D8" s="35"/>
      <c r="E8" s="35"/>
      <c r="F8" s="35"/>
      <c r="G8" s="35"/>
      <c r="H8" s="35"/>
      <c r="I8" s="35"/>
      <c r="J8" s="36"/>
    </row>
    <row r="9" spans="1:10" ht="39.9" customHeight="1" x14ac:dyDescent="0.3">
      <c r="A9" s="10"/>
      <c r="B9" s="37" t="s">
        <v>177</v>
      </c>
      <c r="C9" s="38"/>
      <c r="D9" s="38"/>
      <c r="E9" s="8">
        <v>5</v>
      </c>
      <c r="F9" s="26">
        <v>3.75</v>
      </c>
      <c r="G9" s="29">
        <f>IFERROR(F9/E9,"")</f>
        <v>0.75</v>
      </c>
      <c r="H9" s="30" t="str">
        <f>_xlfn.IFS(F9="أدخل العلامة","",F9="لا ينطبق","تم الإلغاء",G9&gt;=90%,"ممتاز",G9&gt;=80%,"جيد جداً",G9&gt;=70%,"جيد",G9&gt;=60%,"مقبول",G9&lt;60%,"راسب")</f>
        <v>جيد</v>
      </c>
      <c r="I9" s="41"/>
      <c r="J9" s="42"/>
    </row>
    <row r="10" spans="1:10" ht="39.9" customHeight="1" x14ac:dyDescent="0.3">
      <c r="A10" s="10"/>
      <c r="B10" s="37" t="s">
        <v>178</v>
      </c>
      <c r="C10" s="38"/>
      <c r="D10" s="38"/>
      <c r="E10" s="8">
        <v>5</v>
      </c>
      <c r="F10" s="26">
        <v>3.5</v>
      </c>
      <c r="G10" s="29">
        <f t="shared" ref="G10:G32" si="0">IFERROR(F10/E10,"")</f>
        <v>0.7</v>
      </c>
      <c r="H10" s="30" t="str">
        <f t="shared" ref="H10:H32" si="1">_xlfn.IFS(F10="أدخل العلامة","",F10="لا ينطبق","تم الإلغاء",G10&gt;=90%,"ممتاز",G10&gt;=80%,"جيد جداً",G10&gt;=70%,"جيد",G10&gt;=60%,"مقبول",G10&lt;60%,"راسب")</f>
        <v>جيد</v>
      </c>
      <c r="I10" s="41"/>
      <c r="J10" s="42"/>
    </row>
    <row r="11" spans="1:10" ht="39.9" customHeight="1" x14ac:dyDescent="0.3">
      <c r="A11" s="10"/>
      <c r="B11" s="37" t="s">
        <v>179</v>
      </c>
      <c r="C11" s="38"/>
      <c r="D11" s="38"/>
      <c r="E11" s="8">
        <v>5</v>
      </c>
      <c r="F11" s="26">
        <v>3.5</v>
      </c>
      <c r="G11" s="29">
        <f t="shared" si="0"/>
        <v>0.7</v>
      </c>
      <c r="H11" s="30" t="str">
        <f t="shared" si="1"/>
        <v>جيد</v>
      </c>
      <c r="I11" s="41"/>
      <c r="J11" s="42"/>
    </row>
    <row r="12" spans="1:10" ht="69" customHeight="1" x14ac:dyDescent="0.3">
      <c r="A12" s="10"/>
      <c r="B12" s="37" t="s">
        <v>180</v>
      </c>
      <c r="C12" s="38"/>
      <c r="D12" s="38"/>
      <c r="E12" s="8">
        <v>5</v>
      </c>
      <c r="F12" s="26">
        <v>3.75</v>
      </c>
      <c r="G12" s="29">
        <f t="shared" si="0"/>
        <v>0.75</v>
      </c>
      <c r="H12" s="30" t="str">
        <f t="shared" si="1"/>
        <v>جيد</v>
      </c>
      <c r="I12" s="41"/>
      <c r="J12" s="42"/>
    </row>
    <row r="13" spans="1:10" ht="39.9" customHeight="1" x14ac:dyDescent="0.3">
      <c r="A13" s="10"/>
      <c r="B13" s="37" t="s">
        <v>181</v>
      </c>
      <c r="C13" s="38"/>
      <c r="D13" s="38"/>
      <c r="E13" s="8">
        <v>5</v>
      </c>
      <c r="F13" s="26">
        <v>3.5</v>
      </c>
      <c r="G13" s="29">
        <f t="shared" si="0"/>
        <v>0.7</v>
      </c>
      <c r="H13" s="30" t="str">
        <f t="shared" si="1"/>
        <v>جيد</v>
      </c>
      <c r="I13" s="41"/>
      <c r="J13" s="42"/>
    </row>
    <row r="14" spans="1:10" ht="39.9" customHeight="1" x14ac:dyDescent="0.3">
      <c r="A14" s="10"/>
      <c r="B14" s="37" t="s">
        <v>182</v>
      </c>
      <c r="C14" s="38"/>
      <c r="D14" s="38"/>
      <c r="E14" s="8">
        <v>5</v>
      </c>
      <c r="F14" s="26">
        <v>3.75</v>
      </c>
      <c r="G14" s="29">
        <f t="shared" si="0"/>
        <v>0.75</v>
      </c>
      <c r="H14" s="30" t="str">
        <f t="shared" si="1"/>
        <v>جيد</v>
      </c>
      <c r="I14" s="41"/>
      <c r="J14" s="42"/>
    </row>
    <row r="15" spans="1:10" ht="30" customHeight="1" x14ac:dyDescent="0.3">
      <c r="A15" s="10"/>
      <c r="B15" s="37" t="s">
        <v>183</v>
      </c>
      <c r="C15" s="38"/>
      <c r="D15" s="38"/>
      <c r="E15" s="8">
        <v>5</v>
      </c>
      <c r="F15" s="26">
        <v>3.5</v>
      </c>
      <c r="G15" s="29">
        <f t="shared" si="0"/>
        <v>0.7</v>
      </c>
      <c r="H15" s="30" t="str">
        <f t="shared" si="1"/>
        <v>جيد</v>
      </c>
      <c r="I15" s="41"/>
      <c r="J15" s="42"/>
    </row>
    <row r="16" spans="1:10" ht="30" customHeight="1" thickBot="1" x14ac:dyDescent="0.35">
      <c r="A16" s="10"/>
      <c r="B16" s="39" t="s">
        <v>184</v>
      </c>
      <c r="C16" s="40"/>
      <c r="D16" s="40"/>
      <c r="E16" s="31">
        <v>5</v>
      </c>
      <c r="F16" s="27">
        <v>3.5</v>
      </c>
      <c r="G16" s="32">
        <f t="shared" si="0"/>
        <v>0.7</v>
      </c>
      <c r="H16" s="33" t="str">
        <f t="shared" si="1"/>
        <v>جيد</v>
      </c>
      <c r="I16" s="45"/>
      <c r="J16" s="46"/>
    </row>
    <row r="17" spans="1:10" ht="30" customHeight="1" x14ac:dyDescent="0.3">
      <c r="A17" s="10"/>
      <c r="B17" s="34" t="s">
        <v>185</v>
      </c>
      <c r="C17" s="35"/>
      <c r="D17" s="35"/>
      <c r="E17" s="35"/>
      <c r="F17" s="35"/>
      <c r="G17" s="35"/>
      <c r="H17" s="35"/>
      <c r="I17" s="35"/>
      <c r="J17" s="36"/>
    </row>
    <row r="18" spans="1:10" ht="39.9" customHeight="1" x14ac:dyDescent="0.3">
      <c r="A18" s="10"/>
      <c r="B18" s="37" t="s">
        <v>186</v>
      </c>
      <c r="C18" s="38"/>
      <c r="D18" s="38"/>
      <c r="E18" s="8">
        <v>5</v>
      </c>
      <c r="F18" s="26">
        <v>3.75</v>
      </c>
      <c r="G18" s="29">
        <f t="shared" si="0"/>
        <v>0.75</v>
      </c>
      <c r="H18" s="30" t="str">
        <f t="shared" si="1"/>
        <v>جيد</v>
      </c>
      <c r="I18" s="41"/>
      <c r="J18" s="42"/>
    </row>
    <row r="19" spans="1:10" ht="39.9" customHeight="1" x14ac:dyDescent="0.3">
      <c r="A19" s="10"/>
      <c r="B19" s="37" t="s">
        <v>187</v>
      </c>
      <c r="C19" s="38"/>
      <c r="D19" s="38"/>
      <c r="E19" s="8">
        <v>5</v>
      </c>
      <c r="F19" s="26">
        <v>3.75</v>
      </c>
      <c r="G19" s="29">
        <f t="shared" si="0"/>
        <v>0.75</v>
      </c>
      <c r="H19" s="30" t="str">
        <f t="shared" si="1"/>
        <v>جيد</v>
      </c>
      <c r="I19" s="41"/>
      <c r="J19" s="42"/>
    </row>
    <row r="20" spans="1:10" ht="30" customHeight="1" x14ac:dyDescent="0.3">
      <c r="A20" s="10"/>
      <c r="B20" s="37" t="s">
        <v>188</v>
      </c>
      <c r="C20" s="38"/>
      <c r="D20" s="38"/>
      <c r="E20" s="8">
        <v>5</v>
      </c>
      <c r="F20" s="26">
        <v>3.5</v>
      </c>
      <c r="G20" s="29">
        <f t="shared" si="0"/>
        <v>0.7</v>
      </c>
      <c r="H20" s="30" t="str">
        <f t="shared" si="1"/>
        <v>جيد</v>
      </c>
      <c r="I20" s="41"/>
      <c r="J20" s="42"/>
    </row>
    <row r="21" spans="1:10" ht="53.25" customHeight="1" x14ac:dyDescent="0.3">
      <c r="A21" s="10"/>
      <c r="B21" s="37" t="s">
        <v>189</v>
      </c>
      <c r="C21" s="38"/>
      <c r="D21" s="38"/>
      <c r="E21" s="8">
        <v>5</v>
      </c>
      <c r="F21" s="26">
        <v>3.5</v>
      </c>
      <c r="G21" s="29">
        <f t="shared" si="0"/>
        <v>0.7</v>
      </c>
      <c r="H21" s="30" t="str">
        <f t="shared" si="1"/>
        <v>جيد</v>
      </c>
      <c r="I21" s="41"/>
      <c r="J21" s="42"/>
    </row>
    <row r="22" spans="1:10" ht="57" customHeight="1" thickBot="1" x14ac:dyDescent="0.35">
      <c r="A22" s="10"/>
      <c r="B22" s="39" t="s">
        <v>190</v>
      </c>
      <c r="C22" s="40"/>
      <c r="D22" s="40"/>
      <c r="E22" s="31">
        <v>5</v>
      </c>
      <c r="F22" s="27">
        <v>3.5</v>
      </c>
      <c r="G22" s="32">
        <f t="shared" si="0"/>
        <v>0.7</v>
      </c>
      <c r="H22" s="33" t="str">
        <f t="shared" si="1"/>
        <v>جيد</v>
      </c>
      <c r="I22" s="45"/>
      <c r="J22" s="46"/>
    </row>
    <row r="23" spans="1:10" ht="30" customHeight="1" x14ac:dyDescent="0.3">
      <c r="A23" s="10"/>
      <c r="B23" s="34" t="s">
        <v>191</v>
      </c>
      <c r="C23" s="35"/>
      <c r="D23" s="35"/>
      <c r="E23" s="35"/>
      <c r="F23" s="35"/>
      <c r="G23" s="35"/>
      <c r="H23" s="35"/>
      <c r="I23" s="35"/>
      <c r="J23" s="36"/>
    </row>
    <row r="24" spans="1:10" ht="30" customHeight="1" x14ac:dyDescent="0.3">
      <c r="A24" s="10"/>
      <c r="B24" s="37" t="s">
        <v>192</v>
      </c>
      <c r="C24" s="38"/>
      <c r="D24" s="38"/>
      <c r="E24" s="8">
        <v>5</v>
      </c>
      <c r="F24" s="26">
        <v>3.75</v>
      </c>
      <c r="G24" s="29">
        <f t="shared" si="0"/>
        <v>0.75</v>
      </c>
      <c r="H24" s="30" t="str">
        <f t="shared" si="1"/>
        <v>جيد</v>
      </c>
      <c r="I24" s="41"/>
      <c r="J24" s="42"/>
    </row>
    <row r="25" spans="1:10" ht="30" customHeight="1" x14ac:dyDescent="0.3">
      <c r="A25" s="10"/>
      <c r="B25" s="37" t="s">
        <v>193</v>
      </c>
      <c r="C25" s="38"/>
      <c r="D25" s="38"/>
      <c r="E25" s="8">
        <v>5</v>
      </c>
      <c r="F25" s="26">
        <v>3.5</v>
      </c>
      <c r="G25" s="29">
        <f t="shared" si="0"/>
        <v>0.7</v>
      </c>
      <c r="H25" s="30" t="str">
        <f t="shared" si="1"/>
        <v>جيد</v>
      </c>
      <c r="I25" s="41"/>
      <c r="J25" s="42"/>
    </row>
    <row r="26" spans="1:10" ht="30" customHeight="1" x14ac:dyDescent="0.3">
      <c r="A26" s="10"/>
      <c r="B26" s="37" t="s">
        <v>194</v>
      </c>
      <c r="C26" s="38"/>
      <c r="D26" s="38"/>
      <c r="E26" s="8">
        <v>5</v>
      </c>
      <c r="F26" s="26">
        <v>3.75</v>
      </c>
      <c r="G26" s="29">
        <f t="shared" si="0"/>
        <v>0.75</v>
      </c>
      <c r="H26" s="30" t="str">
        <f t="shared" si="1"/>
        <v>جيد</v>
      </c>
      <c r="I26" s="41"/>
      <c r="J26" s="42"/>
    </row>
    <row r="27" spans="1:10" ht="30" customHeight="1" x14ac:dyDescent="0.3">
      <c r="A27" s="10"/>
      <c r="B27" s="37" t="s">
        <v>195</v>
      </c>
      <c r="C27" s="38"/>
      <c r="D27" s="38"/>
      <c r="E27" s="8">
        <v>5</v>
      </c>
      <c r="F27" s="26">
        <v>3.75</v>
      </c>
      <c r="G27" s="29">
        <f t="shared" si="0"/>
        <v>0.75</v>
      </c>
      <c r="H27" s="30" t="str">
        <f t="shared" si="1"/>
        <v>جيد</v>
      </c>
      <c r="I27" s="41"/>
      <c r="J27" s="42"/>
    </row>
    <row r="28" spans="1:10" ht="30" customHeight="1" x14ac:dyDescent="0.3">
      <c r="A28" s="10"/>
      <c r="B28" s="37" t="s">
        <v>196</v>
      </c>
      <c r="C28" s="38"/>
      <c r="D28" s="38"/>
      <c r="E28" s="8">
        <v>5</v>
      </c>
      <c r="F28" s="26">
        <v>3.75</v>
      </c>
      <c r="G28" s="29">
        <f t="shared" si="0"/>
        <v>0.75</v>
      </c>
      <c r="H28" s="30" t="str">
        <f t="shared" si="1"/>
        <v>جيد</v>
      </c>
      <c r="I28" s="41"/>
      <c r="J28" s="42"/>
    </row>
    <row r="29" spans="1:10" ht="30" customHeight="1" x14ac:dyDescent="0.3">
      <c r="A29" s="10"/>
      <c r="B29" s="37" t="s">
        <v>197</v>
      </c>
      <c r="C29" s="38"/>
      <c r="D29" s="38"/>
      <c r="E29" s="8">
        <v>5</v>
      </c>
      <c r="F29" s="26">
        <v>3.75</v>
      </c>
      <c r="G29" s="29">
        <f t="shared" si="0"/>
        <v>0.75</v>
      </c>
      <c r="H29" s="30" t="str">
        <f t="shared" si="1"/>
        <v>جيد</v>
      </c>
      <c r="I29" s="41"/>
      <c r="J29" s="42"/>
    </row>
    <row r="30" spans="1:10" ht="30" customHeight="1" x14ac:dyDescent="0.3">
      <c r="A30" s="10"/>
      <c r="B30" s="37" t="s">
        <v>198</v>
      </c>
      <c r="C30" s="38"/>
      <c r="D30" s="38"/>
      <c r="E30" s="8">
        <v>5</v>
      </c>
      <c r="F30" s="26">
        <v>3.75</v>
      </c>
      <c r="G30" s="29">
        <f t="shared" si="0"/>
        <v>0.75</v>
      </c>
      <c r="H30" s="30" t="str">
        <f t="shared" si="1"/>
        <v>جيد</v>
      </c>
      <c r="I30" s="41"/>
      <c r="J30" s="42"/>
    </row>
    <row r="31" spans="1:10" ht="30" customHeight="1" x14ac:dyDescent="0.3">
      <c r="A31" s="10"/>
      <c r="B31" s="37" t="s">
        <v>199</v>
      </c>
      <c r="C31" s="38"/>
      <c r="D31" s="38"/>
      <c r="E31" s="8">
        <v>5</v>
      </c>
      <c r="F31" s="26">
        <v>3.75</v>
      </c>
      <c r="G31" s="29">
        <f t="shared" si="0"/>
        <v>0.75</v>
      </c>
      <c r="H31" s="30" t="str">
        <f t="shared" si="1"/>
        <v>جيد</v>
      </c>
      <c r="I31" s="41"/>
      <c r="J31" s="42"/>
    </row>
    <row r="32" spans="1:10" ht="39.9" customHeight="1" thickBot="1" x14ac:dyDescent="0.35">
      <c r="A32" s="10"/>
      <c r="B32" s="39" t="s">
        <v>200</v>
      </c>
      <c r="C32" s="40"/>
      <c r="D32" s="40"/>
      <c r="E32" s="31">
        <v>5</v>
      </c>
      <c r="F32" s="27">
        <v>3.5</v>
      </c>
      <c r="G32" s="32">
        <f t="shared" si="0"/>
        <v>0.7</v>
      </c>
      <c r="H32" s="33" t="str">
        <f t="shared" si="1"/>
        <v>جيد</v>
      </c>
      <c r="I32" s="45"/>
      <c r="J32" s="46"/>
    </row>
    <row r="33" spans="1:10" ht="30" customHeight="1" thickBot="1" x14ac:dyDescent="0.35">
      <c r="A33" s="4"/>
      <c r="B33" s="68" t="s">
        <v>5</v>
      </c>
      <c r="C33" s="69"/>
      <c r="D33" s="69"/>
      <c r="E33" s="9">
        <f>SUM(E8:E32)</f>
        <v>110</v>
      </c>
      <c r="F33" s="9">
        <f>SUM(F8:F32)</f>
        <v>80</v>
      </c>
      <c r="G33" s="72"/>
      <c r="H33" s="73"/>
      <c r="I33" s="73"/>
      <c r="J33" s="74"/>
    </row>
    <row r="34" spans="1:10" ht="30" customHeight="1" thickBot="1" x14ac:dyDescent="0.35">
      <c r="A34" s="4"/>
      <c r="B34" s="68" t="s">
        <v>54</v>
      </c>
      <c r="C34" s="69"/>
      <c r="D34" s="69"/>
      <c r="E34" s="43">
        <f>F33/E33/100*100</f>
        <v>0.72727272727272729</v>
      </c>
      <c r="F34" s="43"/>
      <c r="G34" s="43"/>
      <c r="H34" s="43"/>
      <c r="I34" s="43"/>
      <c r="J34" s="44"/>
    </row>
    <row r="35" spans="1:10" ht="30" customHeight="1" thickBot="1" x14ac:dyDescent="0.35">
      <c r="A35" s="4"/>
      <c r="B35" s="68" t="s">
        <v>55</v>
      </c>
      <c r="C35" s="69"/>
      <c r="D35" s="69"/>
      <c r="E35" s="66" t="str">
        <f>_xlfn.IFS(E34&gt;=90%,"ممتاز",E34&gt;=80%,"جيد جداً",E34&gt;=70%,"جيد",E34&gt;=60%,"مقبول",E34&lt;60%,"راسب")</f>
        <v>جيد</v>
      </c>
      <c r="F35" s="66"/>
      <c r="G35" s="66"/>
      <c r="H35" s="66"/>
      <c r="I35" s="66"/>
      <c r="J35" s="67"/>
    </row>
    <row r="36" spans="1:10" ht="42" customHeight="1" x14ac:dyDescent="0.3">
      <c r="B36" s="62" t="s">
        <v>175</v>
      </c>
      <c r="C36" s="62"/>
      <c r="D36" s="62"/>
      <c r="E36" s="70" t="s">
        <v>52</v>
      </c>
      <c r="F36" s="70"/>
      <c r="G36" s="64" t="s">
        <v>59</v>
      </c>
      <c r="H36" s="64"/>
      <c r="I36" s="64"/>
      <c r="J36" s="64"/>
    </row>
    <row r="37" spans="1:10" ht="51" customHeight="1" x14ac:dyDescent="0.3">
      <c r="A37" s="5"/>
      <c r="B37" s="63"/>
      <c r="C37" s="63"/>
      <c r="D37" s="63"/>
      <c r="E37" s="71" t="s">
        <v>53</v>
      </c>
      <c r="F37" s="71"/>
      <c r="G37" s="65"/>
      <c r="H37" s="65"/>
      <c r="I37" s="65"/>
      <c r="J37" s="65"/>
    </row>
  </sheetData>
  <sheetProtection formatCells="0" formatColumns="0" formatRows="0" insertColumns="0" insertRows="0" insertHyperlinks="0" deleteColumns="0" deleteRows="0" selectLockedCells="1" sort="0" autoFilter="0" pivotTables="0"/>
  <mergeCells count="69">
    <mergeCell ref="B36:D37"/>
    <mergeCell ref="G36:J36"/>
    <mergeCell ref="G37:J37"/>
    <mergeCell ref="E35:J35"/>
    <mergeCell ref="I32:J32"/>
    <mergeCell ref="B33:D33"/>
    <mergeCell ref="B34:D34"/>
    <mergeCell ref="B35:D35"/>
    <mergeCell ref="E36:F36"/>
    <mergeCell ref="E37:F37"/>
    <mergeCell ref="G33:J33"/>
    <mergeCell ref="B7:D7"/>
    <mergeCell ref="I30:J30"/>
    <mergeCell ref="I31:J31"/>
    <mergeCell ref="E5:H5"/>
    <mergeCell ref="I5:J6"/>
    <mergeCell ref="I7:J7"/>
    <mergeCell ref="I10:J10"/>
    <mergeCell ref="I11:J11"/>
    <mergeCell ref="I12:J12"/>
    <mergeCell ref="I13:J13"/>
    <mergeCell ref="I14:J14"/>
    <mergeCell ref="I15:J15"/>
    <mergeCell ref="I16:J16"/>
    <mergeCell ref="I18:J18"/>
    <mergeCell ref="I19:J19"/>
    <mergeCell ref="I20:J20"/>
    <mergeCell ref="B1:J1"/>
    <mergeCell ref="F2:J2"/>
    <mergeCell ref="B5:D6"/>
    <mergeCell ref="C2:D2"/>
    <mergeCell ref="C3:D3"/>
    <mergeCell ref="F3:J3"/>
    <mergeCell ref="F4:I4"/>
    <mergeCell ref="I21:J21"/>
    <mergeCell ref="I22:J22"/>
    <mergeCell ref="I24:J24"/>
    <mergeCell ref="I25:J25"/>
    <mergeCell ref="I26:J26"/>
    <mergeCell ref="I27:J27"/>
    <mergeCell ref="E34:J34"/>
    <mergeCell ref="I28:J28"/>
    <mergeCell ref="I29:J29"/>
    <mergeCell ref="B23:J23"/>
    <mergeCell ref="B13:D13"/>
    <mergeCell ref="B14:D14"/>
    <mergeCell ref="B15:D15"/>
    <mergeCell ref="B16:D16"/>
    <mergeCell ref="I9:J9"/>
    <mergeCell ref="B9:D9"/>
    <mergeCell ref="B10:D10"/>
    <mergeCell ref="B11:D11"/>
    <mergeCell ref="B12:D12"/>
    <mergeCell ref="B8:J8"/>
    <mergeCell ref="B31:D31"/>
    <mergeCell ref="B32:D32"/>
    <mergeCell ref="B18:D18"/>
    <mergeCell ref="B19:D19"/>
    <mergeCell ref="B20:D20"/>
    <mergeCell ref="B21:D21"/>
    <mergeCell ref="B22:D22"/>
    <mergeCell ref="B24:D24"/>
    <mergeCell ref="B25:D25"/>
    <mergeCell ref="B17:J17"/>
    <mergeCell ref="B26:D26"/>
    <mergeCell ref="B27:D27"/>
    <mergeCell ref="B28:D28"/>
    <mergeCell ref="B29:D29"/>
    <mergeCell ref="B30:D30"/>
  </mergeCells>
  <conditionalFormatting sqref="C2:D2">
    <cfRule type="containsText" dxfId="23" priority="18" operator="containsText" text="أدخل الوحدة الخاضعة للتقييم">
      <formula>NOT(ISERROR(SEARCH("أدخل الوحدة الخاضعة للتقييم",C2)))</formula>
    </cfRule>
  </conditionalFormatting>
  <conditionalFormatting sqref="C3:D3">
    <cfRule type="containsText" dxfId="22"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21" priority="57">
      <formula>$E35="راسب"</formula>
    </cfRule>
  </conditionalFormatting>
  <conditionalFormatting sqref="E35:J35">
    <cfRule type="expression" dxfId="20" priority="60">
      <formula>$E35="جيد جداً"</formula>
    </cfRule>
    <cfRule type="expression" dxfId="19" priority="59">
      <formula>$E35="جيد"</formula>
    </cfRule>
    <cfRule type="expression" dxfId="18" priority="58">
      <formula>$E35="مقبول"</formula>
    </cfRule>
    <cfRule type="expression" dxfId="17" priority="61">
      <formula>$E35="ممتاز"</formula>
    </cfRule>
  </conditionalFormatting>
  <conditionalFormatting sqref="F9:F16">
    <cfRule type="containsText" dxfId="16" priority="4" operator="containsText" text="أدخل العلامة">
      <formula>NOT(ISERROR(SEARCH("أدخل العلامة",F9)))</formula>
    </cfRule>
  </conditionalFormatting>
  <conditionalFormatting sqref="F18:F22 F24:F32">
    <cfRule type="containsText" dxfId="15" priority="14" operator="containsText" text="أدخل العلامة">
      <formula>NOT(ISERROR(SEARCH("أدخل العلامة",F18)))</formula>
    </cfRule>
  </conditionalFormatting>
  <conditionalFormatting sqref="F2:J2">
    <cfRule type="containsText" dxfId="14" priority="19" operator="containsText" text="أدخل التاريخ">
      <formula>NOT(ISERROR(SEARCH("أدخل التاريخ",F2)))</formula>
    </cfRule>
  </conditionalFormatting>
  <conditionalFormatting sqref="F3:J3">
    <cfRule type="containsText" dxfId="13" priority="16" operator="containsText" text="أدخل أسم المحكم">
      <formula>NOT(ISERROR(SEARCH("أدخل أسم المحكم",F3)))</formula>
    </cfRule>
  </conditionalFormatting>
  <conditionalFormatting sqref="G36:J36">
    <cfRule type="containsText" dxfId="12" priority="15" operator="containsText" text="أدخل اسم المحكم">
      <formula>NOT(ISERROR(SEARCH("أدخل اسم المحكم",G36)))</formula>
    </cfRule>
  </conditionalFormatting>
  <conditionalFormatting sqref="H9:H16">
    <cfRule type="containsText" dxfId="11" priority="10" operator="containsText" text="راسب">
      <formula>NOT(ISERROR(SEARCH("راسب",H9)))</formula>
    </cfRule>
    <cfRule type="containsText" dxfId="10" priority="9" operator="containsText" text="مقبول">
      <formula>NOT(ISERROR(SEARCH("مقبول",H9)))</formula>
    </cfRule>
    <cfRule type="containsText" dxfId="9" priority="8" operator="containsText" text="جيد">
      <formula>NOT(ISERROR(SEARCH("جيد",H9)))</formula>
    </cfRule>
    <cfRule type="containsText" dxfId="8" priority="7" operator="containsText" text="جيد جداً">
      <formula>NOT(ISERROR(SEARCH("جيد جداً",H9)))</formula>
    </cfRule>
    <cfRule type="containsText" dxfId="7" priority="6" operator="containsText" text="ممتاز">
      <formula>NOT(ISERROR(SEARCH("ممتاز",H9)))</formula>
    </cfRule>
    <cfRule type="containsText" dxfId="6" priority="5" operator="containsText" text="أدخل العلامة">
      <formula>NOT(ISERROR(SEARCH("أدخل العلامة",H9)))</formula>
    </cfRule>
  </conditionalFormatting>
  <conditionalFormatting sqref="H18:H22 H24:H32">
    <cfRule type="containsText" dxfId="5" priority="38" operator="containsText" text="أدخل العلامة">
      <formula>NOT(ISERROR(SEARCH("أدخل العلامة",H18)))</formula>
    </cfRule>
    <cfRule type="containsText" dxfId="4" priority="39" operator="containsText" text="ممتاز">
      <formula>NOT(ISERROR(SEARCH("ممتاز",H18)))</formula>
    </cfRule>
    <cfRule type="containsText" dxfId="3" priority="40" operator="containsText" text="جيد جداً">
      <formula>NOT(ISERROR(SEARCH("جيد جداً",H18)))</formula>
    </cfRule>
    <cfRule type="containsText" dxfId="2" priority="41" operator="containsText" text="جيد">
      <formula>NOT(ISERROR(SEARCH("جيد",H18)))</formula>
    </cfRule>
    <cfRule type="containsText" dxfId="1" priority="42" operator="containsText" text="مقبول">
      <formula>NOT(ISERROR(SEARCH("مقبول",H18)))</formula>
    </cfRule>
    <cfRule type="containsText" dxfId="0" priority="43" operator="containsText" text="راسب">
      <formula>NOT(ISERROR(SEARCH("راسب",H18)))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F24:F32 F18:F22 F9:F16</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19" t="s">
        <v>62</v>
      </c>
    </row>
    <row r="3" spans="1:3" ht="20.100000000000001" customHeight="1" thickBot="1" x14ac:dyDescent="0.35">
      <c r="A3" s="2" t="s">
        <v>26</v>
      </c>
      <c r="C3" s="19" t="s">
        <v>63</v>
      </c>
    </row>
    <row r="4" spans="1:3" ht="20.100000000000001" customHeight="1" thickBot="1" x14ac:dyDescent="0.35">
      <c r="A4" s="2" t="s">
        <v>36</v>
      </c>
      <c r="C4" s="19" t="s">
        <v>64</v>
      </c>
    </row>
    <row r="5" spans="1:3" ht="20.100000000000001" customHeight="1" thickBot="1" x14ac:dyDescent="0.35">
      <c r="A5" s="2" t="s">
        <v>37</v>
      </c>
      <c r="C5" s="19" t="s">
        <v>65</v>
      </c>
    </row>
    <row r="6" spans="1:3" ht="20.100000000000001" customHeight="1" thickBot="1" x14ac:dyDescent="0.35">
      <c r="A6" s="2" t="s">
        <v>38</v>
      </c>
      <c r="C6" s="19" t="s">
        <v>66</v>
      </c>
    </row>
    <row r="7" spans="1:3" ht="20.100000000000001" customHeight="1" thickBot="1" x14ac:dyDescent="0.35">
      <c r="A7" s="2" t="s">
        <v>39</v>
      </c>
      <c r="C7" s="19" t="s">
        <v>67</v>
      </c>
    </row>
    <row r="8" spans="1:3" ht="20.100000000000001" customHeight="1" thickBot="1" x14ac:dyDescent="0.35">
      <c r="A8" s="2" t="s">
        <v>40</v>
      </c>
      <c r="C8" s="19" t="s">
        <v>68</v>
      </c>
    </row>
    <row r="9" spans="1:3" ht="20.100000000000001" customHeight="1" thickBot="1" x14ac:dyDescent="0.35">
      <c r="A9" s="2" t="s">
        <v>41</v>
      </c>
      <c r="C9" s="19" t="s">
        <v>69</v>
      </c>
    </row>
    <row r="10" spans="1:3" ht="20.100000000000001" customHeight="1" thickBot="1" x14ac:dyDescent="0.35">
      <c r="A10" s="2" t="s">
        <v>42</v>
      </c>
      <c r="C10" s="19" t="s">
        <v>70</v>
      </c>
    </row>
    <row r="11" spans="1:3" ht="20.100000000000001" customHeight="1" thickBot="1" x14ac:dyDescent="0.35">
      <c r="A11" s="2" t="s">
        <v>43</v>
      </c>
      <c r="C11" s="19" t="s">
        <v>71</v>
      </c>
    </row>
    <row r="12" spans="1:3" ht="20.100000000000001" customHeight="1" thickBot="1" x14ac:dyDescent="0.35">
      <c r="A12" s="2" t="s">
        <v>44</v>
      </c>
      <c r="C12" s="19" t="s">
        <v>72</v>
      </c>
    </row>
    <row r="13" spans="1:3" ht="20.100000000000001" customHeight="1" thickBot="1" x14ac:dyDescent="0.35">
      <c r="A13" s="2" t="s">
        <v>45</v>
      </c>
      <c r="C13" s="19" t="s">
        <v>73</v>
      </c>
    </row>
    <row r="14" spans="1:3" ht="20.100000000000001" customHeight="1" thickBot="1" x14ac:dyDescent="0.35">
      <c r="A14" s="2" t="s">
        <v>46</v>
      </c>
      <c r="C14" s="19" t="s">
        <v>74</v>
      </c>
    </row>
    <row r="15" spans="1:3" ht="20.100000000000001" customHeight="1" thickBot="1" x14ac:dyDescent="0.35">
      <c r="A15" s="2" t="s">
        <v>47</v>
      </c>
      <c r="C15" s="19" t="s">
        <v>75</v>
      </c>
    </row>
    <row r="16" spans="1:3" ht="20.100000000000001" customHeight="1" thickBot="1" x14ac:dyDescent="0.35">
      <c r="A16" s="2" t="s">
        <v>10</v>
      </c>
      <c r="C16" s="19" t="s">
        <v>76</v>
      </c>
    </row>
    <row r="17" spans="1:3" ht="20.100000000000001" customHeight="1" thickBot="1" x14ac:dyDescent="0.35">
      <c r="A17" s="2" t="s">
        <v>27</v>
      </c>
      <c r="C17" s="19" t="s">
        <v>77</v>
      </c>
    </row>
    <row r="18" spans="1:3" ht="20.100000000000001" customHeight="1" thickBot="1" x14ac:dyDescent="0.35">
      <c r="A18" s="2" t="s">
        <v>48</v>
      </c>
      <c r="C18" s="19" t="s">
        <v>78</v>
      </c>
    </row>
    <row r="19" spans="1:3" ht="20.100000000000001" customHeight="1" thickBot="1" x14ac:dyDescent="0.35">
      <c r="A19" s="2" t="s">
        <v>49</v>
      </c>
      <c r="C19" s="19" t="s">
        <v>79</v>
      </c>
    </row>
    <row r="20" spans="1:3" ht="20.100000000000001" customHeight="1" thickBot="1" x14ac:dyDescent="0.35">
      <c r="A20" s="2" t="s">
        <v>50</v>
      </c>
      <c r="C20" s="19" t="s">
        <v>80</v>
      </c>
    </row>
    <row r="21" spans="1:3" ht="20.100000000000001" customHeight="1" thickBot="1" x14ac:dyDescent="0.35">
      <c r="A21" s="2" t="s">
        <v>51</v>
      </c>
      <c r="C21" s="19" t="s">
        <v>81</v>
      </c>
    </row>
    <row r="22" spans="1:3" ht="20.100000000000001" customHeight="1" thickBot="1" x14ac:dyDescent="0.35">
      <c r="A22" s="2" t="s">
        <v>11</v>
      </c>
      <c r="C22" s="19" t="s">
        <v>82</v>
      </c>
    </row>
    <row r="23" spans="1:3" ht="20.100000000000001" customHeight="1" thickBot="1" x14ac:dyDescent="0.35">
      <c r="A23" s="2" t="s">
        <v>12</v>
      </c>
      <c r="C23" s="19" t="s">
        <v>83</v>
      </c>
    </row>
    <row r="24" spans="1:3" ht="20.100000000000001" customHeight="1" thickBot="1" x14ac:dyDescent="0.35">
      <c r="A24" s="2" t="s">
        <v>15</v>
      </c>
      <c r="C24" s="19" t="s">
        <v>84</v>
      </c>
    </row>
    <row r="25" spans="1:3" ht="20.100000000000001" customHeight="1" thickBot="1" x14ac:dyDescent="0.35">
      <c r="A25" s="2" t="s">
        <v>28</v>
      </c>
      <c r="C25" s="19" t="s">
        <v>85</v>
      </c>
    </row>
    <row r="26" spans="1:3" ht="20.100000000000001" customHeight="1" thickBot="1" x14ac:dyDescent="0.35">
      <c r="A26" s="2" t="s">
        <v>29</v>
      </c>
      <c r="C26" s="19" t="s">
        <v>86</v>
      </c>
    </row>
    <row r="27" spans="1:3" ht="20.100000000000001" customHeight="1" thickBot="1" x14ac:dyDescent="0.35">
      <c r="A27" s="2" t="s">
        <v>13</v>
      </c>
      <c r="C27" s="19" t="s">
        <v>87</v>
      </c>
    </row>
    <row r="28" spans="1:3" ht="20.100000000000001" customHeight="1" thickBot="1" x14ac:dyDescent="0.35">
      <c r="A28" s="2" t="s">
        <v>30</v>
      </c>
      <c r="C28" s="19"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8"/>
    </row>
    <row r="36" spans="1:9" s="17" customFormat="1" ht="20.100000000000001" customHeight="1" x14ac:dyDescent="0.3">
      <c r="A36" s="15"/>
      <c r="B36" s="16"/>
      <c r="C36" s="16"/>
      <c r="D36" s="16"/>
      <c r="E36" s="16"/>
      <c r="F36" s="16"/>
      <c r="G36" s="16"/>
      <c r="H36" s="16"/>
      <c r="I36" s="16"/>
    </row>
    <row r="37" spans="1:9" ht="20.100000000000001" customHeight="1" thickBot="1" x14ac:dyDescent="0.35"/>
    <row r="38" spans="1:9" ht="20.100000000000001" customHeight="1" thickBot="1" x14ac:dyDescent="0.35">
      <c r="A38" s="2" t="s">
        <v>56</v>
      </c>
    </row>
    <row r="39" spans="1:9" ht="20.100000000000001" customHeight="1" thickBot="1" x14ac:dyDescent="0.35">
      <c r="A39" s="13">
        <v>45901</v>
      </c>
    </row>
    <row r="40" spans="1:9" ht="20.100000000000001" customHeight="1" thickBot="1" x14ac:dyDescent="0.35">
      <c r="A40" s="13">
        <v>45902</v>
      </c>
    </row>
    <row r="41" spans="1:9" ht="20.100000000000001" customHeight="1" thickBot="1" x14ac:dyDescent="0.35">
      <c r="A41" s="13">
        <v>45903</v>
      </c>
    </row>
    <row r="42" spans="1:9" ht="20.100000000000001" customHeight="1" thickBot="1" x14ac:dyDescent="0.35">
      <c r="A42" s="13">
        <v>45904</v>
      </c>
    </row>
    <row r="43" spans="1:9" ht="20.100000000000001" customHeight="1" thickBot="1" x14ac:dyDescent="0.35">
      <c r="A43" s="13">
        <v>45905</v>
      </c>
    </row>
    <row r="44" spans="1:9" ht="20.100000000000001" customHeight="1" thickBot="1" x14ac:dyDescent="0.35">
      <c r="A44" s="13">
        <v>45906</v>
      </c>
    </row>
    <row r="45" spans="1:9" ht="20.100000000000001" customHeight="1" thickBot="1" x14ac:dyDescent="0.35">
      <c r="A45" s="13">
        <v>45907</v>
      </c>
    </row>
    <row r="46" spans="1:9" ht="20.100000000000001" customHeight="1" thickBot="1" x14ac:dyDescent="0.35">
      <c r="A46" s="13">
        <v>45908</v>
      </c>
    </row>
    <row r="47" spans="1:9" ht="20.100000000000001" customHeight="1" thickBot="1" x14ac:dyDescent="0.35">
      <c r="A47" s="13">
        <v>45909</v>
      </c>
    </row>
    <row r="48" spans="1:9" ht="20.100000000000001" customHeight="1" thickBot="1" x14ac:dyDescent="0.35">
      <c r="A48" s="13">
        <v>45910</v>
      </c>
    </row>
    <row r="49" spans="1:1" ht="20.100000000000001" customHeight="1" thickBot="1" x14ac:dyDescent="0.35">
      <c r="A49" s="13">
        <v>45911</v>
      </c>
    </row>
    <row r="50" spans="1:1" ht="20.100000000000001" customHeight="1" thickBot="1" x14ac:dyDescent="0.35">
      <c r="A50" s="13">
        <v>45912</v>
      </c>
    </row>
    <row r="51" spans="1:1" ht="20.100000000000001" customHeight="1" thickBot="1" x14ac:dyDescent="0.35">
      <c r="A51" s="13">
        <v>45913</v>
      </c>
    </row>
    <row r="52" spans="1:1" ht="20.100000000000001" customHeight="1" thickBot="1" x14ac:dyDescent="0.35">
      <c r="A52" s="13">
        <v>45914</v>
      </c>
    </row>
    <row r="53" spans="1:1" ht="20.100000000000001" customHeight="1" thickBot="1" x14ac:dyDescent="0.35">
      <c r="A53" s="13">
        <v>45915</v>
      </c>
    </row>
    <row r="54" spans="1:1" ht="20.100000000000001" customHeight="1" thickBot="1" x14ac:dyDescent="0.35">
      <c r="A54" s="13">
        <v>45916</v>
      </c>
    </row>
    <row r="55" spans="1:1" ht="20.100000000000001" customHeight="1" thickBot="1" x14ac:dyDescent="0.35">
      <c r="A55" s="13">
        <v>45917</v>
      </c>
    </row>
    <row r="56" spans="1:1" ht="20.100000000000001" customHeight="1" thickBot="1" x14ac:dyDescent="0.35">
      <c r="A56" s="13">
        <v>45918</v>
      </c>
    </row>
    <row r="57" spans="1:1" ht="20.100000000000001" customHeight="1" thickBot="1" x14ac:dyDescent="0.35">
      <c r="A57" s="13">
        <v>45919</v>
      </c>
    </row>
    <row r="58" spans="1:1" ht="20.100000000000001" customHeight="1" thickBot="1" x14ac:dyDescent="0.35">
      <c r="A58" s="13">
        <v>45920</v>
      </c>
    </row>
    <row r="59" spans="1:1" ht="20.100000000000001" customHeight="1" thickBot="1" x14ac:dyDescent="0.35">
      <c r="A59" s="13">
        <v>45921</v>
      </c>
    </row>
    <row r="60" spans="1:1" ht="20.100000000000001" customHeight="1" thickBot="1" x14ac:dyDescent="0.35">
      <c r="A60" s="13">
        <v>45922</v>
      </c>
    </row>
    <row r="61" spans="1:1" ht="20.100000000000001" customHeight="1" thickBot="1" x14ac:dyDescent="0.35">
      <c r="A61" s="13">
        <v>45923</v>
      </c>
    </row>
    <row r="62" spans="1:1" ht="20.100000000000001" customHeight="1" thickBot="1" x14ac:dyDescent="0.35">
      <c r="A62" s="13">
        <v>45924</v>
      </c>
    </row>
    <row r="63" spans="1:1" ht="20.100000000000001" customHeight="1" thickBot="1" x14ac:dyDescent="0.35">
      <c r="A63" s="13">
        <v>45925</v>
      </c>
    </row>
    <row r="64" spans="1:1" ht="20.100000000000001" customHeight="1" thickBot="1" x14ac:dyDescent="0.35">
      <c r="A64" s="13">
        <v>45926</v>
      </c>
    </row>
    <row r="65" spans="1:1" ht="20.100000000000001" customHeight="1" thickBot="1" x14ac:dyDescent="0.35">
      <c r="A65" s="13">
        <v>45927</v>
      </c>
    </row>
    <row r="66" spans="1:1" ht="20.100000000000001" customHeight="1" thickBot="1" x14ac:dyDescent="0.35">
      <c r="A66" s="13">
        <v>45928</v>
      </c>
    </row>
    <row r="67" spans="1:1" ht="20.100000000000001" customHeight="1" thickBot="1" x14ac:dyDescent="0.35">
      <c r="A67" s="13">
        <v>45929</v>
      </c>
    </row>
    <row r="68" spans="1:1" ht="20.100000000000001" customHeight="1" thickBot="1" x14ac:dyDescent="0.35">
      <c r="A68" s="13">
        <v>45930</v>
      </c>
    </row>
    <row r="69" spans="1:1" ht="20.100000000000001" customHeight="1" thickBot="1" x14ac:dyDescent="0.35">
      <c r="A69" s="13">
        <v>45931</v>
      </c>
    </row>
    <row r="70" spans="1:1" ht="20.100000000000001" customHeight="1" thickBot="1" x14ac:dyDescent="0.35">
      <c r="A70" s="13">
        <v>45932</v>
      </c>
    </row>
    <row r="71" spans="1:1" ht="20.100000000000001" customHeight="1" thickBot="1" x14ac:dyDescent="0.35">
      <c r="A71" s="13">
        <v>45933</v>
      </c>
    </row>
    <row r="72" spans="1:1" ht="20.100000000000001" customHeight="1" thickBot="1" x14ac:dyDescent="0.35">
      <c r="A72" s="13">
        <v>45934</v>
      </c>
    </row>
    <row r="73" spans="1:1" ht="20.100000000000001" customHeight="1" thickBot="1" x14ac:dyDescent="0.35">
      <c r="A73" s="13">
        <v>45935</v>
      </c>
    </row>
    <row r="74" spans="1:1" ht="20.100000000000001" customHeight="1" thickBot="1" x14ac:dyDescent="0.35">
      <c r="A74" s="13">
        <v>45936</v>
      </c>
    </row>
    <row r="75" spans="1:1" ht="20.100000000000001" customHeight="1" thickBot="1" x14ac:dyDescent="0.35">
      <c r="A75" s="13">
        <v>45937</v>
      </c>
    </row>
    <row r="76" spans="1:1" ht="20.100000000000001" customHeight="1" thickBot="1" x14ac:dyDescent="0.35">
      <c r="A76" s="13">
        <v>45938</v>
      </c>
    </row>
    <row r="77" spans="1:1" ht="20.100000000000001" customHeight="1" thickBot="1" x14ac:dyDescent="0.35">
      <c r="A77" s="13">
        <v>45939</v>
      </c>
    </row>
    <row r="78" spans="1:1" ht="20.100000000000001" customHeight="1" thickBot="1" x14ac:dyDescent="0.35">
      <c r="A78" s="13">
        <v>45940</v>
      </c>
    </row>
    <row r="79" spans="1:1" ht="20.100000000000001" customHeight="1" thickBot="1" x14ac:dyDescent="0.35">
      <c r="A79" s="13">
        <v>45941</v>
      </c>
    </row>
    <row r="80" spans="1:1" ht="20.100000000000001" customHeight="1" thickBot="1" x14ac:dyDescent="0.35">
      <c r="A80" s="13">
        <v>45942</v>
      </c>
    </row>
    <row r="81" spans="1:1" ht="20.100000000000001" customHeight="1" thickBot="1" x14ac:dyDescent="0.35">
      <c r="A81" s="13">
        <v>45943</v>
      </c>
    </row>
    <row r="82" spans="1:1" ht="20.100000000000001" customHeight="1" thickBot="1" x14ac:dyDescent="0.35">
      <c r="A82" s="13">
        <v>45944</v>
      </c>
    </row>
    <row r="83" spans="1:1" ht="20.100000000000001" customHeight="1" thickBot="1" x14ac:dyDescent="0.35">
      <c r="A83" s="13">
        <v>45945</v>
      </c>
    </row>
    <row r="84" spans="1:1" ht="20.100000000000001" customHeight="1" thickBot="1" x14ac:dyDescent="0.35">
      <c r="A84" s="13">
        <v>45946</v>
      </c>
    </row>
    <row r="85" spans="1:1" ht="20.100000000000001" customHeight="1" thickBot="1" x14ac:dyDescent="0.35">
      <c r="A85" s="13">
        <v>45947</v>
      </c>
    </row>
    <row r="86" spans="1:1" ht="20.100000000000001" customHeight="1" thickBot="1" x14ac:dyDescent="0.35">
      <c r="A86" s="13">
        <v>45948</v>
      </c>
    </row>
    <row r="87" spans="1:1" ht="20.100000000000001" customHeight="1" thickBot="1" x14ac:dyDescent="0.35">
      <c r="A87" s="13">
        <v>45949</v>
      </c>
    </row>
    <row r="88" spans="1:1" ht="20.100000000000001" customHeight="1" thickBot="1" x14ac:dyDescent="0.35">
      <c r="A88" s="13">
        <v>45950</v>
      </c>
    </row>
    <row r="89" spans="1:1" ht="20.100000000000001" customHeight="1" thickBot="1" x14ac:dyDescent="0.35">
      <c r="A89" s="13">
        <v>45951</v>
      </c>
    </row>
    <row r="90" spans="1:1" ht="20.100000000000001" customHeight="1" thickBot="1" x14ac:dyDescent="0.35">
      <c r="A90" s="13">
        <v>45952</v>
      </c>
    </row>
    <row r="91" spans="1:1" ht="20.100000000000001" customHeight="1" thickBot="1" x14ac:dyDescent="0.35">
      <c r="A91" s="13">
        <v>45953</v>
      </c>
    </row>
    <row r="92" spans="1:1" ht="20.100000000000001" customHeight="1" thickBot="1" x14ac:dyDescent="0.35">
      <c r="A92" s="13">
        <v>45954</v>
      </c>
    </row>
    <row r="93" spans="1:1" ht="20.100000000000001" customHeight="1" thickBot="1" x14ac:dyDescent="0.35">
      <c r="A93" s="13">
        <v>45955</v>
      </c>
    </row>
    <row r="94" spans="1:1" ht="20.100000000000001" customHeight="1" thickBot="1" x14ac:dyDescent="0.35">
      <c r="A94" s="13">
        <v>45956</v>
      </c>
    </row>
    <row r="95" spans="1:1" ht="20.100000000000001" customHeight="1" thickBot="1" x14ac:dyDescent="0.35">
      <c r="A95" s="13">
        <v>45957</v>
      </c>
    </row>
    <row r="96" spans="1:1" ht="20.100000000000001" customHeight="1" thickBot="1" x14ac:dyDescent="0.35">
      <c r="A96" s="13">
        <v>45958</v>
      </c>
    </row>
    <row r="97" spans="1:9" ht="20.100000000000001" customHeight="1" thickBot="1" x14ac:dyDescent="0.35">
      <c r="A97" s="13">
        <v>45959</v>
      </c>
    </row>
    <row r="98" spans="1:9" ht="20.100000000000001" customHeight="1" thickBot="1" x14ac:dyDescent="0.35">
      <c r="A98" s="13">
        <v>45960</v>
      </c>
    </row>
    <row r="99" spans="1:9" ht="20.100000000000001" customHeight="1" thickBot="1" x14ac:dyDescent="0.35">
      <c r="A99" s="13">
        <v>45961</v>
      </c>
    </row>
    <row r="100" spans="1:9" ht="20.100000000000001" customHeight="1" thickBot="1" x14ac:dyDescent="0.35">
      <c r="A100" s="13">
        <v>45962</v>
      </c>
    </row>
    <row r="101" spans="1:9" ht="20.100000000000001" customHeight="1" thickBot="1" x14ac:dyDescent="0.35">
      <c r="A101" s="13">
        <v>45963</v>
      </c>
    </row>
    <row r="102" spans="1:9" ht="20.100000000000001" customHeight="1" thickBot="1" x14ac:dyDescent="0.35">
      <c r="A102" s="13">
        <v>45964</v>
      </c>
    </row>
    <row r="103" spans="1:9" ht="20.100000000000001" customHeight="1" thickBot="1" x14ac:dyDescent="0.35">
      <c r="A103" s="13">
        <v>45965</v>
      </c>
    </row>
    <row r="104" spans="1:9" ht="20.100000000000001" customHeight="1" thickBot="1" x14ac:dyDescent="0.35">
      <c r="A104" s="13">
        <v>45966</v>
      </c>
    </row>
    <row r="105" spans="1:9" ht="20.100000000000001" customHeight="1" thickBot="1" x14ac:dyDescent="0.35">
      <c r="A105" s="13">
        <v>45967</v>
      </c>
    </row>
    <row r="106" spans="1:9" ht="20.100000000000001" customHeight="1" thickBot="1" x14ac:dyDescent="0.35">
      <c r="A106" s="13">
        <v>45968</v>
      </c>
    </row>
    <row r="107" spans="1:9" ht="20.100000000000001" customHeight="1" x14ac:dyDescent="0.3">
      <c r="A107" s="14"/>
    </row>
    <row r="108" spans="1:9" ht="20.100000000000001" customHeight="1" x14ac:dyDescent="0.3">
      <c r="A108" s="14"/>
    </row>
    <row r="109" spans="1:9" s="17" customFormat="1" ht="20.100000000000001" customHeight="1" x14ac:dyDescent="0.3">
      <c r="A109" s="15"/>
      <c r="B109" s="16"/>
      <c r="C109" s="16"/>
      <c r="D109" s="16"/>
      <c r="E109" s="16"/>
      <c r="F109" s="16"/>
      <c r="G109" s="16"/>
      <c r="H109" s="16"/>
      <c r="I109" s="16"/>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0" t="s">
        <v>89</v>
      </c>
    </row>
    <row r="200" spans="1:1" ht="20.100000000000001" customHeight="1" x14ac:dyDescent="0.3">
      <c r="A200" s="20" t="s">
        <v>90</v>
      </c>
    </row>
    <row r="201" spans="1:1" ht="20.100000000000001" customHeight="1" x14ac:dyDescent="0.3">
      <c r="A201" s="20" t="s">
        <v>91</v>
      </c>
    </row>
    <row r="202" spans="1:1" ht="20.100000000000001" customHeight="1" x14ac:dyDescent="0.3">
      <c r="A202" s="20" t="s">
        <v>92</v>
      </c>
    </row>
    <row r="203" spans="1:1" ht="20.100000000000001" customHeight="1" x14ac:dyDescent="0.3">
      <c r="A203" s="20" t="s">
        <v>93</v>
      </c>
    </row>
    <row r="204" spans="1:1" ht="20.100000000000001" customHeight="1" x14ac:dyDescent="0.3">
      <c r="A204" s="20" t="s">
        <v>94</v>
      </c>
    </row>
    <row r="205" spans="1:1" ht="20.100000000000001" customHeight="1" x14ac:dyDescent="0.3">
      <c r="A205" s="20" t="s">
        <v>95</v>
      </c>
    </row>
    <row r="206" spans="1:1" ht="20.100000000000001" customHeight="1" x14ac:dyDescent="0.3">
      <c r="A206" s="20" t="s">
        <v>96</v>
      </c>
    </row>
    <row r="207" spans="1:1" ht="20.100000000000001" customHeight="1" x14ac:dyDescent="0.3">
      <c r="A207" s="20" t="s">
        <v>97</v>
      </c>
    </row>
    <row r="208" spans="1:1" ht="20.100000000000001" customHeight="1" x14ac:dyDescent="0.3">
      <c r="A208" s="21" t="s">
        <v>98</v>
      </c>
    </row>
    <row r="209" spans="1:1" ht="20.100000000000001" customHeight="1" x14ac:dyDescent="0.3">
      <c r="A209" s="21" t="s">
        <v>99</v>
      </c>
    </row>
    <row r="210" spans="1:1" ht="20.100000000000001" customHeight="1" x14ac:dyDescent="0.3">
      <c r="A210" s="20" t="s">
        <v>100</v>
      </c>
    </row>
    <row r="211" spans="1:1" ht="20.100000000000001" customHeight="1" x14ac:dyDescent="0.3">
      <c r="A211" s="20" t="s">
        <v>101</v>
      </c>
    </row>
    <row r="212" spans="1:1" ht="20.100000000000001" customHeight="1" x14ac:dyDescent="0.3">
      <c r="A212" s="20" t="s">
        <v>102</v>
      </c>
    </row>
    <row r="213" spans="1:1" ht="20.100000000000001" customHeight="1" x14ac:dyDescent="0.3">
      <c r="A213" s="20" t="s">
        <v>103</v>
      </c>
    </row>
    <row r="214" spans="1:1" ht="20.100000000000001" customHeight="1" x14ac:dyDescent="0.3">
      <c r="A214" s="20" t="s">
        <v>104</v>
      </c>
    </row>
    <row r="215" spans="1:1" ht="20.100000000000001" customHeight="1" x14ac:dyDescent="0.3">
      <c r="A215" s="20" t="s">
        <v>105</v>
      </c>
    </row>
    <row r="216" spans="1:1" ht="20.100000000000001" customHeight="1" x14ac:dyDescent="0.3">
      <c r="A216" s="20" t="s">
        <v>106</v>
      </c>
    </row>
    <row r="217" spans="1:1" ht="20.100000000000001" customHeight="1" x14ac:dyDescent="0.3">
      <c r="A217" s="20" t="s">
        <v>107</v>
      </c>
    </row>
    <row r="218" spans="1:1" ht="20.100000000000001" customHeight="1" x14ac:dyDescent="0.3">
      <c r="A218" s="20" t="s">
        <v>108</v>
      </c>
    </row>
    <row r="219" spans="1:1" ht="20.100000000000001" customHeight="1" x14ac:dyDescent="0.3">
      <c r="A219" s="20" t="s">
        <v>109</v>
      </c>
    </row>
    <row r="220" spans="1:1" ht="20.100000000000001" customHeight="1" x14ac:dyDescent="0.3">
      <c r="A220" s="20" t="s">
        <v>110</v>
      </c>
    </row>
    <row r="221" spans="1:1" ht="20.100000000000001" customHeight="1" x14ac:dyDescent="0.3">
      <c r="A221" s="20" t="s">
        <v>111</v>
      </c>
    </row>
    <row r="222" spans="1:1" ht="20.100000000000001" customHeight="1" x14ac:dyDescent="0.3">
      <c r="A222" s="20" t="s">
        <v>112</v>
      </c>
    </row>
    <row r="223" spans="1:1" ht="20.100000000000001" customHeight="1" x14ac:dyDescent="0.3">
      <c r="A223" s="20" t="s">
        <v>113</v>
      </c>
    </row>
    <row r="224" spans="1:1" ht="20.100000000000001" customHeight="1" x14ac:dyDescent="0.3">
      <c r="A224" s="20" t="s">
        <v>114</v>
      </c>
    </row>
    <row r="225" spans="1:1" ht="20.100000000000001" customHeight="1" x14ac:dyDescent="0.3">
      <c r="A225" s="20" t="s">
        <v>115</v>
      </c>
    </row>
    <row r="226" spans="1:1" ht="20.100000000000001" customHeight="1" x14ac:dyDescent="0.3">
      <c r="A226" s="20" t="s">
        <v>116</v>
      </c>
    </row>
    <row r="227" spans="1:1" ht="20.100000000000001" customHeight="1" x14ac:dyDescent="0.3">
      <c r="A227" s="20" t="s">
        <v>117</v>
      </c>
    </row>
    <row r="228" spans="1:1" ht="20.100000000000001" customHeight="1" x14ac:dyDescent="0.3">
      <c r="A228" s="20" t="s">
        <v>118</v>
      </c>
    </row>
    <row r="229" spans="1:1" ht="20.100000000000001" customHeight="1" x14ac:dyDescent="0.3">
      <c r="A229" s="20" t="s">
        <v>119</v>
      </c>
    </row>
    <row r="230" spans="1:1" ht="20.100000000000001" customHeight="1" x14ac:dyDescent="0.3">
      <c r="A230" s="20" t="s">
        <v>120</v>
      </c>
    </row>
    <row r="231" spans="1:1" ht="20.100000000000001" customHeight="1" x14ac:dyDescent="0.3">
      <c r="A231" s="20" t="s">
        <v>121</v>
      </c>
    </row>
    <row r="232" spans="1:1" ht="20.100000000000001" customHeight="1" x14ac:dyDescent="0.3">
      <c r="A232" s="20" t="s">
        <v>122</v>
      </c>
    </row>
    <row r="233" spans="1:1" ht="20.100000000000001" customHeight="1" x14ac:dyDescent="0.3">
      <c r="A233" s="20" t="s">
        <v>123</v>
      </c>
    </row>
    <row r="234" spans="1:1" ht="20.100000000000001" customHeight="1" x14ac:dyDescent="0.3">
      <c r="A234" s="20" t="s">
        <v>124</v>
      </c>
    </row>
    <row r="235" spans="1:1" ht="20.100000000000001" customHeight="1" x14ac:dyDescent="0.3">
      <c r="A235" s="22" t="s">
        <v>125</v>
      </c>
    </row>
    <row r="236" spans="1:1" ht="20.100000000000001" customHeight="1" x14ac:dyDescent="0.3">
      <c r="A236" s="20" t="s">
        <v>126</v>
      </c>
    </row>
    <row r="237" spans="1:1" ht="20.100000000000001" customHeight="1" x14ac:dyDescent="0.3">
      <c r="A237" s="20" t="s">
        <v>127</v>
      </c>
    </row>
    <row r="238" spans="1:1" ht="20.100000000000001" customHeight="1" x14ac:dyDescent="0.3">
      <c r="A238" s="20" t="s">
        <v>128</v>
      </c>
    </row>
    <row r="239" spans="1:1" ht="20.100000000000001" customHeight="1" x14ac:dyDescent="0.3">
      <c r="A239" s="20" t="s">
        <v>129</v>
      </c>
    </row>
    <row r="240" spans="1:1" ht="20.100000000000001" customHeight="1" x14ac:dyDescent="0.3">
      <c r="A240" s="20" t="s">
        <v>130</v>
      </c>
    </row>
    <row r="241" spans="1:1" ht="20.100000000000001" customHeight="1" x14ac:dyDescent="0.3">
      <c r="A241" s="20" t="s">
        <v>131</v>
      </c>
    </row>
    <row r="242" spans="1:1" ht="20.100000000000001" customHeight="1" x14ac:dyDescent="0.3">
      <c r="A242" s="20" t="s">
        <v>132</v>
      </c>
    </row>
    <row r="243" spans="1:1" ht="20.100000000000001" customHeight="1" x14ac:dyDescent="0.3">
      <c r="A243" s="20" t="s">
        <v>133</v>
      </c>
    </row>
    <row r="244" spans="1:1" ht="20.100000000000001" customHeight="1" x14ac:dyDescent="0.3">
      <c r="A244" s="20" t="s">
        <v>134</v>
      </c>
    </row>
    <row r="245" spans="1:1" ht="20.100000000000001" customHeight="1" x14ac:dyDescent="0.3">
      <c r="A245" s="20" t="s">
        <v>135</v>
      </c>
    </row>
    <row r="246" spans="1:1" ht="20.100000000000001" customHeight="1" x14ac:dyDescent="0.3">
      <c r="A246" s="20" t="s">
        <v>136</v>
      </c>
    </row>
    <row r="247" spans="1:1" ht="20.100000000000001" customHeight="1" x14ac:dyDescent="0.3">
      <c r="A247" s="20" t="s">
        <v>127</v>
      </c>
    </row>
    <row r="248" spans="1:1" ht="20.100000000000001" customHeight="1" x14ac:dyDescent="0.3">
      <c r="A248" s="20" t="s">
        <v>137</v>
      </c>
    </row>
    <row r="249" spans="1:1" ht="20.100000000000001" customHeight="1" x14ac:dyDescent="0.3">
      <c r="A249" s="20" t="s">
        <v>138</v>
      </c>
    </row>
    <row r="250" spans="1:1" ht="20.100000000000001" customHeight="1" x14ac:dyDescent="0.3">
      <c r="A250" s="22" t="s">
        <v>139</v>
      </c>
    </row>
    <row r="251" spans="1:1" ht="20.100000000000001" customHeight="1" x14ac:dyDescent="0.3">
      <c r="A251" s="23" t="s">
        <v>140</v>
      </c>
    </row>
    <row r="252" spans="1:1" ht="20.100000000000001" customHeight="1" x14ac:dyDescent="0.3">
      <c r="A252" s="20" t="s">
        <v>141</v>
      </c>
    </row>
    <row r="253" spans="1:1" ht="20.100000000000001" customHeight="1" x14ac:dyDescent="0.3">
      <c r="A253" s="20" t="s">
        <v>142</v>
      </c>
    </row>
    <row r="254" spans="1:1" ht="20.100000000000001" customHeight="1" x14ac:dyDescent="0.3">
      <c r="A254" s="24" t="s">
        <v>143</v>
      </c>
    </row>
    <row r="255" spans="1:1" ht="20.100000000000001" customHeight="1" x14ac:dyDescent="0.3">
      <c r="A255" s="24" t="s">
        <v>144</v>
      </c>
    </row>
    <row r="256" spans="1:1" ht="20.100000000000001" customHeight="1" x14ac:dyDescent="0.3">
      <c r="A256" s="25" t="s">
        <v>145</v>
      </c>
    </row>
    <row r="257" spans="1:1" ht="20.100000000000001" customHeight="1" x14ac:dyDescent="0.3">
      <c r="A257" s="20" t="s">
        <v>146</v>
      </c>
    </row>
    <row r="258" spans="1:1" ht="20.100000000000001" customHeight="1" x14ac:dyDescent="0.3">
      <c r="A258" s="25" t="s">
        <v>147</v>
      </c>
    </row>
    <row r="259" spans="1:1" ht="20.100000000000001" customHeight="1" x14ac:dyDescent="0.3">
      <c r="A259" s="20" t="s">
        <v>148</v>
      </c>
    </row>
    <row r="260" spans="1:1" ht="20.100000000000001" customHeight="1" x14ac:dyDescent="0.3">
      <c r="A260" s="25" t="s">
        <v>149</v>
      </c>
    </row>
    <row r="261" spans="1:1" ht="20.100000000000001" customHeight="1" x14ac:dyDescent="0.3">
      <c r="A261" s="20" t="s">
        <v>150</v>
      </c>
    </row>
    <row r="262" spans="1:1" ht="20.100000000000001" customHeight="1" x14ac:dyDescent="0.3">
      <c r="A262" s="20" t="s">
        <v>151</v>
      </c>
    </row>
    <row r="263" spans="1:1" ht="20.100000000000001" customHeight="1" x14ac:dyDescent="0.3">
      <c r="A263" s="25" t="s">
        <v>152</v>
      </c>
    </row>
    <row r="264" spans="1:1" ht="20.100000000000001" customHeight="1" x14ac:dyDescent="0.3">
      <c r="A264" s="25" t="s">
        <v>153</v>
      </c>
    </row>
    <row r="265" spans="1:1" ht="20.100000000000001" customHeight="1" x14ac:dyDescent="0.3">
      <c r="A265" s="25" t="s">
        <v>154</v>
      </c>
    </row>
    <row r="266" spans="1:1" ht="20.100000000000001" customHeight="1" x14ac:dyDescent="0.3">
      <c r="A266" s="20" t="s">
        <v>155</v>
      </c>
    </row>
    <row r="267" spans="1:1" ht="20.100000000000001" customHeight="1" x14ac:dyDescent="0.3">
      <c r="A267" s="20" t="s">
        <v>156</v>
      </c>
    </row>
    <row r="268" spans="1:1" ht="20.100000000000001" customHeight="1" x14ac:dyDescent="0.3">
      <c r="A268" s="20" t="s">
        <v>157</v>
      </c>
    </row>
    <row r="269" spans="1:1" ht="20.100000000000001" customHeight="1" x14ac:dyDescent="0.3">
      <c r="A269" s="20" t="s">
        <v>158</v>
      </c>
    </row>
    <row r="270" spans="1:1" ht="20.100000000000001" customHeight="1" x14ac:dyDescent="0.3">
      <c r="A270" s="25" t="s">
        <v>159</v>
      </c>
    </row>
    <row r="271" spans="1:1" ht="20.100000000000001" customHeight="1" x14ac:dyDescent="0.3">
      <c r="A271" s="25" t="s">
        <v>160</v>
      </c>
    </row>
    <row r="272" spans="1:1" ht="20.100000000000001" customHeight="1" x14ac:dyDescent="0.3">
      <c r="A272" s="20" t="s">
        <v>161</v>
      </c>
    </row>
    <row r="273" spans="1:1" ht="20.100000000000001" customHeight="1" x14ac:dyDescent="0.3">
      <c r="A273" s="25" t="s">
        <v>162</v>
      </c>
    </row>
    <row r="274" spans="1:1" ht="20.100000000000001" customHeight="1" x14ac:dyDescent="0.3">
      <c r="A274" s="25" t="s">
        <v>163</v>
      </c>
    </row>
    <row r="275" spans="1:1" ht="20.100000000000001" customHeight="1" x14ac:dyDescent="0.3">
      <c r="A275" s="20" t="s">
        <v>164</v>
      </c>
    </row>
    <row r="276" spans="1:1" ht="20.100000000000001" customHeight="1" x14ac:dyDescent="0.3">
      <c r="A276" s="20" t="s">
        <v>165</v>
      </c>
    </row>
    <row r="277" spans="1:1" ht="20.100000000000001" customHeight="1" x14ac:dyDescent="0.3">
      <c r="A277" s="25" t="s">
        <v>166</v>
      </c>
    </row>
    <row r="278" spans="1:1" ht="20.100000000000001" customHeight="1" x14ac:dyDescent="0.3">
      <c r="A278" s="20" t="s">
        <v>167</v>
      </c>
    </row>
    <row r="279" spans="1:1" ht="20.100000000000001" customHeight="1" x14ac:dyDescent="0.3">
      <c r="A279" s="20" t="s">
        <v>168</v>
      </c>
    </row>
    <row r="280" spans="1:1" ht="20.100000000000001" customHeight="1" x14ac:dyDescent="0.3">
      <c r="A280" s="20" t="s">
        <v>169</v>
      </c>
    </row>
    <row r="281" spans="1:1" ht="20.100000000000001" customHeight="1" x14ac:dyDescent="0.3">
      <c r="A281" s="20" t="s">
        <v>170</v>
      </c>
    </row>
    <row r="282" spans="1:1" ht="20.100000000000001" customHeight="1" x14ac:dyDescent="0.3">
      <c r="A282" s="25" t="s">
        <v>171</v>
      </c>
    </row>
    <row r="283" spans="1:1" ht="20.100000000000001" customHeight="1" x14ac:dyDescent="0.3">
      <c r="A283" s="25" t="s">
        <v>172</v>
      </c>
    </row>
    <row r="284" spans="1:1" ht="20.100000000000001" customHeight="1" x14ac:dyDescent="0.3">
      <c r="A284" s="25" t="s">
        <v>173</v>
      </c>
    </row>
    <row r="285" spans="1:1" ht="20.100000000000001" customHeight="1" thickBot="1" x14ac:dyDescent="0.35">
      <c r="A285" s="20"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2025-10-27T21:28:31Z</dcterms:modified>
</cp:coreProperties>
</file>