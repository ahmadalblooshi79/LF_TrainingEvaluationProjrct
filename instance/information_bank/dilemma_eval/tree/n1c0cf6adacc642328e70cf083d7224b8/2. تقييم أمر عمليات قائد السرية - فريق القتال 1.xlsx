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C9FE75F2-1886-4044-9730-D8EAA73BE9B4}"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التقييم'!$A$1:$J$97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7" i="2"/>
  <c r="H17" i="2"/>
  <c r="G18" i="2"/>
  <c r="H18" i="2"/>
  <c r="G19" i="2"/>
  <c r="H19" i="2"/>
  <c r="G20" i="2"/>
  <c r="H20" i="2"/>
  <c r="G21" i="2"/>
  <c r="H21" i="2"/>
  <c r="G22" i="2"/>
  <c r="H22" i="2"/>
  <c r="G23" i="2"/>
  <c r="H23" i="2"/>
  <c r="G24" i="2"/>
  <c r="H24" i="2"/>
  <c r="G25" i="2"/>
  <c r="H25" i="2"/>
  <c r="G26" i="2"/>
  <c r="H26" i="2"/>
  <c r="G28" i="2"/>
  <c r="H28" i="2"/>
  <c r="G29" i="2"/>
  <c r="H29" i="2"/>
  <c r="G30" i="2"/>
  <c r="H30" i="2"/>
  <c r="G31" i="2"/>
  <c r="H31" i="2"/>
  <c r="G32" i="2"/>
  <c r="H32" i="2"/>
  <c r="G33" i="2"/>
  <c r="H33" i="2"/>
  <c r="G35" i="2"/>
  <c r="H35" i="2"/>
  <c r="G36" i="2"/>
  <c r="H36" i="2"/>
  <c r="G37" i="2"/>
  <c r="H37" i="2"/>
  <c r="G38" i="2"/>
  <c r="H38" i="2"/>
  <c r="G39" i="2"/>
  <c r="H39" i="2"/>
  <c r="G42" i="2"/>
  <c r="H42" i="2"/>
  <c r="G43" i="2"/>
  <c r="H43" i="2"/>
  <c r="G44" i="2"/>
  <c r="H44" i="2"/>
  <c r="G46" i="2"/>
  <c r="H46" i="2"/>
  <c r="G47" i="2"/>
  <c r="H47" i="2"/>
  <c r="G48" i="2"/>
  <c r="H48" i="2"/>
  <c r="G49" i="2"/>
  <c r="H49" i="2"/>
  <c r="G50" i="2"/>
  <c r="H50" i="2"/>
  <c r="G51" i="2"/>
  <c r="H51" i="2"/>
  <c r="G52" i="2"/>
  <c r="H52" i="2"/>
  <c r="G54" i="2"/>
  <c r="H54" i="2"/>
  <c r="G55" i="2"/>
  <c r="H55" i="2"/>
  <c r="G56" i="2"/>
  <c r="H56" i="2"/>
  <c r="G57" i="2"/>
  <c r="H57" i="2"/>
  <c r="G58" i="2"/>
  <c r="H58" i="2"/>
  <c r="G60" i="2"/>
  <c r="H60" i="2"/>
  <c r="G61" i="2"/>
  <c r="H61" i="2"/>
  <c r="G62" i="2"/>
  <c r="H62" i="2"/>
  <c r="G63" i="2"/>
  <c r="H63" i="2"/>
  <c r="G65" i="2"/>
  <c r="H65" i="2"/>
  <c r="G68" i="2"/>
  <c r="H68" i="2"/>
  <c r="G69" i="2"/>
  <c r="H69" i="2"/>
  <c r="G70" i="2"/>
  <c r="H70" i="2"/>
  <c r="G71" i="2"/>
  <c r="H71" i="2"/>
  <c r="G72" i="2"/>
  <c r="H72" i="2"/>
  <c r="G73" i="2"/>
  <c r="H73" i="2"/>
  <c r="G74" i="2"/>
  <c r="H74" i="2"/>
  <c r="G76" i="2"/>
  <c r="H76" i="2"/>
  <c r="G77" i="2"/>
  <c r="H77" i="2"/>
  <c r="G78" i="2"/>
  <c r="H78" i="2"/>
  <c r="G79" i="2"/>
  <c r="H79" i="2"/>
  <c r="G80" i="2"/>
  <c r="H80" i="2"/>
  <c r="G83" i="2"/>
  <c r="H83" i="2"/>
  <c r="G84" i="2"/>
  <c r="H84" i="2"/>
  <c r="G85" i="2"/>
  <c r="H85" i="2"/>
  <c r="G87" i="2"/>
  <c r="H87" i="2"/>
  <c r="G88" i="2"/>
  <c r="H88" i="2"/>
  <c r="G90" i="2"/>
  <c r="H90" i="2"/>
  <c r="G91" i="2"/>
  <c r="H91" i="2"/>
  <c r="G92" i="2"/>
  <c r="H92" i="2"/>
  <c r="G8" i="2"/>
  <c r="H8" i="2"/>
  <c r="F93" i="2"/>
  <c r="E93" i="2"/>
  <c r="E94" i="2"/>
  <c r="E95" i="2"/>
</calcChain>
</file>

<file path=xl/sharedStrings.xml><?xml version="1.0" encoding="utf-8"?>
<sst xmlns="http://schemas.openxmlformats.org/spreadsheetml/2006/main" count="326" uniqueCount="265">
  <si>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</si>
  <si>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</si>
  <si>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</si>
  <si>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</si>
  <si>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</si>
  <si>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</si>
  <si>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</si>
  <si>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</si>
  <si>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</si>
  <si>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</si>
  <si>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</si>
  <si>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</si>
  <si>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</si>
  <si>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</si>
  <si>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</si>
  <si>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</si>
  <si>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</si>
  <si>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</si>
  <si>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</si>
  <si>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</si>
  <si>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</si>
  <si>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</si>
  <si>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</si>
  <si>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</si>
  <si>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</si>
  <si>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</si>
  <si>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</si>
  <si>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</si>
  <si>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</si>
  <si>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</si>
  <si>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</si>
  <si>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</si>
  <si>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</si>
  <si>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</si>
  <si>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</si>
  <si>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</si>
  <si>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</si>
  <si>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</si>
  <si>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</si>
  <si>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</si>
  <si>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</si>
  <si>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</si>
  <si>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</si>
  <si>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</si>
  <si>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</si>
  <si>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</si>
  <si>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</si>
  <si>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</si>
  <si>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</si>
  <si>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</si>
  <si>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</si>
  <si>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</si>
  <si>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</si>
  <si>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</si>
  <si>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</si>
  <si>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</si>
  <si>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</si>
  <si>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</si>
  <si>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</si>
  <si>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</si>
  <si>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</si>
  <si>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</si>
  <si>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</si>
  <si>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</si>
  <si>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</si>
  <si>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</si>
  <si>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</si>
  <si>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</si>
  <si>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</si>
  <si>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</si>
  <si>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</si>
  <si>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</si>
  <si>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</si>
  <si>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</si>
  <si>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</si>
  <si>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</si>
  <si>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</si>
  <si>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</si>
  <si>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</si>
  <si>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</si>
  <si>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</si>
  <si>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</si>
  <si>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</si>
  <si>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</si>
  <si>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</si>
  <si>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</si>
  <si>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</si>
  <si>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</si>
  <si>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</si>
  <si>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</si>
  <si>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</si>
  <si>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</si>
  <si>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</si>
  <si>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</si>
  <si>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</si>
  <si>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</si>
  <si>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</si>
  <si>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</si>
  <si>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</si>
  <si>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</si>
  <si>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</si>
  <si>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</si>
  <si>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</si>
  <si>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</si>
  <si>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</si>
  <si>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</si>
  <si>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</si>
  <si>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</si>
  <si>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</si>
  <si>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</si>
  <si>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</si>
  <si>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</si>
  <si>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</si>
  <si>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</si>
  <si>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</si>
  <si>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</si>
  <si>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</si>
  <si>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</si>
  <si>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</si>
  <si>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</si>
  <si>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</si>
  <si>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</si>
  <si>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</si>
  <si>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</si>
  <si>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</si>
  <si>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</si>
  <si>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</si>
  <si>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</si>
  <si>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</si>
  <si>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</si>
  <si>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</si>
  <si>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</si>
  <si>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</si>
  <si>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</si>
  <si>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</si>
  <si>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</si>
  <si>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</si>
  <si>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t>3.   قيام قائد السرية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</si>
  <si>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السرية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</si>
  <si>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قائد السرية .</t>
    </r>
  </si>
  <si>
    <r>
      <t xml:space="preserve">5.  </t>
    </r>
    <r>
      <rPr>
        <b/>
        <u/>
        <sz val="12"/>
        <color rgb="FF000000"/>
        <rFont val="Arial"/>
        <family val="2"/>
      </rPr>
      <t xml:space="preserve"> قوات العــــــدو</t>
    </r>
    <r>
      <rPr>
        <sz val="12"/>
        <color rgb="FF000000"/>
        <rFont val="Arial"/>
        <family val="2"/>
      </rPr>
      <t>.   تقدم من قبل قائد السرية.</t>
    </r>
  </si>
  <si>
    <r>
      <t xml:space="preserve">6.   </t>
    </r>
    <r>
      <rPr>
        <b/>
        <u/>
        <sz val="12"/>
        <color rgb="FF000000"/>
        <rFont val="Arial"/>
        <family val="2"/>
      </rPr>
      <t>قواتنا</t>
    </r>
    <r>
      <rPr>
        <sz val="12"/>
        <color rgb="FF000000"/>
        <rFont val="Arial"/>
        <family val="2"/>
      </rPr>
      <t>.   تقدم من قبل قائد السرية.</t>
    </r>
  </si>
  <si>
    <r>
      <t xml:space="preserve">ب.  </t>
    </r>
    <r>
      <rPr>
        <u/>
        <sz val="12"/>
        <color rgb="FF000000"/>
        <rFont val="Arial"/>
        <family val="2"/>
      </rPr>
      <t>مفهوم العمليات</t>
    </r>
    <r>
      <rPr>
        <sz val="12"/>
        <color rgb="FF000000"/>
        <rFont val="Arial"/>
        <family val="2"/>
      </rPr>
      <t>. يقدم من قبل قائد السرية ويشمل ما يلي:</t>
    </r>
  </si>
  <si>
    <r>
      <t xml:space="preserve">9.   </t>
    </r>
    <r>
      <rPr>
        <b/>
        <u/>
        <sz val="12"/>
        <color rgb="FF000000"/>
        <rFont val="Arial"/>
        <family val="2"/>
      </rPr>
      <t>تعليمات التنسيق</t>
    </r>
    <r>
      <rPr>
        <sz val="12"/>
        <color rgb="FF000000"/>
        <rFont val="Arial"/>
        <family val="2"/>
      </rPr>
      <t>. تقدم من قبل قائد السرية.</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</si>
  <si>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قائد السرية.</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</si>
  <si>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قائد السرية.</t>
    </r>
  </si>
  <si>
    <t>2.   يقوم قائد السرية بتفقد المشاركين.</t>
  </si>
  <si>
    <r>
      <t>د.   ا</t>
    </r>
    <r>
      <rPr>
        <u/>
        <sz val="12"/>
        <color rgb="FF000000"/>
        <rFont val="Arial"/>
        <family val="2"/>
      </rPr>
      <t>لاعتبارات المدنية</t>
    </r>
    <r>
      <rPr>
        <sz val="12"/>
        <color rgb="FF000000"/>
        <rFont val="Arial"/>
        <family val="2"/>
      </rPr>
      <t>. تقدم من قبل قائد السرية وتشمل: (السكان، نوعية المجتمع، الفئة العمرية الديانة، اللغة، الولاء، التركيبة الاجتماعية) البنية التحتية، (الكهرباء، المياه، الطرق، المواصلات).</t>
    </r>
  </si>
  <si>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الفصائل.</t>
    </r>
  </si>
  <si>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</si>
  <si>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</si>
  <si>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</si>
  <si>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</si>
  <si>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</si>
  <si>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</si>
  <si>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</si>
  <si>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</si>
  <si>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</si>
  <si>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</si>
  <si>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</si>
  <si>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</si>
  <si>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</si>
  <si>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</si>
  <si>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</si>
  <si>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</si>
  <si>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</si>
  <si>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</si>
  <si>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</si>
  <si>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</si>
  <si>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</si>
  <si>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</si>
  <si>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</si>
  <si>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</si>
  <si>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</si>
  <si>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</si>
  <si>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</si>
  <si>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</si>
  <si>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</si>
  <si>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</si>
  <si>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</si>
  <si>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</si>
  <si>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</si>
  <si>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</si>
  <si>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</si>
  <si>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</si>
  <si>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</si>
  <si>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</si>
  <si>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</si>
  <si>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</si>
  <si>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</si>
  <si>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</si>
  <si>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</si>
  <si>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</si>
  <si>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</si>
  <si>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</si>
  <si>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</si>
  <si>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</si>
  <si>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</si>
  <si>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</si>
  <si>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</si>
  <si>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</si>
  <si>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</si>
  <si>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</si>
  <si>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</si>
  <si>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</si>
  <si>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</si>
  <si>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</si>
  <si>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</si>
  <si>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</si>
  <si>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</si>
  <si>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</si>
  <si>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</si>
  <si>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</si>
  <si>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</si>
  <si>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</si>
  <si>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</si>
  <si>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</si>
  <si>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</si>
  <si>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</si>
  <si>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</si>
  <si>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</si>
  <si>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</si>
  <si>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</si>
  <si>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</si>
  <si>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</si>
  <si>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</si>
  <si>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</si>
  <si>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</si>
  <si>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</si>
  <si>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</si>
  <si>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</si>
  <si>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</si>
  <si>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</si>
  <si>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</si>
  <si>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</si>
  <si>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</si>
  <si>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</si>
  <si>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</si>
  <si>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</si>
  <si>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</si>
  <si>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</si>
  <si>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</si>
  <si>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</si>
  <si>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</si>
  <si>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</si>
  <si>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</si>
  <si>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</si>
  <si>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</si>
  <si>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</si>
  <si>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</si>
  <si>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</si>
  <si>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</si>
  <si>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</si>
  <si>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</si>
  <si>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</si>
  <si>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</si>
  <si>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</si>
  <si>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</si>
  <si>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</si>
  <si>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</si>
  <si>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</si>
  <si>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</si>
  <si>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t>
    </r>
  </si>
  <si>
    <t>تقييم أمر عمليات قائد السرية/فريق القتال - العمليات التعرضية
تمرين جاهزية مجموعة لواء الإمارات/1 (جندي الصحراء 2025/20)</t>
  </si>
  <si>
    <t>النقيب/ يوسف الفلاسي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</si>
</sst>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b/>
      <sz val="12"/>
      <color theme="1"/>
      <name val="Calibri"/>
      <family val="2"/>
      <scheme val="minor"/>
    </font>
    <font>
      <b/>
      <sz val="12"/>
      <name val="Arial"/>
      <family val="2"/>
    </font>
    <font>
      <b/>
      <sz val="12"/>
      <name val="Calibri"/>
      <family val="2"/>
      <scheme val="minor"/>
    </font>
    <font>
      <sz val="16"/>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s>
  <cellStyleXfs count="1">
    <xf numFmtId="0" fontId="0" fillId="0" borderId="0"/>
  </cellStyleXfs>
  <cellXfs count="10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2" fillId="0" borderId="31" xfId="0" applyFont="1" applyBorder="1" applyAlignment="1">
      <alignment horizontal="center" vertical="center"/>
    </xf>
    <xf numFmtId="0" fontId="13" fillId="0" borderId="3" xfId="0" applyFont="1" applyBorder="1" applyAlignment="1">
      <alignment horizontal="center" vertical="center"/>
    </xf>
    <xf numFmtId="0" fontId="3" fillId="0" borderId="3" xfId="0" applyFont="1" applyBorder="1" applyAlignment="1">
      <alignment horizontal="center" vertical="center"/>
    </xf>
    <xf numFmtId="0" fontId="14" fillId="0" borderId="3" xfId="0" applyFont="1" applyBorder="1" applyAlignment="1">
      <alignment horizontal="center" vertical="center"/>
    </xf>
    <xf numFmtId="0" fontId="15"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49" fontId="5" fillId="0" borderId="0" xfId="0" applyNumberFormat="1" applyFont="1" applyAlignment="1" applyProtection="1">
      <alignment horizontal="center" vertical="top" wrapText="1" readingOrder="2"/>
      <protection locked="0"/>
    </xf>
    <xf numFmtId="49" fontId="5" fillId="0" borderId="0" xfId="0" applyNumberFormat="1" applyFont="1" applyAlignment="1" applyProtection="1">
      <alignment horizontal="center" vertical="top"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xf numFmtId="0" fontId="6" fillId="0" borderId="32" xfId="0" applyFont="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628830</xdr:colOff>
      <xdr:row>96</xdr:row>
      <xdr:rowOff>633397</xdr:rowOff>
    </xdr:from>
    <xdr:to>
      <xdr:col>8</xdr:col>
      <xdr:colOff>36969</xdr:colOff>
      <xdr:row>96</xdr:row>
      <xdr:rowOff>1013917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03E4AEB-8376-7E34-23D4-1BD20AC7713A}"/>
                </a:ext>
              </a:extLst>
            </xdr14:cNvPr>
            <xdr14:cNvContentPartPr/>
          </xdr14:nvContentPartPr>
          <xdr14:nvPr macro=""/>
          <xdr14:xfrm>
            <a:off x="10399207940" y="40730760"/>
            <a:ext cx="724320" cy="380520"/>
          </xdr14:xfrm>
        </xdr:contentPart>
      </mc:Choice>
      <mc:Fallback xmlns="">
        <xdr:pic>
          <xdr:nvPicPr>
            <xdr:cNvPr id="2" name="Ink 1">
              <a:extLst>
                <a:ext uri="{FF2B5EF4-FFF2-40B4-BE49-F238E27FC236}">
                  <a16:creationId xmlns:a16="http://schemas.microsoft.com/office/drawing/2014/main" id="{403E4AEB-8376-7E34-23D4-1BD20AC7713A}"/>
                </a:ext>
              </a:extLst>
            </xdr:cNvPr>
            <xdr:cNvPicPr/>
          </xdr:nvPicPr>
          <xdr:blipFill>
            <a:blip xmlns:r="http://schemas.openxmlformats.org/officeDocument/2006/relationships" r:embed="rId2"/>
            <a:stretch>
              <a:fillRect/>
            </a:stretch>
          </xdr:blipFill>
          <xdr:spPr>
            <a:xfrm>
              <a:off x="10399201820" y="40724640"/>
              <a:ext cx="736560" cy="392760"/>
            </a:xfrm>
            <a:prstGeom prst="rect">
              <a:avLst/>
            </a:prstGeom>
          </xdr:spPr>
        </xdr:pic>
      </mc:Fallback>
    </mc:AlternateContent>
    <xdr:clientData/>
  </xdr:twoCellAnchor>
  <xdr:twoCellAnchor editAs="oneCell">
    <xdr:from>
      <xdr:col>7</xdr:col>
      <xdr:colOff>652220</xdr:colOff>
      <xdr:row>96</xdr:row>
      <xdr:rowOff>703597</xdr:rowOff>
    </xdr:from>
    <xdr:to>
      <xdr:col>9</xdr:col>
      <xdr:colOff>381479</xdr:colOff>
      <xdr:row>96</xdr:row>
      <xdr:rowOff>1437277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2A42A5DF-20F5-A697-F83A-BB3245A36754}"/>
                </a:ext>
              </a:extLst>
            </xdr14:cNvPr>
            <xdr14:cNvContentPartPr/>
          </xdr14:nvContentPartPr>
          <xdr14:nvPr macro=""/>
          <xdr14:xfrm>
            <a:off x="10398205340" y="40800960"/>
            <a:ext cx="1045440" cy="733680"/>
          </xdr14:xfrm>
        </xdr:contentPart>
      </mc:Choice>
      <mc:Fallback xmlns="">
        <xdr:pic>
          <xdr:nvPicPr>
            <xdr:cNvPr id="3" name="Ink 2">
              <a:extLst>
                <a:ext uri="{FF2B5EF4-FFF2-40B4-BE49-F238E27FC236}">
                  <a16:creationId xmlns:a16="http://schemas.microsoft.com/office/drawing/2014/main" id="{2A42A5DF-20F5-A697-F83A-BB3245A36754}"/>
                </a:ext>
              </a:extLst>
            </xdr:cNvPr>
            <xdr:cNvPicPr/>
          </xdr:nvPicPr>
          <xdr:blipFill>
            <a:blip xmlns:r="http://schemas.openxmlformats.org/officeDocument/2006/relationships" r:embed="rId4"/>
            <a:stretch>
              <a:fillRect/>
            </a:stretch>
          </xdr:blipFill>
          <xdr:spPr>
            <a:xfrm>
              <a:off x="10398199220" y="40794840"/>
              <a:ext cx="1057680" cy="745920"/>
            </a:xfrm>
            <a:prstGeom prst="rect">
              <a:avLst/>
            </a:prstGeom>
          </xdr:spPr>
        </xdr:pic>
      </mc:Fallback>
    </mc:AlternateContent>
    <xdr:clientData/>
  </xdr:twoCellAnchor>
  <xdr:twoCellAnchor editAs="oneCell">
    <xdr:from>
      <xdr:col>28</xdr:col>
      <xdr:colOff>346840</xdr:colOff>
      <xdr:row>68</xdr:row>
      <xdr:rowOff>160343</xdr:rowOff>
    </xdr:from>
    <xdr:to>
      <xdr:col>28</xdr:col>
      <xdr:colOff>347200</xdr:colOff>
      <xdr:row>68</xdr:row>
      <xdr:rowOff>160703</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30E3C25A-5D12-592E-A078-A8A7AA27CE95}"/>
                </a:ext>
              </a:extLst>
            </xdr14:cNvPr>
            <xdr14:cNvContentPartPr/>
          </xdr14:nvContentPartPr>
          <xdr14:nvPr macro=""/>
          <xdr14:xfrm>
            <a:off x="10385712800" y="29324160"/>
            <a:ext cx="360" cy="360"/>
          </xdr14:xfrm>
        </xdr:contentPart>
      </mc:Choice>
      <mc:Fallback xmlns="">
        <xdr:pic>
          <xdr:nvPicPr>
            <xdr:cNvPr id="4" name="Ink 3">
              <a:extLst>
                <a:ext uri="{FF2B5EF4-FFF2-40B4-BE49-F238E27FC236}">
                  <a16:creationId xmlns:a16="http://schemas.microsoft.com/office/drawing/2014/main" id="{30E3C25A-5D12-592E-A078-A8A7AA27CE95}"/>
                </a:ext>
              </a:extLst>
            </xdr:cNvPr>
            <xdr:cNvPicPr/>
          </xdr:nvPicPr>
          <xdr:blipFill>
            <a:blip xmlns:r="http://schemas.openxmlformats.org/officeDocument/2006/relationships" r:embed="rId6"/>
            <a:stretch>
              <a:fillRect/>
            </a:stretch>
          </xdr:blipFill>
          <xdr:spPr>
            <a:xfrm>
              <a:off x="10385706680" y="2931804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1T07:59:20.810"/>
    </inkml:context>
    <inkml:brush xml:id="br0">
      <inkml:brushProperty name="width" value="0.035" units="cm"/>
      <inkml:brushProperty name="height" value="0.035" units="cm"/>
    </inkml:brush>
  </inkml:definitions>
  <inkml:trace contextRef="#ctx0" brushRef="#br0">1359 1057 1176,'0'0'0,"0"0"0,2-13 648,0 0-200,3 1 16,0-1 240,-5 13-704,0 0 984,2 0 329,-2 0 311,0 0 96,0 0-1720,2 0 1777,-2-2-113,0 1-143,0 0-305,0 1-1216,0-2 1056,0 1-160,0 1-104,0-2 41,0 2-833,0 0 720,-4 0-32,4-1-144,-2-1-176,2 2-368,-5-4 288,0 1-80,3 0 80,-2-1-104,4 4-184,-3-4 144,1 0-16,-3-2-152,-1-5 48,6 11-24,0-6 112,-5-10 16,0 3-48,3 1 160,2 12-240,-11-15 176,6 1 0,-1-1 97,-6-2-113,12 17-160,-5-16 120,-6-3-32,0 1 48,6-1-80,5 19-56,-13-19 152,8-1-16,-9-2 56,10 2-152,4 20-40,-14-19 40,7-1-80,-4 1 32,9 1 48,2 18-40,-12-19 56,8 2 24,-1 0-96,-6 3 72,11 14-56,-3-14 56,-4-1 16,2 3 0,4-1 112,1 13-184,-5-13 136,0 2-24,3-1 32,-3 1-176,5 11 32,-1-11 32,-2-2 40,-1 0-56,1-1 40,3 14-56,-2-14 40,-1-1-56,1 1-112,1 3 160,1 11-32,-3-6 0,3-7 24,-2 10-24,-1-1 48,3 4-48,0-4 24,-2 3-48,2-1 120,0 1-112,0 1 16,0 0-24,0 0-48,0 0-16,2 0 32,-2 0 56,5 0-96,4 3 80,-4-1-16,8 1-32,-13-3 64,13 0-56,-1 3 8,4 0 64,0 0-56,-16-3 40,14 3 16,4-3-32,0 0 32,5 0-32,-23 0 16,27-5 72,-2-7-16,1 6-32,3-10-40,-29 16 16,27-6-8,3-11 8,-5 6-88,0 0 64,-25 11 24,23-6-56,-1-8-48,1 8 96,0-8 16,-23 14-8,21-4-24,2-11 40,-1 10 8,1-11-24,-23 16 0,18-6 40,1-11-24,1 6-32,1 0-48,-21 11 64,16-12 0,2 1 24,-2 5-48,2-8-64,-18 14 88,16-6-128,2-7 16,-4 9-40,-1-7 16,-13 11 136,12-4-128,-9-1-72,8 0 224,-9 0 32,-2 5-56,7-5 80,-5 0 8,2 1-48,-4 1 40,0 3-80,3-1 16,-3-2 64,0 2-80,0-1-176,0 2 176,0-1 24,0 1-48,0 0 80,0 0 40,0 0-96,0 0-56,0 0-72,0 0-128,0 0-88,0 0 344,-7 0-312,5 3 79,-10 1 201,7 0 120,5-4-88,-11 12-88,4-8-32,-6 7-136,4-7 176,9-4 80,-14 13-8,-2-9 32,0 14-48,2-7-32,14-11 56,-20 11 0,4 3 0,-2 1 64,0-2-88,18-13 24,-16 15-16,-3-1 48,4-1 32,-1 1 88,16-14-152,-18 15 40,2-1 64,-5 0-104,0 2-40,21-16 40,-18 18 56,2-1-96,0 0 64,-2 2-8,18-19-16,-14 18 40,-6 1-32,4-1-128,-1-1 112,17-17 8,-13 16-32,-3-2 48,3-1 200,-3-2 17,16-11-233,-12 5 40,-2 10 0,3-11 0,-1 9-24,12-13-16,-11 4 48,0 9 48,-3-10-24,1 11-168,13-14 96,-14 3 64,-2 9-112,0-8 32,2 0 16,14-4 0,-13 13-16,-1-10 32,1 1 8,-3 0-8,16-4-16,-15 12 0,2-12 16,2 4 48,-5 0 64,16-4-128,-14 4 40,0 1 0,3-3-24,-1 1-112,12-3 96,-4 0 120,-8 0 16,9 0 16,-12 0 144,15 0-296,-4-1 96,-14-3 16,8-1 128,-3 0-296,13 5 56,-11-12 64,-1 8-48,-1-2-152,1-6 216,12 12-80,-12-5 0,-1-6 56,2 5-96,-3-8 64,14 14-24,-14-11 56,1-1-8,-1 0 48,-4-3-80,18 15-16,-16-12-32,-4-4 32,1-3 0,1-2 32,18 21-32,-21-23 0,-2-1 8,8 3 8,-4 1-16,19 20 0,-16-17 16,1 1 72,1 3-48,0 2-40,14 11 0,-11-11 24,-3 6 24,2-6-48,8 7 24,4 4-24,-14-6 32,12-5-104,-9 9 88,6-2 8,5 4-24,-4-4 32,2 1 40,-1 2-120,3-1 48,0 2 0,-2-1-96,2 1 56,0 0-48,0 0-40,0 0 128,0 0-96,2 11-32,3-7 88,4 12 0,-9-16 40,2 11-16,9 4 32,-6-1 24,8 1-56,-13-15 16,5 15 16,6-1-16,-6 0-16,13 0 32,-18-14-16,12 13-32,2 0 8,-1 0-16,3-1 120,-16-12-80,13 13 0,-1 0 0,2-2 0,-1 1-80,-13-12 80,14 4-32,0 13-64,-12-13 112,14 12-16,-16-16 0,4 4-16,11 10 16,-12-9-72,7 9 56,-10-14 16,5 3 16,-3 8 16,0-8-24,2 1-16,-4-4 8,3 12-32,-1-10 32,-2 3 0,0 6-96,0-11 96,0 3-32,3 1 32,-3 0-48,0 8 72,0-12-24,0 3-56,0 1-72,-5 7 200,0-8-96,5-3 24,-11 3 0,9 1-48,-9 1-48,6-1 144,5-4-48,-16 3 8,4 0 104,-2 1-128,-1 0-40,15-4 56,-14 11 0,-4-8 32,-3 2-8,-2 7 32,23-12-56,-20 3 16,0 11-72,-3-9 224,-3 12-200,26-17 32,-24 12 32,-4-7-64,4 12 32,1-13 0,23-4 0,-19 11 16,1-8-32,2 0-120,0 1 152,16-4-16,-16 3 24,0-3 120,0 0-88,2 0 24,14 0-80,-4 0 40,-12 0-8,13-1-8,-3-1 32,6 2-56,-12-4 16,12 1 96,-4-1-40,2 0-16,2 4-56,-2-6 72,2-5-64,0 5 64,4-8-88,-4 14 16,2-6 56,3-8-24,7 10-72,-9-11 96,-3 15-56,12-4-56,-9-7 56,3 7 40,-4-1-40,-2 5 0,0-4 56,0 1-56,0 2 32,0-1-24,0 2-8,0-1-8,0-2 16,0 0-88,-2-1 64,2 4 16,-6-4-40,3-1-104,-9 1 176,6-2-48,6 6 16,-12-5-40,1-1 136,0 2-248,-3 0-184,14 4 336,-14-5-672,-4 4-417,0-1-311,-3 2-288,21 0 1688,-20 0-1945,-3 0-511,-2 0-1225,2 3-552,23-3 4233,-22 3-3177,-1 0 1001,2-3 928,3 0 240,18 0 1008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1T07:59:21.777"/>
    </inkml:context>
    <inkml:brush xml:id="br0">
      <inkml:brushProperty name="width" value="0.035" units="cm"/>
      <inkml:brushProperty name="height" value="0.035" units="cm"/>
    </inkml:brush>
  </inkml:definitions>
  <inkml:trace contextRef="#ctx0" brushRef="#br0">1223 888 7233,'0'0'0,"15"0"1272,2 4-151,6 0 151,-23-4-1272,29 3 1088,-6 1-104,4-1-32,5 0-7,-32-3-945,32 0 1080,1 0 168,5 0 104,0-2-295,-38 2-1057,45-4 984,-1 0-208,1-9-176,4 9-8,-49 4-592,52-12 336,-5 10-152,0-4-104,0-5-24,-47 11-56,49-5 120,1-9 17,-1 8 79,-4-6-80,-45 12-136,47-12 112,3-1 0,-4-2-56,3-4 8,-49 19-64,40-20 136,4-1-24,-7 0-16,-2-2 0,-35 23-96,35-21 88,3-2-24,-5 0 64,2 2 40,-35 21-168,33-23 184,-5 2 112,1 1-16,-6 0-48,-23 20-232,24-18 208,-3-1-64,-2 1 32,-3 2-16,-16 16-160,17-17 112,-5 1 8,-1 2-64,-9-3 32,-2 17-88,12-17 72,-10 0-24,-2-3 24,3 0-88,-3 20 16,0-20 0,0-1-32,-5-2 32,0-2 0,5 25 0,-13-25 0,1 0-16,7 1-56,-12 2 56,17 22 16,-16-21-24,2 4-40,2 1 56,-6 3-24,18 13 32,-22-5-32,4-9 24,-4 9 16,-3 1-16,25 4 8,-27-4 8,-3 2-48,-3 1 8,-3 0 24,36 1 8,-35 0 8,-3 0-8,1 2-56,2 3 72,35-5-16,-38 11-32,-2-8 32,0 10 32,2-9 0,38-4-32,-42 17 0,4-3 0,-6 2 72,1 4-88,43-20 16,-42 20 0,-5 4 0,2 0 16,1 2-48,44-26 32,-48 25-16,1 1 0,-2-1-40,-1 1 24,50-26 32,-53 27 16,4 1 0,-3 4 32,0-1-64,52-31 16,-52 33-48,-5 2 48,6 3 32,-3 4 256,54-42-288,-50 42 0,3 1 0,-5 1-56,8 0-64,44-44 120,-45 46-8,7 1-56,1-1 8,-3 6-56,40-52 112,-40 52 8,-2 5-32,-3 6-8,0 1-64,45-64 96,-47 64-64,0 1 40,0 0-64,0 2 48,47-67 40,-26 33 56,-5 9-248,-1-2 296,-3 9-120,35-49 16,-40 47-168,-7 8 208,-1-2-536,-6 8-600,54-61 1096,-54 59-1721,-1 0-1871,0-4-4826,-4 1 672,59-56 7746</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2T05:40:35.356"/>
    </inkml:context>
    <inkml:brush xml:id="br0">
      <inkml:brushProperty name="width" value="0.035" units="cm"/>
      <inkml:brushProperty name="height" value="0.035" units="cm"/>
    </inkml:brush>
  </inkml:definitions>
  <inkml:trace contextRef="#ctx0" brushRef="#br0">1 0,'0'0,"0"0,0 0,0 0,0 0,0 0,0 0,0 0,0 0,0 0,0 0,0 0,0 0,0 0,0 0,0 0,0 0,0 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9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5" t="s">
        <v>263</v>
      </c>
      <c r="C1" s="46"/>
      <c r="D1" s="46"/>
      <c r="E1" s="46"/>
      <c r="F1" s="46"/>
      <c r="G1" s="46"/>
      <c r="H1" s="46"/>
      <c r="I1" s="46"/>
      <c r="J1" s="46"/>
    </row>
    <row r="2" spans="1:10" ht="30" customHeight="1" x14ac:dyDescent="0.3">
      <c r="B2" s="13" t="s">
        <v>8</v>
      </c>
      <c r="C2" s="52" t="s">
        <v>45</v>
      </c>
      <c r="D2" s="52"/>
      <c r="E2" s="13" t="s">
        <v>7</v>
      </c>
      <c r="F2" s="47">
        <v>45952</v>
      </c>
      <c r="G2" s="47"/>
      <c r="H2" s="47"/>
      <c r="I2" s="47"/>
      <c r="J2" s="47"/>
    </row>
    <row r="3" spans="1:10" ht="30" customHeight="1" x14ac:dyDescent="0.3">
      <c r="B3" s="13" t="s">
        <v>9</v>
      </c>
      <c r="C3" s="52" t="s">
        <v>60</v>
      </c>
      <c r="D3" s="52"/>
      <c r="E3" s="13" t="s">
        <v>6</v>
      </c>
      <c r="F3" s="52" t="s">
        <v>164</v>
      </c>
      <c r="G3" s="52"/>
      <c r="H3" s="52"/>
      <c r="I3" s="52"/>
      <c r="J3" s="52"/>
    </row>
    <row r="4" spans="1:10" ht="30" customHeight="1" thickBot="1" x14ac:dyDescent="0.35">
      <c r="B4" s="6"/>
      <c r="C4" s="108" t="s">
        <v>264</v>
      </c>
      <c r="D4" s="108"/>
      <c r="E4" s="6"/>
      <c r="F4" s="7"/>
      <c r="G4" s="7"/>
      <c r="H4" s="8"/>
      <c r="I4" s="7"/>
      <c r="J4" s="7"/>
    </row>
    <row r="5" spans="1:10" ht="24.9" customHeight="1" x14ac:dyDescent="0.3">
      <c r="A5" s="11"/>
      <c r="B5" s="48" t="s">
        <v>0</v>
      </c>
      <c r="C5" s="49"/>
      <c r="D5" s="49"/>
      <c r="E5" s="53" t="s">
        <v>1</v>
      </c>
      <c r="F5" s="53"/>
      <c r="G5" s="53"/>
      <c r="H5" s="53"/>
      <c r="I5" s="53" t="s">
        <v>2</v>
      </c>
      <c r="J5" s="54"/>
    </row>
    <row r="6" spans="1:10" ht="24.9" customHeight="1" thickBot="1" x14ac:dyDescent="0.35">
      <c r="A6" s="11"/>
      <c r="B6" s="50"/>
      <c r="C6" s="51"/>
      <c r="D6" s="51"/>
      <c r="E6" s="12" t="s">
        <v>3</v>
      </c>
      <c r="F6" s="12" t="s">
        <v>4</v>
      </c>
      <c r="G6" s="12" t="s">
        <v>23</v>
      </c>
      <c r="H6" s="12" t="s">
        <v>24</v>
      </c>
      <c r="I6" s="55"/>
      <c r="J6" s="56"/>
    </row>
    <row r="7" spans="1:10" ht="24.9" customHeight="1" thickBot="1" x14ac:dyDescent="0.35">
      <c r="A7" s="11"/>
      <c r="B7" s="67" t="s">
        <v>21</v>
      </c>
      <c r="C7" s="68"/>
      <c r="D7" s="68"/>
      <c r="E7" s="25" t="s">
        <v>18</v>
      </c>
      <c r="F7" s="25" t="s">
        <v>19</v>
      </c>
      <c r="G7" s="25" t="s">
        <v>22</v>
      </c>
      <c r="H7" s="25" t="s">
        <v>20</v>
      </c>
      <c r="I7" s="69" t="s">
        <v>25</v>
      </c>
      <c r="J7" s="70"/>
    </row>
    <row r="8" spans="1:10" ht="30" customHeight="1" thickBot="1" x14ac:dyDescent="0.35">
      <c r="A8" s="11"/>
      <c r="B8" s="57" t="s">
        <v>63</v>
      </c>
      <c r="C8" s="58"/>
      <c r="D8" s="58"/>
      <c r="E8" s="33">
        <v>5</v>
      </c>
      <c r="F8" s="31">
        <v>3.75</v>
      </c>
      <c r="G8" s="32">
        <f>IFERROR(F8/E8,"")</f>
        <v>0.75</v>
      </c>
      <c r="H8" s="22" t="str">
        <f>_xlfn.IFS(F8="أدخل العلامة","",F8="لا ينطبق","تم الإلغاء",G8&gt;=90%,"ممتاز",G8&gt;=80%,"جيد جداً",G8&gt;=70%,"جيد",G8&gt;=60%,"مقبول",G8&lt;60%,"راسب")</f>
        <v>جيد</v>
      </c>
      <c r="I8" s="59"/>
      <c r="J8" s="60"/>
    </row>
    <row r="9" spans="1:10" ht="30" customHeight="1" thickBot="1" x14ac:dyDescent="0.35">
      <c r="A9" s="11"/>
      <c r="B9" s="57" t="s">
        <v>146</v>
      </c>
      <c r="C9" s="58"/>
      <c r="D9" s="58"/>
      <c r="E9" s="33">
        <v>5</v>
      </c>
      <c r="F9" s="31">
        <v>3.5</v>
      </c>
      <c r="G9" s="32">
        <f>IFERROR(F9/E9,"")</f>
        <v>0.7</v>
      </c>
      <c r="H9" s="22" t="str">
        <f>_xlfn.IFS(F9="أدخل العلامة","",F9="لا ينطبق","تم الإلغاء",G9&gt;=90%,"ممتاز",G9&gt;=80%,"جيد جداً",G9&gt;=70%,"جيد",G9&gt;=60%,"مقبول",G9&lt;60%,"راسب")</f>
        <v>جيد</v>
      </c>
      <c r="I9" s="59"/>
      <c r="J9" s="60"/>
    </row>
    <row r="10" spans="1:10" ht="39.9" customHeight="1" thickBot="1" x14ac:dyDescent="0.35">
      <c r="A10" s="11"/>
      <c r="B10" s="57" t="s">
        <v>137</v>
      </c>
      <c r="C10" s="58"/>
      <c r="D10" s="58"/>
      <c r="E10" s="33">
        <v>5</v>
      </c>
      <c r="F10" s="31">
        <v>4</v>
      </c>
      <c r="G10" s="32">
        <f t="shared" ref="G10:G52" si="0">IFERROR(F10/E10,"")</f>
        <v>0.8</v>
      </c>
      <c r="H10" s="22" t="str">
        <f t="shared" ref="H10:H52" si="1">_xlfn.IFS(F10="أدخل العلامة","",F10="لا ينطبق","تم الإلغاء",G10&gt;=90%,"ممتاز",G10&gt;=80%,"جيد جداً",G10&gt;=70%,"جيد",G10&gt;=60%,"مقبول",G10&lt;60%,"راسب")</f>
        <v>جيد جداً</v>
      </c>
      <c r="I10" s="59"/>
      <c r="J10" s="60"/>
    </row>
    <row r="11" spans="1:10" ht="30" customHeight="1" x14ac:dyDescent="0.3">
      <c r="A11" s="11"/>
      <c r="B11" s="99" t="s">
        <v>138</v>
      </c>
      <c r="C11" s="100"/>
      <c r="D11" s="100"/>
      <c r="E11" s="100"/>
      <c r="F11" s="100"/>
      <c r="G11" s="100"/>
      <c r="H11" s="100"/>
      <c r="I11" s="100"/>
      <c r="J11" s="101"/>
    </row>
    <row r="12" spans="1:10" ht="30" customHeight="1" x14ac:dyDescent="0.3">
      <c r="A12" s="11"/>
      <c r="B12" s="61" t="s">
        <v>64</v>
      </c>
      <c r="C12" s="62"/>
      <c r="D12" s="62"/>
      <c r="E12" s="9">
        <v>5</v>
      </c>
      <c r="F12" s="20">
        <v>3.25</v>
      </c>
      <c r="G12" s="26">
        <f t="shared" si="0"/>
        <v>0.65</v>
      </c>
      <c r="H12" s="27" t="str">
        <f t="shared" si="1"/>
        <v>مقبول</v>
      </c>
      <c r="I12" s="40"/>
      <c r="J12" s="41"/>
    </row>
    <row r="13" spans="1:10" ht="30" customHeight="1" x14ac:dyDescent="0.3">
      <c r="A13" s="11"/>
      <c r="B13" s="61" t="s">
        <v>65</v>
      </c>
      <c r="C13" s="62"/>
      <c r="D13" s="62"/>
      <c r="E13" s="9">
        <v>5</v>
      </c>
      <c r="F13" s="20">
        <v>4</v>
      </c>
      <c r="G13" s="26">
        <f t="shared" si="0"/>
        <v>0.8</v>
      </c>
      <c r="H13" s="27" t="str">
        <f t="shared" si="1"/>
        <v>جيد جداً</v>
      </c>
      <c r="I13" s="40"/>
      <c r="J13" s="41"/>
    </row>
    <row r="14" spans="1:10" ht="30" customHeight="1" x14ac:dyDescent="0.3">
      <c r="A14" s="11"/>
      <c r="B14" s="61" t="s">
        <v>139</v>
      </c>
      <c r="C14" s="62"/>
      <c r="D14" s="62"/>
      <c r="E14" s="9">
        <v>5</v>
      </c>
      <c r="F14" s="20">
        <v>3.75</v>
      </c>
      <c r="G14" s="26">
        <f t="shared" si="0"/>
        <v>0.75</v>
      </c>
      <c r="H14" s="27" t="str">
        <f t="shared" si="1"/>
        <v>جيد</v>
      </c>
      <c r="I14" s="85" t="s">
        <v>131</v>
      </c>
      <c r="J14" s="86"/>
    </row>
    <row r="15" spans="1:10" ht="66.599999999999994" customHeight="1" thickBot="1" x14ac:dyDescent="0.35">
      <c r="A15" s="11"/>
      <c r="B15" s="63" t="s">
        <v>147</v>
      </c>
      <c r="C15" s="64"/>
      <c r="D15" s="64"/>
      <c r="E15" s="23">
        <v>5</v>
      </c>
      <c r="F15" s="21">
        <v>3.5</v>
      </c>
      <c r="G15" s="28">
        <f t="shared" si="0"/>
        <v>0.7</v>
      </c>
      <c r="H15" s="29" t="str">
        <f t="shared" si="1"/>
        <v>جيد</v>
      </c>
      <c r="I15" s="87"/>
      <c r="J15" s="88"/>
    </row>
    <row r="16" spans="1:10" ht="30" customHeight="1" x14ac:dyDescent="0.3">
      <c r="A16" s="11"/>
      <c r="B16" s="99" t="s">
        <v>140</v>
      </c>
      <c r="C16" s="100"/>
      <c r="D16" s="100"/>
      <c r="E16" s="100"/>
      <c r="F16" s="100"/>
      <c r="G16" s="100"/>
      <c r="H16" s="100"/>
      <c r="I16" s="100"/>
      <c r="J16" s="101"/>
    </row>
    <row r="17" spans="1:10" ht="30" customHeight="1" x14ac:dyDescent="0.3">
      <c r="A17" s="11"/>
      <c r="B17" s="61" t="s">
        <v>66</v>
      </c>
      <c r="C17" s="62"/>
      <c r="D17" s="62"/>
      <c r="E17" s="9">
        <v>15</v>
      </c>
      <c r="F17" s="20">
        <v>11.75</v>
      </c>
      <c r="G17" s="26">
        <f t="shared" si="0"/>
        <v>0.78333333333333333</v>
      </c>
      <c r="H17" s="27" t="str">
        <f t="shared" si="1"/>
        <v>جيد</v>
      </c>
      <c r="I17" s="40"/>
      <c r="J17" s="41"/>
    </row>
    <row r="18" spans="1:10" ht="30" customHeight="1" x14ac:dyDescent="0.3">
      <c r="A18" s="11"/>
      <c r="B18" s="61" t="s">
        <v>67</v>
      </c>
      <c r="C18" s="62"/>
      <c r="D18" s="62"/>
      <c r="E18" s="9">
        <v>5</v>
      </c>
      <c r="F18" s="20">
        <v>3.5</v>
      </c>
      <c r="G18" s="26">
        <f t="shared" si="0"/>
        <v>0.7</v>
      </c>
      <c r="H18" s="27" t="str">
        <f t="shared" si="1"/>
        <v>جيد</v>
      </c>
      <c r="I18" s="40"/>
      <c r="J18" s="41"/>
    </row>
    <row r="19" spans="1:10" ht="30" customHeight="1" x14ac:dyDescent="0.3">
      <c r="A19" s="11"/>
      <c r="B19" s="61" t="s">
        <v>68</v>
      </c>
      <c r="C19" s="62"/>
      <c r="D19" s="62"/>
      <c r="E19" s="9">
        <v>5</v>
      </c>
      <c r="F19" s="20">
        <v>3.75</v>
      </c>
      <c r="G19" s="26">
        <f t="shared" si="0"/>
        <v>0.75</v>
      </c>
      <c r="H19" s="27" t="str">
        <f t="shared" si="1"/>
        <v>جيد</v>
      </c>
      <c r="I19" s="40"/>
      <c r="J19" s="41"/>
    </row>
    <row r="20" spans="1:10" ht="30" customHeight="1" x14ac:dyDescent="0.3">
      <c r="A20" s="11"/>
      <c r="B20" s="61" t="s">
        <v>69</v>
      </c>
      <c r="C20" s="62"/>
      <c r="D20" s="62"/>
      <c r="E20" s="9">
        <v>5</v>
      </c>
      <c r="F20" s="20">
        <v>3.75</v>
      </c>
      <c r="G20" s="26">
        <f t="shared" si="0"/>
        <v>0.75</v>
      </c>
      <c r="H20" s="27" t="str">
        <f t="shared" si="1"/>
        <v>جيد</v>
      </c>
      <c r="I20" s="40"/>
      <c r="J20" s="41"/>
    </row>
    <row r="21" spans="1:10" ht="30" customHeight="1" x14ac:dyDescent="0.3">
      <c r="A21" s="11"/>
      <c r="B21" s="61" t="s">
        <v>70</v>
      </c>
      <c r="C21" s="62"/>
      <c r="D21" s="62"/>
      <c r="E21" s="9">
        <v>5</v>
      </c>
      <c r="F21" s="20">
        <v>3.5</v>
      </c>
      <c r="G21" s="26">
        <f t="shared" si="0"/>
        <v>0.7</v>
      </c>
      <c r="H21" s="27" t="str">
        <f t="shared" si="1"/>
        <v>جيد</v>
      </c>
      <c r="I21" s="40"/>
      <c r="J21" s="41"/>
    </row>
    <row r="22" spans="1:10" ht="30" customHeight="1" x14ac:dyDescent="0.3">
      <c r="A22" s="11"/>
      <c r="B22" s="61" t="s">
        <v>71</v>
      </c>
      <c r="C22" s="62"/>
      <c r="D22" s="62"/>
      <c r="E22" s="9">
        <v>5</v>
      </c>
      <c r="F22" s="20">
        <v>3.5</v>
      </c>
      <c r="G22" s="26">
        <f t="shared" si="0"/>
        <v>0.7</v>
      </c>
      <c r="H22" s="27" t="str">
        <f t="shared" si="1"/>
        <v>جيد</v>
      </c>
      <c r="I22" s="40"/>
      <c r="J22" s="41"/>
    </row>
    <row r="23" spans="1:10" ht="30" customHeight="1" x14ac:dyDescent="0.3">
      <c r="A23" s="11"/>
      <c r="B23" s="61" t="s">
        <v>72</v>
      </c>
      <c r="C23" s="62"/>
      <c r="D23" s="62"/>
      <c r="E23" s="24">
        <v>5</v>
      </c>
      <c r="F23" s="20">
        <v>3.5</v>
      </c>
      <c r="G23" s="26">
        <f t="shared" si="0"/>
        <v>0.7</v>
      </c>
      <c r="H23" s="27" t="str">
        <f t="shared" si="1"/>
        <v>جيد</v>
      </c>
      <c r="I23" s="40"/>
      <c r="J23" s="41"/>
    </row>
    <row r="24" spans="1:10" ht="30" customHeight="1" x14ac:dyDescent="0.3">
      <c r="A24" s="11"/>
      <c r="B24" s="61" t="s">
        <v>73</v>
      </c>
      <c r="C24" s="62"/>
      <c r="D24" s="62"/>
      <c r="E24" s="24">
        <v>5</v>
      </c>
      <c r="F24" s="20">
        <v>3.75</v>
      </c>
      <c r="G24" s="26">
        <f t="shared" si="0"/>
        <v>0.75</v>
      </c>
      <c r="H24" s="27" t="str">
        <f t="shared" si="1"/>
        <v>جيد</v>
      </c>
      <c r="I24" s="40"/>
      <c r="J24" s="41"/>
    </row>
    <row r="25" spans="1:10" ht="30" customHeight="1" x14ac:dyDescent="0.3">
      <c r="A25" s="11"/>
      <c r="B25" s="61" t="s">
        <v>74</v>
      </c>
      <c r="C25" s="62"/>
      <c r="D25" s="62"/>
      <c r="E25" s="9">
        <v>5</v>
      </c>
      <c r="F25" s="20">
        <v>3.75</v>
      </c>
      <c r="G25" s="26">
        <f t="shared" si="0"/>
        <v>0.75</v>
      </c>
      <c r="H25" s="27" t="str">
        <f t="shared" si="1"/>
        <v>جيد</v>
      </c>
      <c r="I25" s="40"/>
      <c r="J25" s="41"/>
    </row>
    <row r="26" spans="1:10" ht="30" customHeight="1" thickBot="1" x14ac:dyDescent="0.35">
      <c r="A26" s="11"/>
      <c r="B26" s="61" t="s">
        <v>75</v>
      </c>
      <c r="C26" s="62"/>
      <c r="D26" s="62"/>
      <c r="E26" s="9">
        <v>10</v>
      </c>
      <c r="F26" s="20">
        <v>7.75</v>
      </c>
      <c r="G26" s="26">
        <f t="shared" si="0"/>
        <v>0.77500000000000002</v>
      </c>
      <c r="H26" s="27" t="str">
        <f t="shared" si="1"/>
        <v>جيد</v>
      </c>
      <c r="I26" s="40"/>
      <c r="J26" s="41"/>
    </row>
    <row r="27" spans="1:10" ht="30" customHeight="1" x14ac:dyDescent="0.3">
      <c r="A27" s="11"/>
      <c r="B27" s="99" t="s">
        <v>141</v>
      </c>
      <c r="C27" s="100"/>
      <c r="D27" s="100"/>
      <c r="E27" s="100"/>
      <c r="F27" s="100"/>
      <c r="G27" s="100"/>
      <c r="H27" s="100"/>
      <c r="I27" s="100"/>
      <c r="J27" s="101"/>
    </row>
    <row r="28" spans="1:10" ht="30" customHeight="1" x14ac:dyDescent="0.3">
      <c r="A28" s="11"/>
      <c r="B28" s="61" t="s">
        <v>76</v>
      </c>
      <c r="C28" s="62"/>
      <c r="D28" s="62"/>
      <c r="E28" s="9">
        <v>5</v>
      </c>
      <c r="F28" s="20">
        <v>3.75</v>
      </c>
      <c r="G28" s="26">
        <f t="shared" si="0"/>
        <v>0.75</v>
      </c>
      <c r="H28" s="27" t="str">
        <f t="shared" si="1"/>
        <v>جيد</v>
      </c>
      <c r="I28" s="40"/>
      <c r="J28" s="41"/>
    </row>
    <row r="29" spans="1:10" ht="30" customHeight="1" x14ac:dyDescent="0.3">
      <c r="A29" s="11"/>
      <c r="B29" s="61" t="s">
        <v>77</v>
      </c>
      <c r="C29" s="62"/>
      <c r="D29" s="62"/>
      <c r="E29" s="9">
        <v>5</v>
      </c>
      <c r="F29" s="20">
        <v>3.5</v>
      </c>
      <c r="G29" s="26">
        <f t="shared" si="0"/>
        <v>0.7</v>
      </c>
      <c r="H29" s="27" t="str">
        <f t="shared" si="1"/>
        <v>جيد</v>
      </c>
      <c r="I29" s="40"/>
      <c r="J29" s="41"/>
    </row>
    <row r="30" spans="1:10" ht="30" customHeight="1" x14ac:dyDescent="0.3">
      <c r="A30" s="11"/>
      <c r="B30" s="61" t="s">
        <v>78</v>
      </c>
      <c r="C30" s="62"/>
      <c r="D30" s="62"/>
      <c r="E30" s="9">
        <v>5</v>
      </c>
      <c r="F30" s="20">
        <v>3.75</v>
      </c>
      <c r="G30" s="26">
        <f t="shared" si="0"/>
        <v>0.75</v>
      </c>
      <c r="H30" s="27" t="str">
        <f t="shared" si="1"/>
        <v>جيد</v>
      </c>
      <c r="I30" s="40"/>
      <c r="J30" s="41"/>
    </row>
    <row r="31" spans="1:10" ht="39.9" customHeight="1" x14ac:dyDescent="0.3">
      <c r="A31" s="11"/>
      <c r="B31" s="61" t="s">
        <v>79</v>
      </c>
      <c r="C31" s="62"/>
      <c r="D31" s="62"/>
      <c r="E31" s="9">
        <v>5</v>
      </c>
      <c r="F31" s="20">
        <v>3.75</v>
      </c>
      <c r="G31" s="26">
        <f t="shared" si="0"/>
        <v>0.75</v>
      </c>
      <c r="H31" s="27" t="str">
        <f t="shared" si="1"/>
        <v>جيد</v>
      </c>
      <c r="I31" s="40"/>
      <c r="J31" s="41"/>
    </row>
    <row r="32" spans="1:10" ht="30" customHeight="1" x14ac:dyDescent="0.3">
      <c r="A32" s="11"/>
      <c r="B32" s="61" t="s">
        <v>80</v>
      </c>
      <c r="C32" s="62"/>
      <c r="D32" s="62"/>
      <c r="E32" s="9">
        <v>5</v>
      </c>
      <c r="F32" s="20">
        <v>4</v>
      </c>
      <c r="G32" s="26">
        <f t="shared" si="0"/>
        <v>0.8</v>
      </c>
      <c r="H32" s="27" t="str">
        <f t="shared" si="1"/>
        <v>جيد جداً</v>
      </c>
      <c r="I32" s="40"/>
      <c r="J32" s="41"/>
    </row>
    <row r="33" spans="1:10" ht="39.9" customHeight="1" thickBot="1" x14ac:dyDescent="0.35">
      <c r="A33" s="11"/>
      <c r="B33" s="63" t="s">
        <v>81</v>
      </c>
      <c r="C33" s="64"/>
      <c r="D33" s="64"/>
      <c r="E33" s="23">
        <v>5</v>
      </c>
      <c r="F33" s="21">
        <v>4</v>
      </c>
      <c r="G33" s="28">
        <f t="shared" si="0"/>
        <v>0.8</v>
      </c>
      <c r="H33" s="29" t="str">
        <f t="shared" si="1"/>
        <v>جيد جداً</v>
      </c>
      <c r="I33" s="42"/>
      <c r="J33" s="43"/>
    </row>
    <row r="34" spans="1:10" ht="30" customHeight="1" x14ac:dyDescent="0.3">
      <c r="A34" s="11"/>
      <c r="B34" s="99" t="s">
        <v>133</v>
      </c>
      <c r="C34" s="100"/>
      <c r="D34" s="100"/>
      <c r="E34" s="100"/>
      <c r="F34" s="100"/>
      <c r="G34" s="100"/>
      <c r="H34" s="100"/>
      <c r="I34" s="100"/>
      <c r="J34" s="101"/>
    </row>
    <row r="35" spans="1:10" ht="30" customHeight="1" x14ac:dyDescent="0.3">
      <c r="A35" s="11"/>
      <c r="B35" s="61" t="s">
        <v>82</v>
      </c>
      <c r="C35" s="62"/>
      <c r="D35" s="62"/>
      <c r="E35" s="9">
        <v>5</v>
      </c>
      <c r="F35" s="20">
        <v>4</v>
      </c>
      <c r="G35" s="26">
        <f t="shared" si="0"/>
        <v>0.8</v>
      </c>
      <c r="H35" s="27" t="str">
        <f t="shared" si="1"/>
        <v>جيد جداً</v>
      </c>
      <c r="I35" s="40"/>
      <c r="J35" s="41"/>
    </row>
    <row r="36" spans="1:10" ht="30" customHeight="1" x14ac:dyDescent="0.3">
      <c r="A36" s="11"/>
      <c r="B36" s="61" t="s">
        <v>83</v>
      </c>
      <c r="C36" s="62"/>
      <c r="D36" s="62"/>
      <c r="E36" s="9">
        <v>5</v>
      </c>
      <c r="F36" s="20">
        <v>4</v>
      </c>
      <c r="G36" s="26">
        <f t="shared" si="0"/>
        <v>0.8</v>
      </c>
      <c r="H36" s="27" t="str">
        <f t="shared" si="1"/>
        <v>جيد جداً</v>
      </c>
      <c r="I36" s="40"/>
      <c r="J36" s="41"/>
    </row>
    <row r="37" spans="1:10" ht="30" customHeight="1" x14ac:dyDescent="0.3">
      <c r="A37" s="11"/>
      <c r="B37" s="61" t="s">
        <v>84</v>
      </c>
      <c r="C37" s="62"/>
      <c r="D37" s="62"/>
      <c r="E37" s="9">
        <v>5</v>
      </c>
      <c r="F37" s="20">
        <v>4</v>
      </c>
      <c r="G37" s="26">
        <f t="shared" si="0"/>
        <v>0.8</v>
      </c>
      <c r="H37" s="27" t="str">
        <f t="shared" si="1"/>
        <v>جيد جداً</v>
      </c>
      <c r="I37" s="40"/>
      <c r="J37" s="41"/>
    </row>
    <row r="38" spans="1:10" ht="30" customHeight="1" x14ac:dyDescent="0.3">
      <c r="A38" s="11"/>
      <c r="B38" s="61" t="s">
        <v>85</v>
      </c>
      <c r="C38" s="62"/>
      <c r="D38" s="62"/>
      <c r="E38" s="9">
        <v>5</v>
      </c>
      <c r="F38" s="20">
        <v>4</v>
      </c>
      <c r="G38" s="26">
        <f t="shared" si="0"/>
        <v>0.8</v>
      </c>
      <c r="H38" s="27" t="str">
        <f t="shared" si="1"/>
        <v>جيد جداً</v>
      </c>
      <c r="I38" s="40"/>
      <c r="J38" s="41"/>
    </row>
    <row r="39" spans="1:10" ht="30" customHeight="1" thickBot="1" x14ac:dyDescent="0.35">
      <c r="A39" s="11"/>
      <c r="B39" s="63" t="s">
        <v>86</v>
      </c>
      <c r="C39" s="64"/>
      <c r="D39" s="64"/>
      <c r="E39" s="23">
        <v>5</v>
      </c>
      <c r="F39" s="21">
        <v>4</v>
      </c>
      <c r="G39" s="28">
        <f t="shared" si="0"/>
        <v>0.8</v>
      </c>
      <c r="H39" s="29" t="str">
        <f t="shared" si="1"/>
        <v>جيد جداً</v>
      </c>
      <c r="I39" s="42"/>
      <c r="J39" s="43"/>
    </row>
    <row r="40" spans="1:10" ht="30" customHeight="1" x14ac:dyDescent="0.3">
      <c r="A40" s="11"/>
      <c r="B40" s="99" t="s">
        <v>87</v>
      </c>
      <c r="C40" s="100"/>
      <c r="D40" s="100"/>
      <c r="E40" s="100"/>
      <c r="F40" s="100"/>
      <c r="G40" s="100"/>
      <c r="H40" s="100"/>
      <c r="I40" s="100"/>
      <c r="J40" s="101"/>
    </row>
    <row r="41" spans="1:10" ht="39.9" customHeight="1" x14ac:dyDescent="0.3">
      <c r="A41" s="11"/>
      <c r="B41" s="96" t="s">
        <v>134</v>
      </c>
      <c r="C41" s="97"/>
      <c r="D41" s="98"/>
      <c r="E41" s="30"/>
      <c r="F41" s="20"/>
      <c r="G41" s="26"/>
      <c r="H41" s="27"/>
      <c r="I41" s="40"/>
      <c r="J41" s="41"/>
    </row>
    <row r="42" spans="1:10" ht="30" customHeight="1" x14ac:dyDescent="0.3">
      <c r="A42" s="11"/>
      <c r="B42" s="79" t="s">
        <v>88</v>
      </c>
      <c r="C42" s="80"/>
      <c r="D42" s="80"/>
      <c r="E42" s="9">
        <v>5</v>
      </c>
      <c r="F42" s="20">
        <v>4.25</v>
      </c>
      <c r="G42" s="26">
        <f t="shared" si="0"/>
        <v>0.85</v>
      </c>
      <c r="H42" s="27" t="str">
        <f t="shared" si="1"/>
        <v>جيد جداً</v>
      </c>
      <c r="I42" s="40"/>
      <c r="J42" s="41"/>
    </row>
    <row r="43" spans="1:10" ht="39.9" customHeight="1" x14ac:dyDescent="0.3">
      <c r="A43" s="11"/>
      <c r="B43" s="79" t="s">
        <v>89</v>
      </c>
      <c r="C43" s="80"/>
      <c r="D43" s="80"/>
      <c r="E43" s="9">
        <v>5</v>
      </c>
      <c r="F43" s="20">
        <v>3.75</v>
      </c>
      <c r="G43" s="26">
        <f t="shared" si="0"/>
        <v>0.75</v>
      </c>
      <c r="H43" s="27" t="str">
        <f t="shared" si="1"/>
        <v>جيد</v>
      </c>
      <c r="I43" s="40"/>
      <c r="J43" s="41"/>
    </row>
    <row r="44" spans="1:10" ht="39.9" customHeight="1" x14ac:dyDescent="0.3">
      <c r="A44" s="11"/>
      <c r="B44" s="79" t="s">
        <v>90</v>
      </c>
      <c r="C44" s="80"/>
      <c r="D44" s="80"/>
      <c r="E44" s="9">
        <v>5</v>
      </c>
      <c r="F44" s="20">
        <v>3.75</v>
      </c>
      <c r="G44" s="26">
        <f t="shared" si="0"/>
        <v>0.75</v>
      </c>
      <c r="H44" s="27" t="str">
        <f t="shared" si="1"/>
        <v>جيد</v>
      </c>
      <c r="I44" s="40"/>
      <c r="J44" s="41"/>
    </row>
    <row r="45" spans="1:10" ht="30" customHeight="1" x14ac:dyDescent="0.3">
      <c r="A45" s="11"/>
      <c r="B45" s="61" t="s">
        <v>142</v>
      </c>
      <c r="C45" s="62"/>
      <c r="D45" s="62"/>
      <c r="E45" s="9"/>
      <c r="F45" s="20"/>
      <c r="G45" s="26"/>
      <c r="H45" s="27"/>
      <c r="I45" s="40"/>
      <c r="J45" s="41"/>
    </row>
    <row r="46" spans="1:10" ht="39.9" customHeight="1" x14ac:dyDescent="0.3">
      <c r="A46" s="11"/>
      <c r="B46" s="79" t="s">
        <v>91</v>
      </c>
      <c r="C46" s="80"/>
      <c r="D46" s="80"/>
      <c r="E46" s="9">
        <v>10</v>
      </c>
      <c r="F46" s="20">
        <v>7.75</v>
      </c>
      <c r="G46" s="26">
        <f t="shared" si="0"/>
        <v>0.77500000000000002</v>
      </c>
      <c r="H46" s="27" t="str">
        <f t="shared" si="1"/>
        <v>جيد</v>
      </c>
      <c r="I46" s="40"/>
      <c r="J46" s="41"/>
    </row>
    <row r="47" spans="1:10" ht="50.1" customHeight="1" x14ac:dyDescent="0.3">
      <c r="A47" s="11"/>
      <c r="B47" s="79" t="s">
        <v>262</v>
      </c>
      <c r="C47" s="80"/>
      <c r="D47" s="80"/>
      <c r="E47" s="9">
        <v>5</v>
      </c>
      <c r="F47" s="20">
        <v>3.75</v>
      </c>
      <c r="G47" s="26">
        <f t="shared" si="0"/>
        <v>0.75</v>
      </c>
      <c r="H47" s="27" t="str">
        <f t="shared" si="1"/>
        <v>جيد</v>
      </c>
      <c r="I47" s="40"/>
      <c r="J47" s="41"/>
    </row>
    <row r="48" spans="1:10" ht="39.9" customHeight="1" x14ac:dyDescent="0.3">
      <c r="A48" s="11"/>
      <c r="B48" s="79" t="s">
        <v>92</v>
      </c>
      <c r="C48" s="80"/>
      <c r="D48" s="80"/>
      <c r="E48" s="9">
        <v>5</v>
      </c>
      <c r="F48" s="20">
        <v>3.75</v>
      </c>
      <c r="G48" s="26">
        <f t="shared" si="0"/>
        <v>0.75</v>
      </c>
      <c r="H48" s="27" t="str">
        <f t="shared" si="1"/>
        <v>جيد</v>
      </c>
      <c r="I48" s="40"/>
      <c r="J48" s="41"/>
    </row>
    <row r="49" spans="1:10" ht="50.1" customHeight="1" x14ac:dyDescent="0.3">
      <c r="A49" s="11"/>
      <c r="B49" s="79" t="s">
        <v>135</v>
      </c>
      <c r="C49" s="80"/>
      <c r="D49" s="80"/>
      <c r="E49" s="9">
        <v>5</v>
      </c>
      <c r="F49" s="20">
        <v>3.75</v>
      </c>
      <c r="G49" s="26">
        <f t="shared" si="0"/>
        <v>0.75</v>
      </c>
      <c r="H49" s="27" t="str">
        <f t="shared" si="1"/>
        <v>جيد</v>
      </c>
      <c r="I49" s="40"/>
      <c r="J49" s="41"/>
    </row>
    <row r="50" spans="1:10" ht="71.25" customHeight="1" x14ac:dyDescent="0.3">
      <c r="A50" s="11"/>
      <c r="B50" s="79" t="s">
        <v>93</v>
      </c>
      <c r="C50" s="80"/>
      <c r="D50" s="80"/>
      <c r="E50" s="9">
        <v>5</v>
      </c>
      <c r="F50" s="20">
        <v>3.75</v>
      </c>
      <c r="G50" s="26">
        <f t="shared" si="0"/>
        <v>0.75</v>
      </c>
      <c r="H50" s="27" t="str">
        <f t="shared" si="1"/>
        <v>جيد</v>
      </c>
      <c r="I50" s="40"/>
      <c r="J50" s="41"/>
    </row>
    <row r="51" spans="1:10" ht="50.1" customHeight="1" x14ac:dyDescent="0.3">
      <c r="A51" s="11"/>
      <c r="B51" s="79" t="s">
        <v>94</v>
      </c>
      <c r="C51" s="80"/>
      <c r="D51" s="80"/>
      <c r="E51" s="9">
        <v>5</v>
      </c>
      <c r="F51" s="20">
        <v>3.75</v>
      </c>
      <c r="G51" s="26">
        <f t="shared" si="0"/>
        <v>0.75</v>
      </c>
      <c r="H51" s="27" t="str">
        <f t="shared" si="1"/>
        <v>جيد</v>
      </c>
      <c r="I51" s="40"/>
      <c r="J51" s="41"/>
    </row>
    <row r="52" spans="1:10" ht="30" customHeight="1" thickBot="1" x14ac:dyDescent="0.35">
      <c r="A52" s="11"/>
      <c r="B52" s="96" t="s">
        <v>148</v>
      </c>
      <c r="C52" s="97"/>
      <c r="D52" s="98"/>
      <c r="E52" s="9">
        <v>5</v>
      </c>
      <c r="F52" s="20">
        <v>3.5</v>
      </c>
      <c r="G52" s="26">
        <f t="shared" si="0"/>
        <v>0.7</v>
      </c>
      <c r="H52" s="27" t="str">
        <f t="shared" si="1"/>
        <v>جيد</v>
      </c>
      <c r="I52" s="40"/>
      <c r="J52" s="41"/>
    </row>
    <row r="53" spans="1:10" ht="30" customHeight="1" x14ac:dyDescent="0.3">
      <c r="A53" s="11"/>
      <c r="B53" s="99" t="s">
        <v>143</v>
      </c>
      <c r="C53" s="100"/>
      <c r="D53" s="100"/>
      <c r="E53" s="100"/>
      <c r="F53" s="100"/>
      <c r="G53" s="100"/>
      <c r="H53" s="100"/>
      <c r="I53" s="100"/>
      <c r="J53" s="101"/>
    </row>
    <row r="54" spans="1:10" ht="30" customHeight="1" x14ac:dyDescent="0.3">
      <c r="A54" s="11"/>
      <c r="B54" s="61" t="s">
        <v>95</v>
      </c>
      <c r="C54" s="62"/>
      <c r="D54" s="62"/>
      <c r="E54" s="9">
        <v>5</v>
      </c>
      <c r="F54" s="20">
        <v>3.75</v>
      </c>
      <c r="G54" s="26">
        <f t="shared" ref="G54:G92" si="2">IFERROR(F54/E54,"")</f>
        <v>0.75</v>
      </c>
      <c r="H54" s="27" t="str">
        <f t="shared" ref="H54:H92" si="3">_xlfn.IFS(F54="أدخل العلامة","",F54="لا ينطبق","تم الإلغاء",G54&gt;=90%,"ممتاز",G54&gt;=80%,"جيد جداً",G54&gt;=70%,"جيد",G54&gt;=60%,"مقبول",G54&lt;60%,"راسب")</f>
        <v>جيد</v>
      </c>
      <c r="I54" s="40"/>
      <c r="J54" s="41"/>
    </row>
    <row r="55" spans="1:10" ht="30" customHeight="1" x14ac:dyDescent="0.3">
      <c r="A55" s="11"/>
      <c r="B55" s="61" t="s">
        <v>96</v>
      </c>
      <c r="C55" s="62"/>
      <c r="D55" s="62"/>
      <c r="E55" s="9">
        <v>5</v>
      </c>
      <c r="F55" s="20">
        <v>3.5</v>
      </c>
      <c r="G55" s="26">
        <f t="shared" si="2"/>
        <v>0.7</v>
      </c>
      <c r="H55" s="27" t="str">
        <f t="shared" si="3"/>
        <v>جيد</v>
      </c>
      <c r="I55" s="40"/>
      <c r="J55" s="41"/>
    </row>
    <row r="56" spans="1:10" ht="30" customHeight="1" x14ac:dyDescent="0.3">
      <c r="A56" s="11"/>
      <c r="B56" s="61" t="s">
        <v>97</v>
      </c>
      <c r="C56" s="62"/>
      <c r="D56" s="62"/>
      <c r="E56" s="9">
        <v>5</v>
      </c>
      <c r="F56" s="20">
        <v>4</v>
      </c>
      <c r="G56" s="26">
        <f t="shared" si="2"/>
        <v>0.8</v>
      </c>
      <c r="H56" s="27" t="str">
        <f t="shared" si="3"/>
        <v>جيد جداً</v>
      </c>
      <c r="I56" s="40"/>
      <c r="J56" s="41"/>
    </row>
    <row r="57" spans="1:10" ht="30" customHeight="1" x14ac:dyDescent="0.3">
      <c r="A57" s="11"/>
      <c r="B57" s="61" t="s">
        <v>98</v>
      </c>
      <c r="C57" s="62"/>
      <c r="D57" s="62"/>
      <c r="E57" s="9">
        <v>5</v>
      </c>
      <c r="F57" s="20">
        <v>3.5</v>
      </c>
      <c r="G57" s="26">
        <f t="shared" si="2"/>
        <v>0.7</v>
      </c>
      <c r="H57" s="27" t="str">
        <f t="shared" si="3"/>
        <v>جيد</v>
      </c>
      <c r="I57" s="40"/>
      <c r="J57" s="41"/>
    </row>
    <row r="58" spans="1:10" ht="30" customHeight="1" x14ac:dyDescent="0.3">
      <c r="A58" s="11"/>
      <c r="B58" s="61" t="s">
        <v>99</v>
      </c>
      <c r="C58" s="62"/>
      <c r="D58" s="62"/>
      <c r="E58" s="9">
        <v>5</v>
      </c>
      <c r="F58" s="20">
        <v>3.75</v>
      </c>
      <c r="G58" s="26">
        <f t="shared" si="2"/>
        <v>0.75</v>
      </c>
      <c r="H58" s="27" t="str">
        <f t="shared" si="3"/>
        <v>جيد</v>
      </c>
      <c r="I58" s="40"/>
      <c r="J58" s="41"/>
    </row>
    <row r="59" spans="1:10" ht="30" customHeight="1" x14ac:dyDescent="0.3">
      <c r="A59" s="11"/>
      <c r="B59" s="96" t="s">
        <v>100</v>
      </c>
      <c r="C59" s="97"/>
      <c r="D59" s="98"/>
      <c r="E59" s="30"/>
      <c r="F59" s="20"/>
      <c r="G59" s="26"/>
      <c r="H59" s="27"/>
      <c r="I59" s="40"/>
      <c r="J59" s="41"/>
    </row>
    <row r="60" spans="1:10" ht="39.9" customHeight="1" x14ac:dyDescent="0.3">
      <c r="A60" s="11"/>
      <c r="B60" s="79" t="s">
        <v>101</v>
      </c>
      <c r="C60" s="80"/>
      <c r="D60" s="80"/>
      <c r="E60" s="9">
        <v>5</v>
      </c>
      <c r="F60" s="20">
        <v>3.5</v>
      </c>
      <c r="G60" s="26">
        <f t="shared" si="2"/>
        <v>0.7</v>
      </c>
      <c r="H60" s="27" t="str">
        <f t="shared" si="3"/>
        <v>جيد</v>
      </c>
      <c r="I60" s="40"/>
      <c r="J60" s="41"/>
    </row>
    <row r="61" spans="1:10" ht="39.9" customHeight="1" x14ac:dyDescent="0.3">
      <c r="A61" s="11"/>
      <c r="B61" s="79" t="s">
        <v>102</v>
      </c>
      <c r="C61" s="80"/>
      <c r="D61" s="80"/>
      <c r="E61" s="9">
        <v>5</v>
      </c>
      <c r="F61" s="20">
        <v>3.5</v>
      </c>
      <c r="G61" s="26">
        <f t="shared" si="2"/>
        <v>0.7</v>
      </c>
      <c r="H61" s="27" t="str">
        <f t="shared" si="3"/>
        <v>جيد</v>
      </c>
      <c r="I61" s="40"/>
      <c r="J61" s="41"/>
    </row>
    <row r="62" spans="1:10" ht="50.1" customHeight="1" x14ac:dyDescent="0.3">
      <c r="A62" s="11"/>
      <c r="B62" s="79" t="s">
        <v>103</v>
      </c>
      <c r="C62" s="80"/>
      <c r="D62" s="80"/>
      <c r="E62" s="9">
        <v>5</v>
      </c>
      <c r="F62" s="20">
        <v>3.75</v>
      </c>
      <c r="G62" s="26">
        <f t="shared" si="2"/>
        <v>0.75</v>
      </c>
      <c r="H62" s="27" t="str">
        <f t="shared" si="3"/>
        <v>جيد</v>
      </c>
      <c r="I62" s="40"/>
      <c r="J62" s="41"/>
    </row>
    <row r="63" spans="1:10" ht="30" customHeight="1" thickBot="1" x14ac:dyDescent="0.35">
      <c r="A63" s="11"/>
      <c r="B63" s="63" t="s">
        <v>104</v>
      </c>
      <c r="C63" s="64"/>
      <c r="D63" s="64"/>
      <c r="E63" s="23">
        <v>5</v>
      </c>
      <c r="F63" s="21">
        <v>3.75</v>
      </c>
      <c r="G63" s="28">
        <f t="shared" si="2"/>
        <v>0.75</v>
      </c>
      <c r="H63" s="29" t="str">
        <f t="shared" si="3"/>
        <v>جيد</v>
      </c>
      <c r="I63" s="42"/>
      <c r="J63" s="43"/>
    </row>
    <row r="64" spans="1:10" ht="30" customHeight="1" x14ac:dyDescent="0.3">
      <c r="A64" s="11"/>
      <c r="B64" s="99" t="s">
        <v>144</v>
      </c>
      <c r="C64" s="100"/>
      <c r="D64" s="100"/>
      <c r="E64" s="100"/>
      <c r="F64" s="100"/>
      <c r="G64" s="100"/>
      <c r="H64" s="100"/>
      <c r="I64" s="100"/>
      <c r="J64" s="101"/>
    </row>
    <row r="65" spans="1:10" ht="30" customHeight="1" x14ac:dyDescent="0.3">
      <c r="A65" s="11"/>
      <c r="B65" s="61" t="s">
        <v>105</v>
      </c>
      <c r="C65" s="62"/>
      <c r="D65" s="62"/>
      <c r="E65" s="9">
        <v>5</v>
      </c>
      <c r="F65" s="20">
        <v>3.75</v>
      </c>
      <c r="G65" s="26">
        <f t="shared" si="2"/>
        <v>0.75</v>
      </c>
      <c r="H65" s="27" t="str">
        <f t="shared" si="3"/>
        <v>جيد</v>
      </c>
      <c r="I65" s="40"/>
      <c r="J65" s="41"/>
    </row>
    <row r="66" spans="1:10" ht="30" customHeight="1" x14ac:dyDescent="0.3">
      <c r="A66" s="11"/>
      <c r="B66" s="96" t="s">
        <v>106</v>
      </c>
      <c r="C66" s="97"/>
      <c r="D66" s="98"/>
      <c r="E66" s="30"/>
      <c r="F66" s="20"/>
      <c r="G66" s="26"/>
      <c r="H66" s="27"/>
      <c r="I66" s="40"/>
      <c r="J66" s="41"/>
    </row>
    <row r="67" spans="1:10" ht="30" customHeight="1" x14ac:dyDescent="0.3">
      <c r="A67" s="11"/>
      <c r="B67" s="91" t="s">
        <v>107</v>
      </c>
      <c r="C67" s="92"/>
      <c r="D67" s="93"/>
      <c r="E67" s="30"/>
      <c r="F67" s="20"/>
      <c r="G67" s="26"/>
      <c r="H67" s="27"/>
      <c r="I67" s="40"/>
      <c r="J67" s="41"/>
    </row>
    <row r="68" spans="1:10" ht="30" customHeight="1" x14ac:dyDescent="0.3">
      <c r="A68" s="11"/>
      <c r="B68" s="89" t="s">
        <v>108</v>
      </c>
      <c r="C68" s="90"/>
      <c r="D68" s="90"/>
      <c r="E68" s="9">
        <v>5</v>
      </c>
      <c r="F68" s="20">
        <v>3.75</v>
      </c>
      <c r="G68" s="26">
        <f t="shared" si="2"/>
        <v>0.75</v>
      </c>
      <c r="H68" s="27" t="str">
        <f t="shared" si="3"/>
        <v>جيد</v>
      </c>
      <c r="I68" s="40"/>
      <c r="J68" s="41"/>
    </row>
    <row r="69" spans="1:10" ht="30" customHeight="1" x14ac:dyDescent="0.3">
      <c r="A69" s="11"/>
      <c r="B69" s="89" t="s">
        <v>109</v>
      </c>
      <c r="C69" s="90"/>
      <c r="D69" s="90"/>
      <c r="E69" s="9">
        <v>5</v>
      </c>
      <c r="F69" s="20">
        <v>4</v>
      </c>
      <c r="G69" s="26">
        <f t="shared" si="2"/>
        <v>0.8</v>
      </c>
      <c r="H69" s="27" t="str">
        <f t="shared" si="3"/>
        <v>جيد جداً</v>
      </c>
      <c r="I69" s="40"/>
      <c r="J69" s="41"/>
    </row>
    <row r="70" spans="1:10" ht="30" customHeight="1" x14ac:dyDescent="0.3">
      <c r="A70" s="11"/>
      <c r="B70" s="89" t="s">
        <v>110</v>
      </c>
      <c r="C70" s="90"/>
      <c r="D70" s="90"/>
      <c r="E70" s="9">
        <v>5</v>
      </c>
      <c r="F70" s="20">
        <v>4</v>
      </c>
      <c r="G70" s="26">
        <f t="shared" si="2"/>
        <v>0.8</v>
      </c>
      <c r="H70" s="27" t="str">
        <f t="shared" si="3"/>
        <v>جيد جداً</v>
      </c>
      <c r="I70" s="40"/>
      <c r="J70" s="41"/>
    </row>
    <row r="71" spans="1:10" ht="30" customHeight="1" x14ac:dyDescent="0.3">
      <c r="A71" s="11"/>
      <c r="B71" s="89" t="s">
        <v>111</v>
      </c>
      <c r="C71" s="90"/>
      <c r="D71" s="90"/>
      <c r="E71" s="9">
        <v>5</v>
      </c>
      <c r="F71" s="20">
        <v>4</v>
      </c>
      <c r="G71" s="26">
        <f t="shared" si="2"/>
        <v>0.8</v>
      </c>
      <c r="H71" s="27" t="str">
        <f t="shared" si="3"/>
        <v>جيد جداً</v>
      </c>
      <c r="I71" s="40"/>
      <c r="J71" s="41"/>
    </row>
    <row r="72" spans="1:10" ht="30" customHeight="1" x14ac:dyDescent="0.3">
      <c r="A72" s="11"/>
      <c r="B72" s="94" t="s">
        <v>112</v>
      </c>
      <c r="C72" s="95"/>
      <c r="D72" s="95"/>
      <c r="E72" s="9">
        <v>5</v>
      </c>
      <c r="F72" s="20">
        <v>4</v>
      </c>
      <c r="G72" s="26">
        <f t="shared" si="2"/>
        <v>0.8</v>
      </c>
      <c r="H72" s="27" t="str">
        <f t="shared" si="3"/>
        <v>جيد جداً</v>
      </c>
      <c r="I72" s="40"/>
      <c r="J72" s="41"/>
    </row>
    <row r="73" spans="1:10" ht="30" customHeight="1" x14ac:dyDescent="0.3">
      <c r="A73" s="11"/>
      <c r="B73" s="94" t="s">
        <v>113</v>
      </c>
      <c r="C73" s="95"/>
      <c r="D73" s="95"/>
      <c r="E73" s="9">
        <v>5</v>
      </c>
      <c r="F73" s="20">
        <v>4</v>
      </c>
      <c r="G73" s="26">
        <f t="shared" si="2"/>
        <v>0.8</v>
      </c>
      <c r="H73" s="27" t="str">
        <f t="shared" si="3"/>
        <v>جيد جداً</v>
      </c>
      <c r="I73" s="40"/>
      <c r="J73" s="41"/>
    </row>
    <row r="74" spans="1:10" ht="30" customHeight="1" x14ac:dyDescent="0.3">
      <c r="A74" s="11"/>
      <c r="B74" s="61" t="s">
        <v>114</v>
      </c>
      <c r="C74" s="62"/>
      <c r="D74" s="62"/>
      <c r="E74" s="9">
        <v>5</v>
      </c>
      <c r="F74" s="20">
        <v>4</v>
      </c>
      <c r="G74" s="26">
        <f t="shared" si="2"/>
        <v>0.8</v>
      </c>
      <c r="H74" s="27" t="str">
        <f t="shared" si="3"/>
        <v>جيد جداً</v>
      </c>
      <c r="I74" s="40"/>
      <c r="J74" s="41"/>
    </row>
    <row r="75" spans="1:10" ht="30" customHeight="1" x14ac:dyDescent="0.3">
      <c r="A75" s="11"/>
      <c r="B75" s="96" t="s">
        <v>115</v>
      </c>
      <c r="C75" s="97"/>
      <c r="D75" s="98"/>
      <c r="E75" s="30"/>
      <c r="F75" s="20"/>
      <c r="G75" s="26"/>
      <c r="H75" s="27"/>
      <c r="I75" s="40"/>
      <c r="J75" s="41"/>
    </row>
    <row r="76" spans="1:10" ht="30" customHeight="1" x14ac:dyDescent="0.3">
      <c r="A76" s="11"/>
      <c r="B76" s="79" t="s">
        <v>116</v>
      </c>
      <c r="C76" s="80"/>
      <c r="D76" s="80"/>
      <c r="E76" s="9">
        <v>5</v>
      </c>
      <c r="F76" s="20">
        <v>4</v>
      </c>
      <c r="G76" s="26">
        <f t="shared" si="2"/>
        <v>0.8</v>
      </c>
      <c r="H76" s="27" t="str">
        <f t="shared" si="3"/>
        <v>جيد جداً</v>
      </c>
      <c r="I76" s="40"/>
      <c r="J76" s="41"/>
    </row>
    <row r="77" spans="1:10" ht="30" customHeight="1" x14ac:dyDescent="0.3">
      <c r="A77" s="11"/>
      <c r="B77" s="79" t="s">
        <v>117</v>
      </c>
      <c r="C77" s="80"/>
      <c r="D77" s="80"/>
      <c r="E77" s="9">
        <v>5</v>
      </c>
      <c r="F77" s="20">
        <v>4</v>
      </c>
      <c r="G77" s="26">
        <f t="shared" si="2"/>
        <v>0.8</v>
      </c>
      <c r="H77" s="27" t="str">
        <f t="shared" si="3"/>
        <v>جيد جداً</v>
      </c>
      <c r="I77" s="40"/>
      <c r="J77" s="41"/>
    </row>
    <row r="78" spans="1:10" ht="30" customHeight="1" x14ac:dyDescent="0.3">
      <c r="A78" s="11"/>
      <c r="B78" s="79" t="s">
        <v>118</v>
      </c>
      <c r="C78" s="80"/>
      <c r="D78" s="80"/>
      <c r="E78" s="9">
        <v>5</v>
      </c>
      <c r="F78" s="20">
        <v>4</v>
      </c>
      <c r="G78" s="26">
        <f t="shared" si="2"/>
        <v>0.8</v>
      </c>
      <c r="H78" s="27" t="str">
        <f t="shared" si="3"/>
        <v>جيد جداً</v>
      </c>
      <c r="I78" s="40"/>
      <c r="J78" s="41"/>
    </row>
    <row r="79" spans="1:10" ht="30" customHeight="1" x14ac:dyDescent="0.3">
      <c r="A79" s="11"/>
      <c r="B79" s="104" t="s">
        <v>119</v>
      </c>
      <c r="C79" s="105"/>
      <c r="D79" s="105"/>
      <c r="E79" s="9">
        <v>5</v>
      </c>
      <c r="F79" s="20">
        <v>4</v>
      </c>
      <c r="G79" s="26">
        <f t="shared" si="2"/>
        <v>0.8</v>
      </c>
      <c r="H79" s="27" t="str">
        <f t="shared" si="3"/>
        <v>جيد جداً</v>
      </c>
      <c r="I79" s="40"/>
      <c r="J79" s="41"/>
    </row>
    <row r="80" spans="1:10" ht="30" customHeight="1" thickBot="1" x14ac:dyDescent="0.35">
      <c r="A80" s="11"/>
      <c r="B80" s="106" t="s">
        <v>120</v>
      </c>
      <c r="C80" s="107"/>
      <c r="D80" s="107"/>
      <c r="E80" s="23">
        <v>5</v>
      </c>
      <c r="F80" s="21">
        <v>4</v>
      </c>
      <c r="G80" s="28">
        <f t="shared" si="2"/>
        <v>0.8</v>
      </c>
      <c r="H80" s="29" t="str">
        <f t="shared" si="3"/>
        <v>جيد جداً</v>
      </c>
      <c r="I80" s="42"/>
      <c r="J80" s="43"/>
    </row>
    <row r="81" spans="1:10" ht="30" customHeight="1" x14ac:dyDescent="0.3">
      <c r="A81" s="11"/>
      <c r="B81" s="99" t="s">
        <v>145</v>
      </c>
      <c r="C81" s="100"/>
      <c r="D81" s="100"/>
      <c r="E81" s="100"/>
      <c r="F81" s="100"/>
      <c r="G81" s="100"/>
      <c r="H81" s="100"/>
      <c r="I81" s="100"/>
      <c r="J81" s="101"/>
    </row>
    <row r="82" spans="1:10" ht="30" customHeight="1" x14ac:dyDescent="0.3">
      <c r="A82" s="11"/>
      <c r="B82" s="96" t="s">
        <v>121</v>
      </c>
      <c r="C82" s="97"/>
      <c r="D82" s="98"/>
      <c r="E82" s="30"/>
      <c r="F82" s="20"/>
      <c r="G82" s="26"/>
      <c r="H82" s="27"/>
      <c r="I82" s="40"/>
      <c r="J82" s="41"/>
    </row>
    <row r="83" spans="1:10" ht="30" customHeight="1" x14ac:dyDescent="0.3">
      <c r="A83" s="11"/>
      <c r="B83" s="79" t="s">
        <v>122</v>
      </c>
      <c r="C83" s="80"/>
      <c r="D83" s="80"/>
      <c r="E83" s="9">
        <v>5</v>
      </c>
      <c r="F83" s="20">
        <v>3.75</v>
      </c>
      <c r="G83" s="26">
        <f t="shared" si="2"/>
        <v>0.75</v>
      </c>
      <c r="H83" s="27" t="str">
        <f t="shared" si="3"/>
        <v>جيد</v>
      </c>
      <c r="I83" s="40"/>
      <c r="J83" s="41"/>
    </row>
    <row r="84" spans="1:10" ht="30" customHeight="1" x14ac:dyDescent="0.3">
      <c r="A84" s="11"/>
      <c r="B84" s="79" t="s">
        <v>123</v>
      </c>
      <c r="C84" s="80"/>
      <c r="D84" s="80"/>
      <c r="E84" s="9">
        <v>5</v>
      </c>
      <c r="F84" s="20">
        <v>3.75</v>
      </c>
      <c r="G84" s="26">
        <f t="shared" si="2"/>
        <v>0.75</v>
      </c>
      <c r="H84" s="27" t="str">
        <f t="shared" si="3"/>
        <v>جيد</v>
      </c>
      <c r="I84" s="40"/>
      <c r="J84" s="41"/>
    </row>
    <row r="85" spans="1:10" ht="30" customHeight="1" x14ac:dyDescent="0.3">
      <c r="A85" s="11"/>
      <c r="B85" s="79" t="s">
        <v>124</v>
      </c>
      <c r="C85" s="80"/>
      <c r="D85" s="80"/>
      <c r="E85" s="9">
        <v>5</v>
      </c>
      <c r="F85" s="20">
        <v>3.5</v>
      </c>
      <c r="G85" s="26">
        <f t="shared" si="2"/>
        <v>0.7</v>
      </c>
      <c r="H85" s="27" t="str">
        <f t="shared" si="3"/>
        <v>جيد</v>
      </c>
      <c r="I85" s="40"/>
      <c r="J85" s="41"/>
    </row>
    <row r="86" spans="1:10" ht="30" customHeight="1" x14ac:dyDescent="0.3">
      <c r="A86" s="11"/>
      <c r="B86" s="96" t="s">
        <v>125</v>
      </c>
      <c r="C86" s="97"/>
      <c r="D86" s="98"/>
      <c r="E86" s="30"/>
      <c r="F86" s="20"/>
      <c r="G86" s="26"/>
      <c r="H86" s="27"/>
      <c r="I86" s="40"/>
      <c r="J86" s="41"/>
    </row>
    <row r="87" spans="1:10" ht="30" customHeight="1" x14ac:dyDescent="0.3">
      <c r="A87" s="11"/>
      <c r="B87" s="79" t="s">
        <v>126</v>
      </c>
      <c r="C87" s="80"/>
      <c r="D87" s="80"/>
      <c r="E87" s="9">
        <v>5</v>
      </c>
      <c r="F87" s="20">
        <v>3.5</v>
      </c>
      <c r="G87" s="26">
        <f t="shared" si="2"/>
        <v>0.7</v>
      </c>
      <c r="H87" s="27" t="str">
        <f t="shared" si="3"/>
        <v>جيد</v>
      </c>
      <c r="I87" s="40"/>
      <c r="J87" s="41"/>
    </row>
    <row r="88" spans="1:10" ht="30" customHeight="1" x14ac:dyDescent="0.3">
      <c r="A88" s="11"/>
      <c r="B88" s="79" t="s">
        <v>127</v>
      </c>
      <c r="C88" s="80"/>
      <c r="D88" s="80"/>
      <c r="E88" s="9">
        <v>5</v>
      </c>
      <c r="F88" s="20">
        <v>4.25</v>
      </c>
      <c r="G88" s="26">
        <f t="shared" si="2"/>
        <v>0.85</v>
      </c>
      <c r="H88" s="27" t="str">
        <f t="shared" si="3"/>
        <v>جيد جداً</v>
      </c>
      <c r="I88" s="40"/>
      <c r="J88" s="41"/>
    </row>
    <row r="89" spans="1:10" ht="30" customHeight="1" x14ac:dyDescent="0.3">
      <c r="A89" s="11"/>
      <c r="B89" s="96" t="s">
        <v>128</v>
      </c>
      <c r="C89" s="97"/>
      <c r="D89" s="98"/>
      <c r="E89" s="30"/>
      <c r="F89" s="20"/>
      <c r="G89" s="26"/>
      <c r="H89" s="27"/>
      <c r="I89" s="40"/>
      <c r="J89" s="41"/>
    </row>
    <row r="90" spans="1:10" ht="39.9" customHeight="1" x14ac:dyDescent="0.3">
      <c r="A90" s="11"/>
      <c r="B90" s="79" t="s">
        <v>129</v>
      </c>
      <c r="C90" s="80"/>
      <c r="D90" s="80"/>
      <c r="E90" s="9">
        <v>5</v>
      </c>
      <c r="F90" s="20">
        <v>3.75</v>
      </c>
      <c r="G90" s="26">
        <f t="shared" si="2"/>
        <v>0.75</v>
      </c>
      <c r="H90" s="27" t="str">
        <f t="shared" si="3"/>
        <v>جيد</v>
      </c>
      <c r="I90" s="40"/>
      <c r="J90" s="41"/>
    </row>
    <row r="91" spans="1:10" ht="30" customHeight="1" thickBot="1" x14ac:dyDescent="0.35">
      <c r="A91" s="11"/>
      <c r="B91" s="102" t="s">
        <v>130</v>
      </c>
      <c r="C91" s="103"/>
      <c r="D91" s="103"/>
      <c r="E91" s="23">
        <v>5</v>
      </c>
      <c r="F91" s="21">
        <v>3.75</v>
      </c>
      <c r="G91" s="28">
        <f t="shared" si="2"/>
        <v>0.75</v>
      </c>
      <c r="H91" s="29" t="str">
        <f t="shared" si="3"/>
        <v>جيد</v>
      </c>
      <c r="I91" s="42"/>
      <c r="J91" s="43"/>
    </row>
    <row r="92" spans="1:10" ht="30" customHeight="1" thickBot="1" x14ac:dyDescent="0.35">
      <c r="A92" s="11"/>
      <c r="B92" s="57" t="s">
        <v>136</v>
      </c>
      <c r="C92" s="58"/>
      <c r="D92" s="58"/>
      <c r="E92" s="10">
        <v>5</v>
      </c>
      <c r="F92" s="31">
        <v>3.75</v>
      </c>
      <c r="G92" s="32">
        <f t="shared" si="2"/>
        <v>0.75</v>
      </c>
      <c r="H92" s="22" t="str">
        <f t="shared" si="3"/>
        <v>جيد</v>
      </c>
      <c r="I92" s="59"/>
      <c r="J92" s="60"/>
    </row>
    <row r="93" spans="1:10" ht="30" customHeight="1" thickBot="1" x14ac:dyDescent="0.35">
      <c r="A93" s="4"/>
      <c r="B93" s="71" t="s">
        <v>5</v>
      </c>
      <c r="C93" s="72"/>
      <c r="D93" s="72"/>
      <c r="E93" s="10">
        <f>SUM(E8:E92)</f>
        <v>360</v>
      </c>
      <c r="F93" s="10">
        <f>SUM(F8:F92)</f>
        <v>273.25</v>
      </c>
      <c r="G93" s="82"/>
      <c r="H93" s="83"/>
      <c r="I93" s="83"/>
      <c r="J93" s="84"/>
    </row>
    <row r="94" spans="1:10" ht="30" customHeight="1" thickBot="1" x14ac:dyDescent="0.35">
      <c r="A94" s="4"/>
      <c r="B94" s="71" t="s">
        <v>54</v>
      </c>
      <c r="C94" s="72"/>
      <c r="D94" s="72"/>
      <c r="E94" s="65">
        <f>F93/E93/100*100</f>
        <v>0.75902777777777775</v>
      </c>
      <c r="F94" s="65"/>
      <c r="G94" s="65"/>
      <c r="H94" s="65"/>
      <c r="I94" s="65"/>
      <c r="J94" s="66"/>
    </row>
    <row r="95" spans="1:10" ht="30" customHeight="1" thickBot="1" x14ac:dyDescent="0.35">
      <c r="A95" s="4"/>
      <c r="B95" s="71" t="s">
        <v>55</v>
      </c>
      <c r="C95" s="72"/>
      <c r="D95" s="72"/>
      <c r="E95" s="77" t="str">
        <f>_xlfn.IFS(E94&gt;=90%,"ممتاز",E94&gt;=80%,"جيد جداً",E94&gt;=70%,"جيد",E94&gt;=60%,"مقبول",E94&lt;60%,"راسب")</f>
        <v>جيد</v>
      </c>
      <c r="F95" s="77"/>
      <c r="G95" s="77"/>
      <c r="H95" s="77"/>
      <c r="I95" s="77"/>
      <c r="J95" s="78"/>
    </row>
    <row r="96" spans="1:10" ht="42" customHeight="1" x14ac:dyDescent="0.3">
      <c r="B96" s="73" t="s">
        <v>132</v>
      </c>
      <c r="C96" s="73"/>
      <c r="D96" s="73"/>
      <c r="E96" s="44" t="s">
        <v>52</v>
      </c>
      <c r="F96" s="44"/>
      <c r="G96" s="75" t="s">
        <v>164</v>
      </c>
      <c r="H96" s="75"/>
      <c r="I96" s="75"/>
      <c r="J96" s="75"/>
    </row>
    <row r="97" spans="1:10" ht="165" customHeight="1" x14ac:dyDescent="0.3">
      <c r="A97" s="5"/>
      <c r="B97" s="74"/>
      <c r="C97" s="74"/>
      <c r="D97" s="74"/>
      <c r="E97" s="81" t="s">
        <v>53</v>
      </c>
      <c r="F97" s="81"/>
      <c r="G97" s="76"/>
      <c r="H97" s="76"/>
      <c r="I97" s="76"/>
      <c r="J97" s="76"/>
    </row>
  </sheetData>
  <sheetProtection formatCells="0" formatColumns="0" formatRows="0" insertColumns="0" insertRows="0" insertHyperlinks="0" deleteColumns="0" deleteRows="0" selectLockedCells="1" sort="0" autoFilter="0" pivotTables="0"/>
  <mergeCells count="183">
    <mergeCell ref="C4:D4"/>
    <mergeCell ref="B87:D87"/>
    <mergeCell ref="B88:D88"/>
    <mergeCell ref="B90:D90"/>
    <mergeCell ref="B91:D91"/>
    <mergeCell ref="B92:D92"/>
    <mergeCell ref="B86:D86"/>
    <mergeCell ref="B89:D89"/>
    <mergeCell ref="B11:J11"/>
    <mergeCell ref="B16:J16"/>
    <mergeCell ref="B27:J27"/>
    <mergeCell ref="B34:J34"/>
    <mergeCell ref="B40:J40"/>
    <mergeCell ref="B41:D41"/>
    <mergeCell ref="B52:D52"/>
    <mergeCell ref="B53:J53"/>
    <mergeCell ref="B59:D59"/>
    <mergeCell ref="B66:D66"/>
    <mergeCell ref="B64:J64"/>
    <mergeCell ref="B84:D84"/>
    <mergeCell ref="B85:D85"/>
    <mergeCell ref="B77:D77"/>
    <mergeCell ref="B78:D78"/>
    <mergeCell ref="B79:D79"/>
    <mergeCell ref="B80:D80"/>
    <mergeCell ref="B83:D83"/>
    <mergeCell ref="B75:D75"/>
    <mergeCell ref="B81:J81"/>
    <mergeCell ref="B82:D82"/>
    <mergeCell ref="I74:J74"/>
    <mergeCell ref="I75:J75"/>
    <mergeCell ref="I76:J76"/>
    <mergeCell ref="I77:J77"/>
    <mergeCell ref="I78:J78"/>
    <mergeCell ref="I79:J79"/>
    <mergeCell ref="I80:J80"/>
    <mergeCell ref="I82:J82"/>
    <mergeCell ref="I83:J83"/>
    <mergeCell ref="B68:D68"/>
    <mergeCell ref="B69:D69"/>
    <mergeCell ref="B70:D70"/>
    <mergeCell ref="B71:D71"/>
    <mergeCell ref="B67:D67"/>
    <mergeCell ref="B72:D72"/>
    <mergeCell ref="B73:D73"/>
    <mergeCell ref="B74:D74"/>
    <mergeCell ref="B76:D76"/>
    <mergeCell ref="B55:D55"/>
    <mergeCell ref="B56:D56"/>
    <mergeCell ref="B57:D57"/>
    <mergeCell ref="B58:D58"/>
    <mergeCell ref="B60:D60"/>
    <mergeCell ref="B61:D61"/>
    <mergeCell ref="B62:D62"/>
    <mergeCell ref="B63:D63"/>
    <mergeCell ref="B65:D65"/>
    <mergeCell ref="B54:D54"/>
    <mergeCell ref="B48:D48"/>
    <mergeCell ref="B49:D49"/>
    <mergeCell ref="B50:D50"/>
    <mergeCell ref="B51:D51"/>
    <mergeCell ref="B35:D35"/>
    <mergeCell ref="B36:D36"/>
    <mergeCell ref="B37:D37"/>
    <mergeCell ref="B38:D38"/>
    <mergeCell ref="B39:D39"/>
    <mergeCell ref="B42:D42"/>
    <mergeCell ref="B43:D43"/>
    <mergeCell ref="B44:D44"/>
    <mergeCell ref="B45:D45"/>
    <mergeCell ref="I19:J19"/>
    <mergeCell ref="I20:J20"/>
    <mergeCell ref="I21:J21"/>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96:D97"/>
    <mergeCell ref="G96:J96"/>
    <mergeCell ref="G97:J97"/>
    <mergeCell ref="E95:J95"/>
    <mergeCell ref="I39:J39"/>
    <mergeCell ref="I41:J41"/>
    <mergeCell ref="I42:J42"/>
    <mergeCell ref="I43:J43"/>
    <mergeCell ref="I65:J65"/>
    <mergeCell ref="I48:J48"/>
    <mergeCell ref="I49:J49"/>
    <mergeCell ref="I50:J50"/>
    <mergeCell ref="I51:J51"/>
    <mergeCell ref="I52:J52"/>
    <mergeCell ref="I73:J73"/>
    <mergeCell ref="B95:D95"/>
    <mergeCell ref="I66:J66"/>
    <mergeCell ref="B46:D46"/>
    <mergeCell ref="B47:D47"/>
    <mergeCell ref="E97:F97"/>
    <mergeCell ref="G93:J93"/>
    <mergeCell ref="I92:J92"/>
    <mergeCell ref="I84:J84"/>
    <mergeCell ref="I85:J85"/>
    <mergeCell ref="B33:D33"/>
    <mergeCell ref="E94:J94"/>
    <mergeCell ref="B7:D7"/>
    <mergeCell ref="I37:J37"/>
    <mergeCell ref="I38:J38"/>
    <mergeCell ref="I54:J54"/>
    <mergeCell ref="I55:J55"/>
    <mergeCell ref="I29:J29"/>
    <mergeCell ref="I30:J30"/>
    <mergeCell ref="I36:J36"/>
    <mergeCell ref="I7:J7"/>
    <mergeCell ref="I10:J10"/>
    <mergeCell ref="I31:J31"/>
    <mergeCell ref="I32:J32"/>
    <mergeCell ref="I33:J33"/>
    <mergeCell ref="I35:J35"/>
    <mergeCell ref="I8:J8"/>
    <mergeCell ref="B93:D93"/>
    <mergeCell ref="B94:D94"/>
    <mergeCell ref="B8:D8"/>
    <mergeCell ref="I12:J12"/>
    <mergeCell ref="I13:J13"/>
    <mergeCell ref="I17:J17"/>
    <mergeCell ref="I18:J18"/>
    <mergeCell ref="I59:J59"/>
    <mergeCell ref="I60:J60"/>
    <mergeCell ref="I61:J61"/>
    <mergeCell ref="I62:J62"/>
    <mergeCell ref="I63: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I86:J86"/>
    <mergeCell ref="I87:J87"/>
    <mergeCell ref="I88:J88"/>
    <mergeCell ref="I89:J89"/>
    <mergeCell ref="I90:J90"/>
    <mergeCell ref="I91:J91"/>
    <mergeCell ref="E96:F96"/>
    <mergeCell ref="I24:J24"/>
    <mergeCell ref="I25:J25"/>
    <mergeCell ref="I26:J26"/>
    <mergeCell ref="I44:J44"/>
    <mergeCell ref="I45:J45"/>
    <mergeCell ref="I46:J46"/>
    <mergeCell ref="I47:J47"/>
    <mergeCell ref="I72:J72"/>
    <mergeCell ref="I67:J67"/>
    <mergeCell ref="I68:J68"/>
    <mergeCell ref="I69:J69"/>
    <mergeCell ref="I70:J70"/>
    <mergeCell ref="I71:J71"/>
    <mergeCell ref="I28:J28"/>
    <mergeCell ref="I56:J56"/>
    <mergeCell ref="I57:J57"/>
    <mergeCell ref="I58:J58"/>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95">
    <cfRule type="expression" dxfId="21" priority="57">
      <formula>$E95="راسب"</formula>
    </cfRule>
  </conditionalFormatting>
  <conditionalFormatting sqref="E95:J95">
    <cfRule type="expression" dxfId="20" priority="60">
      <formula>$E95="جيد جداً"</formula>
    </cfRule>
    <cfRule type="expression" dxfId="19" priority="59">
      <formula>$E95="جيد"</formula>
    </cfRule>
    <cfRule type="expression" dxfId="18" priority="58">
      <formula>$E95="مقبول"</formula>
    </cfRule>
    <cfRule type="expression" dxfId="17" priority="61">
      <formula>$E95="ممتاز"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52 F54:F63 F65:F80 F82:F92">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96:J96">
    <cfRule type="containsText" dxfId="12" priority="15" operator="containsText" text="أدخل اسم المحكم">
      <formula>NOT(ISERROR(SEARCH("أدخل اسم المحكم",G96)))</formula>
    </cfRule>
  </conditionalFormatting>
  <conditionalFormatting sqref="H8:H10">
    <cfRule type="containsText" dxfId="11" priority="10" operator="containsText" text="راسب">
      <formula>NOT(ISERROR(SEARCH("راسب",H8)))</formula>
    </cfRule>
    <cfRule type="containsText" dxfId="10" priority="9" operator="containsText" text="مقبول">
      <formula>NOT(ISERROR(SEARCH("مقبول",H8)))</formula>
    </cfRule>
    <cfRule type="containsText" dxfId="9" priority="8" operator="containsText" text="جيد">
      <formula>NOT(ISERROR(SEARCH("جيد",H8)))</formula>
    </cfRule>
    <cfRule type="containsText" dxfId="8" priority="7" operator="containsText" text="جيد جداً">
      <formula>NOT(ISERROR(SEARCH("جيد جداً",H8)))</formula>
    </cfRule>
    <cfRule type="containsText" dxfId="7" priority="6" operator="containsText" text="ممتاز">
      <formula>NOT(ISERROR(SEARCH("ممتاز",H8)))</formula>
    </cfRule>
    <cfRule type="containsText" dxfId="6" priority="5" operator="containsText" text="أدخل العلامة">
      <formula>NOT(ISERROR(SEARCH("أدخل العلامة",H8)))</formula>
    </cfRule>
  </conditionalFormatting>
  <conditionalFormatting sqref="H12:H15 H17:H26 H28:H33 H35:H39 H41:H52 H54:H63 H65:H80 H82:H92">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rowBreaks count="2" manualBreakCount="2">
    <brk id="73" max="9" man="1"/>
    <brk id="95" max="9" man="1"/>
  </rowBreaks>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F8:F10 F12:F15 F60:F63 F28:F33 F35:F39 F18:F25 F68:F74 F83:F85 F47:F52 F90:F92 F87:F88 F76:F80 F65 F54:F58 F42:F44</xm:sqref>
        </x14:dataValidation>
        <x14:dataValidation type="list" allowBlank="1" showInputMessage="1" showErrorMessage="1" xr:uid="{AE50457C-7424-4A4C-907B-8DC6AA09E7A3}">
          <x14:formula1>
            <xm:f>'بيانات التقييم'!$A$198:$A$286</xm:f>
          </x14:formula1>
          <xm:sqref>G96:J96 F3:J3</xm:sqref>
        </x14:dataValidation>
        <x14:dataValidation type="list" allowBlank="1" showInputMessage="1" showErrorMessage="1" xr:uid="{74512448-CAED-4995-932E-CDA01DC3A5DC}">
          <x14:formula1>
            <xm:f>'بيانات التقييم'!$C$1:$C$29</xm:f>
          </x14:formula1>
          <xm:sqref>C3:D3</xm:sqref>
        </x14:dataValidation>
        <x14:dataValidation type="list" allowBlank="1" showInputMessage="1" showErrorMessage="1" xr:uid="{A07638DF-177B-4749-BBD9-F227B42CD9E3}">
          <x14:formula1>
            <xm:f>'بيانات التقييم'!$A$111:$A$153</xm:f>
          </x14:formula1>
          <xm:sqref>F26 F46</xm:sqref>
        </x14:dataValidation>
        <x14:dataValidation type="list" allowBlank="1" showInputMessage="1" showErrorMessage="1" xr:uid="{545AD49E-6A84-4CE1-ABD5-338C2ACC07D9}">
          <x14:formula1>
            <xm:f>'بيانات التقييم'!$A$111:$A$173</xm:f>
          </x14:formula1>
          <xm:sqref>F17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8" workbookViewId="0">
      <selection activeCell="C2" sqref="C2:C28"/>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39" t="s">
        <v>235</v>
      </c>
    </row>
    <row r="3" spans="1:3" ht="20.100000000000001" customHeight="1" thickBot="1" x14ac:dyDescent="0.35">
      <c r="A3" s="2" t="s">
        <v>26</v>
      </c>
      <c r="C3" s="39" t="s">
        <v>236</v>
      </c>
    </row>
    <row r="4" spans="1:3" ht="20.100000000000001" customHeight="1" thickBot="1" x14ac:dyDescent="0.35">
      <c r="A4" s="2" t="s">
        <v>36</v>
      </c>
      <c r="C4" s="39" t="s">
        <v>237</v>
      </c>
    </row>
    <row r="5" spans="1:3" ht="20.100000000000001" customHeight="1" thickBot="1" x14ac:dyDescent="0.35">
      <c r="A5" s="2" t="s">
        <v>37</v>
      </c>
      <c r="C5" s="39" t="s">
        <v>238</v>
      </c>
    </row>
    <row r="6" spans="1:3" ht="20.100000000000001" customHeight="1" thickBot="1" x14ac:dyDescent="0.35">
      <c r="A6" s="2" t="s">
        <v>38</v>
      </c>
      <c r="C6" s="39" t="s">
        <v>239</v>
      </c>
    </row>
    <row r="7" spans="1:3" ht="20.100000000000001" customHeight="1" thickBot="1" x14ac:dyDescent="0.35">
      <c r="A7" s="2" t="s">
        <v>39</v>
      </c>
      <c r="C7" s="39" t="s">
        <v>240</v>
      </c>
    </row>
    <row r="8" spans="1:3" ht="20.100000000000001" customHeight="1" thickBot="1" x14ac:dyDescent="0.35">
      <c r="A8" s="2" t="s">
        <v>40</v>
      </c>
      <c r="C8" s="39" t="s">
        <v>241</v>
      </c>
    </row>
    <row r="9" spans="1:3" ht="20.100000000000001" customHeight="1" thickBot="1" x14ac:dyDescent="0.35">
      <c r="A9" s="2" t="s">
        <v>41</v>
      </c>
      <c r="C9" s="39" t="s">
        <v>242</v>
      </c>
    </row>
    <row r="10" spans="1:3" ht="20.100000000000001" customHeight="1" thickBot="1" x14ac:dyDescent="0.35">
      <c r="A10" s="2" t="s">
        <v>42</v>
      </c>
      <c r="C10" s="39" t="s">
        <v>243</v>
      </c>
    </row>
    <row r="11" spans="1:3" ht="20.100000000000001" customHeight="1" thickBot="1" x14ac:dyDescent="0.35">
      <c r="A11" s="2" t="s">
        <v>43</v>
      </c>
      <c r="C11" s="39" t="s">
        <v>244</v>
      </c>
    </row>
    <row r="12" spans="1:3" ht="20.100000000000001" customHeight="1" thickBot="1" x14ac:dyDescent="0.35">
      <c r="A12" s="2" t="s">
        <v>44</v>
      </c>
      <c r="C12" s="39" t="s">
        <v>245</v>
      </c>
    </row>
    <row r="13" spans="1:3" ht="20.100000000000001" customHeight="1" thickBot="1" x14ac:dyDescent="0.35">
      <c r="A13" s="2" t="s">
        <v>45</v>
      </c>
      <c r="C13" s="39" t="s">
        <v>246</v>
      </c>
    </row>
    <row r="14" spans="1:3" ht="20.100000000000001" customHeight="1" thickBot="1" x14ac:dyDescent="0.35">
      <c r="A14" s="2" t="s">
        <v>46</v>
      </c>
      <c r="C14" s="39" t="s">
        <v>247</v>
      </c>
    </row>
    <row r="15" spans="1:3" ht="20.100000000000001" customHeight="1" thickBot="1" x14ac:dyDescent="0.35">
      <c r="A15" s="2" t="s">
        <v>47</v>
      </c>
      <c r="C15" s="39" t="s">
        <v>248</v>
      </c>
    </row>
    <row r="16" spans="1:3" ht="20.100000000000001" customHeight="1" thickBot="1" x14ac:dyDescent="0.35">
      <c r="A16" s="2" t="s">
        <v>10</v>
      </c>
      <c r="C16" s="39" t="s">
        <v>249</v>
      </c>
    </row>
    <row r="17" spans="1:3" ht="20.100000000000001" customHeight="1" thickBot="1" x14ac:dyDescent="0.35">
      <c r="A17" s="2" t="s">
        <v>27</v>
      </c>
      <c r="C17" s="39" t="s">
        <v>250</v>
      </c>
    </row>
    <row r="18" spans="1:3" ht="20.100000000000001" customHeight="1" thickBot="1" x14ac:dyDescent="0.35">
      <c r="A18" s="2" t="s">
        <v>48</v>
      </c>
      <c r="C18" s="39" t="s">
        <v>251</v>
      </c>
    </row>
    <row r="19" spans="1:3" ht="20.100000000000001" customHeight="1" thickBot="1" x14ac:dyDescent="0.35">
      <c r="A19" s="2" t="s">
        <v>49</v>
      </c>
      <c r="C19" s="39" t="s">
        <v>252</v>
      </c>
    </row>
    <row r="20" spans="1:3" ht="20.100000000000001" customHeight="1" thickBot="1" x14ac:dyDescent="0.35">
      <c r="A20" s="2" t="s">
        <v>50</v>
      </c>
      <c r="C20" s="39" t="s">
        <v>253</v>
      </c>
    </row>
    <row r="21" spans="1:3" ht="20.100000000000001" customHeight="1" thickBot="1" x14ac:dyDescent="0.35">
      <c r="A21" s="2" t="s">
        <v>51</v>
      </c>
      <c r="C21" s="39" t="s">
        <v>254</v>
      </c>
    </row>
    <row r="22" spans="1:3" ht="20.100000000000001" customHeight="1" thickBot="1" x14ac:dyDescent="0.35">
      <c r="A22" s="2" t="s">
        <v>11</v>
      </c>
      <c r="C22" s="39" t="s">
        <v>255</v>
      </c>
    </row>
    <row r="23" spans="1:3" ht="20.100000000000001" customHeight="1" thickBot="1" x14ac:dyDescent="0.35">
      <c r="A23" s="2" t="s">
        <v>12</v>
      </c>
      <c r="C23" s="39" t="s">
        <v>256</v>
      </c>
    </row>
    <row r="24" spans="1:3" ht="20.100000000000001" customHeight="1" thickBot="1" x14ac:dyDescent="0.35">
      <c r="A24" s="2" t="s">
        <v>15</v>
      </c>
      <c r="C24" s="39" t="s">
        <v>257</v>
      </c>
    </row>
    <row r="25" spans="1:3" ht="20.100000000000001" customHeight="1" thickBot="1" x14ac:dyDescent="0.35">
      <c r="A25" s="2" t="s">
        <v>28</v>
      </c>
      <c r="C25" s="39" t="s">
        <v>258</v>
      </c>
    </row>
    <row r="26" spans="1:3" ht="20.100000000000001" customHeight="1" thickBot="1" x14ac:dyDescent="0.35">
      <c r="A26" s="2" t="s">
        <v>29</v>
      </c>
      <c r="C26" s="39" t="s">
        <v>259</v>
      </c>
    </row>
    <row r="27" spans="1:3" ht="20.100000000000001" customHeight="1" thickBot="1" x14ac:dyDescent="0.35">
      <c r="A27" s="2" t="s">
        <v>13</v>
      </c>
      <c r="C27" s="39" t="s">
        <v>260</v>
      </c>
    </row>
    <row r="28" spans="1:3" ht="20.100000000000001" customHeight="1" thickBot="1" x14ac:dyDescent="0.35">
      <c r="A28" s="2" t="s">
        <v>30</v>
      </c>
      <c r="C28" s="39" t="s">
        <v>261</v>
      </c>
    </row>
    <row r="29" spans="1:3" ht="20.100000000000001" customHeight="1" thickBot="1" x14ac:dyDescent="0.35">
      <c r="A29" s="2" t="s">
        <v>31</v>
      </c>
      <c r="C29" s="2" t="s">
        <v>61</v>
      </c>
    </row>
    <row r="30" spans="1:3" ht="20.100000000000001" customHeight="1" thickBot="1" x14ac:dyDescent="0.35">
      <c r="A30" s="2" t="s">
        <v>32</v>
      </c>
      <c r="C30" s="2" t="s">
        <v>61</v>
      </c>
    </row>
    <row r="31" spans="1:3" ht="20.100000000000001" customHeight="1" thickBot="1" x14ac:dyDescent="0.35">
      <c r="A31" s="2" t="s">
        <v>33</v>
      </c>
      <c r="C31" s="2" t="s">
        <v>61</v>
      </c>
    </row>
    <row r="32" spans="1:3" ht="20.100000000000001" customHeight="1" thickBot="1" x14ac:dyDescent="0.35">
      <c r="A32" s="2" t="s">
        <v>16</v>
      </c>
      <c r="C32" s="2" t="s">
        <v>61</v>
      </c>
    </row>
    <row r="33" spans="1:9" ht="20.100000000000001" customHeight="1" thickBot="1" x14ac:dyDescent="0.35">
      <c r="A33" s="2" t="s">
        <v>14</v>
      </c>
      <c r="C33" s="2" t="s">
        <v>61</v>
      </c>
    </row>
    <row r="34" spans="1:9" ht="20.100000000000001" customHeight="1" thickBot="1" x14ac:dyDescent="0.35">
      <c r="A34" s="2" t="s">
        <v>34</v>
      </c>
      <c r="C34" s="2" t="s">
        <v>61</v>
      </c>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62</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34" t="s">
        <v>149</v>
      </c>
    </row>
    <row r="200" spans="1:1" ht="20.100000000000001" customHeight="1" x14ac:dyDescent="0.3">
      <c r="A200" s="34" t="s">
        <v>150</v>
      </c>
    </row>
    <row r="201" spans="1:1" ht="20.100000000000001" customHeight="1" x14ac:dyDescent="0.3">
      <c r="A201" s="34" t="s">
        <v>151</v>
      </c>
    </row>
    <row r="202" spans="1:1" ht="20.100000000000001" customHeight="1" x14ac:dyDescent="0.3">
      <c r="A202" s="34" t="s">
        <v>152</v>
      </c>
    </row>
    <row r="203" spans="1:1" ht="20.100000000000001" customHeight="1" x14ac:dyDescent="0.3">
      <c r="A203" s="34" t="s">
        <v>153</v>
      </c>
    </row>
    <row r="204" spans="1:1" ht="20.100000000000001" customHeight="1" x14ac:dyDescent="0.3">
      <c r="A204" s="34" t="s">
        <v>154</v>
      </c>
    </row>
    <row r="205" spans="1:1" ht="20.100000000000001" customHeight="1" x14ac:dyDescent="0.3">
      <c r="A205" s="34" t="s">
        <v>155</v>
      </c>
    </row>
    <row r="206" spans="1:1" ht="20.100000000000001" customHeight="1" x14ac:dyDescent="0.3">
      <c r="A206" s="34" t="s">
        <v>156</v>
      </c>
    </row>
    <row r="207" spans="1:1" ht="20.100000000000001" customHeight="1" x14ac:dyDescent="0.3">
      <c r="A207" s="34" t="s">
        <v>157</v>
      </c>
    </row>
    <row r="208" spans="1:1" ht="20.100000000000001" customHeight="1" x14ac:dyDescent="0.3">
      <c r="A208" s="35" t="s">
        <v>158</v>
      </c>
    </row>
    <row r="209" spans="1:1" ht="20.100000000000001" customHeight="1" x14ac:dyDescent="0.3">
      <c r="A209" s="35" t="s">
        <v>159</v>
      </c>
    </row>
    <row r="210" spans="1:1" ht="20.100000000000001" customHeight="1" x14ac:dyDescent="0.3">
      <c r="A210" s="34" t="s">
        <v>160</v>
      </c>
    </row>
    <row r="211" spans="1:1" ht="20.100000000000001" customHeight="1" x14ac:dyDescent="0.3">
      <c r="A211" s="34" t="s">
        <v>161</v>
      </c>
    </row>
    <row r="212" spans="1:1" ht="20.100000000000001" customHeight="1" x14ac:dyDescent="0.3">
      <c r="A212" s="34" t="s">
        <v>162</v>
      </c>
    </row>
    <row r="213" spans="1:1" ht="20.100000000000001" customHeight="1" x14ac:dyDescent="0.3">
      <c r="A213" s="34" t="s">
        <v>163</v>
      </c>
    </row>
    <row r="214" spans="1:1" ht="20.100000000000001" customHeight="1" x14ac:dyDescent="0.3">
      <c r="A214" s="34" t="s">
        <v>164</v>
      </c>
    </row>
    <row r="215" spans="1:1" ht="20.100000000000001" customHeight="1" x14ac:dyDescent="0.3">
      <c r="A215" s="34" t="s">
        <v>165</v>
      </c>
    </row>
    <row r="216" spans="1:1" ht="20.100000000000001" customHeight="1" x14ac:dyDescent="0.3">
      <c r="A216" s="34" t="s">
        <v>166</v>
      </c>
    </row>
    <row r="217" spans="1:1" ht="20.100000000000001" customHeight="1" x14ac:dyDescent="0.3">
      <c r="A217" s="34" t="s">
        <v>167</v>
      </c>
    </row>
    <row r="218" spans="1:1" ht="20.100000000000001" customHeight="1" x14ac:dyDescent="0.3">
      <c r="A218" s="34" t="s">
        <v>168</v>
      </c>
    </row>
    <row r="219" spans="1:1" ht="20.100000000000001" customHeight="1" x14ac:dyDescent="0.3">
      <c r="A219" s="34" t="s">
        <v>169</v>
      </c>
    </row>
    <row r="220" spans="1:1" ht="20.100000000000001" customHeight="1" x14ac:dyDescent="0.3">
      <c r="A220" s="34" t="s">
        <v>170</v>
      </c>
    </row>
    <row r="221" spans="1:1" ht="20.100000000000001" customHeight="1" x14ac:dyDescent="0.3">
      <c r="A221" s="34" t="s">
        <v>171</v>
      </c>
    </row>
    <row r="222" spans="1:1" ht="20.100000000000001" customHeight="1" x14ac:dyDescent="0.3">
      <c r="A222" s="34" t="s">
        <v>172</v>
      </c>
    </row>
    <row r="223" spans="1:1" ht="20.100000000000001" customHeight="1" x14ac:dyDescent="0.3">
      <c r="A223" s="34" t="s">
        <v>173</v>
      </c>
    </row>
    <row r="224" spans="1:1" ht="20.100000000000001" customHeight="1" x14ac:dyDescent="0.3">
      <c r="A224" s="34" t="s">
        <v>174</v>
      </c>
    </row>
    <row r="225" spans="1:1" ht="20.100000000000001" customHeight="1" x14ac:dyDescent="0.3">
      <c r="A225" s="34" t="s">
        <v>175</v>
      </c>
    </row>
    <row r="226" spans="1:1" ht="20.100000000000001" customHeight="1" x14ac:dyDescent="0.3">
      <c r="A226" s="34" t="s">
        <v>176</v>
      </c>
    </row>
    <row r="227" spans="1:1" ht="20.100000000000001" customHeight="1" x14ac:dyDescent="0.3">
      <c r="A227" s="34" t="s">
        <v>177</v>
      </c>
    </row>
    <row r="228" spans="1:1" ht="20.100000000000001" customHeight="1" x14ac:dyDescent="0.3">
      <c r="A228" s="34" t="s">
        <v>178</v>
      </c>
    </row>
    <row r="229" spans="1:1" ht="20.100000000000001" customHeight="1" x14ac:dyDescent="0.3">
      <c r="A229" s="34" t="s">
        <v>179</v>
      </c>
    </row>
    <row r="230" spans="1:1" ht="20.100000000000001" customHeight="1" x14ac:dyDescent="0.3">
      <c r="A230" s="34" t="s">
        <v>180</v>
      </c>
    </row>
    <row r="231" spans="1:1" ht="20.100000000000001" customHeight="1" x14ac:dyDescent="0.3">
      <c r="A231" s="34" t="s">
        <v>181</v>
      </c>
    </row>
    <row r="232" spans="1:1" ht="20.100000000000001" customHeight="1" x14ac:dyDescent="0.3">
      <c r="A232" s="34" t="s">
        <v>182</v>
      </c>
    </row>
    <row r="233" spans="1:1" ht="20.100000000000001" customHeight="1" x14ac:dyDescent="0.3">
      <c r="A233" s="34" t="s">
        <v>183</v>
      </c>
    </row>
    <row r="234" spans="1:1" ht="20.100000000000001" customHeight="1" x14ac:dyDescent="0.3">
      <c r="A234" s="34" t="s">
        <v>184</v>
      </c>
    </row>
    <row r="235" spans="1:1" ht="20.100000000000001" customHeight="1" x14ac:dyDescent="0.3">
      <c r="A235" s="36" t="s">
        <v>185</v>
      </c>
    </row>
    <row r="236" spans="1:1" ht="20.100000000000001" customHeight="1" x14ac:dyDescent="0.3">
      <c r="A236" s="34" t="s">
        <v>186</v>
      </c>
    </row>
    <row r="237" spans="1:1" ht="20.100000000000001" customHeight="1" x14ac:dyDescent="0.3">
      <c r="A237" s="34" t="s">
        <v>187</v>
      </c>
    </row>
    <row r="238" spans="1:1" ht="20.100000000000001" customHeight="1" x14ac:dyDescent="0.3">
      <c r="A238" s="34" t="s">
        <v>188</v>
      </c>
    </row>
    <row r="239" spans="1:1" ht="20.100000000000001" customHeight="1" x14ac:dyDescent="0.3">
      <c r="A239" s="34" t="s">
        <v>189</v>
      </c>
    </row>
    <row r="240" spans="1:1" ht="20.100000000000001" customHeight="1" x14ac:dyDescent="0.3">
      <c r="A240" s="34" t="s">
        <v>190</v>
      </c>
    </row>
    <row r="241" spans="1:1" ht="20.100000000000001" customHeight="1" x14ac:dyDescent="0.3">
      <c r="A241" s="34" t="s">
        <v>191</v>
      </c>
    </row>
    <row r="242" spans="1:1" ht="20.100000000000001" customHeight="1" x14ac:dyDescent="0.3">
      <c r="A242" s="34" t="s">
        <v>192</v>
      </c>
    </row>
    <row r="243" spans="1:1" ht="20.100000000000001" customHeight="1" x14ac:dyDescent="0.3">
      <c r="A243" s="34" t="s">
        <v>193</v>
      </c>
    </row>
    <row r="244" spans="1:1" ht="20.100000000000001" customHeight="1" x14ac:dyDescent="0.3">
      <c r="A244" s="34" t="s">
        <v>194</v>
      </c>
    </row>
    <row r="245" spans="1:1" ht="20.100000000000001" customHeight="1" x14ac:dyDescent="0.3">
      <c r="A245" s="34" t="s">
        <v>195</v>
      </c>
    </row>
    <row r="246" spans="1:1" ht="20.100000000000001" customHeight="1" x14ac:dyDescent="0.3">
      <c r="A246" s="34" t="s">
        <v>196</v>
      </c>
    </row>
    <row r="247" spans="1:1" ht="20.100000000000001" customHeight="1" x14ac:dyDescent="0.3">
      <c r="A247" s="34" t="s">
        <v>187</v>
      </c>
    </row>
    <row r="248" spans="1:1" ht="20.100000000000001" customHeight="1" x14ac:dyDescent="0.3">
      <c r="A248" s="34" t="s">
        <v>197</v>
      </c>
    </row>
    <row r="249" spans="1:1" ht="20.100000000000001" customHeight="1" x14ac:dyDescent="0.3">
      <c r="A249" s="34" t="s">
        <v>198</v>
      </c>
    </row>
    <row r="250" spans="1:1" ht="20.100000000000001" customHeight="1" x14ac:dyDescent="0.3">
      <c r="A250" s="36" t="s">
        <v>199</v>
      </c>
    </row>
    <row r="251" spans="1:1" ht="20.100000000000001" customHeight="1" x14ac:dyDescent="0.3">
      <c r="A251" s="37" t="s">
        <v>200</v>
      </c>
    </row>
    <row r="252" spans="1:1" ht="20.100000000000001" customHeight="1" x14ac:dyDescent="0.3">
      <c r="A252" s="34" t="s">
        <v>201</v>
      </c>
    </row>
    <row r="253" spans="1:1" ht="20.100000000000001" customHeight="1" x14ac:dyDescent="0.3">
      <c r="A253" s="34" t="s">
        <v>202</v>
      </c>
    </row>
    <row r="254" spans="1:1" ht="20.100000000000001" customHeight="1" x14ac:dyDescent="0.3">
      <c r="A254" s="38" t="s">
        <v>203</v>
      </c>
    </row>
    <row r="255" spans="1:1" ht="20.100000000000001" customHeight="1" x14ac:dyDescent="0.3">
      <c r="A255" s="38" t="s">
        <v>204</v>
      </c>
    </row>
    <row r="256" spans="1:1" ht="20.100000000000001" customHeight="1" x14ac:dyDescent="0.3">
      <c r="A256" s="37" t="s">
        <v>205</v>
      </c>
    </row>
    <row r="257" spans="1:1" ht="20.100000000000001" customHeight="1" x14ac:dyDescent="0.3">
      <c r="A257" s="34" t="s">
        <v>206</v>
      </c>
    </row>
    <row r="258" spans="1:1" ht="20.100000000000001" customHeight="1" x14ac:dyDescent="0.3">
      <c r="A258" s="37" t="s">
        <v>207</v>
      </c>
    </row>
    <row r="259" spans="1:1" ht="20.100000000000001" customHeight="1" x14ac:dyDescent="0.3">
      <c r="A259" s="34" t="s">
        <v>208</v>
      </c>
    </row>
    <row r="260" spans="1:1" ht="20.100000000000001" customHeight="1" x14ac:dyDescent="0.3">
      <c r="A260" s="37" t="s">
        <v>209</v>
      </c>
    </row>
    <row r="261" spans="1:1" ht="20.100000000000001" customHeight="1" x14ac:dyDescent="0.3">
      <c r="A261" s="34" t="s">
        <v>210</v>
      </c>
    </row>
    <row r="262" spans="1:1" ht="20.100000000000001" customHeight="1" x14ac:dyDescent="0.3">
      <c r="A262" s="34" t="s">
        <v>211</v>
      </c>
    </row>
    <row r="263" spans="1:1" ht="20.100000000000001" customHeight="1" x14ac:dyDescent="0.3">
      <c r="A263" s="37" t="s">
        <v>212</v>
      </c>
    </row>
    <row r="264" spans="1:1" ht="20.100000000000001" customHeight="1" x14ac:dyDescent="0.3">
      <c r="A264" s="37" t="s">
        <v>213</v>
      </c>
    </row>
    <row r="265" spans="1:1" ht="20.100000000000001" customHeight="1" x14ac:dyDescent="0.3">
      <c r="A265" s="37" t="s">
        <v>214</v>
      </c>
    </row>
    <row r="266" spans="1:1" ht="20.100000000000001" customHeight="1" x14ac:dyDescent="0.3">
      <c r="A266" s="34" t="s">
        <v>215</v>
      </c>
    </row>
    <row r="267" spans="1:1" ht="20.100000000000001" customHeight="1" x14ac:dyDescent="0.3">
      <c r="A267" s="34" t="s">
        <v>216</v>
      </c>
    </row>
    <row r="268" spans="1:1" ht="20.100000000000001" customHeight="1" x14ac:dyDescent="0.3">
      <c r="A268" s="34" t="s">
        <v>217</v>
      </c>
    </row>
    <row r="269" spans="1:1" ht="20.100000000000001" customHeight="1" x14ac:dyDescent="0.3">
      <c r="A269" s="34" t="s">
        <v>218</v>
      </c>
    </row>
    <row r="270" spans="1:1" ht="20.100000000000001" customHeight="1" x14ac:dyDescent="0.3">
      <c r="A270" s="37" t="s">
        <v>219</v>
      </c>
    </row>
    <row r="271" spans="1:1" ht="20.100000000000001" customHeight="1" x14ac:dyDescent="0.3">
      <c r="A271" s="37" t="s">
        <v>220</v>
      </c>
    </row>
    <row r="272" spans="1:1" ht="20.100000000000001" customHeight="1" x14ac:dyDescent="0.3">
      <c r="A272" s="34" t="s">
        <v>221</v>
      </c>
    </row>
    <row r="273" spans="1:1" ht="20.100000000000001" customHeight="1" x14ac:dyDescent="0.3">
      <c r="A273" s="37" t="s">
        <v>222</v>
      </c>
    </row>
    <row r="274" spans="1:1" ht="20.100000000000001" customHeight="1" x14ac:dyDescent="0.3">
      <c r="A274" s="37" t="s">
        <v>223</v>
      </c>
    </row>
    <row r="275" spans="1:1" ht="20.100000000000001" customHeight="1" x14ac:dyDescent="0.3">
      <c r="A275" s="34" t="s">
        <v>224</v>
      </c>
    </row>
    <row r="276" spans="1:1" ht="20.100000000000001" customHeight="1" x14ac:dyDescent="0.3">
      <c r="A276" s="34" t="s">
        <v>225</v>
      </c>
    </row>
    <row r="277" spans="1:1" ht="20.100000000000001" customHeight="1" x14ac:dyDescent="0.3">
      <c r="A277" s="37" t="s">
        <v>226</v>
      </c>
    </row>
    <row r="278" spans="1:1" ht="20.100000000000001" customHeight="1" x14ac:dyDescent="0.3">
      <c r="A278" s="34" t="s">
        <v>227</v>
      </c>
    </row>
    <row r="279" spans="1:1" ht="20.100000000000001" customHeight="1" x14ac:dyDescent="0.3">
      <c r="A279" s="34" t="s">
        <v>228</v>
      </c>
    </row>
    <row r="280" spans="1:1" ht="20.100000000000001" customHeight="1" x14ac:dyDescent="0.3">
      <c r="A280" s="34" t="s">
        <v>229</v>
      </c>
    </row>
    <row r="281" spans="1:1" ht="20.100000000000001" customHeight="1" x14ac:dyDescent="0.3">
      <c r="A281" s="34" t="s">
        <v>230</v>
      </c>
    </row>
    <row r="282" spans="1:1" ht="20.100000000000001" customHeight="1" x14ac:dyDescent="0.3">
      <c r="A282" s="37" t="s">
        <v>231</v>
      </c>
    </row>
    <row r="283" spans="1:1" ht="20.100000000000001" customHeight="1" x14ac:dyDescent="0.3">
      <c r="A283" s="37" t="s">
        <v>232</v>
      </c>
    </row>
    <row r="284" spans="1:1" ht="20.100000000000001" customHeight="1" x14ac:dyDescent="0.3">
      <c r="A284" s="37" t="s">
        <v>233</v>
      </c>
    </row>
    <row r="285" spans="1:1" ht="20.100000000000001" customHeight="1" thickBot="1" x14ac:dyDescent="0.35">
      <c r="A285" s="34" t="s">
        <v>234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2025-10-22T20:00:56Z</dcterms:modified>
</cp:coreProperties>
</file>