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bookViews>
    <workbookView xWindow="-105" yWindow="-105" windowWidth="23250" windowHeight="12570"/>
  </bookViews>
  <sheets>
    <sheet name="قائمة التقييم" sheetId="2" r:id="rId1"/>
  </sheets>
  <definedNames>
    <definedName name="_Hlk189049083" localSheetId="0">'قائمة التقييم'!#REF!</definedName>
    <definedName name="_Hlk189049123" localSheetId="0">'قائمة التقييم'!$B$3</definedName>
    <definedName name="_xlnm.Print_Area" localSheetId="0">'قائمة التقييم'!$A$1:$J$19</definedName>
    <definedName name="_xlnm.Print_Titles" localSheetId="0">'قائمة التقييم'!$7:$7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9" i="2" l="1"/>
  <c r="H9" i="2" s="1"/>
  <c r="G10" i="2" l="1"/>
  <c r="H10" i="2" s="1"/>
  <c r="G11" i="2"/>
  <c r="H11" i="2" s="1"/>
  <c r="G12" i="2"/>
  <c r="H12" i="2" s="1"/>
  <c r="G13" i="2"/>
  <c r="H13" i="2" s="1"/>
  <c r="G14" i="2"/>
  <c r="H14" i="2" s="1"/>
  <c r="G8" i="2" l="1"/>
  <c r="H8" i="2" s="1"/>
  <c r="F15" i="2" l="1"/>
  <c r="E15" i="2" l="1"/>
  <c r="E16" i="2" l="1"/>
  <c r="E17" i="2" s="1"/>
</calcChain>
</file>

<file path=xl/sharedStrings.xml><?xml version="1.0" encoding="utf-8"?>
<sst xmlns="http://schemas.openxmlformats.org/spreadsheetml/2006/main" count="43" uniqueCount="36">
  <si>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</si>
  <si>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</si>
  <si>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</si>
  <si>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</si>
  <si>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</si>
  <si>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</si>
  <si>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</si>
  <si>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</si>
  <si>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</si>
  <si>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</si>
  <si>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(ب)</t>
  </si>
  <si>
    <t>(جـ)</t>
  </si>
  <si>
    <t>(هـ)</t>
  </si>
  <si>
    <t>( أ )</t>
  </si>
  <si>
    <t>( د )</t>
  </si>
  <si>
    <t>النسبة</t>
  </si>
  <si>
    <t>النتيجة</t>
  </si>
  <si>
    <t>( و )</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</si>
  <si>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</si>
  <si>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</si>
  <si>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</si>
  <si>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</si>
  <si>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</si>
  <si>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</si>
  <si>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أدخل اسم المحكم</t>
  </si>
  <si>
    <t>أدخل اسم قائد الوحدة الخاضعة للتقييم</t>
  </si>
  <si>
    <t>أدخل العلامة</t>
  </si>
  <si>
    <r>
      <t>ملاحظـــات:</t>
    </r>
    <r>
      <rPr>
        <sz val="12"/>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</si>
  <si>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1.    تنفيذ تحضيرات واجراءات قبل الرماية أثناء الهجوم المدبر.</t>
  </si>
  <si>
    <t>2.    استخدام مواقع رمي مموهه ومخفية بشكل جيد.</t>
  </si>
  <si>
    <t>3.    تنفيذ مهام الرمي باستخدام أقل حشوة وارتفاع.</t>
  </si>
  <si>
    <t>4.    رماية نيران مكثفة من أقسام متعددة.</t>
  </si>
  <si>
    <t>5.    عندما تصل عناصر الاقتحام إلى خط البدء المحدد، يقوم قائد القوة المقتحمة بتحويل نيران الهاون إلى مواقع عمق العدو أو مواقع إسناده، وطرق انسحابه المحتملة، ومواقع إسناده بالنيران، وطرق هجومه المعاكس المحتملة.</t>
  </si>
  <si>
    <t>6.    يتم تنفيذ الاقتحام النهائي بجميع أسلحة الرمي المباشر المتوفرة من مواقع الإسناد بالنيران ومن عناصر الاقتحام.</t>
  </si>
  <si>
    <t>7    يجب أن يكون قائد فصيل الهاون مستعداً لرماية كميات كبيرة من الذخيرة بالقرب من القوات الصديقة، وهذا يتطلب تخطيطاً مفصلاً وإشرافاً مباشراً من قبل كافة قادة وحدات الهاون.</t>
  </si>
  <si>
    <t>تقييم سرية الهاون 120 ملم في الهجوم المدبر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</si>
</sst>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10C0000]d\ mmmm\ yyyy;@"/>
  </numFmts>
  <fonts count="8"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b/>
      <u/>
      <sz val="14"/>
      <color rgb="FF000000"/>
      <name val="Arial"/>
      <family val="2"/>
    </font>
    <font>
      <b/>
      <sz val="14"/>
      <color rgb="FF000000"/>
      <name val="Arial"/>
      <family val="2"/>
    </font>
    <font>
      <b/>
      <sz val="14"/>
      <color theme="1"/>
      <name val="Arial"/>
      <family val="2"/>
    </font>
    <font>
      <sz val="12"/>
      <color rgb="FF000000"/>
      <name val="Arial"/>
      <family val="2"/>
    </font>
  </fonts>
  <fills count="4">
    <fill>
      <patternFill patternType="none"/>
    </fill>
    <fill>
      <patternFill patternType="gray125"/>
    </fill>
    <fill>
      <patternFill patternType="solid">
        <fgColor theme="0"/>
        <bgColor indexed="64"/>
      </patternFill>
    </fill>
    <fill>
      <patternFill patternType="solid">
        <fgColor theme="5" tint="0.59999389629810485"/>
        <bgColor indexed="64"/>
      </patternFill>
    </fill>
  </fills>
  <borders count="22">
    <border>
      <left/>
      <right/>
      <top/>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s>
  <cellStyleXfs count="1">
    <xf numFmtId="0" fontId="0" fillId="0" borderId="0"/>
  </cellStyleXfs>
  <cellXfs count="69">
    <xf numFmtId="0" fontId="0" fillId="0" borderId="0" xfId="0"/>
    <xf numFmtId="0" fontId="0" fillId="0" borderId="0" xfId="0" applyProtection="1">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5" fillId="0" borderId="0" xfId="0" applyFont="1" applyAlignment="1" applyProtection="1">
      <alignment vertical="center" wrapText="1" readingOrder="2"/>
      <protection locked="0"/>
    </xf>
    <xf numFmtId="0" fontId="5" fillId="0" borderId="0" xfId="0" applyFont="1" applyAlignment="1" applyProtection="1">
      <alignment horizontal="right" vertical="center" wrapText="1" readingOrder="2"/>
      <protection locked="0"/>
    </xf>
    <xf numFmtId="0" fontId="5" fillId="0" borderId="0" xfId="0" applyFont="1" applyAlignment="1" applyProtection="1">
      <alignment horizontal="center" vertical="center" wrapText="1" readingOrder="2"/>
      <protection locked="0"/>
    </xf>
    <xf numFmtId="0" fontId="2" fillId="0" borderId="2"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5" fillId="3" borderId="11" xfId="0" applyFont="1" applyFill="1" applyBorder="1" applyAlignment="1" applyProtection="1">
      <alignment horizontal="center" vertical="center" wrapText="1" readingOrder="2"/>
      <protection locked="0"/>
    </xf>
    <xf numFmtId="0" fontId="5" fillId="3" borderId="2" xfId="0" applyFont="1" applyFill="1" applyBorder="1" applyAlignment="1" applyProtection="1">
      <alignment vertical="center" wrapText="1" readingOrder="2"/>
      <protection locked="0"/>
    </xf>
    <xf numFmtId="0" fontId="3" fillId="0" borderId="2" xfId="0" applyFont="1" applyBorder="1" applyAlignment="1" applyProtection="1">
      <alignment horizontal="center" vertical="center" wrapText="1" readingOrder="2"/>
      <protection locked="0"/>
    </xf>
    <xf numFmtId="0" fontId="3" fillId="0" borderId="11" xfId="0" applyFont="1" applyBorder="1" applyAlignment="1" applyProtection="1">
      <alignment horizontal="center" vertical="center" wrapText="1" readingOrder="2"/>
      <protection locked="0"/>
    </xf>
    <xf numFmtId="0" fontId="5" fillId="3" borderId="14" xfId="0" applyFont="1" applyFill="1" applyBorder="1" applyAlignment="1" applyProtection="1">
      <alignment horizontal="center" vertical="center" wrapText="1" readingOrder="2"/>
      <protection locked="0"/>
    </xf>
    <xf numFmtId="0" fontId="2" fillId="0" borderId="17" xfId="0" applyFont="1" applyBorder="1" applyAlignment="1">
      <alignment horizontal="center" vertical="center" wrapText="1" readingOrder="2"/>
    </xf>
    <xf numFmtId="9" fontId="3" fillId="0" borderId="2" xfId="0" applyNumberFormat="1" applyFont="1" applyBorder="1" applyAlignment="1">
      <alignment horizontal="center" vertical="center" wrapText="1" readingOrder="2"/>
    </xf>
    <xf numFmtId="0" fontId="2" fillId="0" borderId="2" xfId="0" applyFont="1" applyBorder="1" applyAlignment="1">
      <alignment horizontal="center" vertical="center" wrapText="1" readingOrder="1"/>
    </xf>
    <xf numFmtId="0" fontId="2" fillId="0" borderId="3" xfId="0" applyFont="1" applyBorder="1" applyAlignment="1">
      <alignment horizontal="center" vertical="center" wrapText="1" readingOrder="2"/>
    </xf>
    <xf numFmtId="0" fontId="3" fillId="0" borderId="3" xfId="0" applyFont="1" applyBorder="1" applyAlignment="1" applyProtection="1">
      <alignment horizontal="center" vertical="center" wrapText="1" readingOrder="2"/>
      <protection locked="0"/>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2" fillId="0" borderId="11" xfId="0" applyFont="1" applyBorder="1" applyAlignment="1">
      <alignment horizontal="center" vertical="center" wrapText="1" readingOrder="2"/>
    </xf>
    <xf numFmtId="9" fontId="3" fillId="0" borderId="11" xfId="0" applyNumberFormat="1" applyFont="1" applyBorder="1" applyAlignment="1">
      <alignment horizontal="center" vertical="center" wrapText="1" readingOrder="2"/>
    </xf>
    <xf numFmtId="0" fontId="2" fillId="0" borderId="11" xfId="0" applyFont="1" applyBorder="1" applyAlignment="1">
      <alignment horizontal="center" vertical="center" wrapText="1" readingOrder="1"/>
    </xf>
    <xf numFmtId="0" fontId="7" fillId="0" borderId="4" xfId="0" applyFont="1" applyBorder="1" applyAlignment="1">
      <alignment horizontal="right" vertical="center" wrapText="1" readingOrder="2"/>
    </xf>
    <xf numFmtId="0" fontId="7" fillId="0" borderId="3" xfId="0" applyFont="1" applyBorder="1" applyAlignment="1">
      <alignment horizontal="right" vertical="center" wrapText="1" readingOrder="2"/>
    </xf>
    <xf numFmtId="0" fontId="7" fillId="0" borderId="21" xfId="0" applyFont="1" applyBorder="1" applyAlignment="1">
      <alignment horizontal="right" vertical="center" wrapText="1" readingOrder="2"/>
    </xf>
    <xf numFmtId="0" fontId="7" fillId="0" borderId="2" xfId="0" applyFont="1" applyBorder="1" applyAlignment="1">
      <alignment horizontal="right" vertical="center" wrapText="1" readingOrder="2"/>
    </xf>
    <xf numFmtId="0" fontId="7" fillId="0" borderId="10" xfId="0" applyFont="1" applyBorder="1" applyAlignment="1">
      <alignment horizontal="right" vertical="center" wrapText="1" readingOrder="2"/>
    </xf>
    <xf numFmtId="0" fontId="7" fillId="0" borderId="11" xfId="0" applyFont="1" applyBorder="1" applyAlignment="1">
      <alignment horizontal="right" vertical="center" wrapText="1" readingOrder="2"/>
    </xf>
    <xf numFmtId="0" fontId="3" fillId="0" borderId="2"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5" fillId="0" borderId="1" xfId="0" applyFont="1" applyBorder="1" applyAlignment="1" applyProtection="1">
      <alignment horizontal="left" vertical="center" wrapText="1" readingOrder="2"/>
      <protection locked="0"/>
    </xf>
    <xf numFmtId="0" fontId="5" fillId="0" borderId="0" xfId="0" applyFont="1" applyAlignment="1" applyProtection="1">
      <alignment horizontal="left" vertical="center" wrapText="1" readingOrder="2"/>
      <protection locked="0"/>
    </xf>
    <xf numFmtId="0" fontId="2" fillId="0" borderId="18" xfId="0" applyFont="1" applyBorder="1" applyAlignment="1">
      <alignment horizontal="center" vertical="center" wrapText="1" readingOrder="2"/>
    </xf>
    <xf numFmtId="0" fontId="2" fillId="0" borderId="19" xfId="0" applyFont="1" applyBorder="1" applyAlignment="1">
      <alignment horizontal="center" vertical="center" wrapText="1" readingOrder="2"/>
    </xf>
    <xf numFmtId="0" fontId="2" fillId="0" borderId="20" xfId="0" applyFont="1" applyBorder="1" applyAlignment="1">
      <alignment horizontal="center" vertical="center" wrapText="1" readingOrder="2"/>
    </xf>
    <xf numFmtId="164" fontId="5" fillId="0" borderId="2" xfId="0" applyNumberFormat="1" applyFont="1" applyBorder="1" applyAlignment="1" applyProtection="1">
      <alignment horizontal="right" vertical="center" wrapText="1" readingOrder="2"/>
      <protection locked="0"/>
    </xf>
    <xf numFmtId="0" fontId="6" fillId="3" borderId="4" xfId="0" applyFont="1" applyFill="1" applyBorder="1" applyAlignment="1" applyProtection="1">
      <alignment horizontal="center" vertical="center" wrapText="1" readingOrder="2"/>
      <protection locked="0"/>
    </xf>
    <xf numFmtId="0" fontId="6" fillId="3" borderId="3" xfId="0" applyFont="1" applyFill="1" applyBorder="1" applyAlignment="1" applyProtection="1">
      <alignment horizontal="center" vertical="center" wrapText="1" readingOrder="2"/>
      <protection locked="0"/>
    </xf>
    <xf numFmtId="0" fontId="6" fillId="3" borderId="10" xfId="0" applyFont="1" applyFill="1" applyBorder="1" applyAlignment="1" applyProtection="1">
      <alignment horizontal="center" vertical="center" wrapText="1" readingOrder="2"/>
      <protection locked="0"/>
    </xf>
    <xf numFmtId="0" fontId="6" fillId="3" borderId="11" xfId="0" applyFont="1" applyFill="1" applyBorder="1" applyAlignment="1" applyProtection="1">
      <alignment horizontal="center" vertical="center" wrapText="1" readingOrder="2"/>
      <protection locked="0"/>
    </xf>
    <xf numFmtId="0" fontId="5" fillId="0" borderId="2" xfId="0" applyFont="1" applyBorder="1" applyAlignment="1" applyProtection="1">
      <alignment horizontal="right" vertical="center" wrapText="1" readingOrder="2"/>
      <protection locked="0"/>
    </xf>
    <xf numFmtId="10" fontId="2" fillId="0" borderId="8" xfId="0" applyNumberFormat="1" applyFont="1" applyBorder="1" applyAlignment="1">
      <alignment horizontal="center" vertical="center" wrapText="1" readingOrder="2"/>
    </xf>
    <xf numFmtId="10" fontId="2" fillId="0" borderId="9" xfId="0" applyNumberFormat="1" applyFont="1" applyBorder="1" applyAlignment="1">
      <alignment horizontal="center" vertical="center" wrapText="1" readingOrder="2"/>
    </xf>
    <xf numFmtId="0" fontId="6" fillId="3" borderId="13" xfId="0" applyFont="1" applyFill="1" applyBorder="1" applyAlignment="1" applyProtection="1">
      <alignment horizontal="center" vertical="center" wrapText="1" readingOrder="2"/>
      <protection locked="0"/>
    </xf>
    <xf numFmtId="0" fontId="6" fillId="3" borderId="14" xfId="0" applyFont="1" applyFill="1" applyBorder="1" applyAlignment="1" applyProtection="1">
      <alignment horizontal="center" vertical="center" wrapText="1" readingOrder="2"/>
      <protection locked="0"/>
    </xf>
    <xf numFmtId="0" fontId="5" fillId="3" borderId="3" xfId="0" applyFont="1" applyFill="1" applyBorder="1" applyAlignment="1" applyProtection="1">
      <alignment horizontal="center" vertical="center" wrapText="1" readingOrder="2"/>
      <protection locked="0"/>
    </xf>
    <xf numFmtId="0" fontId="5" fillId="3" borderId="5" xfId="0" applyFont="1" applyFill="1" applyBorder="1" applyAlignment="1" applyProtection="1">
      <alignment horizontal="center" vertical="center" wrapText="1" readingOrder="2"/>
      <protection locked="0"/>
    </xf>
    <xf numFmtId="0" fontId="5" fillId="3" borderId="11" xfId="0" applyFont="1" applyFill="1" applyBorder="1" applyAlignment="1" applyProtection="1">
      <alignment horizontal="center" vertical="center" wrapText="1" readingOrder="2"/>
      <protection locked="0"/>
    </xf>
    <xf numFmtId="0" fontId="5" fillId="3" borderId="12" xfId="0" applyFont="1" applyFill="1" applyBorder="1" applyAlignment="1" applyProtection="1">
      <alignment horizontal="center" vertical="center" wrapText="1" readingOrder="2"/>
      <protection locked="0"/>
    </xf>
    <xf numFmtId="0" fontId="5" fillId="3" borderId="14" xfId="0" applyFont="1" applyFill="1" applyBorder="1" applyAlignment="1" applyProtection="1">
      <alignment horizontal="center" vertical="center" wrapText="1" readingOrder="2"/>
      <protection locked="0"/>
    </xf>
    <xf numFmtId="0" fontId="5" fillId="3" borderId="15" xfId="0" applyFont="1" applyFill="1" applyBorder="1" applyAlignment="1" applyProtection="1">
      <alignment horizontal="center" vertical="center" wrapText="1" readingOrder="2"/>
      <protection locked="0"/>
    </xf>
    <xf numFmtId="0" fontId="1" fillId="0" borderId="1" xfId="0" applyFont="1" applyBorder="1" applyAlignment="1" applyProtection="1">
      <alignment vertical="top" wrapText="1" readingOrder="2"/>
      <protection locked="0"/>
    </xf>
    <xf numFmtId="0" fontId="1" fillId="0" borderId="0" xfId="0" applyFont="1" applyBorder="1" applyAlignment="1" applyProtection="1">
      <alignment vertical="top" wrapText="1" readingOrder="2"/>
      <protection locked="0"/>
    </xf>
    <xf numFmtId="0" fontId="5" fillId="0" borderId="0" xfId="0" applyFont="1" applyBorder="1" applyAlignment="1" applyProtection="1">
      <alignment horizontal="right" vertical="center" wrapText="1" readingOrder="2"/>
      <protection locked="0"/>
    </xf>
    <xf numFmtId="0" fontId="5" fillId="0" borderId="0" xfId="0" applyFont="1" applyAlignment="1" applyProtection="1">
      <alignment horizontal="center" vertical="center" wrapText="1" readingOrder="2"/>
      <protection locked="0"/>
    </xf>
    <xf numFmtId="0" fontId="2" fillId="0" borderId="8" xfId="0" applyFont="1" applyBorder="1" applyAlignment="1">
      <alignment horizontal="center" vertical="center" wrapText="1" readingOrder="1"/>
    </xf>
    <xf numFmtId="0" fontId="2" fillId="0" borderId="9" xfId="0" applyFont="1" applyBorder="1" applyAlignment="1">
      <alignment horizontal="center" vertical="center" wrapText="1" readingOrder="1"/>
    </xf>
    <xf numFmtId="0" fontId="3" fillId="0" borderId="3" xfId="0" applyFont="1" applyBorder="1" applyAlignment="1" applyProtection="1">
      <alignment horizontal="center" vertical="center" wrapText="1" readingOrder="2"/>
      <protection locked="0"/>
    </xf>
    <xf numFmtId="0" fontId="3" fillId="0" borderId="5" xfId="0" applyFont="1" applyBorder="1" applyAlignment="1" applyProtection="1">
      <alignment horizontal="center" vertical="center" wrapText="1" readingOrder="2"/>
      <protection locked="0"/>
    </xf>
    <xf numFmtId="0" fontId="5" fillId="3" borderId="16" xfId="0" applyFont="1" applyFill="1" applyBorder="1" applyAlignment="1" applyProtection="1">
      <alignment horizontal="center" vertical="center" wrapText="1" readingOrder="2"/>
      <protection locked="0"/>
    </xf>
    <xf numFmtId="0" fontId="5" fillId="3" borderId="17" xfId="0" applyFont="1" applyFill="1" applyBorder="1" applyAlignment="1" applyProtection="1">
      <alignment horizontal="center" vertical="center" wrapText="1" readingOrder="2"/>
      <protection locked="0"/>
    </xf>
    <xf numFmtId="0" fontId="5" fillId="3" borderId="7" xfId="0" applyFont="1" applyFill="1" applyBorder="1" applyAlignment="1" applyProtection="1">
      <alignment horizontal="center" vertical="center" wrapText="1" readingOrder="2"/>
      <protection locked="0"/>
    </xf>
    <xf numFmtId="0" fontId="5" fillId="3" borderId="8" xfId="0" applyFont="1" applyFill="1" applyBorder="1" applyAlignment="1" applyProtection="1">
      <alignment horizontal="center" vertical="center" wrapText="1" readingOrder="2"/>
      <protection locked="0"/>
    </xf>
    <xf numFmtId="0" fontId="3" fillId="0" borderId="11"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49" fontId="4" fillId="0" borderId="0" xfId="0" applyNumberFormat="1" applyFont="1" applyAlignment="1" applyProtection="1">
      <alignment horizontal="center" vertical="center" wrapText="1" readingOrder="2"/>
      <protection locked="0"/>
    </xf>
  </cellXfs>
  <cellStyles count="1">
    <cellStyle name="Normal" xfId="0" builtinId="0"/>
  </cellStyles>
  <dxfs count="24">
    <dxf>
      <font>
        <color rgb="FFFF0000"/>
      </font>
    </dxf>
    <dxf>
      <font>
        <color rgb="FFFF0000"/>
      </font>
    </dxf>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rgb="FFFF0000"/>
      </font>
    </dxf>
    <dxf>
      <font>
        <color rgb="FFFF0000"/>
      </font>
    </dxf>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J19"/>
  <sheetViews>
    <sheetView rightToLeft="1" tabSelected="1" view="pageBreakPreview" zoomScale="130" zoomScaleNormal="100" zoomScaleSheetLayoutView="130" workbookViewId="0">
      <selection activeCell="B1" sqref="B1:J1"/>
    </sheetView>
  </sheetViews>
  <sheetFormatPr defaultColWidth="9" defaultRowHeight="15" x14ac:dyDescent="0.25"/>
  <cols>
    <col min="1" max="1" width="5.140625" style="1" customWidth="1"/>
    <col min="2" max="2" width="12.140625" style="1" customWidth="1"/>
    <col min="3" max="3" width="9" style="1"/>
    <col min="4" max="4" width="28.140625" style="1" customWidth="1"/>
    <col min="5" max="7" width="9.28515625" style="1" customWidth="1"/>
    <col min="8" max="8" width="9.28515625" style="2" customWidth="1"/>
    <col min="9" max="9" width="9.28515625" style="1" customWidth="1"/>
    <col min="10" max="10" width="15.42578125" style="1" customWidth="1"/>
    <col min="11" max="16384" width="9" style="1"/>
  </cols>
  <sheetData>
    <row r="1" spans="1:10" ht="45" customHeight="1" x14ac:dyDescent="0.25">
      <c r="B1" s="68" t="s">
        <v>35</v>
      </c>
      <c r="C1" s="68"/>
      <c r="D1" s="68"/>
      <c r="E1" s="68"/>
      <c r="F1" s="68"/>
      <c r="G1" s="68"/>
      <c r="H1" s="68"/>
      <c r="I1" s="68"/>
      <c r="J1" s="68"/>
    </row>
    <row r="2" spans="1:10" ht="30" customHeight="1" x14ac:dyDescent="0.25">
      <c r="B2" s="11" t="s">
        <v>8</v>
      </c>
      <c r="C2" s="43" t="s">
        <v>23</v>
      </c>
      <c r="D2" s="43"/>
      <c r="E2" s="11" t="s">
        <v>7</v>
      </c>
      <c r="F2" s="38" t="s">
        <v>22</v>
      </c>
      <c r="G2" s="38"/>
      <c r="H2" s="38"/>
      <c r="I2" s="38"/>
      <c r="J2" s="38"/>
    </row>
    <row r="3" spans="1:10" ht="30" customHeight="1" x14ac:dyDescent="0.25">
      <c r="B3" s="11" t="s">
        <v>9</v>
      </c>
      <c r="C3" s="43" t="s">
        <v>25</v>
      </c>
      <c r="D3" s="43"/>
      <c r="E3" s="11" t="s">
        <v>6</v>
      </c>
      <c r="F3" s="43" t="s">
        <v>24</v>
      </c>
      <c r="G3" s="43"/>
      <c r="H3" s="43"/>
      <c r="I3" s="43"/>
      <c r="J3" s="43"/>
    </row>
    <row r="4" spans="1:10" ht="30" customHeight="1" thickBot="1" x14ac:dyDescent="0.3">
      <c r="B4" s="5"/>
      <c r="C4" s="6"/>
      <c r="D4" s="6"/>
      <c r="E4" s="5"/>
      <c r="F4" s="6"/>
      <c r="G4" s="6"/>
      <c r="H4" s="7"/>
      <c r="I4" s="6"/>
      <c r="J4" s="6"/>
    </row>
    <row r="5" spans="1:10" ht="24.95" customHeight="1" x14ac:dyDescent="0.25">
      <c r="A5" s="9"/>
      <c r="B5" s="39" t="s">
        <v>0</v>
      </c>
      <c r="C5" s="40"/>
      <c r="D5" s="40"/>
      <c r="E5" s="48" t="s">
        <v>1</v>
      </c>
      <c r="F5" s="48"/>
      <c r="G5" s="48"/>
      <c r="H5" s="48"/>
      <c r="I5" s="48" t="s">
        <v>2</v>
      </c>
      <c r="J5" s="49"/>
    </row>
    <row r="6" spans="1:10" ht="24.95" customHeight="1" thickBot="1" x14ac:dyDescent="0.3">
      <c r="A6" s="9"/>
      <c r="B6" s="41"/>
      <c r="C6" s="42"/>
      <c r="D6" s="42"/>
      <c r="E6" s="10" t="s">
        <v>3</v>
      </c>
      <c r="F6" s="10" t="s">
        <v>4</v>
      </c>
      <c r="G6" s="10" t="s">
        <v>15</v>
      </c>
      <c r="H6" s="10" t="s">
        <v>16</v>
      </c>
      <c r="I6" s="50"/>
      <c r="J6" s="51"/>
    </row>
    <row r="7" spans="1:10" ht="24.95" customHeight="1" thickBot="1" x14ac:dyDescent="0.3">
      <c r="A7" s="9"/>
      <c r="B7" s="46" t="s">
        <v>13</v>
      </c>
      <c r="C7" s="47"/>
      <c r="D7" s="47"/>
      <c r="E7" s="14" t="s">
        <v>10</v>
      </c>
      <c r="F7" s="14" t="s">
        <v>11</v>
      </c>
      <c r="G7" s="14" t="s">
        <v>14</v>
      </c>
      <c r="H7" s="14" t="s">
        <v>12</v>
      </c>
      <c r="I7" s="52" t="s">
        <v>17</v>
      </c>
      <c r="J7" s="53"/>
    </row>
    <row r="8" spans="1:10" ht="30" customHeight="1" x14ac:dyDescent="0.25">
      <c r="A8" s="9"/>
      <c r="B8" s="25" t="s">
        <v>28</v>
      </c>
      <c r="C8" s="26"/>
      <c r="D8" s="26"/>
      <c r="E8" s="18">
        <v>5</v>
      </c>
      <c r="F8" s="19" t="s">
        <v>26</v>
      </c>
      <c r="G8" s="20" t="str">
        <f>IFERROR(F8/E8,"")</f>
        <v/>
      </c>
      <c r="H8" s="21" t="str">
        <f>_xlfn.IFS(F8="أدخل العلامة","",F8="لا ينطبق","تم الإلغاء",G8&gt;=90%,"ممتاز",G8&gt;=80%,"جيد جداً",G8&gt;=70%,"جيد",G8&gt;=60%,"مقبول",G8&lt;60%,"راسب")</f>
        <v/>
      </c>
      <c r="I8" s="60"/>
      <c r="J8" s="61"/>
    </row>
    <row r="9" spans="1:10" ht="30" customHeight="1" x14ac:dyDescent="0.25">
      <c r="A9" s="9"/>
      <c r="B9" s="27" t="s">
        <v>29</v>
      </c>
      <c r="C9" s="28"/>
      <c r="D9" s="28"/>
      <c r="E9" s="8">
        <v>5</v>
      </c>
      <c r="F9" s="12" t="s">
        <v>26</v>
      </c>
      <c r="G9" s="16" t="str">
        <f>IFERROR(F9/E9,"")</f>
        <v/>
      </c>
      <c r="H9" s="17" t="str">
        <f>_xlfn.IFS(F9="أدخل العلامة","",F9="لا ينطبق","تم الإلغاء",G9&gt;=90%,"ممتاز",G9&gt;=80%,"جيد جداً",G9&gt;=70%,"جيد",G9&gt;=60%,"مقبول",G9&lt;60%,"راسب")</f>
        <v/>
      </c>
      <c r="I9" s="31"/>
      <c r="J9" s="32"/>
    </row>
    <row r="10" spans="1:10" ht="30" customHeight="1" x14ac:dyDescent="0.25">
      <c r="A10" s="9"/>
      <c r="B10" s="27" t="s">
        <v>30</v>
      </c>
      <c r="C10" s="28"/>
      <c r="D10" s="28"/>
      <c r="E10" s="8">
        <v>5</v>
      </c>
      <c r="F10" s="12" t="s">
        <v>26</v>
      </c>
      <c r="G10" s="16" t="str">
        <f t="shared" ref="G10:G14" si="0">IFERROR(F10/E10,"")</f>
        <v/>
      </c>
      <c r="H10" s="17" t="str">
        <f t="shared" ref="H10:H14" si="1">_xlfn.IFS(F10="أدخل العلامة","",F10="لا ينطبق","تم الإلغاء",G10&gt;=90%,"ممتاز",G10&gt;=80%,"جيد جداً",G10&gt;=70%,"جيد",G10&gt;=60%,"مقبول",G10&lt;60%,"راسب")</f>
        <v/>
      </c>
      <c r="I10" s="31"/>
      <c r="J10" s="32"/>
    </row>
    <row r="11" spans="1:10" ht="30" customHeight="1" x14ac:dyDescent="0.25">
      <c r="A11" s="9"/>
      <c r="B11" s="27" t="s">
        <v>31</v>
      </c>
      <c r="C11" s="28"/>
      <c r="D11" s="28"/>
      <c r="E11" s="8">
        <v>5</v>
      </c>
      <c r="F11" s="12" t="s">
        <v>26</v>
      </c>
      <c r="G11" s="16" t="str">
        <f t="shared" si="0"/>
        <v/>
      </c>
      <c r="H11" s="17" t="str">
        <f t="shared" si="1"/>
        <v/>
      </c>
      <c r="I11" s="31"/>
      <c r="J11" s="32"/>
    </row>
    <row r="12" spans="1:10" ht="50.1" customHeight="1" x14ac:dyDescent="0.25">
      <c r="A12" s="9"/>
      <c r="B12" s="27" t="s">
        <v>32</v>
      </c>
      <c r="C12" s="28"/>
      <c r="D12" s="28"/>
      <c r="E12" s="8">
        <v>5</v>
      </c>
      <c r="F12" s="12" t="s">
        <v>26</v>
      </c>
      <c r="G12" s="16" t="str">
        <f t="shared" si="0"/>
        <v/>
      </c>
      <c r="H12" s="17" t="str">
        <f t="shared" si="1"/>
        <v/>
      </c>
      <c r="I12" s="31"/>
      <c r="J12" s="32"/>
    </row>
    <row r="13" spans="1:10" ht="50.1" customHeight="1" x14ac:dyDescent="0.25">
      <c r="A13" s="9"/>
      <c r="B13" s="27" t="s">
        <v>33</v>
      </c>
      <c r="C13" s="28"/>
      <c r="D13" s="28"/>
      <c r="E13" s="8">
        <v>5</v>
      </c>
      <c r="F13" s="12" t="s">
        <v>26</v>
      </c>
      <c r="G13" s="16" t="str">
        <f t="shared" si="0"/>
        <v/>
      </c>
      <c r="H13" s="17" t="str">
        <f t="shared" si="1"/>
        <v/>
      </c>
      <c r="I13" s="31"/>
      <c r="J13" s="32"/>
    </row>
    <row r="14" spans="1:10" ht="50.1" customHeight="1" thickBot="1" x14ac:dyDescent="0.3">
      <c r="A14" s="9"/>
      <c r="B14" s="29" t="s">
        <v>34</v>
      </c>
      <c r="C14" s="30"/>
      <c r="D14" s="30"/>
      <c r="E14" s="22">
        <v>5</v>
      </c>
      <c r="F14" s="13" t="s">
        <v>26</v>
      </c>
      <c r="G14" s="23" t="str">
        <f t="shared" si="0"/>
        <v/>
      </c>
      <c r="H14" s="24" t="str">
        <f t="shared" si="1"/>
        <v/>
      </c>
      <c r="I14" s="66"/>
      <c r="J14" s="67"/>
    </row>
    <row r="15" spans="1:10" ht="30" customHeight="1" thickBot="1" x14ac:dyDescent="0.3">
      <c r="A15" s="3"/>
      <c r="B15" s="62" t="s">
        <v>5</v>
      </c>
      <c r="C15" s="63"/>
      <c r="D15" s="63"/>
      <c r="E15" s="15">
        <f>SUM(E8:E14)</f>
        <v>35</v>
      </c>
      <c r="F15" s="15">
        <f>SUM(F8:F14)</f>
        <v>0</v>
      </c>
      <c r="G15" s="35"/>
      <c r="H15" s="36"/>
      <c r="I15" s="36"/>
      <c r="J15" s="37"/>
    </row>
    <row r="16" spans="1:10" ht="30" customHeight="1" thickBot="1" x14ac:dyDescent="0.3">
      <c r="A16" s="3"/>
      <c r="B16" s="64" t="s">
        <v>20</v>
      </c>
      <c r="C16" s="65"/>
      <c r="D16" s="65"/>
      <c r="E16" s="44">
        <f>F15/E15/100*100</f>
        <v>0</v>
      </c>
      <c r="F16" s="44"/>
      <c r="G16" s="44"/>
      <c r="H16" s="44"/>
      <c r="I16" s="44"/>
      <c r="J16" s="45"/>
    </row>
    <row r="17" spans="1:10" ht="30" customHeight="1" thickBot="1" x14ac:dyDescent="0.3">
      <c r="A17" s="3"/>
      <c r="B17" s="64" t="s">
        <v>21</v>
      </c>
      <c r="C17" s="65"/>
      <c r="D17" s="65"/>
      <c r="E17" s="58" t="str">
        <f>_xlfn.IFS(E16&gt;=90%,"ممتاز",E16&gt;=80%,"جيد جداً",E16&gt;=70%,"جيد",E16&gt;=60%,"مقبول",E16&lt;60%,"راسب")</f>
        <v>راسب</v>
      </c>
      <c r="F17" s="58"/>
      <c r="G17" s="58"/>
      <c r="H17" s="58"/>
      <c r="I17" s="58"/>
      <c r="J17" s="59"/>
    </row>
    <row r="18" spans="1:10" ht="42" customHeight="1" x14ac:dyDescent="0.25">
      <c r="B18" s="54" t="s">
        <v>27</v>
      </c>
      <c r="C18" s="54"/>
      <c r="D18" s="54"/>
      <c r="E18" s="33" t="s">
        <v>18</v>
      </c>
      <c r="F18" s="33"/>
      <c r="G18" s="56" t="s">
        <v>24</v>
      </c>
      <c r="H18" s="56"/>
      <c r="I18" s="56"/>
      <c r="J18" s="56"/>
    </row>
    <row r="19" spans="1:10" ht="51" customHeight="1" x14ac:dyDescent="0.25">
      <c r="A19" s="4"/>
      <c r="B19" s="55"/>
      <c r="C19" s="55"/>
      <c r="D19" s="55"/>
      <c r="E19" s="34" t="s">
        <v>19</v>
      </c>
      <c r="F19" s="34"/>
      <c r="G19" s="57"/>
      <c r="H19" s="57"/>
      <c r="I19" s="57"/>
      <c r="J19" s="57"/>
    </row>
  </sheetData>
  <sheetProtection sheet="1" formatCells="0" formatColumns="0" formatRows="0" insertColumns="0" insertRows="0" insertHyperlinks="0" deleteColumns="0" deleteRows="0" selectLockedCells="1" sort="0" autoFilter="0" pivotTables="0"/>
  <mergeCells count="35">
    <mergeCell ref="I13:J13"/>
    <mergeCell ref="I14:J14"/>
    <mergeCell ref="B7:D7"/>
    <mergeCell ref="E5:H5"/>
    <mergeCell ref="I5:J6"/>
    <mergeCell ref="I7:J7"/>
    <mergeCell ref="I10:J10"/>
    <mergeCell ref="I8:J8"/>
    <mergeCell ref="B1:J1"/>
    <mergeCell ref="F2:J2"/>
    <mergeCell ref="B5:D6"/>
    <mergeCell ref="C2:D2"/>
    <mergeCell ref="C3:D3"/>
    <mergeCell ref="F3:J3"/>
    <mergeCell ref="B13:D13"/>
    <mergeCell ref="B14:D14"/>
    <mergeCell ref="I9:J9"/>
    <mergeCell ref="E18:F18"/>
    <mergeCell ref="E19:F19"/>
    <mergeCell ref="G15:J15"/>
    <mergeCell ref="E16:J16"/>
    <mergeCell ref="B18:D19"/>
    <mergeCell ref="G18:J18"/>
    <mergeCell ref="G19:J19"/>
    <mergeCell ref="E17:J17"/>
    <mergeCell ref="B15:D15"/>
    <mergeCell ref="B16:D16"/>
    <mergeCell ref="B17:D17"/>
    <mergeCell ref="I11:J11"/>
    <mergeCell ref="I12:J12"/>
    <mergeCell ref="B8:D8"/>
    <mergeCell ref="B9:D9"/>
    <mergeCell ref="B10:D10"/>
    <mergeCell ref="B11:D11"/>
    <mergeCell ref="B12:D12"/>
  </mergeCells>
  <conditionalFormatting sqref="E17">
    <cfRule type="expression" dxfId="23" priority="57">
      <formula>$E17="راسب"</formula>
    </cfRule>
  </conditionalFormatting>
  <conditionalFormatting sqref="E17:J17">
    <cfRule type="expression" dxfId="22" priority="58">
      <formula>$E17="مقبول"</formula>
    </cfRule>
    <cfRule type="expression" dxfId="21" priority="59">
      <formula>$E17="جيد"</formula>
    </cfRule>
    <cfRule type="expression" dxfId="20" priority="60">
      <formula>$E17="جيد جداً"</formula>
    </cfRule>
    <cfRule type="expression" dxfId="19" priority="61">
      <formula>$E17="ممتاز"</formula>
    </cfRule>
  </conditionalFormatting>
  <conditionalFormatting sqref="H8 H10:H14">
    <cfRule type="containsText" dxfId="18" priority="39" operator="containsText" text="ممتاز">
      <formula>NOT(ISERROR(SEARCH("ممتاز",H8)))</formula>
    </cfRule>
    <cfRule type="containsText" dxfId="17" priority="40" operator="containsText" text="جيد جداً">
      <formula>NOT(ISERROR(SEARCH("جيد جداً",H8)))</formula>
    </cfRule>
    <cfRule type="containsText" dxfId="16" priority="41" operator="containsText" text="جيد">
      <formula>NOT(ISERROR(SEARCH("جيد",H8)))</formula>
    </cfRule>
    <cfRule type="containsText" dxfId="15" priority="42" operator="containsText" text="مقبول">
      <formula>NOT(ISERROR(SEARCH("مقبول",H8)))</formula>
    </cfRule>
    <cfRule type="containsText" dxfId="14" priority="43" operator="containsText" text="راسب">
      <formula>NOT(ISERROR(SEARCH("راسب",H8)))</formula>
    </cfRule>
  </conditionalFormatting>
  <conditionalFormatting sqref="H8 H10:H14">
    <cfRule type="containsText" dxfId="13" priority="38" operator="containsText" text="أدخل العلامة">
      <formula>NOT(ISERROR(SEARCH("أدخل العلامة",H8)))</formula>
    </cfRule>
  </conditionalFormatting>
  <conditionalFormatting sqref="F2:J2">
    <cfRule type="containsText" dxfId="12" priority="19" operator="containsText" text="أدخل التاريخ">
      <formula>NOT(ISERROR(SEARCH("أدخل التاريخ",F2)))</formula>
    </cfRule>
  </conditionalFormatting>
  <conditionalFormatting sqref="C2:D2">
    <cfRule type="containsText" dxfId="11" priority="18" operator="containsText" text="أدخل الوحدة الخاضعة للتقييم">
      <formula>NOT(ISERROR(SEARCH("أدخل الوحدة الخاضعة للتقييم",C2)))</formula>
    </cfRule>
  </conditionalFormatting>
  <conditionalFormatting sqref="C3:D3">
    <cfRule type="containsText" dxfId="10" priority="17" operator="containsText" text="أدخل أسم قائد الوحدة الخاضعة للتقييم">
      <formula>NOT(ISERROR(SEARCH("أدخل أسم قائد الوحدة الخاضعة للتقييم",C3)))</formula>
    </cfRule>
  </conditionalFormatting>
  <conditionalFormatting sqref="F3:J3">
    <cfRule type="containsText" dxfId="9" priority="16" operator="containsText" text="أدخل أسم المحكم">
      <formula>NOT(ISERROR(SEARCH("أدخل أسم المحكم",F3)))</formula>
    </cfRule>
  </conditionalFormatting>
  <conditionalFormatting sqref="G18:J18">
    <cfRule type="containsText" dxfId="8" priority="15" operator="containsText" text="أدخل اسم المحكم">
      <formula>NOT(ISERROR(SEARCH("أدخل اسم المحكم",G18)))</formula>
    </cfRule>
  </conditionalFormatting>
  <conditionalFormatting sqref="F8 F10:F14">
    <cfRule type="containsText" dxfId="7" priority="14" operator="containsText" text="أدخل العلامة">
      <formula>NOT(ISERROR(SEARCH("أدخل العلامة",F8)))</formula>
    </cfRule>
  </conditionalFormatting>
  <conditionalFormatting sqref="H9">
    <cfRule type="containsText" dxfId="6" priority="6" operator="containsText" text="ممتاز">
      <formula>NOT(ISERROR(SEARCH("ممتاز",H9)))</formula>
    </cfRule>
    <cfRule type="containsText" dxfId="5" priority="7" operator="containsText" text="جيد جداً">
      <formula>NOT(ISERROR(SEARCH("جيد جداً",H9)))</formula>
    </cfRule>
    <cfRule type="containsText" dxfId="4" priority="8" operator="containsText" text="جيد">
      <formula>NOT(ISERROR(SEARCH("جيد",H9)))</formula>
    </cfRule>
    <cfRule type="containsText" dxfId="3" priority="9" operator="containsText" text="مقبول">
      <formula>NOT(ISERROR(SEARCH("مقبول",H9)))</formula>
    </cfRule>
    <cfRule type="containsText" dxfId="2" priority="10" operator="containsText" text="راسب">
      <formula>NOT(ISERROR(SEARCH("راسب",H9)))</formula>
    </cfRule>
  </conditionalFormatting>
  <conditionalFormatting sqref="H9">
    <cfRule type="containsText" dxfId="1" priority="5" operator="containsText" text="أدخل العلامة">
      <formula>NOT(ISERROR(SEARCH("أدخل العلامة",H9)))</formula>
    </cfRule>
  </conditionalFormatting>
  <conditionalFormatting sqref="F9">
    <cfRule type="containsText" dxfId="0" priority="4" operator="containsText" text="أدخل العلامة">
      <formula>NOT(ISERROR(SEARCH("أدخل العلامة",F9)))</formula>
    </cfRule>
  </conditionalFormatting>
  <printOptions horizontalCentered="1"/>
  <pageMargins left="0.70866141732283472" right="0.70866141732283472" top="0.74803149606299213" bottom="0.74803149606299213" header="0.31496062992125984" footer="0.31496062992125984"/>
  <pageSetup paperSize="9" scale="75" fitToHeight="0" orientation="portrait" r:id="rId1"/>
  <headerFooter>
    <oddHeader>&amp;C&amp;"-,Bold"&amp;12&amp;Uسري للغاية</oddHeader>
    <oddFooter>&amp;C&amp;"-,Bold"&amp;P&amp;"-,Regular"
&amp;"-,Bold"&amp;Uسري للغاية</oddFooter>
  </headerFooter>
  <extLst>
    <ext xmlns:x14="http://schemas.microsoft.com/office/spreadsheetml/2009/9/main" uri="{CCE6A557-97BC-4b89-ADB6-D9C93CAAB3DF}">
      <x14:dataValidations xmlns:xm="http://schemas.microsoft.com/office/excel/2006/main" count="5">
        <x14:dataValidation type="list" allowBlank="1" showInputMessage="1" showErrorMessage="1">
          <x14:formula1>
            <xm:f>#REF!</xm:f>
          </x14:formula1>
          <xm:sqref>F2:J2</xm:sqref>
        </x14:dataValidation>
        <x14:dataValidation type="list" allowBlank="1" showInputMessage="1" showErrorMessage="1">
          <x14:formula1>
            <xm:f>#REF!</xm:f>
          </x14:formula1>
          <xm:sqref>C2:D2</xm:sqref>
        </x14:dataValidation>
        <x14:dataValidation type="list" allowBlank="1" showInputMessage="1" showErrorMessage="1">
          <x14:formula1>
            <xm:f>#REF!</xm:f>
          </x14:formula1>
          <xm:sqref>F8:F14</xm:sqref>
        </x14:dataValidation>
        <x14:dataValidation type="list" allowBlank="1" showInputMessage="1" showErrorMessage="1">
          <x14:formula1>
            <xm:f>#REF!</xm:f>
          </x14:formula1>
          <xm:sqref>G18:J18 F3:J3</xm:sqref>
        </x14:dataValidation>
        <x14:dataValidation type="list" allowBlank="1" showInputMessage="1" showErrorMessage="1">
          <x14:formula1>
            <xm:f>#REF!</xm:f>
          </x14:formula1>
          <xm:sqref>C3:D3</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قائمة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2026-08-30T05:16:01Z</dcterms:modified>
</cp:coreProperties>
</file>