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D036B46-0EC5-44A8-9E11-3E29928FD4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8" i="2"/>
  <c r="H8" i="2"/>
  <c r="F31" i="2"/>
  <c r="E31" i="2"/>
  <c r="E32" i="2"/>
  <c r="E33" i="2"/>
</calcChain>
</file>

<file path=xl/sharedStrings.xml><?xml version="1.0" encoding="utf-8"?>
<sst xmlns="http://schemas.openxmlformats.org/spreadsheetml/2006/main" count="261" uniqueCount="204">
  <si>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</si>
  <si>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</si>
  <si>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</si>
  <si>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</si>
  <si>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</si>
  <si>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</si>
  <si>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</si>
  <si>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</si>
  <si>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</si>
  <si>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</si>
  <si>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</si>
  <si>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</si>
  <si>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</si>
  <si>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</si>
  <si>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</si>
  <si>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</si>
  <si>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</si>
  <si>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</si>
  <si>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</si>
  <si>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</si>
  <si>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</si>
  <si>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</si>
  <si>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</si>
  <si>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</si>
  <si>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</si>
  <si>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</si>
  <si>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</si>
  <si>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</si>
  <si>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</si>
  <si>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</si>
  <si>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</si>
  <si>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</si>
  <si>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</si>
  <si>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</si>
  <si>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</si>
  <si>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</si>
  <si>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</si>
  <si>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</si>
  <si>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</si>
  <si>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</si>
  <si>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</si>
  <si>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</si>
  <si>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</si>
  <si>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</si>
  <si>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</si>
  <si>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</si>
  <si>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</si>
  <si>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</si>
  <si>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</si>
  <si>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</si>
  <si>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</si>
  <si>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</si>
  <si>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</si>
  <si>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</si>
  <si>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</si>
  <si>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</si>
  <si>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</si>
  <si>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</si>
  <si>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</si>
  <si>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</si>
  <si>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</si>
  <si>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</si>
  <si>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</si>
  <si>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</si>
  <si>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</si>
  <si>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</si>
  <si>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</si>
  <si>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</si>
  <si>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</si>
  <si>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</si>
  <si>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</si>
  <si>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</si>
  <si>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</si>
  <si>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</si>
  <si>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</si>
  <si>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</si>
  <si>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</si>
  <si>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</si>
  <si>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</si>
  <si>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</si>
  <si>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</si>
  <si>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</si>
  <si>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</si>
  <si>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</si>
  <si>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</si>
  <si>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</si>
  <si>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</si>
  <si>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</si>
  <si>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</si>
  <si>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</si>
  <si>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</si>
  <si>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</si>
  <si>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</si>
  <si>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</si>
  <si>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</si>
  <si>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</si>
  <si>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</si>
  <si>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</si>
  <si>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</si>
  <si>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</si>
  <si>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</si>
  <si>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</si>
  <si>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</si>
  <si>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</si>
  <si>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</si>
  <si>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</si>
  <si>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</si>
  <si>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</si>
  <si>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</si>
  <si>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</si>
  <si>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</si>
  <si>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</si>
  <si>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</si>
  <si>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</si>
  <si>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</si>
  <si>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</si>
  <si>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</si>
  <si>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</si>
  <si>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</si>
  <si>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</si>
  <si>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</si>
  <si>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</si>
  <si>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</si>
  <si>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</si>
  <si>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</si>
  <si>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</si>
  <si>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</si>
  <si>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</si>
  <si>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</si>
  <si>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</si>
  <si>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</si>
  <si>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</si>
  <si>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</si>
  <si>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</si>
  <si>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</si>
  <si>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</si>
  <si>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</si>
  <si>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</si>
  <si>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</si>
  <si>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</si>
  <si>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</si>
  <si>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</si>
  <si>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</si>
  <si>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</si>
  <si>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</si>
  <si>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</si>
  <si>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</si>
  <si>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</si>
  <si>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</si>
  <si>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</si>
  <si>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</si>
  <si>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</si>
  <si>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</si>
  <si>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</si>
  <si>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</si>
  <si>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</si>
  <si>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</si>
  <si>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</si>
  <si>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</si>
  <si>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</si>
  <si>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</si>
  <si>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</si>
  <si>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</si>
  <si>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</si>
  <si>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</si>
  <si>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</si>
  <si>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</si>
  <si>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</si>
  <si>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</si>
  <si>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</si>
  <si>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</si>
  <si>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</si>
  <si>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</si>
  <si>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</si>
  <si>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</si>
  <si>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</si>
  <si>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</si>
  <si>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</si>
  <si>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</si>
  <si>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</si>
  <si>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توضيع وتوزيع وحدات الإسناد في المنطقة الإدارية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</si>
  <si>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تأسيس مركز السيطرة الخلفي.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</si>
  <si>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تأسيس قيادة كتيبة الإسناد.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</si>
  <si>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تأسيس قيادة سرية التموين والنقل.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</si>
  <si>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تأسيس قيادة سرية الصيانة.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</si>
  <si>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تأسيس قيادة السرية الطبية.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</si>
  <si>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فتح نقطة الصنف الأول (مواد الإعاشة).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</si>
  <si>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فتح نقطة الصنف الثاني (اللباس والمعدات الشخصية).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</si>
  <si>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فتح نقطة الصنف الثالث (الوقود والزيوت والمواد البترولية).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</si>
  <si>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فتح نقطة الصنف الرابع (المواد الهندسية).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</si>
  <si>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فتح نقطة تكديس ونقل مواد الصنف الخامس (الذخيرة).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</si>
  <si>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فتح نقطة الصنف السابع (المواد النهائية الرئيسة المحدودة).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</si>
  <si>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فتح نقطة الصنف الثامن (اللوازم الطبية).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</si>
  <si>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فتح نقطة الصنف التاسع (قطع الغيار).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</si>
  <si>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فتح نقطة المياه.</t>
    </r>
  </si>
  <si>
    <r>
      <t>15.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تأسيس ورشة سرية الصيانة.</t>
    </r>
  </si>
  <si>
    <r>
      <t>16.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فتح نقطة تجميع وإنقاذ المعدات.</t>
    </r>
  </si>
  <si>
    <r>
      <t>17.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فتح محطة التطهير الطبي.</t>
    </r>
  </si>
  <si>
    <r>
      <t>18.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توضيع عناصر إسناد الهندسة.</t>
    </r>
  </si>
  <si>
    <r>
      <t>19.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توضيع فصيل الشرطة العسكرية.</t>
    </r>
  </si>
  <si>
    <r>
      <t>20.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توضيع عناصر إسناد الدفاع الجوي.</t>
    </r>
  </si>
  <si>
    <r>
      <t>21.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فتح نقطة تجميع أسرى العدو.</t>
    </r>
  </si>
  <si>
    <r>
      <t>22.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توضيع عناصر مقر القيادة وعناصر إسناد الإشارة.</t>
    </r>
  </si>
  <si>
    <r>
      <t>23.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توفير الإسناد الإداري واللوجستي لمركز قيادة المنطقة الإدارية من قبل سرية القيادة في مجموعة اللواء.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</si>
</sst>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3" xfId="0" applyFont="1" applyBorder="1" applyAlignment="1">
      <alignment horizontal="center" vertical="center" wrapText="1" readingOrder="2"/>
    </xf>
    <xf numFmtId="0" fontId="6" fillId="0" borderId="20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12" fillId="0" borderId="1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30240</xdr:rowOff>
    </xdr:from>
    <xdr:to>
      <xdr:col>8</xdr:col>
      <xdr:colOff>165927</xdr:colOff>
      <xdr:row>34</xdr:row>
      <xdr:rowOff>372540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E45A2E1-4692-45F3-95A1-E215E93477AD}"/>
                </a:ext>
              </a:extLst>
            </xdr14:cNvPr>
            <xdr14:cNvContentPartPr/>
          </xdr14:nvContentPartPr>
          <xdr14:nvPr macro=""/>
          <xdr14:xfrm>
            <a:off x="10079101150" y="13242148"/>
            <a:ext cx="1443742" cy="3423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AFF1E90-891A-4B81-3182-3D2C91C2A6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66073421" y="11063880"/>
              <a:ext cx="1523880" cy="50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404327</xdr:colOff>
      <xdr:row>34</xdr:row>
      <xdr:rowOff>125280</xdr:rowOff>
    </xdr:from>
    <xdr:to>
      <xdr:col>9</xdr:col>
      <xdr:colOff>475259</xdr:colOff>
      <xdr:row>34</xdr:row>
      <xdr:rowOff>383401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DB443A2-FE9E-4615-BA56-D6C0CA559E41}"/>
                </a:ext>
              </a:extLst>
            </xdr14:cNvPr>
            <xdr14:cNvContentPartPr/>
          </xdr14:nvContentPartPr>
          <xdr14:nvPr macro=""/>
          <xdr14:xfrm>
            <a:off x="10078152910" y="13337188"/>
            <a:ext cx="1987655" cy="258121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9A15F93-76FD-0F98-F9F8-BF3C7BB33A6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65125181" y="11158560"/>
              <a:ext cx="2046960" cy="51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200207</xdr:colOff>
      <xdr:row>34</xdr:row>
      <xdr:rowOff>0</xdr:rowOff>
    </xdr:from>
    <xdr:to>
      <xdr:col>9</xdr:col>
      <xdr:colOff>428459</xdr:colOff>
      <xdr:row>36</xdr:row>
      <xdr:rowOff>22301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AD297AFD-9732-4176-B8E9-E69FEC037C20}"/>
                </a:ext>
              </a:extLst>
            </xdr14:cNvPr>
            <xdr14:cNvContentPartPr/>
          </xdr14:nvContentPartPr>
          <xdr14:nvPr macro=""/>
          <xdr14:xfrm>
            <a:off x="10078199710" y="13211908"/>
            <a:ext cx="2144975" cy="854639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8874EA8-913C-204F-4CB6-47B5B411E50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65171981" y="11033640"/>
              <a:ext cx="2204280" cy="771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21:11:23.6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3416 428,'0'0,"0"0,0 0,0 0,0 0,0 0,0 0,0 0,0 0,0 0,0 0,0 0,0 0,0-9,0 5,0 0,0-12,-5 7,0 2,5-17,0 15,0 2,-11-18,4 9,2 1,-6-10,11 8,0 2,-9-9,1 11,4 2,-7-13,11 15,0 1,-12-8,8 4,-1 0,5-12,-7 20,2 0,5-12,0 12,0 0,0-4,5 3,2 2,0-3,-5 4,21-6,-11 8,-3 0,14-8,-7 8,0 0,17 0,-8 0,-7 0,28 8,-15-8,-8 0,21 8,-15-8,-4 0,19 8,-20-4,-3 0,22 4,-27-4,2 0,26 4,-34-4,1 0,21 4,-20-3,-1-2,2 6,-10-5,5-1,-8 6,0-1,0-1,-11 2,-2-1,2 0,-33 8,10 1,3-2,-67 17,26-10,12-3,-94 28,47-25,15-3,-127 37,94-30,20-3,-149 25,114-21,17-5,-163 26,121-17,24-5,-189 22,146-18,28-4,-185 38,150-33,32-5,-205 38,364-64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21:11:23.6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5522 0,'0'0,"0"0,0 0,0 0,0 0,0 0,0 0,0 0,0 0,-12 0,9 0,-27 6,-60 0,62-5,-78 4,-52 13,111-13,-129 8,-117 16,202-19,-176 11,-138 27,282-33,-190 24,-81 15,276-37,-190 27,-1837 280,1731-262,828-124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21:11:23.6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2537 653,'0'0,"0"0,0 0,0 0,0 0,0 0,0 0,0 0,0 0,0 0,0 0,0 0,-12 0,10 0,-28 0,-51 0,58 0,-76 14,-59-14,111 0,-86 0,-70-14,142 11,-113-19,-96-4,186 18,-113-35,-50-23,169 45,-57-35,-44-22,123 53,-34-28,0 1,62 36,-1-7,6-30,16 37,94-19,48 9,-93 17,107 6,86-11,-159 10,117 22,77-18,-186 0,136 12,139 27,-246-27,112 40,88 27,-214-55,119 42,74 51,-203-80,124 70,91 87,-210-132,69 58,1489 1074,-1319-954,-666-480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5"/>
  <sheetViews>
    <sheetView rightToLeft="1" tabSelected="1" view="pageBreakPreview" topLeftCell="C1" zoomScale="130" zoomScaleNormal="100" zoomScaleSheetLayoutView="130" workbookViewId="0">
      <selection activeCell="F3" sqref="F3:J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1" t="s">
        <v>180</v>
      </c>
      <c r="C1" s="51"/>
      <c r="D1" s="51"/>
      <c r="E1" s="51"/>
      <c r="F1" s="51"/>
      <c r="G1" s="51"/>
      <c r="H1" s="51"/>
      <c r="I1" s="51"/>
      <c r="J1" s="51"/>
    </row>
    <row r="2" spans="1:10" ht="30" customHeight="1" x14ac:dyDescent="0.3">
      <c r="B2" s="15" t="s">
        <v>8</v>
      </c>
      <c r="C2" s="57" t="s">
        <v>30</v>
      </c>
      <c r="D2" s="57"/>
      <c r="E2" s="15" t="s">
        <v>7</v>
      </c>
      <c r="F2" s="52" t="s">
        <v>56</v>
      </c>
      <c r="G2" s="52"/>
      <c r="H2" s="52"/>
      <c r="I2" s="52"/>
      <c r="J2" s="52"/>
    </row>
    <row r="3" spans="1:10" ht="30" customHeight="1" x14ac:dyDescent="0.3">
      <c r="B3" s="15" t="s">
        <v>9</v>
      </c>
      <c r="C3" s="57" t="s">
        <v>66</v>
      </c>
      <c r="D3" s="57"/>
      <c r="E3" s="15" t="s">
        <v>6</v>
      </c>
      <c r="F3" s="57" t="s">
        <v>91</v>
      </c>
      <c r="G3" s="57"/>
      <c r="H3" s="57"/>
      <c r="I3" s="57"/>
      <c r="J3" s="57"/>
    </row>
    <row r="4" spans="1:10" ht="30" customHeight="1" thickBot="1" x14ac:dyDescent="0.35">
      <c r="B4" s="6"/>
      <c r="C4" s="33"/>
      <c r="D4" s="33"/>
      <c r="E4" s="6"/>
      <c r="F4" s="33"/>
      <c r="G4" s="33"/>
      <c r="H4" s="33"/>
      <c r="I4" s="33"/>
      <c r="J4" s="33"/>
    </row>
    <row r="5" spans="1:10" ht="24.9" customHeight="1" x14ac:dyDescent="0.3">
      <c r="A5" s="12"/>
      <c r="B5" s="53" t="s">
        <v>0</v>
      </c>
      <c r="C5" s="54"/>
      <c r="D5" s="54"/>
      <c r="E5" s="62" t="s">
        <v>1</v>
      </c>
      <c r="F5" s="62"/>
      <c r="G5" s="62"/>
      <c r="H5" s="62"/>
      <c r="I5" s="62" t="s">
        <v>2</v>
      </c>
      <c r="J5" s="63"/>
    </row>
    <row r="6" spans="1:10" ht="24.9" customHeight="1" thickBot="1" x14ac:dyDescent="0.35">
      <c r="A6" s="12"/>
      <c r="B6" s="55"/>
      <c r="C6" s="56"/>
      <c r="D6" s="56"/>
      <c r="E6" s="13" t="s">
        <v>3</v>
      </c>
      <c r="F6" s="13" t="s">
        <v>4</v>
      </c>
      <c r="G6" s="13" t="s">
        <v>23</v>
      </c>
      <c r="H6" s="13" t="s">
        <v>24</v>
      </c>
      <c r="I6" s="64"/>
      <c r="J6" s="65"/>
    </row>
    <row r="7" spans="1:10" ht="24.9" customHeight="1" thickBot="1" x14ac:dyDescent="0.35">
      <c r="A7" s="12"/>
      <c r="B7" s="60" t="s">
        <v>21</v>
      </c>
      <c r="C7" s="61"/>
      <c r="D7" s="61"/>
      <c r="E7" s="14" t="s">
        <v>18</v>
      </c>
      <c r="F7" s="14" t="s">
        <v>19</v>
      </c>
      <c r="G7" s="14" t="s">
        <v>22</v>
      </c>
      <c r="H7" s="14" t="s">
        <v>20</v>
      </c>
      <c r="I7" s="37" t="s">
        <v>25</v>
      </c>
      <c r="J7" s="66"/>
    </row>
    <row r="8" spans="1:10" ht="30" customHeight="1" x14ac:dyDescent="0.3">
      <c r="A8" s="12"/>
      <c r="B8" s="68" t="s">
        <v>181</v>
      </c>
      <c r="C8" s="68"/>
      <c r="D8" s="68"/>
      <c r="E8" s="30">
        <v>10</v>
      </c>
      <c r="F8" s="8">
        <v>7</v>
      </c>
      <c r="G8" s="9">
        <f>IFERROR(F8/E8,"")</f>
        <v>0.7</v>
      </c>
      <c r="H8" s="7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34"/>
      <c r="J8" s="35"/>
    </row>
    <row r="9" spans="1:10" ht="30" customHeight="1" x14ac:dyDescent="0.3">
      <c r="A9" s="12"/>
      <c r="B9" s="67" t="s">
        <v>182</v>
      </c>
      <c r="C9" s="67"/>
      <c r="D9" s="67"/>
      <c r="E9" s="31">
        <v>10</v>
      </c>
      <c r="F9" s="22">
        <v>7.5</v>
      </c>
      <c r="G9" s="9">
        <f>IFERROR(F9/E9,"")</f>
        <v>0.75</v>
      </c>
      <c r="H9" s="7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4"/>
      <c r="J9" s="35"/>
    </row>
    <row r="10" spans="1:10" ht="30" customHeight="1" x14ac:dyDescent="0.3">
      <c r="A10" s="12"/>
      <c r="B10" s="67" t="s">
        <v>183</v>
      </c>
      <c r="C10" s="67"/>
      <c r="D10" s="67"/>
      <c r="E10" s="31">
        <v>10</v>
      </c>
      <c r="F10" s="11">
        <v>8</v>
      </c>
      <c r="G10" s="9">
        <f t="shared" ref="G10:G30" si="0">IFERROR(F10/E10,"")</f>
        <v>0.8</v>
      </c>
      <c r="H10" s="7" t="str">
        <f t="shared" ref="H10:H30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38"/>
      <c r="J10" s="39"/>
    </row>
    <row r="11" spans="1:10" ht="30" customHeight="1" x14ac:dyDescent="0.3">
      <c r="A11" s="12"/>
      <c r="B11" s="67" t="s">
        <v>184</v>
      </c>
      <c r="C11" s="67"/>
      <c r="D11" s="67"/>
      <c r="E11" s="31">
        <v>10</v>
      </c>
      <c r="F11" s="11">
        <v>7.75</v>
      </c>
      <c r="G11" s="9">
        <f t="shared" si="0"/>
        <v>0.77500000000000002</v>
      </c>
      <c r="H11" s="7" t="str">
        <f t="shared" si="1"/>
        <v>جيد</v>
      </c>
      <c r="I11" s="38"/>
      <c r="J11" s="39"/>
    </row>
    <row r="12" spans="1:10" ht="30" customHeight="1" x14ac:dyDescent="0.3">
      <c r="A12" s="12"/>
      <c r="B12" s="67" t="s">
        <v>185</v>
      </c>
      <c r="C12" s="67"/>
      <c r="D12" s="67"/>
      <c r="E12" s="31">
        <v>10</v>
      </c>
      <c r="F12" s="11">
        <v>7.5</v>
      </c>
      <c r="G12" s="9">
        <f t="shared" si="0"/>
        <v>0.75</v>
      </c>
      <c r="H12" s="7" t="str">
        <f t="shared" si="1"/>
        <v>جيد</v>
      </c>
      <c r="I12" s="38"/>
      <c r="J12" s="39"/>
    </row>
    <row r="13" spans="1:10" ht="30" customHeight="1" x14ac:dyDescent="0.3">
      <c r="A13" s="12"/>
      <c r="B13" s="67" t="s">
        <v>186</v>
      </c>
      <c r="C13" s="67"/>
      <c r="D13" s="67"/>
      <c r="E13" s="31">
        <v>5</v>
      </c>
      <c r="F13" s="11">
        <v>3.75</v>
      </c>
      <c r="G13" s="9">
        <f t="shared" si="0"/>
        <v>0.75</v>
      </c>
      <c r="H13" s="7" t="str">
        <f t="shared" si="1"/>
        <v>جيد</v>
      </c>
      <c r="I13" s="38"/>
      <c r="J13" s="39"/>
    </row>
    <row r="14" spans="1:10" ht="30" customHeight="1" x14ac:dyDescent="0.3">
      <c r="A14" s="12"/>
      <c r="B14" s="67" t="s">
        <v>187</v>
      </c>
      <c r="C14" s="67"/>
      <c r="D14" s="67"/>
      <c r="E14" s="31">
        <v>5</v>
      </c>
      <c r="F14" s="11">
        <v>3.5</v>
      </c>
      <c r="G14" s="9">
        <f t="shared" si="0"/>
        <v>0.7</v>
      </c>
      <c r="H14" s="7" t="str">
        <f t="shared" si="1"/>
        <v>جيد</v>
      </c>
      <c r="I14" s="38"/>
      <c r="J14" s="39"/>
    </row>
    <row r="15" spans="1:10" ht="30" customHeight="1" x14ac:dyDescent="0.3">
      <c r="A15" s="12"/>
      <c r="B15" s="67" t="s">
        <v>188</v>
      </c>
      <c r="C15" s="67"/>
      <c r="D15" s="67"/>
      <c r="E15" s="31">
        <v>5</v>
      </c>
      <c r="F15" s="11">
        <v>4</v>
      </c>
      <c r="G15" s="9">
        <f t="shared" si="0"/>
        <v>0.8</v>
      </c>
      <c r="H15" s="7" t="str">
        <f t="shared" si="1"/>
        <v>جيد جداً</v>
      </c>
      <c r="I15" s="38"/>
      <c r="J15" s="39"/>
    </row>
    <row r="16" spans="1:10" ht="30" customHeight="1" x14ac:dyDescent="0.3">
      <c r="A16" s="12"/>
      <c r="B16" s="67" t="s">
        <v>189</v>
      </c>
      <c r="C16" s="67"/>
      <c r="D16" s="67"/>
      <c r="E16" s="31">
        <v>5</v>
      </c>
      <c r="F16" s="11">
        <v>3.5</v>
      </c>
      <c r="G16" s="9">
        <f t="shared" si="0"/>
        <v>0.7</v>
      </c>
      <c r="H16" s="7" t="str">
        <f t="shared" si="1"/>
        <v>جيد</v>
      </c>
      <c r="I16" s="38"/>
      <c r="J16" s="39"/>
    </row>
    <row r="17" spans="1:10" ht="30" customHeight="1" x14ac:dyDescent="0.3">
      <c r="A17" s="12"/>
      <c r="B17" s="67" t="s">
        <v>190</v>
      </c>
      <c r="C17" s="67"/>
      <c r="D17" s="67"/>
      <c r="E17" s="31">
        <v>5</v>
      </c>
      <c r="F17" s="11">
        <v>3.75</v>
      </c>
      <c r="G17" s="9">
        <f t="shared" si="0"/>
        <v>0.75</v>
      </c>
      <c r="H17" s="7" t="str">
        <f t="shared" si="1"/>
        <v>جيد</v>
      </c>
      <c r="I17" s="38"/>
      <c r="J17" s="39"/>
    </row>
    <row r="18" spans="1:10" ht="30" customHeight="1" x14ac:dyDescent="0.3">
      <c r="A18" s="12"/>
      <c r="B18" s="67" t="s">
        <v>191</v>
      </c>
      <c r="C18" s="67"/>
      <c r="D18" s="67"/>
      <c r="E18" s="31">
        <v>5</v>
      </c>
      <c r="F18" s="11">
        <v>3.75</v>
      </c>
      <c r="G18" s="9">
        <f t="shared" si="0"/>
        <v>0.75</v>
      </c>
      <c r="H18" s="7" t="str">
        <f t="shared" si="1"/>
        <v>جيد</v>
      </c>
      <c r="I18" s="38"/>
      <c r="J18" s="39"/>
    </row>
    <row r="19" spans="1:10" ht="30" customHeight="1" x14ac:dyDescent="0.3">
      <c r="A19" s="12"/>
      <c r="B19" s="67" t="s">
        <v>192</v>
      </c>
      <c r="C19" s="67"/>
      <c r="D19" s="67"/>
      <c r="E19" s="31">
        <v>5</v>
      </c>
      <c r="F19" s="11">
        <v>3.75</v>
      </c>
      <c r="G19" s="9">
        <f t="shared" si="0"/>
        <v>0.75</v>
      </c>
      <c r="H19" s="7" t="str">
        <f t="shared" si="1"/>
        <v>جيد</v>
      </c>
      <c r="I19" s="38"/>
      <c r="J19" s="39"/>
    </row>
    <row r="20" spans="1:10" ht="30" customHeight="1" x14ac:dyDescent="0.3">
      <c r="A20" s="12"/>
      <c r="B20" s="67" t="s">
        <v>193</v>
      </c>
      <c r="C20" s="67"/>
      <c r="D20" s="67"/>
      <c r="E20" s="31">
        <v>5</v>
      </c>
      <c r="F20" s="11">
        <v>3.5</v>
      </c>
      <c r="G20" s="9">
        <f t="shared" si="0"/>
        <v>0.7</v>
      </c>
      <c r="H20" s="7" t="str">
        <f t="shared" si="1"/>
        <v>جيد</v>
      </c>
      <c r="I20" s="38"/>
      <c r="J20" s="39"/>
    </row>
    <row r="21" spans="1:10" ht="30" customHeight="1" x14ac:dyDescent="0.3">
      <c r="A21" s="12"/>
      <c r="B21" s="67" t="s">
        <v>194</v>
      </c>
      <c r="C21" s="67"/>
      <c r="D21" s="67"/>
      <c r="E21" s="31">
        <v>5</v>
      </c>
      <c r="F21" s="11">
        <v>3.5</v>
      </c>
      <c r="G21" s="9">
        <f t="shared" si="0"/>
        <v>0.7</v>
      </c>
      <c r="H21" s="7" t="str">
        <f t="shared" si="1"/>
        <v>جيد</v>
      </c>
      <c r="I21" s="38"/>
      <c r="J21" s="39"/>
    </row>
    <row r="22" spans="1:10" ht="30" customHeight="1" x14ac:dyDescent="0.3">
      <c r="A22" s="12"/>
      <c r="B22" s="67" t="s">
        <v>195</v>
      </c>
      <c r="C22" s="67"/>
      <c r="D22" s="67"/>
      <c r="E22" s="31">
        <v>5</v>
      </c>
      <c r="F22" s="11">
        <v>3.5</v>
      </c>
      <c r="G22" s="9">
        <f t="shared" si="0"/>
        <v>0.7</v>
      </c>
      <c r="H22" s="7" t="str">
        <f t="shared" si="1"/>
        <v>جيد</v>
      </c>
      <c r="I22" s="38"/>
      <c r="J22" s="39"/>
    </row>
    <row r="23" spans="1:10" ht="30" customHeight="1" x14ac:dyDescent="0.3">
      <c r="A23" s="12"/>
      <c r="B23" s="67" t="s">
        <v>196</v>
      </c>
      <c r="C23" s="67"/>
      <c r="D23" s="67"/>
      <c r="E23" s="31">
        <v>5</v>
      </c>
      <c r="F23" s="11">
        <v>3.5</v>
      </c>
      <c r="G23" s="9">
        <f t="shared" si="0"/>
        <v>0.7</v>
      </c>
      <c r="H23" s="7" t="str">
        <f t="shared" si="1"/>
        <v>جيد</v>
      </c>
      <c r="I23" s="38"/>
      <c r="J23" s="39"/>
    </row>
    <row r="24" spans="1:10" ht="30" customHeight="1" x14ac:dyDescent="0.3">
      <c r="A24" s="12"/>
      <c r="B24" s="67" t="s">
        <v>197</v>
      </c>
      <c r="C24" s="67"/>
      <c r="D24" s="67"/>
      <c r="E24" s="31">
        <v>5</v>
      </c>
      <c r="F24" s="11">
        <v>3.5</v>
      </c>
      <c r="G24" s="9">
        <f t="shared" si="0"/>
        <v>0.7</v>
      </c>
      <c r="H24" s="7" t="str">
        <f t="shared" si="1"/>
        <v>جيد</v>
      </c>
      <c r="I24" s="38"/>
      <c r="J24" s="39"/>
    </row>
    <row r="25" spans="1:10" ht="30" customHeight="1" x14ac:dyDescent="0.3">
      <c r="A25" s="12"/>
      <c r="B25" s="67" t="s">
        <v>198</v>
      </c>
      <c r="C25" s="67"/>
      <c r="D25" s="67"/>
      <c r="E25" s="31">
        <v>5</v>
      </c>
      <c r="F25" s="11">
        <v>3.5</v>
      </c>
      <c r="G25" s="9">
        <f t="shared" si="0"/>
        <v>0.7</v>
      </c>
      <c r="H25" s="7" t="str">
        <f t="shared" si="1"/>
        <v>جيد</v>
      </c>
      <c r="I25" s="38"/>
      <c r="J25" s="39"/>
    </row>
    <row r="26" spans="1:10" ht="30" customHeight="1" x14ac:dyDescent="0.3">
      <c r="A26" s="12"/>
      <c r="B26" s="67" t="s">
        <v>199</v>
      </c>
      <c r="C26" s="67"/>
      <c r="D26" s="67"/>
      <c r="E26" s="31">
        <v>5</v>
      </c>
      <c r="F26" s="11">
        <v>3.75</v>
      </c>
      <c r="G26" s="9">
        <f t="shared" si="0"/>
        <v>0.75</v>
      </c>
      <c r="H26" s="7" t="str">
        <f t="shared" si="1"/>
        <v>جيد</v>
      </c>
      <c r="I26" s="38"/>
      <c r="J26" s="39"/>
    </row>
    <row r="27" spans="1:10" ht="30" customHeight="1" x14ac:dyDescent="0.3">
      <c r="A27" s="12"/>
      <c r="B27" s="67" t="s">
        <v>200</v>
      </c>
      <c r="C27" s="67"/>
      <c r="D27" s="67"/>
      <c r="E27" s="31">
        <v>5</v>
      </c>
      <c r="F27" s="11">
        <v>3.75</v>
      </c>
      <c r="G27" s="9">
        <f t="shared" si="0"/>
        <v>0.75</v>
      </c>
      <c r="H27" s="7" t="str">
        <f t="shared" si="1"/>
        <v>جيد</v>
      </c>
      <c r="I27" s="38"/>
      <c r="J27" s="39"/>
    </row>
    <row r="28" spans="1:10" ht="30" customHeight="1" x14ac:dyDescent="0.3">
      <c r="A28" s="12"/>
      <c r="B28" s="67" t="s">
        <v>201</v>
      </c>
      <c r="C28" s="67"/>
      <c r="D28" s="67"/>
      <c r="E28" s="31">
        <v>5</v>
      </c>
      <c r="F28" s="11">
        <v>4</v>
      </c>
      <c r="G28" s="9">
        <f t="shared" si="0"/>
        <v>0.8</v>
      </c>
      <c r="H28" s="7" t="str">
        <f t="shared" si="1"/>
        <v>جيد جداً</v>
      </c>
      <c r="I28" s="38"/>
      <c r="J28" s="39"/>
    </row>
    <row r="29" spans="1:10" ht="30" customHeight="1" x14ac:dyDescent="0.3">
      <c r="A29" s="12"/>
      <c r="B29" s="67" t="s">
        <v>202</v>
      </c>
      <c r="C29" s="67"/>
      <c r="D29" s="67"/>
      <c r="E29" s="31">
        <v>5</v>
      </c>
      <c r="F29" s="11">
        <v>3.75</v>
      </c>
      <c r="G29" s="9">
        <f t="shared" si="0"/>
        <v>0.75</v>
      </c>
      <c r="H29" s="7" t="str">
        <f t="shared" si="1"/>
        <v>جيد</v>
      </c>
      <c r="I29" s="38"/>
      <c r="J29" s="39"/>
    </row>
    <row r="30" spans="1:10" ht="39.9" customHeight="1" thickBot="1" x14ac:dyDescent="0.35">
      <c r="A30" s="12"/>
      <c r="B30" s="69" t="s">
        <v>203</v>
      </c>
      <c r="C30" s="69"/>
      <c r="D30" s="69"/>
      <c r="E30" s="32">
        <v>5</v>
      </c>
      <c r="F30" s="11">
        <v>3.5</v>
      </c>
      <c r="G30" s="9">
        <f t="shared" si="0"/>
        <v>0.7</v>
      </c>
      <c r="H30" s="7" t="str">
        <f t="shared" si="1"/>
        <v>جيد</v>
      </c>
      <c r="I30" s="38"/>
      <c r="J30" s="39"/>
    </row>
    <row r="31" spans="1:10" ht="30" customHeight="1" thickBot="1" x14ac:dyDescent="0.35">
      <c r="A31" s="4"/>
      <c r="B31" s="36" t="s">
        <v>5</v>
      </c>
      <c r="C31" s="37"/>
      <c r="D31" s="37"/>
      <c r="E31" s="10">
        <f>SUM(E8:E30)</f>
        <v>140</v>
      </c>
      <c r="F31" s="10">
        <f>SUM(F8:F30)</f>
        <v>103.5</v>
      </c>
      <c r="G31" s="48"/>
      <c r="H31" s="49"/>
      <c r="I31" s="49"/>
      <c r="J31" s="50"/>
    </row>
    <row r="32" spans="1:10" ht="30" customHeight="1" thickBot="1" x14ac:dyDescent="0.35">
      <c r="A32" s="4"/>
      <c r="B32" s="36" t="s">
        <v>54</v>
      </c>
      <c r="C32" s="37"/>
      <c r="D32" s="37"/>
      <c r="E32" s="58">
        <f>F31/E31/100*100</f>
        <v>0.73928571428571432</v>
      </c>
      <c r="F32" s="58"/>
      <c r="G32" s="58"/>
      <c r="H32" s="58"/>
      <c r="I32" s="58"/>
      <c r="J32" s="59"/>
    </row>
    <row r="33" spans="1:10" ht="30" customHeight="1" thickBot="1" x14ac:dyDescent="0.35">
      <c r="A33" s="4"/>
      <c r="B33" s="36" t="s">
        <v>55</v>
      </c>
      <c r="C33" s="37"/>
      <c r="D33" s="37"/>
      <c r="E33" s="44" t="str">
        <f>_xlfn.IFS(E32&gt;=90%,"ممتاز",E32&gt;=80%,"جيد جداً",E32&gt;=70%,"جيد",E32&gt;=60%,"مقبول",E32&lt;60%,"راسب")</f>
        <v>جيد</v>
      </c>
      <c r="F33" s="44"/>
      <c r="G33" s="44"/>
      <c r="H33" s="44"/>
      <c r="I33" s="44"/>
      <c r="J33" s="45"/>
    </row>
    <row r="34" spans="1:10" ht="42" customHeight="1" x14ac:dyDescent="0.3">
      <c r="B34" s="40" t="s">
        <v>174</v>
      </c>
      <c r="C34" s="40"/>
      <c r="D34" s="40"/>
      <c r="E34" s="46" t="s">
        <v>52</v>
      </c>
      <c r="F34" s="46"/>
      <c r="G34" s="42" t="s">
        <v>91</v>
      </c>
      <c r="H34" s="42"/>
      <c r="I34" s="42"/>
      <c r="J34" s="42"/>
    </row>
    <row r="35" spans="1:10" ht="51" customHeight="1" x14ac:dyDescent="0.3">
      <c r="A35" s="5"/>
      <c r="B35" s="41"/>
      <c r="C35" s="41"/>
      <c r="D35" s="41"/>
      <c r="E35" s="47" t="s">
        <v>53</v>
      </c>
      <c r="F35" s="47"/>
      <c r="G35" s="43"/>
      <c r="H35" s="43"/>
      <c r="I35" s="43"/>
      <c r="J35" s="4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9">
    <mergeCell ref="B29:D29"/>
    <mergeCell ref="B30:D30"/>
    <mergeCell ref="B20:D20"/>
    <mergeCell ref="B21:D21"/>
    <mergeCell ref="B26:D26"/>
    <mergeCell ref="B27:D27"/>
    <mergeCell ref="B28:D28"/>
    <mergeCell ref="B15:D15"/>
    <mergeCell ref="B16:D16"/>
    <mergeCell ref="B17:D17"/>
    <mergeCell ref="B18:D18"/>
    <mergeCell ref="B19:D19"/>
    <mergeCell ref="B7:D7"/>
    <mergeCell ref="I30:J30"/>
    <mergeCell ref="E5:H5"/>
    <mergeCell ref="I5:J6"/>
    <mergeCell ref="I7:J7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:J1"/>
    <mergeCell ref="F2:J2"/>
    <mergeCell ref="B5:D6"/>
    <mergeCell ref="C2:D2"/>
    <mergeCell ref="C3:D3"/>
    <mergeCell ref="F3:J3"/>
    <mergeCell ref="I17:J17"/>
    <mergeCell ref="I18:J18"/>
    <mergeCell ref="I28:J28"/>
    <mergeCell ref="I9:J9"/>
    <mergeCell ref="E34:F34"/>
    <mergeCell ref="G31:J31"/>
    <mergeCell ref="E32:J32"/>
    <mergeCell ref="I12:J12"/>
    <mergeCell ref="I13:J13"/>
    <mergeCell ref="I14:J14"/>
    <mergeCell ref="I15:J15"/>
    <mergeCell ref="I16:J16"/>
    <mergeCell ref="B34:D35"/>
    <mergeCell ref="G34:J34"/>
    <mergeCell ref="G35:J35"/>
    <mergeCell ref="E33:J33"/>
    <mergeCell ref="B32:D32"/>
    <mergeCell ref="B33:D33"/>
    <mergeCell ref="E35:F35"/>
    <mergeCell ref="F4:J4"/>
    <mergeCell ref="C4:D4"/>
    <mergeCell ref="I8:J8"/>
    <mergeCell ref="B31:D31"/>
    <mergeCell ref="I26:J26"/>
    <mergeCell ref="I27:J27"/>
    <mergeCell ref="I29:J29"/>
    <mergeCell ref="I19:J19"/>
    <mergeCell ref="I20:J20"/>
    <mergeCell ref="I21:J21"/>
    <mergeCell ref="I22:J22"/>
    <mergeCell ref="I23:J23"/>
    <mergeCell ref="I24:J24"/>
    <mergeCell ref="I25:J25"/>
    <mergeCell ref="I10:J10"/>
    <mergeCell ref="I11:J1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3">
    <cfRule type="expression" dxfId="14" priority="57">
      <formula>$E33="راسب"</formula>
    </cfRule>
  </conditionalFormatting>
  <conditionalFormatting sqref="E33:J33">
    <cfRule type="expression" dxfId="13" priority="60">
      <formula>$E33="جيد جداً"</formula>
    </cfRule>
    <cfRule type="expression" dxfId="12" priority="59">
      <formula>$E33="جيد"</formula>
    </cfRule>
    <cfRule type="expression" dxfId="11" priority="58">
      <formula>$E33="مقبول"</formula>
    </cfRule>
    <cfRule type="expression" dxfId="10" priority="61">
      <formula>$E33="ممتاز"</formula>
    </cfRule>
  </conditionalFormatting>
  <conditionalFormatting sqref="F8:F3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4:J34">
    <cfRule type="containsText" dxfId="6" priority="15" operator="containsText" text="أدخل اسم المحكم">
      <formula>NOT(ISERROR(SEARCH("أدخل اسم المحكم",G34)))</formula>
    </cfRule>
  </conditionalFormatting>
  <conditionalFormatting sqref="H8:H30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F13:F30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G34:J34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C9F6663-FE2A-4582-B56B-342AC927F279}">
          <x14:formula1>
            <xm:f>'بيانات التقييم'!$A$111:$A$153</xm:f>
          </x14:formula1>
          <xm:sqref>F8:F12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2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3" t="s">
        <v>62</v>
      </c>
    </row>
    <row r="3" spans="1:3" ht="20.100000000000001" customHeight="1" thickBot="1" x14ac:dyDescent="0.35">
      <c r="A3" s="2" t="s">
        <v>26</v>
      </c>
      <c r="C3" s="23" t="s">
        <v>63</v>
      </c>
    </row>
    <row r="4" spans="1:3" ht="20.100000000000001" customHeight="1" thickBot="1" x14ac:dyDescent="0.35">
      <c r="A4" s="2" t="s">
        <v>36</v>
      </c>
      <c r="C4" s="23" t="s">
        <v>64</v>
      </c>
    </row>
    <row r="5" spans="1:3" ht="20.100000000000001" customHeight="1" thickBot="1" x14ac:dyDescent="0.35">
      <c r="A5" s="2" t="s">
        <v>37</v>
      </c>
      <c r="C5" s="23" t="s">
        <v>65</v>
      </c>
    </row>
    <row r="6" spans="1:3" ht="20.100000000000001" customHeight="1" thickBot="1" x14ac:dyDescent="0.35">
      <c r="A6" s="2" t="s">
        <v>38</v>
      </c>
      <c r="C6" s="23" t="s">
        <v>66</v>
      </c>
    </row>
    <row r="7" spans="1:3" ht="20.100000000000001" customHeight="1" thickBot="1" x14ac:dyDescent="0.35">
      <c r="A7" s="2" t="s">
        <v>39</v>
      </c>
      <c r="C7" s="23" t="s">
        <v>67</v>
      </c>
    </row>
    <row r="8" spans="1:3" ht="20.100000000000001" customHeight="1" thickBot="1" x14ac:dyDescent="0.35">
      <c r="A8" s="2" t="s">
        <v>40</v>
      </c>
      <c r="C8" s="23" t="s">
        <v>68</v>
      </c>
    </row>
    <row r="9" spans="1:3" ht="20.100000000000001" customHeight="1" thickBot="1" x14ac:dyDescent="0.35">
      <c r="A9" s="2" t="s">
        <v>41</v>
      </c>
      <c r="C9" s="23" t="s">
        <v>69</v>
      </c>
    </row>
    <row r="10" spans="1:3" ht="20.100000000000001" customHeight="1" thickBot="1" x14ac:dyDescent="0.35">
      <c r="A10" s="2" t="s">
        <v>42</v>
      </c>
      <c r="C10" s="23" t="s">
        <v>70</v>
      </c>
    </row>
    <row r="11" spans="1:3" ht="20.100000000000001" customHeight="1" thickBot="1" x14ac:dyDescent="0.35">
      <c r="A11" s="2" t="s">
        <v>43</v>
      </c>
      <c r="C11" s="23" t="s">
        <v>71</v>
      </c>
    </row>
    <row r="12" spans="1:3" ht="20.100000000000001" customHeight="1" thickBot="1" x14ac:dyDescent="0.35">
      <c r="A12" s="2" t="s">
        <v>44</v>
      </c>
      <c r="C12" s="23" t="s">
        <v>72</v>
      </c>
    </row>
    <row r="13" spans="1:3" ht="20.100000000000001" customHeight="1" thickBot="1" x14ac:dyDescent="0.35">
      <c r="A13" s="2" t="s">
        <v>45</v>
      </c>
      <c r="C13" s="23" t="s">
        <v>73</v>
      </c>
    </row>
    <row r="14" spans="1:3" ht="20.100000000000001" customHeight="1" thickBot="1" x14ac:dyDescent="0.35">
      <c r="A14" s="2" t="s">
        <v>46</v>
      </c>
      <c r="C14" s="23" t="s">
        <v>74</v>
      </c>
    </row>
    <row r="15" spans="1:3" ht="20.100000000000001" customHeight="1" thickBot="1" x14ac:dyDescent="0.35">
      <c r="A15" s="2" t="s">
        <v>47</v>
      </c>
      <c r="C15" s="23" t="s">
        <v>75</v>
      </c>
    </row>
    <row r="16" spans="1:3" ht="20.100000000000001" customHeight="1" thickBot="1" x14ac:dyDescent="0.35">
      <c r="A16" s="2" t="s">
        <v>10</v>
      </c>
      <c r="C16" s="23" t="s">
        <v>76</v>
      </c>
    </row>
    <row r="17" spans="1:3" ht="20.100000000000001" customHeight="1" thickBot="1" x14ac:dyDescent="0.35">
      <c r="A17" s="2" t="s">
        <v>27</v>
      </c>
      <c r="C17" s="23" t="s">
        <v>77</v>
      </c>
    </row>
    <row r="18" spans="1:3" ht="20.100000000000001" customHeight="1" thickBot="1" x14ac:dyDescent="0.35">
      <c r="A18" s="2" t="s">
        <v>48</v>
      </c>
      <c r="C18" s="23" t="s">
        <v>78</v>
      </c>
    </row>
    <row r="19" spans="1:3" ht="20.100000000000001" customHeight="1" thickBot="1" x14ac:dyDescent="0.35">
      <c r="A19" s="2" t="s">
        <v>49</v>
      </c>
      <c r="C19" s="23" t="s">
        <v>79</v>
      </c>
    </row>
    <row r="20" spans="1:3" ht="20.100000000000001" customHeight="1" thickBot="1" x14ac:dyDescent="0.35">
      <c r="A20" s="2" t="s">
        <v>50</v>
      </c>
      <c r="C20" s="23" t="s">
        <v>80</v>
      </c>
    </row>
    <row r="21" spans="1:3" ht="20.100000000000001" customHeight="1" thickBot="1" x14ac:dyDescent="0.35">
      <c r="A21" s="2" t="s">
        <v>51</v>
      </c>
      <c r="C21" s="23" t="s">
        <v>81</v>
      </c>
    </row>
    <row r="22" spans="1:3" ht="20.100000000000001" customHeight="1" thickBot="1" x14ac:dyDescent="0.35">
      <c r="A22" s="2" t="s">
        <v>11</v>
      </c>
      <c r="C22" s="23" t="s">
        <v>82</v>
      </c>
    </row>
    <row r="23" spans="1:3" ht="20.100000000000001" customHeight="1" thickBot="1" x14ac:dyDescent="0.35">
      <c r="A23" s="2" t="s">
        <v>12</v>
      </c>
      <c r="C23" s="23" t="s">
        <v>83</v>
      </c>
    </row>
    <row r="24" spans="1:3" ht="20.100000000000001" customHeight="1" thickBot="1" x14ac:dyDescent="0.35">
      <c r="A24" s="2" t="s">
        <v>15</v>
      </c>
      <c r="C24" s="23" t="s">
        <v>84</v>
      </c>
    </row>
    <row r="25" spans="1:3" ht="20.100000000000001" customHeight="1" thickBot="1" x14ac:dyDescent="0.35">
      <c r="A25" s="2" t="s">
        <v>28</v>
      </c>
      <c r="C25" s="23" t="s">
        <v>85</v>
      </c>
    </row>
    <row r="26" spans="1:3" ht="20.100000000000001" customHeight="1" thickBot="1" x14ac:dyDescent="0.35">
      <c r="A26" s="2" t="s">
        <v>29</v>
      </c>
      <c r="C26" s="23" t="s">
        <v>86</v>
      </c>
    </row>
    <row r="27" spans="1:3" ht="20.100000000000001" customHeight="1" thickBot="1" x14ac:dyDescent="0.35">
      <c r="A27" s="2" t="s">
        <v>13</v>
      </c>
      <c r="C27" s="23" t="s">
        <v>87</v>
      </c>
    </row>
    <row r="28" spans="1:3" ht="20.100000000000001" customHeight="1" thickBot="1" x14ac:dyDescent="0.35">
      <c r="A28" s="2" t="s">
        <v>30</v>
      </c>
      <c r="C28" s="23" t="s">
        <v>88</v>
      </c>
    </row>
    <row r="29" spans="1:3" ht="20.100000000000001" customHeight="1" thickBot="1" x14ac:dyDescent="0.35">
      <c r="A29" s="2" t="s">
        <v>31</v>
      </c>
      <c r="C29" s="23" t="s">
        <v>177</v>
      </c>
    </row>
    <row r="30" spans="1:3" ht="20.100000000000001" customHeight="1" thickBot="1" x14ac:dyDescent="0.35">
      <c r="A30" s="2" t="s">
        <v>32</v>
      </c>
      <c r="C30" s="23" t="s">
        <v>178</v>
      </c>
    </row>
    <row r="31" spans="1:3" ht="20.100000000000001" customHeight="1" thickBot="1" x14ac:dyDescent="0.35">
      <c r="A31" s="2" t="s">
        <v>33</v>
      </c>
      <c r="C31" s="23" t="s">
        <v>179</v>
      </c>
    </row>
    <row r="32" spans="1:3" ht="20.100000000000001" customHeight="1" thickBot="1" x14ac:dyDescent="0.35">
      <c r="A32" s="2" t="s">
        <v>16</v>
      </c>
      <c r="C32" s="23"/>
    </row>
    <row r="33" spans="1:9" ht="20.100000000000001" customHeight="1" thickBot="1" x14ac:dyDescent="0.35">
      <c r="A33" s="2" t="s">
        <v>14</v>
      </c>
      <c r="C33" s="23"/>
    </row>
    <row r="34" spans="1:9" ht="20.100000000000001" customHeight="1" thickBot="1" x14ac:dyDescent="0.35">
      <c r="A34" s="2" t="s">
        <v>34</v>
      </c>
      <c r="C34" s="23"/>
    </row>
    <row r="35" spans="1:9" ht="20.100000000000001" customHeight="1" x14ac:dyDescent="0.3">
      <c r="A35" s="21"/>
    </row>
    <row r="36" spans="1:9" s="20" customFormat="1" ht="20.100000000000001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6">
        <v>45931</v>
      </c>
    </row>
    <row r="40" spans="1:9" ht="20.100000000000001" customHeight="1" thickBot="1" x14ac:dyDescent="0.35">
      <c r="A40" s="16">
        <v>45932</v>
      </c>
    </row>
    <row r="41" spans="1:9" ht="20.100000000000001" customHeight="1" thickBot="1" x14ac:dyDescent="0.35">
      <c r="A41" s="16">
        <v>45933</v>
      </c>
    </row>
    <row r="42" spans="1:9" ht="20.100000000000001" customHeight="1" thickBot="1" x14ac:dyDescent="0.35">
      <c r="A42" s="16">
        <v>45934</v>
      </c>
    </row>
    <row r="43" spans="1:9" ht="20.100000000000001" customHeight="1" thickBot="1" x14ac:dyDescent="0.35">
      <c r="A43" s="16">
        <v>45935</v>
      </c>
    </row>
    <row r="44" spans="1:9" ht="20.100000000000001" customHeight="1" thickBot="1" x14ac:dyDescent="0.35">
      <c r="A44" s="16">
        <v>45936</v>
      </c>
    </row>
    <row r="45" spans="1:9" ht="20.100000000000001" customHeight="1" thickBot="1" x14ac:dyDescent="0.35">
      <c r="A45" s="16">
        <v>45937</v>
      </c>
    </row>
    <row r="46" spans="1:9" ht="20.100000000000001" customHeight="1" thickBot="1" x14ac:dyDescent="0.35">
      <c r="A46" s="16">
        <v>45938</v>
      </c>
    </row>
    <row r="47" spans="1:9" ht="20.100000000000001" customHeight="1" thickBot="1" x14ac:dyDescent="0.35">
      <c r="A47" s="16">
        <v>45939</v>
      </c>
    </row>
    <row r="48" spans="1:9" ht="20.100000000000001" customHeight="1" thickBot="1" x14ac:dyDescent="0.35">
      <c r="A48" s="16">
        <v>45940</v>
      </c>
    </row>
    <row r="49" spans="1:1" ht="20.100000000000001" customHeight="1" thickBot="1" x14ac:dyDescent="0.35">
      <c r="A49" s="16">
        <v>45941</v>
      </c>
    </row>
    <row r="50" spans="1:1" ht="20.100000000000001" customHeight="1" thickBot="1" x14ac:dyDescent="0.35">
      <c r="A50" s="16">
        <v>45942</v>
      </c>
    </row>
    <row r="51" spans="1:1" ht="20.100000000000001" customHeight="1" thickBot="1" x14ac:dyDescent="0.35">
      <c r="A51" s="16">
        <v>45943</v>
      </c>
    </row>
    <row r="52" spans="1:1" ht="20.100000000000001" customHeight="1" thickBot="1" x14ac:dyDescent="0.35">
      <c r="A52" s="16">
        <v>45944</v>
      </c>
    </row>
    <row r="53" spans="1:1" ht="20.100000000000001" customHeight="1" thickBot="1" x14ac:dyDescent="0.35">
      <c r="A53" s="16">
        <v>45945</v>
      </c>
    </row>
    <row r="54" spans="1:1" ht="20.100000000000001" customHeight="1" thickBot="1" x14ac:dyDescent="0.35">
      <c r="A54" s="16">
        <v>45946</v>
      </c>
    </row>
    <row r="55" spans="1:1" ht="20.100000000000001" customHeight="1" thickBot="1" x14ac:dyDescent="0.35">
      <c r="A55" s="16">
        <v>45947</v>
      </c>
    </row>
    <row r="56" spans="1:1" ht="20.100000000000001" customHeight="1" thickBot="1" x14ac:dyDescent="0.35">
      <c r="A56" s="16">
        <v>45948</v>
      </c>
    </row>
    <row r="57" spans="1:1" ht="20.100000000000001" customHeight="1" thickBot="1" x14ac:dyDescent="0.35">
      <c r="A57" s="16">
        <v>45949</v>
      </c>
    </row>
    <row r="58" spans="1:1" ht="20.100000000000001" customHeight="1" thickBot="1" x14ac:dyDescent="0.35">
      <c r="A58" s="16">
        <v>45950</v>
      </c>
    </row>
    <row r="59" spans="1:1" ht="20.100000000000001" customHeight="1" thickBot="1" x14ac:dyDescent="0.35">
      <c r="A59" s="16">
        <v>45951</v>
      </c>
    </row>
    <row r="60" spans="1:1" ht="20.100000000000001" customHeight="1" thickBot="1" x14ac:dyDescent="0.35">
      <c r="A60" s="16">
        <v>45952</v>
      </c>
    </row>
    <row r="61" spans="1:1" ht="20.100000000000001" customHeight="1" thickBot="1" x14ac:dyDescent="0.35">
      <c r="A61" s="16">
        <v>45953</v>
      </c>
    </row>
    <row r="62" spans="1:1" ht="20.100000000000001" customHeight="1" thickBot="1" x14ac:dyDescent="0.35">
      <c r="A62" s="16">
        <v>45954</v>
      </c>
    </row>
    <row r="63" spans="1:1" ht="20.100000000000001" customHeight="1" thickBot="1" x14ac:dyDescent="0.35">
      <c r="A63" s="16">
        <v>45955</v>
      </c>
    </row>
    <row r="64" spans="1:1" ht="20.100000000000001" customHeight="1" thickBot="1" x14ac:dyDescent="0.35">
      <c r="A64" s="16">
        <v>45956</v>
      </c>
    </row>
    <row r="65" spans="1:1" ht="20.100000000000001" customHeight="1" thickBot="1" x14ac:dyDescent="0.35">
      <c r="A65" s="16">
        <v>45957</v>
      </c>
    </row>
    <row r="66" spans="1:1" ht="20.100000000000001" customHeight="1" thickBot="1" x14ac:dyDescent="0.35">
      <c r="A66" s="16">
        <v>45958</v>
      </c>
    </row>
    <row r="67" spans="1:1" ht="20.100000000000001" customHeight="1" thickBot="1" x14ac:dyDescent="0.35">
      <c r="A67" s="16">
        <v>45959</v>
      </c>
    </row>
    <row r="68" spans="1:1" ht="20.100000000000001" customHeight="1" thickBot="1" x14ac:dyDescent="0.35">
      <c r="A68" s="16">
        <v>45960</v>
      </c>
    </row>
    <row r="69" spans="1:1" ht="20.100000000000001" customHeight="1" thickBot="1" x14ac:dyDescent="0.35">
      <c r="A69" s="16">
        <v>45961</v>
      </c>
    </row>
    <row r="70" spans="1:1" ht="20.100000000000001" customHeight="1" thickBot="1" x14ac:dyDescent="0.35">
      <c r="A70" s="16"/>
    </row>
    <row r="71" spans="1:1" ht="20.100000000000001" customHeight="1" thickBot="1" x14ac:dyDescent="0.35">
      <c r="A71" s="16"/>
    </row>
    <row r="72" spans="1:1" ht="20.100000000000001" customHeight="1" thickBot="1" x14ac:dyDescent="0.35">
      <c r="A72" s="16"/>
    </row>
    <row r="73" spans="1:1" ht="20.100000000000001" customHeight="1" thickBot="1" x14ac:dyDescent="0.35">
      <c r="A73" s="16"/>
    </row>
    <row r="74" spans="1:1" ht="20.100000000000001" customHeight="1" thickBot="1" x14ac:dyDescent="0.35">
      <c r="A74" s="16"/>
    </row>
    <row r="75" spans="1:1" ht="20.100000000000001" customHeight="1" thickBot="1" x14ac:dyDescent="0.35">
      <c r="A75" s="16"/>
    </row>
    <row r="76" spans="1:1" ht="20.100000000000001" customHeight="1" thickBot="1" x14ac:dyDescent="0.35">
      <c r="A76" s="16"/>
    </row>
    <row r="77" spans="1:1" ht="20.100000000000001" customHeight="1" thickBot="1" x14ac:dyDescent="0.35">
      <c r="A77" s="16"/>
    </row>
    <row r="78" spans="1:1" ht="20.100000000000001" customHeight="1" thickBot="1" x14ac:dyDescent="0.35">
      <c r="A78" s="16"/>
    </row>
    <row r="79" spans="1:1" ht="20.100000000000001" customHeight="1" thickBot="1" x14ac:dyDescent="0.35">
      <c r="A79" s="16"/>
    </row>
    <row r="80" spans="1:1" ht="20.100000000000001" customHeight="1" thickBot="1" x14ac:dyDescent="0.35">
      <c r="A80" s="16"/>
    </row>
    <row r="81" spans="1:1" ht="20.100000000000001" customHeight="1" thickBot="1" x14ac:dyDescent="0.35">
      <c r="A81" s="16"/>
    </row>
    <row r="82" spans="1:1" ht="20.100000000000001" customHeight="1" thickBot="1" x14ac:dyDescent="0.35">
      <c r="A82" s="16"/>
    </row>
    <row r="83" spans="1:1" ht="20.100000000000001" customHeight="1" thickBot="1" x14ac:dyDescent="0.35">
      <c r="A83" s="16"/>
    </row>
    <row r="84" spans="1:1" ht="20.100000000000001" customHeight="1" thickBot="1" x14ac:dyDescent="0.35">
      <c r="A84" s="16"/>
    </row>
    <row r="85" spans="1:1" ht="20.100000000000001" customHeight="1" thickBot="1" x14ac:dyDescent="0.35">
      <c r="A85" s="16"/>
    </row>
    <row r="86" spans="1:1" ht="20.100000000000001" customHeight="1" thickBot="1" x14ac:dyDescent="0.35">
      <c r="A86" s="16"/>
    </row>
    <row r="87" spans="1:1" ht="20.100000000000001" customHeight="1" thickBot="1" x14ac:dyDescent="0.35">
      <c r="A87" s="16"/>
    </row>
    <row r="88" spans="1:1" ht="20.100000000000001" customHeight="1" thickBot="1" x14ac:dyDescent="0.35">
      <c r="A88" s="16"/>
    </row>
    <row r="89" spans="1:1" ht="20.100000000000001" customHeight="1" thickBot="1" x14ac:dyDescent="0.35">
      <c r="A89" s="16"/>
    </row>
    <row r="90" spans="1:1" ht="20.100000000000001" customHeight="1" thickBot="1" x14ac:dyDescent="0.35">
      <c r="A90" s="16"/>
    </row>
    <row r="91" spans="1:1" ht="20.100000000000001" customHeight="1" thickBot="1" x14ac:dyDescent="0.35">
      <c r="A91" s="16"/>
    </row>
    <row r="92" spans="1:1" ht="20.100000000000001" customHeight="1" thickBot="1" x14ac:dyDescent="0.35">
      <c r="A92" s="16"/>
    </row>
    <row r="93" spans="1:1" ht="20.100000000000001" customHeight="1" thickBot="1" x14ac:dyDescent="0.35">
      <c r="A93" s="16"/>
    </row>
    <row r="94" spans="1:1" ht="20.100000000000001" customHeight="1" thickBot="1" x14ac:dyDescent="0.35">
      <c r="A94" s="16"/>
    </row>
    <row r="95" spans="1:1" ht="20.100000000000001" customHeight="1" thickBot="1" x14ac:dyDescent="0.35">
      <c r="A95" s="16"/>
    </row>
    <row r="96" spans="1:1" ht="20.100000000000001" customHeight="1" thickBot="1" x14ac:dyDescent="0.35">
      <c r="A96" s="16"/>
    </row>
    <row r="97" spans="1:9" ht="20.100000000000001" customHeight="1" thickBot="1" x14ac:dyDescent="0.35">
      <c r="A97" s="16"/>
    </row>
    <row r="98" spans="1:9" ht="20.100000000000001" customHeight="1" thickBot="1" x14ac:dyDescent="0.35">
      <c r="A98" s="16"/>
    </row>
    <row r="99" spans="1:9" ht="20.100000000000001" customHeight="1" thickBot="1" x14ac:dyDescent="0.35">
      <c r="A99" s="16"/>
    </row>
    <row r="100" spans="1:9" ht="20.100000000000001" customHeight="1" thickBot="1" x14ac:dyDescent="0.35">
      <c r="A100" s="16"/>
    </row>
    <row r="101" spans="1:9" ht="20.100000000000001" customHeight="1" thickBot="1" x14ac:dyDescent="0.35">
      <c r="A101" s="16"/>
    </row>
    <row r="102" spans="1:9" ht="20.100000000000001" customHeight="1" thickBot="1" x14ac:dyDescent="0.35">
      <c r="A102" s="16"/>
    </row>
    <row r="103" spans="1:9" ht="20.100000000000001" customHeight="1" thickBot="1" x14ac:dyDescent="0.35">
      <c r="A103" s="16"/>
    </row>
    <row r="104" spans="1:9" ht="20.100000000000001" customHeight="1" thickBot="1" x14ac:dyDescent="0.35">
      <c r="A104" s="16"/>
    </row>
    <row r="105" spans="1:9" ht="20.100000000000001" customHeight="1" thickBot="1" x14ac:dyDescent="0.35">
      <c r="A105" s="16"/>
    </row>
    <row r="106" spans="1:9" ht="20.100000000000001" customHeight="1" thickBot="1" x14ac:dyDescent="0.35">
      <c r="A106" s="16"/>
    </row>
    <row r="107" spans="1:9" ht="20.100000000000001" customHeight="1" x14ac:dyDescent="0.3">
      <c r="A107" s="17"/>
    </row>
    <row r="108" spans="1:9" ht="20.100000000000001" customHeight="1" x14ac:dyDescent="0.3">
      <c r="A108" s="17"/>
    </row>
    <row r="109" spans="1:9" s="20" customFormat="1" ht="20.100000000000001" customHeight="1" x14ac:dyDescent="0.3">
      <c r="A109" s="18"/>
      <c r="B109" s="19"/>
      <c r="C109" s="19"/>
      <c r="D109" s="19"/>
      <c r="E109" s="19"/>
      <c r="F109" s="19"/>
      <c r="G109" s="19"/>
      <c r="H109" s="19"/>
      <c r="I109" s="19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4" t="s">
        <v>89</v>
      </c>
    </row>
    <row r="200" spans="1:1" ht="20.100000000000001" customHeight="1" x14ac:dyDescent="0.3">
      <c r="A200" s="24" t="s">
        <v>90</v>
      </c>
    </row>
    <row r="201" spans="1:1" ht="20.100000000000001" customHeight="1" x14ac:dyDescent="0.3">
      <c r="A201" s="24" t="s">
        <v>91</v>
      </c>
    </row>
    <row r="202" spans="1:1" ht="20.100000000000001" customHeight="1" x14ac:dyDescent="0.3">
      <c r="A202" s="24" t="s">
        <v>92</v>
      </c>
    </row>
    <row r="203" spans="1:1" ht="20.100000000000001" customHeight="1" x14ac:dyDescent="0.3">
      <c r="A203" s="24" t="s">
        <v>93</v>
      </c>
    </row>
    <row r="204" spans="1:1" ht="20.100000000000001" customHeight="1" x14ac:dyDescent="0.3">
      <c r="A204" s="24" t="s">
        <v>94</v>
      </c>
    </row>
    <row r="205" spans="1:1" ht="20.100000000000001" customHeight="1" x14ac:dyDescent="0.3">
      <c r="A205" s="24" t="s">
        <v>95</v>
      </c>
    </row>
    <row r="206" spans="1:1" ht="20.100000000000001" customHeight="1" x14ac:dyDescent="0.3">
      <c r="A206" s="24" t="s">
        <v>96</v>
      </c>
    </row>
    <row r="207" spans="1:1" ht="20.100000000000001" customHeight="1" x14ac:dyDescent="0.3">
      <c r="A207" s="24" t="s">
        <v>97</v>
      </c>
    </row>
    <row r="208" spans="1:1" ht="20.100000000000001" customHeight="1" x14ac:dyDescent="0.3">
      <c r="A208" s="25" t="s">
        <v>98</v>
      </c>
    </row>
    <row r="209" spans="1:1" ht="20.100000000000001" customHeight="1" x14ac:dyDescent="0.3">
      <c r="A209" s="25" t="s">
        <v>99</v>
      </c>
    </row>
    <row r="210" spans="1:1" ht="20.100000000000001" customHeight="1" x14ac:dyDescent="0.3">
      <c r="A210" s="24" t="s">
        <v>100</v>
      </c>
    </row>
    <row r="211" spans="1:1" ht="20.100000000000001" customHeight="1" x14ac:dyDescent="0.3">
      <c r="A211" s="24" t="s">
        <v>101</v>
      </c>
    </row>
    <row r="212" spans="1:1" ht="20.100000000000001" customHeight="1" x14ac:dyDescent="0.3">
      <c r="A212" s="24" t="s">
        <v>175</v>
      </c>
    </row>
    <row r="213" spans="1:1" ht="20.100000000000001" customHeight="1" x14ac:dyDescent="0.3">
      <c r="A213" s="24" t="s">
        <v>102</v>
      </c>
    </row>
    <row r="214" spans="1:1" ht="20.100000000000001" customHeight="1" x14ac:dyDescent="0.3">
      <c r="A214" s="24" t="s">
        <v>103</v>
      </c>
    </row>
    <row r="215" spans="1:1" ht="20.100000000000001" customHeight="1" x14ac:dyDescent="0.3">
      <c r="A215" s="24" t="s">
        <v>104</v>
      </c>
    </row>
    <row r="216" spans="1:1" ht="20.100000000000001" customHeight="1" x14ac:dyDescent="0.3">
      <c r="A216" s="24" t="s">
        <v>105</v>
      </c>
    </row>
    <row r="217" spans="1:1" ht="20.100000000000001" customHeight="1" x14ac:dyDescent="0.3">
      <c r="A217" s="24" t="s">
        <v>106</v>
      </c>
    </row>
    <row r="218" spans="1:1" ht="20.100000000000001" customHeight="1" x14ac:dyDescent="0.3">
      <c r="A218" s="24" t="s">
        <v>107</v>
      </c>
    </row>
    <row r="219" spans="1:1" ht="20.100000000000001" customHeight="1" x14ac:dyDescent="0.3">
      <c r="A219" s="24" t="s">
        <v>108</v>
      </c>
    </row>
    <row r="220" spans="1:1" ht="20.100000000000001" customHeight="1" x14ac:dyDescent="0.3">
      <c r="A220" s="24" t="s">
        <v>109</v>
      </c>
    </row>
    <row r="221" spans="1:1" ht="20.100000000000001" customHeight="1" x14ac:dyDescent="0.3">
      <c r="A221" s="24" t="s">
        <v>110</v>
      </c>
    </row>
    <row r="222" spans="1:1" ht="20.100000000000001" customHeight="1" x14ac:dyDescent="0.3">
      <c r="A222" s="24" t="s">
        <v>111</v>
      </c>
    </row>
    <row r="223" spans="1:1" ht="20.100000000000001" customHeight="1" x14ac:dyDescent="0.3">
      <c r="A223" s="24" t="s">
        <v>112</v>
      </c>
    </row>
    <row r="224" spans="1:1" ht="20.100000000000001" customHeight="1" x14ac:dyDescent="0.3">
      <c r="A224" s="24" t="s">
        <v>176</v>
      </c>
    </row>
    <row r="225" spans="1:1" ht="20.100000000000001" customHeight="1" x14ac:dyDescent="0.3">
      <c r="A225" s="24" t="s">
        <v>113</v>
      </c>
    </row>
    <row r="226" spans="1:1" ht="20.100000000000001" customHeight="1" x14ac:dyDescent="0.3">
      <c r="A226" s="24" t="s">
        <v>114</v>
      </c>
    </row>
    <row r="227" spans="1:1" ht="20.100000000000001" customHeight="1" x14ac:dyDescent="0.3">
      <c r="A227" s="24" t="s">
        <v>115</v>
      </c>
    </row>
    <row r="228" spans="1:1" ht="20.100000000000001" customHeight="1" x14ac:dyDescent="0.3">
      <c r="A228" s="24" t="s">
        <v>116</v>
      </c>
    </row>
    <row r="229" spans="1:1" ht="20.100000000000001" customHeight="1" x14ac:dyDescent="0.3">
      <c r="A229" s="24" t="s">
        <v>117</v>
      </c>
    </row>
    <row r="230" spans="1:1" ht="20.100000000000001" customHeight="1" x14ac:dyDescent="0.3">
      <c r="A230" s="24" t="s">
        <v>118</v>
      </c>
    </row>
    <row r="231" spans="1:1" ht="20.100000000000001" customHeight="1" x14ac:dyDescent="0.3">
      <c r="A231" s="24" t="s">
        <v>119</v>
      </c>
    </row>
    <row r="232" spans="1:1" ht="20.100000000000001" customHeight="1" x14ac:dyDescent="0.3">
      <c r="A232" s="24" t="s">
        <v>120</v>
      </c>
    </row>
    <row r="233" spans="1:1" ht="20.100000000000001" customHeight="1" x14ac:dyDescent="0.3">
      <c r="A233" s="24" t="s">
        <v>121</v>
      </c>
    </row>
    <row r="234" spans="1:1" ht="20.100000000000001" customHeight="1" x14ac:dyDescent="0.3">
      <c r="A234" s="24" t="s">
        <v>122</v>
      </c>
    </row>
    <row r="235" spans="1:1" ht="20.100000000000001" customHeight="1" x14ac:dyDescent="0.3">
      <c r="A235" s="24" t="s">
        <v>123</v>
      </c>
    </row>
    <row r="236" spans="1:1" ht="20.100000000000001" customHeight="1" x14ac:dyDescent="0.3">
      <c r="A236" s="26" t="s">
        <v>124</v>
      </c>
    </row>
    <row r="237" spans="1:1" ht="20.100000000000001" customHeight="1" x14ac:dyDescent="0.3">
      <c r="A237" s="24" t="s">
        <v>125</v>
      </c>
    </row>
    <row r="238" spans="1:1" ht="20.100000000000001" customHeight="1" x14ac:dyDescent="0.3">
      <c r="A238" s="24" t="s">
        <v>126</v>
      </c>
    </row>
    <row r="239" spans="1:1" ht="20.100000000000001" customHeight="1" x14ac:dyDescent="0.3">
      <c r="A239" s="24" t="s">
        <v>127</v>
      </c>
    </row>
    <row r="240" spans="1:1" ht="20.100000000000001" customHeight="1" x14ac:dyDescent="0.3">
      <c r="A240" s="24" t="s">
        <v>128</v>
      </c>
    </row>
    <row r="241" spans="1:1" ht="20.100000000000001" customHeight="1" x14ac:dyDescent="0.3">
      <c r="A241" s="24" t="s">
        <v>129</v>
      </c>
    </row>
    <row r="242" spans="1:1" ht="20.100000000000001" customHeight="1" x14ac:dyDescent="0.3">
      <c r="A242" s="24" t="s">
        <v>130</v>
      </c>
    </row>
    <row r="243" spans="1:1" ht="20.100000000000001" customHeight="1" x14ac:dyDescent="0.3">
      <c r="A243" s="24" t="s">
        <v>131</v>
      </c>
    </row>
    <row r="244" spans="1:1" ht="20.100000000000001" customHeight="1" x14ac:dyDescent="0.3">
      <c r="A244" s="24" t="s">
        <v>132</v>
      </c>
    </row>
    <row r="245" spans="1:1" ht="20.100000000000001" customHeight="1" x14ac:dyDescent="0.3">
      <c r="A245" s="24" t="s">
        <v>133</v>
      </c>
    </row>
    <row r="246" spans="1:1" ht="20.100000000000001" customHeight="1" x14ac:dyDescent="0.3">
      <c r="A246" s="24" t="s">
        <v>134</v>
      </c>
    </row>
    <row r="247" spans="1:1" ht="20.100000000000001" customHeight="1" x14ac:dyDescent="0.3">
      <c r="A247" s="24" t="s">
        <v>135</v>
      </c>
    </row>
    <row r="248" spans="1:1" ht="20.100000000000001" customHeight="1" x14ac:dyDescent="0.3">
      <c r="A248" s="24" t="s">
        <v>126</v>
      </c>
    </row>
    <row r="249" spans="1:1" ht="20.100000000000001" customHeight="1" x14ac:dyDescent="0.3">
      <c r="A249" s="24" t="s">
        <v>136</v>
      </c>
    </row>
    <row r="250" spans="1:1" ht="20.100000000000001" customHeight="1" x14ac:dyDescent="0.3">
      <c r="A250" s="24" t="s">
        <v>137</v>
      </c>
    </row>
    <row r="251" spans="1:1" ht="20.100000000000001" customHeight="1" x14ac:dyDescent="0.3">
      <c r="A251" s="26" t="s">
        <v>138</v>
      </c>
    </row>
    <row r="252" spans="1:1" ht="20.100000000000001" customHeight="1" x14ac:dyDescent="0.3">
      <c r="A252" s="27" t="s">
        <v>139</v>
      </c>
    </row>
    <row r="253" spans="1:1" ht="20.100000000000001" customHeight="1" x14ac:dyDescent="0.3">
      <c r="A253" s="24" t="s">
        <v>140</v>
      </c>
    </row>
    <row r="254" spans="1:1" ht="20.100000000000001" customHeight="1" x14ac:dyDescent="0.3">
      <c r="A254" s="24" t="s">
        <v>141</v>
      </c>
    </row>
    <row r="255" spans="1:1" ht="20.100000000000001" customHeight="1" x14ac:dyDescent="0.3">
      <c r="A255" s="28" t="s">
        <v>142</v>
      </c>
    </row>
    <row r="256" spans="1:1" ht="20.100000000000001" customHeight="1" x14ac:dyDescent="0.3">
      <c r="A256" s="28" t="s">
        <v>143</v>
      </c>
    </row>
    <row r="257" spans="1:1" ht="20.100000000000001" customHeight="1" x14ac:dyDescent="0.3">
      <c r="A257" s="29" t="s">
        <v>144</v>
      </c>
    </row>
    <row r="258" spans="1:1" ht="20.100000000000001" customHeight="1" x14ac:dyDescent="0.3">
      <c r="A258" s="24" t="s">
        <v>145</v>
      </c>
    </row>
    <row r="259" spans="1:1" ht="20.100000000000001" customHeight="1" x14ac:dyDescent="0.3">
      <c r="A259" s="29" t="s">
        <v>146</v>
      </c>
    </row>
    <row r="260" spans="1:1" ht="20.100000000000001" customHeight="1" x14ac:dyDescent="0.3">
      <c r="A260" s="24" t="s">
        <v>147</v>
      </c>
    </row>
    <row r="261" spans="1:1" ht="20.100000000000001" customHeight="1" x14ac:dyDescent="0.3">
      <c r="A261" s="29" t="s">
        <v>148</v>
      </c>
    </row>
    <row r="262" spans="1:1" ht="20.100000000000001" customHeight="1" x14ac:dyDescent="0.3">
      <c r="A262" s="24" t="s">
        <v>149</v>
      </c>
    </row>
    <row r="263" spans="1:1" ht="20.100000000000001" customHeight="1" x14ac:dyDescent="0.3">
      <c r="A263" s="24" t="s">
        <v>150</v>
      </c>
    </row>
    <row r="264" spans="1:1" ht="20.100000000000001" customHeight="1" x14ac:dyDescent="0.3">
      <c r="A264" s="29" t="s">
        <v>151</v>
      </c>
    </row>
    <row r="265" spans="1:1" ht="20.100000000000001" customHeight="1" x14ac:dyDescent="0.3">
      <c r="A265" s="29" t="s">
        <v>152</v>
      </c>
    </row>
    <row r="266" spans="1:1" ht="20.100000000000001" customHeight="1" x14ac:dyDescent="0.3">
      <c r="A266" s="29" t="s">
        <v>153</v>
      </c>
    </row>
    <row r="267" spans="1:1" ht="20.100000000000001" customHeight="1" x14ac:dyDescent="0.3">
      <c r="A267" s="24" t="s">
        <v>154</v>
      </c>
    </row>
    <row r="268" spans="1:1" ht="20.100000000000001" customHeight="1" x14ac:dyDescent="0.3">
      <c r="A268" s="24" t="s">
        <v>155</v>
      </c>
    </row>
    <row r="269" spans="1:1" ht="20.100000000000001" customHeight="1" x14ac:dyDescent="0.3">
      <c r="A269" s="24" t="s">
        <v>156</v>
      </c>
    </row>
    <row r="270" spans="1:1" ht="20.100000000000001" customHeight="1" x14ac:dyDescent="0.3">
      <c r="A270" s="24" t="s">
        <v>157</v>
      </c>
    </row>
    <row r="271" spans="1:1" ht="20.100000000000001" customHeight="1" x14ac:dyDescent="0.3">
      <c r="A271" s="29" t="s">
        <v>158</v>
      </c>
    </row>
    <row r="272" spans="1:1" ht="20.100000000000001" customHeight="1" x14ac:dyDescent="0.3">
      <c r="A272" s="29" t="s">
        <v>159</v>
      </c>
    </row>
    <row r="273" spans="1:1" ht="20.100000000000001" customHeight="1" x14ac:dyDescent="0.3">
      <c r="A273" s="24" t="s">
        <v>160</v>
      </c>
    </row>
    <row r="274" spans="1:1" ht="20.100000000000001" customHeight="1" x14ac:dyDescent="0.3">
      <c r="A274" s="29" t="s">
        <v>161</v>
      </c>
    </row>
    <row r="275" spans="1:1" ht="20.100000000000001" customHeight="1" x14ac:dyDescent="0.3">
      <c r="A275" s="29" t="s">
        <v>162</v>
      </c>
    </row>
    <row r="276" spans="1:1" ht="20.100000000000001" customHeight="1" x14ac:dyDescent="0.3">
      <c r="A276" s="24" t="s">
        <v>163</v>
      </c>
    </row>
    <row r="277" spans="1:1" ht="20.100000000000001" customHeight="1" x14ac:dyDescent="0.3">
      <c r="A277" s="24" t="s">
        <v>164</v>
      </c>
    </row>
    <row r="278" spans="1:1" ht="20.100000000000001" customHeight="1" x14ac:dyDescent="0.3">
      <c r="A278" s="29" t="s">
        <v>165</v>
      </c>
    </row>
    <row r="279" spans="1:1" ht="20.100000000000001" customHeight="1" x14ac:dyDescent="0.3">
      <c r="A279" s="24" t="s">
        <v>166</v>
      </c>
    </row>
    <row r="280" spans="1:1" ht="20.100000000000001" customHeight="1" x14ac:dyDescent="0.3">
      <c r="A280" s="24" t="s">
        <v>167</v>
      </c>
    </row>
    <row r="281" spans="1:1" ht="20.100000000000001" customHeight="1" x14ac:dyDescent="0.3">
      <c r="A281" s="24" t="s">
        <v>168</v>
      </c>
    </row>
    <row r="282" spans="1:1" ht="20.100000000000001" customHeight="1" x14ac:dyDescent="0.3">
      <c r="A282" s="24" t="s">
        <v>169</v>
      </c>
    </row>
    <row r="283" spans="1:1" ht="20.100000000000001" customHeight="1" x14ac:dyDescent="0.3">
      <c r="A283" s="29" t="s">
        <v>170</v>
      </c>
    </row>
    <row r="284" spans="1:1" ht="20.100000000000001" customHeight="1" x14ac:dyDescent="0.3">
      <c r="A284" s="29" t="s">
        <v>171</v>
      </c>
    </row>
    <row r="285" spans="1:1" ht="20.100000000000001" customHeight="1" x14ac:dyDescent="0.3">
      <c r="A285" s="29" t="s">
        <v>172</v>
      </c>
    </row>
    <row r="286" spans="1:1" ht="20.100000000000001" customHeight="1" thickBot="1" x14ac:dyDescent="0.35">
      <c r="A286" s="24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2025-10-27T21:11:48Z</dcterms:modified>
</cp:coreProperties>
</file>