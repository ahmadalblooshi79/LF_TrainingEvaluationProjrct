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D425196-4DB7-442F-9D44-1E5435BDC0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8" i="2"/>
  <c r="H8" i="2"/>
  <c r="F27" i="2"/>
  <c r="E27" i="2"/>
  <c r="E28" i="2"/>
  <c r="E29" i="2"/>
</calcChain>
</file>

<file path=xl/sharedStrings.xml><?xml version="1.0" encoding="utf-8"?>
<sst xmlns="http://schemas.openxmlformats.org/spreadsheetml/2006/main" count="257" uniqueCount="201">
  <si>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</si>
  <si>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</si>
  <si>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</si>
  <si>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</si>
  <si>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</si>
  <si>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</si>
  <si>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</si>
  <si>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</si>
  <si>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</si>
  <si>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</si>
  <si>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</si>
  <si>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</si>
  <si>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</si>
  <si>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</si>
  <si>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</si>
  <si>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</si>
  <si>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</si>
  <si>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</si>
  <si>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</si>
  <si>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</si>
  <si>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</si>
  <si>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</si>
  <si>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</si>
  <si>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</si>
  <si>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</si>
  <si>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</si>
  <si>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</si>
  <si>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</si>
  <si>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</si>
  <si>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</si>
  <si>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</si>
  <si>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</si>
  <si>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</si>
  <si>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</si>
  <si>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</si>
  <si>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</si>
  <si>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</si>
  <si>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</si>
  <si>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</si>
  <si>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</si>
  <si>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</si>
  <si>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</si>
  <si>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</si>
  <si>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</si>
  <si>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</si>
  <si>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</si>
  <si>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</si>
  <si>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</si>
  <si>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</si>
  <si>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</si>
  <si>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</si>
  <si>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</si>
  <si>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</si>
  <si>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</si>
  <si>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</si>
  <si>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</si>
  <si>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</si>
  <si>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</si>
  <si>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</si>
  <si>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</si>
  <si>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</si>
  <si>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</si>
  <si>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</si>
  <si>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</si>
  <si>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</si>
  <si>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</si>
  <si>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</si>
  <si>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</si>
  <si>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</si>
  <si>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</si>
  <si>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</si>
  <si>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</si>
  <si>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</si>
  <si>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</si>
  <si>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</si>
  <si>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</si>
  <si>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</si>
  <si>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</si>
  <si>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</si>
  <si>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</si>
  <si>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</si>
  <si>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</si>
  <si>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</si>
  <si>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</si>
  <si>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</si>
  <si>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</si>
  <si>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</si>
  <si>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</si>
  <si>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</si>
  <si>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</si>
  <si>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</si>
  <si>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</si>
  <si>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</si>
  <si>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</si>
  <si>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</si>
  <si>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</si>
  <si>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</si>
  <si>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</si>
  <si>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</si>
  <si>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</si>
  <si>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</si>
  <si>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</si>
  <si>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</si>
  <si>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</si>
  <si>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</si>
  <si>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</si>
  <si>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</si>
  <si>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</si>
  <si>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</si>
  <si>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</si>
  <si>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</si>
  <si>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</si>
  <si>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</si>
  <si>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</si>
  <si>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</si>
  <si>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</si>
  <si>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</si>
  <si>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</si>
  <si>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</si>
  <si>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</si>
  <si>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</si>
  <si>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</si>
  <si>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</si>
  <si>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</si>
  <si>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</si>
  <si>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</si>
  <si>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</si>
  <si>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</si>
  <si>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</si>
  <si>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</si>
  <si>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</si>
  <si>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</si>
  <si>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</si>
  <si>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</si>
  <si>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</si>
  <si>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</si>
  <si>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</si>
  <si>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</si>
  <si>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</si>
  <si>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</si>
  <si>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</si>
  <si>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</si>
  <si>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</si>
  <si>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</si>
  <si>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</si>
  <si>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</si>
  <si>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</si>
  <si>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</si>
  <si>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</si>
  <si>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</si>
  <si>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</si>
  <si>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</si>
  <si>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</si>
  <si>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</si>
  <si>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</si>
  <si>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</si>
  <si>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</si>
  <si>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</si>
  <si>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</si>
  <si>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</si>
  <si>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</si>
  <si>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</si>
  <si>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</si>
  <si>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</si>
  <si>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</si>
  <si>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</si>
  <si>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</si>
  <si>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</si>
  <si>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</si>
  <si>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</si>
  <si>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</si>
  <si>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</si>
  <si>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</si>
  <si>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</si>
  <si>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</si>
  <si>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</si>
  <si>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</si>
  <si>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</si>
  <si>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</si>
  <si>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</si>
  <si>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إجراءات سرية التزويد والنقل في المنطقة الإدارية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</si>
  <si>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أ. انتخاب أرض صلبة.</t>
  </si>
  <si>
    <t>ب. طبيعة الأرض تساعد على التخفية والتستر والانتشار.</t>
  </si>
  <si>
    <t>جـ. قريبة من طرق الامداد.</t>
  </si>
  <si>
    <t>د. لا يتعارض موقع نقطة التزويد مع الخطط الاخرى.</t>
  </si>
  <si>
    <t>هـ. يمكن الدفاع عنها بأقل التجهيزات وأقل عدد من الافراد.</t>
  </si>
  <si>
    <t>و. يسهل تمييزها من قبل الوحدات المستفيدة من هذه النقطة.</t>
  </si>
  <si>
    <t>ز. قريبة من موارد المياه.</t>
  </si>
  <si>
    <t>ح. خارج مدى رماية مدفعية الميدان للعدو.</t>
  </si>
  <si>
    <t>أ. نقطة تزويد ذخيرة.</t>
  </si>
  <si>
    <t>ب. نقطة تزويد وقود.</t>
  </si>
  <si>
    <t>جـ. نقطة تزويد مياه.</t>
  </si>
  <si>
    <t>د. نقطة تزويد ارزاق.</t>
  </si>
  <si>
    <t>هـ. نقطة تزويد مشتركة.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</si>
  <si>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الكشف من الخارطة وانتخاب موقع قيادة سرية التزويد والنقل.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</si>
  <si>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انفتاح سرية التزويد والنقل في المنطقة الإدارية على مسافة آمنة  من الحد الأمامي.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</si>
  <si>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إلمام مرتب السرية باستخدام الأجهزة الاشارية.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</si>
  <si>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المام المرتب بخطة الاسناد الإداري.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</si>
  <si>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انتخاب مواقع نقاط التزويد حسب الشروط التالية: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</si>
  <si>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u/>
        <sz val="12"/>
        <color rgb="FF000000"/>
        <rFont val="Arial"/>
        <family val="2"/>
      </rPr>
      <t>فتح نقاط التزويد التالية:</t>
    </r>
  </si>
  <si>
    <t>الرائد/ محمد خليفة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</si>
</sst>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u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12" fillId="0" borderId="24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8" xfId="0" applyFont="1" applyBorder="1" applyAlignment="1">
      <alignment horizontal="right" vertical="center" wrapText="1" readingOrder="2"/>
    </xf>
    <xf numFmtId="0" fontId="12" fillId="0" borderId="9" xfId="0" applyFont="1" applyBorder="1" applyAlignment="1">
      <alignment horizontal="right" vertical="center" wrapText="1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3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0" Type="http://schemas.openxmlformats.org/officeDocument/2006/relationships/image" Target="../media/image5.png"/><Relationship Id="rId9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726511</xdr:colOff>
      <xdr:row>2</xdr:row>
      <xdr:rowOff>168900</xdr:rowOff>
    </xdr:from>
    <xdr:to>
      <xdr:col>3</xdr:col>
      <xdr:colOff>875911</xdr:colOff>
      <xdr:row>2</xdr:row>
      <xdr:rowOff>183660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37A2F40-780B-AC9C-2C7F-C8009765A588}"/>
                </a:ext>
              </a:extLst>
            </xdr14:cNvPr>
            <xdr14:cNvContentPartPr/>
          </xdr14:nvContentPartPr>
          <xdr14:nvPr macro=""/>
          <xdr14:xfrm>
            <a:off x="10402992953" y="1121400"/>
            <a:ext cx="149400" cy="14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37A2F40-780B-AC9C-2C7F-C8009765A5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2986833" y="1115280"/>
              <a:ext cx="16164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90156</xdr:colOff>
      <xdr:row>30</xdr:row>
      <xdr:rowOff>295333</xdr:rowOff>
    </xdr:from>
    <xdr:to>
      <xdr:col>7</xdr:col>
      <xdr:colOff>202476</xdr:colOff>
      <xdr:row>30</xdr:row>
      <xdr:rowOff>330253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2BC4ED3-E0C2-BE19-04BA-CD19606449AC}"/>
                </a:ext>
              </a:extLst>
            </xdr14:cNvPr>
            <xdr14:cNvContentPartPr/>
          </xdr14:nvContentPartPr>
          <xdr14:nvPr macro=""/>
          <xdr14:xfrm>
            <a:off x="10399700524" y="11990880"/>
            <a:ext cx="112320" cy="349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2BC4ED3-E0C2-BE19-04BA-CD19606449A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694424" y="11984760"/>
              <a:ext cx="124521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23916</xdr:colOff>
      <xdr:row>30</xdr:row>
      <xdr:rowOff>184453</xdr:rowOff>
    </xdr:from>
    <xdr:to>
      <xdr:col>8</xdr:col>
      <xdr:colOff>95182</xdr:colOff>
      <xdr:row>31</xdr:row>
      <xdr:rowOff>99510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971CD50-DDF2-A37D-4F23-3B608AD99F04}"/>
                </a:ext>
              </a:extLst>
            </xdr14:cNvPr>
            <xdr14:cNvContentPartPr/>
          </xdr14:nvContentPartPr>
          <xdr14:nvPr macro=""/>
          <xdr14:xfrm>
            <a:off x="10399149724" y="11880000"/>
            <a:ext cx="729360" cy="5616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971CD50-DDF2-A37D-4F23-3B608AD99F0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143607" y="11873880"/>
              <a:ext cx="741594" cy="57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388256</xdr:colOff>
      <xdr:row>30</xdr:row>
      <xdr:rowOff>496213</xdr:rowOff>
    </xdr:from>
    <xdr:to>
      <xdr:col>9</xdr:col>
      <xdr:colOff>125412</xdr:colOff>
      <xdr:row>35</xdr:row>
      <xdr:rowOff>152497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2837B06-A320-2FD9-743D-A29F4B30B996}"/>
                </a:ext>
              </a:extLst>
            </xdr14:cNvPr>
            <xdr14:cNvContentPartPr/>
          </xdr14:nvContentPartPr>
          <xdr14:nvPr macro=""/>
          <xdr14:xfrm>
            <a:off x="10398461404" y="12191760"/>
            <a:ext cx="2369520" cy="10879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2837B06-A320-2FD9-743D-A29F4B30B99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8455283" y="12185640"/>
              <a:ext cx="2381762" cy="110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6:43:56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414 38 7657,'0'0'0,"0"0"0,-33 0 1080,1 0-648,-4-2-135,3 1-161,33 1-136,-22-4-8,3-2 64,-5 0-8,4 2 56,20 4-104,-24-4 104,3-1 48,1 4 40,1-2-104,19 3-88,-14-1 104,-5 1-40,4 0-144,1 0 88,14 0-8,-15 0 48,6 0-80,1 0-24,-6 4-160,14-4 216,0 3-424,0 0-281,-2 0-263,2-1-192,0-2 1160,0 3-1448,0 0-161,2 0 105,-2 8 128,0-11 1376,2 5-784,-2-5 784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6:44:41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 97 12146,'-82'-14'0,"72"13"768,2 0-376,-2 0-88,2-1-104,8 2-200,-16 0 144,14 0-88,2 0-120,0 0 56,0 0 8,44-15-224,-40 15-256,2-2-448,4-1-552,-10 3 1480,186-39-1953,-168 30-551,2 6-241,4-3 145,-24 6 2600,0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6:44:43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1339 641 4512,'4'-12'0,"-2"5"1281,-2 7-1281,35-81 0,-35 73-176,2 0 8,2 7 88,-4 1 80,25-13 40,-23 10 96,6 2 72,-8-1 216,0 2-424,0-14 624,0 13 152,0-1 160,0 0-79,0 2-857,-6-47 776,6 45-128,0-5-120,0 5-128,0 2-400,-4-60 320,4 57-96,-2-5-96,2 1 0,0 7-128,-3-91 72,3 83-24,0 0 40,0-1-56,0 9-32,3-73 0,-3 66 40,2-2-24,-2 0-16,0 9 0,16-79 64,-14 71-48,-2 1 0,4 4 72,-4 3-88,25-34 0,-23 33 32,6-1 0,-8 1-32,0 1 0,0 1 96,0-2-40,0 1-40,0 0-8,0 0-8,37 0-24,-35 0 24,7 0 56,-7 0-48,-2 0-8,115 0 24,-105 0-32,2 0-8,1 0-24,-13 0 40,148 25-48,-134-23 24,0 1-56,1 5 64,-15-8 16,82 69-48,-74-58-24,-1-3 0,-5 1 104,-2-9-32,12 151 16,-10-138-24,-2 3-80,0-1-312,0-15 400,-76 179-536,68-162-24,-1 2 64,-3-1 200,12-18 296,-129 134-120,116-119 120,-1-1 104,2-3 0,12-11-104,-132 79 160,118-70-32,3-2 24,-1-5 8,12-2-160,-95 37 168,85-37 80,2 2 8,0-2 176,8 0-432,-58-14 672,46 14 232,5-2 137,5-2 63,2 4-1104,-47-76 1032,41 72-80,4-5 73,0 1-185,2 8-840,-23-103 664,21 93-144,2-1-248,-4 0-24,4 11-248,-4-120 128,4 108-88,0 0-40,0 1-128,0 11 128,2-94-248,0 83-192,-2 3-16,0 4 88,0 4 368,10-35-208,-10 32 192,0 3 56,2 0 0,-2 0-40,4 16 96,-4-16 56,1 0 0,-1 3-24,0-3-128,4 56 96,-2-48-16,-2-5-120,0 7-96,0-10 136,0 106-296,0-97-48,0 1-8,0 1 32,0-11 320,-6 88-256,6-79 16,0 1 31,-1-1 89,1-9 120,-55 108 0,47-98 120,6-2 185,-7 3 7,9-11-312,-88 59 408,80-52-32,-2 1-144,1-5 8,9-3-240,-90 52 216,80-51-40,3 2 16,1-1 0,6-2-192,-53 0 144,51 0 8,-6 0 48,7 0-16,1 0-184,-26-27 232,24 24 88,-2-4-56,2 5 40,2 2-304,-40-46 272,36 44-112,-2-5 17,4 4-97,2 3-80,-29-15 112,27 13-8,0 1-16,0 0 112,2 1-200,-25-3 224,23 3 0,0 0 24,0 3 0,2-3-248,-66 87 184,56-79 40,4 1-96,-2 3 16,8-12-144,-91 148 128,81-134-40,2 2 80,-2 0-56,10-16-112,-91 153 48,81-138 48,0-1-80,3-2-48,7-12 32,-88 108 104,80-98-104,0-1-16,1 0 64,7-9-48,-80 61 40,70-54 64,4-5-64,-1 6-24,7-8-16,-36 32 0,29-29-16,5-1 48,0-1 8,2-1-40,-22 0 16,20 0-16,2 0-72,-2 0-32,2 0 104,-40 0-160,38 0-184,-4 0-376,2 0-832,4 0 1552,-53-41-3105,49 39-744,-3-6-848,3 2-1664,4 6 6361,-8-40-4521,8 40 4521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6:44:44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1517 74 17267,'-34'-16'0,"24"15"1753,2-1-1601,8 2-152,-25 0 64,23 0-96,2 0-8,0 0 48,0 0-8,-54 65-8,52-59 96,-8 3 48,1 3 8,9-12-144,-149 222 176,135-202 0,-1 3 144,-5 4-128,20-27-192,-222 392 160,200-355 24,1 5-88,-2-1 112,23-41-208,-203 430 128,181-387-48,5-4-160,-1-1 64,18-38 16,-129 297 16,115-265-16,5-5 24,-3 1-24,12-28 0,-101 229 16,94-207 8,-3-1 24,0-1-56,10-20 8,-95 186 0,88-169 0,-5 0 8,2 1 24,10-18-32,-124 184 8,113-166 8,-1 0 24,1 0-64,11-18 24,-39 130 0,37-117-40,0-1-16,2-3 80,0-9-24,70 46-24,-68-44 120,11 5 40,1-7 24,-14 0-160,321-66 208,-292 65-544,8-9-272,5-4-104,-42 14 712,622-299-792,-564 270 456,6-6 192,5-5 48,-69 40 96,786-482-48,-710 437 32,1-3 64,1 1-8,-78 47-40,712-418 56,-641 376-16,-5 5-40,-6 4 64,-60 33-64,515-286 8,-467 258 16,-1 2 16,-1 0-56,-46 26 16,504-241 16,-456 217 8,0 0-112,7 2 80,-55 22 8,611-214-16,-549 192-32,-2 3-48,0 0-65,-60 19 161,622-169-216,-561 152-200,-2 2-1512,2-4-2897,-61 19 4825,194-54-6313,-194 54 6313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1"/>
  <sheetViews>
    <sheetView rightToLeft="1" tabSelected="1" view="pageBreakPreview" topLeftCell="A29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6" t="s">
        <v>180</v>
      </c>
      <c r="C1" s="66"/>
      <c r="D1" s="66"/>
      <c r="E1" s="66"/>
      <c r="F1" s="66"/>
      <c r="G1" s="66"/>
      <c r="H1" s="66"/>
      <c r="I1" s="66"/>
      <c r="J1" s="66"/>
    </row>
    <row r="2" spans="1:10" ht="30" customHeight="1" x14ac:dyDescent="0.3">
      <c r="B2" s="11" t="s">
        <v>8</v>
      </c>
      <c r="C2" s="72" t="s">
        <v>33</v>
      </c>
      <c r="D2" s="72"/>
      <c r="E2" s="11" t="s">
        <v>7</v>
      </c>
      <c r="F2" s="67">
        <v>45954</v>
      </c>
      <c r="G2" s="67"/>
      <c r="H2" s="67"/>
      <c r="I2" s="67"/>
      <c r="J2" s="67"/>
    </row>
    <row r="3" spans="1:10" ht="30" customHeight="1" x14ac:dyDescent="0.3">
      <c r="B3" s="11" t="s">
        <v>9</v>
      </c>
      <c r="C3" s="72" t="s">
        <v>60</v>
      </c>
      <c r="D3" s="72"/>
      <c r="E3" s="11" t="s">
        <v>6</v>
      </c>
      <c r="F3" s="72" t="s">
        <v>120</v>
      </c>
      <c r="G3" s="72"/>
      <c r="H3" s="72"/>
      <c r="I3" s="72"/>
      <c r="J3" s="72"/>
    </row>
    <row r="4" spans="1:10" ht="30" customHeight="1" thickBot="1" x14ac:dyDescent="0.35">
      <c r="B4" s="6"/>
      <c r="C4" s="77" t="s">
        <v>200</v>
      </c>
      <c r="D4" s="77"/>
      <c r="E4" s="6"/>
      <c r="F4" s="77"/>
      <c r="G4" s="77"/>
      <c r="H4" s="77"/>
      <c r="I4" s="77"/>
      <c r="J4" s="77"/>
    </row>
    <row r="5" spans="1:10" ht="24.9" customHeight="1" x14ac:dyDescent="0.3">
      <c r="A5" s="9"/>
      <c r="B5" s="68" t="s">
        <v>0</v>
      </c>
      <c r="C5" s="69"/>
      <c r="D5" s="69"/>
      <c r="E5" s="73" t="s">
        <v>1</v>
      </c>
      <c r="F5" s="73"/>
      <c r="G5" s="73"/>
      <c r="H5" s="73"/>
      <c r="I5" s="73" t="s">
        <v>2</v>
      </c>
      <c r="J5" s="74"/>
    </row>
    <row r="6" spans="1:10" ht="24.9" customHeight="1" thickBot="1" x14ac:dyDescent="0.35">
      <c r="A6" s="9"/>
      <c r="B6" s="70"/>
      <c r="C6" s="71"/>
      <c r="D6" s="71"/>
      <c r="E6" s="10" t="s">
        <v>3</v>
      </c>
      <c r="F6" s="10" t="s">
        <v>4</v>
      </c>
      <c r="G6" s="10" t="s">
        <v>23</v>
      </c>
      <c r="H6" s="10" t="s">
        <v>24</v>
      </c>
      <c r="I6" s="75"/>
      <c r="J6" s="76"/>
    </row>
    <row r="7" spans="1:10" ht="24.9" customHeight="1" thickBot="1" x14ac:dyDescent="0.35">
      <c r="A7" s="9"/>
      <c r="B7" s="41" t="s">
        <v>21</v>
      </c>
      <c r="C7" s="42"/>
      <c r="D7" s="42"/>
      <c r="E7" s="28" t="s">
        <v>18</v>
      </c>
      <c r="F7" s="28" t="s">
        <v>19</v>
      </c>
      <c r="G7" s="28" t="s">
        <v>22</v>
      </c>
      <c r="H7" s="28" t="s">
        <v>20</v>
      </c>
      <c r="I7" s="78" t="s">
        <v>25</v>
      </c>
      <c r="J7" s="79"/>
    </row>
    <row r="8" spans="1:10" ht="30" customHeight="1" thickBot="1" x14ac:dyDescent="0.35">
      <c r="A8" s="9"/>
      <c r="B8" s="84" t="s">
        <v>194</v>
      </c>
      <c r="C8" s="85"/>
      <c r="D8" s="85"/>
      <c r="E8" s="8">
        <v>10</v>
      </c>
      <c r="F8" s="39">
        <v>7.75</v>
      </c>
      <c r="G8" s="40">
        <f>IFERROR(F8/E8,"")</f>
        <v>0.77500000000000002</v>
      </c>
      <c r="H8" s="27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3"/>
      <c r="J8" s="44"/>
    </row>
    <row r="9" spans="1:10" ht="39.9" customHeight="1" thickBot="1" x14ac:dyDescent="0.35">
      <c r="A9" s="9"/>
      <c r="B9" s="84" t="s">
        <v>195</v>
      </c>
      <c r="C9" s="85"/>
      <c r="D9" s="85"/>
      <c r="E9" s="8">
        <v>10</v>
      </c>
      <c r="F9" s="39">
        <v>7</v>
      </c>
      <c r="G9" s="40">
        <f>IFERROR(F9/E9,"")</f>
        <v>0.7</v>
      </c>
      <c r="H9" s="27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4"/>
    </row>
    <row r="10" spans="1:10" ht="30" customHeight="1" thickBot="1" x14ac:dyDescent="0.35">
      <c r="A10" s="9"/>
      <c r="B10" s="84" t="s">
        <v>196</v>
      </c>
      <c r="C10" s="85"/>
      <c r="D10" s="85"/>
      <c r="E10" s="8">
        <v>10</v>
      </c>
      <c r="F10" s="39">
        <v>7.5</v>
      </c>
      <c r="G10" s="40">
        <f t="shared" ref="G10:G26" si="0">IFERROR(F10/E10,"")</f>
        <v>0.75</v>
      </c>
      <c r="H10" s="27" t="str">
        <f t="shared" ref="H10:H26" si="1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4"/>
    </row>
    <row r="11" spans="1:10" ht="30" customHeight="1" thickBot="1" x14ac:dyDescent="0.35">
      <c r="A11" s="9"/>
      <c r="B11" s="84" t="s">
        <v>197</v>
      </c>
      <c r="C11" s="85"/>
      <c r="D11" s="85"/>
      <c r="E11" s="8">
        <v>10</v>
      </c>
      <c r="F11" s="39">
        <v>7.25</v>
      </c>
      <c r="G11" s="40">
        <f t="shared" si="0"/>
        <v>0.72499999999999998</v>
      </c>
      <c r="H11" s="27" t="str">
        <f t="shared" si="1"/>
        <v>جيد</v>
      </c>
      <c r="I11" s="43"/>
      <c r="J11" s="44"/>
    </row>
    <row r="12" spans="1:10" ht="30" customHeight="1" x14ac:dyDescent="0.3">
      <c r="A12" s="9"/>
      <c r="B12" s="86" t="s">
        <v>198</v>
      </c>
      <c r="C12" s="87"/>
      <c r="D12" s="87"/>
      <c r="E12" s="32">
        <v>10</v>
      </c>
      <c r="F12" s="33">
        <v>7.5</v>
      </c>
      <c r="G12" s="34">
        <f t="shared" si="0"/>
        <v>0.75</v>
      </c>
      <c r="H12" s="35" t="str">
        <f t="shared" si="1"/>
        <v>جيد</v>
      </c>
      <c r="I12" s="51"/>
      <c r="J12" s="52"/>
    </row>
    <row r="13" spans="1:10" ht="30" customHeight="1" x14ac:dyDescent="0.3">
      <c r="A13" s="9"/>
      <c r="B13" s="82" t="s">
        <v>181</v>
      </c>
      <c r="C13" s="83"/>
      <c r="D13" s="83"/>
      <c r="E13" s="7">
        <v>10</v>
      </c>
      <c r="F13" s="25">
        <v>8</v>
      </c>
      <c r="G13" s="30">
        <f t="shared" si="0"/>
        <v>0.8</v>
      </c>
      <c r="H13" s="31" t="str">
        <f t="shared" si="1"/>
        <v>جيد جداً</v>
      </c>
      <c r="I13" s="49"/>
      <c r="J13" s="50"/>
    </row>
    <row r="14" spans="1:10" ht="30" customHeight="1" x14ac:dyDescent="0.3">
      <c r="A14" s="9"/>
      <c r="B14" s="82" t="s">
        <v>182</v>
      </c>
      <c r="C14" s="83"/>
      <c r="D14" s="83"/>
      <c r="E14" s="7">
        <v>10</v>
      </c>
      <c r="F14" s="25">
        <v>7.5</v>
      </c>
      <c r="G14" s="30">
        <f t="shared" si="0"/>
        <v>0.75</v>
      </c>
      <c r="H14" s="31" t="str">
        <f t="shared" si="1"/>
        <v>جيد</v>
      </c>
      <c r="I14" s="49"/>
      <c r="J14" s="50"/>
    </row>
    <row r="15" spans="1:10" ht="30" customHeight="1" x14ac:dyDescent="0.3">
      <c r="A15" s="9"/>
      <c r="B15" s="82" t="s">
        <v>183</v>
      </c>
      <c r="C15" s="83"/>
      <c r="D15" s="83"/>
      <c r="E15" s="7">
        <v>10</v>
      </c>
      <c r="F15" s="25">
        <v>7.25</v>
      </c>
      <c r="G15" s="30">
        <f t="shared" si="0"/>
        <v>0.72499999999999998</v>
      </c>
      <c r="H15" s="31" t="str">
        <f t="shared" si="1"/>
        <v>جيد</v>
      </c>
      <c r="I15" s="49"/>
      <c r="J15" s="50"/>
    </row>
    <row r="16" spans="1:10" ht="30" customHeight="1" x14ac:dyDescent="0.3">
      <c r="A16" s="9"/>
      <c r="B16" s="82" t="s">
        <v>184</v>
      </c>
      <c r="C16" s="83"/>
      <c r="D16" s="83"/>
      <c r="E16" s="7">
        <v>10</v>
      </c>
      <c r="F16" s="25">
        <v>7.5</v>
      </c>
      <c r="G16" s="30">
        <f t="shared" si="0"/>
        <v>0.75</v>
      </c>
      <c r="H16" s="31" t="str">
        <f t="shared" si="1"/>
        <v>جيد</v>
      </c>
      <c r="I16" s="49"/>
      <c r="J16" s="50"/>
    </row>
    <row r="17" spans="1:10" ht="30" customHeight="1" x14ac:dyDescent="0.3">
      <c r="A17" s="9"/>
      <c r="B17" s="82" t="s">
        <v>185</v>
      </c>
      <c r="C17" s="83"/>
      <c r="D17" s="83"/>
      <c r="E17" s="7">
        <v>10</v>
      </c>
      <c r="F17" s="25">
        <v>8</v>
      </c>
      <c r="G17" s="30">
        <f t="shared" si="0"/>
        <v>0.8</v>
      </c>
      <c r="H17" s="31" t="str">
        <f t="shared" si="1"/>
        <v>جيد جداً</v>
      </c>
      <c r="I17" s="49"/>
      <c r="J17" s="50"/>
    </row>
    <row r="18" spans="1:10" ht="30" customHeight="1" x14ac:dyDescent="0.3">
      <c r="A18" s="9"/>
      <c r="B18" s="82" t="s">
        <v>186</v>
      </c>
      <c r="C18" s="83"/>
      <c r="D18" s="83"/>
      <c r="E18" s="7">
        <v>10</v>
      </c>
      <c r="F18" s="25">
        <v>7.75</v>
      </c>
      <c r="G18" s="30">
        <f t="shared" si="0"/>
        <v>0.77500000000000002</v>
      </c>
      <c r="H18" s="31" t="str">
        <f t="shared" si="1"/>
        <v>جيد</v>
      </c>
      <c r="I18" s="49"/>
      <c r="J18" s="50"/>
    </row>
    <row r="19" spans="1:10" ht="30" customHeight="1" x14ac:dyDescent="0.3">
      <c r="A19" s="9"/>
      <c r="B19" s="82" t="s">
        <v>187</v>
      </c>
      <c r="C19" s="83"/>
      <c r="D19" s="83"/>
      <c r="E19" s="7">
        <v>10</v>
      </c>
      <c r="F19" s="25">
        <v>7.25</v>
      </c>
      <c r="G19" s="30">
        <f t="shared" si="0"/>
        <v>0.72499999999999998</v>
      </c>
      <c r="H19" s="31" t="str">
        <f t="shared" si="1"/>
        <v>جيد</v>
      </c>
      <c r="I19" s="49"/>
      <c r="J19" s="50"/>
    </row>
    <row r="20" spans="1:10" ht="30" customHeight="1" thickBot="1" x14ac:dyDescent="0.35">
      <c r="A20" s="9"/>
      <c r="B20" s="88" t="s">
        <v>188</v>
      </c>
      <c r="C20" s="89"/>
      <c r="D20" s="89"/>
      <c r="E20" s="36">
        <v>10</v>
      </c>
      <c r="F20" s="26">
        <v>8</v>
      </c>
      <c r="G20" s="37">
        <f t="shared" si="0"/>
        <v>0.8</v>
      </c>
      <c r="H20" s="38" t="str">
        <f t="shared" si="1"/>
        <v>جيد جداً</v>
      </c>
      <c r="I20" s="47"/>
      <c r="J20" s="48"/>
    </row>
    <row r="21" spans="1:10" ht="30" customHeight="1" x14ac:dyDescent="0.3">
      <c r="A21" s="9"/>
      <c r="B21" s="86" t="s">
        <v>199</v>
      </c>
      <c r="C21" s="87"/>
      <c r="D21" s="87"/>
      <c r="E21" s="32">
        <v>10</v>
      </c>
      <c r="F21" s="33">
        <v>8.25</v>
      </c>
      <c r="G21" s="34">
        <f t="shared" si="0"/>
        <v>0.82499999999999996</v>
      </c>
      <c r="H21" s="35" t="str">
        <f t="shared" si="1"/>
        <v>جيد جداً</v>
      </c>
      <c r="I21" s="51"/>
      <c r="J21" s="52"/>
    </row>
    <row r="22" spans="1:10" ht="30" customHeight="1" x14ac:dyDescent="0.3">
      <c r="A22" s="9"/>
      <c r="B22" s="82" t="s">
        <v>189</v>
      </c>
      <c r="C22" s="83"/>
      <c r="D22" s="83"/>
      <c r="E22" s="7">
        <v>10</v>
      </c>
      <c r="F22" s="25">
        <v>7.5</v>
      </c>
      <c r="G22" s="30">
        <f t="shared" si="0"/>
        <v>0.75</v>
      </c>
      <c r="H22" s="31" t="str">
        <f t="shared" si="1"/>
        <v>جيد</v>
      </c>
      <c r="I22" s="49"/>
      <c r="J22" s="50"/>
    </row>
    <row r="23" spans="1:10" ht="30" customHeight="1" x14ac:dyDescent="0.3">
      <c r="A23" s="9"/>
      <c r="B23" s="82" t="s">
        <v>190</v>
      </c>
      <c r="C23" s="83"/>
      <c r="D23" s="83"/>
      <c r="E23" s="7">
        <v>10</v>
      </c>
      <c r="F23" s="25">
        <v>7.5</v>
      </c>
      <c r="G23" s="30">
        <f t="shared" si="0"/>
        <v>0.75</v>
      </c>
      <c r="H23" s="31" t="str">
        <f t="shared" si="1"/>
        <v>جيد</v>
      </c>
      <c r="I23" s="49"/>
      <c r="J23" s="50"/>
    </row>
    <row r="24" spans="1:10" ht="30" customHeight="1" x14ac:dyDescent="0.3">
      <c r="A24" s="9"/>
      <c r="B24" s="82" t="s">
        <v>191</v>
      </c>
      <c r="C24" s="83"/>
      <c r="D24" s="83"/>
      <c r="E24" s="7">
        <v>10</v>
      </c>
      <c r="F24" s="25">
        <v>7.25</v>
      </c>
      <c r="G24" s="30">
        <f t="shared" si="0"/>
        <v>0.72499999999999998</v>
      </c>
      <c r="H24" s="31" t="str">
        <f t="shared" si="1"/>
        <v>جيد</v>
      </c>
      <c r="I24" s="49"/>
      <c r="J24" s="50"/>
    </row>
    <row r="25" spans="1:10" ht="30" customHeight="1" x14ac:dyDescent="0.3">
      <c r="A25" s="9"/>
      <c r="B25" s="82" t="s">
        <v>192</v>
      </c>
      <c r="C25" s="83"/>
      <c r="D25" s="83"/>
      <c r="E25" s="7">
        <v>10</v>
      </c>
      <c r="F25" s="25">
        <v>7.5</v>
      </c>
      <c r="G25" s="30">
        <f t="shared" si="0"/>
        <v>0.75</v>
      </c>
      <c r="H25" s="31" t="str">
        <f t="shared" si="1"/>
        <v>جيد</v>
      </c>
      <c r="I25" s="49"/>
      <c r="J25" s="50"/>
    </row>
    <row r="26" spans="1:10" ht="30" customHeight="1" thickBot="1" x14ac:dyDescent="0.35">
      <c r="A26" s="9"/>
      <c r="B26" s="88" t="s">
        <v>193</v>
      </c>
      <c r="C26" s="89"/>
      <c r="D26" s="89"/>
      <c r="E26" s="36">
        <v>10</v>
      </c>
      <c r="F26" s="26">
        <v>7.25</v>
      </c>
      <c r="G26" s="37">
        <f t="shared" si="0"/>
        <v>0.72499999999999998</v>
      </c>
      <c r="H26" s="38" t="str">
        <f t="shared" si="1"/>
        <v>جيد</v>
      </c>
      <c r="I26" s="47"/>
      <c r="J26" s="48"/>
    </row>
    <row r="27" spans="1:10" ht="30" customHeight="1" thickBot="1" x14ac:dyDescent="0.35">
      <c r="A27" s="4"/>
      <c r="B27" s="45" t="s">
        <v>5</v>
      </c>
      <c r="C27" s="46"/>
      <c r="D27" s="46"/>
      <c r="E27" s="29">
        <f>SUM(E8:E26)</f>
        <v>190</v>
      </c>
      <c r="F27" s="29">
        <f>SUM(F8:F26)</f>
        <v>143.5</v>
      </c>
      <c r="G27" s="53"/>
      <c r="H27" s="54"/>
      <c r="I27" s="54"/>
      <c r="J27" s="55"/>
    </row>
    <row r="28" spans="1:10" ht="30" customHeight="1" thickBot="1" x14ac:dyDescent="0.35">
      <c r="A28" s="4"/>
      <c r="B28" s="60" t="s">
        <v>54</v>
      </c>
      <c r="C28" s="61"/>
      <c r="D28" s="61"/>
      <c r="E28" s="64">
        <f>F27/E27/100*100</f>
        <v>0.75526315789473686</v>
      </c>
      <c r="F28" s="64"/>
      <c r="G28" s="64"/>
      <c r="H28" s="64"/>
      <c r="I28" s="64"/>
      <c r="J28" s="65"/>
    </row>
    <row r="29" spans="1:10" ht="30" customHeight="1" thickBot="1" x14ac:dyDescent="0.35">
      <c r="A29" s="4"/>
      <c r="B29" s="60" t="s">
        <v>55</v>
      </c>
      <c r="C29" s="61"/>
      <c r="D29" s="61"/>
      <c r="E29" s="58" t="str">
        <f>_xlfn.IFS(E28&gt;=90%,"ممتاز",E28&gt;=80%,"جيد جداً",E28&gt;=70%,"جيد",E28&gt;=60%,"مقبول",E28&lt;60%,"راسب")</f>
        <v>جيد</v>
      </c>
      <c r="F29" s="58"/>
      <c r="G29" s="58"/>
      <c r="H29" s="58"/>
      <c r="I29" s="58"/>
      <c r="J29" s="59"/>
    </row>
    <row r="30" spans="1:10" ht="42" customHeight="1" x14ac:dyDescent="0.3">
      <c r="B30" s="80" t="s">
        <v>174</v>
      </c>
      <c r="C30" s="80"/>
      <c r="D30" s="80"/>
      <c r="E30" s="62" t="s">
        <v>52</v>
      </c>
      <c r="F30" s="62"/>
      <c r="G30" s="56" t="s">
        <v>120</v>
      </c>
      <c r="H30" s="56"/>
      <c r="I30" s="56"/>
      <c r="J30" s="56"/>
    </row>
    <row r="31" spans="1:10" ht="51" customHeight="1" x14ac:dyDescent="0.3">
      <c r="A31" s="5"/>
      <c r="B31" s="81"/>
      <c r="C31" s="81"/>
      <c r="D31" s="81"/>
      <c r="E31" s="63" t="s">
        <v>53</v>
      </c>
      <c r="F31" s="63"/>
      <c r="G31" s="57"/>
      <c r="H31" s="57"/>
      <c r="I31" s="57"/>
      <c r="J31" s="57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B26:D2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I11:J11"/>
    <mergeCell ref="I12:J12"/>
    <mergeCell ref="I13:J13"/>
    <mergeCell ref="I14:J14"/>
    <mergeCell ref="I15:J15"/>
    <mergeCell ref="I16:J16"/>
    <mergeCell ref="B1:J1"/>
    <mergeCell ref="F2:J2"/>
    <mergeCell ref="B5:D6"/>
    <mergeCell ref="C2:D2"/>
    <mergeCell ref="C3:D3"/>
    <mergeCell ref="F3:J3"/>
    <mergeCell ref="E5:H5"/>
    <mergeCell ref="I5:J6"/>
    <mergeCell ref="C4:D4"/>
    <mergeCell ref="F4:J4"/>
    <mergeCell ref="G30:J30"/>
    <mergeCell ref="G31:J31"/>
    <mergeCell ref="E29:J29"/>
    <mergeCell ref="B28:D28"/>
    <mergeCell ref="B29:D29"/>
    <mergeCell ref="E30:F30"/>
    <mergeCell ref="E31:F31"/>
    <mergeCell ref="E28:J28"/>
    <mergeCell ref="B30:D31"/>
    <mergeCell ref="B7:D7"/>
    <mergeCell ref="I8:J8"/>
    <mergeCell ref="B27:D27"/>
    <mergeCell ref="I26:J26"/>
    <mergeCell ref="I22:J22"/>
    <mergeCell ref="I23:J23"/>
    <mergeCell ref="I24:J24"/>
    <mergeCell ref="I25:J25"/>
    <mergeCell ref="I17:J17"/>
    <mergeCell ref="I18:J18"/>
    <mergeCell ref="I19:J19"/>
    <mergeCell ref="I20:J20"/>
    <mergeCell ref="I21:J21"/>
    <mergeCell ref="G27:J27"/>
    <mergeCell ref="I7:J7"/>
    <mergeCell ref="I10:J1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9">
    <cfRule type="expression" dxfId="14" priority="57">
      <formula>$E29="راسب"</formula>
    </cfRule>
  </conditionalFormatting>
  <conditionalFormatting sqref="E29:J29">
    <cfRule type="expression" dxfId="13" priority="58">
      <formula>$E29="مقبول"</formula>
    </cfRule>
    <cfRule type="expression" dxfId="12" priority="59">
      <formula>$E29="جيد"</formula>
    </cfRule>
    <cfRule type="expression" dxfId="11" priority="60">
      <formula>$E29="جيد جداً"</formula>
    </cfRule>
    <cfRule type="expression" dxfId="10" priority="61">
      <formula>$E29="ممتاز"</formula>
    </cfRule>
  </conditionalFormatting>
  <conditionalFormatting sqref="F8:F2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0:J30">
    <cfRule type="containsText" dxfId="6" priority="15" operator="containsText" text="أدخل اسم المحكم">
      <formula>NOT(ISERROR(SEARCH("أدخل اسم المحكم",G30)))</formula>
    </cfRule>
  </conditionalFormatting>
  <conditionalFormatting sqref="H8:H2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F8:F26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G30:J30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5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2025-10-25T05:00:38Z</dcterms:modified>
</cp:coreProperties>
</file>