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/>
  <xr:revisionPtr revIDLastSave="0" documentId="13_ncr:1000001_{BBF651BB-6D95-9E42-94EB-A6E23651634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4" i="2"/>
  <c r="G15" i="2"/>
  <c r="G16" i="2"/>
  <c r="G17" i="2"/>
  <c r="G19" i="2"/>
  <c r="G20" i="2"/>
  <c r="G21" i="2"/>
  <c r="G22" i="2"/>
  <c r="G23" i="2"/>
  <c r="G25" i="2"/>
  <c r="G26" i="2"/>
  <c r="G27" i="2"/>
  <c r="G28" i="2"/>
  <c r="G29" i="2"/>
  <c r="G30" i="2"/>
  <c r="G31" i="2"/>
  <c r="G32" i="2"/>
  <c r="G33" i="2"/>
  <c r="G34" i="2"/>
  <c r="G35" i="2"/>
  <c r="G37" i="2"/>
  <c r="G38" i="2"/>
  <c r="G39" i="2"/>
  <c r="G40" i="2"/>
  <c r="G41" i="2"/>
  <c r="G42" i="2"/>
  <c r="G43" i="2"/>
  <c r="G44" i="2"/>
  <c r="G45" i="2"/>
  <c r="G47" i="2"/>
  <c r="G48" i="2"/>
  <c r="G49" i="2"/>
  <c r="G50" i="2"/>
  <c r="G51" i="2"/>
  <c r="G52" i="2"/>
  <c r="G53" i="2"/>
  <c r="G54" i="2"/>
  <c r="G56" i="2"/>
  <c r="G57" i="2"/>
  <c r="G58" i="2"/>
  <c r="G59" i="2"/>
  <c r="G60" i="2"/>
  <c r="H9" i="2"/>
  <c r="H10" i="2"/>
  <c r="H11" i="2"/>
  <c r="H12" i="2"/>
  <c r="H14" i="2"/>
  <c r="H15" i="2"/>
  <c r="H16" i="2"/>
  <c r="H17" i="2"/>
  <c r="H19" i="2"/>
  <c r="H20" i="2"/>
  <c r="H21" i="2"/>
  <c r="H22" i="2"/>
  <c r="H23" i="2"/>
  <c r="H25" i="2"/>
  <c r="H26" i="2"/>
  <c r="H27" i="2"/>
  <c r="H28" i="2"/>
  <c r="H29" i="2"/>
  <c r="H30" i="2"/>
  <c r="H31" i="2"/>
  <c r="H32" i="2"/>
  <c r="H33" i="2"/>
  <c r="H34" i="2"/>
  <c r="H35" i="2"/>
  <c r="H37" i="2"/>
  <c r="H38" i="2"/>
  <c r="H39" i="2"/>
  <c r="H40" i="2"/>
  <c r="H41" i="2"/>
  <c r="H42" i="2"/>
  <c r="H43" i="2"/>
  <c r="H44" i="2"/>
  <c r="H45" i="2"/>
  <c r="H47" i="2"/>
  <c r="H48" i="2"/>
  <c r="H49" i="2"/>
  <c r="H50" i="2"/>
  <c r="H51" i="2"/>
  <c r="H52" i="2"/>
  <c r="H53" i="2"/>
  <c r="H54" i="2"/>
  <c r="H56" i="2"/>
  <c r="H57" i="2"/>
  <c r="H58" i="2"/>
  <c r="H59" i="2"/>
  <c r="H60" i="2"/>
  <c r="F61" i="2"/>
  <c r="E61" i="2"/>
  <c r="E62" i="2"/>
  <c r="E63" i="2"/>
</calcChain>
</file>

<file path=xl/sharedStrings.xml><?xml version="1.0" encoding="utf-8"?>
<sst xmlns="http://schemas.openxmlformats.org/spreadsheetml/2006/main" count="292" uniqueCount="236">
  <si>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</si>
  <si>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</si>
  <si>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</si>
  <si>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</si>
  <si>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</si>
  <si>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</si>
  <si>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</si>
  <si>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</si>
  <si>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</si>
  <si>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</si>
  <si>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</si>
  <si>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</si>
  <si>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</si>
  <si>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</si>
  <si>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</si>
  <si>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</si>
  <si>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</si>
  <si>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</si>
  <si>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</si>
  <si>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</si>
  <si>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</si>
  <si>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</si>
  <si>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</si>
  <si>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</si>
  <si>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</si>
  <si>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</si>
  <si>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</si>
  <si>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</si>
  <si>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</si>
  <si>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</si>
  <si>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</si>
  <si>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</si>
  <si>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</si>
  <si>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</si>
  <si>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</si>
  <si>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</si>
  <si>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</si>
  <si>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</si>
  <si>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</si>
  <si>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</si>
  <si>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</si>
  <si>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</si>
  <si>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</si>
  <si>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</si>
  <si>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</si>
  <si>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</si>
  <si>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</si>
  <si>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</si>
  <si>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</si>
  <si>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</si>
  <si>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</si>
  <si>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</si>
  <si>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</si>
  <si>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</si>
  <si>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</si>
  <si>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</si>
  <si>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</si>
  <si>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</si>
  <si>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</si>
  <si>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</si>
  <si>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</si>
  <si>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</si>
  <si>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</si>
  <si>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</si>
  <si>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</si>
  <si>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</si>
  <si>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</si>
  <si>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</si>
  <si>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</si>
  <si>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</si>
  <si>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</si>
  <si>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</si>
  <si>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</si>
  <si>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</si>
  <si>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</si>
  <si>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</si>
  <si>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</si>
  <si>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</si>
  <si>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</si>
  <si>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</si>
  <si>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</si>
  <si>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</si>
  <si>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</si>
  <si>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</si>
  <si>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</si>
  <si>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</si>
  <si>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</si>
  <si>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</si>
  <si>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</si>
  <si>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</si>
  <si>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</si>
  <si>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</si>
  <si>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</si>
  <si>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</si>
  <si>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</si>
  <si>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</si>
  <si>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</si>
  <si>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</si>
  <si>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</si>
  <si>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</si>
  <si>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</si>
  <si>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</si>
  <si>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</si>
  <si>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</si>
  <si>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</si>
  <si>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</si>
  <si>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</si>
  <si>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</si>
  <si>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</si>
  <si>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</si>
  <si>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</si>
  <si>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</si>
  <si>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</si>
  <si>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</si>
  <si>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</si>
  <si>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</si>
  <si>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</si>
  <si>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</si>
  <si>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</si>
  <si>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</si>
  <si>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</si>
  <si>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</si>
  <si>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</si>
  <si>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</si>
  <si>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</si>
  <si>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</si>
  <si>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</si>
  <si>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</si>
  <si>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</si>
  <si>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</si>
  <si>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</si>
  <si>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</si>
  <si>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</si>
  <si>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</si>
  <si>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</si>
  <si>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</si>
  <si>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</si>
  <si>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</si>
  <si>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</si>
  <si>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</si>
  <si>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</si>
  <si>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</si>
  <si>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</si>
  <si>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</si>
  <si>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</si>
  <si>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</si>
  <si>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</si>
  <si>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</si>
  <si>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</si>
  <si>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</si>
  <si>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</si>
  <si>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</si>
  <si>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</si>
  <si>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</si>
  <si>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</si>
  <si>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</si>
  <si>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</si>
  <si>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</si>
  <si>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</si>
  <si>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</si>
  <si>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</si>
  <si>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</si>
  <si>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</si>
  <si>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</si>
  <si>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</si>
  <si>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</si>
  <si>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</si>
  <si>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</si>
  <si>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</si>
  <si>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</si>
  <si>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</si>
  <si>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</si>
  <si>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</si>
  <si>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</si>
  <si>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</si>
  <si>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</si>
  <si>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</si>
  <si>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</si>
  <si>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</si>
  <si>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</si>
  <si>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 xml:space="preserve">تقييم الحالة الفنية لوحدات الدفاع الجوي (بانزر- إس1) في المنطقة الإدارية 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</si>
  <si>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صناديق العدة.</t>
    </r>
    <r>
      <rPr>
        <sz val="12"/>
        <color theme="1"/>
        <rFont val="Arial"/>
        <family val="2"/>
      </rPr>
      <t xml:space="preserve"> يتم التأكد من التالي:</t>
    </r>
  </si>
  <si>
    <t>1.    وجود صناديق العدة مغلقة ومخزنة في مكان آمن.</t>
  </si>
  <si>
    <t>2.    جرد الصناديق كل (30) يوم.</t>
  </si>
  <si>
    <t>3.    جرد الصناديق قبل انتقال الفني او قائد السرية ويتم عمل استلام وتسليم.</t>
  </si>
  <si>
    <t>4.    وجود تعليمات لاستبدال القطع المكسورة أو الضائعة خلال (30) يوم.</t>
  </si>
  <si>
    <t>توفر الأدوات اللازمة لإجراء الصيانة (بانزر- إس 1).</t>
  </si>
  <si>
    <t>1.    التأكد من وجود خزانات زيت المحرك.</t>
  </si>
  <si>
    <t xml:space="preserve">2.    التأكد من وجود خزانات سائل الهيدروليك. </t>
  </si>
  <si>
    <t>3.    توفر علب التشحيم والتزييت.</t>
  </si>
  <si>
    <t>4.    وجود وصلاحية أجهزة الفولت ميتر والهايدرو ميتر.</t>
  </si>
  <si>
    <t>توفر الكتب الفنية للنظام (MANUALS) والنماذج والكشوفات الإدارية.</t>
  </si>
  <si>
    <t>1.    وجود فني مختص وملم بكتب النظام.</t>
  </si>
  <si>
    <t>2.    توفر الكتب الفنية للنظام.</t>
  </si>
  <si>
    <t>3.    وجود تعليمات حفظ وتامين كتب النظام.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</si>
  <si>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وجود المعلومات الفنية للنظام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Times New Roman"/>
        <family val="1"/>
      </rPr>
      <t xml:space="preserve">في الكمبيوتر </t>
    </r>
    <r>
      <rPr>
        <sz val="12"/>
        <color theme="1"/>
        <rFont val="Arial"/>
        <family val="2"/>
      </rPr>
      <t>MSD+RMSS</t>
    </r>
    <r>
      <rPr>
        <sz val="12"/>
        <color theme="1"/>
        <rFont val="Times New Roman"/>
        <family val="1"/>
      </rPr>
      <t>.</t>
    </r>
  </si>
  <si>
    <t>5.    وجود كشف آليات السرية (بانزر-إس1).</t>
  </si>
  <si>
    <t>تطبيق إجراءات السلامة (SAFETY).</t>
  </si>
  <si>
    <t>1.    وجود مسؤول ملم بواجبات وإجراءات السلامة.</t>
  </si>
  <si>
    <t>2.    وجود تعليمات السلامة الخاص بالنظام SOP.</t>
  </si>
  <si>
    <t>3.    إلمام المرتب بإجراءات السلامة حسب الأوامر المستديمة.</t>
  </si>
  <si>
    <t>4.    وجود اللوحات التحذيرية ومهام السلامة.</t>
  </si>
  <si>
    <t xml:space="preserve">5.    وجود لوحة ممنوع التدخين (عربي/ انجليزي). </t>
  </si>
  <si>
    <t xml:space="preserve">6.    تخزين المواد القابلة للاشتعال في الأماكن المخصصة. </t>
  </si>
  <si>
    <t>7.    وجود طفايات حريق حسب الأوامر المستديمة.</t>
  </si>
  <si>
    <t>8.    المام المرتب بتعليمات وخطة الحريق.</t>
  </si>
  <si>
    <t>9.    وجود أدوات السلامة (خوذة فنية ، قفازات ، نظارات واقية ، غطاء الأذنين) (للبانزر-إس1)</t>
  </si>
  <si>
    <r>
      <t>10.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وجود صندوق الإسعافات الأولية.</t>
    </r>
  </si>
  <si>
    <r>
      <t>11.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تخزين المواد القابلة للاشتعال في الأماكن المخصصة (بانــزر-إس1).</t>
    </r>
  </si>
  <si>
    <t>الإصلاح والصيانة.</t>
  </si>
  <si>
    <t>1.    إلمام المسؤول بصلاحية المعدات وقطع الغيار.</t>
  </si>
  <si>
    <t>2.    التزام فنيي السرية بواجباتهم.</t>
  </si>
  <si>
    <t>3.    وجود نسخة من كراسة أوامر النظام.</t>
  </si>
  <si>
    <t>4.    وجود لوحة متابعة صلاحية المعدات وقطع الغيار.</t>
  </si>
  <si>
    <t>5.    وجود ملف 2404 لجميع معدات نظام البانزر.</t>
  </si>
  <si>
    <t>6.    وجود كشف بجميع معدات السرية.</t>
  </si>
  <si>
    <t>7.    وجود كشف/ توقيتات الصيانة للنظام بانزر إس1 (شهري - سنوي - كل سنتان).</t>
  </si>
  <si>
    <t>8.    وجود نماذج أوراق عمل نظام بانزر- إس1.</t>
  </si>
  <si>
    <t>9.    وجود كتب للعربات القتالية والفنية (البانزر-إس1).</t>
  </si>
  <si>
    <t>فحص وتشغيل المولد الميكانيكي (PSS).</t>
  </si>
  <si>
    <t>1.    وجود مشغل/فني ملم بواجباته.</t>
  </si>
  <si>
    <t>2.    التأكد من فحص مستوى زيت المحرك.</t>
  </si>
  <si>
    <t xml:space="preserve">3.    فحص مستوى ماء المبرد (Radiator). </t>
  </si>
  <si>
    <t>4.    فحص الحزام (Belt).</t>
  </si>
  <si>
    <t>5.    الحالة العامة للمولد الميكانيكي (PSS).</t>
  </si>
  <si>
    <t>6.    وجود وادامة سجل ساعات العمل للمولد.</t>
  </si>
  <si>
    <t>7.    فحص البطاريات.</t>
  </si>
  <si>
    <t>8.    التأكد من عدم وجود أي تسريب للزيوت.</t>
  </si>
  <si>
    <t>عربة البانزر- إس1 الفنية.</t>
  </si>
  <si>
    <t>1.    مدى جاهزية جهاز الكمبيوتر الميكانيكي (PC).</t>
  </si>
  <si>
    <t>2.    جاهزية جهاز الباركود وفحصها (Barcode).</t>
  </si>
  <si>
    <t>3.    مدى جاهزية جهاز الكمبيوتر الإلكتروني(PC).</t>
  </si>
  <si>
    <t>4.    استخدام اختبار ذاتي للجهاز (Self-Test).</t>
  </si>
  <si>
    <t>5.    استخدام وصلاحية الطابعة.</t>
  </si>
  <si>
    <t>رائد حمد الشامسي</t>
  </si>
  <si>
    <t>نقيب سلطان حسن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</si>
</sst>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vertical="center" wrapText="1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24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314343</xdr:colOff>
      <xdr:row>63</xdr:row>
      <xdr:rowOff>429280</xdr:rowOff>
    </xdr:from>
    <xdr:to>
      <xdr:col>7</xdr:col>
      <xdr:colOff>529613</xdr:colOff>
      <xdr:row>64</xdr:row>
      <xdr:rowOff>449708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2E27E71-816E-52FF-7B6E-C729B0B496A1}"/>
                </a:ext>
              </a:extLst>
            </xdr14:cNvPr>
            <xdr14:cNvContentPartPr/>
          </xdr14:nvContentPartPr>
          <xdr14:nvPr macro=""/>
          <xdr14:xfrm>
            <a:off x="10399373387" y="24686280"/>
            <a:ext cx="873360" cy="5515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2E27E71-816E-52FF-7B6E-C729B0B496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67267" y="24680160"/>
              <a:ext cx="885600" cy="56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439983</xdr:colOff>
      <xdr:row>64</xdr:row>
      <xdr:rowOff>19508</xdr:rowOff>
    </xdr:from>
    <xdr:to>
      <xdr:col>9</xdr:col>
      <xdr:colOff>591152</xdr:colOff>
      <xdr:row>64</xdr:row>
      <xdr:rowOff>544028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ACA7153-733F-EE76-8C5C-F09B8163A63B}"/>
                </a:ext>
              </a:extLst>
            </xdr14:cNvPr>
            <xdr14:cNvContentPartPr/>
          </xdr14:nvContentPartPr>
          <xdr14:nvPr macro=""/>
          <xdr14:xfrm>
            <a:off x="10397995667" y="24807600"/>
            <a:ext cx="2125440" cy="5245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ACA7153-733F-EE76-8C5C-F09B8163A63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89547" y="24801480"/>
              <a:ext cx="2137680" cy="53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493592</xdr:colOff>
      <xdr:row>64</xdr:row>
      <xdr:rowOff>9428</xdr:rowOff>
    </xdr:from>
    <xdr:to>
      <xdr:col>9</xdr:col>
      <xdr:colOff>530312</xdr:colOff>
      <xdr:row>64</xdr:row>
      <xdr:rowOff>76388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A636D51-4626-E4EA-9B36-CE61EB79A833}"/>
                </a:ext>
              </a:extLst>
            </xdr14:cNvPr>
            <xdr14:cNvContentPartPr/>
          </xdr14:nvContentPartPr>
          <xdr14:nvPr macro=""/>
          <xdr14:xfrm>
            <a:off x="10398056507" y="24797520"/>
            <a:ext cx="36720" cy="669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A636D51-4626-E4EA-9B36-CE61EB79A83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050387" y="24791400"/>
              <a:ext cx="48960" cy="79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01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2197 837 8,'0'0'0,"5"-12"8,9 8 24,-14 4-32,5-16 48,9 5-40,-2 7 32,0-1-32,-12 5-8,12-11 24,5 10 8,-5-4 0,3 1 0,-15 4-32,17-4 48,-1 0 16,-4-1 16,5 1 32,-17 4-112,15-6 136,1-6 1488,-11 7 1713,7-9 1384,-12 14-4721,0-6 6089,-4-6-3905,4 7-1271,-3-7 119,3 12-1032,0-5 1016,0-6-312,-2 8-336,2-1-168,0 4-200,-3-2 0,3 1-80,0 0-48,0 1-176,0 0 304,-2 0-408,2 2-64,-5 3-16,0 9 80,5-14 408,-12 14-232,0 6 144,3 4 88,-3 5 16,12-29-16,-15 31-24,1 0 24,-1-1-56,3-2 120,12-28-64,-14 29 88,-1-2-72,1 0 24,-3-2-80,17-25 40,-12 27-88,-2-1-176,-3 1-544,2-1-625,15-26 1433,-14 24-2072,2-4-385,10-3-143,-8-4-105,10-13 2705,-3 2-2472,-1 3 791,4-5 673,-3-2 520,3 2 488,0-13-216,0-5-88,5-8 8,10-5 64,-15 31 232,2-35-136,12-4 88,-11 1 40,11-1-8,-14 39 16,5-36 0,5 1 0,-8 8 24,5 6 192,-7 21-216,3-14 1248,-3 10 1041,-3 2 959,-9 2 609,12 0-3857,-12 3 2145,3 8-793,-8-6-176,0 16-168,17-21-1008,-17 14 664,3 2-167,-1-2-137,3 0-184,12-14-176,-2 14 112,-5-1-128,2-8-40,2 7-48,3-12 104,-4 0-8,1 3 64,3-3-64,0 0-80,0 0 88,0 0-232,0-1-153,0-4-287,3 0-160,-3 5 832,4-14-976,8-1 88,-9 1 328,-1 0 336,-2 14 224,0-14 72,0 1 208,0 2 128,0-1 256,0 12-664,0-4 960,-2 1 136,-10 2-71,9 1-177,3 0-848,-4 2 520,-1 1-136,0 9-184,-10-8-40,15-4-160,-4 13 280,-1-9-64,-2 9 24,2-9 56,5-4-296,-12 11 160,7-6 96,-9 6 56,9-8 80,5-3-392,-17 4 313,5 8-153,-3-8-104,-1 10-216,16-14 160,-17 13-72,-2 1-32,-3 0-9,0 2-7,22-16 120,-14 16-296,-3 1-184,3 0 72,-1-5-32,15-12 440,-12 13-440,0-8 104,10 6 48,-10-11 56,12 0 232,-5 3 16,0-3 88,3-2 48,2-3 64,0 5-216,-3-19 152,3-2 128,0-8 0,5-5-104,-5 34-176,12-38 136,-10-3-40,15-5-96,-2-2 64,-15 48-64,19-50-64,0-5-104,3 2-136,-5 3 128,-17 50 176,19-44 0,-5 9 104,-14 9 320,8 6 8,-8 20-432,4-15 520,-4 2 0,0 9 81,0-2-1,0 6-600,-2-4 584,0 2-48,-3 2-336,0 0-120,5 0-80,-7 4-72,-8 12 32,1 0 128,-5 6-16,19-22-72,-20 27 80,-4 5-80,-5 3-72,1 6 144,28-41-72,-34 46 16,-2 5-32,0 5 64,0 2-176,36-58 128,-46 60-120,7-1 24,-1 0 24,4-5 72,36-54 0,-34 51-40,0-2 96,3-4-88,0-3 8,31-42 24,-34 40 40,0-4-40,3-5 32,-5-7-88,36-24 56,-39 23-88,1-5-8,-1-1 24,3-1-40,36-16 112,-36 14-88,5-3 64,2 2-32,5-8 72,24-5-16,-22 15-32,8-11 48,2 9-56,0-10 48,12-3-8,-5 3-8,0-3 8,3 0 168,0 0-56,2 0-112,-8-1 120,6-5 40,2-10-176,-5 1 72,5 15-56,-5-23 40,1-6-8,-6-3 24,5-10-40,5 42-16,-5-48-72,3-6-128,-3-1-24,0-5-128,5 60 352,-2-57-440,2 3 96,0 0 80,0 7 48,0 47 216,0-41 0,0 7-16,2 4-48,-2 6 24,0 24 40,10-22-193,-5 3-87,14 2-192,5-1-104,-24 18 576,26-14-648,13 0-8,7 0 112,9 1 144,-55 13 400,55-13-272,3 8 104,-3-1 128,-11 2 16,-44 4 24,31-2-64,-12 2 192,-14 3 392,-5 1 496,0-4-1016,-5 16 1424,-24 0 65,-9 6-241,-13 7-280,51-29-968,-62 32 720,-6 3-112,-6-1-80,4 1-143,70-35-385,-74 36 152,-1 2-48,3 5-168,0 2-112,72-45 176,-68 49-72,3 3-289,-2 5 9,-3 3-360,70-60 712,-62 57-1632,2-2-1865,14-5-4185,10-6 1313,36-44 6369,-34 38-4161,8-14 2057,4-12 1736,17-14 200,5 2 168,-2-18-152,2-6 24,14-8 40,10-9 8,-24 41 80,34-48-64,4-6-40,8 1 72,0 6 8,-46 47 24,53-37-24,0 9 32,-3 5-24,1 3 16,-51 20 0,41-17 8,-1 0 16,-11 0 8,-5 2 0,-24 15-32,24-19 56,-7-1 8,0-4 0,-14-4 48,-3 28-112,2-32 168,12-12 1768,-30-3 2425,-13-14 1952,29 61-6313,-32-69 8002,-16-3-5641,24-13-2097,3-3-24,21 88-240,-20-90 280,-4 5-32,5 8 32,-5 15-128,24 62-152,-14-50 192,6 10-32,6 15-96,-3 10 56,5 15-120,0-2 96,-2 0-8,2 1-48,0 1-40,5 3 24,9 11-80,-2 4-112,7 7 128,-19-25 40,22 28-184,0 7 0,-1 4 0,-4 4-424,-17-43 608,19 48-1217,-2 10-1567,2 5-3842,-7 11 745,-12-74 5881,8 79-4081,6-2 1809,-12-2 1768,10-4 264,-12-71 240,12 64-208,-7 0 56,15-5 56,-8-8 24,-12-51 72,14 41-48,8-14-32,-6-11 8,4-14 40,-20-2 32,21 0 0,-21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02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4225 484 8,'0'0'0,"0"0"0,-34 0 0,10 0 0,-10-3 8,13-3 0,21 6-8,-17-24 0,5 3 16,0-2 16,0-2 0,12 25-32,-12-24 24,-5 1 0,-2 1-16,-5 7-8,24 15 0,-25-12 8,-6 10 8,2 2 0,-7 4 16,36-4-32,-31 21 32,2 2 24,3 4 24,6 1 8,20-28-88,-14 27 120,9-1 24,5-5 8,15-7 272,-15-14-424,19 3 704,7-3 528,10 0 553,10-11-145,-46 11-1640,63-11 1424,14-4-664,12-3-448,12-3-168,-101 21-144,110-25 89,13-3 7,7 0-16,2 1 16,-132 27-96,135-27 64,0 4 8,-3 1 120,-5 3 160,-127 19-352,123-20 616,-8 3 96,-14 2-112,-12 4-200,-89 11-400,75-4 104,-17-8-104,-10 8 72,-17 0 64,-31 4-136,22-12 800,-17 10 489,-5-4 143,-5-7-64,5 13-1368,-32-11 656,-8-3-495,-21 1-210,-13 0 25,74 13 24,-94-6-24,-14-6 48,-17 7 49,-10 1 55,135 4-128,-147-4 104,-9 4-32,-8 4-24,-9 16-16,173-20-32,-178 27 48,-2 6 8,2 5 104,5 5 216,173-43-376,-164 44 512,13 5 88,4 7-72,12 5-208,135-61-320,-125 67 160,10 2-136,4 4-104,10-3 72,101-70 8,-94 66-32,8-7 72,6-7 56,8-5-72,72-47-24,-70 44 24,5-5-8,10-5 0,5-6 32,50-28-48,-44 22 24,11-7-8,8-11-80,4 1-16,21-5 80,-12 4-128,9-1-80,-1-3 24,-1 0 0,5 0 184,-3 0-96,1 0 128,-3-2-16,3 0 24,2 2-40,-3-5-64,-1-9-168,-11 1-40,10-8-120,5 21 392,-14-26-288,2-5 104,-5-4 120,0-1 40,17 36 24,-14-40 0,-5-2 0,4-3-48,3-1 120,12 46-72,-14-46 112,-3 1 40,2 3 0,1 3 24,14 39-176,-22-40 88,5 1-24,-2 1 88,0 5-80,19 33-72,-19-27 128,-3 7-128,0 9-24,-2 10-24,24 1 48,-29 0 32,3 18 72,-3 6-48,0 10 248,29-34-304,-26 49 480,2 12 32,-5 14 336,5 12-263,24-87-585,-22 94 312,-7 5 208,3-1-208,2-4-80,24-94-232,-27 85 328,1-11-320,4-10-64,-4-10 104,26-54-48,-22 40 248,-4-10 136,-6-10 64,4-9-16,28-11-432,-34 3 376,0-3-144,-2-6-216,-2-16 48,38 22-64,-44-27-296,1-6 176,0-8 296,-3-6-248,46 47 72,-46-53-24,-2-7-96,0-1-200,0 0 264,48 61 56,-48-58 0,2 8-56,3 9 128,0 10-88,43 31 16,-41-22 24,2 10 48,-6 10-256,-4 5 72,49-3 112,-48 21-208,-5 12 112,5 13-32,5 6-456,43-52 584,-41 60-1320,12 1-1281,12-3-1424,1 2-1944,16-60 5969,-5 57-4833,0-5 1576,-5-3 1537,3-11 1264,7-38 456,-2 27-248,-5-13 88,2-14-32,2-4 32,3 4 160,-2-20-152,2-5 40,5-8 32,7-5 0,-12 38 80,5-45-80,11-6 16,-16 51 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02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75 185 248,'0'0'0,"26"-18"2712,-26 18-2712,0-29 4785,-2-11-456,-22 3-3521,7 12-6689,17 25 5881,0-13-4041,2 9 2249,-2-2 1376,-12-5 152,12 11 264,-24-2-200,0 2 8,24 0 192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5"/>
  <sheetViews>
    <sheetView rightToLeft="1" tabSelected="1" view="pageBreakPreview" topLeftCell="D50" zoomScale="130" zoomScaleNormal="100" zoomScaleSheetLayoutView="130" workbookViewId="0">
      <selection activeCell="G65" sqref="G65:J65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1" t="s">
        <v>180</v>
      </c>
      <c r="C1" s="51"/>
      <c r="D1" s="51"/>
      <c r="E1" s="51"/>
      <c r="F1" s="51"/>
      <c r="G1" s="51"/>
      <c r="H1" s="51"/>
      <c r="I1" s="51"/>
      <c r="J1" s="51"/>
    </row>
    <row r="2" spans="1:10" ht="30" customHeight="1">
      <c r="B2" s="9" t="s">
        <v>8</v>
      </c>
      <c r="C2" s="57" t="s">
        <v>13</v>
      </c>
      <c r="D2" s="57"/>
      <c r="E2" s="9" t="s">
        <v>7</v>
      </c>
      <c r="F2" s="52">
        <v>45952</v>
      </c>
      <c r="G2" s="52"/>
      <c r="H2" s="52"/>
      <c r="I2" s="52"/>
      <c r="J2" s="52"/>
    </row>
    <row r="3" spans="1:10" ht="30" customHeight="1">
      <c r="B3" s="9" t="s">
        <v>9</v>
      </c>
      <c r="C3" s="57" t="s">
        <v>60</v>
      </c>
      <c r="D3" s="57"/>
      <c r="E3" s="9" t="s">
        <v>6</v>
      </c>
      <c r="F3" s="57" t="s">
        <v>59</v>
      </c>
      <c r="G3" s="57"/>
      <c r="H3" s="57"/>
      <c r="I3" s="57"/>
      <c r="J3" s="57"/>
    </row>
    <row r="4" spans="1:10" ht="30" customHeight="1" thickBot="1">
      <c r="B4" s="6"/>
      <c r="C4" s="80" t="s">
        <v>234</v>
      </c>
      <c r="D4" s="80"/>
      <c r="E4" s="6"/>
      <c r="F4" s="80" t="s">
        <v>235</v>
      </c>
      <c r="G4" s="80"/>
      <c r="H4" s="80"/>
      <c r="I4" s="80"/>
      <c r="J4" s="80"/>
    </row>
    <row r="5" spans="1:10" ht="24.95" customHeight="1">
      <c r="A5" s="7"/>
      <c r="B5" s="53" t="s">
        <v>0</v>
      </c>
      <c r="C5" s="54"/>
      <c r="D5" s="54"/>
      <c r="E5" s="62" t="s">
        <v>1</v>
      </c>
      <c r="F5" s="62"/>
      <c r="G5" s="62"/>
      <c r="H5" s="62"/>
      <c r="I5" s="62" t="s">
        <v>2</v>
      </c>
      <c r="J5" s="63"/>
    </row>
    <row r="6" spans="1:10" ht="24.95" customHeight="1" thickBot="1">
      <c r="A6" s="7"/>
      <c r="B6" s="55"/>
      <c r="C6" s="56"/>
      <c r="D6" s="56"/>
      <c r="E6" s="8" t="s">
        <v>3</v>
      </c>
      <c r="F6" s="8" t="s">
        <v>4</v>
      </c>
      <c r="G6" s="8" t="s">
        <v>23</v>
      </c>
      <c r="H6" s="8" t="s">
        <v>24</v>
      </c>
      <c r="I6" s="64"/>
      <c r="J6" s="65"/>
    </row>
    <row r="7" spans="1:10" ht="24.95" customHeight="1" thickBot="1">
      <c r="A7" s="7"/>
      <c r="B7" s="60" t="s">
        <v>21</v>
      </c>
      <c r="C7" s="61"/>
      <c r="D7" s="61"/>
      <c r="E7" s="30" t="s">
        <v>18</v>
      </c>
      <c r="F7" s="30" t="s">
        <v>19</v>
      </c>
      <c r="G7" s="30" t="s">
        <v>22</v>
      </c>
      <c r="H7" s="30" t="s">
        <v>20</v>
      </c>
      <c r="I7" s="66" t="s">
        <v>25</v>
      </c>
      <c r="J7" s="67"/>
    </row>
    <row r="8" spans="1:10" ht="30" customHeight="1">
      <c r="A8" s="7"/>
      <c r="B8" s="42" t="s">
        <v>181</v>
      </c>
      <c r="C8" s="43"/>
      <c r="D8" s="43"/>
      <c r="E8" s="27"/>
      <c r="F8" s="25"/>
      <c r="G8" s="34"/>
      <c r="H8" s="35"/>
      <c r="I8" s="76"/>
      <c r="J8" s="77"/>
    </row>
    <row r="9" spans="1:10" ht="30" customHeight="1">
      <c r="A9" s="7"/>
      <c r="B9" s="38" t="s">
        <v>182</v>
      </c>
      <c r="C9" s="39"/>
      <c r="D9" s="39"/>
      <c r="E9" s="26">
        <v>5</v>
      </c>
      <c r="F9" s="23">
        <v>3.75</v>
      </c>
      <c r="G9" s="32">
        <f>IFERROR(F9/E9,"")</f>
        <v>0.75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0" customHeight="1">
      <c r="A10" s="7"/>
      <c r="B10" s="38" t="s">
        <v>183</v>
      </c>
      <c r="C10" s="39"/>
      <c r="D10" s="39"/>
      <c r="E10" s="26">
        <v>5</v>
      </c>
      <c r="F10" s="23">
        <v>3.75</v>
      </c>
      <c r="G10" s="32">
        <f t="shared" ref="G10:G60" si="0">IFERROR(F10/E10,"")</f>
        <v>0.75</v>
      </c>
      <c r="H10" s="33" t="str">
        <f t="shared" ref="H10:H60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0" customHeight="1">
      <c r="A11" s="7"/>
      <c r="B11" s="38" t="s">
        <v>184</v>
      </c>
      <c r="C11" s="39"/>
      <c r="D11" s="39"/>
      <c r="E11" s="26">
        <v>5</v>
      </c>
      <c r="F11" s="23">
        <v>3.75</v>
      </c>
      <c r="G11" s="32">
        <f t="shared" si="0"/>
        <v>0.75</v>
      </c>
      <c r="H11" s="33" t="str">
        <f t="shared" si="1"/>
        <v>جيد</v>
      </c>
      <c r="I11" s="44"/>
      <c r="J11" s="45"/>
    </row>
    <row r="12" spans="1:10" ht="30" customHeight="1" thickBot="1">
      <c r="A12" s="7"/>
      <c r="B12" s="40" t="s">
        <v>185</v>
      </c>
      <c r="C12" s="41"/>
      <c r="D12" s="41"/>
      <c r="E12" s="28">
        <v>5</v>
      </c>
      <c r="F12" s="24">
        <v>4</v>
      </c>
      <c r="G12" s="36">
        <f t="shared" si="0"/>
        <v>0.8</v>
      </c>
      <c r="H12" s="37" t="str">
        <f t="shared" si="1"/>
        <v>جيد جداً</v>
      </c>
      <c r="I12" s="74"/>
      <c r="J12" s="75"/>
    </row>
    <row r="13" spans="1:10" ht="30" customHeight="1">
      <c r="A13" s="7"/>
      <c r="B13" s="42" t="s">
        <v>186</v>
      </c>
      <c r="C13" s="43"/>
      <c r="D13" s="43"/>
      <c r="E13" s="27"/>
      <c r="F13" s="25"/>
      <c r="G13" s="34"/>
      <c r="H13" s="35"/>
      <c r="I13" s="76"/>
      <c r="J13" s="77"/>
    </row>
    <row r="14" spans="1:10" ht="30" customHeight="1">
      <c r="A14" s="7"/>
      <c r="B14" s="38" t="s">
        <v>187</v>
      </c>
      <c r="C14" s="39"/>
      <c r="D14" s="39"/>
      <c r="E14" s="26">
        <v>5</v>
      </c>
      <c r="F14" s="23">
        <v>3.75</v>
      </c>
      <c r="G14" s="32">
        <f t="shared" si="0"/>
        <v>0.75</v>
      </c>
      <c r="H14" s="33" t="str">
        <f t="shared" si="1"/>
        <v>جيد</v>
      </c>
      <c r="I14" s="44"/>
      <c r="J14" s="45"/>
    </row>
    <row r="15" spans="1:10" ht="30" customHeight="1">
      <c r="A15" s="7"/>
      <c r="B15" s="38" t="s">
        <v>188</v>
      </c>
      <c r="C15" s="39"/>
      <c r="D15" s="39"/>
      <c r="E15" s="26">
        <v>5</v>
      </c>
      <c r="F15" s="23">
        <v>3.75</v>
      </c>
      <c r="G15" s="32">
        <f t="shared" si="0"/>
        <v>0.75</v>
      </c>
      <c r="H15" s="33" t="str">
        <f t="shared" si="1"/>
        <v>جيد</v>
      </c>
      <c r="I15" s="44"/>
      <c r="J15" s="45"/>
    </row>
    <row r="16" spans="1:10" ht="30" customHeight="1">
      <c r="A16" s="7"/>
      <c r="B16" s="38" t="s">
        <v>189</v>
      </c>
      <c r="C16" s="39"/>
      <c r="D16" s="39"/>
      <c r="E16" s="26">
        <v>5</v>
      </c>
      <c r="F16" s="23">
        <v>3.75</v>
      </c>
      <c r="G16" s="32">
        <f t="shared" si="0"/>
        <v>0.75</v>
      </c>
      <c r="H16" s="33" t="str">
        <f t="shared" si="1"/>
        <v>جيد</v>
      </c>
      <c r="I16" s="44"/>
      <c r="J16" s="45"/>
    </row>
    <row r="17" spans="1:10" ht="30" customHeight="1" thickBot="1">
      <c r="A17" s="7"/>
      <c r="B17" s="40" t="s">
        <v>190</v>
      </c>
      <c r="C17" s="41"/>
      <c r="D17" s="41"/>
      <c r="E17" s="28">
        <v>5</v>
      </c>
      <c r="F17" s="24">
        <v>3.75</v>
      </c>
      <c r="G17" s="36">
        <f t="shared" si="0"/>
        <v>0.75</v>
      </c>
      <c r="H17" s="37" t="str">
        <f t="shared" si="1"/>
        <v>جيد</v>
      </c>
      <c r="I17" s="74"/>
      <c r="J17" s="75"/>
    </row>
    <row r="18" spans="1:10" ht="30" customHeight="1">
      <c r="A18" s="7"/>
      <c r="B18" s="42" t="s">
        <v>191</v>
      </c>
      <c r="C18" s="43"/>
      <c r="D18" s="43"/>
      <c r="E18" s="29"/>
      <c r="F18" s="25"/>
      <c r="G18" s="34"/>
      <c r="H18" s="35"/>
      <c r="I18" s="76"/>
      <c r="J18" s="77"/>
    </row>
    <row r="19" spans="1:10" ht="30" customHeight="1">
      <c r="A19" s="7"/>
      <c r="B19" s="38" t="s">
        <v>192</v>
      </c>
      <c r="C19" s="39"/>
      <c r="D19" s="39"/>
      <c r="E19" s="26">
        <v>5</v>
      </c>
      <c r="F19" s="23">
        <v>3.75</v>
      </c>
      <c r="G19" s="32">
        <f t="shared" si="0"/>
        <v>0.75</v>
      </c>
      <c r="H19" s="33" t="str">
        <f t="shared" si="1"/>
        <v>جيد</v>
      </c>
      <c r="I19" s="44"/>
      <c r="J19" s="45"/>
    </row>
    <row r="20" spans="1:10" ht="30" customHeight="1">
      <c r="A20" s="7"/>
      <c r="B20" s="38" t="s">
        <v>193</v>
      </c>
      <c r="C20" s="39"/>
      <c r="D20" s="39"/>
      <c r="E20" s="26">
        <v>5</v>
      </c>
      <c r="F20" s="23">
        <v>3.75</v>
      </c>
      <c r="G20" s="32">
        <f t="shared" si="0"/>
        <v>0.75</v>
      </c>
      <c r="H20" s="33" t="str">
        <f t="shared" si="1"/>
        <v>جيد</v>
      </c>
      <c r="I20" s="44"/>
      <c r="J20" s="45"/>
    </row>
    <row r="21" spans="1:10" ht="30" customHeight="1">
      <c r="A21" s="7"/>
      <c r="B21" s="38" t="s">
        <v>194</v>
      </c>
      <c r="C21" s="39"/>
      <c r="D21" s="39"/>
      <c r="E21" s="26">
        <v>5</v>
      </c>
      <c r="F21" s="23">
        <v>3.75</v>
      </c>
      <c r="G21" s="32">
        <f t="shared" si="0"/>
        <v>0.75</v>
      </c>
      <c r="H21" s="33" t="str">
        <f t="shared" si="1"/>
        <v>جيد</v>
      </c>
      <c r="I21" s="44"/>
      <c r="J21" s="45"/>
    </row>
    <row r="22" spans="1:10" ht="30" customHeight="1">
      <c r="A22" s="7"/>
      <c r="B22" s="38" t="s">
        <v>195</v>
      </c>
      <c r="C22" s="39"/>
      <c r="D22" s="39"/>
      <c r="E22" s="26">
        <v>5</v>
      </c>
      <c r="F22" s="23">
        <v>3.75</v>
      </c>
      <c r="G22" s="32">
        <f t="shared" si="0"/>
        <v>0.75</v>
      </c>
      <c r="H22" s="33" t="str">
        <f t="shared" si="1"/>
        <v>جيد</v>
      </c>
      <c r="I22" s="44"/>
      <c r="J22" s="45"/>
    </row>
    <row r="23" spans="1:10" ht="30" customHeight="1" thickBot="1">
      <c r="A23" s="7"/>
      <c r="B23" s="40" t="s">
        <v>196</v>
      </c>
      <c r="C23" s="41"/>
      <c r="D23" s="41"/>
      <c r="E23" s="28">
        <v>5</v>
      </c>
      <c r="F23" s="24">
        <v>4</v>
      </c>
      <c r="G23" s="36">
        <f t="shared" si="0"/>
        <v>0.8</v>
      </c>
      <c r="H23" s="37" t="str">
        <f t="shared" si="1"/>
        <v>جيد جداً</v>
      </c>
      <c r="I23" s="74"/>
      <c r="J23" s="75"/>
    </row>
    <row r="24" spans="1:10" ht="30" customHeight="1">
      <c r="A24" s="7"/>
      <c r="B24" s="42" t="s">
        <v>197</v>
      </c>
      <c r="C24" s="43"/>
      <c r="D24" s="43"/>
      <c r="E24" s="27"/>
      <c r="F24" s="25"/>
      <c r="G24" s="34"/>
      <c r="H24" s="35"/>
      <c r="I24" s="76"/>
      <c r="J24" s="77"/>
    </row>
    <row r="25" spans="1:10" ht="30" customHeight="1">
      <c r="A25" s="7"/>
      <c r="B25" s="38" t="s">
        <v>198</v>
      </c>
      <c r="C25" s="39"/>
      <c r="D25" s="39"/>
      <c r="E25" s="26">
        <v>5</v>
      </c>
      <c r="F25" s="23">
        <v>3.75</v>
      </c>
      <c r="G25" s="32">
        <f t="shared" si="0"/>
        <v>0.75</v>
      </c>
      <c r="H25" s="33" t="str">
        <f t="shared" si="1"/>
        <v>جيد</v>
      </c>
      <c r="I25" s="44"/>
      <c r="J25" s="45"/>
    </row>
    <row r="26" spans="1:10" ht="30" customHeight="1">
      <c r="A26" s="7"/>
      <c r="B26" s="38" t="s">
        <v>199</v>
      </c>
      <c r="C26" s="39"/>
      <c r="D26" s="39"/>
      <c r="E26" s="26">
        <v>5</v>
      </c>
      <c r="F26" s="23">
        <v>3.75</v>
      </c>
      <c r="G26" s="32">
        <f t="shared" si="0"/>
        <v>0.75</v>
      </c>
      <c r="H26" s="33" t="str">
        <f t="shared" si="1"/>
        <v>جيد</v>
      </c>
      <c r="I26" s="44"/>
      <c r="J26" s="45"/>
    </row>
    <row r="27" spans="1:10" ht="30" customHeight="1">
      <c r="A27" s="7"/>
      <c r="B27" s="38" t="s">
        <v>200</v>
      </c>
      <c r="C27" s="39"/>
      <c r="D27" s="39"/>
      <c r="E27" s="26">
        <v>5</v>
      </c>
      <c r="F27" s="23">
        <v>3.75</v>
      </c>
      <c r="G27" s="32">
        <f t="shared" si="0"/>
        <v>0.75</v>
      </c>
      <c r="H27" s="33" t="str">
        <f t="shared" si="1"/>
        <v>جيد</v>
      </c>
      <c r="I27" s="44"/>
      <c r="J27" s="45"/>
    </row>
    <row r="28" spans="1:10" ht="30" customHeight="1">
      <c r="A28" s="7"/>
      <c r="B28" s="38" t="s">
        <v>201</v>
      </c>
      <c r="C28" s="39"/>
      <c r="D28" s="39"/>
      <c r="E28" s="26">
        <v>5</v>
      </c>
      <c r="F28" s="23">
        <v>3.75</v>
      </c>
      <c r="G28" s="32">
        <f t="shared" si="0"/>
        <v>0.75</v>
      </c>
      <c r="H28" s="33" t="str">
        <f t="shared" si="1"/>
        <v>جيد</v>
      </c>
      <c r="I28" s="44"/>
      <c r="J28" s="45"/>
    </row>
    <row r="29" spans="1:10" ht="30" customHeight="1">
      <c r="A29" s="7"/>
      <c r="B29" s="38" t="s">
        <v>202</v>
      </c>
      <c r="C29" s="39"/>
      <c r="D29" s="39"/>
      <c r="E29" s="26">
        <v>5</v>
      </c>
      <c r="F29" s="23">
        <v>3.75</v>
      </c>
      <c r="G29" s="32">
        <f t="shared" si="0"/>
        <v>0.75</v>
      </c>
      <c r="H29" s="33" t="str">
        <f t="shared" si="1"/>
        <v>جيد</v>
      </c>
      <c r="I29" s="44"/>
      <c r="J29" s="45"/>
    </row>
    <row r="30" spans="1:10" ht="30" customHeight="1">
      <c r="A30" s="7"/>
      <c r="B30" s="38" t="s">
        <v>203</v>
      </c>
      <c r="C30" s="39"/>
      <c r="D30" s="39"/>
      <c r="E30" s="26">
        <v>5</v>
      </c>
      <c r="F30" s="23">
        <v>4</v>
      </c>
      <c r="G30" s="32">
        <f t="shared" si="0"/>
        <v>0.8</v>
      </c>
      <c r="H30" s="33" t="str">
        <f t="shared" si="1"/>
        <v>جيد جداً</v>
      </c>
      <c r="I30" s="44"/>
      <c r="J30" s="45"/>
    </row>
    <row r="31" spans="1:10" ht="30" customHeight="1">
      <c r="A31" s="7"/>
      <c r="B31" s="38" t="s">
        <v>204</v>
      </c>
      <c r="C31" s="39"/>
      <c r="D31" s="39"/>
      <c r="E31" s="26">
        <v>5</v>
      </c>
      <c r="F31" s="23">
        <v>3.75</v>
      </c>
      <c r="G31" s="32">
        <f t="shared" si="0"/>
        <v>0.75</v>
      </c>
      <c r="H31" s="33" t="str">
        <f t="shared" si="1"/>
        <v>جيد</v>
      </c>
      <c r="I31" s="44"/>
      <c r="J31" s="45"/>
    </row>
    <row r="32" spans="1:10" ht="30" customHeight="1">
      <c r="A32" s="7"/>
      <c r="B32" s="38" t="s">
        <v>205</v>
      </c>
      <c r="C32" s="39"/>
      <c r="D32" s="39"/>
      <c r="E32" s="26">
        <v>5</v>
      </c>
      <c r="F32" s="23">
        <v>3.75</v>
      </c>
      <c r="G32" s="32">
        <f t="shared" si="0"/>
        <v>0.75</v>
      </c>
      <c r="H32" s="33" t="str">
        <f t="shared" si="1"/>
        <v>جيد</v>
      </c>
      <c r="I32" s="44"/>
      <c r="J32" s="45"/>
    </row>
    <row r="33" spans="1:10" ht="39.950000000000003" customHeight="1">
      <c r="A33" s="7"/>
      <c r="B33" s="38" t="s">
        <v>206</v>
      </c>
      <c r="C33" s="39"/>
      <c r="D33" s="39"/>
      <c r="E33" s="26">
        <v>5</v>
      </c>
      <c r="F33" s="23">
        <v>3.75</v>
      </c>
      <c r="G33" s="32">
        <f t="shared" si="0"/>
        <v>0.75</v>
      </c>
      <c r="H33" s="33" t="str">
        <f t="shared" si="1"/>
        <v>جيد</v>
      </c>
      <c r="I33" s="44"/>
      <c r="J33" s="45"/>
    </row>
    <row r="34" spans="1:10" ht="30" customHeight="1">
      <c r="A34" s="7"/>
      <c r="B34" s="38" t="s">
        <v>207</v>
      </c>
      <c r="C34" s="39"/>
      <c r="D34" s="39"/>
      <c r="E34" s="26">
        <v>5</v>
      </c>
      <c r="F34" s="23">
        <v>3.75</v>
      </c>
      <c r="G34" s="32">
        <f t="shared" si="0"/>
        <v>0.75</v>
      </c>
      <c r="H34" s="33" t="str">
        <f t="shared" si="1"/>
        <v>جيد</v>
      </c>
      <c r="I34" s="44"/>
      <c r="J34" s="45"/>
    </row>
    <row r="35" spans="1:10" ht="30" customHeight="1" thickBot="1">
      <c r="A35" s="7"/>
      <c r="B35" s="40" t="s">
        <v>208</v>
      </c>
      <c r="C35" s="41"/>
      <c r="D35" s="41"/>
      <c r="E35" s="28">
        <v>5</v>
      </c>
      <c r="F35" s="24">
        <v>3.75</v>
      </c>
      <c r="G35" s="36">
        <f t="shared" si="0"/>
        <v>0.75</v>
      </c>
      <c r="H35" s="37" t="str">
        <f t="shared" si="1"/>
        <v>جيد</v>
      </c>
      <c r="I35" s="74"/>
      <c r="J35" s="75"/>
    </row>
    <row r="36" spans="1:10" ht="30" customHeight="1">
      <c r="A36" s="7"/>
      <c r="B36" s="42" t="s">
        <v>209</v>
      </c>
      <c r="C36" s="43"/>
      <c r="D36" s="43"/>
      <c r="E36" s="27"/>
      <c r="F36" s="25"/>
      <c r="G36" s="34"/>
      <c r="H36" s="35"/>
      <c r="I36" s="76"/>
      <c r="J36" s="77"/>
    </row>
    <row r="37" spans="1:10" ht="30" customHeight="1">
      <c r="A37" s="7"/>
      <c r="B37" s="38" t="s">
        <v>210</v>
      </c>
      <c r="C37" s="39"/>
      <c r="D37" s="39"/>
      <c r="E37" s="26">
        <v>5</v>
      </c>
      <c r="F37" s="23">
        <v>3.75</v>
      </c>
      <c r="G37" s="32">
        <f t="shared" si="0"/>
        <v>0.75</v>
      </c>
      <c r="H37" s="33" t="str">
        <f t="shared" si="1"/>
        <v>جيد</v>
      </c>
      <c r="I37" s="44"/>
      <c r="J37" s="45"/>
    </row>
    <row r="38" spans="1:10" ht="30" customHeight="1">
      <c r="A38" s="7"/>
      <c r="B38" s="38" t="s">
        <v>211</v>
      </c>
      <c r="C38" s="39"/>
      <c r="D38" s="39"/>
      <c r="E38" s="26">
        <v>5</v>
      </c>
      <c r="F38" s="23">
        <v>3.75</v>
      </c>
      <c r="G38" s="32">
        <f t="shared" si="0"/>
        <v>0.75</v>
      </c>
      <c r="H38" s="33" t="str">
        <f t="shared" si="1"/>
        <v>جيد</v>
      </c>
      <c r="I38" s="44"/>
      <c r="J38" s="45"/>
    </row>
    <row r="39" spans="1:10" ht="30" customHeight="1">
      <c r="A39" s="7"/>
      <c r="B39" s="38" t="s">
        <v>212</v>
      </c>
      <c r="C39" s="39"/>
      <c r="D39" s="39"/>
      <c r="E39" s="26">
        <v>5</v>
      </c>
      <c r="F39" s="23">
        <v>3.75</v>
      </c>
      <c r="G39" s="32">
        <f t="shared" si="0"/>
        <v>0.75</v>
      </c>
      <c r="H39" s="33" t="str">
        <f t="shared" si="1"/>
        <v>جيد</v>
      </c>
      <c r="I39" s="44"/>
      <c r="J39" s="45"/>
    </row>
    <row r="40" spans="1:10" ht="30" customHeight="1">
      <c r="A40" s="7"/>
      <c r="B40" s="38" t="s">
        <v>213</v>
      </c>
      <c r="C40" s="39"/>
      <c r="D40" s="39"/>
      <c r="E40" s="26">
        <v>5</v>
      </c>
      <c r="F40" s="23">
        <v>4</v>
      </c>
      <c r="G40" s="32">
        <f t="shared" si="0"/>
        <v>0.8</v>
      </c>
      <c r="H40" s="33" t="str">
        <f t="shared" si="1"/>
        <v>جيد جداً</v>
      </c>
      <c r="I40" s="44"/>
      <c r="J40" s="45"/>
    </row>
    <row r="41" spans="1:10" ht="30" customHeight="1">
      <c r="A41" s="7"/>
      <c r="B41" s="38" t="s">
        <v>214</v>
      </c>
      <c r="C41" s="39"/>
      <c r="D41" s="39"/>
      <c r="E41" s="26">
        <v>5</v>
      </c>
      <c r="F41" s="23">
        <v>3.75</v>
      </c>
      <c r="G41" s="32">
        <f t="shared" si="0"/>
        <v>0.75</v>
      </c>
      <c r="H41" s="33" t="str">
        <f t="shared" si="1"/>
        <v>جيد</v>
      </c>
      <c r="I41" s="44"/>
      <c r="J41" s="45"/>
    </row>
    <row r="42" spans="1:10" ht="30" customHeight="1">
      <c r="A42" s="7"/>
      <c r="B42" s="38" t="s">
        <v>215</v>
      </c>
      <c r="C42" s="39"/>
      <c r="D42" s="39"/>
      <c r="E42" s="26">
        <v>5</v>
      </c>
      <c r="F42" s="23">
        <v>3.75</v>
      </c>
      <c r="G42" s="32">
        <f t="shared" si="0"/>
        <v>0.75</v>
      </c>
      <c r="H42" s="33" t="str">
        <f t="shared" si="1"/>
        <v>جيد</v>
      </c>
      <c r="I42" s="44"/>
      <c r="J42" s="45"/>
    </row>
    <row r="43" spans="1:10" ht="39.950000000000003" customHeight="1">
      <c r="A43" s="7"/>
      <c r="B43" s="38" t="s">
        <v>216</v>
      </c>
      <c r="C43" s="39"/>
      <c r="D43" s="39"/>
      <c r="E43" s="26">
        <v>5</v>
      </c>
      <c r="F43" s="23">
        <v>3.75</v>
      </c>
      <c r="G43" s="32">
        <f t="shared" si="0"/>
        <v>0.75</v>
      </c>
      <c r="H43" s="33" t="str">
        <f t="shared" si="1"/>
        <v>جيد</v>
      </c>
      <c r="I43" s="44"/>
      <c r="J43" s="45"/>
    </row>
    <row r="44" spans="1:10" ht="30" customHeight="1">
      <c r="A44" s="7"/>
      <c r="B44" s="38" t="s">
        <v>217</v>
      </c>
      <c r="C44" s="39"/>
      <c r="D44" s="39"/>
      <c r="E44" s="26">
        <v>5</v>
      </c>
      <c r="F44" s="23">
        <v>3.75</v>
      </c>
      <c r="G44" s="32">
        <f t="shared" si="0"/>
        <v>0.75</v>
      </c>
      <c r="H44" s="33" t="str">
        <f t="shared" si="1"/>
        <v>جيد</v>
      </c>
      <c r="I44" s="44"/>
      <c r="J44" s="45"/>
    </row>
    <row r="45" spans="1:10" ht="30" customHeight="1" thickBot="1">
      <c r="A45" s="7"/>
      <c r="B45" s="40" t="s">
        <v>218</v>
      </c>
      <c r="C45" s="41"/>
      <c r="D45" s="41"/>
      <c r="E45" s="28">
        <v>5</v>
      </c>
      <c r="F45" s="24">
        <v>3.75</v>
      </c>
      <c r="G45" s="36">
        <f t="shared" si="0"/>
        <v>0.75</v>
      </c>
      <c r="H45" s="37" t="str">
        <f t="shared" si="1"/>
        <v>جيد</v>
      </c>
      <c r="I45" s="74"/>
      <c r="J45" s="75"/>
    </row>
    <row r="46" spans="1:10" ht="30" customHeight="1">
      <c r="A46" s="7"/>
      <c r="B46" s="42" t="s">
        <v>219</v>
      </c>
      <c r="C46" s="43"/>
      <c r="D46" s="43"/>
      <c r="E46" s="27"/>
      <c r="F46" s="25"/>
      <c r="G46" s="34"/>
      <c r="H46" s="35"/>
      <c r="I46" s="76"/>
      <c r="J46" s="77"/>
    </row>
    <row r="47" spans="1:10" ht="30" customHeight="1">
      <c r="A47" s="7"/>
      <c r="B47" s="38" t="s">
        <v>220</v>
      </c>
      <c r="C47" s="39"/>
      <c r="D47" s="39"/>
      <c r="E47" s="26">
        <v>5</v>
      </c>
      <c r="F47" s="23">
        <v>3.75</v>
      </c>
      <c r="G47" s="32">
        <f t="shared" si="0"/>
        <v>0.75</v>
      </c>
      <c r="H47" s="33" t="str">
        <f t="shared" si="1"/>
        <v>جيد</v>
      </c>
      <c r="I47" s="44"/>
      <c r="J47" s="45"/>
    </row>
    <row r="48" spans="1:10" ht="30" customHeight="1">
      <c r="A48" s="7"/>
      <c r="B48" s="38" t="s">
        <v>221</v>
      </c>
      <c r="C48" s="39"/>
      <c r="D48" s="39"/>
      <c r="E48" s="26">
        <v>5</v>
      </c>
      <c r="F48" s="23">
        <v>3.75</v>
      </c>
      <c r="G48" s="32">
        <f t="shared" si="0"/>
        <v>0.75</v>
      </c>
      <c r="H48" s="33" t="str">
        <f t="shared" si="1"/>
        <v>جيد</v>
      </c>
      <c r="I48" s="44"/>
      <c r="J48" s="45"/>
    </row>
    <row r="49" spans="1:10" ht="30" customHeight="1">
      <c r="A49" s="7"/>
      <c r="B49" s="38" t="s">
        <v>222</v>
      </c>
      <c r="C49" s="39"/>
      <c r="D49" s="39"/>
      <c r="E49" s="26">
        <v>5</v>
      </c>
      <c r="F49" s="23">
        <v>3.75</v>
      </c>
      <c r="G49" s="32">
        <f t="shared" si="0"/>
        <v>0.75</v>
      </c>
      <c r="H49" s="33" t="str">
        <f t="shared" si="1"/>
        <v>جيد</v>
      </c>
      <c r="I49" s="44"/>
      <c r="J49" s="45"/>
    </row>
    <row r="50" spans="1:10" ht="30" customHeight="1">
      <c r="A50" s="7"/>
      <c r="B50" s="38" t="s">
        <v>223</v>
      </c>
      <c r="C50" s="39"/>
      <c r="D50" s="39"/>
      <c r="E50" s="26">
        <v>5</v>
      </c>
      <c r="F50" s="23">
        <v>3.75</v>
      </c>
      <c r="G50" s="32">
        <f t="shared" si="0"/>
        <v>0.75</v>
      </c>
      <c r="H50" s="33" t="str">
        <f t="shared" si="1"/>
        <v>جيد</v>
      </c>
      <c r="I50" s="44"/>
      <c r="J50" s="45"/>
    </row>
    <row r="51" spans="1:10" ht="30" customHeight="1">
      <c r="A51" s="7"/>
      <c r="B51" s="38" t="s">
        <v>224</v>
      </c>
      <c r="C51" s="39"/>
      <c r="D51" s="39"/>
      <c r="E51" s="26">
        <v>5</v>
      </c>
      <c r="F51" s="23">
        <v>4</v>
      </c>
      <c r="G51" s="32">
        <f t="shared" si="0"/>
        <v>0.8</v>
      </c>
      <c r="H51" s="33" t="str">
        <f t="shared" si="1"/>
        <v>جيد جداً</v>
      </c>
      <c r="I51" s="44"/>
      <c r="J51" s="45"/>
    </row>
    <row r="52" spans="1:10" ht="30" customHeight="1">
      <c r="A52" s="7"/>
      <c r="B52" s="38" t="s">
        <v>225</v>
      </c>
      <c r="C52" s="39"/>
      <c r="D52" s="39"/>
      <c r="E52" s="26">
        <v>5</v>
      </c>
      <c r="F52" s="23">
        <v>3.75</v>
      </c>
      <c r="G52" s="32">
        <f t="shared" si="0"/>
        <v>0.75</v>
      </c>
      <c r="H52" s="33" t="str">
        <f t="shared" si="1"/>
        <v>جيد</v>
      </c>
      <c r="I52" s="44"/>
      <c r="J52" s="45"/>
    </row>
    <row r="53" spans="1:10" ht="30" customHeight="1">
      <c r="A53" s="7"/>
      <c r="B53" s="38" t="s">
        <v>226</v>
      </c>
      <c r="C53" s="39"/>
      <c r="D53" s="39"/>
      <c r="E53" s="26">
        <v>5</v>
      </c>
      <c r="F53" s="23">
        <v>3.75</v>
      </c>
      <c r="G53" s="32">
        <f t="shared" si="0"/>
        <v>0.75</v>
      </c>
      <c r="H53" s="33" t="str">
        <f t="shared" si="1"/>
        <v>جيد</v>
      </c>
      <c r="I53" s="44"/>
      <c r="J53" s="45"/>
    </row>
    <row r="54" spans="1:10" ht="30" customHeight="1" thickBot="1">
      <c r="A54" s="7"/>
      <c r="B54" s="40" t="s">
        <v>227</v>
      </c>
      <c r="C54" s="41"/>
      <c r="D54" s="41"/>
      <c r="E54" s="28">
        <v>5</v>
      </c>
      <c r="F54" s="24">
        <v>3.75</v>
      </c>
      <c r="G54" s="36">
        <f t="shared" si="0"/>
        <v>0.75</v>
      </c>
      <c r="H54" s="37" t="str">
        <f t="shared" si="1"/>
        <v>جيد</v>
      </c>
      <c r="I54" s="74"/>
      <c r="J54" s="75"/>
    </row>
    <row r="55" spans="1:10" ht="30" customHeight="1">
      <c r="A55" s="7"/>
      <c r="B55" s="42" t="s">
        <v>228</v>
      </c>
      <c r="C55" s="43"/>
      <c r="D55" s="43"/>
      <c r="E55" s="27"/>
      <c r="F55" s="25"/>
      <c r="G55" s="34"/>
      <c r="H55" s="35"/>
      <c r="I55" s="76"/>
      <c r="J55" s="77"/>
    </row>
    <row r="56" spans="1:10" ht="30" customHeight="1">
      <c r="A56" s="7"/>
      <c r="B56" s="38" t="s">
        <v>229</v>
      </c>
      <c r="C56" s="39"/>
      <c r="D56" s="39"/>
      <c r="E56" s="26">
        <v>5</v>
      </c>
      <c r="F56" s="23">
        <v>3.75</v>
      </c>
      <c r="G56" s="32">
        <f t="shared" si="0"/>
        <v>0.75</v>
      </c>
      <c r="H56" s="33" t="str">
        <f t="shared" si="1"/>
        <v>جيد</v>
      </c>
      <c r="I56" s="44"/>
      <c r="J56" s="45"/>
    </row>
    <row r="57" spans="1:10" ht="30" customHeight="1">
      <c r="A57" s="7"/>
      <c r="B57" s="38" t="s">
        <v>230</v>
      </c>
      <c r="C57" s="39"/>
      <c r="D57" s="39"/>
      <c r="E57" s="26">
        <v>5</v>
      </c>
      <c r="F57" s="23">
        <v>3.75</v>
      </c>
      <c r="G57" s="32">
        <f t="shared" si="0"/>
        <v>0.75</v>
      </c>
      <c r="H57" s="33" t="str">
        <f t="shared" si="1"/>
        <v>جيد</v>
      </c>
      <c r="I57" s="44"/>
      <c r="J57" s="45"/>
    </row>
    <row r="58" spans="1:10" ht="30" customHeight="1">
      <c r="A58" s="7"/>
      <c r="B58" s="38" t="s">
        <v>231</v>
      </c>
      <c r="C58" s="39"/>
      <c r="D58" s="39"/>
      <c r="E58" s="26">
        <v>5</v>
      </c>
      <c r="F58" s="23">
        <v>3.75</v>
      </c>
      <c r="G58" s="32">
        <f t="shared" si="0"/>
        <v>0.75</v>
      </c>
      <c r="H58" s="33" t="str">
        <f t="shared" si="1"/>
        <v>جيد</v>
      </c>
      <c r="I58" s="44"/>
      <c r="J58" s="45"/>
    </row>
    <row r="59" spans="1:10" ht="30" customHeight="1">
      <c r="A59" s="7"/>
      <c r="B59" s="38" t="s">
        <v>232</v>
      </c>
      <c r="C59" s="39"/>
      <c r="D59" s="39"/>
      <c r="E59" s="26">
        <v>5</v>
      </c>
      <c r="F59" s="23">
        <v>3.75</v>
      </c>
      <c r="G59" s="32">
        <f t="shared" si="0"/>
        <v>0.75</v>
      </c>
      <c r="H59" s="33" t="str">
        <f t="shared" si="1"/>
        <v>جيد</v>
      </c>
      <c r="I59" s="44"/>
      <c r="J59" s="45"/>
    </row>
    <row r="60" spans="1:10" ht="30" customHeight="1" thickBot="1">
      <c r="A60" s="7"/>
      <c r="B60" s="40" t="s">
        <v>233</v>
      </c>
      <c r="C60" s="41"/>
      <c r="D60" s="41"/>
      <c r="E60" s="28">
        <v>5</v>
      </c>
      <c r="F60" s="24">
        <v>4</v>
      </c>
      <c r="G60" s="36">
        <f t="shared" si="0"/>
        <v>0.8</v>
      </c>
      <c r="H60" s="37" t="str">
        <f t="shared" si="1"/>
        <v>جيد جداً</v>
      </c>
      <c r="I60" s="74"/>
      <c r="J60" s="75"/>
    </row>
    <row r="61" spans="1:10" ht="30" customHeight="1" thickBot="1">
      <c r="A61" s="4"/>
      <c r="B61" s="81" t="s">
        <v>5</v>
      </c>
      <c r="C61" s="82"/>
      <c r="D61" s="82"/>
      <c r="E61" s="31">
        <f>SUM(E8:E60)</f>
        <v>230</v>
      </c>
      <c r="F61" s="31">
        <f>SUM(F8:F60)</f>
        <v>174</v>
      </c>
      <c r="G61" s="48"/>
      <c r="H61" s="49"/>
      <c r="I61" s="49"/>
      <c r="J61" s="50"/>
    </row>
    <row r="62" spans="1:10" ht="30" customHeight="1" thickBot="1">
      <c r="A62" s="4"/>
      <c r="B62" s="78" t="s">
        <v>54</v>
      </c>
      <c r="C62" s="79"/>
      <c r="D62" s="79"/>
      <c r="E62" s="58">
        <f>F61/E61/100*100</f>
        <v>0.75652173913043474</v>
      </c>
      <c r="F62" s="58"/>
      <c r="G62" s="58"/>
      <c r="H62" s="58"/>
      <c r="I62" s="58"/>
      <c r="J62" s="59"/>
    </row>
    <row r="63" spans="1:10" ht="30" customHeight="1" thickBot="1">
      <c r="A63" s="4"/>
      <c r="B63" s="78" t="s">
        <v>55</v>
      </c>
      <c r="C63" s="79"/>
      <c r="D63" s="79"/>
      <c r="E63" s="72" t="str">
        <f>_xlfn.IFS(E62&gt;=90%,"ممتاز",E62&gt;=80%,"جيد جداً",E62&gt;=70%,"جيد",E62&gt;=60%,"مقبول",E62&lt;60%,"راسب")</f>
        <v>جيد</v>
      </c>
      <c r="F63" s="72"/>
      <c r="G63" s="72"/>
      <c r="H63" s="72"/>
      <c r="I63" s="72"/>
      <c r="J63" s="73"/>
    </row>
    <row r="64" spans="1:10" ht="42" customHeight="1">
      <c r="B64" s="68" t="s">
        <v>174</v>
      </c>
      <c r="C64" s="68"/>
      <c r="D64" s="68"/>
      <c r="E64" s="46" t="s">
        <v>52</v>
      </c>
      <c r="F64" s="46"/>
      <c r="G64" s="70" t="s">
        <v>59</v>
      </c>
      <c r="H64" s="70"/>
      <c r="I64" s="70"/>
      <c r="J64" s="70"/>
    </row>
    <row r="65" spans="1:10" ht="51" customHeight="1">
      <c r="A65" s="5"/>
      <c r="B65" s="69"/>
      <c r="C65" s="69"/>
      <c r="D65" s="69"/>
      <c r="E65" s="47" t="s">
        <v>53</v>
      </c>
      <c r="F65" s="47"/>
      <c r="G65" s="71"/>
      <c r="H65" s="71"/>
      <c r="I65" s="71"/>
      <c r="J65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9">
    <mergeCell ref="F4:J4"/>
    <mergeCell ref="C4:D4"/>
    <mergeCell ref="I32:J32"/>
    <mergeCell ref="I33:J33"/>
    <mergeCell ref="I34:J34"/>
    <mergeCell ref="I35:J35"/>
    <mergeCell ref="I36:J36"/>
    <mergeCell ref="I8:J8"/>
    <mergeCell ref="B61:D61"/>
    <mergeCell ref="I26:J26"/>
    <mergeCell ref="I27:J27"/>
    <mergeCell ref="I45:J45"/>
    <mergeCell ref="I46:J46"/>
    <mergeCell ref="I47:J47"/>
    <mergeCell ref="I48:J48"/>
    <mergeCell ref="B62:D62"/>
    <mergeCell ref="B63:D6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19:J19"/>
    <mergeCell ref="I20:J20"/>
    <mergeCell ref="I21:J21"/>
    <mergeCell ref="I22:J22"/>
    <mergeCell ref="I23:J23"/>
    <mergeCell ref="I24:J24"/>
    <mergeCell ref="I25:J25"/>
    <mergeCell ref="G64:J64"/>
    <mergeCell ref="G65:J65"/>
    <mergeCell ref="E63:J63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B43:D43"/>
    <mergeCell ref="B53:D53"/>
    <mergeCell ref="I9:J9"/>
    <mergeCell ref="E64:F64"/>
    <mergeCell ref="E65:F65"/>
    <mergeCell ref="G61:J61"/>
    <mergeCell ref="B1:J1"/>
    <mergeCell ref="F2:J2"/>
    <mergeCell ref="B5:D6"/>
    <mergeCell ref="C2:D2"/>
    <mergeCell ref="C3:D3"/>
    <mergeCell ref="F3:J3"/>
    <mergeCell ref="E62:J6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B64:D65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54:D54"/>
    <mergeCell ref="B55:D55"/>
    <mergeCell ref="B56:D56"/>
    <mergeCell ref="B57:D57"/>
    <mergeCell ref="B58:D58"/>
    <mergeCell ref="B59:D59"/>
    <mergeCell ref="B60:D60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6:D36"/>
    <mergeCell ref="B37:D37"/>
    <mergeCell ref="B38:D38"/>
    <mergeCell ref="B39:D39"/>
    <mergeCell ref="B40:D40"/>
    <mergeCell ref="B41:D41"/>
    <mergeCell ref="B42:D4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3">
    <cfRule type="expression" dxfId="14" priority="57">
      <formula>$E63="راسب"</formula>
    </cfRule>
  </conditionalFormatting>
  <conditionalFormatting sqref="E63:J63">
    <cfRule type="expression" dxfId="13" priority="60">
      <formula>$E63="جيد جداً"</formula>
    </cfRule>
    <cfRule type="expression" dxfId="12" priority="59">
      <formula>$E63="جيد"</formula>
    </cfRule>
    <cfRule type="expression" dxfId="11" priority="58">
      <formula>$E63="مقبول"</formula>
    </cfRule>
    <cfRule type="expression" dxfId="10" priority="61">
      <formula>$E63="ممتاز"</formula>
    </cfRule>
  </conditionalFormatting>
  <conditionalFormatting sqref="F8:F6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4:J64">
    <cfRule type="containsText" dxfId="6" priority="15" operator="containsText" text="أدخل اسم المحكم">
      <formula>NOT(ISERROR(SEARCH("أدخل اسم المحكم",G64)))</formula>
    </cfRule>
  </conditionalFormatting>
  <conditionalFormatting sqref="H8:H60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F9:F12 F37:F45 F25:F35 F19:F23 F14:F17 F47:F54 F56:F60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G64:J64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6" t="s">
        <v>62</v>
      </c>
    </row>
    <row r="3" spans="1:3" ht="20.100000000000001" customHeight="1" thickBot="1">
      <c r="A3" s="2" t="s">
        <v>26</v>
      </c>
      <c r="C3" s="16" t="s">
        <v>63</v>
      </c>
    </row>
    <row r="4" spans="1:3" ht="20.100000000000001" customHeight="1" thickBot="1">
      <c r="A4" s="2" t="s">
        <v>36</v>
      </c>
      <c r="C4" s="16" t="s">
        <v>64</v>
      </c>
    </row>
    <row r="5" spans="1:3" ht="20.100000000000001" customHeight="1" thickBot="1">
      <c r="A5" s="2" t="s">
        <v>37</v>
      </c>
      <c r="C5" s="16" t="s">
        <v>65</v>
      </c>
    </row>
    <row r="6" spans="1:3" ht="20.100000000000001" customHeight="1" thickBot="1">
      <c r="A6" s="2" t="s">
        <v>38</v>
      </c>
      <c r="C6" s="16" t="s">
        <v>66</v>
      </c>
    </row>
    <row r="7" spans="1:3" ht="20.100000000000001" customHeight="1" thickBot="1">
      <c r="A7" s="2" t="s">
        <v>39</v>
      </c>
      <c r="C7" s="16" t="s">
        <v>67</v>
      </c>
    </row>
    <row r="8" spans="1:3" ht="20.100000000000001" customHeight="1" thickBot="1">
      <c r="A8" s="2" t="s">
        <v>40</v>
      </c>
      <c r="C8" s="16" t="s">
        <v>68</v>
      </c>
    </row>
    <row r="9" spans="1:3" ht="20.100000000000001" customHeight="1" thickBot="1">
      <c r="A9" s="2" t="s">
        <v>41</v>
      </c>
      <c r="C9" s="16" t="s">
        <v>69</v>
      </c>
    </row>
    <row r="10" spans="1:3" ht="20.100000000000001" customHeight="1" thickBot="1">
      <c r="A10" s="2" t="s">
        <v>42</v>
      </c>
      <c r="C10" s="16" t="s">
        <v>70</v>
      </c>
    </row>
    <row r="11" spans="1:3" ht="20.100000000000001" customHeight="1" thickBot="1">
      <c r="A11" s="2" t="s">
        <v>43</v>
      </c>
      <c r="C11" s="16" t="s">
        <v>71</v>
      </c>
    </row>
    <row r="12" spans="1:3" ht="20.100000000000001" customHeight="1" thickBot="1">
      <c r="A12" s="2" t="s">
        <v>44</v>
      </c>
      <c r="C12" s="16" t="s">
        <v>72</v>
      </c>
    </row>
    <row r="13" spans="1:3" ht="20.100000000000001" customHeight="1" thickBot="1">
      <c r="A13" s="2" t="s">
        <v>45</v>
      </c>
      <c r="C13" s="16" t="s">
        <v>73</v>
      </c>
    </row>
    <row r="14" spans="1:3" ht="20.100000000000001" customHeight="1" thickBot="1">
      <c r="A14" s="2" t="s">
        <v>46</v>
      </c>
      <c r="C14" s="16" t="s">
        <v>74</v>
      </c>
    </row>
    <row r="15" spans="1:3" ht="20.100000000000001" customHeight="1" thickBot="1">
      <c r="A15" s="2" t="s">
        <v>47</v>
      </c>
      <c r="C15" s="16" t="s">
        <v>75</v>
      </c>
    </row>
    <row r="16" spans="1:3" ht="20.100000000000001" customHeight="1" thickBot="1">
      <c r="A16" s="2" t="s">
        <v>10</v>
      </c>
      <c r="C16" s="16" t="s">
        <v>76</v>
      </c>
    </row>
    <row r="17" spans="1:3" ht="20.100000000000001" customHeight="1" thickBot="1">
      <c r="A17" s="2" t="s">
        <v>27</v>
      </c>
      <c r="C17" s="16" t="s">
        <v>77</v>
      </c>
    </row>
    <row r="18" spans="1:3" ht="20.100000000000001" customHeight="1" thickBot="1">
      <c r="A18" s="2" t="s">
        <v>48</v>
      </c>
      <c r="C18" s="16" t="s">
        <v>78</v>
      </c>
    </row>
    <row r="19" spans="1:3" ht="20.100000000000001" customHeight="1" thickBot="1">
      <c r="A19" s="2" t="s">
        <v>49</v>
      </c>
      <c r="C19" s="16" t="s">
        <v>79</v>
      </c>
    </row>
    <row r="20" spans="1:3" ht="20.100000000000001" customHeight="1" thickBot="1">
      <c r="A20" s="2" t="s">
        <v>50</v>
      </c>
      <c r="C20" s="16" t="s">
        <v>80</v>
      </c>
    </row>
    <row r="21" spans="1:3" ht="20.100000000000001" customHeight="1" thickBot="1">
      <c r="A21" s="2" t="s">
        <v>51</v>
      </c>
      <c r="C21" s="16" t="s">
        <v>81</v>
      </c>
    </row>
    <row r="22" spans="1:3" ht="20.100000000000001" customHeight="1" thickBot="1">
      <c r="A22" s="2" t="s">
        <v>11</v>
      </c>
      <c r="C22" s="16" t="s">
        <v>82</v>
      </c>
    </row>
    <row r="23" spans="1:3" ht="20.100000000000001" customHeight="1" thickBot="1">
      <c r="A23" s="2" t="s">
        <v>12</v>
      </c>
      <c r="C23" s="16" t="s">
        <v>83</v>
      </c>
    </row>
    <row r="24" spans="1:3" ht="20.100000000000001" customHeight="1" thickBot="1">
      <c r="A24" s="2" t="s">
        <v>15</v>
      </c>
      <c r="C24" s="16" t="s">
        <v>84</v>
      </c>
    </row>
    <row r="25" spans="1:3" ht="20.100000000000001" customHeight="1" thickBot="1">
      <c r="A25" s="2" t="s">
        <v>28</v>
      </c>
      <c r="C25" s="16" t="s">
        <v>85</v>
      </c>
    </row>
    <row r="26" spans="1:3" ht="20.100000000000001" customHeight="1" thickBot="1">
      <c r="A26" s="2" t="s">
        <v>29</v>
      </c>
      <c r="C26" s="16" t="s">
        <v>86</v>
      </c>
    </row>
    <row r="27" spans="1:3" ht="20.100000000000001" customHeight="1" thickBot="1">
      <c r="A27" s="2" t="s">
        <v>13</v>
      </c>
      <c r="C27" s="16" t="s">
        <v>87</v>
      </c>
    </row>
    <row r="28" spans="1:3" ht="20.100000000000001" customHeight="1" thickBot="1">
      <c r="A28" s="2" t="s">
        <v>30</v>
      </c>
      <c r="C28" s="16" t="s">
        <v>88</v>
      </c>
    </row>
    <row r="29" spans="1:3" ht="20.100000000000001" customHeight="1" thickBot="1">
      <c r="A29" s="2" t="s">
        <v>31</v>
      </c>
      <c r="C29" s="16" t="s">
        <v>177</v>
      </c>
    </row>
    <row r="30" spans="1:3" ht="20.100000000000001" customHeight="1" thickBot="1">
      <c r="A30" s="2" t="s">
        <v>32</v>
      </c>
      <c r="C30" s="16" t="s">
        <v>178</v>
      </c>
    </row>
    <row r="31" spans="1:3" ht="20.100000000000001" customHeight="1" thickBot="1">
      <c r="A31" s="2" t="s">
        <v>33</v>
      </c>
      <c r="C31" s="16" t="s">
        <v>179</v>
      </c>
    </row>
    <row r="32" spans="1:3" ht="20.100000000000001" customHeight="1" thickBot="1">
      <c r="A32" s="2" t="s">
        <v>16</v>
      </c>
      <c r="C32" s="16"/>
    </row>
    <row r="33" spans="1:9" ht="20.100000000000001" customHeight="1" thickBot="1">
      <c r="A33" s="2" t="s">
        <v>14</v>
      </c>
      <c r="C33" s="16"/>
    </row>
    <row r="34" spans="1:9" ht="20.100000000000001" customHeight="1" thickBot="1">
      <c r="A34" s="2" t="s">
        <v>34</v>
      </c>
      <c r="C34" s="16"/>
    </row>
    <row r="35" spans="1:9" ht="20.100000000000001" customHeight="1">
      <c r="A35" s="15"/>
    </row>
    <row r="36" spans="1:9" s="14" customFormat="1" ht="20.100000000000001" customHeight="1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0">
        <v>45931</v>
      </c>
    </row>
    <row r="40" spans="1:9" ht="20.100000000000001" customHeight="1" thickBot="1">
      <c r="A40" s="10">
        <v>45932</v>
      </c>
    </row>
    <row r="41" spans="1:9" ht="20.100000000000001" customHeight="1" thickBot="1">
      <c r="A41" s="10">
        <v>45933</v>
      </c>
    </row>
    <row r="42" spans="1:9" ht="20.100000000000001" customHeight="1" thickBot="1">
      <c r="A42" s="10">
        <v>45934</v>
      </c>
    </row>
    <row r="43" spans="1:9" ht="20.100000000000001" customHeight="1" thickBot="1">
      <c r="A43" s="10">
        <v>45935</v>
      </c>
    </row>
    <row r="44" spans="1:9" ht="20.100000000000001" customHeight="1" thickBot="1">
      <c r="A44" s="10">
        <v>45936</v>
      </c>
    </row>
    <row r="45" spans="1:9" ht="20.100000000000001" customHeight="1" thickBot="1">
      <c r="A45" s="10">
        <v>45937</v>
      </c>
    </row>
    <row r="46" spans="1:9" ht="20.100000000000001" customHeight="1" thickBot="1">
      <c r="A46" s="10">
        <v>45938</v>
      </c>
    </row>
    <row r="47" spans="1:9" ht="20.100000000000001" customHeight="1" thickBot="1">
      <c r="A47" s="10">
        <v>45939</v>
      </c>
    </row>
    <row r="48" spans="1:9" ht="20.100000000000001" customHeight="1" thickBot="1">
      <c r="A48" s="10">
        <v>45940</v>
      </c>
    </row>
    <row r="49" spans="1:1" ht="20.100000000000001" customHeight="1" thickBot="1">
      <c r="A49" s="10">
        <v>45941</v>
      </c>
    </row>
    <row r="50" spans="1:1" ht="20.100000000000001" customHeight="1" thickBot="1">
      <c r="A50" s="10">
        <v>45942</v>
      </c>
    </row>
    <row r="51" spans="1:1" ht="20.100000000000001" customHeight="1" thickBot="1">
      <c r="A51" s="10">
        <v>45943</v>
      </c>
    </row>
    <row r="52" spans="1:1" ht="20.100000000000001" customHeight="1" thickBot="1">
      <c r="A52" s="10">
        <v>45944</v>
      </c>
    </row>
    <row r="53" spans="1:1" ht="20.100000000000001" customHeight="1" thickBot="1">
      <c r="A53" s="10">
        <v>45945</v>
      </c>
    </row>
    <row r="54" spans="1:1" ht="20.100000000000001" customHeight="1" thickBot="1">
      <c r="A54" s="10">
        <v>45946</v>
      </c>
    </row>
    <row r="55" spans="1:1" ht="20.100000000000001" customHeight="1" thickBot="1">
      <c r="A55" s="10">
        <v>45947</v>
      </c>
    </row>
    <row r="56" spans="1:1" ht="20.100000000000001" customHeight="1" thickBot="1">
      <c r="A56" s="10">
        <v>45948</v>
      </c>
    </row>
    <row r="57" spans="1:1" ht="20.100000000000001" customHeight="1" thickBot="1">
      <c r="A57" s="10">
        <v>45949</v>
      </c>
    </row>
    <row r="58" spans="1:1" ht="20.100000000000001" customHeight="1" thickBot="1">
      <c r="A58" s="10">
        <v>45950</v>
      </c>
    </row>
    <row r="59" spans="1:1" ht="20.100000000000001" customHeight="1" thickBot="1">
      <c r="A59" s="10">
        <v>45951</v>
      </c>
    </row>
    <row r="60" spans="1:1" ht="20.100000000000001" customHeight="1" thickBot="1">
      <c r="A60" s="10">
        <v>45952</v>
      </c>
    </row>
    <row r="61" spans="1:1" ht="20.100000000000001" customHeight="1" thickBot="1">
      <c r="A61" s="10">
        <v>45953</v>
      </c>
    </row>
    <row r="62" spans="1:1" ht="20.100000000000001" customHeight="1" thickBot="1">
      <c r="A62" s="10">
        <v>45954</v>
      </c>
    </row>
    <row r="63" spans="1:1" ht="20.100000000000001" customHeight="1" thickBot="1">
      <c r="A63" s="10">
        <v>45955</v>
      </c>
    </row>
    <row r="64" spans="1:1" ht="20.100000000000001" customHeight="1" thickBot="1">
      <c r="A64" s="10">
        <v>45956</v>
      </c>
    </row>
    <row r="65" spans="1:1" ht="20.100000000000001" customHeight="1" thickBot="1">
      <c r="A65" s="10">
        <v>45957</v>
      </c>
    </row>
    <row r="66" spans="1:1" ht="20.100000000000001" customHeight="1" thickBot="1">
      <c r="A66" s="10">
        <v>45958</v>
      </c>
    </row>
    <row r="67" spans="1:1" ht="20.100000000000001" customHeight="1" thickBot="1">
      <c r="A67" s="10">
        <v>45959</v>
      </c>
    </row>
    <row r="68" spans="1:1" ht="20.100000000000001" customHeight="1" thickBot="1">
      <c r="A68" s="10">
        <v>45960</v>
      </c>
    </row>
    <row r="69" spans="1:1" ht="20.100000000000001" customHeight="1" thickBot="1">
      <c r="A69" s="10">
        <v>45961</v>
      </c>
    </row>
    <row r="70" spans="1:1" ht="20.100000000000001" customHeight="1" thickBot="1">
      <c r="A70" s="10"/>
    </row>
    <row r="71" spans="1:1" ht="20.100000000000001" customHeight="1" thickBot="1">
      <c r="A71" s="10"/>
    </row>
    <row r="72" spans="1:1" ht="20.100000000000001" customHeight="1" thickBot="1">
      <c r="A72" s="10"/>
    </row>
    <row r="73" spans="1:1" ht="20.100000000000001" customHeight="1" thickBot="1">
      <c r="A73" s="10"/>
    </row>
    <row r="74" spans="1:1" ht="20.100000000000001" customHeight="1" thickBot="1">
      <c r="A74" s="10"/>
    </row>
    <row r="75" spans="1:1" ht="20.100000000000001" customHeight="1" thickBot="1">
      <c r="A75" s="10"/>
    </row>
    <row r="76" spans="1:1" ht="20.100000000000001" customHeight="1" thickBot="1">
      <c r="A76" s="10"/>
    </row>
    <row r="77" spans="1:1" ht="20.100000000000001" customHeight="1" thickBot="1">
      <c r="A77" s="10"/>
    </row>
    <row r="78" spans="1:1" ht="20.100000000000001" customHeight="1" thickBot="1">
      <c r="A78" s="10"/>
    </row>
    <row r="79" spans="1:1" ht="20.100000000000001" customHeight="1" thickBot="1">
      <c r="A79" s="10"/>
    </row>
    <row r="80" spans="1:1" ht="20.100000000000001" customHeight="1" thickBot="1">
      <c r="A80" s="10"/>
    </row>
    <row r="81" spans="1:1" ht="20.100000000000001" customHeight="1" thickBot="1">
      <c r="A81" s="10"/>
    </row>
    <row r="82" spans="1:1" ht="20.100000000000001" customHeight="1" thickBot="1">
      <c r="A82" s="10"/>
    </row>
    <row r="83" spans="1:1" ht="20.100000000000001" customHeight="1" thickBot="1">
      <c r="A83" s="10"/>
    </row>
    <row r="84" spans="1:1" ht="20.100000000000001" customHeight="1" thickBot="1">
      <c r="A84" s="10"/>
    </row>
    <row r="85" spans="1:1" ht="20.100000000000001" customHeight="1" thickBot="1">
      <c r="A85" s="10"/>
    </row>
    <row r="86" spans="1:1" ht="20.100000000000001" customHeight="1" thickBot="1">
      <c r="A86" s="10"/>
    </row>
    <row r="87" spans="1:1" ht="20.100000000000001" customHeight="1" thickBot="1">
      <c r="A87" s="10"/>
    </row>
    <row r="88" spans="1:1" ht="20.100000000000001" customHeight="1" thickBot="1">
      <c r="A88" s="10"/>
    </row>
    <row r="89" spans="1:1" ht="20.100000000000001" customHeight="1" thickBot="1">
      <c r="A89" s="10"/>
    </row>
    <row r="90" spans="1:1" ht="20.100000000000001" customHeight="1" thickBot="1">
      <c r="A90" s="10"/>
    </row>
    <row r="91" spans="1:1" ht="20.100000000000001" customHeight="1" thickBot="1">
      <c r="A91" s="10"/>
    </row>
    <row r="92" spans="1:1" ht="20.100000000000001" customHeight="1" thickBot="1">
      <c r="A92" s="10"/>
    </row>
    <row r="93" spans="1:1" ht="20.100000000000001" customHeight="1" thickBot="1">
      <c r="A93" s="10"/>
    </row>
    <row r="94" spans="1:1" ht="20.100000000000001" customHeight="1" thickBot="1">
      <c r="A94" s="10"/>
    </row>
    <row r="95" spans="1:1" ht="20.100000000000001" customHeight="1" thickBot="1">
      <c r="A95" s="10"/>
    </row>
    <row r="96" spans="1:1" ht="20.100000000000001" customHeight="1" thickBot="1">
      <c r="A96" s="10"/>
    </row>
    <row r="97" spans="1:9" ht="20.100000000000001" customHeight="1" thickBot="1">
      <c r="A97" s="10"/>
    </row>
    <row r="98" spans="1:9" ht="20.100000000000001" customHeight="1" thickBot="1">
      <c r="A98" s="10"/>
    </row>
    <row r="99" spans="1:9" ht="20.100000000000001" customHeight="1" thickBot="1">
      <c r="A99" s="10"/>
    </row>
    <row r="100" spans="1:9" ht="20.100000000000001" customHeight="1" thickBot="1">
      <c r="A100" s="10"/>
    </row>
    <row r="101" spans="1:9" ht="20.100000000000001" customHeight="1" thickBot="1">
      <c r="A101" s="10"/>
    </row>
    <row r="102" spans="1:9" ht="20.100000000000001" customHeight="1" thickBot="1">
      <c r="A102" s="10"/>
    </row>
    <row r="103" spans="1:9" ht="20.100000000000001" customHeight="1" thickBot="1">
      <c r="A103" s="10"/>
    </row>
    <row r="104" spans="1:9" ht="20.100000000000001" customHeight="1" thickBot="1">
      <c r="A104" s="10"/>
    </row>
    <row r="105" spans="1:9" ht="20.100000000000001" customHeight="1" thickBot="1">
      <c r="A105" s="10"/>
    </row>
    <row r="106" spans="1:9" ht="20.100000000000001" customHeight="1" thickBot="1">
      <c r="A106" s="10"/>
    </row>
    <row r="107" spans="1:9" ht="20.100000000000001" customHeight="1">
      <c r="A107" s="11"/>
    </row>
    <row r="108" spans="1:9" ht="20.100000000000001" customHeight="1">
      <c r="A108" s="11"/>
    </row>
    <row r="109" spans="1:9" s="14" customFormat="1" ht="20.100000000000001" customHeight="1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7" t="s">
        <v>89</v>
      </c>
    </row>
    <row r="200" spans="1:1" ht="20.100000000000001" customHeight="1">
      <c r="A200" s="17" t="s">
        <v>90</v>
      </c>
    </row>
    <row r="201" spans="1:1" ht="20.100000000000001" customHeight="1">
      <c r="A201" s="17" t="s">
        <v>91</v>
      </c>
    </row>
    <row r="202" spans="1:1" ht="20.100000000000001" customHeight="1">
      <c r="A202" s="17" t="s">
        <v>92</v>
      </c>
    </row>
    <row r="203" spans="1:1" ht="20.100000000000001" customHeight="1">
      <c r="A203" s="17" t="s">
        <v>93</v>
      </c>
    </row>
    <row r="204" spans="1:1" ht="20.100000000000001" customHeight="1">
      <c r="A204" s="17" t="s">
        <v>94</v>
      </c>
    </row>
    <row r="205" spans="1:1" ht="20.100000000000001" customHeight="1">
      <c r="A205" s="17" t="s">
        <v>95</v>
      </c>
    </row>
    <row r="206" spans="1:1" ht="20.100000000000001" customHeight="1">
      <c r="A206" s="17" t="s">
        <v>96</v>
      </c>
    </row>
    <row r="207" spans="1:1" ht="20.100000000000001" customHeight="1">
      <c r="A207" s="17" t="s">
        <v>97</v>
      </c>
    </row>
    <row r="208" spans="1:1" ht="20.100000000000001" customHeight="1">
      <c r="A208" s="18" t="s">
        <v>98</v>
      </c>
    </row>
    <row r="209" spans="1:1" ht="20.100000000000001" customHeight="1">
      <c r="A209" s="18" t="s">
        <v>99</v>
      </c>
    </row>
    <row r="210" spans="1:1" ht="20.100000000000001" customHeight="1">
      <c r="A210" s="17" t="s">
        <v>100</v>
      </c>
    </row>
    <row r="211" spans="1:1" ht="20.100000000000001" customHeight="1">
      <c r="A211" s="17" t="s">
        <v>101</v>
      </c>
    </row>
    <row r="212" spans="1:1" ht="20.100000000000001" customHeight="1">
      <c r="A212" s="17" t="s">
        <v>175</v>
      </c>
    </row>
    <row r="213" spans="1:1" ht="20.100000000000001" customHeight="1">
      <c r="A213" s="17" t="s">
        <v>102</v>
      </c>
    </row>
    <row r="214" spans="1:1" ht="20.100000000000001" customHeight="1">
      <c r="A214" s="17" t="s">
        <v>103</v>
      </c>
    </row>
    <row r="215" spans="1:1" ht="20.100000000000001" customHeight="1">
      <c r="A215" s="17" t="s">
        <v>104</v>
      </c>
    </row>
    <row r="216" spans="1:1" ht="20.100000000000001" customHeight="1">
      <c r="A216" s="17" t="s">
        <v>105</v>
      </c>
    </row>
    <row r="217" spans="1:1" ht="20.100000000000001" customHeight="1">
      <c r="A217" s="17" t="s">
        <v>106</v>
      </c>
    </row>
    <row r="218" spans="1:1" ht="20.100000000000001" customHeight="1">
      <c r="A218" s="17" t="s">
        <v>107</v>
      </c>
    </row>
    <row r="219" spans="1:1" ht="20.100000000000001" customHeight="1">
      <c r="A219" s="17" t="s">
        <v>108</v>
      </c>
    </row>
    <row r="220" spans="1:1" ht="20.100000000000001" customHeight="1">
      <c r="A220" s="17" t="s">
        <v>109</v>
      </c>
    </row>
    <row r="221" spans="1:1" ht="20.100000000000001" customHeight="1">
      <c r="A221" s="17" t="s">
        <v>110</v>
      </c>
    </row>
    <row r="222" spans="1:1" ht="20.100000000000001" customHeight="1">
      <c r="A222" s="17" t="s">
        <v>111</v>
      </c>
    </row>
    <row r="223" spans="1:1" ht="20.100000000000001" customHeight="1">
      <c r="A223" s="17" t="s">
        <v>112</v>
      </c>
    </row>
    <row r="224" spans="1:1" ht="20.100000000000001" customHeight="1">
      <c r="A224" s="17" t="s">
        <v>176</v>
      </c>
    </row>
    <row r="225" spans="1:1" ht="20.100000000000001" customHeight="1">
      <c r="A225" s="17" t="s">
        <v>113</v>
      </c>
    </row>
    <row r="226" spans="1:1" ht="20.100000000000001" customHeight="1">
      <c r="A226" s="17" t="s">
        <v>114</v>
      </c>
    </row>
    <row r="227" spans="1:1" ht="20.100000000000001" customHeight="1">
      <c r="A227" s="17" t="s">
        <v>115</v>
      </c>
    </row>
    <row r="228" spans="1:1" ht="20.100000000000001" customHeight="1">
      <c r="A228" s="17" t="s">
        <v>116</v>
      </c>
    </row>
    <row r="229" spans="1:1" ht="20.100000000000001" customHeight="1">
      <c r="A229" s="17" t="s">
        <v>117</v>
      </c>
    </row>
    <row r="230" spans="1:1" ht="20.100000000000001" customHeight="1">
      <c r="A230" s="17" t="s">
        <v>118</v>
      </c>
    </row>
    <row r="231" spans="1:1" ht="20.100000000000001" customHeight="1">
      <c r="A231" s="17" t="s">
        <v>119</v>
      </c>
    </row>
    <row r="232" spans="1:1" ht="20.100000000000001" customHeight="1">
      <c r="A232" s="17" t="s">
        <v>120</v>
      </c>
    </row>
    <row r="233" spans="1:1" ht="20.100000000000001" customHeight="1">
      <c r="A233" s="17" t="s">
        <v>121</v>
      </c>
    </row>
    <row r="234" spans="1:1" ht="20.100000000000001" customHeight="1">
      <c r="A234" s="17" t="s">
        <v>122</v>
      </c>
    </row>
    <row r="235" spans="1:1" ht="20.100000000000001" customHeight="1">
      <c r="A235" s="17" t="s">
        <v>123</v>
      </c>
    </row>
    <row r="236" spans="1:1" ht="20.100000000000001" customHeight="1">
      <c r="A236" s="19" t="s">
        <v>124</v>
      </c>
    </row>
    <row r="237" spans="1:1" ht="20.100000000000001" customHeight="1">
      <c r="A237" s="17" t="s">
        <v>125</v>
      </c>
    </row>
    <row r="238" spans="1:1" ht="20.100000000000001" customHeight="1">
      <c r="A238" s="17" t="s">
        <v>126</v>
      </c>
    </row>
    <row r="239" spans="1:1" ht="20.100000000000001" customHeight="1">
      <c r="A239" s="17" t="s">
        <v>127</v>
      </c>
    </row>
    <row r="240" spans="1:1" ht="20.100000000000001" customHeight="1">
      <c r="A240" s="17" t="s">
        <v>128</v>
      </c>
    </row>
    <row r="241" spans="1:1" ht="20.100000000000001" customHeight="1">
      <c r="A241" s="17" t="s">
        <v>129</v>
      </c>
    </row>
    <row r="242" spans="1:1" ht="20.100000000000001" customHeight="1">
      <c r="A242" s="17" t="s">
        <v>130</v>
      </c>
    </row>
    <row r="243" spans="1:1" ht="20.100000000000001" customHeight="1">
      <c r="A243" s="17" t="s">
        <v>131</v>
      </c>
    </row>
    <row r="244" spans="1:1" ht="20.100000000000001" customHeight="1">
      <c r="A244" s="17" t="s">
        <v>132</v>
      </c>
    </row>
    <row r="245" spans="1:1" ht="20.100000000000001" customHeight="1">
      <c r="A245" s="17" t="s">
        <v>133</v>
      </c>
    </row>
    <row r="246" spans="1:1" ht="20.100000000000001" customHeight="1">
      <c r="A246" s="17" t="s">
        <v>134</v>
      </c>
    </row>
    <row r="247" spans="1:1" ht="20.100000000000001" customHeight="1">
      <c r="A247" s="17" t="s">
        <v>135</v>
      </c>
    </row>
    <row r="248" spans="1:1" ht="20.100000000000001" customHeight="1">
      <c r="A248" s="17" t="s">
        <v>126</v>
      </c>
    </row>
    <row r="249" spans="1:1" ht="20.100000000000001" customHeight="1">
      <c r="A249" s="17" t="s">
        <v>136</v>
      </c>
    </row>
    <row r="250" spans="1:1" ht="20.100000000000001" customHeight="1">
      <c r="A250" s="17" t="s">
        <v>137</v>
      </c>
    </row>
    <row r="251" spans="1:1" ht="20.100000000000001" customHeight="1">
      <c r="A251" s="19" t="s">
        <v>138</v>
      </c>
    </row>
    <row r="252" spans="1:1" ht="20.100000000000001" customHeight="1">
      <c r="A252" s="20" t="s">
        <v>139</v>
      </c>
    </row>
    <row r="253" spans="1:1" ht="20.100000000000001" customHeight="1">
      <c r="A253" s="17" t="s">
        <v>140</v>
      </c>
    </row>
    <row r="254" spans="1:1" ht="20.100000000000001" customHeight="1">
      <c r="A254" s="17" t="s">
        <v>141</v>
      </c>
    </row>
    <row r="255" spans="1:1" ht="20.100000000000001" customHeight="1">
      <c r="A255" s="21" t="s">
        <v>142</v>
      </c>
    </row>
    <row r="256" spans="1:1" ht="20.100000000000001" customHeight="1">
      <c r="A256" s="21" t="s">
        <v>143</v>
      </c>
    </row>
    <row r="257" spans="1:1" ht="20.100000000000001" customHeight="1">
      <c r="A257" s="22" t="s">
        <v>144</v>
      </c>
    </row>
    <row r="258" spans="1:1" ht="20.100000000000001" customHeight="1">
      <c r="A258" s="17" t="s">
        <v>145</v>
      </c>
    </row>
    <row r="259" spans="1:1" ht="20.100000000000001" customHeight="1">
      <c r="A259" s="22" t="s">
        <v>146</v>
      </c>
    </row>
    <row r="260" spans="1:1" ht="20.100000000000001" customHeight="1">
      <c r="A260" s="17" t="s">
        <v>147</v>
      </c>
    </row>
    <row r="261" spans="1:1" ht="20.100000000000001" customHeight="1">
      <c r="A261" s="22" t="s">
        <v>148</v>
      </c>
    </row>
    <row r="262" spans="1:1" ht="20.100000000000001" customHeight="1">
      <c r="A262" s="17" t="s">
        <v>149</v>
      </c>
    </row>
    <row r="263" spans="1:1" ht="20.100000000000001" customHeight="1">
      <c r="A263" s="17" t="s">
        <v>150</v>
      </c>
    </row>
    <row r="264" spans="1:1" ht="20.100000000000001" customHeight="1">
      <c r="A264" s="22" t="s">
        <v>151</v>
      </c>
    </row>
    <row r="265" spans="1:1" ht="20.100000000000001" customHeight="1">
      <c r="A265" s="22" t="s">
        <v>152</v>
      </c>
    </row>
    <row r="266" spans="1:1" ht="20.100000000000001" customHeight="1">
      <c r="A266" s="22" t="s">
        <v>153</v>
      </c>
    </row>
    <row r="267" spans="1:1" ht="20.100000000000001" customHeight="1">
      <c r="A267" s="17" t="s">
        <v>154</v>
      </c>
    </row>
    <row r="268" spans="1:1" ht="20.100000000000001" customHeight="1">
      <c r="A268" s="17" t="s">
        <v>155</v>
      </c>
    </row>
    <row r="269" spans="1:1" ht="20.100000000000001" customHeight="1">
      <c r="A269" s="17" t="s">
        <v>156</v>
      </c>
    </row>
    <row r="270" spans="1:1" ht="20.100000000000001" customHeight="1">
      <c r="A270" s="17" t="s">
        <v>157</v>
      </c>
    </row>
    <row r="271" spans="1:1" ht="20.100000000000001" customHeight="1">
      <c r="A271" s="22" t="s">
        <v>158</v>
      </c>
    </row>
    <row r="272" spans="1:1" ht="20.100000000000001" customHeight="1">
      <c r="A272" s="22" t="s">
        <v>159</v>
      </c>
    </row>
    <row r="273" spans="1:1" ht="20.100000000000001" customHeight="1">
      <c r="A273" s="17" t="s">
        <v>160</v>
      </c>
    </row>
    <row r="274" spans="1:1" ht="20.100000000000001" customHeight="1">
      <c r="A274" s="22" t="s">
        <v>161</v>
      </c>
    </row>
    <row r="275" spans="1:1" ht="20.100000000000001" customHeight="1">
      <c r="A275" s="22" t="s">
        <v>162</v>
      </c>
    </row>
    <row r="276" spans="1:1" ht="20.100000000000001" customHeight="1">
      <c r="A276" s="17" t="s">
        <v>163</v>
      </c>
    </row>
    <row r="277" spans="1:1" ht="20.100000000000001" customHeight="1">
      <c r="A277" s="17" t="s">
        <v>164</v>
      </c>
    </row>
    <row r="278" spans="1:1" ht="20.100000000000001" customHeight="1">
      <c r="A278" s="22" t="s">
        <v>165</v>
      </c>
    </row>
    <row r="279" spans="1:1" ht="20.100000000000001" customHeight="1">
      <c r="A279" s="17" t="s">
        <v>166</v>
      </c>
    </row>
    <row r="280" spans="1:1" ht="20.100000000000001" customHeight="1">
      <c r="A280" s="17" t="s">
        <v>167</v>
      </c>
    </row>
    <row r="281" spans="1:1" ht="20.100000000000001" customHeight="1">
      <c r="A281" s="17" t="s">
        <v>168</v>
      </c>
    </row>
    <row r="282" spans="1:1" ht="20.100000000000001" customHeight="1">
      <c r="A282" s="17" t="s">
        <v>169</v>
      </c>
    </row>
    <row r="283" spans="1:1" ht="20.100000000000001" customHeight="1">
      <c r="A283" s="22" t="s">
        <v>170</v>
      </c>
    </row>
    <row r="284" spans="1:1" ht="20.100000000000001" customHeight="1">
      <c r="A284" s="22" t="s">
        <v>171</v>
      </c>
    </row>
    <row r="285" spans="1:1" ht="20.100000000000001" customHeight="1">
      <c r="A285" s="22" t="s">
        <v>172</v>
      </c>
    </row>
    <row r="286" spans="1:1" ht="20.100000000000001" customHeight="1" thickBot="1">
      <c r="A286" s="17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2025-10-21T09:55:12Z</dcterms:modified>
</cp:coreProperties>
</file>