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02E9B2EA-C430-0748-A39B-EA8E9B6F8530}"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<sst xmlns="http://schemas.openxmlformats.org/spreadsheetml/2006/main" count="258" uniqueCount="202">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</sst>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571785</xdr:colOff>
      <xdr:row>33</xdr:row>
      <xdr:rowOff>226025</xdr:rowOff>
    </xdr:from>
    <xdr:to>
      <xdr:col>9</xdr:col>
      <xdr:colOff>372314</xdr:colOff>
      <xdr:row>37</xdr:row>
      <xdr:rowOff>38868</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3" name="Ink 2">
              <a:extLst>
                <a:ext uri="{FF2B5EF4-FFF2-40B4-BE49-F238E27FC236}">
                  <a16:creationId xmlns:a16="http://schemas.microsoft.com/office/drawing/2014/main" id="{4649BDE2-1D44-A5BA-EEF3-E358170B25AA}"/>
                </a:ext>
              </a:extLst>
            </xdr14:cNvPr>
            <xdr14:cNvContentPartPr/>
          </xdr14:nvContentPartPr>
          <xdr14:nvPr macro=""/>
          <xdr14:xfrm>
            <a:off x="10398214505" y="17232480"/>
            <a:ext cx="1774800" cy="1752480"/>
          </xdr14:xfrm>
        </xdr:contentPart>
      </mc:Choice>
      <mc:Fallback>
        <xdr:pic>
          <xdr:nvPicPr>
            <xdr:cNvPr id="3" name="Ink 2">
              <a:extLst>
                <a:ext uri="{FF2B5EF4-FFF2-40B4-BE49-F238E27FC236}">
                  <a16:creationId xmlns:a16="http://schemas.microsoft.com/office/drawing/2014/main" id="{4649BDE2-1D44-A5BA-EEF3-E358170B25AA}"/>
                </a:ext>
              </a:extLst>
            </xdr:cNvPr>
            <xdr:cNvPicPr/>
          </xdr:nvPicPr>
          <xdr:blipFill>
            <a:blip xmlns:r="http://schemas.openxmlformats.org/officeDocument/2006/relationships" r:embed="rId2"/>
            <a:stretch>
              <a:fillRect/>
            </a:stretch>
          </xdr:blipFill>
          <xdr:spPr>
            <a:xfrm>
              <a:off x="10398205865" y="17223480"/>
              <a:ext cx="1792440" cy="1770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18:29:06.953"/>
    </inkml:context>
    <inkml:brush xml:id="br0">
      <inkml:brushProperty name="width" value="0.05" units="cm"/>
      <inkml:brushProperty name="height" value="0.05" units="cm"/>
    </inkml:brush>
  </inkml:definitions>
  <inkml:trace contextRef="#ctx0" brushRef="#br0">3443 4586 21508,'0'0'0,"-3"-26"472,3 7-304,-2-7 152,2 26-320,0-23 8,2 5 24,3-2 96,7-1-64,-12 21-64,5-20-144,0-3 168,7 0-128,-10 0 64,-2 23 40,0-21 104,0 0 352,-5-1 73,-7 1-193,12 21-336,-2-21 944,-12-1-176,-1 3-328,6-3 136,9 22-576,-12-18 416,-1-1-168,1 2 328,-2-1 193,14 18-769,-10-16 344,-2-1-208,0 0 96,8 0-616,4 17 384,-17-19 64,14 1-184,-14 4-32,13 0 112,4 14 40,-10-15-168,8 4 224,-1-2 96,3-2-64,0 15-88,0-15 80,3 0-112,-3 0-24,2 1 112,-2 14-56,7-14 16,-4-2 56,-1 1-24,3-1-32,-5 16-16,5-16-16,-5 2 48,2 3-48,0 0 32,-2 11-16,0-5 72,3-9-56,-1 11 32,1-8 376,-3 11-424,7-3 40,-2-1 512,0-8-304,9 10-416,-14 2 168,5-5 232,0 2-312,9 1 0,-9-1 112,-5 3-32,12 0-32,-10-3-88,15 0 56,-12 0 64,-5 3 0,12-3-152,5 1 0,-3 2 48,1-3 312,-15 3-208,16-3-24,1 0-24,0 0 280,7 0-248,-24 3 16,22-4 104,-5 0-88,4 0-64,3-8-240,-24 12 288,29-3-32,3-10 16,4 9-88,0-13 72,-36 17 32,38-13-64,8-2 40,0-1 64,4 0-80,-50 16 40,55-17-96,8 0 48,-3-1-88,3-2 168,-63 20-32,72-20-72,0 2-24,5-1-248,-3 2 392,-74 17-48,75-16 208,-8 2-120,-9 3 352,-5 7-544,-53 4 104,43-5-104,-4 2 208,-6 1 32,-6 2-24,-27 0-112,24 0 192,-12 1-248,-5 3-160,5 1 200,-12-5 16,0 5-184,0 8 200,-12 0 88,-5 7-112,17-20 8,-28 25 40,-11 7 72,-9 5 128,-15 1-72,63-38-168,-69 43 264,-8 1-184,-10 3-72,-7 5 40,94-52-48,-113 56-88,-9 5 88,-4 3-160,-13 2 192,139-66-32,-156 70 96,4 3-128,-11 2-792,1-1 712,162-74 112,-149 75-224,5-2 72,12-5 960,4-5-904,128-63 96,-113 59 184,10-5-216,14-3-120,14-7 168,75-44-16,-65 40-184,12-8 168,8-8 32,18-7-120,27-17 104,-19 13 32,7-9-64,9 0 104,3-2-8,0-2-64,0 0-48,3 0 64,2 0-152,-3-12 120,-2 12 16,17-4 0,5-17 0,4 1 112,-2-3-104,-24 23-8,27-27 0,11-2 32,-4-2 48,7-1-128,-41 32 48,45-33-48,3-1 128,0 0-64,1 1 88,-49 33-104,45-33 96,1 3-208,-5 3 128,-3 3-32,-38 24 16,29-18 0,-10 3-56,-4 4-8,-10 8 32,-5 3 32,0-4 80,0 1-64,-3 0-184,-2 0 56,5 3 112,-16 0-240,1 0 224,-2 0 96,-7 0-112,24 0 32,-24 5 48,-9 9-160,-1-1 208,0 1 128,34-14-224,-36 17-16,-5 3 184,0 0-272,1 3 8,40-23 96,-39 19 48,-4 4-96,4-1 64,-2-3-32,41-19 16,-31 20 32,5-3 0,2-2-48,4-3 104,20-12-88,-19 5 80,7 0 0,12 0-72,0-4-48,0-1 40,-2 1 32,2-1-8,0-2-24,12-11 48,-12 13-48,14-13 64,3-5-32,7-7 160,7 0-80,-31 25-112,34-27-96,-3 1 80,0 2 16,-6 1-224,-25 23 224,21-18 56,-4 4-224,-12 2-56,12 9 224,-17 3 0,0-4-48,0 1-360,2 3 472,-2-3-56,0 3-8,-2 0 0,-10 0 584,0 0-616,-12 0 72,24 0-40,-20 2 48,-4 2-64,0 0 264,7 8 24,17-12-272,-16 4 144,4 0 136,-3 1-344,10-3 48,5-2 16,-12 5-48,12-4 48,-5 0 168,5-1-120,0 0-48,0 0 16,0 0 32,3-4-248,-1 0 72,-2 4 128,15-13-32,2 0-208,-3 1-360,5-4 520,-19 16 80,17-17-120,0 1-184,-3 2 304,6 1-448,-20 13 448,12-4-552,-10-10 295,3 10 201,0-1 192,-5 5-136,0-4 209,4 0 15,-1 1 72,-3 0-432,0 3 136,2-3 0,-2 3-16,3-3 136,-3 3 48,0 0-168,0 0 32,0-3 24,0 3-144,0-2-32,0 2 120,0 0-64,0-3 80,0 3-88,0-3 280,0 3-208,0-3 88,-5 3 16,2-3-24,-9-1 112,12 4-192,-2-13 96,0 10 72,-15-9 208,5 7-264,12 5-112,-12-15 120,-3 3 16,-2-2-72,-7-2 88,24 16-152,-26-17 360,-5-2-144,-5-3 32,-3-5-8,39 27-240,-48-28 200,-7-4-40,-10 1-80,-7 0-32,72 31-48,-85-31 0,-6-5 48,-5-2-160,-10-5-96,106 43 208,-113-45-72,-5-2 56,3 1 312,-6-1-136,121 47-160,-122-49-64,-3-5-208,62 24-1280,-16-9 512,79 39 1040,-75-42-104,-9-10-256,4-6 1168,-9-13-224,89 71-584,-76-79 384,-6-20-304,14-13-32,15-12-296,53 124 248,-28-136-520,23-15 856,19-11 152,27-13 16,-41 175-504,72-183-264,49-27 72,129-150 144,36 44 144,-286 316-96,289-260 328,-32 83-440,10 13-8,12 21 320,-279 143-200,284-126 488,-5 24 0,-10 27-248,-19 24-304,-250 51 64,241-22-240,-20 27 80,-31 39 96,-21 22 0,-169-66 64,137 90 80,-32 21-160,-20 15-120,-28 21-440,-57-147 640,32 163-344,-30 16 360,-14 15 80,-29 17 152,41-211-248,-70 234-16,-21 12-80,-34 7 64,-19 0-104,144-253 136,-154 247-232,-20-11 64,-4-3-96,-7-10 384,185-223-120,-187 216 296,-6-5 40,3-12-768,3-17 248,187-182 184,-181 162-960,10-19 80,15-20 167,7-18-1711,149-105 2424,-154 98-8418,2-11-3232,152-87 11650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20"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37</v>
      </c>
      <c r="D2" s="77"/>
      <c r="E2" s="13" t="s">
        <v>7</v>
      </c>
      <c r="F2" s="72">
        <v>45953</v>
      </c>
      <c r="G2" s="72"/>
      <c r="H2" s="72"/>
      <c r="I2" s="72"/>
      <c r="J2" s="72"/>
    </row>
    <row r="3" spans="1:10" ht="30" customHeight="1" x14ac:dyDescent="0.2">
      <c r="B3" s="13" t="s">
        <v>9</v>
      </c>
      <c r="C3" s="77" t="s">
        <v>77</v>
      </c>
      <c r="D3" s="77"/>
      <c r="E3" s="13" t="s">
        <v>6</v>
      </c>
      <c r="F3" s="77" t="s">
        <v>101</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200</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195</v>
      </c>
      <c r="C9" s="52"/>
      <c r="D9" s="52"/>
      <c r="E9" s="10">
        <v>5</v>
      </c>
      <c r="F9" s="41">
        <v>3.75</v>
      </c>
      <c r="G9" s="42">
        <f>IFERROR(F9/E9,"")</f>
        <v>0.75</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196</v>
      </c>
      <c r="C10" s="52"/>
      <c r="D10" s="5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197</v>
      </c>
      <c r="C11" s="48"/>
      <c r="D11" s="48"/>
      <c r="E11" s="40"/>
      <c r="F11" s="34"/>
      <c r="G11" s="35"/>
      <c r="H11" s="36"/>
      <c r="I11" s="57"/>
      <c r="J11" s="58"/>
    </row>
    <row r="12" spans="1:10" ht="39.950000000000003" customHeight="1" x14ac:dyDescent="0.2">
      <c r="A12" s="11"/>
      <c r="B12" s="43" t="s">
        <v>176</v>
      </c>
      <c r="C12" s="44"/>
      <c r="D12" s="44"/>
      <c r="E12" s="9">
        <v>5</v>
      </c>
      <c r="F12" s="27">
        <v>3.5</v>
      </c>
      <c r="G12" s="32">
        <f t="shared" si="0"/>
        <v>0.7</v>
      </c>
      <c r="H12" s="33" t="str">
        <f t="shared" si="1"/>
        <v>جيد</v>
      </c>
      <c r="I12" s="55"/>
      <c r="J12" s="56"/>
    </row>
    <row r="13" spans="1:10" ht="54.95" customHeight="1" x14ac:dyDescent="0.2">
      <c r="A13" s="11"/>
      <c r="B13" s="43" t="s">
        <v>177</v>
      </c>
      <c r="C13" s="44"/>
      <c r="D13" s="44"/>
      <c r="E13" s="9">
        <v>5</v>
      </c>
      <c r="F13" s="27">
        <v>3.75</v>
      </c>
      <c r="G13" s="32">
        <f t="shared" si="0"/>
        <v>0.75</v>
      </c>
      <c r="H13" s="33" t="str">
        <f t="shared" si="1"/>
        <v>جيد</v>
      </c>
      <c r="I13" s="55"/>
      <c r="J13" s="56"/>
    </row>
    <row r="14" spans="1:10" ht="71.25" customHeight="1" x14ac:dyDescent="0.2">
      <c r="A14" s="11"/>
      <c r="B14" s="43" t="s">
        <v>178</v>
      </c>
      <c r="C14" s="44"/>
      <c r="D14" s="44"/>
      <c r="E14" s="9">
        <v>5</v>
      </c>
      <c r="F14" s="27">
        <v>3.75</v>
      </c>
      <c r="G14" s="32">
        <f t="shared" si="0"/>
        <v>0.75</v>
      </c>
      <c r="H14" s="33" t="str">
        <f t="shared" si="1"/>
        <v>جيد</v>
      </c>
      <c r="I14" s="55"/>
      <c r="J14" s="56"/>
    </row>
    <row r="15" spans="1:10" ht="39.950000000000003" customHeight="1" x14ac:dyDescent="0.2">
      <c r="A15" s="11"/>
      <c r="B15" s="43" t="s">
        <v>179</v>
      </c>
      <c r="C15" s="44"/>
      <c r="D15" s="44"/>
      <c r="E15" s="9">
        <v>5</v>
      </c>
      <c r="F15" s="27">
        <v>3.5</v>
      </c>
      <c r="G15" s="32">
        <f t="shared" si="0"/>
        <v>0.7</v>
      </c>
      <c r="H15" s="33" t="str">
        <f t="shared" si="1"/>
        <v>جيد</v>
      </c>
      <c r="I15" s="55"/>
      <c r="J15" s="56"/>
    </row>
    <row r="16" spans="1:10" ht="68.25" customHeight="1" x14ac:dyDescent="0.2">
      <c r="A16" s="11"/>
      <c r="B16" s="43" t="s">
        <v>180</v>
      </c>
      <c r="C16" s="44"/>
      <c r="D16" s="44"/>
      <c r="E16" s="9">
        <v>5</v>
      </c>
      <c r="F16" s="27">
        <v>3.75</v>
      </c>
      <c r="G16" s="32">
        <f t="shared" si="0"/>
        <v>0.75</v>
      </c>
      <c r="H16" s="33" t="str">
        <f t="shared" si="1"/>
        <v>جيد</v>
      </c>
      <c r="I16" s="55"/>
      <c r="J16" s="56"/>
    </row>
    <row r="17" spans="1:10" ht="65.099999999999994" customHeight="1" thickBot="1" x14ac:dyDescent="0.25">
      <c r="A17" s="11"/>
      <c r="B17" s="45" t="s">
        <v>181</v>
      </c>
      <c r="C17" s="46"/>
      <c r="D17" s="46"/>
      <c r="E17" s="37">
        <v>5</v>
      </c>
      <c r="F17" s="29">
        <v>3.75</v>
      </c>
      <c r="G17" s="38">
        <f t="shared" si="0"/>
        <v>0.75</v>
      </c>
      <c r="H17" s="39" t="str">
        <f t="shared" si="1"/>
        <v>جيد</v>
      </c>
      <c r="I17" s="53"/>
      <c r="J17" s="54"/>
    </row>
    <row r="18" spans="1:10" ht="39.950000000000003" customHeight="1" x14ac:dyDescent="0.2">
      <c r="A18" s="11"/>
      <c r="B18" s="59" t="s">
        <v>198</v>
      </c>
      <c r="C18" s="60"/>
      <c r="D18" s="60"/>
      <c r="E18" s="40"/>
      <c r="F18" s="34"/>
      <c r="G18" s="35"/>
      <c r="H18" s="36"/>
      <c r="I18" s="57"/>
      <c r="J18" s="58"/>
    </row>
    <row r="19" spans="1:10" ht="39.950000000000003" customHeight="1" x14ac:dyDescent="0.2">
      <c r="A19" s="11"/>
      <c r="B19" s="43" t="s">
        <v>182</v>
      </c>
      <c r="C19" s="44"/>
      <c r="D19" s="44"/>
      <c r="E19" s="9">
        <v>5</v>
      </c>
      <c r="F19" s="27">
        <v>3.75</v>
      </c>
      <c r="G19" s="32">
        <f t="shared" si="0"/>
        <v>0.75</v>
      </c>
      <c r="H19" s="33" t="str">
        <f t="shared" si="1"/>
        <v>جيد</v>
      </c>
      <c r="I19" s="55"/>
      <c r="J19" s="56"/>
    </row>
    <row r="20" spans="1:10" ht="39.950000000000003" customHeight="1" x14ac:dyDescent="0.2">
      <c r="A20" s="11"/>
      <c r="B20" s="43" t="s">
        <v>183</v>
      </c>
      <c r="C20" s="44"/>
      <c r="D20" s="44"/>
      <c r="E20" s="9">
        <v>5</v>
      </c>
      <c r="F20" s="27">
        <v>3.75</v>
      </c>
      <c r="G20" s="32">
        <f t="shared" si="0"/>
        <v>0.75</v>
      </c>
      <c r="H20" s="33" t="str">
        <f t="shared" si="1"/>
        <v>جيد</v>
      </c>
      <c r="I20" s="55"/>
      <c r="J20" s="56"/>
    </row>
    <row r="21" spans="1:10" ht="39.950000000000003" customHeight="1" x14ac:dyDescent="0.2">
      <c r="A21" s="11"/>
      <c r="B21" s="43" t="s">
        <v>184</v>
      </c>
      <c r="C21" s="44"/>
      <c r="D21" s="44"/>
      <c r="E21" s="9">
        <v>5</v>
      </c>
      <c r="F21" s="27">
        <v>3.75</v>
      </c>
      <c r="G21" s="32">
        <f t="shared" si="0"/>
        <v>0.75</v>
      </c>
      <c r="H21" s="33" t="str">
        <f t="shared" si="1"/>
        <v>جيد</v>
      </c>
      <c r="I21" s="55"/>
      <c r="J21" s="56"/>
    </row>
    <row r="22" spans="1:10" ht="39.950000000000003" customHeight="1" x14ac:dyDescent="0.2">
      <c r="A22" s="11"/>
      <c r="B22" s="43" t="s">
        <v>185</v>
      </c>
      <c r="C22" s="44"/>
      <c r="D22" s="44"/>
      <c r="E22" s="9">
        <v>5</v>
      </c>
      <c r="F22" s="27">
        <v>3.5</v>
      </c>
      <c r="G22" s="32">
        <f t="shared" si="0"/>
        <v>0.7</v>
      </c>
      <c r="H22" s="33" t="str">
        <f t="shared" si="1"/>
        <v>جيد</v>
      </c>
      <c r="I22" s="55"/>
      <c r="J22" s="56"/>
    </row>
    <row r="23" spans="1:10" ht="39.950000000000003" customHeight="1" x14ac:dyDescent="0.2">
      <c r="A23" s="11"/>
      <c r="B23" s="43" t="s">
        <v>186</v>
      </c>
      <c r="C23" s="44"/>
      <c r="D23" s="44"/>
      <c r="E23" s="9">
        <v>5</v>
      </c>
      <c r="F23" s="27">
        <v>3.5</v>
      </c>
      <c r="G23" s="32">
        <f t="shared" si="0"/>
        <v>0.7</v>
      </c>
      <c r="H23" s="33" t="str">
        <f t="shared" si="1"/>
        <v>جيد</v>
      </c>
      <c r="I23" s="55"/>
      <c r="J23" s="56"/>
    </row>
    <row r="24" spans="1:10" ht="39.950000000000003" customHeight="1" x14ac:dyDescent="0.2">
      <c r="A24" s="11"/>
      <c r="B24" s="43" t="s">
        <v>187</v>
      </c>
      <c r="C24" s="44"/>
      <c r="D24" s="44"/>
      <c r="E24" s="9">
        <v>5</v>
      </c>
      <c r="F24" s="27">
        <v>3.75</v>
      </c>
      <c r="G24" s="32">
        <f t="shared" si="0"/>
        <v>0.75</v>
      </c>
      <c r="H24" s="33" t="str">
        <f t="shared" si="1"/>
        <v>جيد</v>
      </c>
      <c r="I24" s="55"/>
      <c r="J24" s="56"/>
    </row>
    <row r="25" spans="1:10" ht="39.950000000000003" customHeight="1" x14ac:dyDescent="0.2">
      <c r="A25" s="11"/>
      <c r="B25" s="43" t="s">
        <v>188</v>
      </c>
      <c r="C25" s="44"/>
      <c r="D25" s="44"/>
      <c r="E25" s="9">
        <v>5</v>
      </c>
      <c r="F25" s="27">
        <v>3.5</v>
      </c>
      <c r="G25" s="32">
        <f t="shared" si="0"/>
        <v>0.7</v>
      </c>
      <c r="H25" s="33" t="str">
        <f t="shared" si="1"/>
        <v>جيد</v>
      </c>
      <c r="I25" s="55"/>
      <c r="J25" s="56"/>
    </row>
    <row r="26" spans="1:10" ht="39.950000000000003" customHeight="1" thickBot="1" x14ac:dyDescent="0.25">
      <c r="A26" s="11"/>
      <c r="B26" s="45" t="s">
        <v>189</v>
      </c>
      <c r="C26" s="46"/>
      <c r="D26" s="46"/>
      <c r="E26" s="37">
        <v>5</v>
      </c>
      <c r="F26" s="29">
        <v>3.5</v>
      </c>
      <c r="G26" s="38">
        <f t="shared" si="0"/>
        <v>0.7</v>
      </c>
      <c r="H26" s="39" t="str">
        <f t="shared" si="1"/>
        <v>جيد</v>
      </c>
      <c r="I26" s="53"/>
      <c r="J26" s="54"/>
    </row>
    <row r="27" spans="1:10" ht="39.950000000000003" customHeight="1" x14ac:dyDescent="0.2">
      <c r="A27" s="11"/>
      <c r="B27" s="47" t="s">
        <v>199</v>
      </c>
      <c r="C27" s="48"/>
      <c r="D27" s="48"/>
      <c r="E27" s="40"/>
      <c r="F27" s="34"/>
      <c r="G27" s="35"/>
      <c r="H27" s="36"/>
      <c r="I27" s="57"/>
      <c r="J27" s="58"/>
    </row>
    <row r="28" spans="1:10" ht="39.950000000000003" customHeight="1" x14ac:dyDescent="0.2">
      <c r="A28" s="11"/>
      <c r="B28" s="43" t="s">
        <v>190</v>
      </c>
      <c r="C28" s="44"/>
      <c r="D28" s="44"/>
      <c r="E28" s="9">
        <v>5</v>
      </c>
      <c r="F28" s="27">
        <v>3.75</v>
      </c>
      <c r="G28" s="32">
        <f t="shared" si="0"/>
        <v>0.75</v>
      </c>
      <c r="H28" s="33" t="str">
        <f t="shared" si="1"/>
        <v>جيد</v>
      </c>
      <c r="I28" s="55"/>
      <c r="J28" s="56"/>
    </row>
    <row r="29" spans="1:10" ht="39.950000000000003" customHeight="1" x14ac:dyDescent="0.2">
      <c r="A29" s="11"/>
      <c r="B29" s="43" t="s">
        <v>191</v>
      </c>
      <c r="C29" s="44"/>
      <c r="D29" s="44"/>
      <c r="E29" s="9">
        <v>5</v>
      </c>
      <c r="F29" s="27">
        <v>3.5</v>
      </c>
      <c r="G29" s="32">
        <f t="shared" si="0"/>
        <v>0.7</v>
      </c>
      <c r="H29" s="33" t="str">
        <f t="shared" si="1"/>
        <v>جيد</v>
      </c>
      <c r="I29" s="55"/>
      <c r="J29" s="56"/>
    </row>
    <row r="30" spans="1:10" ht="39.950000000000003" customHeight="1" x14ac:dyDescent="0.2">
      <c r="A30" s="11"/>
      <c r="B30" s="43" t="s">
        <v>192</v>
      </c>
      <c r="C30" s="44"/>
      <c r="D30" s="44"/>
      <c r="E30" s="9">
        <v>5</v>
      </c>
      <c r="F30" s="27">
        <v>3.75</v>
      </c>
      <c r="G30" s="32">
        <f t="shared" si="0"/>
        <v>0.75</v>
      </c>
      <c r="H30" s="33" t="str">
        <f t="shared" si="1"/>
        <v>جيد</v>
      </c>
      <c r="I30" s="55"/>
      <c r="J30" s="56"/>
    </row>
    <row r="31" spans="1:10" ht="39.950000000000003" customHeight="1" x14ac:dyDescent="0.2">
      <c r="A31" s="11"/>
      <c r="B31" s="43" t="s">
        <v>193</v>
      </c>
      <c r="C31" s="44"/>
      <c r="D31" s="44"/>
      <c r="E31" s="9">
        <v>5</v>
      </c>
      <c r="F31" s="27">
        <v>3.5</v>
      </c>
      <c r="G31" s="32">
        <f t="shared" si="0"/>
        <v>0.7</v>
      </c>
      <c r="H31" s="33" t="str">
        <f t="shared" si="1"/>
        <v>جيد</v>
      </c>
      <c r="I31" s="55"/>
      <c r="J31" s="56"/>
    </row>
    <row r="32" spans="1:10" ht="39.950000000000003" customHeight="1" thickBot="1" x14ac:dyDescent="0.25">
      <c r="A32" s="11"/>
      <c r="B32" s="45" t="s">
        <v>194</v>
      </c>
      <c r="C32" s="46"/>
      <c r="D32" s="46"/>
      <c r="E32" s="37">
        <v>5</v>
      </c>
      <c r="F32" s="29">
        <v>3.5</v>
      </c>
      <c r="G32" s="38">
        <f t="shared" si="0"/>
        <v>0.7</v>
      </c>
      <c r="H32" s="39" t="str">
        <f t="shared" si="1"/>
        <v>جيد</v>
      </c>
      <c r="I32" s="53"/>
      <c r="J32" s="54"/>
    </row>
    <row r="33" spans="1:10" ht="30" customHeight="1" thickBot="1" x14ac:dyDescent="0.25">
      <c r="A33" s="4"/>
      <c r="B33" s="61" t="s">
        <v>5</v>
      </c>
      <c r="C33" s="62"/>
      <c r="D33" s="62"/>
      <c r="E33" s="31">
        <f>SUM(E8:E32)</f>
        <v>110</v>
      </c>
      <c r="F33" s="31">
        <f>SUM(F8:F32)</f>
        <v>80</v>
      </c>
      <c r="G33" s="88"/>
      <c r="H33" s="89"/>
      <c r="I33" s="89"/>
      <c r="J33" s="90"/>
    </row>
    <row r="34" spans="1:10" ht="30" customHeight="1" thickBot="1" x14ac:dyDescent="0.25">
      <c r="A34" s="4"/>
      <c r="B34" s="63" t="s">
        <v>54</v>
      </c>
      <c r="C34" s="64"/>
      <c r="D34" s="64"/>
      <c r="E34" s="78">
        <f>F33/E33/100*100</f>
        <v>0.72727272727272729</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101</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2025-10-22T04:13:12Z</dcterms:modified>
</cp:coreProperties>
</file>