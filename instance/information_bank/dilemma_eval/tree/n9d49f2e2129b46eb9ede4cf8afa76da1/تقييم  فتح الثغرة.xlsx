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B8C86790-146B-4E0E-B0CF-57C6754CA80E}"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<sst xmlns="http://schemas.openxmlformats.org/spreadsheetml/2006/main" count="280" uniqueCount="224">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</sst>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502594</xdr:colOff>
      <xdr:row>58</xdr:row>
      <xdr:rowOff>74233</xdr:rowOff>
    </xdr:from>
    <xdr:to>
      <xdr:col>7</xdr:col>
      <xdr:colOff>575898</xdr:colOff>
      <xdr:row>58</xdr:row>
      <xdr:rowOff>491833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B44E78-85B2-F88B-6D60-B548505EFEE2}"/>
                </a:ext>
              </a:extLst>
            </xdr14:cNvPr>
            <xdr14:cNvContentPartPr/>
          </xdr14:nvContentPartPr>
          <xdr14:nvPr macro=""/>
          <xdr14:xfrm>
            <a:off x="10376275897" y="30520440"/>
            <a:ext cx="732240" cy="417600"/>
          </xdr14:xfrm>
        </xdr:contentPart>
      </mc:Choice>
      <mc:Fallback xmlns="">
        <xdr:pic>
          <xdr:nvPicPr>
            <xdr:cNvPr id="2" name="Ink 1">
              <a:extLst>
                <a:ext uri="{FF2B5EF4-FFF2-40B4-BE49-F238E27FC236}">
                  <a16:creationId xmlns:a16="http://schemas.microsoft.com/office/drawing/2014/main" id="{75B44E78-85B2-F88B-6D60-B548505EFEE2}"/>
                </a:ext>
              </a:extLst>
            </xdr:cNvPr>
            <xdr:cNvPicPr/>
          </xdr:nvPicPr>
          <xdr:blipFill>
            <a:blip xmlns:r="http://schemas.openxmlformats.org/officeDocument/2006/relationships" r:embed="rId2"/>
            <a:stretch>
              <a:fillRect/>
            </a:stretch>
          </xdr:blipFill>
          <xdr:spPr>
            <a:xfrm>
              <a:off x="10376269777" y="30514320"/>
              <a:ext cx="744480" cy="429840"/>
            </a:xfrm>
            <a:prstGeom prst="rect">
              <a:avLst/>
            </a:prstGeom>
          </xdr:spPr>
        </xdr:pic>
      </mc:Fallback>
    </mc:AlternateContent>
    <xdr:clientData/>
  </xdr:twoCellAnchor>
  <xdr:twoCellAnchor editAs="oneCell">
    <xdr:from>
      <xdr:col>7</xdr:col>
      <xdr:colOff>597858</xdr:colOff>
      <xdr:row>58</xdr:row>
      <xdr:rowOff>214273</xdr:rowOff>
    </xdr:from>
    <xdr:to>
      <xdr:col>9</xdr:col>
      <xdr:colOff>582107</xdr:colOff>
      <xdr:row>58</xdr:row>
      <xdr:rowOff>545473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7158C49-6BB7-6B4B-59CC-CD8E8079801A}"/>
                </a:ext>
              </a:extLst>
            </xdr14:cNvPr>
            <xdr14:cNvContentPartPr/>
          </xdr14:nvContentPartPr>
          <xdr14:nvPr macro=""/>
          <xdr14:xfrm>
            <a:off x="10374951817" y="30660480"/>
            <a:ext cx="1302120" cy="331200"/>
          </xdr14:xfrm>
        </xdr:contentPart>
      </mc:Choice>
      <mc:Fallback xmlns="">
        <xdr:pic>
          <xdr:nvPicPr>
            <xdr:cNvPr id="3" name="Ink 2">
              <a:extLst>
                <a:ext uri="{FF2B5EF4-FFF2-40B4-BE49-F238E27FC236}">
                  <a16:creationId xmlns:a16="http://schemas.microsoft.com/office/drawing/2014/main" id="{E7158C49-6BB7-6B4B-59CC-CD8E8079801A}"/>
                </a:ext>
              </a:extLst>
            </xdr:cNvPr>
            <xdr:cNvPicPr/>
          </xdr:nvPicPr>
          <xdr:blipFill>
            <a:blip xmlns:r="http://schemas.openxmlformats.org/officeDocument/2006/relationships" r:embed="rId4"/>
            <a:stretch>
              <a:fillRect/>
            </a:stretch>
          </xdr:blipFill>
          <xdr:spPr>
            <a:xfrm>
              <a:off x="10374945697" y="30654360"/>
              <a:ext cx="1314360" cy="343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19:01.896"/>
    </inkml:context>
    <inkml:brush xml:id="br0">
      <inkml:brushProperty name="width" value="0.035" units="cm"/>
      <inkml:brushProperty name="height" value="0.035" units="cm"/>
    </inkml:brush>
  </inkml:definitions>
  <inkml:trace contextRef="#ctx0" brushRef="#br0">1424 1159 6449,'0'0'0,"0"0"3041,0-4-793,0 4-2248,0-7 2064,2 1-287,-2 2-393,5 4-320,-5 0-1064,0 0 809,0-4-121,0 4-104,0-4-104,0 4-480,0-5 432,-7 1-88,5 4-16,-6-4-32,8 4-296,-2-4 384,2 0 0,0 0 48,-4-1 9,4 5-441,-2-4 456,2 0 40,0 0-24,0-2-24,0 6-448,0-4 416,0-3-80,-7 1-88,7 0 24,0 6-272,0-17 192,-5 13-136,-2-13 48,2 11-80,5 6-24,-7-25 80,3 6 16,-4 1 24,4 1-32,4 17-88,-21-19 104,21 1 88,-2-3 24,-15 2-47,17 19-169,-5-21 144,-2-2-24,-11 1-32,-2-3-200,20 25 112,-4-25 40,-22 0-56,19 4-88,-11-2 344,18 23-240,-8-19 16,4-2-48,-12 3 80,11-1-152,5 19 104,-3-19 24,-4 13 112,2-19-104,1 19 56,4 6-88,-7-21 64,5 15-152,-3-15 112,3 15 40,2 6-64,-7-21 40,2 15 8,0-15 40,5 4-88,0 17 0,-5-6-72,5-19 56,0 8-56,-2 1 96,2 16-24,0-6 96,0-17-56,0 16-24,-6-11-16,6 18 0,0-4-88,0-13 24,0 13 96,3 0 16,-3 4-48,3-7-152,-3 1 288,0 2-224,2 0-32,-2 4 120,3-4-136,16 4 136,-14-5 0,-5 5 0,15-4 0,5 4-80,0 0 24,2-4 40,-22 4 16,28 0 48,5 0-48,-13 0 24,4-4-112,-24 4 88,26 0 16,2-4-16,4 0 0,-2 0 48,-30 4-48,29-7-48,4 1-72,-3 0 88,5-11 152,-35 17-120,33-4 16,0-2 0,-5-13 0,-2 15-184,-26 4 168,26-17 16,1 13 32,0-2 8,1-13 80,-28 19-136,20-4-40,0-2 112,0-1-120,-3 1 24,-17 6 24,13-16 88,-3 11-56,7-1 24,-11 0-56,-6 6 0,7-17-32,8 13 16,-8-2 48,-2 0-88,-5 6 56,6-7 16,-4 1-96,1 6 48,-3-4 32,0 4 0,2 0-56,3 0 8,-5 0-112,0 0-48,0 0 208,-7 2-177,-7 4-87,5 1 160,-17 9-48,26-16 152,-19 6-88,-2 3 32,2 12-88,-4-15 160,23-6-16,-26 21-64,3-15 64,2 15 0,-9-5-8,30-16 8,-19 17-16,-9 0 160,2 1-144,-3 1-32,29-19 32,-25 17 48,-5 1-152,-1 1 32,2 0 88,29-19-16,-32 19-72,-1-1-16,-2 3 88,-2 0 56,37-21-56,-28 23 56,-3-2-40,-1-3 40,1 1-24,31-19-32,-28 19 0,-5-3-16,7 3-24,3-2 8,23-17 32,-26 8-56,5 13 112,-5-15-40,5 2-120,21-8 104,-18 9 88,11-1-56,-10 0-48,7-1 72,10-7-56,-4 6-40,-17-2 8,18 0-40,-15 0 72,18-4 0,-7 5-16,-12-1 16,15-2 104,-1 0-48,5-2-56,-7 2 88,0 0-24,-1-2 80,-5 0-32,13 0-112,-5 0 152,-16-4-64,21-2-16,-16-1-56,16 7-16,-3-6 128,-4-13 9,-11 13-49,11-10 48,7 16-136,-27-7-48,23-14 80,-22 15-64,10-15 32,16 21 0,-19-6 136,3-13-88,-1 13-64,-3-17 56,20 23-40,-17-16-56,-2-5-16,3 0 232,11 0-192,5 21 32,-28-23 120,7 3-16,4-1-72,-1 2 72,18 19-104,-5-19-88,-19 3 104,20 9 120,-15-11-224,19 18 88,-5 0 88,3-6-72,-5-1-32,4 3 56,3 4-40,0-4 32,-3 4 0,-2 0-32,5 0 16,0 0-16,-5 0-32,5 0 48,0 0-120,0 0 104,0 0-104,0 2-16,5 4 0,1 3 32,-6-9 88,10 16 8,4-10 8,-9 13 32,16-10-168,-21-9 120,16 20 16,-11-3-168,13 0 120,-13-1 168,-5-16-136,7 19-104,12-2 288,-17 1-304,8 1 224,-10-19-104,23 17-80,-18-1 80,11-9 80,-9 13-264,-7-20 184,4 7 120,4 11-280,-1-11 248,3 9-136,-10-16 48,7 6-16,-1 11 96,1-11-144,-4 3 336,-3-9-272,2 8 56,-2 0-80,0 1 48,0-3-64,0-6 40,-5 6 24,-2 0 112,5-1-328,-2 1 104,4-6 88,-7 2 16,-13 2-16,4-2 312,9 0-192,7-2-120,-25 2-72,8 0 72,-9 0-120,5 0 24,21-2 96,-23 7-104,2-1 184,-3 0-40,-4 0 40,28-6-80,-21 7 120,-2-1-240,4 0 56,12 0 112,7-6-48,-30 7 24,23-1-48,4-4 48,-2 0-48,5-2 24,0 0 56,0 0 128,0-4-216,3 0-240,-3 4 272,2-4-192,1-3 88,1 1-72,-1 0 280,-3 6-104,0-6 40,8-11 152,-8 13-112,5 0 56,-5 4-136,3-5-48,-3 5-56,-3-4 160,-2 4-72,5 0 16,-6 0 136,-11 0-192,10 0 208,-11 0-152,18 0 0,-15 0 88,-5 0-104,3 0 120,1 0-32,16 0-72,-22 0-56,7 0 128,0 0-112,-3-4-96,18 4 136,-17-4-104,3-2-216,7 0-505,-19-15-631,26 21 1456,-16-4-2768,-3-17-2074,-19 21-1775,11-17-2017,27 17 8634,0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19:02.756"/>
    </inkml:context>
    <inkml:brush xml:id="br0">
      <inkml:brushProperty name="width" value="0.035" units="cm"/>
      <inkml:brushProperty name="height" value="0.035" units="cm"/>
    </inkml:brush>
  </inkml:definitions>
  <inkml:trace contextRef="#ctx0" brushRef="#br0">1960 300 14219,'0'0'0,"0"0"0,-7 0 1840,2 0 96,-14 0 25,19-5-57,0 5-1904,0 0 1368,7-4-743,10 4-425,-10 0-128,-7 0-72,28 0 16,-7 0 8,12 2 72,9 2 40,-42-4-136,41 7 200,16 1 64,1 0 264,5-1-88,-63-7-440,60 8 240,8-2 224,-12 2-16,9-1-248,-65-7-200,66 6 304,4 0-504,-2-2 376,-5 1 0,-63-5-176,62 0 232,-6 2 49,0-2 31,0 0 200,-56 0-512,54-5 456,-10-1 224,3-10-384,-5 9-80,-42 7-216,39-18 360,3 1-80,-7 11-176,-9-19-8,-26 25-96,17-17 144,6 0 24,-7 11 104,-7-17-32,-9 23-240,21-6 224,-16-13 0,4 13-191,5-13-33,-14 19 0,4-4 0,6-12 0,-10 11 0,0-1 0,0 6 0,0-16 0,-10 11 0,-15-1 0,7-13 0,18 19 0,-22-4 0,-1-12 0,-2 11 0,-6-13 0,31 18 0,-35-6 0,3-13 0,-6 15 0,1-3 0,37 7 0,-38-6 0,-6 2 0,0 4 0,0 0 0,44 0 0,-54 0-161,0 2-255,-6 4 272,4 13 400,56-19-256,-60 6-16,-3 13 144,8-13-48,0 11 32,55-17-112,-61 6 48,5 2 16,-3 9-15,1-9-98,58-8 49,-58 21 0,-10-12-112,5 16-16,0-7-128,63-18 256,-65 23-16,0 0-80,-5 2-208,-5 4-240,75-29 544,-75 29-1136,-1 4 440,-4 3 408,2 1 592,78-37-304,-90 40 744,9-1-200,1-1-160,1 1-240,79-39-144,-82 36 184,8-1 8,-10 0 24,5-3-56,79-32-160,-75 31 176,-1-2-176,-2-2-16,6-2-16,72-25 32,-79 23-128,-3 0-80,3-5-184,-5-9-480,84-9 872,-77 18-1880,2-18-3610,-11 0-8513,86 0 14003</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topLeftCell="B1"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37" t="s">
        <v>223</v>
      </c>
      <c r="C1" s="37"/>
      <c r="D1" s="37"/>
      <c r="E1" s="37"/>
      <c r="F1" s="37"/>
      <c r="G1" s="37"/>
      <c r="H1" s="37"/>
      <c r="I1" s="37"/>
      <c r="J1" s="37"/>
    </row>
    <row r="2" spans="1:10" ht="30" customHeight="1" x14ac:dyDescent="0.3">
      <c r="B2" s="12" t="s">
        <v>8</v>
      </c>
      <c r="C2" s="43" t="s">
        <v>46</v>
      </c>
      <c r="D2" s="43"/>
      <c r="E2" s="12" t="s">
        <v>7</v>
      </c>
      <c r="F2" s="38">
        <v>45955</v>
      </c>
      <c r="G2" s="38"/>
      <c r="H2" s="38"/>
      <c r="I2" s="38"/>
      <c r="J2" s="38"/>
    </row>
    <row r="3" spans="1:10" ht="30" customHeight="1" x14ac:dyDescent="0.3">
      <c r="B3" s="12" t="s">
        <v>9</v>
      </c>
      <c r="C3" s="43" t="s">
        <v>87</v>
      </c>
      <c r="D3" s="43"/>
      <c r="E3" s="12" t="s">
        <v>6</v>
      </c>
      <c r="F3" s="43" t="s">
        <v>104</v>
      </c>
      <c r="G3" s="43"/>
      <c r="H3" s="43"/>
      <c r="I3" s="43"/>
      <c r="J3" s="43"/>
    </row>
    <row r="4" spans="1:10" ht="30" customHeight="1" thickBot="1" x14ac:dyDescent="0.35">
      <c r="B4" s="6"/>
      <c r="C4" s="7"/>
      <c r="D4" s="7"/>
      <c r="E4" s="6"/>
      <c r="F4" s="7"/>
      <c r="G4" s="7"/>
      <c r="H4" s="8"/>
      <c r="I4" s="7"/>
      <c r="J4" s="7"/>
    </row>
    <row r="5" spans="1:10" ht="24.9" customHeight="1" x14ac:dyDescent="0.3">
      <c r="A5" s="10"/>
      <c r="B5" s="39" t="s">
        <v>0</v>
      </c>
      <c r="C5" s="40"/>
      <c r="D5" s="40"/>
      <c r="E5" s="50" t="s">
        <v>1</v>
      </c>
      <c r="F5" s="50"/>
      <c r="G5" s="50"/>
      <c r="H5" s="50"/>
      <c r="I5" s="50" t="s">
        <v>2</v>
      </c>
      <c r="J5" s="51"/>
    </row>
    <row r="6" spans="1:10" ht="24.9" customHeight="1" thickBot="1" x14ac:dyDescent="0.35">
      <c r="A6" s="10"/>
      <c r="B6" s="41"/>
      <c r="C6" s="42"/>
      <c r="D6" s="42"/>
      <c r="E6" s="11" t="s">
        <v>3</v>
      </c>
      <c r="F6" s="11" t="s">
        <v>4</v>
      </c>
      <c r="G6" s="11" t="s">
        <v>23</v>
      </c>
      <c r="H6" s="11" t="s">
        <v>24</v>
      </c>
      <c r="I6" s="52"/>
      <c r="J6" s="53"/>
    </row>
    <row r="7" spans="1:10" ht="24.9" customHeight="1" thickBot="1" x14ac:dyDescent="0.35">
      <c r="A7" s="10"/>
      <c r="B7" s="46" t="s">
        <v>21</v>
      </c>
      <c r="C7" s="47"/>
      <c r="D7" s="47"/>
      <c r="E7" s="28" t="s">
        <v>18</v>
      </c>
      <c r="F7" s="28" t="s">
        <v>19</v>
      </c>
      <c r="G7" s="28" t="s">
        <v>22</v>
      </c>
      <c r="H7" s="28" t="s">
        <v>20</v>
      </c>
      <c r="I7" s="54" t="s">
        <v>25</v>
      </c>
      <c r="J7" s="55"/>
    </row>
    <row r="8" spans="1:10" ht="39.9" customHeight="1" x14ac:dyDescent="0.3">
      <c r="A8" s="10"/>
      <c r="B8" s="81" t="s">
        <v>176</v>
      </c>
      <c r="C8" s="82"/>
      <c r="D8" s="82"/>
      <c r="E8" s="82"/>
      <c r="F8" s="82"/>
      <c r="G8" s="82"/>
      <c r="H8" s="82"/>
      <c r="I8" s="82"/>
      <c r="J8" s="83"/>
    </row>
    <row r="9" spans="1:10" ht="39.9" customHeight="1" x14ac:dyDescent="0.3">
      <c r="A9" s="10"/>
      <c r="B9" s="77" t="s">
        <v>221</v>
      </c>
      <c r="C9" s="78"/>
      <c r="D9" s="78"/>
      <c r="E9" s="9"/>
      <c r="F9" s="26"/>
      <c r="G9" s="30"/>
      <c r="H9" s="31"/>
      <c r="I9" s="48"/>
      <c r="J9" s="49"/>
    </row>
    <row r="10" spans="1:10" ht="39.9" customHeight="1" x14ac:dyDescent="0.3">
      <c r="A10" s="10"/>
      <c r="B10" s="73" t="s">
        <v>193</v>
      </c>
      <c r="C10" s="74"/>
      <c r="D10" s="74"/>
      <c r="E10" s="32"/>
      <c r="F10" s="26"/>
      <c r="G10" s="30"/>
      <c r="H10" s="31"/>
      <c r="I10" s="48"/>
      <c r="J10" s="49"/>
    </row>
    <row r="11" spans="1:10" ht="52.5" customHeight="1" x14ac:dyDescent="0.3">
      <c r="A11" s="10"/>
      <c r="B11" s="86" t="s">
        <v>194</v>
      </c>
      <c r="C11" s="87"/>
      <c r="D11" s="87"/>
      <c r="E11" s="9">
        <v>5</v>
      </c>
      <c r="F11" s="26">
        <v>3.5</v>
      </c>
      <c r="G11" s="30">
        <f t="shared" ref="G11:G54" si="0">IFERROR(F11/E11,"")</f>
        <v>0.7</v>
      </c>
      <c r="H11" s="31" t="str">
        <f t="shared" ref="H11:H54" si="1">_xlfn.IFS(F11="أدخل العلامة","",F11="لا ينطبق","تم الإلغاء",G11&gt;=90%,"ممتاز",G11&gt;=80%,"جيد جداً",G11&gt;=70%,"جيد",G11&gt;=60%,"مقبول",G11&lt;60%,"راسب")</f>
        <v>جيد</v>
      </c>
      <c r="I11" s="48"/>
      <c r="J11" s="49"/>
    </row>
    <row r="12" spans="1:10" ht="39.9" customHeight="1" x14ac:dyDescent="0.3">
      <c r="A12" s="10"/>
      <c r="B12" s="86" t="s">
        <v>195</v>
      </c>
      <c r="C12" s="87"/>
      <c r="D12" s="87"/>
      <c r="E12" s="9">
        <v>5</v>
      </c>
      <c r="F12" s="26">
        <v>3.75</v>
      </c>
      <c r="G12" s="30">
        <f t="shared" si="0"/>
        <v>0.75</v>
      </c>
      <c r="H12" s="31" t="str">
        <f t="shared" si="1"/>
        <v>جيد</v>
      </c>
      <c r="I12" s="48"/>
      <c r="J12" s="49"/>
    </row>
    <row r="13" spans="1:10" ht="39.9" customHeight="1" x14ac:dyDescent="0.3">
      <c r="A13" s="10"/>
      <c r="B13" s="84" t="s">
        <v>196</v>
      </c>
      <c r="C13" s="85"/>
      <c r="D13" s="85"/>
      <c r="E13" s="9">
        <v>5</v>
      </c>
      <c r="F13" s="26">
        <v>3.5</v>
      </c>
      <c r="G13" s="30">
        <f t="shared" si="0"/>
        <v>0.7</v>
      </c>
      <c r="H13" s="31" t="str">
        <f t="shared" si="1"/>
        <v>جيد</v>
      </c>
      <c r="I13" s="48"/>
      <c r="J13" s="49"/>
    </row>
    <row r="14" spans="1:10" ht="39.9" customHeight="1" x14ac:dyDescent="0.3">
      <c r="A14" s="10"/>
      <c r="B14" s="84" t="s">
        <v>197</v>
      </c>
      <c r="C14" s="85"/>
      <c r="D14" s="85"/>
      <c r="E14" s="9">
        <v>5</v>
      </c>
      <c r="F14" s="26">
        <v>3.5</v>
      </c>
      <c r="G14" s="30">
        <f t="shared" si="0"/>
        <v>0.7</v>
      </c>
      <c r="H14" s="31" t="str">
        <f t="shared" si="1"/>
        <v>جيد</v>
      </c>
      <c r="I14" s="48"/>
      <c r="J14" s="49"/>
    </row>
    <row r="15" spans="1:10" ht="39.9" customHeight="1" x14ac:dyDescent="0.3">
      <c r="A15" s="10"/>
      <c r="B15" s="84" t="s">
        <v>177</v>
      </c>
      <c r="C15" s="85"/>
      <c r="D15" s="85"/>
      <c r="E15" s="9">
        <v>5</v>
      </c>
      <c r="F15" s="26">
        <v>3.5</v>
      </c>
      <c r="G15" s="30">
        <f t="shared" si="0"/>
        <v>0.7</v>
      </c>
      <c r="H15" s="31" t="str">
        <f t="shared" si="1"/>
        <v>جيد</v>
      </c>
      <c r="I15" s="48"/>
      <c r="J15" s="49"/>
    </row>
    <row r="16" spans="1:10" ht="39.9" customHeight="1" x14ac:dyDescent="0.3">
      <c r="A16" s="10"/>
      <c r="B16" s="84" t="s">
        <v>178</v>
      </c>
      <c r="C16" s="85"/>
      <c r="D16" s="85"/>
      <c r="E16" s="9">
        <v>5</v>
      </c>
      <c r="F16" s="26">
        <v>3.5</v>
      </c>
      <c r="G16" s="30">
        <f t="shared" si="0"/>
        <v>0.7</v>
      </c>
      <c r="H16" s="31" t="str">
        <f t="shared" si="1"/>
        <v>جيد</v>
      </c>
      <c r="I16" s="48"/>
      <c r="J16" s="49"/>
    </row>
    <row r="17" spans="1:10" ht="39.9" customHeight="1" x14ac:dyDescent="0.3">
      <c r="A17" s="10"/>
      <c r="B17" s="84" t="s">
        <v>179</v>
      </c>
      <c r="C17" s="85"/>
      <c r="D17" s="85"/>
      <c r="E17" s="9">
        <v>5</v>
      </c>
      <c r="F17" s="26">
        <v>3.5</v>
      </c>
      <c r="G17" s="30">
        <f t="shared" si="0"/>
        <v>0.7</v>
      </c>
      <c r="H17" s="31" t="str">
        <f t="shared" si="1"/>
        <v>جيد</v>
      </c>
      <c r="I17" s="48"/>
      <c r="J17" s="49"/>
    </row>
    <row r="18" spans="1:10" ht="39.9" customHeight="1" x14ac:dyDescent="0.3">
      <c r="A18" s="10"/>
      <c r="B18" s="84" t="s">
        <v>180</v>
      </c>
      <c r="C18" s="85"/>
      <c r="D18" s="85"/>
      <c r="E18" s="9">
        <v>5</v>
      </c>
      <c r="F18" s="26">
        <v>3.5</v>
      </c>
      <c r="G18" s="30">
        <f t="shared" si="0"/>
        <v>0.7</v>
      </c>
      <c r="H18" s="31" t="str">
        <f t="shared" si="1"/>
        <v>جيد</v>
      </c>
      <c r="I18" s="48"/>
      <c r="J18" s="49"/>
    </row>
    <row r="19" spans="1:10" ht="39.9" customHeight="1" x14ac:dyDescent="0.3">
      <c r="A19" s="10"/>
      <c r="B19" s="86" t="s">
        <v>181</v>
      </c>
      <c r="C19" s="87"/>
      <c r="D19" s="87"/>
      <c r="E19" s="9">
        <v>5</v>
      </c>
      <c r="F19" s="26">
        <v>3.5</v>
      </c>
      <c r="G19" s="30">
        <f t="shared" si="0"/>
        <v>0.7</v>
      </c>
      <c r="H19" s="31" t="str">
        <f t="shared" si="1"/>
        <v>جيد</v>
      </c>
      <c r="I19" s="48"/>
      <c r="J19" s="49"/>
    </row>
    <row r="20" spans="1:10" ht="50.1" customHeight="1" thickBot="1" x14ac:dyDescent="0.35">
      <c r="A20" s="10"/>
      <c r="B20" s="75" t="s">
        <v>198</v>
      </c>
      <c r="C20" s="76"/>
      <c r="D20" s="76"/>
      <c r="E20" s="36">
        <v>5</v>
      </c>
      <c r="F20" s="27">
        <v>3.75</v>
      </c>
      <c r="G20" s="34">
        <f t="shared" si="0"/>
        <v>0.75</v>
      </c>
      <c r="H20" s="35" t="str">
        <f t="shared" si="1"/>
        <v>جيد</v>
      </c>
      <c r="I20" s="56"/>
      <c r="J20" s="57"/>
    </row>
    <row r="21" spans="1:10" ht="39.9" customHeight="1" x14ac:dyDescent="0.3">
      <c r="A21" s="10"/>
      <c r="B21" s="81" t="s">
        <v>182</v>
      </c>
      <c r="C21" s="82"/>
      <c r="D21" s="82"/>
      <c r="E21" s="82"/>
      <c r="F21" s="82"/>
      <c r="G21" s="82"/>
      <c r="H21" s="82"/>
      <c r="I21" s="82"/>
      <c r="J21" s="83"/>
    </row>
    <row r="22" spans="1:10" ht="50.1" customHeight="1" x14ac:dyDescent="0.3">
      <c r="A22" s="10"/>
      <c r="B22" s="77" t="s">
        <v>222</v>
      </c>
      <c r="C22" s="78"/>
      <c r="D22" s="78"/>
      <c r="E22" s="9"/>
      <c r="F22" s="26"/>
      <c r="G22" s="30"/>
      <c r="H22" s="31"/>
      <c r="I22" s="48"/>
      <c r="J22" s="49"/>
    </row>
    <row r="23" spans="1:10" ht="39.9" customHeight="1" x14ac:dyDescent="0.3">
      <c r="A23" s="10"/>
      <c r="B23" s="77" t="s">
        <v>199</v>
      </c>
      <c r="C23" s="78"/>
      <c r="D23" s="78"/>
      <c r="E23" s="9">
        <v>5</v>
      </c>
      <c r="F23" s="26">
        <v>3.5</v>
      </c>
      <c r="G23" s="30">
        <f t="shared" si="0"/>
        <v>0.7</v>
      </c>
      <c r="H23" s="31" t="str">
        <f t="shared" si="1"/>
        <v>جيد</v>
      </c>
      <c r="I23" s="48"/>
      <c r="J23" s="49"/>
    </row>
    <row r="24" spans="1:10" ht="39.9" customHeight="1" x14ac:dyDescent="0.3">
      <c r="A24" s="10"/>
      <c r="B24" s="77" t="s">
        <v>200</v>
      </c>
      <c r="C24" s="78"/>
      <c r="D24" s="78"/>
      <c r="E24" s="9">
        <v>5</v>
      </c>
      <c r="F24" s="26">
        <v>3.75</v>
      </c>
      <c r="G24" s="30">
        <f t="shared" si="0"/>
        <v>0.75</v>
      </c>
      <c r="H24" s="31" t="str">
        <f t="shared" si="1"/>
        <v>جيد</v>
      </c>
      <c r="I24" s="48"/>
      <c r="J24" s="49"/>
    </row>
    <row r="25" spans="1:10" ht="70.5" customHeight="1" x14ac:dyDescent="0.3">
      <c r="A25" s="10"/>
      <c r="B25" s="73" t="s">
        <v>201</v>
      </c>
      <c r="C25" s="74"/>
      <c r="D25" s="74"/>
      <c r="E25" s="32"/>
      <c r="F25" s="26"/>
      <c r="G25" s="30"/>
      <c r="H25" s="31"/>
      <c r="I25" s="48"/>
      <c r="J25" s="49"/>
    </row>
    <row r="26" spans="1:10" ht="39.9" customHeight="1" x14ac:dyDescent="0.3">
      <c r="A26" s="10"/>
      <c r="B26" s="86" t="s">
        <v>183</v>
      </c>
      <c r="C26" s="87"/>
      <c r="D26" s="87"/>
      <c r="E26" s="9">
        <v>5</v>
      </c>
      <c r="F26" s="26">
        <v>3.5</v>
      </c>
      <c r="G26" s="30">
        <f t="shared" si="0"/>
        <v>0.7</v>
      </c>
      <c r="H26" s="31" t="str">
        <f t="shared" si="1"/>
        <v>جيد</v>
      </c>
      <c r="I26" s="48"/>
      <c r="J26" s="49"/>
    </row>
    <row r="27" spans="1:10" ht="39.9" customHeight="1" x14ac:dyDescent="0.3">
      <c r="A27" s="10"/>
      <c r="B27" s="86" t="s">
        <v>184</v>
      </c>
      <c r="C27" s="87"/>
      <c r="D27" s="87"/>
      <c r="E27" s="9">
        <v>5</v>
      </c>
      <c r="F27" s="26">
        <v>3.5</v>
      </c>
      <c r="G27" s="30">
        <f t="shared" si="0"/>
        <v>0.7</v>
      </c>
      <c r="H27" s="31" t="str">
        <f t="shared" si="1"/>
        <v>جيد</v>
      </c>
      <c r="I27" s="48"/>
      <c r="J27" s="49"/>
    </row>
    <row r="28" spans="1:10" ht="39.9" customHeight="1" x14ac:dyDescent="0.3">
      <c r="A28" s="10"/>
      <c r="B28" s="86" t="s">
        <v>185</v>
      </c>
      <c r="C28" s="87"/>
      <c r="D28" s="87"/>
      <c r="E28" s="9">
        <v>5</v>
      </c>
      <c r="F28" s="26">
        <v>3.5</v>
      </c>
      <c r="G28" s="30">
        <f t="shared" si="0"/>
        <v>0.7</v>
      </c>
      <c r="H28" s="31" t="str">
        <f t="shared" si="1"/>
        <v>جيد</v>
      </c>
      <c r="I28" s="48"/>
      <c r="J28" s="49"/>
    </row>
    <row r="29" spans="1:10" ht="39.9" customHeight="1" x14ac:dyDescent="0.3">
      <c r="A29" s="10"/>
      <c r="B29" s="86" t="s">
        <v>186</v>
      </c>
      <c r="C29" s="87"/>
      <c r="D29" s="87"/>
      <c r="E29" s="9">
        <v>5</v>
      </c>
      <c r="F29" s="26">
        <v>3.5</v>
      </c>
      <c r="G29" s="30">
        <f t="shared" si="0"/>
        <v>0.7</v>
      </c>
      <c r="H29" s="31" t="str">
        <f t="shared" si="1"/>
        <v>جيد</v>
      </c>
      <c r="I29" s="48"/>
      <c r="J29" s="49"/>
    </row>
    <row r="30" spans="1:10" ht="39.9" customHeight="1" x14ac:dyDescent="0.3">
      <c r="A30" s="10"/>
      <c r="B30" s="86" t="s">
        <v>187</v>
      </c>
      <c r="C30" s="87"/>
      <c r="D30" s="87"/>
      <c r="E30" s="9">
        <v>5</v>
      </c>
      <c r="F30" s="26">
        <v>3.75</v>
      </c>
      <c r="G30" s="30">
        <f t="shared" si="0"/>
        <v>0.75</v>
      </c>
      <c r="H30" s="31" t="str">
        <f t="shared" si="1"/>
        <v>جيد</v>
      </c>
      <c r="I30" s="48"/>
      <c r="J30" s="49"/>
    </row>
    <row r="31" spans="1:10" ht="39.9" customHeight="1" x14ac:dyDescent="0.3">
      <c r="A31" s="10"/>
      <c r="B31" s="86" t="s">
        <v>188</v>
      </c>
      <c r="C31" s="87"/>
      <c r="D31" s="87"/>
      <c r="E31" s="9">
        <v>5</v>
      </c>
      <c r="F31" s="26">
        <v>3.75</v>
      </c>
      <c r="G31" s="30">
        <f t="shared" si="0"/>
        <v>0.75</v>
      </c>
      <c r="H31" s="31" t="str">
        <f t="shared" si="1"/>
        <v>جيد</v>
      </c>
      <c r="I31" s="48"/>
      <c r="J31" s="49"/>
    </row>
    <row r="32" spans="1:10" ht="65.099999999999994" customHeight="1" x14ac:dyDescent="0.3">
      <c r="A32" s="10"/>
      <c r="B32" s="86" t="s">
        <v>189</v>
      </c>
      <c r="C32" s="87"/>
      <c r="D32" s="87"/>
      <c r="E32" s="9">
        <v>5</v>
      </c>
      <c r="F32" s="26">
        <v>3.75</v>
      </c>
      <c r="G32" s="30">
        <f t="shared" si="0"/>
        <v>0.75</v>
      </c>
      <c r="H32" s="31" t="str">
        <f t="shared" si="1"/>
        <v>جيد</v>
      </c>
      <c r="I32" s="48"/>
      <c r="J32" s="49"/>
    </row>
    <row r="33" spans="1:10" ht="39.9" customHeight="1" x14ac:dyDescent="0.3">
      <c r="A33" s="10"/>
      <c r="B33" s="73" t="s">
        <v>202</v>
      </c>
      <c r="C33" s="74"/>
      <c r="D33" s="74"/>
      <c r="E33" s="9">
        <v>5</v>
      </c>
      <c r="F33" s="26">
        <v>3.75</v>
      </c>
      <c r="G33" s="30">
        <f t="shared" si="0"/>
        <v>0.75</v>
      </c>
      <c r="H33" s="31" t="str">
        <f t="shared" si="1"/>
        <v>جيد</v>
      </c>
      <c r="I33" s="48"/>
      <c r="J33" s="49"/>
    </row>
    <row r="34" spans="1:10" ht="39.9" customHeight="1" thickBot="1" x14ac:dyDescent="0.35">
      <c r="A34" s="10"/>
      <c r="B34" s="75" t="s">
        <v>203</v>
      </c>
      <c r="C34" s="76"/>
      <c r="D34" s="76"/>
      <c r="E34" s="33">
        <v>5</v>
      </c>
      <c r="F34" s="27">
        <v>3.5</v>
      </c>
      <c r="G34" s="34">
        <f t="shared" si="0"/>
        <v>0.7</v>
      </c>
      <c r="H34" s="35" t="str">
        <f t="shared" si="1"/>
        <v>جيد</v>
      </c>
      <c r="I34" s="56"/>
      <c r="J34" s="57"/>
    </row>
    <row r="35" spans="1:10" ht="39.9" customHeight="1" x14ac:dyDescent="0.3">
      <c r="A35" s="10"/>
      <c r="B35" s="81" t="s">
        <v>190</v>
      </c>
      <c r="C35" s="82"/>
      <c r="D35" s="82"/>
      <c r="E35" s="82"/>
      <c r="F35" s="82"/>
      <c r="G35" s="82"/>
      <c r="H35" s="82"/>
      <c r="I35" s="82"/>
      <c r="J35" s="83"/>
    </row>
    <row r="36" spans="1:10" ht="39.9" customHeight="1" x14ac:dyDescent="0.3">
      <c r="A36" s="10"/>
      <c r="B36" s="77" t="s">
        <v>204</v>
      </c>
      <c r="C36" s="78"/>
      <c r="D36" s="78"/>
      <c r="E36" s="9">
        <v>5</v>
      </c>
      <c r="F36" s="26">
        <v>3.75</v>
      </c>
      <c r="G36" s="30">
        <f t="shared" si="0"/>
        <v>0.75</v>
      </c>
      <c r="H36" s="31" t="str">
        <f t="shared" si="1"/>
        <v>جيد</v>
      </c>
      <c r="I36" s="48"/>
      <c r="J36" s="49"/>
    </row>
    <row r="37" spans="1:10" ht="50.1" customHeight="1" x14ac:dyDescent="0.3">
      <c r="A37" s="10"/>
      <c r="B37" s="77" t="s">
        <v>205</v>
      </c>
      <c r="C37" s="78"/>
      <c r="D37" s="78"/>
      <c r="E37" s="9">
        <v>5</v>
      </c>
      <c r="F37" s="26">
        <v>3.5</v>
      </c>
      <c r="G37" s="30">
        <f t="shared" si="0"/>
        <v>0.7</v>
      </c>
      <c r="H37" s="31" t="str">
        <f t="shared" si="1"/>
        <v>جيد</v>
      </c>
      <c r="I37" s="48"/>
      <c r="J37" s="49"/>
    </row>
    <row r="38" spans="1:10" ht="39.9" customHeight="1" x14ac:dyDescent="0.3">
      <c r="A38" s="10"/>
      <c r="B38" s="77" t="s">
        <v>206</v>
      </c>
      <c r="C38" s="78"/>
      <c r="D38" s="78"/>
      <c r="E38" s="9">
        <v>5</v>
      </c>
      <c r="F38" s="26">
        <v>3.75</v>
      </c>
      <c r="G38" s="30">
        <f t="shared" si="0"/>
        <v>0.75</v>
      </c>
      <c r="H38" s="31" t="str">
        <f t="shared" si="1"/>
        <v>جيد</v>
      </c>
      <c r="I38" s="48"/>
      <c r="J38" s="49"/>
    </row>
    <row r="39" spans="1:10" ht="54.9" customHeight="1" x14ac:dyDescent="0.3">
      <c r="A39" s="10"/>
      <c r="B39" s="77" t="s">
        <v>207</v>
      </c>
      <c r="C39" s="78"/>
      <c r="D39" s="78"/>
      <c r="E39" s="9">
        <v>5</v>
      </c>
      <c r="F39" s="26">
        <v>3.75</v>
      </c>
      <c r="G39" s="30">
        <f t="shared" si="0"/>
        <v>0.75</v>
      </c>
      <c r="H39" s="31" t="str">
        <f t="shared" si="1"/>
        <v>جيد</v>
      </c>
      <c r="I39" s="48"/>
      <c r="J39" s="49"/>
    </row>
    <row r="40" spans="1:10" ht="39.9" customHeight="1" x14ac:dyDescent="0.3">
      <c r="A40" s="10"/>
      <c r="B40" s="77" t="s">
        <v>208</v>
      </c>
      <c r="C40" s="78"/>
      <c r="D40" s="78"/>
      <c r="E40" s="9">
        <v>5</v>
      </c>
      <c r="F40" s="26">
        <v>3.75</v>
      </c>
      <c r="G40" s="30">
        <f t="shared" si="0"/>
        <v>0.75</v>
      </c>
      <c r="H40" s="31" t="str">
        <f t="shared" si="1"/>
        <v>جيد</v>
      </c>
      <c r="I40" s="48"/>
      <c r="J40" s="49"/>
    </row>
    <row r="41" spans="1:10" ht="54.9" customHeight="1" x14ac:dyDescent="0.3">
      <c r="A41" s="10"/>
      <c r="B41" s="77" t="s">
        <v>209</v>
      </c>
      <c r="C41" s="78"/>
      <c r="D41" s="78"/>
      <c r="E41" s="9">
        <v>5</v>
      </c>
      <c r="F41" s="26">
        <v>3.75</v>
      </c>
      <c r="G41" s="30">
        <f t="shared" si="0"/>
        <v>0.75</v>
      </c>
      <c r="H41" s="31" t="str">
        <f t="shared" si="1"/>
        <v>جيد</v>
      </c>
      <c r="I41" s="48"/>
      <c r="J41" s="49"/>
    </row>
    <row r="42" spans="1:10" ht="54.9" customHeight="1" x14ac:dyDescent="0.3">
      <c r="A42" s="10"/>
      <c r="B42" s="77" t="s">
        <v>210</v>
      </c>
      <c r="C42" s="78"/>
      <c r="D42" s="78"/>
      <c r="E42" s="9">
        <v>5</v>
      </c>
      <c r="F42" s="26">
        <v>3.5</v>
      </c>
      <c r="G42" s="30">
        <f t="shared" si="0"/>
        <v>0.7</v>
      </c>
      <c r="H42" s="31" t="str">
        <f t="shared" si="1"/>
        <v>جيد</v>
      </c>
      <c r="I42" s="48"/>
      <c r="J42" s="49"/>
    </row>
    <row r="43" spans="1:10" ht="39.9" customHeight="1" x14ac:dyDescent="0.3">
      <c r="A43" s="10"/>
      <c r="B43" s="77" t="s">
        <v>211</v>
      </c>
      <c r="C43" s="78"/>
      <c r="D43" s="78"/>
      <c r="E43" s="9">
        <v>5</v>
      </c>
      <c r="F43" s="26">
        <v>3.5</v>
      </c>
      <c r="G43" s="30">
        <f t="shared" si="0"/>
        <v>0.7</v>
      </c>
      <c r="H43" s="31" t="str">
        <f t="shared" si="1"/>
        <v>جيد</v>
      </c>
      <c r="I43" s="48"/>
      <c r="J43" s="49"/>
    </row>
    <row r="44" spans="1:10" ht="54.9" customHeight="1" x14ac:dyDescent="0.3">
      <c r="A44" s="10"/>
      <c r="B44" s="77" t="s">
        <v>212</v>
      </c>
      <c r="C44" s="78"/>
      <c r="D44" s="78"/>
      <c r="E44" s="9">
        <v>5</v>
      </c>
      <c r="F44" s="26">
        <v>3.5</v>
      </c>
      <c r="G44" s="30">
        <f t="shared" si="0"/>
        <v>0.7</v>
      </c>
      <c r="H44" s="31" t="str">
        <f t="shared" si="1"/>
        <v>جيد</v>
      </c>
      <c r="I44" s="48"/>
      <c r="J44" s="49"/>
    </row>
    <row r="45" spans="1:10" ht="54.9" customHeight="1" x14ac:dyDescent="0.3">
      <c r="A45" s="10"/>
      <c r="B45" s="77" t="s">
        <v>213</v>
      </c>
      <c r="C45" s="78"/>
      <c r="D45" s="78"/>
      <c r="E45" s="9">
        <v>5</v>
      </c>
      <c r="F45" s="26">
        <v>3.5</v>
      </c>
      <c r="G45" s="30">
        <f t="shared" si="0"/>
        <v>0.7</v>
      </c>
      <c r="H45" s="31" t="str">
        <f t="shared" si="1"/>
        <v>جيد</v>
      </c>
      <c r="I45" s="48"/>
      <c r="J45" s="49"/>
    </row>
    <row r="46" spans="1:10" ht="39.9" customHeight="1" x14ac:dyDescent="0.3">
      <c r="A46" s="10"/>
      <c r="B46" s="77" t="s">
        <v>214</v>
      </c>
      <c r="C46" s="78"/>
      <c r="D46" s="78"/>
      <c r="E46" s="9">
        <v>5</v>
      </c>
      <c r="F46" s="26">
        <v>3.5</v>
      </c>
      <c r="G46" s="30">
        <f t="shared" si="0"/>
        <v>0.7</v>
      </c>
      <c r="H46" s="31" t="str">
        <f t="shared" si="1"/>
        <v>جيد</v>
      </c>
      <c r="I46" s="48"/>
      <c r="J46" s="49"/>
    </row>
    <row r="47" spans="1:10" ht="39.9" customHeight="1" x14ac:dyDescent="0.3">
      <c r="A47" s="10"/>
      <c r="B47" s="77" t="s">
        <v>215</v>
      </c>
      <c r="C47" s="78"/>
      <c r="D47" s="78"/>
      <c r="E47" s="9">
        <v>5</v>
      </c>
      <c r="F47" s="26">
        <v>3.5</v>
      </c>
      <c r="G47" s="30">
        <f t="shared" si="0"/>
        <v>0.7</v>
      </c>
      <c r="H47" s="31" t="str">
        <f t="shared" si="1"/>
        <v>جيد</v>
      </c>
      <c r="I47" s="48"/>
      <c r="J47" s="49"/>
    </row>
    <row r="48" spans="1:10" ht="39.9" customHeight="1" x14ac:dyDescent="0.3">
      <c r="A48" s="10"/>
      <c r="B48" s="77" t="s">
        <v>216</v>
      </c>
      <c r="C48" s="78"/>
      <c r="D48" s="78"/>
      <c r="E48" s="9"/>
      <c r="F48" s="26"/>
      <c r="G48" s="30"/>
      <c r="H48" s="31"/>
      <c r="I48" s="48"/>
      <c r="J48" s="49"/>
    </row>
    <row r="49" spans="1:10" ht="50.1" customHeight="1" x14ac:dyDescent="0.3">
      <c r="A49" s="10"/>
      <c r="B49" s="86" t="s">
        <v>191</v>
      </c>
      <c r="C49" s="87"/>
      <c r="D49" s="87"/>
      <c r="E49" s="9">
        <v>5</v>
      </c>
      <c r="F49" s="26">
        <v>3.75</v>
      </c>
      <c r="G49" s="30">
        <f t="shared" si="0"/>
        <v>0.75</v>
      </c>
      <c r="H49" s="31" t="str">
        <f t="shared" si="1"/>
        <v>جيد</v>
      </c>
      <c r="I49" s="48"/>
      <c r="J49" s="49"/>
    </row>
    <row r="50" spans="1:10" ht="39.9" customHeight="1" x14ac:dyDescent="0.3">
      <c r="A50" s="10"/>
      <c r="B50" s="86" t="s">
        <v>192</v>
      </c>
      <c r="C50" s="87"/>
      <c r="D50" s="87"/>
      <c r="E50" s="9">
        <v>5</v>
      </c>
      <c r="F50" s="26">
        <v>3.5</v>
      </c>
      <c r="G50" s="30">
        <f t="shared" si="0"/>
        <v>0.7</v>
      </c>
      <c r="H50" s="31" t="str">
        <f t="shared" si="1"/>
        <v>جيد</v>
      </c>
      <c r="I50" s="48"/>
      <c r="J50" s="49"/>
    </row>
    <row r="51" spans="1:10" ht="39.9" customHeight="1" x14ac:dyDescent="0.3">
      <c r="A51" s="10"/>
      <c r="B51" s="77" t="s">
        <v>217</v>
      </c>
      <c r="C51" s="78"/>
      <c r="D51" s="78"/>
      <c r="E51" s="9">
        <v>5</v>
      </c>
      <c r="F51" s="26">
        <v>3.75</v>
      </c>
      <c r="G51" s="30">
        <f t="shared" si="0"/>
        <v>0.75</v>
      </c>
      <c r="H51" s="31" t="str">
        <f t="shared" si="1"/>
        <v>جيد</v>
      </c>
      <c r="I51" s="48"/>
      <c r="J51" s="49"/>
    </row>
    <row r="52" spans="1:10" ht="39.9" customHeight="1" x14ac:dyDescent="0.3">
      <c r="A52" s="10"/>
      <c r="B52" s="77" t="s">
        <v>218</v>
      </c>
      <c r="C52" s="78"/>
      <c r="D52" s="78"/>
      <c r="E52" s="9">
        <v>5</v>
      </c>
      <c r="F52" s="26">
        <v>3.75</v>
      </c>
      <c r="G52" s="30">
        <f t="shared" si="0"/>
        <v>0.75</v>
      </c>
      <c r="H52" s="31" t="str">
        <f t="shared" si="1"/>
        <v>جيد</v>
      </c>
      <c r="I52" s="48"/>
      <c r="J52" s="49"/>
    </row>
    <row r="53" spans="1:10" ht="39.9" customHeight="1" x14ac:dyDescent="0.3">
      <c r="A53" s="10"/>
      <c r="B53" s="77" t="s">
        <v>219</v>
      </c>
      <c r="C53" s="78"/>
      <c r="D53" s="78"/>
      <c r="E53" s="9">
        <v>5</v>
      </c>
      <c r="F53" s="26">
        <v>3.5</v>
      </c>
      <c r="G53" s="30">
        <f t="shared" si="0"/>
        <v>0.7</v>
      </c>
      <c r="H53" s="31" t="str">
        <f t="shared" si="1"/>
        <v>جيد</v>
      </c>
      <c r="I53" s="48"/>
      <c r="J53" s="49"/>
    </row>
    <row r="54" spans="1:10" ht="39.9" customHeight="1" thickBot="1" x14ac:dyDescent="0.35">
      <c r="A54" s="10"/>
      <c r="B54" s="79" t="s">
        <v>220</v>
      </c>
      <c r="C54" s="80"/>
      <c r="D54" s="80"/>
      <c r="E54" s="33">
        <v>5</v>
      </c>
      <c r="F54" s="27">
        <v>3.5</v>
      </c>
      <c r="G54" s="34">
        <f t="shared" si="0"/>
        <v>0.7</v>
      </c>
      <c r="H54" s="35" t="str">
        <f t="shared" si="1"/>
        <v>جيد</v>
      </c>
      <c r="I54" s="56"/>
      <c r="J54" s="57"/>
    </row>
    <row r="55" spans="1:10" ht="30" customHeight="1" thickBot="1" x14ac:dyDescent="0.35">
      <c r="A55" s="4"/>
      <c r="B55" s="69" t="s">
        <v>5</v>
      </c>
      <c r="C55" s="70"/>
      <c r="D55" s="70"/>
      <c r="E55" s="29">
        <f>SUM(E8:E54)</f>
        <v>195</v>
      </c>
      <c r="F55" s="29">
        <f>SUM(F8:F54)</f>
        <v>140.25</v>
      </c>
      <c r="G55" s="66"/>
      <c r="H55" s="67"/>
      <c r="I55" s="67"/>
      <c r="J55" s="68"/>
    </row>
    <row r="56" spans="1:10" ht="30" customHeight="1" thickBot="1" x14ac:dyDescent="0.35">
      <c r="A56" s="4"/>
      <c r="B56" s="71" t="s">
        <v>54</v>
      </c>
      <c r="C56" s="72"/>
      <c r="D56" s="72"/>
      <c r="E56" s="44">
        <f>F55/E55/100*100</f>
        <v>0.71923076923076923</v>
      </c>
      <c r="F56" s="44"/>
      <c r="G56" s="44"/>
      <c r="H56" s="44"/>
      <c r="I56" s="44"/>
      <c r="J56" s="45"/>
    </row>
    <row r="57" spans="1:10" ht="30" customHeight="1" thickBot="1" x14ac:dyDescent="0.35">
      <c r="A57" s="4"/>
      <c r="B57" s="71" t="s">
        <v>55</v>
      </c>
      <c r="C57" s="72"/>
      <c r="D57" s="72"/>
      <c r="E57" s="62" t="str">
        <f>_xlfn.IFS(E56&gt;=90%,"ممتاز",E56&gt;=80%,"جيد جداً",E56&gt;=70%,"جيد",E56&gt;=60%,"مقبول",E56&lt;60%,"راسب")</f>
        <v>جيد</v>
      </c>
      <c r="F57" s="62"/>
      <c r="G57" s="62"/>
      <c r="H57" s="62"/>
      <c r="I57" s="62"/>
      <c r="J57" s="63"/>
    </row>
    <row r="58" spans="1:10" ht="42" customHeight="1" x14ac:dyDescent="0.3">
      <c r="B58" s="58" t="s">
        <v>175</v>
      </c>
      <c r="C58" s="58"/>
      <c r="D58" s="58"/>
      <c r="E58" s="64" t="s">
        <v>52</v>
      </c>
      <c r="F58" s="64"/>
      <c r="G58" s="60" t="s">
        <v>104</v>
      </c>
      <c r="H58" s="60"/>
      <c r="I58" s="60"/>
      <c r="J58" s="60"/>
    </row>
    <row r="59" spans="1:10" ht="51" customHeight="1" x14ac:dyDescent="0.3">
      <c r="A59" s="5"/>
      <c r="B59" s="59"/>
      <c r="C59" s="59"/>
      <c r="D59" s="59"/>
      <c r="E59" s="65" t="s">
        <v>53</v>
      </c>
      <c r="F59" s="65"/>
      <c r="G59" s="61"/>
      <c r="H59" s="61"/>
      <c r="I59" s="61"/>
      <c r="J59" s="61"/>
    </row>
  </sheetData>
  <sheetProtection sheet="1" formatCells="0" formatColumns="0" formatRows="0" insertColumns="0" insertRows="0" insertHyperlinks="0" deleteColumns="0" deleteRows="0" selectLockedCells="1" sort="0" autoFilter="0" pivotTables="0"/>
  <mergeCells count="112">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2025-10-27T16:34:22Z</dcterms:modified>
</cp:coreProperties>
</file>