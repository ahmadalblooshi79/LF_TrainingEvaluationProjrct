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9CE56790-9AD0-9448-B5F0-86BCCD9676B0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Sheet1" sheetId="5" r:id="rId2"/>
    <sheet name="بيانات التقييم" sheetId="4" r:id="rId3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8" i="2"/>
  <c r="H8" i="2"/>
  <c r="F14" i="2"/>
  <c r="E14" i="2"/>
  <c r="E15" i="2"/>
  <c r="E16" i="2"/>
</calcChain>
</file>

<file path=xl/sharedStrings.xml><?xml version="1.0" encoding="utf-8"?>
<sst xmlns="http://schemas.openxmlformats.org/spreadsheetml/2006/main" count="243" uniqueCount="187">
  <si>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</si>
  <si>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</si>
  <si>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</si>
  <si>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</si>
  <si>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</si>
  <si>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</si>
  <si>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</si>
  <si>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</si>
  <si>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</si>
  <si>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</si>
  <si>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</si>
  <si>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</si>
  <si>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</si>
  <si>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</si>
  <si>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</si>
  <si>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</si>
  <si>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</si>
  <si>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</si>
  <si>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</si>
  <si>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</si>
  <si>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</si>
  <si>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</si>
  <si>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</si>
  <si>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</si>
  <si>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</si>
  <si>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</si>
  <si>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</si>
  <si>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</si>
  <si>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</si>
  <si>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</si>
  <si>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</si>
  <si>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</si>
  <si>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</si>
  <si>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</si>
  <si>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</si>
  <si>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</si>
  <si>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</si>
  <si>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</si>
  <si>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</si>
  <si>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</si>
  <si>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</si>
  <si>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</si>
  <si>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</si>
  <si>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</si>
  <si>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</si>
  <si>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</si>
  <si>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</si>
  <si>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</si>
  <si>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</si>
  <si>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</si>
  <si>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</si>
  <si>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</si>
  <si>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</si>
  <si>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</si>
  <si>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</si>
  <si>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</si>
  <si>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</si>
  <si>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</si>
  <si>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</si>
  <si>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</si>
  <si>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</si>
  <si>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</si>
  <si>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</si>
  <si>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</si>
  <si>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</si>
  <si>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</si>
  <si>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</si>
  <si>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</si>
  <si>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</si>
  <si>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</si>
  <si>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</si>
  <si>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</si>
  <si>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</si>
  <si>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</si>
  <si>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</si>
  <si>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</si>
  <si>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</si>
  <si>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</si>
  <si>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</si>
  <si>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</si>
  <si>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</si>
  <si>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</si>
  <si>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</si>
  <si>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</si>
  <si>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</si>
  <si>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</si>
  <si>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</si>
  <si>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</si>
  <si>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</si>
  <si>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</si>
  <si>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</si>
  <si>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</si>
  <si>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</si>
  <si>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</si>
  <si>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</si>
  <si>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</si>
  <si>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</si>
  <si>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</si>
  <si>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</si>
  <si>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</si>
  <si>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</si>
  <si>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</si>
  <si>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</si>
  <si>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</si>
  <si>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</si>
  <si>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</si>
  <si>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</si>
  <si>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</si>
  <si>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</si>
  <si>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</si>
  <si>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</si>
  <si>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</si>
  <si>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</si>
  <si>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</si>
  <si>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</si>
  <si>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</si>
  <si>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</si>
  <si>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</si>
  <si>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</si>
  <si>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</si>
  <si>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</si>
  <si>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</si>
  <si>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</si>
  <si>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</si>
  <si>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</si>
  <si>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</si>
  <si>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</si>
  <si>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</si>
  <si>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</si>
  <si>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</si>
  <si>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</si>
  <si>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</si>
  <si>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</si>
  <si>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</si>
  <si>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</si>
  <si>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</si>
  <si>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</si>
  <si>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</si>
  <si>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</si>
  <si>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</si>
  <si>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</si>
  <si>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</si>
  <si>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</si>
  <si>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</si>
  <si>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</si>
  <si>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</si>
  <si>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</si>
  <si>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</si>
  <si>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</si>
  <si>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</si>
  <si>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</si>
  <si>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</si>
  <si>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</si>
  <si>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</si>
  <si>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</si>
  <si>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</si>
  <si>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</si>
  <si>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</si>
  <si>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</si>
  <si>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</si>
  <si>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</si>
  <si>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</si>
  <si>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</si>
  <si>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</si>
  <si>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</si>
  <si>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</si>
  <si>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</si>
  <si>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</si>
  <si>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</si>
  <si>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</si>
  <si>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</si>
  <si>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</si>
  <si>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</si>
  <si>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</si>
  <si>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</si>
  <si>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</si>
  <si>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</si>
  <si>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</si>
  <si>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</si>
  <si>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</si>
  <si>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الاشارة في اسناد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</si>
  <si>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تجهيز الاتصالات السلكية واللاسلكية والبريد العسكري.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</si>
  <si>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تأمين نظام القيادة والسيطرة الالي أثناء التقدم للتماس.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</si>
  <si>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تأمين الاتصالات البديلة في حالة الإعاقة الالكترونية (HF).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</si>
  <si>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إدامة قوة الإشارة والاتصالات.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</si>
  <si>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التقيد بالأمن اللاسلكي.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</si>
  <si>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التقيد بقواعد واصول المخابرة الصحيحة.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</si>
</sst>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5" xfId="0" applyFont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 /><Relationship Id="rId3" Type="http://schemas.openxmlformats.org/officeDocument/2006/relationships/customXml" Target="../ink/ink2.xml" /><Relationship Id="rId7" Type="http://schemas.openxmlformats.org/officeDocument/2006/relationships/customXml" Target="../ink/ink4.xml" /><Relationship Id="rId12" Type="http://schemas.openxmlformats.org/officeDocument/2006/relationships/image" Target="../media/image6.png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6" Type="http://schemas.openxmlformats.org/officeDocument/2006/relationships/image" Target="../media/image3.png" /><Relationship Id="rId11" Type="http://schemas.openxmlformats.org/officeDocument/2006/relationships/customXml" Target="../ink/ink6.xml" /><Relationship Id="rId5" Type="http://schemas.openxmlformats.org/officeDocument/2006/relationships/customXml" Target="../ink/ink3.xml" /><Relationship Id="rId10" Type="http://schemas.openxmlformats.org/officeDocument/2006/relationships/image" Target="../media/image5.png" /><Relationship Id="rId4" Type="http://schemas.openxmlformats.org/officeDocument/2006/relationships/image" Target="../media/image2.png" /><Relationship Id="rId9" Type="http://schemas.openxmlformats.org/officeDocument/2006/relationships/customXml" Target="../ink/ink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622405</xdr:colOff>
      <xdr:row>12</xdr:row>
      <xdr:rowOff>29880</xdr:rowOff>
    </xdr:from>
    <xdr:to>
      <xdr:col>11</xdr:col>
      <xdr:colOff>77045</xdr:colOff>
      <xdr:row>12</xdr:row>
      <xdr:rowOff>110880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13901A8-703A-FF61-6CFF-B949AB48A069}"/>
                </a:ext>
              </a:extLst>
            </xdr14:cNvPr>
            <xdr14:cNvContentPartPr/>
          </xdr14:nvContentPartPr>
          <xdr14:nvPr macro=""/>
          <xdr14:xfrm>
            <a:off x="10396777955" y="4601880"/>
            <a:ext cx="89640" cy="810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13901A8-703A-FF61-6CFF-B949AB48A06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6771835" y="4595760"/>
              <a:ext cx="101880" cy="9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295815</xdr:colOff>
      <xdr:row>17</xdr:row>
      <xdr:rowOff>161068</xdr:rowOff>
    </xdr:from>
    <xdr:to>
      <xdr:col>6</xdr:col>
      <xdr:colOff>323895</xdr:colOff>
      <xdr:row>17</xdr:row>
      <xdr:rowOff>441508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BB85D01-B34F-269B-20A4-B48A251F2C2D}"/>
                </a:ext>
              </a:extLst>
            </xdr14:cNvPr>
            <xdr14:cNvContentPartPr/>
          </xdr14:nvContentPartPr>
          <xdr14:nvPr macro=""/>
          <xdr14:xfrm>
            <a:off x="10400237195" y="6788160"/>
            <a:ext cx="28080" cy="2804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BB85D01-B34F-269B-20A4-B48A251F2C2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231075" y="6782040"/>
              <a:ext cx="40320" cy="29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301215</xdr:colOff>
      <xdr:row>17</xdr:row>
      <xdr:rowOff>78268</xdr:rowOff>
    </xdr:from>
    <xdr:to>
      <xdr:col>6</xdr:col>
      <xdr:colOff>344055</xdr:colOff>
      <xdr:row>17</xdr:row>
      <xdr:rowOff>158548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DE587F4-C4F2-D789-AC7B-0A2092108173}"/>
                </a:ext>
              </a:extLst>
            </xdr14:cNvPr>
            <xdr14:cNvContentPartPr/>
          </xdr14:nvContentPartPr>
          <xdr14:nvPr macro=""/>
          <xdr14:xfrm>
            <a:off x="10400217035" y="6705360"/>
            <a:ext cx="42840" cy="8028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DE587F4-C4F2-D789-AC7B-0A209210817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00210915" y="6699240"/>
              <a:ext cx="55080" cy="9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419655</xdr:colOff>
      <xdr:row>17</xdr:row>
      <xdr:rowOff>281308</xdr:rowOff>
    </xdr:from>
    <xdr:to>
      <xdr:col>7</xdr:col>
      <xdr:colOff>498125</xdr:colOff>
      <xdr:row>17</xdr:row>
      <xdr:rowOff>428188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91FA19F-A3C0-128B-8172-60D0AAA0143D}"/>
                </a:ext>
              </a:extLst>
            </xdr14:cNvPr>
            <xdr14:cNvContentPartPr/>
          </xdr14:nvContentPartPr>
          <xdr14:nvPr macro=""/>
          <xdr14:xfrm>
            <a:off x="10399404875" y="6908400"/>
            <a:ext cx="736560" cy="14688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91FA19F-A3C0-128B-8172-60D0AAA0143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398755" y="6902280"/>
              <a:ext cx="74880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614765</xdr:colOff>
      <xdr:row>17</xdr:row>
      <xdr:rowOff>224428</xdr:rowOff>
    </xdr:from>
    <xdr:to>
      <xdr:col>8</xdr:col>
      <xdr:colOff>32274</xdr:colOff>
      <xdr:row>17</xdr:row>
      <xdr:rowOff>495868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FDA50F2B-89BD-DA9F-F8F0-81D8AB26FD0C}"/>
                </a:ext>
              </a:extLst>
            </xdr14:cNvPr>
            <xdr14:cNvContentPartPr/>
          </xdr14:nvContentPartPr>
          <xdr14:nvPr macro=""/>
          <xdr14:xfrm>
            <a:off x="10399212635" y="6851520"/>
            <a:ext cx="75600" cy="27144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DA50F2B-89BD-DA9F-F8F0-81D8AB26FD0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9206515" y="6845400"/>
              <a:ext cx="87840" cy="28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48495</xdr:colOff>
      <xdr:row>16</xdr:row>
      <xdr:rowOff>435840</xdr:rowOff>
    </xdr:from>
    <xdr:to>
      <xdr:col>9</xdr:col>
      <xdr:colOff>514664</xdr:colOff>
      <xdr:row>17</xdr:row>
      <xdr:rowOff>532948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DFD072F5-9857-4C86-2608-E1E5C723E8B6}"/>
                </a:ext>
              </a:extLst>
            </xdr14:cNvPr>
            <xdr14:cNvContentPartPr/>
          </xdr14:nvContentPartPr>
          <xdr14:nvPr macro=""/>
          <xdr14:xfrm>
            <a:off x="10398072155" y="6531840"/>
            <a:ext cx="2440440" cy="62820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DFD072F5-9857-4C86-2608-E1E5C723E8B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398066035" y="6525720"/>
              <a:ext cx="2452680" cy="640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4T07:25:25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0,'0'0,"0"0,0 0,0 0,0 0,0 0,0 0,0 0,0 0,0 0,0 0,0 0,0 0,0 0,0 0,0 16,0-16,0 0,17 16,-34 17,12-24,10-2,-22 25,15-23,-10-2,-5 25,12-23,-21-2,9 9,12-12,-22 8,11-12,11 0,-7 16,-3-32,11 11,-8 10,-20-85,25 65,14 30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7:25:28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38 8017,'0'0'0,"-2"-5"1801,2-6-433,0 11-1368,-5-4 1576,5-1-127,0 1-177,0 1-176,0 3-1096,0-2 1000,0-1-216,0 3-71,0 0-129,0 0-584,0 0 392,0 0-64,0 0-184,0 0-48,0 0-1056,0 0 1960,0 4-872,0 7-16,0 2-8,0-13-104,0 14 104,0 5-56,3 2 56,-1 5 40,-2-26-144,0 27 64,5 4 16,-3 3-40,3 0-96,-5-34 56,5 40 56,-3-2 8,3 4-40,7-3 0,-12-39-24,2 40 0,1-1-40,4-1 32,-2-1 8,-5-37 0,2 34-40,3-3 0,0-1-24,-3-4-16,-2-26 80,5 24-72,-5-6-176,0-2-112,0-3-208,0-13 568,-5 11-760,3-6-33,-10 6-79,7-8 40,5-3 832,-10 3-936,6-1-408,-6 0-825,3-1-711,7-1 2880,-12 0-6562,12 0 6562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7:25:29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52 6369,'0'0'0,"3"0"1792,9-3-327,-10-2-193,-2 5-1272,15-4 1096,-15 0-176,0 0-200,2-1-143,-2 5-577,0-4 496,0 1-96,2 0-80,1-1-48,-3 4-272,0-3 288,0 1-40,0-3-8,0 2-72,0 3-168,2 0 120,-2 0-32,0 0-32,0 0-64,0 0 8,0 0 24,0 0-48,0 0 8,-2 5 32,2-5-16,-3 4-48,-1 7 24,-1-5 0,-7 8 16,12-14 8,-3 12 8,-9 0 16,8 1-56,-8-1 32,12-12 0,-3 12 0,1 0-72,-1-7 48,1 10-72,2-15 96,0 4-96,0 7 32,0-8 8,2 1 8,-2-4 48,3 6-56,9-2-16,-5-1 40,10-1 24,-17-2 8,12 1-48,0 0 48,-7-1-56,9 0 24,-14 0 32,5 0 48,0-2-48,9-1 16,-14 0 32,0 3-48,5-3 0,-3 3 32,1 0 16,-3 0-64,0 0 16,0 0-16,0 0-24,-5 3 0,5-3 40,0 4 0,-5 0 8,3 1 24,-3-1 24,5-4-56,-3 6 0,-1-1 16,-1 1-96,0-2-248,5-4 328,-10 5-928,10-3-1481,-16 10-880,11-11-3264,5-1 6553,0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7:25:30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1951 117 8489,'0'0'0,"3"-15"3489,-3 15-3489,5-17 1296,-1-3 33,1 3-73,12 4-312,-17 13-944,2-11 752,8 6-280,-7-8-48,-1 13-135,-2 0-289,0-2 232,0-1-56,0 3-160,-2 0-32,2 0 16,-3 1-56,-16 3-8,4 1 64,-1 9 0,16-14 0,-22 6-32,-2 11 56,0-3-152,2 0 128,22-14 0,-19 14 40,0 1-88,2 0 56,2 1-40,15-16 32,-4 17-72,1-2 24,-2 3-1,5-3-135,0-15 184,5 16-176,10-2-88,1-1 40,4 0-96,-20-13 320,19 11-360,5-5-56,-5 5 16,3-8 120,-22-3 280,24 4-224,-5-1 168,3-2 72,-5-1 24,-17 0-40,17 0 160,-3 0 32,-9 0 56,7-2 208,-12 2-456,2 0 632,-2 0 56,0-3-15,-12 3-177,12 0-496,-14 0 280,-3 0-80,0 0 48,-7 0 16,24 0-264,-22 1 304,-2 1-72,-2 0-88,4 1-48,22-3-96,-21 5 16,-1-3 8,3 1-32,-1 0-48,20-3 56,-16 3-48,1 0 8,3 0 24,7-2-96,5-1 112,-17 1-144,13-1-40,-6 0-48,3 0 32,7 0 200,-10 0-200,10-2 40,-12-3 80,12 1 96,0 4-16,-2-4-16,-1-9 72,-1 9-24,-1-8 16,5 12-48,-3-2 144,-1-10-48,-8 9 32,7 0-32,5 3-96,-17-2 120,2 2 40,-4 0 8,-2 0 0,21 0-168,-20 0 160,-4 2-32,-5 3-32,3 6-24,26-11-72,-27 4 40,-1 1-40,-1 6 40,5-7-16,24-4-24,-27 6-40,3 5 16,0-8 0,2 1 88,22-4-64,-24 6 40,5-2 0,2 1-16,3-4-152,14-1 128,-15 1-56,3 1 24,8-2-8,-11 0-16,15 0 56,-2 0-40,-3 0 8,-7 0-8,7-3 40,5 3 0,-2-3 0,-3-1-24,-7 0 48,7 1 16,5 3-40,-12-3 24,0 3-16,-5 0 8,3 0-32,14 0 16,-17 0 0,-2 0 32,4 1-112,1 4 120,14-5-40,-12 4-80,0-1 16,9 0 24,-13-2-136,16-1 176,-3 1-168,1 1-48,-1-1-96,-1-1-104,4 0 416,-5 0-440,5 0-120,-12 0-9,7-3 97,5 3 472,-5-4-336,-7 0 144,10-10 152,-3 11 16,5 3 24,-12-11 24,7 8 80,3-2-40,-13-6 8,15 11-72,-5 0 96,-9-4-72,12 1 40,-15 3-24,17 0-40,-10 0 32,-4 0 64,-3 4-48,2 0 80,15-4-128,-14 5 80,-5-1-128,4 0 72,-4 1 0,19-5-24,-17 4 24,3 0 64,-6 0-32,6 1-40,14-5-16,-17 2 0,3 0 48,2-1-48,-5 1 32,17-2-32,-12 1 16,-3-1-40,1 0 8,-3 0-64,17 0 80,-17 0-48,3-3 24,-1 0 48,3 1-24,12 2 0,-4-5 0,-13 1 0,12 0-48,-9 0 80,14 4-32,-12-5 0,7 1 24,-14 1 40,6 0-40,13 3-24,-12 0 80,-2 0-56,0 2 40,-3 2-16,17-4-48,-15 4 32,1 2 64,2 0-56,-5 5 16,17-11-56,-17 3 48,3 1-72,-8 7 0,10-8-32,12-3 56,-14 12-88,-3-8 32,2 2-104,1 5-112,14-11 272,-17 3-576,-2 1-648,4 2-912,-6 0-1233,21-6 3369,-19 11-3025,2-10-2680,17-1 5705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7:25:31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11 12170,'0'0'0,"-5"0"1664,1-3 1,1-1-257,3 4-1408,-2-3 960,2 3-352,0 1-191,0 4-97,0-5-320,0 15 344,5-2 56,4 3-40,-4 2-40,-5-18-320,5 22 240,9 2-88,-11 3 8,9 3-136,-12-30-24,7 32 72,10 4-72,-5 4-72,0 2 72,-12-42 0,17 47-80,2 4 56,-5 3-64,3 2-120,-17-56 208,15 57-496,-3-1-904,0 0-2137,-10-1-6321,-2-55 9858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7:25:32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2611 1067 12290,'0'0'0,"-3"-19"3529,3 5-2217,0 14-1312,-5-16 1080,5 12-55,3 0-153,-1 0-80,-2 4-792,5 0 520,7 0-96,-5 4-32,10 14-120,-17-18-272,17 20 472,0 3-240,5 3-31,2 3-65,-24-29-136,21 32-8,1 3 88,4 2-56,-4 0-8,-22-37-16,17 38-16,0-1 32,-13 0-32,8 0 56,-12-37-40,3 36 16,-1-5-72,1-1 56,-3-2-56,0-28 56,-3 25-8,-9-4 16,10-3 24,-15-2 8,17-16-40,-14 11 80,-3-6-8,-5-1 24,0-3 24,22-1-120,-26 0 40,-8 0 40,-4-14-200,-5 3 80,43 11 40,-46-17-72,-5-3 32,-2-3 120,-2-5 8,55 28-88,-58-29 96,-2-3-72,0-4 48,-7-2-112,67 38 40,-68-43 24,1-3 32,5 0 0,-1-6 0,63 52-56,-55-51 0,2-3 0,7-1-56,3 1-32,43 54 88,-34-54-48,5 3-24,8 2 88,4 1-72,17 48 56,-10-50 16,5 0-32,3-1-16,2 1-8,0 50 40,5-45-40,12 1 0,2 1 16,5 3 64,-24 40-40,26-39 24,10 0-24,3 4 16,11 1 24,-50 34-40,56-33-40,9-1 24,7 3 0,7-1-144,-79 32 160,84-28 24,10 2-32,5 3-48,9 5 152,-108 18-96,115-16 8,11 4 80,6 7-48,10-7-80,-142 12 40,146 0-72,8 0 112,5 0 0,10 2 48,-169-2-88,170 15-32,11 2-88,4 5 48,5 7 16,-190-29 56,190 33-104,2 3-88,3 4-105,-7 1-55,-188-41 352,185 42-344,-9-2 56,-8-1 24,-9-3 80,-159-36 184,146 31-152,-13-1 56,-15-6 56,-10-3 96,-108-21-56,94 18 48,-10-6-8,-14 0 0,-10-7-64,-60-5 24,50 12 64,-9-9-48,-10 1 24,-9 0-32,-22-4-8,14 3 0,-11 1 24,2 1-24,-3 0 32,-2-5-32,0 14 8,-12-1-16,-5 6-32,-7 2 16,24-21 24,-26 26-72,-6-1-40,-4 1-96,-2-2-104,38-24 312,-39 27-392,1-1-64,-3 1 32,3 1 40,38-28 384,-41 27-352,5 1 104,-1-1 31,-1 2 73,38-29 144,-38 28-96,-1-2 64,1 1 40,-1-3-80,39-24 72,-43 21 16,-1-1-32,-1-1 56,-3-2 32,48-17-72,-53 15 48,-3 2 8,-9-2-40,1-3 32,64-12-48,-68 6 72,1 7 8,-5-9 9,-13 8 55,85-12-144,-93 2 88,-8 4 8,-12-2 8,-12 1-64,125-5-40,-135 4 64,-17 0-32,-11 0-56,-13 2 72,176-6-48,-190 6-24,-9 5 40,-1-5-32,-12 8 72,212-14-56,-209 13 0,-8 3-16,6 1 104,-1 2-288,212-19 200,-207 20-64,-4 0-32,-3 0-24,7-1 96,207-19 24,-205 18-72,18 1 8,4-4 40,19 1 24,164-16 0,-156 14-121,12-8-31,14 8-88,12-13-16,118-1 256,-108 3-208,11 0-64,8-3-40,12 0-104,77 0 416,-65-3-656,13-1-408,11-7-841,9 8-1039,32 3 2944,-21-4-2641,16-11-2896,5 15 5537</inkml:trace>
  <inkml:trace contextRef="#ctx0" brushRef="#br0" timeOffset="1">1136 1745 12898,'0'0'0,"-5"-3"1425,-9-1-849,9-1 104,5 5-680,-9-4 632,4 0-16,2 0-152,3-8-128,0 12-336,-2 0 392,2-3-168,0-1-112,0 1-80,0 3-32,0-3 24,0 3-8,0-2-112,0 2 24,0 0 72,0 0-232,0 0-48,0 1 24,-5 3-392,5-4 648,-12 14-1496,7-2-2009,-16-1-4401,21-11 7906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8"/>
  <sheetViews>
    <sheetView rightToLeft="1" tabSelected="1" view="pageBreakPreview" topLeftCell="D2" zoomScale="130" zoomScaleNormal="100" zoomScaleSheetLayoutView="130" workbookViewId="0">
      <selection activeCell="L5" sqref="L5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47" t="s">
        <v>180</v>
      </c>
      <c r="C1" s="47"/>
      <c r="D1" s="47"/>
      <c r="E1" s="47"/>
      <c r="F1" s="47"/>
      <c r="G1" s="47"/>
      <c r="H1" s="47"/>
      <c r="I1" s="47"/>
      <c r="J1" s="47"/>
    </row>
    <row r="2" spans="1:10" ht="30" customHeight="1">
      <c r="B2" s="19" t="s">
        <v>8</v>
      </c>
      <c r="C2" s="53" t="s">
        <v>15</v>
      </c>
      <c r="D2" s="53"/>
      <c r="E2" s="19" t="s">
        <v>7</v>
      </c>
      <c r="F2" s="48">
        <v>45954</v>
      </c>
      <c r="G2" s="48"/>
      <c r="H2" s="48"/>
      <c r="I2" s="48"/>
      <c r="J2" s="48"/>
    </row>
    <row r="3" spans="1:10" ht="30" customHeight="1">
      <c r="B3" s="19" t="s">
        <v>9</v>
      </c>
      <c r="C3" s="53" t="s">
        <v>75</v>
      </c>
      <c r="D3" s="53"/>
      <c r="E3" s="19" t="s">
        <v>6</v>
      </c>
      <c r="F3" s="53" t="s">
        <v>122</v>
      </c>
      <c r="G3" s="53"/>
      <c r="H3" s="53"/>
      <c r="I3" s="53"/>
      <c r="J3" s="53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6"/>
      <c r="B5" s="49" t="s">
        <v>0</v>
      </c>
      <c r="C5" s="50"/>
      <c r="D5" s="50"/>
      <c r="E5" s="36" t="s">
        <v>1</v>
      </c>
      <c r="F5" s="36"/>
      <c r="G5" s="36"/>
      <c r="H5" s="36"/>
      <c r="I5" s="36" t="s">
        <v>2</v>
      </c>
      <c r="J5" s="37"/>
    </row>
    <row r="6" spans="1:10" ht="24.95" customHeight="1" thickBot="1">
      <c r="A6" s="16"/>
      <c r="B6" s="51"/>
      <c r="C6" s="52"/>
      <c r="D6" s="52"/>
      <c r="E6" s="17" t="s">
        <v>3</v>
      </c>
      <c r="F6" s="17" t="s">
        <v>4</v>
      </c>
      <c r="G6" s="17" t="s">
        <v>23</v>
      </c>
      <c r="H6" s="17" t="s">
        <v>24</v>
      </c>
      <c r="I6" s="38"/>
      <c r="J6" s="39"/>
    </row>
    <row r="7" spans="1:10" ht="24.95" customHeight="1" thickBot="1">
      <c r="A7" s="16"/>
      <c r="B7" s="34" t="s">
        <v>21</v>
      </c>
      <c r="C7" s="35"/>
      <c r="D7" s="35"/>
      <c r="E7" s="18" t="s">
        <v>18</v>
      </c>
      <c r="F7" s="18" t="s">
        <v>19</v>
      </c>
      <c r="G7" s="18" t="s">
        <v>22</v>
      </c>
      <c r="H7" s="18" t="s">
        <v>20</v>
      </c>
      <c r="I7" s="40" t="s">
        <v>25</v>
      </c>
      <c r="J7" s="41"/>
    </row>
    <row r="8" spans="1:10" ht="30" customHeight="1">
      <c r="A8" s="16"/>
      <c r="B8" s="46" t="s">
        <v>181</v>
      </c>
      <c r="C8" s="46"/>
      <c r="D8" s="46"/>
      <c r="E8" s="10">
        <v>10</v>
      </c>
      <c r="F8" s="11">
        <v>8.25</v>
      </c>
      <c r="G8" s="12">
        <f>IFERROR(F8/E8,"")</f>
        <v>0.82499999999999996</v>
      </c>
      <c r="H8" s="9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44"/>
      <c r="J8" s="45"/>
    </row>
    <row r="9" spans="1:10" ht="30" customHeight="1">
      <c r="A9" s="16"/>
      <c r="B9" s="46" t="s">
        <v>182</v>
      </c>
      <c r="C9" s="46"/>
      <c r="D9" s="46"/>
      <c r="E9" s="10">
        <v>10</v>
      </c>
      <c r="F9" s="26">
        <v>7.75</v>
      </c>
      <c r="G9" s="12">
        <f>IFERROR(F9/E9,"")</f>
        <v>0.77500000000000002</v>
      </c>
      <c r="H9" s="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0" customHeight="1">
      <c r="A10" s="16"/>
      <c r="B10" s="46" t="s">
        <v>183</v>
      </c>
      <c r="C10" s="46"/>
      <c r="D10" s="46"/>
      <c r="E10" s="13">
        <v>10</v>
      </c>
      <c r="F10" s="15">
        <v>8</v>
      </c>
      <c r="G10" s="12">
        <f t="shared" ref="G10:G13" si="0">IFERROR(F10/E10,"")</f>
        <v>0.8</v>
      </c>
      <c r="H10" s="9" t="str">
        <f t="shared" ref="H10:H1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2"/>
      <c r="J10" s="43"/>
    </row>
    <row r="11" spans="1:10" ht="30" customHeight="1">
      <c r="A11" s="16"/>
      <c r="B11" s="46" t="s">
        <v>184</v>
      </c>
      <c r="C11" s="46"/>
      <c r="D11" s="46"/>
      <c r="E11" s="10">
        <v>10</v>
      </c>
      <c r="F11" s="15">
        <v>7.5</v>
      </c>
      <c r="G11" s="12">
        <f t="shared" si="0"/>
        <v>0.75</v>
      </c>
      <c r="H11" s="9" t="str">
        <f t="shared" si="1"/>
        <v>جيد</v>
      </c>
      <c r="I11" s="42"/>
      <c r="J11" s="43"/>
    </row>
    <row r="12" spans="1:10" ht="30" customHeight="1">
      <c r="A12" s="16"/>
      <c r="B12" s="46" t="s">
        <v>185</v>
      </c>
      <c r="C12" s="46"/>
      <c r="D12" s="46"/>
      <c r="E12" s="13">
        <v>10</v>
      </c>
      <c r="F12" s="15">
        <v>7.25</v>
      </c>
      <c r="G12" s="12">
        <f t="shared" si="0"/>
        <v>0.72499999999999998</v>
      </c>
      <c r="H12" s="9" t="str">
        <f t="shared" si="1"/>
        <v>جيد</v>
      </c>
      <c r="I12" s="42"/>
      <c r="J12" s="43"/>
    </row>
    <row r="13" spans="1:10" ht="30" customHeight="1" thickBot="1">
      <c r="A13" s="16"/>
      <c r="B13" s="46" t="s">
        <v>186</v>
      </c>
      <c r="C13" s="46"/>
      <c r="D13" s="46"/>
      <c r="E13" s="10">
        <v>10</v>
      </c>
      <c r="F13" s="15">
        <v>7.25</v>
      </c>
      <c r="G13" s="12">
        <f t="shared" si="0"/>
        <v>0.72499999999999998</v>
      </c>
      <c r="H13" s="9" t="str">
        <f t="shared" si="1"/>
        <v>جيد</v>
      </c>
      <c r="I13" s="42"/>
      <c r="J13" s="43"/>
    </row>
    <row r="14" spans="1:10" ht="30" customHeight="1" thickBot="1">
      <c r="A14" s="4"/>
      <c r="B14" s="66" t="s">
        <v>5</v>
      </c>
      <c r="C14" s="40"/>
      <c r="D14" s="40"/>
      <c r="E14" s="14">
        <f>SUM(E8:E13)</f>
        <v>60</v>
      </c>
      <c r="F14" s="14">
        <f>SUM(F8:F13)</f>
        <v>46</v>
      </c>
      <c r="G14" s="55"/>
      <c r="H14" s="56"/>
      <c r="I14" s="56"/>
      <c r="J14" s="57"/>
    </row>
    <row r="15" spans="1:10" ht="30" customHeight="1" thickBot="1">
      <c r="A15" s="4"/>
      <c r="B15" s="66" t="s">
        <v>54</v>
      </c>
      <c r="C15" s="40"/>
      <c r="D15" s="40"/>
      <c r="E15" s="58">
        <f>F14/E14/100*100</f>
        <v>0.76666666666666672</v>
      </c>
      <c r="F15" s="58"/>
      <c r="G15" s="58"/>
      <c r="H15" s="58"/>
      <c r="I15" s="58"/>
      <c r="J15" s="59"/>
    </row>
    <row r="16" spans="1:10" ht="30" customHeight="1" thickBot="1">
      <c r="A16" s="4"/>
      <c r="B16" s="66" t="s">
        <v>55</v>
      </c>
      <c r="C16" s="40"/>
      <c r="D16" s="40"/>
      <c r="E16" s="64" t="str">
        <f>_xlfn.IFS(E15&gt;=90%,"ممتاز",E15&gt;=80%,"جيد جداً",E15&gt;=70%,"جيد",E15&gt;=60%,"مقبول",E15&lt;60%,"راسب")</f>
        <v>جيد</v>
      </c>
      <c r="F16" s="64"/>
      <c r="G16" s="64"/>
      <c r="H16" s="64"/>
      <c r="I16" s="64"/>
      <c r="J16" s="65"/>
    </row>
    <row r="17" spans="1:10" ht="42" customHeight="1">
      <c r="B17" s="60" t="s">
        <v>174</v>
      </c>
      <c r="C17" s="60"/>
      <c r="D17" s="60"/>
      <c r="E17" s="67" t="s">
        <v>52</v>
      </c>
      <c r="F17" s="67"/>
      <c r="G17" s="62" t="s">
        <v>122</v>
      </c>
      <c r="H17" s="62"/>
      <c r="I17" s="62"/>
      <c r="J17" s="62"/>
    </row>
    <row r="18" spans="1:10" ht="51" customHeight="1">
      <c r="A18" s="5"/>
      <c r="B18" s="61"/>
      <c r="C18" s="61"/>
      <c r="D18" s="61"/>
      <c r="E18" s="54" t="s">
        <v>53</v>
      </c>
      <c r="F18" s="54"/>
      <c r="G18" s="63"/>
      <c r="H18" s="63"/>
      <c r="I18" s="63"/>
      <c r="J18" s="6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3">
    <mergeCell ref="B11:D11"/>
    <mergeCell ref="B12:D12"/>
    <mergeCell ref="B13:D13"/>
    <mergeCell ref="I9:J9"/>
    <mergeCell ref="E17:F17"/>
    <mergeCell ref="I11:J11"/>
    <mergeCell ref="I12:J12"/>
    <mergeCell ref="I13:J13"/>
    <mergeCell ref="E18:F18"/>
    <mergeCell ref="G14:J14"/>
    <mergeCell ref="E15:J15"/>
    <mergeCell ref="B17:D18"/>
    <mergeCell ref="G17:J17"/>
    <mergeCell ref="G18:J18"/>
    <mergeCell ref="E16:J16"/>
    <mergeCell ref="B14:D14"/>
    <mergeCell ref="B15:D15"/>
    <mergeCell ref="B16:D16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6">
    <cfRule type="expression" dxfId="14" priority="57">
      <formula>$E16="راسب"</formula>
    </cfRule>
  </conditionalFormatting>
  <conditionalFormatting sqref="E16:J16">
    <cfRule type="expression" dxfId="13" priority="58">
      <formula>$E16="مقبول"</formula>
    </cfRule>
    <cfRule type="expression" dxfId="12" priority="59">
      <formula>$E16="جيد"</formula>
    </cfRule>
    <cfRule type="expression" dxfId="11" priority="60">
      <formula>$E16="جيد جداً"</formula>
    </cfRule>
    <cfRule type="expression" dxfId="10" priority="61">
      <formula>$E16="ممتاز"</formula>
    </cfRule>
  </conditionalFormatting>
  <conditionalFormatting sqref="F8:F1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7:J17">
    <cfRule type="containsText" dxfId="6" priority="15" operator="containsText" text="أدخل اسم المحكم">
      <formula>NOT(ISERROR(SEARCH("أدخل اسم المحكم",G17)))</formula>
    </cfRule>
  </conditionalFormatting>
  <conditionalFormatting sqref="H8:H1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التقييم'!$A$111:$A$153</xm:f>
          </x14:formula1>
          <xm:sqref>F8:F13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G17:J17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AB748-D5BC-6F40-A2C6-78A939FECCBA}">
  <dimension ref="A1"/>
  <sheetViews>
    <sheetView topLeftCell="CS1" zoomScaleNormal="80" zoomScaleSheetLayoutView="100" workbookViewId="0">
      <selection activeCell="H34" sqref="H34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48" workbookViewId="0">
      <selection activeCell="A64" sqref="A6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27" t="s">
        <v>62</v>
      </c>
    </row>
    <row r="3" spans="1:3" ht="20.100000000000001" customHeight="1" thickBot="1">
      <c r="A3" s="2" t="s">
        <v>26</v>
      </c>
      <c r="C3" s="27" t="s">
        <v>63</v>
      </c>
    </row>
    <row r="4" spans="1:3" ht="20.100000000000001" customHeight="1" thickBot="1">
      <c r="A4" s="2" t="s">
        <v>36</v>
      </c>
      <c r="C4" s="27" t="s">
        <v>64</v>
      </c>
    </row>
    <row r="5" spans="1:3" ht="20.100000000000001" customHeight="1" thickBot="1">
      <c r="A5" s="2" t="s">
        <v>37</v>
      </c>
      <c r="C5" s="27" t="s">
        <v>65</v>
      </c>
    </row>
    <row r="6" spans="1:3" ht="20.100000000000001" customHeight="1" thickBot="1">
      <c r="A6" s="2" t="s">
        <v>38</v>
      </c>
      <c r="C6" s="27" t="s">
        <v>66</v>
      </c>
    </row>
    <row r="7" spans="1:3" ht="20.100000000000001" customHeight="1" thickBot="1">
      <c r="A7" s="2" t="s">
        <v>39</v>
      </c>
      <c r="C7" s="27" t="s">
        <v>67</v>
      </c>
    </row>
    <row r="8" spans="1:3" ht="20.100000000000001" customHeight="1" thickBot="1">
      <c r="A8" s="2" t="s">
        <v>40</v>
      </c>
      <c r="C8" s="27" t="s">
        <v>68</v>
      </c>
    </row>
    <row r="9" spans="1:3" ht="20.100000000000001" customHeight="1" thickBot="1">
      <c r="A9" s="2" t="s">
        <v>41</v>
      </c>
      <c r="C9" s="27" t="s">
        <v>69</v>
      </c>
    </row>
    <row r="10" spans="1:3" ht="20.100000000000001" customHeight="1" thickBot="1">
      <c r="A10" s="2" t="s">
        <v>42</v>
      </c>
      <c r="C10" s="27" t="s">
        <v>70</v>
      </c>
    </row>
    <row r="11" spans="1:3" ht="20.100000000000001" customHeight="1" thickBot="1">
      <c r="A11" s="2" t="s">
        <v>43</v>
      </c>
      <c r="C11" s="27" t="s">
        <v>71</v>
      </c>
    </row>
    <row r="12" spans="1:3" ht="20.100000000000001" customHeight="1" thickBot="1">
      <c r="A12" s="2" t="s">
        <v>44</v>
      </c>
      <c r="C12" s="27" t="s">
        <v>72</v>
      </c>
    </row>
    <row r="13" spans="1:3" ht="20.100000000000001" customHeight="1" thickBot="1">
      <c r="A13" s="2" t="s">
        <v>45</v>
      </c>
      <c r="C13" s="27" t="s">
        <v>73</v>
      </c>
    </row>
    <row r="14" spans="1:3" ht="20.100000000000001" customHeight="1" thickBot="1">
      <c r="A14" s="2" t="s">
        <v>46</v>
      </c>
      <c r="C14" s="27" t="s">
        <v>74</v>
      </c>
    </row>
    <row r="15" spans="1:3" ht="20.100000000000001" customHeight="1" thickBot="1">
      <c r="A15" s="2" t="s">
        <v>47</v>
      </c>
      <c r="C15" s="27" t="s">
        <v>75</v>
      </c>
    </row>
    <row r="16" spans="1:3" ht="20.100000000000001" customHeight="1" thickBot="1">
      <c r="A16" s="2" t="s">
        <v>10</v>
      </c>
      <c r="C16" s="27" t="s">
        <v>76</v>
      </c>
    </row>
    <row r="17" spans="1:3" ht="20.100000000000001" customHeight="1" thickBot="1">
      <c r="A17" s="2" t="s">
        <v>27</v>
      </c>
      <c r="C17" s="27" t="s">
        <v>77</v>
      </c>
    </row>
    <row r="18" spans="1:3" ht="20.100000000000001" customHeight="1" thickBot="1">
      <c r="A18" s="2" t="s">
        <v>48</v>
      </c>
      <c r="C18" s="27" t="s">
        <v>78</v>
      </c>
    </row>
    <row r="19" spans="1:3" ht="20.100000000000001" customHeight="1" thickBot="1">
      <c r="A19" s="2" t="s">
        <v>49</v>
      </c>
      <c r="C19" s="27" t="s">
        <v>79</v>
      </c>
    </row>
    <row r="20" spans="1:3" ht="20.100000000000001" customHeight="1" thickBot="1">
      <c r="A20" s="2" t="s">
        <v>50</v>
      </c>
      <c r="C20" s="27" t="s">
        <v>80</v>
      </c>
    </row>
    <row r="21" spans="1:3" ht="20.100000000000001" customHeight="1" thickBot="1">
      <c r="A21" s="2" t="s">
        <v>51</v>
      </c>
      <c r="C21" s="27" t="s">
        <v>81</v>
      </c>
    </row>
    <row r="22" spans="1:3" ht="20.100000000000001" customHeight="1" thickBot="1">
      <c r="A22" s="2" t="s">
        <v>11</v>
      </c>
      <c r="C22" s="27" t="s">
        <v>82</v>
      </c>
    </row>
    <row r="23" spans="1:3" ht="20.100000000000001" customHeight="1" thickBot="1">
      <c r="A23" s="2" t="s">
        <v>12</v>
      </c>
      <c r="C23" s="27" t="s">
        <v>83</v>
      </c>
    </row>
    <row r="24" spans="1:3" ht="20.100000000000001" customHeight="1" thickBot="1">
      <c r="A24" s="2" t="s">
        <v>15</v>
      </c>
      <c r="C24" s="27" t="s">
        <v>84</v>
      </c>
    </row>
    <row r="25" spans="1:3" ht="20.100000000000001" customHeight="1" thickBot="1">
      <c r="A25" s="2" t="s">
        <v>28</v>
      </c>
      <c r="C25" s="27" t="s">
        <v>85</v>
      </c>
    </row>
    <row r="26" spans="1:3" ht="20.100000000000001" customHeight="1" thickBot="1">
      <c r="A26" s="2" t="s">
        <v>29</v>
      </c>
      <c r="C26" s="27" t="s">
        <v>86</v>
      </c>
    </row>
    <row r="27" spans="1:3" ht="20.100000000000001" customHeight="1" thickBot="1">
      <c r="A27" s="2" t="s">
        <v>13</v>
      </c>
      <c r="C27" s="27" t="s">
        <v>87</v>
      </c>
    </row>
    <row r="28" spans="1:3" ht="20.100000000000001" customHeight="1" thickBot="1">
      <c r="A28" s="2" t="s">
        <v>30</v>
      </c>
      <c r="C28" s="27" t="s">
        <v>88</v>
      </c>
    </row>
    <row r="29" spans="1:3" ht="20.100000000000001" customHeight="1" thickBot="1">
      <c r="A29" s="2" t="s">
        <v>31</v>
      </c>
      <c r="C29" s="27" t="s">
        <v>177</v>
      </c>
    </row>
    <row r="30" spans="1:3" ht="20.100000000000001" customHeight="1" thickBot="1">
      <c r="A30" s="2" t="s">
        <v>32</v>
      </c>
      <c r="C30" s="27" t="s">
        <v>178</v>
      </c>
    </row>
    <row r="31" spans="1:3" ht="20.100000000000001" customHeight="1" thickBot="1">
      <c r="A31" s="2" t="s">
        <v>33</v>
      </c>
      <c r="C31" s="27" t="s">
        <v>179</v>
      </c>
    </row>
    <row r="32" spans="1:3" ht="20.100000000000001" customHeight="1" thickBot="1">
      <c r="A32" s="2" t="s">
        <v>16</v>
      </c>
      <c r="C32" s="27"/>
    </row>
    <row r="33" spans="1:9" ht="20.100000000000001" customHeight="1" thickBot="1">
      <c r="A33" s="2" t="s">
        <v>14</v>
      </c>
      <c r="C33" s="27"/>
    </row>
    <row r="34" spans="1:9" ht="20.100000000000001" customHeight="1" thickBot="1">
      <c r="A34" s="2" t="s">
        <v>34</v>
      </c>
      <c r="C34" s="27"/>
    </row>
    <row r="35" spans="1:9" ht="20.100000000000001" customHeight="1">
      <c r="A35" s="25"/>
    </row>
    <row r="36" spans="1:9" s="24" customFormat="1" ht="20.100000000000001" customHeight="1">
      <c r="A36" s="22"/>
      <c r="B36" s="23"/>
      <c r="C36" s="23"/>
      <c r="D36" s="23"/>
      <c r="E36" s="23"/>
      <c r="F36" s="23"/>
      <c r="G36" s="23"/>
      <c r="H36" s="23"/>
      <c r="I36" s="23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20">
        <v>45931</v>
      </c>
    </row>
    <row r="40" spans="1:9" ht="20.100000000000001" customHeight="1" thickBot="1">
      <c r="A40" s="20">
        <v>45932</v>
      </c>
    </row>
    <row r="41" spans="1:9" ht="20.100000000000001" customHeight="1" thickBot="1">
      <c r="A41" s="20">
        <v>45933</v>
      </c>
    </row>
    <row r="42" spans="1:9" ht="20.100000000000001" customHeight="1" thickBot="1">
      <c r="A42" s="20">
        <v>45934</v>
      </c>
    </row>
    <row r="43" spans="1:9" ht="20.100000000000001" customHeight="1" thickBot="1">
      <c r="A43" s="20">
        <v>45935</v>
      </c>
    </row>
    <row r="44" spans="1:9" ht="20.100000000000001" customHeight="1" thickBot="1">
      <c r="A44" s="20">
        <v>45936</v>
      </c>
    </row>
    <row r="45" spans="1:9" ht="20.100000000000001" customHeight="1" thickBot="1">
      <c r="A45" s="20">
        <v>45937</v>
      </c>
    </row>
    <row r="46" spans="1:9" ht="20.100000000000001" customHeight="1" thickBot="1">
      <c r="A46" s="20">
        <v>45938</v>
      </c>
    </row>
    <row r="47" spans="1:9" ht="20.100000000000001" customHeight="1" thickBot="1">
      <c r="A47" s="20">
        <v>45939</v>
      </c>
    </row>
    <row r="48" spans="1:9" ht="20.100000000000001" customHeight="1" thickBot="1">
      <c r="A48" s="20">
        <v>45940</v>
      </c>
    </row>
    <row r="49" spans="1:1" ht="20.100000000000001" customHeight="1" thickBot="1">
      <c r="A49" s="20">
        <v>45941</v>
      </c>
    </row>
    <row r="50" spans="1:1" ht="20.100000000000001" customHeight="1" thickBot="1">
      <c r="A50" s="20">
        <v>45942</v>
      </c>
    </row>
    <row r="51" spans="1:1" ht="20.100000000000001" customHeight="1" thickBot="1">
      <c r="A51" s="20">
        <v>45943</v>
      </c>
    </row>
    <row r="52" spans="1:1" ht="20.100000000000001" customHeight="1" thickBot="1">
      <c r="A52" s="20">
        <v>45944</v>
      </c>
    </row>
    <row r="53" spans="1:1" ht="20.100000000000001" customHeight="1" thickBot="1">
      <c r="A53" s="20">
        <v>45945</v>
      </c>
    </row>
    <row r="54" spans="1:1" ht="20.100000000000001" customHeight="1" thickBot="1">
      <c r="A54" s="20">
        <v>45946</v>
      </c>
    </row>
    <row r="55" spans="1:1" ht="20.100000000000001" customHeight="1" thickBot="1">
      <c r="A55" s="20">
        <v>45947</v>
      </c>
    </row>
    <row r="56" spans="1:1" ht="20.100000000000001" customHeight="1" thickBot="1">
      <c r="A56" s="20">
        <v>45948</v>
      </c>
    </row>
    <row r="57" spans="1:1" ht="20.100000000000001" customHeight="1" thickBot="1">
      <c r="A57" s="20">
        <v>45949</v>
      </c>
    </row>
    <row r="58" spans="1:1" ht="20.100000000000001" customHeight="1" thickBot="1">
      <c r="A58" s="20">
        <v>45950</v>
      </c>
    </row>
    <row r="59" spans="1:1" ht="20.100000000000001" customHeight="1" thickBot="1">
      <c r="A59" s="20">
        <v>45951</v>
      </c>
    </row>
    <row r="60" spans="1:1" ht="20.100000000000001" customHeight="1" thickBot="1">
      <c r="A60" s="20">
        <v>45952</v>
      </c>
    </row>
    <row r="61" spans="1:1" ht="20.100000000000001" customHeight="1" thickBot="1">
      <c r="A61" s="20">
        <v>45953</v>
      </c>
    </row>
    <row r="62" spans="1:1" ht="20.100000000000001" customHeight="1" thickBot="1">
      <c r="A62" s="20">
        <v>45954</v>
      </c>
    </row>
    <row r="63" spans="1:1" ht="20.100000000000001" customHeight="1" thickBot="1">
      <c r="A63" s="20">
        <v>45955</v>
      </c>
    </row>
    <row r="64" spans="1:1" ht="20.100000000000001" customHeight="1" thickBot="1">
      <c r="A64" s="20">
        <v>45956</v>
      </c>
    </row>
    <row r="65" spans="1:1" ht="20.100000000000001" customHeight="1" thickBot="1">
      <c r="A65" s="20">
        <v>45957</v>
      </c>
    </row>
    <row r="66" spans="1:1" ht="20.100000000000001" customHeight="1" thickBot="1">
      <c r="A66" s="20">
        <v>45958</v>
      </c>
    </row>
    <row r="67" spans="1:1" ht="20.100000000000001" customHeight="1" thickBot="1">
      <c r="A67" s="20">
        <v>45959</v>
      </c>
    </row>
    <row r="68" spans="1:1" ht="20.100000000000001" customHeight="1" thickBot="1">
      <c r="A68" s="20">
        <v>45960</v>
      </c>
    </row>
    <row r="69" spans="1:1" ht="20.100000000000001" customHeight="1" thickBot="1">
      <c r="A69" s="20">
        <v>45961</v>
      </c>
    </row>
    <row r="70" spans="1:1" ht="20.100000000000001" customHeight="1" thickBot="1">
      <c r="A70" s="20"/>
    </row>
    <row r="71" spans="1:1" ht="20.100000000000001" customHeight="1" thickBot="1">
      <c r="A71" s="20"/>
    </row>
    <row r="72" spans="1:1" ht="20.100000000000001" customHeight="1" thickBot="1">
      <c r="A72" s="20"/>
    </row>
    <row r="73" spans="1:1" ht="20.100000000000001" customHeight="1" thickBot="1">
      <c r="A73" s="20"/>
    </row>
    <row r="74" spans="1:1" ht="20.100000000000001" customHeight="1" thickBot="1">
      <c r="A74" s="20"/>
    </row>
    <row r="75" spans="1:1" ht="20.100000000000001" customHeight="1" thickBot="1">
      <c r="A75" s="20"/>
    </row>
    <row r="76" spans="1:1" ht="20.100000000000001" customHeight="1" thickBot="1">
      <c r="A76" s="20"/>
    </row>
    <row r="77" spans="1:1" ht="20.100000000000001" customHeight="1" thickBot="1">
      <c r="A77" s="20"/>
    </row>
    <row r="78" spans="1:1" ht="20.100000000000001" customHeight="1" thickBot="1">
      <c r="A78" s="20"/>
    </row>
    <row r="79" spans="1:1" ht="20.100000000000001" customHeight="1" thickBot="1">
      <c r="A79" s="20"/>
    </row>
    <row r="80" spans="1:1" ht="20.100000000000001" customHeight="1" thickBot="1">
      <c r="A80" s="20"/>
    </row>
    <row r="81" spans="1:1" ht="20.100000000000001" customHeight="1" thickBot="1">
      <c r="A81" s="20"/>
    </row>
    <row r="82" spans="1:1" ht="20.100000000000001" customHeight="1" thickBot="1">
      <c r="A82" s="20"/>
    </row>
    <row r="83" spans="1:1" ht="20.100000000000001" customHeight="1" thickBot="1">
      <c r="A83" s="20"/>
    </row>
    <row r="84" spans="1:1" ht="20.100000000000001" customHeight="1" thickBot="1">
      <c r="A84" s="20"/>
    </row>
    <row r="85" spans="1:1" ht="20.100000000000001" customHeight="1" thickBot="1">
      <c r="A85" s="20"/>
    </row>
    <row r="86" spans="1:1" ht="20.100000000000001" customHeight="1" thickBot="1">
      <c r="A86" s="20"/>
    </row>
    <row r="87" spans="1:1" ht="20.100000000000001" customHeight="1" thickBot="1">
      <c r="A87" s="20"/>
    </row>
    <row r="88" spans="1:1" ht="20.100000000000001" customHeight="1" thickBot="1">
      <c r="A88" s="20"/>
    </row>
    <row r="89" spans="1:1" ht="20.100000000000001" customHeight="1" thickBot="1">
      <c r="A89" s="20"/>
    </row>
    <row r="90" spans="1:1" ht="20.100000000000001" customHeight="1" thickBot="1">
      <c r="A90" s="20"/>
    </row>
    <row r="91" spans="1:1" ht="20.100000000000001" customHeight="1" thickBot="1">
      <c r="A91" s="20"/>
    </row>
    <row r="92" spans="1:1" ht="20.100000000000001" customHeight="1" thickBot="1">
      <c r="A92" s="20"/>
    </row>
    <row r="93" spans="1:1" ht="20.100000000000001" customHeight="1" thickBot="1">
      <c r="A93" s="20"/>
    </row>
    <row r="94" spans="1:1" ht="20.100000000000001" customHeight="1" thickBot="1">
      <c r="A94" s="20"/>
    </row>
    <row r="95" spans="1:1" ht="20.100000000000001" customHeight="1" thickBot="1">
      <c r="A95" s="20"/>
    </row>
    <row r="96" spans="1:1" ht="20.100000000000001" customHeight="1" thickBot="1">
      <c r="A96" s="20"/>
    </row>
    <row r="97" spans="1:9" ht="20.100000000000001" customHeight="1" thickBot="1">
      <c r="A97" s="20"/>
    </row>
    <row r="98" spans="1:9" ht="20.100000000000001" customHeight="1" thickBot="1">
      <c r="A98" s="20"/>
    </row>
    <row r="99" spans="1:9" ht="20.100000000000001" customHeight="1" thickBot="1">
      <c r="A99" s="20"/>
    </row>
    <row r="100" spans="1:9" ht="20.100000000000001" customHeight="1" thickBot="1">
      <c r="A100" s="20"/>
    </row>
    <row r="101" spans="1:9" ht="20.100000000000001" customHeight="1" thickBot="1">
      <c r="A101" s="20"/>
    </row>
    <row r="102" spans="1:9" ht="20.100000000000001" customHeight="1" thickBot="1">
      <c r="A102" s="20"/>
    </row>
    <row r="103" spans="1:9" ht="20.100000000000001" customHeight="1" thickBot="1">
      <c r="A103" s="20"/>
    </row>
    <row r="104" spans="1:9" ht="20.100000000000001" customHeight="1" thickBot="1">
      <c r="A104" s="20"/>
    </row>
    <row r="105" spans="1:9" ht="20.100000000000001" customHeight="1" thickBot="1">
      <c r="A105" s="20"/>
    </row>
    <row r="106" spans="1:9" ht="20.100000000000001" customHeight="1" thickBot="1">
      <c r="A106" s="20"/>
    </row>
    <row r="107" spans="1:9" ht="20.100000000000001" customHeight="1">
      <c r="A107" s="21"/>
    </row>
    <row r="108" spans="1:9" ht="20.100000000000001" customHeight="1">
      <c r="A108" s="21"/>
    </row>
    <row r="109" spans="1:9" s="24" customFormat="1" ht="20.100000000000001" customHeight="1">
      <c r="A109" s="22"/>
      <c r="B109" s="23"/>
      <c r="C109" s="23"/>
      <c r="D109" s="23"/>
      <c r="E109" s="23"/>
      <c r="F109" s="23"/>
      <c r="G109" s="23"/>
      <c r="H109" s="23"/>
      <c r="I109" s="23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8" t="s">
        <v>89</v>
      </c>
    </row>
    <row r="200" spans="1:1" ht="20.100000000000001" customHeight="1">
      <c r="A200" s="28" t="s">
        <v>90</v>
      </c>
    </row>
    <row r="201" spans="1:1" ht="20.100000000000001" customHeight="1">
      <c r="A201" s="28" t="s">
        <v>91</v>
      </c>
    </row>
    <row r="202" spans="1:1" ht="20.100000000000001" customHeight="1">
      <c r="A202" s="28" t="s">
        <v>92</v>
      </c>
    </row>
    <row r="203" spans="1:1" ht="20.100000000000001" customHeight="1">
      <c r="A203" s="28" t="s">
        <v>93</v>
      </c>
    </row>
    <row r="204" spans="1:1" ht="20.100000000000001" customHeight="1">
      <c r="A204" s="28" t="s">
        <v>94</v>
      </c>
    </row>
    <row r="205" spans="1:1" ht="20.100000000000001" customHeight="1">
      <c r="A205" s="28" t="s">
        <v>95</v>
      </c>
    </row>
    <row r="206" spans="1:1" ht="20.100000000000001" customHeight="1">
      <c r="A206" s="28" t="s">
        <v>96</v>
      </c>
    </row>
    <row r="207" spans="1:1" ht="20.100000000000001" customHeight="1">
      <c r="A207" s="28" t="s">
        <v>97</v>
      </c>
    </row>
    <row r="208" spans="1:1" ht="20.100000000000001" customHeight="1">
      <c r="A208" s="29" t="s">
        <v>98</v>
      </c>
    </row>
    <row r="209" spans="1:1" ht="20.100000000000001" customHeight="1">
      <c r="A209" s="29" t="s">
        <v>99</v>
      </c>
    </row>
    <row r="210" spans="1:1" ht="20.100000000000001" customHeight="1">
      <c r="A210" s="28" t="s">
        <v>100</v>
      </c>
    </row>
    <row r="211" spans="1:1" ht="20.100000000000001" customHeight="1">
      <c r="A211" s="28" t="s">
        <v>101</v>
      </c>
    </row>
    <row r="212" spans="1:1" ht="20.100000000000001" customHeight="1">
      <c r="A212" s="28" t="s">
        <v>175</v>
      </c>
    </row>
    <row r="213" spans="1:1" ht="20.100000000000001" customHeight="1">
      <c r="A213" s="28" t="s">
        <v>102</v>
      </c>
    </row>
    <row r="214" spans="1:1" ht="20.100000000000001" customHeight="1">
      <c r="A214" s="28" t="s">
        <v>103</v>
      </c>
    </row>
    <row r="215" spans="1:1" ht="20.100000000000001" customHeight="1">
      <c r="A215" s="28" t="s">
        <v>104</v>
      </c>
    </row>
    <row r="216" spans="1:1" ht="20.100000000000001" customHeight="1">
      <c r="A216" s="28" t="s">
        <v>105</v>
      </c>
    </row>
    <row r="217" spans="1:1" ht="20.100000000000001" customHeight="1">
      <c r="A217" s="28" t="s">
        <v>106</v>
      </c>
    </row>
    <row r="218" spans="1:1" ht="20.100000000000001" customHeight="1">
      <c r="A218" s="28" t="s">
        <v>107</v>
      </c>
    </row>
    <row r="219" spans="1:1" ht="20.100000000000001" customHeight="1">
      <c r="A219" s="28" t="s">
        <v>108</v>
      </c>
    </row>
    <row r="220" spans="1:1" ht="20.100000000000001" customHeight="1">
      <c r="A220" s="28" t="s">
        <v>109</v>
      </c>
    </row>
    <row r="221" spans="1:1" ht="20.100000000000001" customHeight="1">
      <c r="A221" s="28" t="s">
        <v>110</v>
      </c>
    </row>
    <row r="222" spans="1:1" ht="20.100000000000001" customHeight="1">
      <c r="A222" s="28" t="s">
        <v>111</v>
      </c>
    </row>
    <row r="223" spans="1:1" ht="20.100000000000001" customHeight="1">
      <c r="A223" s="28" t="s">
        <v>112</v>
      </c>
    </row>
    <row r="224" spans="1:1" ht="20.100000000000001" customHeight="1">
      <c r="A224" s="28" t="s">
        <v>176</v>
      </c>
    </row>
    <row r="225" spans="1:1" ht="20.100000000000001" customHeight="1">
      <c r="A225" s="28" t="s">
        <v>113</v>
      </c>
    </row>
    <row r="226" spans="1:1" ht="20.100000000000001" customHeight="1">
      <c r="A226" s="28" t="s">
        <v>114</v>
      </c>
    </row>
    <row r="227" spans="1:1" ht="20.100000000000001" customHeight="1">
      <c r="A227" s="28" t="s">
        <v>115</v>
      </c>
    </row>
    <row r="228" spans="1:1" ht="20.100000000000001" customHeight="1">
      <c r="A228" s="28" t="s">
        <v>116</v>
      </c>
    </row>
    <row r="229" spans="1:1" ht="20.100000000000001" customHeight="1">
      <c r="A229" s="28" t="s">
        <v>117</v>
      </c>
    </row>
    <row r="230" spans="1:1" ht="20.100000000000001" customHeight="1">
      <c r="A230" s="28" t="s">
        <v>118</v>
      </c>
    </row>
    <row r="231" spans="1:1" ht="20.100000000000001" customHeight="1">
      <c r="A231" s="28" t="s">
        <v>119</v>
      </c>
    </row>
    <row r="232" spans="1:1" ht="20.100000000000001" customHeight="1">
      <c r="A232" s="28" t="s">
        <v>120</v>
      </c>
    </row>
    <row r="233" spans="1:1" ht="20.100000000000001" customHeight="1">
      <c r="A233" s="28" t="s">
        <v>121</v>
      </c>
    </row>
    <row r="234" spans="1:1" ht="20.100000000000001" customHeight="1">
      <c r="A234" s="28" t="s">
        <v>122</v>
      </c>
    </row>
    <row r="235" spans="1:1" ht="20.100000000000001" customHeight="1">
      <c r="A235" s="28" t="s">
        <v>123</v>
      </c>
    </row>
    <row r="236" spans="1:1" ht="20.100000000000001" customHeight="1">
      <c r="A236" s="30" t="s">
        <v>124</v>
      </c>
    </row>
    <row r="237" spans="1:1" ht="20.100000000000001" customHeight="1">
      <c r="A237" s="28" t="s">
        <v>125</v>
      </c>
    </row>
    <row r="238" spans="1:1" ht="20.100000000000001" customHeight="1">
      <c r="A238" s="28" t="s">
        <v>126</v>
      </c>
    </row>
    <row r="239" spans="1:1" ht="20.100000000000001" customHeight="1">
      <c r="A239" s="28" t="s">
        <v>127</v>
      </c>
    </row>
    <row r="240" spans="1:1" ht="20.100000000000001" customHeight="1">
      <c r="A240" s="28" t="s">
        <v>128</v>
      </c>
    </row>
    <row r="241" spans="1:1" ht="20.100000000000001" customHeight="1">
      <c r="A241" s="28" t="s">
        <v>129</v>
      </c>
    </row>
    <row r="242" spans="1:1" ht="20.100000000000001" customHeight="1">
      <c r="A242" s="28" t="s">
        <v>130</v>
      </c>
    </row>
    <row r="243" spans="1:1" ht="20.100000000000001" customHeight="1">
      <c r="A243" s="28" t="s">
        <v>131</v>
      </c>
    </row>
    <row r="244" spans="1:1" ht="20.100000000000001" customHeight="1">
      <c r="A244" s="28" t="s">
        <v>132</v>
      </c>
    </row>
    <row r="245" spans="1:1" ht="20.100000000000001" customHeight="1">
      <c r="A245" s="28" t="s">
        <v>133</v>
      </c>
    </row>
    <row r="246" spans="1:1" ht="20.100000000000001" customHeight="1">
      <c r="A246" s="28" t="s">
        <v>134</v>
      </c>
    </row>
    <row r="247" spans="1:1" ht="20.100000000000001" customHeight="1">
      <c r="A247" s="28" t="s">
        <v>135</v>
      </c>
    </row>
    <row r="248" spans="1:1" ht="20.100000000000001" customHeight="1">
      <c r="A248" s="28" t="s">
        <v>126</v>
      </c>
    </row>
    <row r="249" spans="1:1" ht="20.100000000000001" customHeight="1">
      <c r="A249" s="28" t="s">
        <v>136</v>
      </c>
    </row>
    <row r="250" spans="1:1" ht="20.100000000000001" customHeight="1">
      <c r="A250" s="28" t="s">
        <v>137</v>
      </c>
    </row>
    <row r="251" spans="1:1" ht="20.100000000000001" customHeight="1">
      <c r="A251" s="30" t="s">
        <v>138</v>
      </c>
    </row>
    <row r="252" spans="1:1" ht="20.100000000000001" customHeight="1">
      <c r="A252" s="31" t="s">
        <v>139</v>
      </c>
    </row>
    <row r="253" spans="1:1" ht="20.100000000000001" customHeight="1">
      <c r="A253" s="28" t="s">
        <v>140</v>
      </c>
    </row>
    <row r="254" spans="1:1" ht="20.100000000000001" customHeight="1">
      <c r="A254" s="28" t="s">
        <v>141</v>
      </c>
    </row>
    <row r="255" spans="1:1" ht="20.100000000000001" customHeight="1">
      <c r="A255" s="32" t="s">
        <v>142</v>
      </c>
    </row>
    <row r="256" spans="1:1" ht="20.100000000000001" customHeight="1">
      <c r="A256" s="32" t="s">
        <v>143</v>
      </c>
    </row>
    <row r="257" spans="1:1" ht="20.100000000000001" customHeight="1">
      <c r="A257" s="33" t="s">
        <v>144</v>
      </c>
    </row>
    <row r="258" spans="1:1" ht="20.100000000000001" customHeight="1">
      <c r="A258" s="28" t="s">
        <v>145</v>
      </c>
    </row>
    <row r="259" spans="1:1" ht="20.100000000000001" customHeight="1">
      <c r="A259" s="33" t="s">
        <v>146</v>
      </c>
    </row>
    <row r="260" spans="1:1" ht="20.100000000000001" customHeight="1">
      <c r="A260" s="28" t="s">
        <v>147</v>
      </c>
    </row>
    <row r="261" spans="1:1" ht="20.100000000000001" customHeight="1">
      <c r="A261" s="33" t="s">
        <v>148</v>
      </c>
    </row>
    <row r="262" spans="1:1" ht="20.100000000000001" customHeight="1">
      <c r="A262" s="28" t="s">
        <v>149</v>
      </c>
    </row>
    <row r="263" spans="1:1" ht="20.100000000000001" customHeight="1">
      <c r="A263" s="28" t="s">
        <v>150</v>
      </c>
    </row>
    <row r="264" spans="1:1" ht="20.100000000000001" customHeight="1">
      <c r="A264" s="33" t="s">
        <v>151</v>
      </c>
    </row>
    <row r="265" spans="1:1" ht="20.100000000000001" customHeight="1">
      <c r="A265" s="33" t="s">
        <v>152</v>
      </c>
    </row>
    <row r="266" spans="1:1" ht="20.100000000000001" customHeight="1">
      <c r="A266" s="33" t="s">
        <v>153</v>
      </c>
    </row>
    <row r="267" spans="1:1" ht="20.100000000000001" customHeight="1">
      <c r="A267" s="28" t="s">
        <v>154</v>
      </c>
    </row>
    <row r="268" spans="1:1" ht="20.100000000000001" customHeight="1">
      <c r="A268" s="28" t="s">
        <v>155</v>
      </c>
    </row>
    <row r="269" spans="1:1" ht="20.100000000000001" customHeight="1">
      <c r="A269" s="28" t="s">
        <v>156</v>
      </c>
    </row>
    <row r="270" spans="1:1" ht="20.100000000000001" customHeight="1">
      <c r="A270" s="28" t="s">
        <v>157</v>
      </c>
    </row>
    <row r="271" spans="1:1" ht="20.100000000000001" customHeight="1">
      <c r="A271" s="33" t="s">
        <v>158</v>
      </c>
    </row>
    <row r="272" spans="1:1" ht="20.100000000000001" customHeight="1">
      <c r="A272" s="33" t="s">
        <v>159</v>
      </c>
    </row>
    <row r="273" spans="1:1" ht="20.100000000000001" customHeight="1">
      <c r="A273" s="28" t="s">
        <v>160</v>
      </c>
    </row>
    <row r="274" spans="1:1" ht="20.100000000000001" customHeight="1">
      <c r="A274" s="33" t="s">
        <v>161</v>
      </c>
    </row>
    <row r="275" spans="1:1" ht="20.100000000000001" customHeight="1">
      <c r="A275" s="33" t="s">
        <v>162</v>
      </c>
    </row>
    <row r="276" spans="1:1" ht="20.100000000000001" customHeight="1">
      <c r="A276" s="28" t="s">
        <v>163</v>
      </c>
    </row>
    <row r="277" spans="1:1" ht="20.100000000000001" customHeight="1">
      <c r="A277" s="28" t="s">
        <v>164</v>
      </c>
    </row>
    <row r="278" spans="1:1" ht="20.100000000000001" customHeight="1">
      <c r="A278" s="33" t="s">
        <v>165</v>
      </c>
    </row>
    <row r="279" spans="1:1" ht="20.100000000000001" customHeight="1">
      <c r="A279" s="28" t="s">
        <v>166</v>
      </c>
    </row>
    <row r="280" spans="1:1" ht="20.100000000000001" customHeight="1">
      <c r="A280" s="28" t="s">
        <v>167</v>
      </c>
    </row>
    <row r="281" spans="1:1" ht="20.100000000000001" customHeight="1">
      <c r="A281" s="28" t="s">
        <v>168</v>
      </c>
    </row>
    <row r="282" spans="1:1" ht="20.100000000000001" customHeight="1">
      <c r="A282" s="28" t="s">
        <v>169</v>
      </c>
    </row>
    <row r="283" spans="1:1" ht="20.100000000000001" customHeight="1">
      <c r="A283" s="33" t="s">
        <v>170</v>
      </c>
    </row>
    <row r="284" spans="1:1" ht="20.100000000000001" customHeight="1">
      <c r="A284" s="33" t="s">
        <v>171</v>
      </c>
    </row>
    <row r="285" spans="1:1" ht="20.100000000000001" customHeight="1">
      <c r="A285" s="33" t="s">
        <v>172</v>
      </c>
    </row>
    <row r="286" spans="1:1" ht="20.100000000000001" customHeight="1" thickBot="1">
      <c r="A286" s="28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Sheet1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2025-10-22T14:41:28Z</dcterms:modified>
</cp:coreProperties>
</file>