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E3B009B5-BD6A-4E74-8678-9D534FDAD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3" i="2"/>
  <c r="H53" i="2"/>
  <c r="G54" i="2"/>
  <c r="H54" i="2"/>
  <c r="G56" i="2"/>
  <c r="H56" i="2"/>
  <c r="G57" i="2"/>
  <c r="H57" i="2"/>
  <c r="F58" i="2"/>
  <c r="E58" i="2"/>
  <c r="E59" i="2"/>
  <c r="E60" i="2"/>
</calcChain>
</file>

<file path=xl/sharedStrings.xml><?xml version="1.0" encoding="utf-8"?>
<sst xmlns="http://schemas.openxmlformats.org/spreadsheetml/2006/main" count="346" uniqueCount="236">
  <si>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</si>
  <si>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</si>
  <si>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</si>
  <si>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</si>
  <si>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</si>
  <si>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</si>
  <si>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</si>
  <si>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</si>
  <si>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</si>
  <si>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</si>
  <si>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</si>
  <si>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</si>
  <si>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</si>
  <si>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</si>
  <si>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</si>
  <si>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</si>
  <si>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</si>
  <si>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</si>
  <si>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</si>
  <si>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</si>
  <si>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</si>
  <si>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</si>
  <si>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</si>
  <si>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</si>
  <si>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</si>
  <si>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</si>
  <si>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</si>
  <si>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</si>
  <si>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</si>
  <si>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</si>
  <si>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</si>
  <si>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</si>
  <si>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</si>
  <si>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</si>
  <si>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</si>
  <si>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</si>
  <si>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</si>
  <si>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</si>
  <si>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</si>
  <si>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</si>
  <si>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</si>
  <si>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</si>
  <si>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</si>
  <si>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</si>
  <si>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</si>
  <si>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</si>
  <si>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</si>
  <si>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</si>
  <si>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</si>
  <si>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</si>
  <si>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</si>
  <si>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</si>
  <si>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</si>
  <si>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</si>
  <si>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</si>
  <si>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</si>
  <si>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</si>
  <si>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</si>
  <si>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</si>
  <si>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</si>
  <si>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</si>
  <si>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</si>
  <si>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</si>
  <si>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</si>
  <si>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</si>
  <si>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</si>
  <si>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</si>
  <si>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</si>
  <si>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</si>
  <si>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</si>
  <si>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</si>
  <si>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</si>
  <si>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</si>
  <si>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</si>
  <si>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</si>
  <si>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</si>
  <si>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</si>
  <si>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</si>
  <si>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</si>
  <si>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</si>
  <si>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</si>
  <si>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</si>
  <si>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</si>
  <si>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</si>
  <si>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</si>
  <si>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</si>
  <si>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</si>
  <si>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</si>
  <si>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</si>
  <si>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</si>
  <si>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</si>
  <si>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</si>
  <si>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</si>
  <si>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</si>
  <si>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</si>
  <si>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</si>
  <si>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</si>
  <si>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</si>
  <si>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</si>
  <si>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</si>
  <si>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</si>
  <si>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</si>
  <si>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</si>
  <si>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</si>
  <si>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</si>
  <si>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</si>
  <si>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</si>
  <si>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</si>
  <si>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</si>
  <si>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</si>
  <si>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</si>
  <si>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</si>
  <si>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</si>
  <si>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</si>
  <si>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</si>
  <si>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</si>
  <si>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</si>
  <si>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</si>
  <si>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</si>
  <si>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</si>
  <si>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</si>
  <si>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</si>
  <si>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</si>
  <si>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</si>
  <si>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</si>
  <si>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</si>
  <si>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</si>
  <si>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</si>
  <si>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</si>
  <si>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</si>
  <si>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</si>
  <si>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</si>
  <si>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</si>
  <si>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</si>
  <si>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</si>
  <si>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</si>
  <si>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</si>
  <si>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</si>
  <si>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</si>
  <si>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</si>
  <si>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</si>
  <si>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</si>
  <si>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</si>
  <si>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</si>
  <si>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</si>
  <si>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</si>
  <si>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</si>
  <si>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</si>
  <si>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</si>
  <si>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</si>
  <si>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</si>
  <si>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</si>
  <si>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</si>
  <si>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</si>
  <si>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</si>
  <si>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</si>
  <si>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</si>
  <si>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</si>
  <si>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</si>
  <si>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</si>
  <si>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</si>
  <si>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</si>
  <si>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</si>
  <si>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</si>
  <si>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</si>
  <si>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</si>
  <si>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</si>
  <si>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</si>
  <si>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</si>
  <si>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</si>
  <si>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</si>
  <si>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</si>
  <si>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</si>
  <si>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</si>
  <si>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</si>
  <si>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</si>
  <si>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</si>
  <si>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</si>
  <si>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</si>
  <si>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</si>
  <si>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تفتيش جاهزية الآليات ( أ ) لسرية الهاون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</si>
  <si>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السجلات والوثائق.</t>
    </r>
  </si>
  <si>
    <t>أ. مدى استكمال المرتب من الآليات ونسبة الصلاحية.</t>
  </si>
  <si>
    <t>ب. وجود كشف معتمد من القائد بالمرتب والموجود ونسبة الصلاحية للآليات.</t>
  </si>
  <si>
    <t>جـ. وجود وإدامة سجل تدوين إطلاق الذخائر.</t>
  </si>
  <si>
    <t>د. وجود وإدامة سجلات الصيانة الدورية لكل آلية.</t>
  </si>
  <si>
    <t>هـ. وجود تعليمات وإجراءات الصيانة الدورية واللوحات الإرشادية.</t>
  </si>
  <si>
    <t>و. وجود وإدامة السجلات الخاصة بكل آلية بواسطة الطاقم وتصديق الضابط المسئول بالإضافة لسندات الاستلام والتسليم وتصديقها وحفظها.</t>
  </si>
  <si>
    <t>ز. وجود وإدامة سجل تسليم واستلام الآليات.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</si>
  <si>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مجموعة الجسم.</t>
    </r>
  </si>
  <si>
    <t>أ. الفحص الداخلي والخارجي (النظافة، النواقص، الأضرار، الصبغ، إلخ...).</t>
  </si>
  <si>
    <t>ب. التأكد من صلاحية الإطارات ونظام ضغط الهواء ونفخ الإطارات.</t>
  </si>
  <si>
    <t>جـ. وجود صناديق العدة ومحتوياتها وصلاحية طفاية الحريق.</t>
  </si>
  <si>
    <t>د. التأكد من صلاحية مقاعد غرفة الطاقم والأبواب الخارجية.</t>
  </si>
  <si>
    <t>هـ. وجود وصلاحية أجهزة الرؤية (المراقيب، المناظير).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</si>
  <si>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الزيوت / السوائل.</t>
    </r>
  </si>
  <si>
    <t>أ. التأكد من مستـوى الزيـت / الماء (المحرك، نظام ناقل الحركـة، الفرامـل، المقــود، البطاريات، المبرد، عمود ناقل الحركة ، نظام الهيدروليك).</t>
  </si>
  <si>
    <t>ب. التأكد من عدم تسرّب الزيت / الماء من الأجزاء.</t>
  </si>
  <si>
    <t>جـ. التقيد بتوقيتات تغيير الزيت / الماء.</t>
  </si>
  <si>
    <t>د. التأكد من التشحيم والتزييت.</t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</si>
  <si>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مجموعة القوى.</t>
    </r>
    <r>
      <rPr>
        <sz val="12"/>
        <color rgb="FF000000"/>
        <rFont val="Arial"/>
        <family val="2"/>
      </rPr>
      <t xml:space="preserve">  يتم التأكد من الحالة العامة للأنظمة التالية:</t>
    </r>
  </si>
  <si>
    <t>أ. نظام المحرك.</t>
  </si>
  <si>
    <t>ب. نظام ناقل الحركة.</t>
  </si>
  <si>
    <t>جـ. نظام التبريد.</t>
  </si>
  <si>
    <t>د. نظام الفرامل.</t>
  </si>
  <si>
    <t>هـ. نظام التوجيه.</t>
  </si>
  <si>
    <t xml:space="preserve">و. نظام الوقود. </t>
  </si>
  <si>
    <t>ز. مولد الطاقة الرئيس / الإضافي.</t>
  </si>
  <si>
    <t>ح. نظام العادم ونظام الهواء المضغوط.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</si>
  <si>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آلية آر جي (الهاون 120 ملم).</t>
    </r>
    <r>
      <rPr>
        <sz val="12"/>
        <color rgb="FF000000"/>
        <rFont val="Arial"/>
        <family val="2"/>
      </rPr>
      <t xml:space="preserve">  يتم التأكد من الحالة العامة للأنظمة التالية:</t>
    </r>
  </si>
  <si>
    <t xml:space="preserve">أ. نظام أجهزة الرجوع. </t>
  </si>
  <si>
    <t>ب. أجهزة الارتفاع.</t>
  </si>
  <si>
    <t>جـ. نظام الانحراف.</t>
  </si>
  <si>
    <t>د. نظام التعبية.</t>
  </si>
  <si>
    <t>هـ. نظام السيطرة على المعدات وإدارة النيران ولوحة السائق.</t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</si>
  <si>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الأنظمة الكهربائية والإلكترونية</t>
    </r>
    <r>
      <rPr>
        <sz val="12"/>
        <color rgb="FF000000"/>
        <rFont val="Arial"/>
        <family val="2"/>
      </rPr>
      <t>. يتم التأكد من الحالة العامة للآتي:</t>
    </r>
  </si>
  <si>
    <t>أ. البطاريات ونظام الشحن.</t>
  </si>
  <si>
    <t>ب. نظام التشغيل وبدء الحركة.</t>
  </si>
  <si>
    <t>جـ. الإنارة الداخلية والخارجية.</t>
  </si>
  <si>
    <t>د. لوحات العرض.</t>
  </si>
  <si>
    <t>هـ. نظام الملاحة.</t>
  </si>
  <si>
    <t>و. أجهزة التحكم والسيطرة وإدارة المعركة (الحاسب الآلي، أجهزة الاتصال، إلخ...).</t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</si>
  <si>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أنظمة البيئة.</t>
    </r>
    <r>
      <rPr>
        <sz val="12"/>
        <color rgb="FF000000"/>
        <rFont val="Arial"/>
        <family val="2"/>
      </rPr>
      <t xml:space="preserve">  يتم التأكد من الحالة العامة للأنظمة التالية:</t>
    </r>
  </si>
  <si>
    <t>أ. نظام التكييف.</t>
  </si>
  <si>
    <t>ب. نظام إطفاء الحريق.</t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</si>
  <si>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المهمات الإضافية</t>
    </r>
    <r>
      <rPr>
        <sz val="12"/>
        <color rgb="FF000000"/>
        <rFont val="Arial"/>
        <family val="2"/>
      </rPr>
      <t>.</t>
    </r>
  </si>
  <si>
    <t>أ. وجود وصلاحية قطع الغيار الاحتياطية.</t>
  </si>
  <si>
    <t>ب. وجود وصلاحية شباك التمويه وركائز التثبيت.</t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</si>
  <si>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المستوى الفني للطاقم</t>
    </r>
    <r>
      <rPr>
        <sz val="12"/>
        <color rgb="FF000000"/>
        <rFont val="Arial"/>
        <family val="2"/>
      </rPr>
      <t>.</t>
    </r>
  </si>
  <si>
    <t xml:space="preserve">أ. التأكد من اكتمال الطاقم المؤهل (نسبة لعدد الآليات). </t>
  </si>
  <si>
    <t>ب. مدى إلمام الطاقم بواجباته والأجهزة والمعدات.</t>
  </si>
  <si>
    <t>إجمالـي العلامـــــــات</t>
  </si>
  <si>
    <t>….</t>
  </si>
  <si>
    <t xml:space="preserve">النسبـــــة المئويـــــة </t>
  </si>
  <si>
    <t>%</t>
  </si>
  <si>
    <t>التقديـــــر العـــــــام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</si>
</sst>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/>
      <top style="dotted">
        <color indexed="64"/>
      </top>
      <bottom/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thick">
        <color indexed="64"/>
      </bottom>
      <diagonal/>
    </border>
    <border>
      <left/>
      <right/>
      <top style="dotted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5" borderId="17" xfId="0" applyFont="1" applyFill="1" applyBorder="1" applyAlignment="1">
      <alignment horizontal="center" vertical="center" wrapText="1" readingOrder="2"/>
    </xf>
    <xf numFmtId="0" fontId="13" fillId="0" borderId="19" xfId="0" applyFont="1" applyBorder="1" applyAlignment="1">
      <alignment vertical="top" wrapText="1"/>
    </xf>
    <xf numFmtId="0" fontId="12" fillId="0" borderId="19" xfId="0" applyFont="1" applyBorder="1" applyAlignment="1">
      <alignment horizontal="center" vertical="center" wrapText="1" readingOrder="2"/>
    </xf>
    <xf numFmtId="0" fontId="12" fillId="0" borderId="19" xfId="0" applyFont="1" applyBorder="1" applyAlignment="1">
      <alignment horizontal="right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justify" vertical="center" wrapText="1" readingOrder="2"/>
    </xf>
    <xf numFmtId="0" fontId="13" fillId="0" borderId="19" xfId="0" applyFont="1" applyBorder="1" applyAlignment="1">
      <alignment vertical="center" wrapText="1"/>
    </xf>
    <xf numFmtId="0" fontId="2" fillId="6" borderId="19" xfId="0" applyFont="1" applyFill="1" applyBorder="1" applyAlignment="1">
      <alignment horizontal="center" vertical="center" wrapText="1" readingOrder="2"/>
    </xf>
    <xf numFmtId="0" fontId="12" fillId="6" borderId="19" xfId="0" applyFont="1" applyFill="1" applyBorder="1" applyAlignment="1">
      <alignment horizontal="center" vertical="center" wrapText="1" readingOrder="2"/>
    </xf>
    <xf numFmtId="0" fontId="2" fillId="5" borderId="16" xfId="0" applyFont="1" applyFill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12" fillId="0" borderId="18" xfId="0" applyFont="1" applyBorder="1" applyAlignment="1">
      <alignment horizontal="right" vertical="center" wrapText="1" readingOrder="2"/>
    </xf>
    <xf numFmtId="0" fontId="12" fillId="0" borderId="20" xfId="0" applyFont="1" applyBorder="1" applyAlignment="1">
      <alignment horizontal="right" vertical="center" wrapText="1" readingOrder="2"/>
    </xf>
    <xf numFmtId="0" fontId="2" fillId="5" borderId="18" xfId="0" applyFont="1" applyFill="1" applyBorder="1" applyAlignment="1">
      <alignment horizontal="right" vertical="center" wrapText="1" readingOrder="2"/>
    </xf>
    <xf numFmtId="0" fontId="2" fillId="5" borderId="2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4" borderId="29" xfId="0" applyFont="1" applyFill="1" applyBorder="1" applyAlignment="1" applyProtection="1">
      <alignment horizontal="center" vertical="center" wrapText="1" readingOrder="2"/>
      <protection locked="0"/>
    </xf>
    <xf numFmtId="0" fontId="2" fillId="0" borderId="3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top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33" xfId="0" applyFont="1" applyBorder="1" applyAlignment="1">
      <alignment horizontal="center" vertical="center" wrapText="1" readingOrder="2"/>
    </xf>
    <xf numFmtId="0" fontId="2" fillId="0" borderId="34" xfId="0" applyFont="1" applyBorder="1" applyAlignment="1">
      <alignment horizontal="center" vertical="center" wrapText="1" readingOrder="2"/>
    </xf>
    <xf numFmtId="0" fontId="2" fillId="0" borderId="35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8" xfId="0" applyFont="1" applyFill="1" applyBorder="1" applyAlignment="1" applyProtection="1">
      <alignment horizontal="center" vertical="center" wrapText="1" readingOrder="2"/>
      <protection locked="0"/>
    </xf>
    <xf numFmtId="0" fontId="7" fillId="4" borderId="2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9" xfId="0" applyFont="1" applyFill="1" applyBorder="1" applyAlignment="1" applyProtection="1">
      <alignment horizontal="center" vertical="center" wrapText="1" readingOrder="2"/>
      <protection locked="0"/>
    </xf>
    <xf numFmtId="0" fontId="6" fillId="4" borderId="30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3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13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6" borderId="26" xfId="0" applyFont="1" applyFill="1" applyBorder="1" applyAlignment="1">
      <alignment horizontal="center" vertical="center" wrapText="1" readingOrder="2"/>
    </xf>
    <xf numFmtId="0" fontId="12" fillId="6" borderId="27" xfId="0" applyFont="1" applyFill="1" applyBorder="1" applyAlignment="1">
      <alignment horizontal="center" vertical="center" wrapText="1" readingOrder="2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18" xfId="0" applyFont="1" applyBorder="1" applyAlignment="1">
      <alignment horizontal="right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right" vertical="center" wrapText="1" readingOrder="2"/>
    </xf>
    <xf numFmtId="0" fontId="12" fillId="6" borderId="24" xfId="0" applyFont="1" applyFill="1" applyBorder="1" applyAlignment="1">
      <alignment horizontal="center" vertical="center" wrapText="1" readingOrder="2"/>
    </xf>
    <xf numFmtId="0" fontId="12" fillId="6" borderId="2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227136</xdr:colOff>
      <xdr:row>61</xdr:row>
      <xdr:rowOff>117230</xdr:rowOff>
    </xdr:from>
    <xdr:to>
      <xdr:col>8</xdr:col>
      <xdr:colOff>570168</xdr:colOff>
      <xdr:row>61</xdr:row>
      <xdr:rowOff>496439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C188C88-4C74-4649-AC5B-1396FAECD5DB}"/>
                </a:ext>
              </a:extLst>
            </xdr14:cNvPr>
            <xdr14:cNvContentPartPr/>
          </xdr14:nvContentPartPr>
          <xdr14:nvPr macro=""/>
          <xdr14:xfrm>
            <a:off x="9838703543" y="24537865"/>
            <a:ext cx="965821" cy="379209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FD374E-E9A3-7D73-B5F5-D6CEF42E6A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9233518" y="8816040"/>
              <a:ext cx="101448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27:20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2093 1041,'0'0,"0"0,0 0,0 0,0 0,0 0,0 0,0 0,0 0,0 0,0 0,-8 0,-2 0,3 0,2 0,-4 0,-3-3,3 0,-10 3,6 0,6 0,-12-6,5 6,7 0,-22 0,24 0,0 0,-16 0,7 0,-2 0,-2 0,6 0,2 0,-11 0,17 0,-1 0,-16-6,13 6,-2 0,-11 0,17 0,-1 0,-26 0,23-3,-4-1,2 4,-3 0,-4 0,-1 0,2 0,1 0,-5-6,6 6,-3 0,-13 0,17 0,-4 0,-22 0,21 0,-4 0,-7 0,10 0,-2 0,-18 0,17 0,4 0,-23 0,26 0,0 0,-13-6,7 6,-1 0,-7 0,15-4,0 1,-16 3,13 0,4 0,1-6,7 6,1 0,4-5,0 4,9-6,19-3,-5 1,37-16,-18 12,-5 2,62-21,-38 15,-12 3,80-18,-52 8,-12 4,83-30,-73 30,-11 3,78-27,-68 23,-9 4,53-14,-62 14,-13 3,39-12,-45 16,-4 2,15-5,-32 10,-2 0,-3 3,-6 0,0 0,-15 0,-1 3,2 0,-42 10,18-4,8 0,-65 23,25-15,9-3,-53 24,40-12,8-2,-78 20,65-17,10-4,-48 27,59-30,7-2,-25 13,39-20,4-3,-11 11,25-13,-2 0,-14 0,16-3,40-18,-13 12,4 0,31-22,-15 11,-5 3,62-8,-44-2,-4 4,70-33,-57 27,-1 2,66-29,-51 26,-9 4,11-11,-35 18,-3 1,6-13,-15 18,-9 0,6 1,-16 6,0 0,-15 0,-18 8,5-2,-46 12,27-4,5-3,-84 20,52-11,8-2,-86 33,65-18,12-4,-90 27,77-25,9-5,-77 24,82-27,9-2,-31 17,54-25,5-1,-29 6,40-14,3-2,-12-2,25 0,0 0,15-6,11-10,-1 1,29-16,-12 7,-4 4,48-18,-35 9,-5 2,71-30,-42 20,-10 5,67-37,-67 42,-9 4,58-14,-76 23,-5 3,20-9,-24 14,-5 0,8-6,-15 12,-3 0,-9 6,-5-3,1 0,-47 15,30-3,2-4,-41 21,23-12,4-3,-46 27,31-14,7-4,-60 31,65-34,3-2,-18 10,38-21,-2-1,-5 3,10-5,40-26,8-1,-7 2,48-38,-32 25,-3 5,44-49,-34 31,-8 7,53-51,-38 44,-10 6,27-50,-45 41,-5 7,2-17,-25 30,-1 4,-22-14,-15 20,5 2,-71-10,34 15,10 1,-64 9,27 7,12-1,-98 6,76 5,13-2,-98 23,99-15,16-3,-79 30,77-19,9-5,-55 30,51-18,11-7,-43 32,62-26,7-5,1 31,23-33,-2-4,40 31,3-34,-5-3,29 24,16-20,-15-4,101 12,-45-25,-19-2,116-11,-81-1,-21 1,90-13,-97 2,-14 3,82-23,-25 2,-21 7,105-29,-148 33,7-2,-88 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2"/>
  <sheetViews>
    <sheetView rightToLeft="1" tabSelected="1" view="pageBreakPreview" topLeftCell="B55" zoomScale="130" zoomScaleNormal="100" zoomScaleSheetLayoutView="130" workbookViewId="0">
      <selection activeCell="B61" sqref="B61:D62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9" t="s">
        <v>180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25">
      <c r="B2" s="14" t="s">
        <v>8</v>
      </c>
      <c r="C2" s="75" t="s">
        <v>11</v>
      </c>
      <c r="D2" s="75"/>
      <c r="E2" s="14" t="s">
        <v>7</v>
      </c>
      <c r="F2" s="70">
        <v>45930</v>
      </c>
      <c r="G2" s="70"/>
      <c r="H2" s="70"/>
      <c r="I2" s="70"/>
      <c r="J2" s="70"/>
    </row>
    <row r="3" spans="1:10" ht="30" customHeight="1" x14ac:dyDescent="0.25">
      <c r="B3" s="14" t="s">
        <v>9</v>
      </c>
      <c r="C3" s="75" t="s">
        <v>69</v>
      </c>
      <c r="D3" s="75"/>
      <c r="E3" s="14" t="s">
        <v>6</v>
      </c>
      <c r="F3" s="75" t="s">
        <v>134</v>
      </c>
      <c r="G3" s="75"/>
      <c r="H3" s="75"/>
      <c r="I3" s="75"/>
      <c r="J3" s="75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2"/>
      <c r="B5" s="71" t="s">
        <v>0</v>
      </c>
      <c r="C5" s="72"/>
      <c r="D5" s="72"/>
      <c r="E5" s="80" t="s">
        <v>1</v>
      </c>
      <c r="F5" s="80"/>
      <c r="G5" s="80"/>
      <c r="H5" s="80"/>
      <c r="I5" s="80" t="s">
        <v>2</v>
      </c>
      <c r="J5" s="83"/>
    </row>
    <row r="6" spans="1:10" ht="24.95" customHeight="1" thickBot="1" x14ac:dyDescent="0.3">
      <c r="A6" s="12"/>
      <c r="B6" s="73"/>
      <c r="C6" s="74"/>
      <c r="D6" s="74"/>
      <c r="E6" s="13" t="s">
        <v>3</v>
      </c>
      <c r="F6" s="13" t="s">
        <v>4</v>
      </c>
      <c r="G6" s="13" t="s">
        <v>23</v>
      </c>
      <c r="H6" s="13" t="s">
        <v>24</v>
      </c>
      <c r="I6" s="84"/>
      <c r="J6" s="85"/>
    </row>
    <row r="7" spans="1:10" ht="24.95" customHeight="1" thickBot="1" x14ac:dyDescent="0.3">
      <c r="A7" s="12"/>
      <c r="B7" s="78" t="s">
        <v>21</v>
      </c>
      <c r="C7" s="79"/>
      <c r="D7" s="79"/>
      <c r="E7" s="50" t="s">
        <v>18</v>
      </c>
      <c r="F7" s="50" t="s">
        <v>19</v>
      </c>
      <c r="G7" s="50" t="s">
        <v>22</v>
      </c>
      <c r="H7" s="50" t="s">
        <v>20</v>
      </c>
      <c r="I7" s="86" t="s">
        <v>25</v>
      </c>
      <c r="J7" s="87"/>
    </row>
    <row r="8" spans="1:10" ht="30" customHeight="1" x14ac:dyDescent="0.25">
      <c r="A8" s="12"/>
      <c r="B8" s="102" t="s">
        <v>181</v>
      </c>
      <c r="C8" s="103"/>
      <c r="D8" s="103"/>
      <c r="E8" s="54"/>
      <c r="F8" s="55"/>
      <c r="G8" s="56"/>
      <c r="H8" s="57"/>
      <c r="I8" s="81"/>
      <c r="J8" s="82"/>
    </row>
    <row r="9" spans="1:10" ht="30" customHeight="1" x14ac:dyDescent="0.25">
      <c r="A9" s="12"/>
      <c r="B9" s="104" t="s">
        <v>182</v>
      </c>
      <c r="C9" s="105"/>
      <c r="D9" s="105"/>
      <c r="E9" s="11">
        <v>5</v>
      </c>
      <c r="F9" s="28">
        <v>3.5</v>
      </c>
      <c r="G9" s="52">
        <f>IFERROR(F9/E9,"")</f>
        <v>0.7</v>
      </c>
      <c r="H9" s="5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7"/>
      <c r="J9" s="68"/>
    </row>
    <row r="10" spans="1:10" ht="39.950000000000003" customHeight="1" x14ac:dyDescent="0.25">
      <c r="A10" s="12"/>
      <c r="B10" s="104" t="s">
        <v>183</v>
      </c>
      <c r="C10" s="105"/>
      <c r="D10" s="105"/>
      <c r="E10" s="11">
        <v>5</v>
      </c>
      <c r="F10" s="28">
        <v>3.5</v>
      </c>
      <c r="G10" s="52">
        <f t="shared" ref="G10:G57" si="0">IFERROR(F10/E10,"")</f>
        <v>0.7</v>
      </c>
      <c r="H10" s="53" t="str">
        <f t="shared" ref="H10:H57" si="1">_xlfn.IFS(F10="أدخل العلامة","",F10="لا ينطبق","تم الإلغاء",G10&gt;=90%,"ممتاز",G10&gt;=80%,"جيد جداً",G10&gt;=70%,"جيد",G10&gt;=60%,"مقبول",G10&lt;60%,"راسب")</f>
        <v>جيد</v>
      </c>
      <c r="I10" s="67"/>
      <c r="J10" s="68"/>
    </row>
    <row r="11" spans="1:10" ht="30" customHeight="1" x14ac:dyDescent="0.25">
      <c r="A11" s="12"/>
      <c r="B11" s="104" t="s">
        <v>184</v>
      </c>
      <c r="C11" s="105"/>
      <c r="D11" s="105"/>
      <c r="E11" s="11">
        <v>5</v>
      </c>
      <c r="F11" s="28">
        <v>3.5</v>
      </c>
      <c r="G11" s="52">
        <f t="shared" si="0"/>
        <v>0.7</v>
      </c>
      <c r="H11" s="53" t="str">
        <f t="shared" si="1"/>
        <v>جيد</v>
      </c>
      <c r="I11" s="67"/>
      <c r="J11" s="68"/>
    </row>
    <row r="12" spans="1:10" ht="30" customHeight="1" x14ac:dyDescent="0.25">
      <c r="A12" s="12"/>
      <c r="B12" s="104" t="s">
        <v>185</v>
      </c>
      <c r="C12" s="105"/>
      <c r="D12" s="105"/>
      <c r="E12" s="11">
        <v>5</v>
      </c>
      <c r="F12" s="28">
        <v>3.5</v>
      </c>
      <c r="G12" s="52">
        <f t="shared" si="0"/>
        <v>0.7</v>
      </c>
      <c r="H12" s="53" t="str">
        <f t="shared" si="1"/>
        <v>جيد</v>
      </c>
      <c r="I12" s="67"/>
      <c r="J12" s="68"/>
    </row>
    <row r="13" spans="1:10" ht="30" customHeight="1" x14ac:dyDescent="0.25">
      <c r="A13" s="12"/>
      <c r="B13" s="104" t="s">
        <v>186</v>
      </c>
      <c r="C13" s="105"/>
      <c r="D13" s="105"/>
      <c r="E13" s="11">
        <v>5</v>
      </c>
      <c r="F13" s="28">
        <v>3.5</v>
      </c>
      <c r="G13" s="52">
        <f t="shared" si="0"/>
        <v>0.7</v>
      </c>
      <c r="H13" s="53" t="str">
        <f t="shared" si="1"/>
        <v>جيد</v>
      </c>
      <c r="I13" s="67"/>
      <c r="J13" s="68"/>
    </row>
    <row r="14" spans="1:10" ht="47.25" customHeight="1" x14ac:dyDescent="0.25">
      <c r="A14" s="12"/>
      <c r="B14" s="104" t="s">
        <v>187</v>
      </c>
      <c r="C14" s="105"/>
      <c r="D14" s="105"/>
      <c r="E14" s="11">
        <v>5</v>
      </c>
      <c r="F14" s="28">
        <v>3.5</v>
      </c>
      <c r="G14" s="52">
        <f t="shared" si="0"/>
        <v>0.7</v>
      </c>
      <c r="H14" s="53" t="str">
        <f t="shared" si="1"/>
        <v>جيد</v>
      </c>
      <c r="I14" s="67"/>
      <c r="J14" s="68"/>
    </row>
    <row r="15" spans="1:10" ht="30" customHeight="1" thickBot="1" x14ac:dyDescent="0.3">
      <c r="A15" s="12"/>
      <c r="B15" s="106" t="s">
        <v>188</v>
      </c>
      <c r="C15" s="107"/>
      <c r="D15" s="107"/>
      <c r="E15" s="58">
        <v>5</v>
      </c>
      <c r="F15" s="30">
        <v>3.5</v>
      </c>
      <c r="G15" s="59">
        <f t="shared" si="0"/>
        <v>0.7</v>
      </c>
      <c r="H15" s="60" t="str">
        <f t="shared" si="1"/>
        <v>جيد</v>
      </c>
      <c r="I15" s="88"/>
      <c r="J15" s="89"/>
    </row>
    <row r="16" spans="1:10" ht="30" customHeight="1" x14ac:dyDescent="0.25">
      <c r="A16" s="12"/>
      <c r="B16" s="102" t="s">
        <v>189</v>
      </c>
      <c r="C16" s="103"/>
      <c r="D16" s="103"/>
      <c r="E16" s="54"/>
      <c r="F16" s="55"/>
      <c r="G16" s="56"/>
      <c r="H16" s="57"/>
      <c r="I16" s="81"/>
      <c r="J16" s="82"/>
    </row>
    <row r="17" spans="1:10" ht="39.950000000000003" customHeight="1" x14ac:dyDescent="0.25">
      <c r="A17" s="12"/>
      <c r="B17" s="104" t="s">
        <v>190</v>
      </c>
      <c r="C17" s="105"/>
      <c r="D17" s="105"/>
      <c r="E17" s="11">
        <v>5</v>
      </c>
      <c r="F17" s="28">
        <v>3.5</v>
      </c>
      <c r="G17" s="52">
        <f t="shared" si="0"/>
        <v>0.7</v>
      </c>
      <c r="H17" s="53" t="str">
        <f t="shared" si="1"/>
        <v>جيد</v>
      </c>
      <c r="I17" s="67"/>
      <c r="J17" s="68"/>
    </row>
    <row r="18" spans="1:10" ht="30" customHeight="1" x14ac:dyDescent="0.25">
      <c r="A18" s="12"/>
      <c r="B18" s="104" t="s">
        <v>191</v>
      </c>
      <c r="C18" s="105"/>
      <c r="D18" s="105"/>
      <c r="E18" s="11">
        <v>5</v>
      </c>
      <c r="F18" s="28">
        <v>3.5</v>
      </c>
      <c r="G18" s="52">
        <f t="shared" si="0"/>
        <v>0.7</v>
      </c>
      <c r="H18" s="53" t="str">
        <f t="shared" si="1"/>
        <v>جيد</v>
      </c>
      <c r="I18" s="67"/>
      <c r="J18" s="68"/>
    </row>
    <row r="19" spans="1:10" ht="30" customHeight="1" x14ac:dyDescent="0.25">
      <c r="A19" s="12"/>
      <c r="B19" s="104" t="s">
        <v>192</v>
      </c>
      <c r="C19" s="105"/>
      <c r="D19" s="105"/>
      <c r="E19" s="11">
        <v>5</v>
      </c>
      <c r="F19" s="28">
        <v>3.5</v>
      </c>
      <c r="G19" s="52">
        <f t="shared" si="0"/>
        <v>0.7</v>
      </c>
      <c r="H19" s="53" t="str">
        <f t="shared" si="1"/>
        <v>جيد</v>
      </c>
      <c r="I19" s="67"/>
      <c r="J19" s="68"/>
    </row>
    <row r="20" spans="1:10" ht="30" customHeight="1" x14ac:dyDescent="0.25">
      <c r="A20" s="12"/>
      <c r="B20" s="104" t="s">
        <v>193</v>
      </c>
      <c r="C20" s="105"/>
      <c r="D20" s="105"/>
      <c r="E20" s="11">
        <v>5</v>
      </c>
      <c r="F20" s="28">
        <v>3.5</v>
      </c>
      <c r="G20" s="52">
        <f t="shared" si="0"/>
        <v>0.7</v>
      </c>
      <c r="H20" s="53" t="str">
        <f t="shared" si="1"/>
        <v>جيد</v>
      </c>
      <c r="I20" s="67"/>
      <c r="J20" s="68"/>
    </row>
    <row r="21" spans="1:10" ht="30" customHeight="1" thickBot="1" x14ac:dyDescent="0.3">
      <c r="A21" s="12"/>
      <c r="B21" s="106" t="s">
        <v>194</v>
      </c>
      <c r="C21" s="107"/>
      <c r="D21" s="107"/>
      <c r="E21" s="58">
        <v>5</v>
      </c>
      <c r="F21" s="30">
        <v>3.5</v>
      </c>
      <c r="G21" s="59">
        <f t="shared" si="0"/>
        <v>0.7</v>
      </c>
      <c r="H21" s="60" t="str">
        <f t="shared" si="1"/>
        <v>جيد</v>
      </c>
      <c r="I21" s="88"/>
      <c r="J21" s="89"/>
    </row>
    <row r="22" spans="1:10" ht="30" customHeight="1" x14ac:dyDescent="0.25">
      <c r="A22" s="12"/>
      <c r="B22" s="102" t="s">
        <v>195</v>
      </c>
      <c r="C22" s="103"/>
      <c r="D22" s="103"/>
      <c r="E22" s="62"/>
      <c r="F22" s="55"/>
      <c r="G22" s="56"/>
      <c r="H22" s="57"/>
      <c r="I22" s="81"/>
      <c r="J22" s="82"/>
    </row>
    <row r="23" spans="1:10" ht="54.75" customHeight="1" x14ac:dyDescent="0.25">
      <c r="A23" s="12"/>
      <c r="B23" s="104" t="s">
        <v>196</v>
      </c>
      <c r="C23" s="105"/>
      <c r="D23" s="105"/>
      <c r="E23" s="11">
        <v>10</v>
      </c>
      <c r="F23" s="28">
        <v>7</v>
      </c>
      <c r="G23" s="52">
        <f t="shared" si="0"/>
        <v>0.7</v>
      </c>
      <c r="H23" s="53" t="str">
        <f t="shared" si="1"/>
        <v>جيد</v>
      </c>
      <c r="I23" s="67"/>
      <c r="J23" s="68"/>
    </row>
    <row r="24" spans="1:10" ht="30" customHeight="1" x14ac:dyDescent="0.25">
      <c r="A24" s="12"/>
      <c r="B24" s="104" t="s">
        <v>197</v>
      </c>
      <c r="C24" s="105"/>
      <c r="D24" s="105"/>
      <c r="E24" s="11">
        <v>5</v>
      </c>
      <c r="F24" s="28">
        <v>3.5</v>
      </c>
      <c r="G24" s="52">
        <f t="shared" si="0"/>
        <v>0.7</v>
      </c>
      <c r="H24" s="53" t="str">
        <f t="shared" si="1"/>
        <v>جيد</v>
      </c>
      <c r="I24" s="67"/>
      <c r="J24" s="68"/>
    </row>
    <row r="25" spans="1:10" ht="30" customHeight="1" x14ac:dyDescent="0.25">
      <c r="A25" s="12"/>
      <c r="B25" s="104" t="s">
        <v>198</v>
      </c>
      <c r="C25" s="105"/>
      <c r="D25" s="105"/>
      <c r="E25" s="11">
        <v>5</v>
      </c>
      <c r="F25" s="28">
        <v>3.5</v>
      </c>
      <c r="G25" s="52">
        <f t="shared" si="0"/>
        <v>0.7</v>
      </c>
      <c r="H25" s="53" t="str">
        <f t="shared" si="1"/>
        <v>جيد</v>
      </c>
      <c r="I25" s="67"/>
      <c r="J25" s="68"/>
    </row>
    <row r="26" spans="1:10" ht="30" customHeight="1" thickBot="1" x14ac:dyDescent="0.3">
      <c r="A26" s="12"/>
      <c r="B26" s="106" t="s">
        <v>199</v>
      </c>
      <c r="C26" s="107"/>
      <c r="D26" s="107"/>
      <c r="E26" s="58">
        <v>5</v>
      </c>
      <c r="F26" s="30">
        <v>3.5</v>
      </c>
      <c r="G26" s="59">
        <f t="shared" si="0"/>
        <v>0.7</v>
      </c>
      <c r="H26" s="60" t="str">
        <f t="shared" si="1"/>
        <v>جيد</v>
      </c>
      <c r="I26" s="88"/>
      <c r="J26" s="89"/>
    </row>
    <row r="27" spans="1:10" ht="30" customHeight="1" x14ac:dyDescent="0.25">
      <c r="A27" s="12"/>
      <c r="B27" s="108" t="s">
        <v>200</v>
      </c>
      <c r="C27" s="109"/>
      <c r="D27" s="109"/>
      <c r="E27" s="62"/>
      <c r="F27" s="55"/>
      <c r="G27" s="56"/>
      <c r="H27" s="57"/>
      <c r="I27" s="81"/>
      <c r="J27" s="82"/>
    </row>
    <row r="28" spans="1:10" ht="30" customHeight="1" x14ac:dyDescent="0.25">
      <c r="A28" s="12"/>
      <c r="B28" s="104" t="s">
        <v>201</v>
      </c>
      <c r="C28" s="105"/>
      <c r="D28" s="105"/>
      <c r="E28" s="11">
        <v>5</v>
      </c>
      <c r="F28" s="28">
        <v>3.5</v>
      </c>
      <c r="G28" s="52">
        <f t="shared" si="0"/>
        <v>0.7</v>
      </c>
      <c r="H28" s="53" t="str">
        <f t="shared" si="1"/>
        <v>جيد</v>
      </c>
      <c r="I28" s="67"/>
      <c r="J28" s="68"/>
    </row>
    <row r="29" spans="1:10" ht="30" customHeight="1" x14ac:dyDescent="0.25">
      <c r="A29" s="12"/>
      <c r="B29" s="104" t="s">
        <v>202</v>
      </c>
      <c r="C29" s="105"/>
      <c r="D29" s="105"/>
      <c r="E29" s="11">
        <v>5</v>
      </c>
      <c r="F29" s="28">
        <v>3.5</v>
      </c>
      <c r="G29" s="52">
        <f t="shared" si="0"/>
        <v>0.7</v>
      </c>
      <c r="H29" s="53" t="str">
        <f t="shared" si="1"/>
        <v>جيد</v>
      </c>
      <c r="I29" s="67"/>
      <c r="J29" s="68"/>
    </row>
    <row r="30" spans="1:10" ht="30" customHeight="1" x14ac:dyDescent="0.25">
      <c r="A30" s="12"/>
      <c r="B30" s="104" t="s">
        <v>203</v>
      </c>
      <c r="C30" s="105"/>
      <c r="D30" s="105"/>
      <c r="E30" s="11">
        <v>5</v>
      </c>
      <c r="F30" s="28">
        <v>3.5</v>
      </c>
      <c r="G30" s="52">
        <f t="shared" si="0"/>
        <v>0.7</v>
      </c>
      <c r="H30" s="53" t="str">
        <f t="shared" si="1"/>
        <v>جيد</v>
      </c>
      <c r="I30" s="67"/>
      <c r="J30" s="68"/>
    </row>
    <row r="31" spans="1:10" ht="30" customHeight="1" x14ac:dyDescent="0.25">
      <c r="A31" s="12"/>
      <c r="B31" s="104" t="s">
        <v>204</v>
      </c>
      <c r="C31" s="105"/>
      <c r="D31" s="105"/>
      <c r="E31" s="11">
        <v>5</v>
      </c>
      <c r="F31" s="28">
        <v>3.5</v>
      </c>
      <c r="G31" s="52">
        <f t="shared" si="0"/>
        <v>0.7</v>
      </c>
      <c r="H31" s="53" t="str">
        <f t="shared" si="1"/>
        <v>جيد</v>
      </c>
      <c r="I31" s="67"/>
      <c r="J31" s="68"/>
    </row>
    <row r="32" spans="1:10" ht="30" customHeight="1" x14ac:dyDescent="0.25">
      <c r="A32" s="12"/>
      <c r="B32" s="104" t="s">
        <v>205</v>
      </c>
      <c r="C32" s="105"/>
      <c r="D32" s="105"/>
      <c r="E32" s="11">
        <v>5</v>
      </c>
      <c r="F32" s="28">
        <v>3.5</v>
      </c>
      <c r="G32" s="52">
        <f t="shared" si="0"/>
        <v>0.7</v>
      </c>
      <c r="H32" s="53" t="str">
        <f t="shared" si="1"/>
        <v>جيد</v>
      </c>
      <c r="I32" s="67"/>
      <c r="J32" s="68"/>
    </row>
    <row r="33" spans="1:10" ht="30" customHeight="1" x14ac:dyDescent="0.25">
      <c r="A33" s="12"/>
      <c r="B33" s="104" t="s">
        <v>206</v>
      </c>
      <c r="C33" s="105"/>
      <c r="D33" s="105"/>
      <c r="E33" s="11">
        <v>5</v>
      </c>
      <c r="F33" s="28">
        <v>3.5</v>
      </c>
      <c r="G33" s="52">
        <f t="shared" si="0"/>
        <v>0.7</v>
      </c>
      <c r="H33" s="53" t="str">
        <f t="shared" si="1"/>
        <v>جيد</v>
      </c>
      <c r="I33" s="67"/>
      <c r="J33" s="68"/>
    </row>
    <row r="34" spans="1:10" ht="30" customHeight="1" x14ac:dyDescent="0.25">
      <c r="A34" s="12"/>
      <c r="B34" s="104" t="s">
        <v>207</v>
      </c>
      <c r="C34" s="105"/>
      <c r="D34" s="105"/>
      <c r="E34" s="11">
        <v>5</v>
      </c>
      <c r="F34" s="28">
        <v>3.5</v>
      </c>
      <c r="G34" s="52">
        <f t="shared" si="0"/>
        <v>0.7</v>
      </c>
      <c r="H34" s="53" t="str">
        <f t="shared" si="1"/>
        <v>جيد</v>
      </c>
      <c r="I34" s="67"/>
      <c r="J34" s="68"/>
    </row>
    <row r="35" spans="1:10" ht="30" customHeight="1" thickBot="1" x14ac:dyDescent="0.3">
      <c r="A35" s="12"/>
      <c r="B35" s="106" t="s">
        <v>208</v>
      </c>
      <c r="C35" s="107"/>
      <c r="D35" s="107"/>
      <c r="E35" s="58">
        <v>5</v>
      </c>
      <c r="F35" s="30">
        <v>3.5</v>
      </c>
      <c r="G35" s="59">
        <f t="shared" si="0"/>
        <v>0.7</v>
      </c>
      <c r="H35" s="60" t="str">
        <f t="shared" si="1"/>
        <v>جيد</v>
      </c>
      <c r="I35" s="88"/>
      <c r="J35" s="89"/>
    </row>
    <row r="36" spans="1:10" ht="39.950000000000003" customHeight="1" x14ac:dyDescent="0.25">
      <c r="A36" s="12"/>
      <c r="B36" s="108" t="s">
        <v>209</v>
      </c>
      <c r="C36" s="109"/>
      <c r="D36" s="109"/>
      <c r="E36" s="62"/>
      <c r="F36" s="55"/>
      <c r="G36" s="56"/>
      <c r="H36" s="57"/>
      <c r="I36" s="81"/>
      <c r="J36" s="82"/>
    </row>
    <row r="37" spans="1:10" ht="30" customHeight="1" x14ac:dyDescent="0.25">
      <c r="A37" s="12"/>
      <c r="B37" s="104" t="s">
        <v>210</v>
      </c>
      <c r="C37" s="105"/>
      <c r="D37" s="105"/>
      <c r="E37" s="11">
        <v>5</v>
      </c>
      <c r="F37" s="28">
        <v>3.5</v>
      </c>
      <c r="G37" s="52">
        <f t="shared" si="0"/>
        <v>0.7</v>
      </c>
      <c r="H37" s="53" t="str">
        <f t="shared" si="1"/>
        <v>جيد</v>
      </c>
      <c r="I37" s="67"/>
      <c r="J37" s="68"/>
    </row>
    <row r="38" spans="1:10" ht="30" customHeight="1" x14ac:dyDescent="0.25">
      <c r="A38" s="12"/>
      <c r="B38" s="104" t="s">
        <v>211</v>
      </c>
      <c r="C38" s="105"/>
      <c r="D38" s="105"/>
      <c r="E38" s="11">
        <v>5</v>
      </c>
      <c r="F38" s="28">
        <v>3.5</v>
      </c>
      <c r="G38" s="52">
        <f t="shared" si="0"/>
        <v>0.7</v>
      </c>
      <c r="H38" s="53" t="str">
        <f t="shared" si="1"/>
        <v>جيد</v>
      </c>
      <c r="I38" s="67"/>
      <c r="J38" s="68"/>
    </row>
    <row r="39" spans="1:10" ht="30" customHeight="1" x14ac:dyDescent="0.25">
      <c r="A39" s="12"/>
      <c r="B39" s="104" t="s">
        <v>212</v>
      </c>
      <c r="C39" s="105"/>
      <c r="D39" s="105"/>
      <c r="E39" s="11">
        <v>5</v>
      </c>
      <c r="F39" s="28">
        <v>3.5</v>
      </c>
      <c r="G39" s="52">
        <f t="shared" si="0"/>
        <v>0.7</v>
      </c>
      <c r="H39" s="53" t="str">
        <f t="shared" si="1"/>
        <v>جيد</v>
      </c>
      <c r="I39" s="67"/>
      <c r="J39" s="68"/>
    </row>
    <row r="40" spans="1:10" ht="30" customHeight="1" x14ac:dyDescent="0.25">
      <c r="A40" s="12"/>
      <c r="B40" s="104" t="s">
        <v>213</v>
      </c>
      <c r="C40" s="105"/>
      <c r="D40" s="105"/>
      <c r="E40" s="11">
        <v>5</v>
      </c>
      <c r="F40" s="28">
        <v>3.5</v>
      </c>
      <c r="G40" s="52">
        <f t="shared" si="0"/>
        <v>0.7</v>
      </c>
      <c r="H40" s="53" t="str">
        <f t="shared" si="1"/>
        <v>جيد</v>
      </c>
      <c r="I40" s="67"/>
      <c r="J40" s="68"/>
    </row>
    <row r="41" spans="1:10" ht="30" customHeight="1" thickBot="1" x14ac:dyDescent="0.3">
      <c r="A41" s="12"/>
      <c r="B41" s="106" t="s">
        <v>214</v>
      </c>
      <c r="C41" s="107"/>
      <c r="D41" s="107"/>
      <c r="E41" s="58">
        <v>5</v>
      </c>
      <c r="F41" s="30">
        <v>3.5</v>
      </c>
      <c r="G41" s="59">
        <f t="shared" si="0"/>
        <v>0.7</v>
      </c>
      <c r="H41" s="60" t="str">
        <f t="shared" si="1"/>
        <v>جيد</v>
      </c>
      <c r="I41" s="88"/>
      <c r="J41" s="89"/>
    </row>
    <row r="42" spans="1:10" ht="30" customHeight="1" x14ac:dyDescent="0.25">
      <c r="A42" s="12"/>
      <c r="B42" s="108" t="s">
        <v>215</v>
      </c>
      <c r="C42" s="109"/>
      <c r="D42" s="109"/>
      <c r="E42" s="62"/>
      <c r="F42" s="55"/>
      <c r="G42" s="56"/>
      <c r="H42" s="57"/>
      <c r="I42" s="81"/>
      <c r="J42" s="82"/>
    </row>
    <row r="43" spans="1:10" ht="30" customHeight="1" x14ac:dyDescent="0.25">
      <c r="A43" s="12"/>
      <c r="B43" s="104" t="s">
        <v>216</v>
      </c>
      <c r="C43" s="105"/>
      <c r="D43" s="105"/>
      <c r="E43" s="11">
        <v>5</v>
      </c>
      <c r="F43" s="28">
        <v>3.5</v>
      </c>
      <c r="G43" s="52">
        <f t="shared" si="0"/>
        <v>0.7</v>
      </c>
      <c r="H43" s="53" t="str">
        <f t="shared" si="1"/>
        <v>جيد</v>
      </c>
      <c r="I43" s="67"/>
      <c r="J43" s="68"/>
    </row>
    <row r="44" spans="1:10" ht="30" customHeight="1" x14ac:dyDescent="0.25">
      <c r="A44" s="12"/>
      <c r="B44" s="104" t="s">
        <v>217</v>
      </c>
      <c r="C44" s="105"/>
      <c r="D44" s="105"/>
      <c r="E44" s="11">
        <v>5</v>
      </c>
      <c r="F44" s="28">
        <v>3.75</v>
      </c>
      <c r="G44" s="52">
        <f t="shared" si="0"/>
        <v>0.75</v>
      </c>
      <c r="H44" s="53" t="str">
        <f t="shared" si="1"/>
        <v>جيد</v>
      </c>
      <c r="I44" s="67"/>
      <c r="J44" s="68"/>
    </row>
    <row r="45" spans="1:10" ht="30" customHeight="1" x14ac:dyDescent="0.25">
      <c r="A45" s="12"/>
      <c r="B45" s="104" t="s">
        <v>218</v>
      </c>
      <c r="C45" s="105"/>
      <c r="D45" s="105"/>
      <c r="E45" s="11">
        <v>5</v>
      </c>
      <c r="F45" s="28">
        <v>3.75</v>
      </c>
      <c r="G45" s="52">
        <f t="shared" si="0"/>
        <v>0.75</v>
      </c>
      <c r="H45" s="53" t="str">
        <f t="shared" si="1"/>
        <v>جيد</v>
      </c>
      <c r="I45" s="67"/>
      <c r="J45" s="68"/>
    </row>
    <row r="46" spans="1:10" ht="30" customHeight="1" x14ac:dyDescent="0.25">
      <c r="A46" s="12"/>
      <c r="B46" s="104" t="s">
        <v>219</v>
      </c>
      <c r="C46" s="105"/>
      <c r="D46" s="105"/>
      <c r="E46" s="11">
        <v>5</v>
      </c>
      <c r="F46" s="28">
        <v>3.75</v>
      </c>
      <c r="G46" s="52">
        <f t="shared" si="0"/>
        <v>0.75</v>
      </c>
      <c r="H46" s="53" t="str">
        <f t="shared" si="1"/>
        <v>جيد</v>
      </c>
      <c r="I46" s="67"/>
      <c r="J46" s="68"/>
    </row>
    <row r="47" spans="1:10" ht="30" customHeight="1" x14ac:dyDescent="0.25">
      <c r="A47" s="12"/>
      <c r="B47" s="104" t="s">
        <v>220</v>
      </c>
      <c r="C47" s="105"/>
      <c r="D47" s="105"/>
      <c r="E47" s="11">
        <v>5</v>
      </c>
      <c r="F47" s="28">
        <v>3.75</v>
      </c>
      <c r="G47" s="52">
        <f t="shared" si="0"/>
        <v>0.75</v>
      </c>
      <c r="H47" s="53" t="str">
        <f t="shared" si="1"/>
        <v>جيد</v>
      </c>
      <c r="I47" s="67"/>
      <c r="J47" s="68"/>
    </row>
    <row r="48" spans="1:10" ht="39.950000000000003" customHeight="1" thickBot="1" x14ac:dyDescent="0.3">
      <c r="A48" s="12"/>
      <c r="B48" s="106" t="s">
        <v>221</v>
      </c>
      <c r="C48" s="107"/>
      <c r="D48" s="107"/>
      <c r="E48" s="58">
        <v>10</v>
      </c>
      <c r="F48" s="30">
        <v>7</v>
      </c>
      <c r="G48" s="59">
        <f t="shared" si="0"/>
        <v>0.7</v>
      </c>
      <c r="H48" s="60" t="str">
        <f t="shared" si="1"/>
        <v>جيد</v>
      </c>
      <c r="I48" s="88"/>
      <c r="J48" s="89"/>
    </row>
    <row r="49" spans="1:10" ht="30" customHeight="1" x14ac:dyDescent="0.25">
      <c r="A49" s="12"/>
      <c r="B49" s="108" t="s">
        <v>222</v>
      </c>
      <c r="C49" s="109"/>
      <c r="D49" s="109"/>
      <c r="E49" s="62"/>
      <c r="F49" s="55"/>
      <c r="G49" s="56"/>
      <c r="H49" s="57"/>
      <c r="I49" s="81"/>
      <c r="J49" s="82"/>
    </row>
    <row r="50" spans="1:10" ht="30" customHeight="1" x14ac:dyDescent="0.25">
      <c r="A50" s="12"/>
      <c r="B50" s="104" t="s">
        <v>223</v>
      </c>
      <c r="C50" s="105"/>
      <c r="D50" s="105"/>
      <c r="E50" s="11">
        <v>5</v>
      </c>
      <c r="F50" s="28">
        <v>3.5</v>
      </c>
      <c r="G50" s="52">
        <f t="shared" si="0"/>
        <v>0.7</v>
      </c>
      <c r="H50" s="53" t="str">
        <f t="shared" si="1"/>
        <v>جيد</v>
      </c>
      <c r="I50" s="67"/>
      <c r="J50" s="68"/>
    </row>
    <row r="51" spans="1:10" ht="30" customHeight="1" thickBot="1" x14ac:dyDescent="0.3">
      <c r="A51" s="12"/>
      <c r="B51" s="106" t="s">
        <v>224</v>
      </c>
      <c r="C51" s="107"/>
      <c r="D51" s="107"/>
      <c r="E51" s="58">
        <v>5</v>
      </c>
      <c r="F51" s="30">
        <v>3.5</v>
      </c>
      <c r="G51" s="59">
        <f t="shared" si="0"/>
        <v>0.7</v>
      </c>
      <c r="H51" s="60" t="str">
        <f t="shared" si="1"/>
        <v>جيد</v>
      </c>
      <c r="I51" s="88"/>
      <c r="J51" s="89"/>
    </row>
    <row r="52" spans="1:10" ht="30" customHeight="1" x14ac:dyDescent="0.25">
      <c r="A52" s="12"/>
      <c r="B52" s="108" t="s">
        <v>225</v>
      </c>
      <c r="C52" s="109"/>
      <c r="D52" s="109"/>
      <c r="E52" s="62"/>
      <c r="F52" s="55"/>
      <c r="G52" s="56"/>
      <c r="H52" s="57"/>
      <c r="I52" s="81"/>
      <c r="J52" s="82"/>
    </row>
    <row r="53" spans="1:10" ht="30" customHeight="1" x14ac:dyDescent="0.25">
      <c r="A53" s="12"/>
      <c r="B53" s="104" t="s">
        <v>226</v>
      </c>
      <c r="C53" s="105"/>
      <c r="D53" s="105"/>
      <c r="E53" s="11">
        <v>5</v>
      </c>
      <c r="F53" s="28">
        <v>3.5</v>
      </c>
      <c r="G53" s="52">
        <f t="shared" si="0"/>
        <v>0.7</v>
      </c>
      <c r="H53" s="53" t="str">
        <f t="shared" si="1"/>
        <v>جيد</v>
      </c>
      <c r="I53" s="67"/>
      <c r="J53" s="68"/>
    </row>
    <row r="54" spans="1:10" ht="30" customHeight="1" thickBot="1" x14ac:dyDescent="0.3">
      <c r="A54" s="12"/>
      <c r="B54" s="106" t="s">
        <v>227</v>
      </c>
      <c r="C54" s="107"/>
      <c r="D54" s="107"/>
      <c r="E54" s="58">
        <v>5</v>
      </c>
      <c r="F54" s="30">
        <v>3.5</v>
      </c>
      <c r="G54" s="59">
        <f t="shared" si="0"/>
        <v>0.7</v>
      </c>
      <c r="H54" s="60" t="str">
        <f t="shared" si="1"/>
        <v>جيد</v>
      </c>
      <c r="I54" s="88"/>
      <c r="J54" s="89"/>
    </row>
    <row r="55" spans="1:10" ht="30" customHeight="1" x14ac:dyDescent="0.25">
      <c r="A55" s="12"/>
      <c r="B55" s="110" t="s">
        <v>228</v>
      </c>
      <c r="C55" s="110"/>
      <c r="D55" s="110"/>
      <c r="E55" s="61"/>
      <c r="F55" s="29"/>
      <c r="G55" s="10"/>
      <c r="H55" s="9"/>
      <c r="I55" s="96"/>
      <c r="J55" s="96"/>
    </row>
    <row r="56" spans="1:10" ht="30" customHeight="1" x14ac:dyDescent="0.25">
      <c r="A56" s="12"/>
      <c r="B56" s="105" t="s">
        <v>229</v>
      </c>
      <c r="C56" s="105"/>
      <c r="D56" s="105"/>
      <c r="E56" s="11">
        <v>10</v>
      </c>
      <c r="F56" s="28">
        <v>7</v>
      </c>
      <c r="G56" s="52">
        <f t="shared" si="0"/>
        <v>0.7</v>
      </c>
      <c r="H56" s="53" t="str">
        <f t="shared" si="1"/>
        <v>جيد</v>
      </c>
      <c r="I56" s="67"/>
      <c r="J56" s="67"/>
    </row>
    <row r="57" spans="1:10" ht="30" customHeight="1" x14ac:dyDescent="0.25">
      <c r="A57" s="12"/>
      <c r="B57" s="105" t="s">
        <v>230</v>
      </c>
      <c r="C57" s="105"/>
      <c r="D57" s="105"/>
      <c r="E57" s="11">
        <v>10</v>
      </c>
      <c r="F57" s="28">
        <v>7</v>
      </c>
      <c r="G57" s="52">
        <f t="shared" si="0"/>
        <v>0.7</v>
      </c>
      <c r="H57" s="53" t="str">
        <f t="shared" si="1"/>
        <v>جيد</v>
      </c>
      <c r="I57" s="67"/>
      <c r="J57" s="67"/>
    </row>
    <row r="58" spans="1:10" ht="30" customHeight="1" thickBot="1" x14ac:dyDescent="0.3">
      <c r="A58" s="4"/>
      <c r="B58" s="98" t="s">
        <v>5</v>
      </c>
      <c r="C58" s="99"/>
      <c r="D58" s="99"/>
      <c r="E58" s="51">
        <f>SUM(E8:E57)</f>
        <v>225</v>
      </c>
      <c r="F58" s="51">
        <f>SUM(F8:F57)</f>
        <v>158.5</v>
      </c>
      <c r="G58" s="64"/>
      <c r="H58" s="65"/>
      <c r="I58" s="65"/>
      <c r="J58" s="66"/>
    </row>
    <row r="59" spans="1:10" ht="30" customHeight="1" thickBot="1" x14ac:dyDescent="0.3">
      <c r="A59" s="4"/>
      <c r="B59" s="100" t="s">
        <v>54</v>
      </c>
      <c r="C59" s="101"/>
      <c r="D59" s="101"/>
      <c r="E59" s="76">
        <f>F58/E58/100*100</f>
        <v>0.70444444444444443</v>
      </c>
      <c r="F59" s="76"/>
      <c r="G59" s="76"/>
      <c r="H59" s="76"/>
      <c r="I59" s="76"/>
      <c r="J59" s="77"/>
    </row>
    <row r="60" spans="1:10" ht="30" customHeight="1" thickBot="1" x14ac:dyDescent="0.3">
      <c r="A60" s="4"/>
      <c r="B60" s="100" t="s">
        <v>55</v>
      </c>
      <c r="C60" s="101"/>
      <c r="D60" s="101"/>
      <c r="E60" s="94" t="str">
        <f>_xlfn.IFS(E59&gt;=90%,"ممتاز",E59&gt;=80%,"جيد جداً",E59&gt;=70%,"جيد",E59&gt;=60%,"مقبول",E59&lt;60%,"راسب")</f>
        <v>جيد</v>
      </c>
      <c r="F60" s="94"/>
      <c r="G60" s="94"/>
      <c r="H60" s="94"/>
      <c r="I60" s="94"/>
      <c r="J60" s="95"/>
    </row>
    <row r="61" spans="1:10" ht="42" customHeight="1" x14ac:dyDescent="0.25">
      <c r="B61" s="90" t="s">
        <v>174</v>
      </c>
      <c r="C61" s="90"/>
      <c r="D61" s="90"/>
      <c r="E61" s="97" t="s">
        <v>52</v>
      </c>
      <c r="F61" s="97"/>
      <c r="G61" s="92" t="s">
        <v>134</v>
      </c>
      <c r="H61" s="92"/>
      <c r="I61" s="92"/>
      <c r="J61" s="92"/>
    </row>
    <row r="62" spans="1:10" ht="51" customHeight="1" x14ac:dyDescent="0.25">
      <c r="A62" s="5"/>
      <c r="B62" s="91"/>
      <c r="C62" s="91"/>
      <c r="D62" s="91"/>
      <c r="E62" s="63" t="s">
        <v>53</v>
      </c>
      <c r="F62" s="63"/>
      <c r="G62" s="93"/>
      <c r="H62" s="93"/>
      <c r="I62" s="93"/>
      <c r="J62" s="9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1">
    <mergeCell ref="B51:D51"/>
    <mergeCell ref="B52:D52"/>
    <mergeCell ref="B53:D53"/>
    <mergeCell ref="B54:D54"/>
    <mergeCell ref="B55:D55"/>
    <mergeCell ref="B56:D56"/>
    <mergeCell ref="B57:D57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33:D33"/>
    <mergeCell ref="B34:D34"/>
    <mergeCell ref="B35:D35"/>
    <mergeCell ref="B36:D36"/>
    <mergeCell ref="B37:D37"/>
    <mergeCell ref="B38:D38"/>
    <mergeCell ref="B39:D39"/>
    <mergeCell ref="B40:D40"/>
    <mergeCell ref="B50:D50"/>
    <mergeCell ref="B12:D12"/>
    <mergeCell ref="B13:D13"/>
    <mergeCell ref="I31:J31"/>
    <mergeCell ref="I32:J32"/>
    <mergeCell ref="I33:J3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I46:J46"/>
    <mergeCell ref="I47:J47"/>
    <mergeCell ref="E61:F61"/>
    <mergeCell ref="I34:J34"/>
    <mergeCell ref="I35:J35"/>
    <mergeCell ref="I8:J8"/>
    <mergeCell ref="B58:D58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27:J27"/>
    <mergeCell ref="I28:J28"/>
    <mergeCell ref="I25:J25"/>
    <mergeCell ref="I26:J26"/>
    <mergeCell ref="B8:D8"/>
    <mergeCell ref="B9:D9"/>
    <mergeCell ref="B10:D10"/>
    <mergeCell ref="B11:D11"/>
    <mergeCell ref="I22:J22"/>
    <mergeCell ref="I23:J23"/>
    <mergeCell ref="I24:J24"/>
    <mergeCell ref="B61:D62"/>
    <mergeCell ref="G61:J61"/>
    <mergeCell ref="G62:J62"/>
    <mergeCell ref="E60:J60"/>
    <mergeCell ref="I39:J39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4:J44"/>
    <mergeCell ref="I45:J45"/>
    <mergeCell ref="E62:F62"/>
    <mergeCell ref="G58:J58"/>
    <mergeCell ref="I9:J9"/>
    <mergeCell ref="B1:J1"/>
    <mergeCell ref="F2:J2"/>
    <mergeCell ref="B5:D6"/>
    <mergeCell ref="C2:D2"/>
    <mergeCell ref="C3:D3"/>
    <mergeCell ref="F3:J3"/>
    <mergeCell ref="E59:J59"/>
    <mergeCell ref="B7:D7"/>
    <mergeCell ref="I37:J37"/>
    <mergeCell ref="I38:J38"/>
    <mergeCell ref="I29:J29"/>
    <mergeCell ref="I30:J30"/>
    <mergeCell ref="E5:H5"/>
    <mergeCell ref="I36:J36"/>
    <mergeCell ref="I5:J6"/>
    <mergeCell ref="I7:J7"/>
    <mergeCell ref="I10:J10"/>
    <mergeCell ref="I18:J18"/>
    <mergeCell ref="I19:J19"/>
    <mergeCell ref="I20:J20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0">
    <cfRule type="expression" dxfId="14" priority="57">
      <formula>$E60="راسب"</formula>
    </cfRule>
  </conditionalFormatting>
  <conditionalFormatting sqref="E60:J60">
    <cfRule type="expression" dxfId="13" priority="60">
      <formula>$E60="جيد جداً"</formula>
    </cfRule>
    <cfRule type="expression" dxfId="12" priority="59">
      <formula>$E60="جيد"</formula>
    </cfRule>
    <cfRule type="expression" dxfId="11" priority="58">
      <formula>$E60="مقبول"</formula>
    </cfRule>
    <cfRule type="expression" dxfId="10" priority="61">
      <formula>$E60="ممتاز"</formula>
    </cfRule>
  </conditionalFormatting>
  <conditionalFormatting sqref="F8:F5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1:J61">
    <cfRule type="containsText" dxfId="6" priority="15" operator="containsText" text="أدخل اسم المحكم">
      <formula>NOT(ISERROR(SEARCH("أدخل اسم المحكم",G61)))</formula>
    </cfRule>
  </conditionalFormatting>
  <conditionalFormatting sqref="H8:H5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G61:J61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F17:F21 F43:F47 F28:F35 F37:F41 F24:F26 F50:F51 F53:F54</xm:sqref>
        </x14:dataValidation>
        <x14:dataValidation type="list" allowBlank="1" showInputMessage="1" showErrorMessage="1" xr:uid="{8604F3C0-DE38-49D4-B06D-65C53819BF6D}">
          <x14:formula1>
            <xm:f>'بيانات التقييم'!$A$111:$A$153</xm:f>
          </x14:formula1>
          <xm:sqref>F56 F57 F48 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2" workbookViewId="0">
      <selection activeCell="C33" sqref="C33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1" t="s">
        <v>62</v>
      </c>
    </row>
    <row r="3" spans="1:3" ht="20.100000000000001" customHeight="1" thickBot="1" x14ac:dyDescent="0.3">
      <c r="A3" s="2" t="s">
        <v>26</v>
      </c>
      <c r="C3" s="21" t="s">
        <v>63</v>
      </c>
    </row>
    <row r="4" spans="1:3" ht="20.100000000000001" customHeight="1" thickBot="1" x14ac:dyDescent="0.3">
      <c r="A4" s="2" t="s">
        <v>36</v>
      </c>
      <c r="C4" s="21" t="s">
        <v>64</v>
      </c>
    </row>
    <row r="5" spans="1:3" ht="20.100000000000001" customHeight="1" thickBot="1" x14ac:dyDescent="0.3">
      <c r="A5" s="2" t="s">
        <v>37</v>
      </c>
      <c r="C5" s="21" t="s">
        <v>65</v>
      </c>
    </row>
    <row r="6" spans="1:3" ht="20.100000000000001" customHeight="1" thickBot="1" x14ac:dyDescent="0.3">
      <c r="A6" s="2" t="s">
        <v>38</v>
      </c>
      <c r="C6" s="21" t="s">
        <v>66</v>
      </c>
    </row>
    <row r="7" spans="1:3" ht="20.100000000000001" customHeight="1" thickBot="1" x14ac:dyDescent="0.3">
      <c r="A7" s="2" t="s">
        <v>39</v>
      </c>
      <c r="C7" s="21" t="s">
        <v>67</v>
      </c>
    </row>
    <row r="8" spans="1:3" ht="20.100000000000001" customHeight="1" thickBot="1" x14ac:dyDescent="0.3">
      <c r="A8" s="2" t="s">
        <v>40</v>
      </c>
      <c r="C8" s="21" t="s">
        <v>68</v>
      </c>
    </row>
    <row r="9" spans="1:3" ht="20.100000000000001" customHeight="1" thickBot="1" x14ac:dyDescent="0.3">
      <c r="A9" s="2" t="s">
        <v>41</v>
      </c>
      <c r="C9" s="21" t="s">
        <v>69</v>
      </c>
    </row>
    <row r="10" spans="1:3" ht="20.100000000000001" customHeight="1" thickBot="1" x14ac:dyDescent="0.3">
      <c r="A10" s="2" t="s">
        <v>42</v>
      </c>
      <c r="C10" s="21" t="s">
        <v>70</v>
      </c>
    </row>
    <row r="11" spans="1:3" ht="20.100000000000001" customHeight="1" thickBot="1" x14ac:dyDescent="0.3">
      <c r="A11" s="2" t="s">
        <v>43</v>
      </c>
      <c r="C11" s="21" t="s">
        <v>71</v>
      </c>
    </row>
    <row r="12" spans="1:3" ht="20.100000000000001" customHeight="1" thickBot="1" x14ac:dyDescent="0.3">
      <c r="A12" s="2" t="s">
        <v>44</v>
      </c>
      <c r="C12" s="21" t="s">
        <v>72</v>
      </c>
    </row>
    <row r="13" spans="1:3" ht="20.100000000000001" customHeight="1" thickBot="1" x14ac:dyDescent="0.3">
      <c r="A13" s="2" t="s">
        <v>45</v>
      </c>
      <c r="C13" s="21" t="s">
        <v>73</v>
      </c>
    </row>
    <row r="14" spans="1:3" ht="20.100000000000001" customHeight="1" thickBot="1" x14ac:dyDescent="0.3">
      <c r="A14" s="2" t="s">
        <v>46</v>
      </c>
      <c r="C14" s="21" t="s">
        <v>74</v>
      </c>
    </row>
    <row r="15" spans="1:3" ht="20.100000000000001" customHeight="1" thickBot="1" x14ac:dyDescent="0.3">
      <c r="A15" s="2" t="s">
        <v>47</v>
      </c>
      <c r="C15" s="21" t="s">
        <v>75</v>
      </c>
    </row>
    <row r="16" spans="1:3" ht="20.100000000000001" customHeight="1" thickBot="1" x14ac:dyDescent="0.3">
      <c r="A16" s="2" t="s">
        <v>10</v>
      </c>
      <c r="C16" s="21" t="s">
        <v>76</v>
      </c>
    </row>
    <row r="17" spans="1:3" ht="20.100000000000001" customHeight="1" thickBot="1" x14ac:dyDescent="0.3">
      <c r="A17" s="2" t="s">
        <v>27</v>
      </c>
      <c r="C17" s="21" t="s">
        <v>77</v>
      </c>
    </row>
    <row r="18" spans="1:3" ht="20.100000000000001" customHeight="1" thickBot="1" x14ac:dyDescent="0.3">
      <c r="A18" s="2" t="s">
        <v>48</v>
      </c>
      <c r="C18" s="21" t="s">
        <v>78</v>
      </c>
    </row>
    <row r="19" spans="1:3" ht="20.100000000000001" customHeight="1" thickBot="1" x14ac:dyDescent="0.3">
      <c r="A19" s="2" t="s">
        <v>49</v>
      </c>
      <c r="C19" s="21" t="s">
        <v>79</v>
      </c>
    </row>
    <row r="20" spans="1:3" ht="20.100000000000001" customHeight="1" thickBot="1" x14ac:dyDescent="0.3">
      <c r="A20" s="2" t="s">
        <v>50</v>
      </c>
      <c r="C20" s="21" t="s">
        <v>80</v>
      </c>
    </row>
    <row r="21" spans="1:3" ht="20.100000000000001" customHeight="1" thickBot="1" x14ac:dyDescent="0.3">
      <c r="A21" s="2" t="s">
        <v>51</v>
      </c>
      <c r="C21" s="21" t="s">
        <v>81</v>
      </c>
    </row>
    <row r="22" spans="1:3" ht="20.100000000000001" customHeight="1" thickBot="1" x14ac:dyDescent="0.3">
      <c r="A22" s="2" t="s">
        <v>11</v>
      </c>
      <c r="C22" s="21" t="s">
        <v>82</v>
      </c>
    </row>
    <row r="23" spans="1:3" ht="20.100000000000001" customHeight="1" thickBot="1" x14ac:dyDescent="0.3">
      <c r="A23" s="2" t="s">
        <v>12</v>
      </c>
      <c r="C23" s="21" t="s">
        <v>83</v>
      </c>
    </row>
    <row r="24" spans="1:3" ht="20.100000000000001" customHeight="1" thickBot="1" x14ac:dyDescent="0.3">
      <c r="A24" s="2" t="s">
        <v>15</v>
      </c>
      <c r="C24" s="21" t="s">
        <v>84</v>
      </c>
    </row>
    <row r="25" spans="1:3" ht="20.100000000000001" customHeight="1" thickBot="1" x14ac:dyDescent="0.3">
      <c r="A25" s="2" t="s">
        <v>28</v>
      </c>
      <c r="C25" s="21" t="s">
        <v>85</v>
      </c>
    </row>
    <row r="26" spans="1:3" ht="20.100000000000001" customHeight="1" thickBot="1" x14ac:dyDescent="0.3">
      <c r="A26" s="2" t="s">
        <v>29</v>
      </c>
      <c r="C26" s="21" t="s">
        <v>86</v>
      </c>
    </row>
    <row r="27" spans="1:3" ht="20.100000000000001" customHeight="1" thickBot="1" x14ac:dyDescent="0.3">
      <c r="A27" s="2" t="s">
        <v>13</v>
      </c>
      <c r="C27" s="21" t="s">
        <v>87</v>
      </c>
    </row>
    <row r="28" spans="1:3" ht="20.100000000000001" customHeight="1" thickBot="1" x14ac:dyDescent="0.3">
      <c r="A28" s="2" t="s">
        <v>30</v>
      </c>
      <c r="C28" s="21" t="s">
        <v>88</v>
      </c>
    </row>
    <row r="29" spans="1:3" ht="20.100000000000001" customHeight="1" thickBot="1" x14ac:dyDescent="0.3">
      <c r="A29" s="2" t="s">
        <v>31</v>
      </c>
      <c r="C29" s="21" t="s">
        <v>177</v>
      </c>
    </row>
    <row r="30" spans="1:3" ht="20.100000000000001" customHeight="1" thickBot="1" x14ac:dyDescent="0.3">
      <c r="A30" s="2" t="s">
        <v>32</v>
      </c>
      <c r="C30" s="21" t="s">
        <v>178</v>
      </c>
    </row>
    <row r="31" spans="1:3" ht="20.100000000000001" customHeight="1" thickBot="1" x14ac:dyDescent="0.3">
      <c r="A31" s="2" t="s">
        <v>33</v>
      </c>
      <c r="C31" s="21" t="s">
        <v>179</v>
      </c>
    </row>
    <row r="32" spans="1:3" ht="20.100000000000001" customHeight="1" thickBot="1" x14ac:dyDescent="0.3">
      <c r="A32" s="2" t="s">
        <v>16</v>
      </c>
      <c r="C32" s="21"/>
    </row>
    <row r="33" spans="1:9" ht="20.100000000000001" customHeight="1" thickBot="1" x14ac:dyDescent="0.3">
      <c r="A33" s="2" t="s">
        <v>14</v>
      </c>
      <c r="C33" s="21"/>
    </row>
    <row r="34" spans="1:9" ht="20.100000000000001" customHeight="1" thickBot="1" x14ac:dyDescent="0.3">
      <c r="A34" s="2" t="s">
        <v>34</v>
      </c>
      <c r="C34" s="21"/>
    </row>
    <row r="35" spans="1:9" ht="20.100000000000001" customHeight="1" x14ac:dyDescent="0.25">
      <c r="A35" s="20"/>
    </row>
    <row r="36" spans="1:9" s="19" customFormat="1" ht="20.100000000000001" customHeight="1" x14ac:dyDescent="0.25">
      <c r="A36" s="17"/>
      <c r="B36" s="18"/>
      <c r="C36" s="18"/>
      <c r="D36" s="18"/>
      <c r="E36" s="18"/>
      <c r="F36" s="18"/>
      <c r="G36" s="18"/>
      <c r="H36" s="18"/>
      <c r="I36" s="18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5">
        <v>45901</v>
      </c>
    </row>
    <row r="40" spans="1:9" ht="20.100000000000001" customHeight="1" thickBot="1" x14ac:dyDescent="0.3">
      <c r="A40" s="15">
        <v>45902</v>
      </c>
    </row>
    <row r="41" spans="1:9" ht="20.100000000000001" customHeight="1" thickBot="1" x14ac:dyDescent="0.3">
      <c r="A41" s="15">
        <v>45903</v>
      </c>
    </row>
    <row r="42" spans="1:9" ht="20.100000000000001" customHeight="1" thickBot="1" x14ac:dyDescent="0.3">
      <c r="A42" s="15">
        <v>45904</v>
      </c>
    </row>
    <row r="43" spans="1:9" ht="20.100000000000001" customHeight="1" thickBot="1" x14ac:dyDescent="0.3">
      <c r="A43" s="15">
        <v>45905</v>
      </c>
    </row>
    <row r="44" spans="1:9" ht="20.100000000000001" customHeight="1" thickBot="1" x14ac:dyDescent="0.3">
      <c r="A44" s="15">
        <v>45906</v>
      </c>
    </row>
    <row r="45" spans="1:9" ht="20.100000000000001" customHeight="1" thickBot="1" x14ac:dyDescent="0.3">
      <c r="A45" s="15">
        <v>45907</v>
      </c>
    </row>
    <row r="46" spans="1:9" ht="20.100000000000001" customHeight="1" thickBot="1" x14ac:dyDescent="0.3">
      <c r="A46" s="15">
        <v>45908</v>
      </c>
    </row>
    <row r="47" spans="1:9" ht="20.100000000000001" customHeight="1" thickBot="1" x14ac:dyDescent="0.3">
      <c r="A47" s="15">
        <v>45909</v>
      </c>
    </row>
    <row r="48" spans="1:9" ht="20.100000000000001" customHeight="1" thickBot="1" x14ac:dyDescent="0.3">
      <c r="A48" s="15">
        <v>45910</v>
      </c>
    </row>
    <row r="49" spans="1:1" ht="20.100000000000001" customHeight="1" thickBot="1" x14ac:dyDescent="0.3">
      <c r="A49" s="15">
        <v>45911</v>
      </c>
    </row>
    <row r="50" spans="1:1" ht="20.100000000000001" customHeight="1" thickBot="1" x14ac:dyDescent="0.3">
      <c r="A50" s="15">
        <v>45912</v>
      </c>
    </row>
    <row r="51" spans="1:1" ht="20.100000000000001" customHeight="1" thickBot="1" x14ac:dyDescent="0.3">
      <c r="A51" s="15">
        <v>45913</v>
      </c>
    </row>
    <row r="52" spans="1:1" ht="20.100000000000001" customHeight="1" thickBot="1" x14ac:dyDescent="0.3">
      <c r="A52" s="15">
        <v>45914</v>
      </c>
    </row>
    <row r="53" spans="1:1" ht="20.100000000000001" customHeight="1" thickBot="1" x14ac:dyDescent="0.3">
      <c r="A53" s="15">
        <v>45915</v>
      </c>
    </row>
    <row r="54" spans="1:1" ht="20.100000000000001" customHeight="1" thickBot="1" x14ac:dyDescent="0.3">
      <c r="A54" s="15">
        <v>45916</v>
      </c>
    </row>
    <row r="55" spans="1:1" ht="20.100000000000001" customHeight="1" thickBot="1" x14ac:dyDescent="0.3">
      <c r="A55" s="15">
        <v>45917</v>
      </c>
    </row>
    <row r="56" spans="1:1" ht="20.100000000000001" customHeight="1" thickBot="1" x14ac:dyDescent="0.3">
      <c r="A56" s="15">
        <v>45918</v>
      </c>
    </row>
    <row r="57" spans="1:1" ht="20.100000000000001" customHeight="1" thickBot="1" x14ac:dyDescent="0.3">
      <c r="A57" s="15">
        <v>45919</v>
      </c>
    </row>
    <row r="58" spans="1:1" ht="20.100000000000001" customHeight="1" thickBot="1" x14ac:dyDescent="0.3">
      <c r="A58" s="15">
        <v>45920</v>
      </c>
    </row>
    <row r="59" spans="1:1" ht="20.100000000000001" customHeight="1" thickBot="1" x14ac:dyDescent="0.3">
      <c r="A59" s="15">
        <v>45921</v>
      </c>
    </row>
    <row r="60" spans="1:1" ht="20.100000000000001" customHeight="1" thickBot="1" x14ac:dyDescent="0.3">
      <c r="A60" s="15">
        <v>45922</v>
      </c>
    </row>
    <row r="61" spans="1:1" ht="20.100000000000001" customHeight="1" thickBot="1" x14ac:dyDescent="0.3">
      <c r="A61" s="15">
        <v>45923</v>
      </c>
    </row>
    <row r="62" spans="1:1" ht="20.100000000000001" customHeight="1" thickBot="1" x14ac:dyDescent="0.3">
      <c r="A62" s="15">
        <v>45924</v>
      </c>
    </row>
    <row r="63" spans="1:1" ht="20.100000000000001" customHeight="1" thickBot="1" x14ac:dyDescent="0.3">
      <c r="A63" s="15">
        <v>45925</v>
      </c>
    </row>
    <row r="64" spans="1:1" ht="20.100000000000001" customHeight="1" thickBot="1" x14ac:dyDescent="0.3">
      <c r="A64" s="15">
        <v>45926</v>
      </c>
    </row>
    <row r="65" spans="1:1" ht="20.100000000000001" customHeight="1" thickBot="1" x14ac:dyDescent="0.3">
      <c r="A65" s="15">
        <v>45927</v>
      </c>
    </row>
    <row r="66" spans="1:1" ht="20.100000000000001" customHeight="1" thickBot="1" x14ac:dyDescent="0.3">
      <c r="A66" s="15">
        <v>45928</v>
      </c>
    </row>
    <row r="67" spans="1:1" ht="20.100000000000001" customHeight="1" thickBot="1" x14ac:dyDescent="0.3">
      <c r="A67" s="15">
        <v>45929</v>
      </c>
    </row>
    <row r="68" spans="1:1" ht="20.100000000000001" customHeight="1" thickBot="1" x14ac:dyDescent="0.3">
      <c r="A68" s="15">
        <v>45930</v>
      </c>
    </row>
    <row r="69" spans="1:1" ht="20.100000000000001" customHeight="1" thickBot="1" x14ac:dyDescent="0.3">
      <c r="A69" s="15">
        <v>45931</v>
      </c>
    </row>
    <row r="70" spans="1:1" ht="20.100000000000001" customHeight="1" thickBot="1" x14ac:dyDescent="0.3">
      <c r="A70" s="15">
        <v>45932</v>
      </c>
    </row>
    <row r="71" spans="1:1" ht="20.100000000000001" customHeight="1" thickBot="1" x14ac:dyDescent="0.3">
      <c r="A71" s="15">
        <v>45933</v>
      </c>
    </row>
    <row r="72" spans="1:1" ht="20.100000000000001" customHeight="1" thickBot="1" x14ac:dyDescent="0.3">
      <c r="A72" s="15">
        <v>45934</v>
      </c>
    </row>
    <row r="73" spans="1:1" ht="20.100000000000001" customHeight="1" thickBot="1" x14ac:dyDescent="0.3">
      <c r="A73" s="15">
        <v>45935</v>
      </c>
    </row>
    <row r="74" spans="1:1" ht="20.100000000000001" customHeight="1" thickBot="1" x14ac:dyDescent="0.3">
      <c r="A74" s="15">
        <v>45936</v>
      </c>
    </row>
    <row r="75" spans="1:1" ht="20.100000000000001" customHeight="1" thickBot="1" x14ac:dyDescent="0.3">
      <c r="A75" s="15">
        <v>45937</v>
      </c>
    </row>
    <row r="76" spans="1:1" ht="20.100000000000001" customHeight="1" thickBot="1" x14ac:dyDescent="0.3">
      <c r="A76" s="15">
        <v>45938</v>
      </c>
    </row>
    <row r="77" spans="1:1" ht="20.100000000000001" customHeight="1" thickBot="1" x14ac:dyDescent="0.3">
      <c r="A77" s="15">
        <v>45939</v>
      </c>
    </row>
    <row r="78" spans="1:1" ht="20.100000000000001" customHeight="1" thickBot="1" x14ac:dyDescent="0.3">
      <c r="A78" s="15">
        <v>45940</v>
      </c>
    </row>
    <row r="79" spans="1:1" ht="20.100000000000001" customHeight="1" thickBot="1" x14ac:dyDescent="0.3">
      <c r="A79" s="15">
        <v>45941</v>
      </c>
    </row>
    <row r="80" spans="1:1" ht="20.100000000000001" customHeight="1" thickBot="1" x14ac:dyDescent="0.3">
      <c r="A80" s="15">
        <v>45942</v>
      </c>
    </row>
    <row r="81" spans="1:1" ht="20.100000000000001" customHeight="1" thickBot="1" x14ac:dyDescent="0.3">
      <c r="A81" s="15">
        <v>45943</v>
      </c>
    </row>
    <row r="82" spans="1:1" ht="20.100000000000001" customHeight="1" thickBot="1" x14ac:dyDescent="0.3">
      <c r="A82" s="15">
        <v>45944</v>
      </c>
    </row>
    <row r="83" spans="1:1" ht="20.100000000000001" customHeight="1" thickBot="1" x14ac:dyDescent="0.3">
      <c r="A83" s="15">
        <v>45945</v>
      </c>
    </row>
    <row r="84" spans="1:1" ht="20.100000000000001" customHeight="1" thickBot="1" x14ac:dyDescent="0.3">
      <c r="A84" s="15">
        <v>45946</v>
      </c>
    </row>
    <row r="85" spans="1:1" ht="20.100000000000001" customHeight="1" thickBot="1" x14ac:dyDescent="0.3">
      <c r="A85" s="15">
        <v>45947</v>
      </c>
    </row>
    <row r="86" spans="1:1" ht="20.100000000000001" customHeight="1" thickBot="1" x14ac:dyDescent="0.3">
      <c r="A86" s="15">
        <v>45948</v>
      </c>
    </row>
    <row r="87" spans="1:1" ht="20.100000000000001" customHeight="1" thickBot="1" x14ac:dyDescent="0.3">
      <c r="A87" s="15">
        <v>45949</v>
      </c>
    </row>
    <row r="88" spans="1:1" ht="20.100000000000001" customHeight="1" thickBot="1" x14ac:dyDescent="0.3">
      <c r="A88" s="15">
        <v>45950</v>
      </c>
    </row>
    <row r="89" spans="1:1" ht="20.100000000000001" customHeight="1" thickBot="1" x14ac:dyDescent="0.3">
      <c r="A89" s="15">
        <v>45951</v>
      </c>
    </row>
    <row r="90" spans="1:1" ht="20.100000000000001" customHeight="1" thickBot="1" x14ac:dyDescent="0.3">
      <c r="A90" s="15">
        <v>45952</v>
      </c>
    </row>
    <row r="91" spans="1:1" ht="20.100000000000001" customHeight="1" thickBot="1" x14ac:dyDescent="0.3">
      <c r="A91" s="15">
        <v>45953</v>
      </c>
    </row>
    <row r="92" spans="1:1" ht="20.100000000000001" customHeight="1" thickBot="1" x14ac:dyDescent="0.3">
      <c r="A92" s="15">
        <v>45954</v>
      </c>
    </row>
    <row r="93" spans="1:1" ht="20.100000000000001" customHeight="1" thickBot="1" x14ac:dyDescent="0.3">
      <c r="A93" s="15">
        <v>45955</v>
      </c>
    </row>
    <row r="94" spans="1:1" ht="20.100000000000001" customHeight="1" thickBot="1" x14ac:dyDescent="0.3">
      <c r="A94" s="15">
        <v>45956</v>
      </c>
    </row>
    <row r="95" spans="1:1" ht="20.100000000000001" customHeight="1" thickBot="1" x14ac:dyDescent="0.3">
      <c r="A95" s="15">
        <v>45957</v>
      </c>
    </row>
    <row r="96" spans="1:1" ht="20.100000000000001" customHeight="1" thickBot="1" x14ac:dyDescent="0.3">
      <c r="A96" s="15">
        <v>45958</v>
      </c>
    </row>
    <row r="97" spans="1:9" ht="20.100000000000001" customHeight="1" thickBot="1" x14ac:dyDescent="0.3">
      <c r="A97" s="15">
        <v>45959</v>
      </c>
    </row>
    <row r="98" spans="1:9" ht="20.100000000000001" customHeight="1" thickBot="1" x14ac:dyDescent="0.3">
      <c r="A98" s="15">
        <v>45960</v>
      </c>
    </row>
    <row r="99" spans="1:9" ht="20.100000000000001" customHeight="1" thickBot="1" x14ac:dyDescent="0.3">
      <c r="A99" s="15">
        <v>45961</v>
      </c>
    </row>
    <row r="100" spans="1:9" ht="20.100000000000001" customHeight="1" thickBot="1" x14ac:dyDescent="0.3">
      <c r="A100" s="15">
        <v>45962</v>
      </c>
    </row>
    <row r="101" spans="1:9" ht="20.100000000000001" customHeight="1" thickBot="1" x14ac:dyDescent="0.3">
      <c r="A101" s="15">
        <v>45963</v>
      </c>
    </row>
    <row r="102" spans="1:9" ht="20.100000000000001" customHeight="1" thickBot="1" x14ac:dyDescent="0.3">
      <c r="A102" s="15">
        <v>45964</v>
      </c>
    </row>
    <row r="103" spans="1:9" ht="20.100000000000001" customHeight="1" thickBot="1" x14ac:dyDescent="0.3">
      <c r="A103" s="15">
        <v>45965</v>
      </c>
    </row>
    <row r="104" spans="1:9" ht="20.100000000000001" customHeight="1" thickBot="1" x14ac:dyDescent="0.3">
      <c r="A104" s="15">
        <v>45966</v>
      </c>
    </row>
    <row r="105" spans="1:9" ht="20.100000000000001" customHeight="1" thickBot="1" x14ac:dyDescent="0.3">
      <c r="A105" s="15">
        <v>45967</v>
      </c>
    </row>
    <row r="106" spans="1:9" ht="20.100000000000001" customHeight="1" thickBot="1" x14ac:dyDescent="0.3">
      <c r="A106" s="15">
        <v>45968</v>
      </c>
    </row>
    <row r="107" spans="1:9" ht="20.100000000000001" customHeight="1" x14ac:dyDescent="0.25">
      <c r="A107" s="16"/>
    </row>
    <row r="108" spans="1:9" ht="20.100000000000001" customHeight="1" x14ac:dyDescent="0.25">
      <c r="A108" s="16"/>
    </row>
    <row r="109" spans="1:9" s="19" customFormat="1" ht="20.100000000000001" customHeight="1" x14ac:dyDescent="0.25">
      <c r="A109" s="17"/>
      <c r="B109" s="18"/>
      <c r="C109" s="18"/>
      <c r="D109" s="18"/>
      <c r="E109" s="18"/>
      <c r="F109" s="18"/>
      <c r="G109" s="18"/>
      <c r="H109" s="18"/>
      <c r="I109" s="18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2" t="s">
        <v>89</v>
      </c>
    </row>
    <row r="200" spans="1:1" ht="20.100000000000001" customHeight="1" x14ac:dyDescent="0.25">
      <c r="A200" s="22" t="s">
        <v>90</v>
      </c>
    </row>
    <row r="201" spans="1:1" ht="20.100000000000001" customHeight="1" x14ac:dyDescent="0.25">
      <c r="A201" s="22" t="s">
        <v>91</v>
      </c>
    </row>
    <row r="202" spans="1:1" ht="20.100000000000001" customHeight="1" x14ac:dyDescent="0.25">
      <c r="A202" s="22" t="s">
        <v>92</v>
      </c>
    </row>
    <row r="203" spans="1:1" ht="20.100000000000001" customHeight="1" x14ac:dyDescent="0.25">
      <c r="A203" s="22" t="s">
        <v>93</v>
      </c>
    </row>
    <row r="204" spans="1:1" ht="20.100000000000001" customHeight="1" x14ac:dyDescent="0.25">
      <c r="A204" s="22" t="s">
        <v>94</v>
      </c>
    </row>
    <row r="205" spans="1:1" ht="20.100000000000001" customHeight="1" x14ac:dyDescent="0.25">
      <c r="A205" s="22" t="s">
        <v>95</v>
      </c>
    </row>
    <row r="206" spans="1:1" ht="20.100000000000001" customHeight="1" x14ac:dyDescent="0.25">
      <c r="A206" s="22" t="s">
        <v>96</v>
      </c>
    </row>
    <row r="207" spans="1:1" ht="20.100000000000001" customHeight="1" x14ac:dyDescent="0.25">
      <c r="A207" s="22" t="s">
        <v>97</v>
      </c>
    </row>
    <row r="208" spans="1:1" ht="20.100000000000001" customHeight="1" x14ac:dyDescent="0.25">
      <c r="A208" s="23" t="s">
        <v>98</v>
      </c>
    </row>
    <row r="209" spans="1:1" ht="20.100000000000001" customHeight="1" x14ac:dyDescent="0.25">
      <c r="A209" s="23" t="s">
        <v>99</v>
      </c>
    </row>
    <row r="210" spans="1:1" ht="20.100000000000001" customHeight="1" x14ac:dyDescent="0.25">
      <c r="A210" s="22" t="s">
        <v>100</v>
      </c>
    </row>
    <row r="211" spans="1:1" ht="20.100000000000001" customHeight="1" x14ac:dyDescent="0.25">
      <c r="A211" s="22" t="s">
        <v>101</v>
      </c>
    </row>
    <row r="212" spans="1:1" ht="20.100000000000001" customHeight="1" x14ac:dyDescent="0.25">
      <c r="A212" s="22" t="s">
        <v>175</v>
      </c>
    </row>
    <row r="213" spans="1:1" ht="20.100000000000001" customHeight="1" x14ac:dyDescent="0.25">
      <c r="A213" s="22" t="s">
        <v>102</v>
      </c>
    </row>
    <row r="214" spans="1:1" ht="20.100000000000001" customHeight="1" x14ac:dyDescent="0.25">
      <c r="A214" s="22" t="s">
        <v>103</v>
      </c>
    </row>
    <row r="215" spans="1:1" ht="20.100000000000001" customHeight="1" x14ac:dyDescent="0.25">
      <c r="A215" s="22" t="s">
        <v>104</v>
      </c>
    </row>
    <row r="216" spans="1:1" ht="20.100000000000001" customHeight="1" x14ac:dyDescent="0.25">
      <c r="A216" s="22" t="s">
        <v>105</v>
      </c>
    </row>
    <row r="217" spans="1:1" ht="20.100000000000001" customHeight="1" x14ac:dyDescent="0.25">
      <c r="A217" s="22" t="s">
        <v>106</v>
      </c>
    </row>
    <row r="218" spans="1:1" ht="20.100000000000001" customHeight="1" x14ac:dyDescent="0.25">
      <c r="A218" s="22" t="s">
        <v>107</v>
      </c>
    </row>
    <row r="219" spans="1:1" ht="20.100000000000001" customHeight="1" x14ac:dyDescent="0.25">
      <c r="A219" s="22" t="s">
        <v>108</v>
      </c>
    </row>
    <row r="220" spans="1:1" ht="20.100000000000001" customHeight="1" x14ac:dyDescent="0.25">
      <c r="A220" s="22" t="s">
        <v>109</v>
      </c>
    </row>
    <row r="221" spans="1:1" ht="20.100000000000001" customHeight="1" x14ac:dyDescent="0.25">
      <c r="A221" s="22" t="s">
        <v>110</v>
      </c>
    </row>
    <row r="222" spans="1:1" ht="20.100000000000001" customHeight="1" x14ac:dyDescent="0.25">
      <c r="A222" s="22" t="s">
        <v>111</v>
      </c>
    </row>
    <row r="223" spans="1:1" ht="20.100000000000001" customHeight="1" x14ac:dyDescent="0.25">
      <c r="A223" s="22" t="s">
        <v>112</v>
      </c>
    </row>
    <row r="224" spans="1:1" ht="20.100000000000001" customHeight="1" x14ac:dyDescent="0.25">
      <c r="A224" s="22" t="s">
        <v>176</v>
      </c>
    </row>
    <row r="225" spans="1:1" ht="20.100000000000001" customHeight="1" x14ac:dyDescent="0.25">
      <c r="A225" s="22" t="s">
        <v>113</v>
      </c>
    </row>
    <row r="226" spans="1:1" ht="20.100000000000001" customHeight="1" x14ac:dyDescent="0.25">
      <c r="A226" s="22" t="s">
        <v>114</v>
      </c>
    </row>
    <row r="227" spans="1:1" ht="20.100000000000001" customHeight="1" x14ac:dyDescent="0.25">
      <c r="A227" s="22" t="s">
        <v>115</v>
      </c>
    </row>
    <row r="228" spans="1:1" ht="20.100000000000001" customHeight="1" x14ac:dyDescent="0.25">
      <c r="A228" s="22" t="s">
        <v>116</v>
      </c>
    </row>
    <row r="229" spans="1:1" ht="20.100000000000001" customHeight="1" x14ac:dyDescent="0.25">
      <c r="A229" s="22" t="s">
        <v>117</v>
      </c>
    </row>
    <row r="230" spans="1:1" ht="20.100000000000001" customHeight="1" x14ac:dyDescent="0.25">
      <c r="A230" s="22" t="s">
        <v>118</v>
      </c>
    </row>
    <row r="231" spans="1:1" ht="20.100000000000001" customHeight="1" x14ac:dyDescent="0.25">
      <c r="A231" s="22" t="s">
        <v>119</v>
      </c>
    </row>
    <row r="232" spans="1:1" ht="20.100000000000001" customHeight="1" x14ac:dyDescent="0.25">
      <c r="A232" s="22" t="s">
        <v>120</v>
      </c>
    </row>
    <row r="233" spans="1:1" ht="20.100000000000001" customHeight="1" x14ac:dyDescent="0.25">
      <c r="A233" s="22" t="s">
        <v>121</v>
      </c>
    </row>
    <row r="234" spans="1:1" ht="20.100000000000001" customHeight="1" x14ac:dyDescent="0.25">
      <c r="A234" s="22" t="s">
        <v>122</v>
      </c>
    </row>
    <row r="235" spans="1:1" ht="20.100000000000001" customHeight="1" x14ac:dyDescent="0.25">
      <c r="A235" s="22" t="s">
        <v>123</v>
      </c>
    </row>
    <row r="236" spans="1:1" ht="20.100000000000001" customHeight="1" x14ac:dyDescent="0.25">
      <c r="A236" s="24" t="s">
        <v>124</v>
      </c>
    </row>
    <row r="237" spans="1:1" ht="20.100000000000001" customHeight="1" x14ac:dyDescent="0.25">
      <c r="A237" s="22" t="s">
        <v>125</v>
      </c>
    </row>
    <row r="238" spans="1:1" ht="20.100000000000001" customHeight="1" x14ac:dyDescent="0.25">
      <c r="A238" s="22" t="s">
        <v>126</v>
      </c>
    </row>
    <row r="239" spans="1:1" ht="20.100000000000001" customHeight="1" x14ac:dyDescent="0.25">
      <c r="A239" s="22" t="s">
        <v>127</v>
      </c>
    </row>
    <row r="240" spans="1:1" ht="20.100000000000001" customHeight="1" x14ac:dyDescent="0.25">
      <c r="A240" s="22" t="s">
        <v>128</v>
      </c>
    </row>
    <row r="241" spans="1:1" ht="20.100000000000001" customHeight="1" x14ac:dyDescent="0.25">
      <c r="A241" s="22" t="s">
        <v>129</v>
      </c>
    </row>
    <row r="242" spans="1:1" ht="20.100000000000001" customHeight="1" x14ac:dyDescent="0.25">
      <c r="A242" s="22" t="s">
        <v>130</v>
      </c>
    </row>
    <row r="243" spans="1:1" ht="20.100000000000001" customHeight="1" x14ac:dyDescent="0.25">
      <c r="A243" s="22" t="s">
        <v>131</v>
      </c>
    </row>
    <row r="244" spans="1:1" ht="20.100000000000001" customHeight="1" x14ac:dyDescent="0.25">
      <c r="A244" s="22" t="s">
        <v>132</v>
      </c>
    </row>
    <row r="245" spans="1:1" ht="20.100000000000001" customHeight="1" x14ac:dyDescent="0.25">
      <c r="A245" s="22" t="s">
        <v>133</v>
      </c>
    </row>
    <row r="246" spans="1:1" ht="20.100000000000001" customHeight="1" x14ac:dyDescent="0.25">
      <c r="A246" s="22" t="s">
        <v>134</v>
      </c>
    </row>
    <row r="247" spans="1:1" ht="20.100000000000001" customHeight="1" x14ac:dyDescent="0.25">
      <c r="A247" s="22" t="s">
        <v>135</v>
      </c>
    </row>
    <row r="248" spans="1:1" ht="20.100000000000001" customHeight="1" x14ac:dyDescent="0.25">
      <c r="A248" s="22" t="s">
        <v>126</v>
      </c>
    </row>
    <row r="249" spans="1:1" ht="20.100000000000001" customHeight="1" x14ac:dyDescent="0.25">
      <c r="A249" s="22" t="s">
        <v>136</v>
      </c>
    </row>
    <row r="250" spans="1:1" ht="20.100000000000001" customHeight="1" x14ac:dyDescent="0.25">
      <c r="A250" s="22" t="s">
        <v>137</v>
      </c>
    </row>
    <row r="251" spans="1:1" ht="20.100000000000001" customHeight="1" x14ac:dyDescent="0.25">
      <c r="A251" s="24" t="s">
        <v>138</v>
      </c>
    </row>
    <row r="252" spans="1:1" ht="20.100000000000001" customHeight="1" x14ac:dyDescent="0.25">
      <c r="A252" s="25" t="s">
        <v>139</v>
      </c>
    </row>
    <row r="253" spans="1:1" ht="20.100000000000001" customHeight="1" x14ac:dyDescent="0.25">
      <c r="A253" s="22" t="s">
        <v>140</v>
      </c>
    </row>
    <row r="254" spans="1:1" ht="20.100000000000001" customHeight="1" x14ac:dyDescent="0.25">
      <c r="A254" s="22" t="s">
        <v>141</v>
      </c>
    </row>
    <row r="255" spans="1:1" ht="20.100000000000001" customHeight="1" x14ac:dyDescent="0.25">
      <c r="A255" s="26" t="s">
        <v>142</v>
      </c>
    </row>
    <row r="256" spans="1:1" ht="20.100000000000001" customHeight="1" x14ac:dyDescent="0.25">
      <c r="A256" s="26" t="s">
        <v>143</v>
      </c>
    </row>
    <row r="257" spans="1:1" ht="20.100000000000001" customHeight="1" x14ac:dyDescent="0.25">
      <c r="A257" s="27" t="s">
        <v>144</v>
      </c>
    </row>
    <row r="258" spans="1:1" ht="20.100000000000001" customHeight="1" x14ac:dyDescent="0.25">
      <c r="A258" s="22" t="s">
        <v>145</v>
      </c>
    </row>
    <row r="259" spans="1:1" ht="20.100000000000001" customHeight="1" x14ac:dyDescent="0.25">
      <c r="A259" s="27" t="s">
        <v>146</v>
      </c>
    </row>
    <row r="260" spans="1:1" ht="20.100000000000001" customHeight="1" x14ac:dyDescent="0.25">
      <c r="A260" s="22" t="s">
        <v>147</v>
      </c>
    </row>
    <row r="261" spans="1:1" ht="20.100000000000001" customHeight="1" x14ac:dyDescent="0.25">
      <c r="A261" s="27" t="s">
        <v>148</v>
      </c>
    </row>
    <row r="262" spans="1:1" ht="20.100000000000001" customHeight="1" x14ac:dyDescent="0.25">
      <c r="A262" s="22" t="s">
        <v>149</v>
      </c>
    </row>
    <row r="263" spans="1:1" ht="20.100000000000001" customHeight="1" x14ac:dyDescent="0.25">
      <c r="A263" s="22" t="s">
        <v>150</v>
      </c>
    </row>
    <row r="264" spans="1:1" ht="20.100000000000001" customHeight="1" x14ac:dyDescent="0.25">
      <c r="A264" s="27" t="s">
        <v>151</v>
      </c>
    </row>
    <row r="265" spans="1:1" ht="20.100000000000001" customHeight="1" x14ac:dyDescent="0.25">
      <c r="A265" s="27" t="s">
        <v>152</v>
      </c>
    </row>
    <row r="266" spans="1:1" ht="20.100000000000001" customHeight="1" x14ac:dyDescent="0.25">
      <c r="A266" s="27" t="s">
        <v>153</v>
      </c>
    </row>
    <row r="267" spans="1:1" ht="20.100000000000001" customHeight="1" x14ac:dyDescent="0.25">
      <c r="A267" s="22" t="s">
        <v>154</v>
      </c>
    </row>
    <row r="268" spans="1:1" ht="20.100000000000001" customHeight="1" x14ac:dyDescent="0.25">
      <c r="A268" s="22" t="s">
        <v>155</v>
      </c>
    </row>
    <row r="269" spans="1:1" ht="20.100000000000001" customHeight="1" x14ac:dyDescent="0.25">
      <c r="A269" s="22" t="s">
        <v>156</v>
      </c>
    </row>
    <row r="270" spans="1:1" ht="20.100000000000001" customHeight="1" x14ac:dyDescent="0.25">
      <c r="A270" s="22" t="s">
        <v>157</v>
      </c>
    </row>
    <row r="271" spans="1:1" ht="20.100000000000001" customHeight="1" x14ac:dyDescent="0.25">
      <c r="A271" s="27" t="s">
        <v>158</v>
      </c>
    </row>
    <row r="272" spans="1:1" ht="20.100000000000001" customHeight="1" x14ac:dyDescent="0.25">
      <c r="A272" s="27" t="s">
        <v>159</v>
      </c>
    </row>
    <row r="273" spans="1:1" ht="20.100000000000001" customHeight="1" x14ac:dyDescent="0.25">
      <c r="A273" s="22" t="s">
        <v>160</v>
      </c>
    </row>
    <row r="274" spans="1:1" ht="20.100000000000001" customHeight="1" x14ac:dyDescent="0.25">
      <c r="A274" s="27" t="s">
        <v>161</v>
      </c>
    </row>
    <row r="275" spans="1:1" ht="20.100000000000001" customHeight="1" x14ac:dyDescent="0.25">
      <c r="A275" s="27" t="s">
        <v>162</v>
      </c>
    </row>
    <row r="276" spans="1:1" ht="20.100000000000001" customHeight="1" x14ac:dyDescent="0.25">
      <c r="A276" s="22" t="s">
        <v>163</v>
      </c>
    </row>
    <row r="277" spans="1:1" ht="20.100000000000001" customHeight="1" x14ac:dyDescent="0.25">
      <c r="A277" s="22" t="s">
        <v>164</v>
      </c>
    </row>
    <row r="278" spans="1:1" ht="20.100000000000001" customHeight="1" x14ac:dyDescent="0.25">
      <c r="A278" s="27" t="s">
        <v>165</v>
      </c>
    </row>
    <row r="279" spans="1:1" ht="20.100000000000001" customHeight="1" x14ac:dyDescent="0.25">
      <c r="A279" s="22" t="s">
        <v>166</v>
      </c>
    </row>
    <row r="280" spans="1:1" ht="20.100000000000001" customHeight="1" x14ac:dyDescent="0.25">
      <c r="A280" s="22" t="s">
        <v>167</v>
      </c>
    </row>
    <row r="281" spans="1:1" ht="20.100000000000001" customHeight="1" x14ac:dyDescent="0.25">
      <c r="A281" s="22" t="s">
        <v>168</v>
      </c>
    </row>
    <row r="282" spans="1:1" ht="20.100000000000001" customHeight="1" x14ac:dyDescent="0.25">
      <c r="A282" s="22" t="s">
        <v>169</v>
      </c>
    </row>
    <row r="283" spans="1:1" ht="20.100000000000001" customHeight="1" x14ac:dyDescent="0.25">
      <c r="A283" s="27" t="s">
        <v>170</v>
      </c>
    </row>
    <row r="284" spans="1:1" ht="20.100000000000001" customHeight="1" x14ac:dyDescent="0.25">
      <c r="A284" s="27" t="s">
        <v>171</v>
      </c>
    </row>
    <row r="285" spans="1:1" ht="20.100000000000001" customHeight="1" x14ac:dyDescent="0.25">
      <c r="A285" s="27" t="s">
        <v>172</v>
      </c>
    </row>
    <row r="286" spans="1:1" ht="20.100000000000001" customHeight="1" thickBot="1" x14ac:dyDescent="0.3">
      <c r="A286" s="22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56"/>
  <sheetViews>
    <sheetView rightToLeft="1" topLeftCell="A30" workbookViewId="0">
      <selection activeCell="B2" sqref="A2:B52"/>
    </sheetView>
  </sheetViews>
  <sheetFormatPr defaultRowHeight="15" x14ac:dyDescent="0.25"/>
  <cols>
    <col min="1" max="1" width="32.28515625" style="49" customWidth="1"/>
  </cols>
  <sheetData>
    <row r="1" spans="1:4" ht="17.25" thickTop="1" thickBot="1" x14ac:dyDescent="0.3">
      <c r="A1" s="43" t="s">
        <v>21</v>
      </c>
      <c r="B1" s="31" t="s">
        <v>18</v>
      </c>
      <c r="C1" s="31" t="s">
        <v>19</v>
      </c>
      <c r="D1" s="31" t="s">
        <v>22</v>
      </c>
    </row>
    <row r="2" spans="1:4" ht="16.5" thickTop="1" x14ac:dyDescent="0.25">
      <c r="A2" s="44" t="s">
        <v>181</v>
      </c>
      <c r="B2" s="32"/>
      <c r="C2" s="33"/>
      <c r="D2" s="34"/>
    </row>
    <row r="3" spans="1:4" ht="30" x14ac:dyDescent="0.25">
      <c r="A3" s="45" t="s">
        <v>182</v>
      </c>
      <c r="B3" s="35">
        <v>5</v>
      </c>
      <c r="C3" s="34"/>
      <c r="D3" s="34"/>
    </row>
    <row r="4" spans="1:4" ht="105.75" customHeight="1" x14ac:dyDescent="0.25">
      <c r="A4" s="113" t="s">
        <v>183</v>
      </c>
      <c r="B4" s="115">
        <v>5</v>
      </c>
      <c r="C4" s="113"/>
      <c r="D4" s="117"/>
    </row>
    <row r="5" spans="1:4" x14ac:dyDescent="0.25">
      <c r="A5" s="114"/>
      <c r="B5" s="116"/>
      <c r="C5" s="114"/>
      <c r="D5" s="118"/>
    </row>
    <row r="6" spans="1:4" ht="30" x14ac:dyDescent="0.25">
      <c r="A6" s="45" t="s">
        <v>184</v>
      </c>
      <c r="B6" s="35">
        <v>5</v>
      </c>
      <c r="C6" s="33"/>
      <c r="D6" s="34"/>
    </row>
    <row r="7" spans="1:4" ht="30" x14ac:dyDescent="0.25">
      <c r="A7" s="45" t="s">
        <v>185</v>
      </c>
      <c r="B7" s="35">
        <v>5</v>
      </c>
      <c r="C7" s="33"/>
      <c r="D7" s="34"/>
    </row>
    <row r="8" spans="1:4" ht="30" x14ac:dyDescent="0.25">
      <c r="A8" s="45" t="s">
        <v>186</v>
      </c>
      <c r="B8" s="35">
        <v>5</v>
      </c>
      <c r="C8" s="33"/>
      <c r="D8" s="34"/>
    </row>
    <row r="9" spans="1:4" ht="60" x14ac:dyDescent="0.25">
      <c r="A9" s="45" t="s">
        <v>187</v>
      </c>
      <c r="B9" s="35">
        <v>5</v>
      </c>
      <c r="C9" s="33"/>
      <c r="D9" s="34"/>
    </row>
    <row r="10" spans="1:4" ht="30.75" thickBot="1" x14ac:dyDescent="0.3">
      <c r="A10" s="46" t="s">
        <v>188</v>
      </c>
      <c r="B10" s="36">
        <v>5</v>
      </c>
      <c r="C10" s="37"/>
      <c r="D10" s="38"/>
    </row>
    <row r="11" spans="1:4" ht="16.5" thickTop="1" x14ac:dyDescent="0.25">
      <c r="A11" s="44" t="s">
        <v>189</v>
      </c>
      <c r="B11" s="32"/>
      <c r="C11" s="33"/>
      <c r="D11" s="34"/>
    </row>
    <row r="12" spans="1:4" ht="30" x14ac:dyDescent="0.25">
      <c r="A12" s="45" t="s">
        <v>190</v>
      </c>
      <c r="B12" s="35">
        <v>5</v>
      </c>
      <c r="C12" s="33"/>
      <c r="D12" s="34"/>
    </row>
    <row r="13" spans="1:4" ht="30" x14ac:dyDescent="0.25">
      <c r="A13" s="45" t="s">
        <v>191</v>
      </c>
      <c r="B13" s="35">
        <v>5</v>
      </c>
      <c r="C13" s="39"/>
      <c r="D13" s="34"/>
    </row>
    <row r="14" spans="1:4" ht="30" x14ac:dyDescent="0.25">
      <c r="A14" s="45" t="s">
        <v>192</v>
      </c>
      <c r="B14" s="35">
        <v>5</v>
      </c>
      <c r="C14" s="33"/>
      <c r="D14" s="34"/>
    </row>
    <row r="15" spans="1:4" ht="30" x14ac:dyDescent="0.25">
      <c r="A15" s="45" t="s">
        <v>193</v>
      </c>
      <c r="B15" s="35">
        <v>5</v>
      </c>
      <c r="C15" s="33"/>
      <c r="D15" s="34"/>
    </row>
    <row r="16" spans="1:4" ht="30.75" thickBot="1" x14ac:dyDescent="0.3">
      <c r="A16" s="46" t="s">
        <v>194</v>
      </c>
      <c r="B16" s="36">
        <v>5</v>
      </c>
      <c r="C16" s="37"/>
      <c r="D16" s="38"/>
    </row>
    <row r="17" spans="1:4" ht="16.5" thickTop="1" x14ac:dyDescent="0.25">
      <c r="A17" s="44" t="s">
        <v>195</v>
      </c>
      <c r="B17" s="40"/>
      <c r="C17" s="33"/>
      <c r="D17" s="34"/>
    </row>
    <row r="18" spans="1:4" ht="60" x14ac:dyDescent="0.25">
      <c r="A18" s="45" t="s">
        <v>196</v>
      </c>
      <c r="B18" s="35">
        <v>10</v>
      </c>
      <c r="C18" s="33"/>
      <c r="D18" s="34"/>
    </row>
    <row r="19" spans="1:4" ht="30" x14ac:dyDescent="0.25">
      <c r="A19" s="45" t="s">
        <v>197</v>
      </c>
      <c r="B19" s="35">
        <v>5</v>
      </c>
      <c r="C19" s="33"/>
      <c r="D19" s="34"/>
    </row>
    <row r="20" spans="1:4" ht="15.75" x14ac:dyDescent="0.25">
      <c r="A20" s="45" t="s">
        <v>198</v>
      </c>
      <c r="B20" s="35">
        <v>5</v>
      </c>
      <c r="C20" s="33"/>
      <c r="D20" s="34"/>
    </row>
    <row r="21" spans="1:4" ht="16.5" thickBot="1" x14ac:dyDescent="0.3">
      <c r="A21" s="46" t="s">
        <v>199</v>
      </c>
      <c r="B21" s="36">
        <v>5</v>
      </c>
      <c r="C21" s="37"/>
      <c r="D21" s="38"/>
    </row>
    <row r="22" spans="1:4" ht="31.5" thickTop="1" x14ac:dyDescent="0.25">
      <c r="A22" s="45" t="s">
        <v>200</v>
      </c>
      <c r="B22" s="40"/>
      <c r="C22" s="33"/>
      <c r="D22" s="34"/>
    </row>
    <row r="23" spans="1:4" ht="15.75" x14ac:dyDescent="0.25">
      <c r="A23" s="45" t="s">
        <v>201</v>
      </c>
      <c r="B23" s="35">
        <v>5</v>
      </c>
      <c r="C23" s="33"/>
      <c r="D23" s="34"/>
    </row>
    <row r="24" spans="1:4" ht="15.75" x14ac:dyDescent="0.25">
      <c r="A24" s="45" t="s">
        <v>202</v>
      </c>
      <c r="B24" s="35">
        <v>5</v>
      </c>
      <c r="C24" s="33"/>
      <c r="D24" s="34"/>
    </row>
    <row r="25" spans="1:4" ht="15.75" x14ac:dyDescent="0.25">
      <c r="A25" s="45" t="s">
        <v>203</v>
      </c>
      <c r="B25" s="35">
        <v>5</v>
      </c>
      <c r="C25" s="33"/>
      <c r="D25" s="34"/>
    </row>
    <row r="26" spans="1:4" ht="15.75" x14ac:dyDescent="0.25">
      <c r="A26" s="45" t="s">
        <v>204</v>
      </c>
      <c r="B26" s="35">
        <v>5</v>
      </c>
      <c r="C26" s="33"/>
      <c r="D26" s="34"/>
    </row>
    <row r="27" spans="1:4" ht="15.75" x14ac:dyDescent="0.25">
      <c r="A27" s="45" t="s">
        <v>205</v>
      </c>
      <c r="B27" s="35">
        <v>5</v>
      </c>
      <c r="C27" s="33"/>
      <c r="D27" s="34"/>
    </row>
    <row r="28" spans="1:4" ht="15.75" x14ac:dyDescent="0.25">
      <c r="A28" s="45" t="s">
        <v>206</v>
      </c>
      <c r="B28" s="35">
        <v>5</v>
      </c>
      <c r="C28" s="33"/>
      <c r="D28" s="34"/>
    </row>
    <row r="29" spans="1:4" ht="15.75" x14ac:dyDescent="0.25">
      <c r="A29" s="45" t="s">
        <v>207</v>
      </c>
      <c r="B29" s="35">
        <v>5</v>
      </c>
      <c r="C29" s="33"/>
      <c r="D29" s="34"/>
    </row>
    <row r="30" spans="1:4" ht="16.5" thickBot="1" x14ac:dyDescent="0.3">
      <c r="A30" s="46" t="s">
        <v>208</v>
      </c>
      <c r="B30" s="36">
        <v>5</v>
      </c>
      <c r="C30" s="37"/>
      <c r="D30" s="38"/>
    </row>
    <row r="31" spans="1:4" ht="47.25" thickTop="1" x14ac:dyDescent="0.25">
      <c r="A31" s="45" t="s">
        <v>209</v>
      </c>
      <c r="B31" s="40"/>
      <c r="C31" s="33"/>
      <c r="D31" s="34"/>
    </row>
    <row r="32" spans="1:4" ht="15.75" x14ac:dyDescent="0.25">
      <c r="A32" s="45" t="s">
        <v>210</v>
      </c>
      <c r="B32" s="35">
        <v>5</v>
      </c>
      <c r="C32" s="33"/>
      <c r="D32" s="34"/>
    </row>
    <row r="33" spans="1:4" ht="15.75" x14ac:dyDescent="0.25">
      <c r="A33" s="45" t="s">
        <v>211</v>
      </c>
      <c r="B33" s="35">
        <v>5</v>
      </c>
      <c r="C33" s="33"/>
      <c r="D33" s="34"/>
    </row>
    <row r="34" spans="1:4" ht="15.75" x14ac:dyDescent="0.25">
      <c r="A34" s="45" t="s">
        <v>212</v>
      </c>
      <c r="B34" s="35">
        <v>5</v>
      </c>
      <c r="C34" s="33"/>
      <c r="D34" s="34"/>
    </row>
    <row r="35" spans="1:4" ht="15.75" x14ac:dyDescent="0.25">
      <c r="A35" s="45" t="s">
        <v>213</v>
      </c>
      <c r="B35" s="35">
        <v>5</v>
      </c>
      <c r="C35" s="33"/>
      <c r="D35" s="34"/>
    </row>
    <row r="36" spans="1:4" ht="30.75" thickBot="1" x14ac:dyDescent="0.3">
      <c r="A36" s="46" t="s">
        <v>214</v>
      </c>
      <c r="B36" s="36">
        <v>5</v>
      </c>
      <c r="C36" s="37"/>
      <c r="D36" s="38"/>
    </row>
    <row r="37" spans="1:4" ht="47.25" thickTop="1" x14ac:dyDescent="0.25">
      <c r="A37" s="45" t="s">
        <v>215</v>
      </c>
      <c r="B37" s="40"/>
      <c r="C37" s="33"/>
      <c r="D37" s="34"/>
    </row>
    <row r="38" spans="1:4" ht="15.75" x14ac:dyDescent="0.25">
      <c r="A38" s="45" t="s">
        <v>216</v>
      </c>
      <c r="B38" s="35">
        <v>5</v>
      </c>
      <c r="C38" s="33"/>
      <c r="D38" s="34"/>
    </row>
    <row r="39" spans="1:4" ht="15.75" x14ac:dyDescent="0.25">
      <c r="A39" s="45" t="s">
        <v>217</v>
      </c>
      <c r="B39" s="35">
        <v>5</v>
      </c>
      <c r="C39" s="33"/>
      <c r="D39" s="34"/>
    </row>
    <row r="40" spans="1:4" ht="15.75" x14ac:dyDescent="0.25">
      <c r="A40" s="45" t="s">
        <v>218</v>
      </c>
      <c r="B40" s="35">
        <v>5</v>
      </c>
      <c r="C40" s="33"/>
      <c r="D40" s="34"/>
    </row>
    <row r="41" spans="1:4" ht="15.75" x14ac:dyDescent="0.25">
      <c r="A41" s="45" t="s">
        <v>219</v>
      </c>
      <c r="B41" s="35">
        <v>5</v>
      </c>
      <c r="C41" s="33"/>
      <c r="D41" s="34"/>
    </row>
    <row r="42" spans="1:4" ht="15.75" x14ac:dyDescent="0.25">
      <c r="A42" s="45" t="s">
        <v>220</v>
      </c>
      <c r="B42" s="35">
        <v>5</v>
      </c>
      <c r="C42" s="33"/>
      <c r="D42" s="34"/>
    </row>
    <row r="43" spans="1:4" ht="30.75" thickBot="1" x14ac:dyDescent="0.3">
      <c r="A43" s="46" t="s">
        <v>221</v>
      </c>
      <c r="B43" s="36">
        <v>10</v>
      </c>
      <c r="C43" s="37"/>
      <c r="D43" s="38"/>
    </row>
    <row r="44" spans="1:4" ht="31.5" thickTop="1" x14ac:dyDescent="0.25">
      <c r="A44" s="45" t="s">
        <v>222</v>
      </c>
      <c r="B44" s="40"/>
      <c r="C44" s="33"/>
      <c r="D44" s="34"/>
    </row>
    <row r="45" spans="1:4" ht="15.75" x14ac:dyDescent="0.25">
      <c r="A45" s="45" t="s">
        <v>223</v>
      </c>
      <c r="B45" s="35">
        <v>5</v>
      </c>
      <c r="C45" s="33"/>
      <c r="D45" s="34"/>
    </row>
    <row r="46" spans="1:4" ht="16.5" thickBot="1" x14ac:dyDescent="0.3">
      <c r="A46" s="46" t="s">
        <v>224</v>
      </c>
      <c r="B46" s="36">
        <v>5</v>
      </c>
      <c r="C46" s="37"/>
      <c r="D46" s="38"/>
    </row>
    <row r="47" spans="1:4" ht="16.5" thickTop="1" x14ac:dyDescent="0.25">
      <c r="A47" s="45" t="s">
        <v>225</v>
      </c>
      <c r="B47" s="40"/>
      <c r="C47" s="33"/>
      <c r="D47" s="34"/>
    </row>
    <row r="48" spans="1:4" ht="15.75" x14ac:dyDescent="0.25">
      <c r="A48" s="45" t="s">
        <v>226</v>
      </c>
      <c r="B48" s="35">
        <v>5</v>
      </c>
      <c r="C48" s="33"/>
      <c r="D48" s="34"/>
    </row>
    <row r="49" spans="1:4" ht="30" x14ac:dyDescent="0.25">
      <c r="A49" s="45" t="s">
        <v>227</v>
      </c>
      <c r="B49" s="35">
        <v>5</v>
      </c>
      <c r="C49" s="33"/>
      <c r="D49" s="34"/>
    </row>
    <row r="50" spans="1:4" ht="15.75" x14ac:dyDescent="0.25">
      <c r="A50" s="45" t="s">
        <v>228</v>
      </c>
      <c r="B50" s="40"/>
      <c r="C50" s="33"/>
      <c r="D50" s="34"/>
    </row>
    <row r="51" spans="1:4" ht="30" x14ac:dyDescent="0.25">
      <c r="A51" s="45" t="s">
        <v>229</v>
      </c>
      <c r="B51" s="35">
        <v>10</v>
      </c>
      <c r="C51" s="33"/>
      <c r="D51" s="34"/>
    </row>
    <row r="52" spans="1:4" ht="30.75" thickBot="1" x14ac:dyDescent="0.3">
      <c r="A52" s="46" t="s">
        <v>230</v>
      </c>
      <c r="B52" s="36">
        <v>10</v>
      </c>
      <c r="C52" s="37"/>
      <c r="D52" s="38"/>
    </row>
    <row r="53" spans="1:4" ht="16.5" thickTop="1" x14ac:dyDescent="0.25">
      <c r="A53" s="47" t="s">
        <v>231</v>
      </c>
      <c r="B53" s="41" t="s">
        <v>232</v>
      </c>
      <c r="C53" s="42"/>
      <c r="D53" s="42"/>
    </row>
    <row r="54" spans="1:4" ht="15.75" x14ac:dyDescent="0.25">
      <c r="A54" s="47" t="s">
        <v>233</v>
      </c>
      <c r="B54" s="119" t="s">
        <v>234</v>
      </c>
      <c r="C54" s="120"/>
      <c r="D54" s="120"/>
    </row>
    <row r="55" spans="1:4" ht="16.5" thickBot="1" x14ac:dyDescent="0.3">
      <c r="A55" s="48" t="s">
        <v>235</v>
      </c>
      <c r="B55" s="111"/>
      <c r="C55" s="112"/>
      <c r="D55" s="112"/>
    </row>
    <row r="56" spans="1:4" ht="15.75" thickTop="1" x14ac:dyDescent="0.25"/>
  </sheetData>
  <mergeCells count="6">
    <mergeCell ref="B55:D55"/>
    <mergeCell ref="A4:A5"/>
    <mergeCell ref="B4:B5"/>
    <mergeCell ref="C4:C5"/>
    <mergeCell ref="D4:D5"/>
    <mergeCell ref="B54:D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2025-09-30T05:27:28Z</dcterms:modified>
</cp:coreProperties>
</file>