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20C0554-4F99-400E-8564-E1E5A596E2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 s="1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8" i="2"/>
  <c r="H8" i="2"/>
  <c r="F62" i="2"/>
  <c r="E62" i="2"/>
  <c r="E63" i="2"/>
  <c r="E64" i="2" s="1"/>
</calcChain>
</file>

<file path=xl/sharedStrings.xml><?xml version="1.0" encoding="utf-8"?>
<sst xmlns="http://schemas.openxmlformats.org/spreadsheetml/2006/main" count="295" uniqueCount="236">
  <si>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</si>
  <si>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</si>
  <si>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</si>
  <si>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</si>
  <si>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</si>
  <si>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</si>
  <si>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</si>
  <si>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</si>
  <si>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</si>
  <si>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</si>
  <si>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</si>
  <si>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</si>
  <si>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</si>
  <si>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</si>
  <si>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</si>
  <si>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</si>
  <si>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</si>
  <si>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</si>
  <si>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</si>
  <si>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</si>
  <si>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</si>
  <si>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</si>
  <si>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</si>
  <si>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</si>
  <si>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</si>
  <si>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</si>
  <si>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</si>
  <si>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</si>
  <si>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</si>
  <si>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</si>
  <si>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</si>
  <si>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</si>
  <si>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</si>
  <si>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</si>
  <si>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</si>
  <si>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</si>
  <si>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</si>
  <si>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</si>
  <si>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</si>
  <si>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</si>
  <si>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</si>
  <si>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</si>
  <si>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</si>
  <si>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</si>
  <si>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</si>
  <si>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</si>
  <si>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</si>
  <si>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</si>
  <si>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</si>
  <si>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</si>
  <si>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</si>
  <si>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</si>
  <si>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</si>
  <si>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</si>
  <si>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</si>
  <si>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</si>
  <si>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</si>
  <si>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</si>
  <si>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</si>
  <si>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</si>
  <si>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</si>
  <si>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</si>
  <si>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</si>
  <si>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</si>
  <si>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</si>
  <si>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</si>
  <si>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</si>
  <si>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</si>
  <si>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</si>
  <si>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</si>
  <si>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</si>
  <si>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</si>
  <si>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</si>
  <si>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</si>
  <si>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</si>
  <si>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</si>
  <si>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</si>
  <si>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</si>
  <si>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</si>
  <si>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</si>
  <si>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</si>
  <si>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</si>
  <si>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</si>
  <si>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</si>
  <si>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</si>
  <si>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</si>
  <si>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</si>
  <si>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</si>
  <si>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</si>
  <si>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</si>
  <si>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</si>
  <si>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</si>
  <si>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</si>
  <si>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</si>
  <si>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</si>
  <si>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</si>
  <si>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</si>
  <si>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</si>
  <si>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</si>
  <si>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</si>
  <si>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</si>
  <si>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</si>
  <si>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</si>
  <si>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</si>
  <si>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</si>
  <si>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</si>
  <si>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</si>
  <si>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</si>
  <si>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</si>
  <si>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</si>
  <si>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</si>
  <si>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</si>
  <si>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</si>
  <si>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</si>
  <si>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</si>
  <si>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</si>
  <si>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</si>
  <si>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</si>
  <si>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</si>
  <si>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</si>
  <si>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</si>
  <si>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</si>
  <si>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</si>
  <si>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</si>
  <si>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</si>
  <si>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</si>
  <si>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</si>
  <si>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</si>
  <si>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</si>
  <si>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</si>
  <si>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</si>
  <si>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</si>
  <si>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</si>
  <si>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</si>
  <si>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</si>
  <si>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</si>
  <si>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</si>
  <si>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</si>
  <si>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</si>
  <si>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</si>
  <si>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</si>
  <si>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</si>
  <si>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</si>
  <si>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</si>
  <si>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</si>
  <si>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</si>
  <si>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</si>
  <si>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</si>
  <si>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</si>
  <si>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</si>
  <si>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</si>
  <si>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</si>
  <si>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</si>
  <si>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</si>
  <si>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</si>
  <si>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</si>
  <si>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</si>
  <si>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</si>
  <si>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</si>
  <si>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</si>
  <si>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</si>
  <si>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</si>
  <si>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</si>
  <si>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</si>
  <si>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</si>
  <si>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</si>
  <si>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</si>
  <si>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</si>
  <si>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</si>
  <si>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</si>
  <si>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</si>
  <si>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</si>
  <si>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</si>
  <si>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</si>
  <si>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</si>
  <si>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</si>
  <si>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</si>
  <si>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</si>
  <si>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</si>
  <si>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</si>
  <si>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توفير الحماية وتأمينها للقوافل أثناء مسيرها في منطقة العمليات.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</si>
  <si>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تأمين طريق محدد ولفترة معينة أثناء حركة عدة قوافل دون عرقلة.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</si>
  <si>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وضع إمكانيات الهندسة في المقدمة للتعامل مع العوائق في حال وجودها.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</si>
  <si>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في حال إلحاق فريق إسناد نيران، يتم وضعه بالقرب من قائد الفصيل.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</si>
  <si>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استخدم الفصيل لتشكيل الرتل وذلك لسرعته وسهولة حركته.</t>
    </r>
  </si>
  <si>
    <t>ب. ترددات الوحدة المراد تأمينها وإشارات الاتصال.</t>
  </si>
  <si>
    <t>جـ. عدد الآليات وأنواعها وترتيبها أثناء الحركة.</t>
  </si>
  <si>
    <t>هـ. نقاط التفتيش الموجودة على الطريق.</t>
  </si>
  <si>
    <t>ح. تحديد طريق بديل.</t>
  </si>
  <si>
    <t>ط. إجراءات الطوارئ المتخذة في حال التعرض لكمائن أو هجمات من قبل قناصين أو هجوم جوي أو بالمدفعية.</t>
  </si>
  <si>
    <t>ي. إجراءات الرد على الكمائن.</t>
  </si>
  <si>
    <t>ك. التنسيق مع قوة الاستجابة المسؤولة عن منطقة العمليات.</t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</si>
  <si>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استخدام آلية كشف تكون أمام القافلة (3 إلى 5 دقائق) لتحذير قائد القافلة في حال وجود أي نشاط للعدو أو وجود العوائق.</t>
    </r>
  </si>
  <si>
    <t>جـ. تجنب القيادة فوق الاجسام الغريبة والأغصان والأعشاب في الطريق.</t>
  </si>
  <si>
    <t>د. الانتباه إلى حركة المرور المحلية وسلوك المارة حيث قد يساعد ذلك في معرفة مواقع الألغام ومصائد المغفلين.</t>
  </si>
  <si>
    <t>ب. تأسيس وحدة أمن راجلة وتوفير الأمن من خلال كافة النشاطات التي يوجهها قائد القافلة.</t>
  </si>
  <si>
    <t>جـ. تأسيس موقع مراقبة على العوائق.</t>
  </si>
  <si>
    <t>د. التأكد من أن آليات القافلة تبقى على الطريق.</t>
  </si>
  <si>
    <t>هـ. تحريك عناصر الحماية إلى الأجنحة لتوفير الأمن.</t>
  </si>
  <si>
    <t>و. التأكد من أن كافة آليات القافلة مدركة لإمكانية وجود الألغام التي قد يقوم العدو بزراعتها في المنطقة وخاصةً على أجنحة الطريق.</t>
  </si>
  <si>
    <r>
      <rPr>
        <b/>
        <sz val="14"/>
        <color rgb="FF000000"/>
        <rFont val="Arial"/>
        <family val="2"/>
      </rPr>
      <t xml:space="preserve">تقييـــــم فصيــــــل الشرطـــــة العسكريــــة في إســــناد عمليــــــات القوافـــــــل 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</si>
  <si>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أ. تعقب الآلية التي في الأمام عند القيادة.</t>
  </si>
  <si>
    <t>ب. تجنب القيادة على حافة الطريق.</t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</si>
  <si>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قام قائد الفصيل بإعداد وتطوير خطة أمن القافلة بحيث تتضمن ما يلي:</t>
    </r>
  </si>
  <si>
    <t>أ. إسناد القافلة.</t>
  </si>
  <si>
    <t>و. إجراءات الأمن أثناء الوقفات والاستراحات.</t>
  </si>
  <si>
    <t>ز. كيفية تعزيز الأمن عند النقاط الحرجة مثل الجسور والأنفاق والتقاطعات الهامة والمناطق الخطرة الأخرى.</t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</si>
  <si>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اختيار الفِرَق لتوفير الأمن القريب للقافلة من قائد الفصيل 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</si>
  <si>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في حال التعرض للهجوم اختار القائد فِرَقاً أخرى للمناورة باتجاه العدو وإطلاق النيران.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</si>
  <si>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تنسيق قائد الفصيل مع قائد القافلة للتأكد من فهم كل أفراد القافلة لخطة الأمن المستخدمة.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</si>
  <si>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تنفيذ تدريب مشترك مع قائد القافلة وكل عناصر الأمن إذا توفر الوقت.</t>
    </r>
  </si>
  <si>
    <r>
      <rPr>
        <sz val="12"/>
        <color rgb="FF000000"/>
        <rFont val="Arial"/>
        <family val="2"/>
      </rPr>
      <t>12.</t>
    </r>
    <r>
      <rPr>
        <b/>
        <sz val="12"/>
        <color rgb="FF000000"/>
        <rFont val="Arial"/>
        <family val="2"/>
      </rPr>
      <t>   رد الفعل عن التعرض لكمين.</t>
    </r>
  </si>
  <si>
    <t>أ.   الرد السريع والقوى والحاسم على الكمين إذا حدث.</t>
  </si>
  <si>
    <t>ب.  تتجه آليات الأمن صوب العدو عند بدء الكمين.</t>
  </si>
  <si>
    <t>جـ. التحرك لمواقع مخفية بين العدو والقافلة بهدف إخماد نيران العدو وبأقصى حد ممكن من النيران وحجب الرؤية عن العدو باستخدام الدخان.</t>
  </si>
  <si>
    <r>
      <t>ز.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إيقاف الآليات قبل أن تدخل منطقة التقتيل.</t>
    </r>
  </si>
  <si>
    <r>
      <t>ح.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إبعاد الآليات الموجودة في منطقة التقتيل بعيداً بأقصى سرعة ممكنة.</t>
    </r>
  </si>
  <si>
    <r>
      <t>ط.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تقوم آلية الكشف باختيار منطقة آمنة ليحرك قائد القافلة آلياته إليها.</t>
    </r>
  </si>
  <si>
    <r>
      <t>ك.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التخلي عن الآليات المتضررة أو المتعطلة أو يتم إبعادها عن الطريق في حال لم تكن ضرورية لإنجاز المهمة.</t>
    </r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</si>
  <si>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تتخذ قوات الأمن مواقع الحماية بمقدار 360 درجة حول القافلة وتكون أسلحتها موجهة للخارج.</t>
    </r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</si>
  <si>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تبقى قوات الأمن متيقظة وتعمل على تأسيس وحدة أمن محلية راجلة.</t>
    </r>
  </si>
  <si>
    <r>
      <t>19.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تتجه القافلة نحو المنطقة المحمية وتتمركز في منتصف المحيط.</t>
    </r>
  </si>
  <si>
    <r>
      <t>20.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إيجاد موقع للآليات خارج الطريق الرئيسي في حال عدم وجود تهديد من ألغام العدو ولكن يجب أن تكون في موقعٍ تستطيع من خلاله العودة إلى الطريق الرئيسية بسهولة.</t>
    </r>
  </si>
  <si>
    <r>
      <t>د.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بقاء فريق واحد على الأقل مع القافلة لتوفير الحماية القريبة.</t>
    </r>
  </si>
  <si>
    <r>
      <t>هـ.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إرسال التقرير المناسب للقيادة العليا من قبل قائد الفصيلة.</t>
    </r>
  </si>
  <si>
    <r>
      <t>و.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فرض سيطرة قائد القافلة على القافلة ومواصلة اتصاله عبر اللاسلكي مع قوة الأمن.</t>
    </r>
  </si>
  <si>
    <r>
      <t>ي.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استخدام الدخان لتغطية حركة الآليات إن أمكن.</t>
    </r>
  </si>
  <si>
    <r>
      <t>ل.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رفع تقرير عن الوضع الحالي من قبل قائد الفصيل.</t>
    </r>
  </si>
  <si>
    <r>
      <t>24.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إيجاز السائقين عن إجراءات الوقاية من الألغام التالية: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</si>
  <si>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2"/>
        <color theme="1"/>
        <rFont val="Arial"/>
        <family val="2"/>
      </rPr>
      <t>الاستمرار في حركة الآليات في حال تعرض القافلة إلى هجوم المدفعية، بأقصى سرعة ممكنة حتى تبتعد عن المنطقة.</t>
    </r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</si>
  <si>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تتفرق الآليات وعلى الأفراد محاولة إيجاد غطاءٍ لها في حالة تعرض القافلة لهجوم جوي.</t>
    </r>
  </si>
  <si>
    <r>
      <t>15.</t>
    </r>
    <r>
      <rPr>
        <sz val="7"/>
        <color rgb="FF000000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 اتخاذ الإجراءات التالية على الموانع من قبل أفراد الأمن:</t>
    </r>
  </si>
  <si>
    <t>أ. طلب قائد القافلة التوقف عند عثور آلية الأمن الموجودة في المقدمة على عائق ما.</t>
  </si>
  <si>
    <r>
      <t>16.</t>
    </r>
    <r>
      <rPr>
        <sz val="7"/>
        <color rgb="FF000000"/>
        <rFont val="Times New Roman"/>
        <family val="1"/>
      </rPr>
      <t xml:space="preserve">   </t>
    </r>
    <r>
      <rPr>
        <sz val="12"/>
        <color theme="1"/>
        <rFont val="Arial"/>
        <family val="2"/>
      </rPr>
      <t>أخذ تشكيلة عظمة السمكة عند توقف القافلة للتوقف لفترات قصيرة.</t>
    </r>
  </si>
  <si>
    <r>
      <t>21.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استعادة تشكيلة الرتل عند استئناف الحركة مع إتاحة المجال للآليات الأمنية.</t>
    </r>
  </si>
  <si>
    <t>المقدم/ سلطان سعيد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</si>
</sst>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Calibri Light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2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center" vertical="center" wrapText="1" readingOrder="2"/>
    </xf>
    <xf numFmtId="0" fontId="3" fillId="0" borderId="17" xfId="0" applyFont="1" applyBorder="1" applyAlignment="1" applyProtection="1">
      <alignment horizontal="center" vertical="center" wrapText="1" readingOrder="2"/>
      <protection locked="0"/>
    </xf>
    <xf numFmtId="9" fontId="3" fillId="0" borderId="17" xfId="0" applyNumberFormat="1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7" xfId="0" applyFont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12" fillId="0" borderId="26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27" xfId="0" applyFont="1" applyBorder="1" applyAlignment="1">
      <alignment horizontal="right" vertical="center" wrapText="1" readingOrder="2"/>
    </xf>
    <xf numFmtId="0" fontId="12" fillId="0" borderId="17" xfId="0" applyFont="1" applyBorder="1" applyAlignment="1">
      <alignment horizontal="right" vertical="center" wrapText="1" readingOrder="2"/>
    </xf>
    <xf numFmtId="0" fontId="12" fillId="0" borderId="26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5" fillId="0" borderId="26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5" fillId="0" borderId="12" xfId="0" applyFont="1" applyBorder="1" applyAlignment="1">
      <alignment horizontal="right" vertical="center" wrapText="1" indent="2" readingOrder="2"/>
    </xf>
    <xf numFmtId="0" fontId="15" fillId="0" borderId="13" xfId="0" applyFont="1" applyBorder="1" applyAlignment="1">
      <alignment horizontal="right" vertical="center" wrapText="1" indent="2" readingOrder="2"/>
    </xf>
    <xf numFmtId="0" fontId="12" fillId="0" borderId="15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15" fillId="0" borderId="26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2" fillId="0" borderId="13" xfId="0" applyFont="1" applyBorder="1" applyAlignment="1">
      <alignment horizontal="right" vertical="center" wrapText="1" indent="2" readingOrder="2"/>
    </xf>
    <xf numFmtId="0" fontId="6" fillId="0" borderId="29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6"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520086</xdr:colOff>
      <xdr:row>65</xdr:row>
      <xdr:rowOff>433978</xdr:rowOff>
    </xdr:from>
    <xdr:to>
      <xdr:col>6</xdr:col>
      <xdr:colOff>520446</xdr:colOff>
      <xdr:row>65</xdr:row>
      <xdr:rowOff>442258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FBB4FFB-8450-4BE5-0479-D634CDF00241}"/>
                </a:ext>
              </a:extLst>
            </xdr14:cNvPr>
            <xdr14:cNvContentPartPr/>
          </xdr14:nvContentPartPr>
          <xdr14:nvPr macro=""/>
          <xdr14:xfrm>
            <a:off x="10400040644" y="32357160"/>
            <a:ext cx="360" cy="82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FBB4FFB-8450-4BE5-0479-D634CDF002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034524" y="32351040"/>
              <a:ext cx="1260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124446</xdr:colOff>
      <xdr:row>65</xdr:row>
      <xdr:rowOff>225178</xdr:rowOff>
    </xdr:from>
    <xdr:to>
      <xdr:col>7</xdr:col>
      <xdr:colOff>26876</xdr:colOff>
      <xdr:row>65</xdr:row>
      <xdr:rowOff>378178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80B7EC3-C7F4-CB7C-36C6-FA5CBFC556E2}"/>
                </a:ext>
              </a:extLst>
            </xdr14:cNvPr>
            <xdr14:cNvContentPartPr/>
          </xdr14:nvContentPartPr>
          <xdr14:nvPr macro=""/>
          <xdr14:xfrm>
            <a:off x="10399876124" y="32148360"/>
            <a:ext cx="560520" cy="1530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80B7EC3-C7F4-CB7C-36C6-FA5CBFC556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70004" y="32142240"/>
              <a:ext cx="57276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567606</xdr:colOff>
      <xdr:row>65</xdr:row>
      <xdr:rowOff>156058</xdr:rowOff>
    </xdr:from>
    <xdr:to>
      <xdr:col>6</xdr:col>
      <xdr:colOff>600006</xdr:colOff>
      <xdr:row>65</xdr:row>
      <xdr:rowOff>246418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CF016B1-2B8D-4950-DF0F-3A00F88D4D6E}"/>
                </a:ext>
              </a:extLst>
            </xdr14:cNvPr>
            <xdr14:cNvContentPartPr/>
          </xdr14:nvContentPartPr>
          <xdr14:nvPr macro=""/>
          <xdr14:xfrm>
            <a:off x="10399961084" y="32079240"/>
            <a:ext cx="32400" cy="90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CF016B1-2B8D-4950-DF0F-3A00F88D4D6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954964" y="32073120"/>
              <a:ext cx="4464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13196</xdr:colOff>
      <xdr:row>65</xdr:row>
      <xdr:rowOff>136618</xdr:rowOff>
    </xdr:from>
    <xdr:to>
      <xdr:col>7</xdr:col>
      <xdr:colOff>121916</xdr:colOff>
      <xdr:row>65</xdr:row>
      <xdr:rowOff>372418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FE8AE36-E8D4-7F1B-2417-65376931AA9E}"/>
                </a:ext>
              </a:extLst>
            </xdr14:cNvPr>
            <xdr14:cNvContentPartPr/>
          </xdr14:nvContentPartPr>
          <xdr14:nvPr macro=""/>
          <xdr14:xfrm>
            <a:off x="10399781084" y="32059800"/>
            <a:ext cx="108720" cy="2358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FE8AE36-E8D4-7F1B-2417-65376931AA9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774964" y="32053680"/>
              <a:ext cx="12096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206516</xdr:colOff>
      <xdr:row>65</xdr:row>
      <xdr:rowOff>289258</xdr:rowOff>
    </xdr:from>
    <xdr:to>
      <xdr:col>7</xdr:col>
      <xdr:colOff>362756</xdr:colOff>
      <xdr:row>65</xdr:row>
      <xdr:rowOff>364858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DB8A033-0697-A055-8E70-09324BA777A7}"/>
                </a:ext>
              </a:extLst>
            </xdr14:cNvPr>
            <xdr14:cNvContentPartPr/>
          </xdr14:nvContentPartPr>
          <xdr14:nvPr macro=""/>
          <xdr14:xfrm>
            <a:off x="10399540244" y="32212440"/>
            <a:ext cx="156240" cy="756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DB8A033-0697-A055-8E70-09324BA777A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9534124" y="32206320"/>
              <a:ext cx="168480" cy="8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281046</xdr:colOff>
      <xdr:row>64</xdr:row>
      <xdr:rowOff>488068</xdr:rowOff>
    </xdr:from>
    <xdr:to>
      <xdr:col>8</xdr:col>
      <xdr:colOff>26865</xdr:colOff>
      <xdr:row>65</xdr:row>
      <xdr:rowOff>429658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3D71725-4B99-1950-CD08-82C6AA5F2E49}"/>
                </a:ext>
              </a:extLst>
            </xdr14:cNvPr>
            <xdr14:cNvContentPartPr/>
          </xdr14:nvContentPartPr>
          <xdr14:nvPr macro=""/>
          <xdr14:xfrm>
            <a:off x="10399218044" y="31880160"/>
            <a:ext cx="1062000" cy="4726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3D71725-4B99-1950-CD08-82C6AA5F2E4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399211924" y="31874040"/>
              <a:ext cx="1074240" cy="484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4T19:06:13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0,'0'0,"0"0,0 0,0 0,0 0,0 0,0 0,0 0,0 0,0 0,0 0,0 0,0 0,0 16,0-9,0-14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9:06:19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1460 189 5385,'0'0'0,"4"0"2976,-4-1-2352,5-3-376,-5 4-248,7-3 209,-7 0 55,0 0-120,0 2 0,0 1-144,0-3 240,0 2-176,0-2-24,0 0 16,0 3-56,0-4 0,0 1 32,0 1 56,0 0-80,0 2-8,0-2-40,0 1 32,0-1 8,0 2-24,0 0 24,0 0-80,3 0 48,2 0 24,-3 0-8,-2 0 16,0 0-8,2 0-16,1 0-128,-2 3 144,-1-3 8,5 3 88,-3 0-96,-2 0 24,3-1-64,-3-2 48,0 3-48,0 2 0,2-1 120,-2 0-64,0-4-8,0 13-24,0-10 0,0 1 0,0 7 8,0-11 16,0 3-72,0 1 64,-2 9 16,-1-10-32,3-3 24,0 12 0,-4-8 16,0 9-104,1-9 96,3-4-8,-4 11 40,-1-8-88,2 8 8,1-8 8,2-3 32,-7 12 0,2-10-8,-6 3 8,6 8 8,5-13-8,-5 2-24,3 3 56,-4 6-8,1-8 8,5-3-32,-12 4-32,9 0 24,-4 8 0,-4-9 0,11-3 8,-2 4 8,-10-1 0,6 1 48,-7-1-48,13-3-8,-2 3 32,-9 0-8,4-1 0,-3 1 24,10-3-48,-5 0 64,1 0 8,-3 0 40,3 0-8,4 0-104,-5 0 184,-7 0 24,12 0-8,-4-1 152,4 1-352,-5-2 400,0 0 96,3-3 88,-3 1-24,5 4-560,-2-4 560,-3-1-79,1 0-65,-3-7-136,7 12-280,0-4 200,-5-7-56,3 6 24,-1-6-64,3 11-104,-2-6 128,2-6-32,-3 6-24,1-8 24,2 14-96,0-5 72,-2-9 48,2 9-64,-2-10 56,2 15-112,-2-4 176,2-10-64,0 8 16,0-8-40,0 14-88,0-6 48,0-7 0,0 9-16,-3-9 16,3 13-48,0-2 56,-2-4-8,0 0 88,2 1-88,0 5-48,0-5 24,0 0 16,0 0-88,-3 1 56,3 4-8,0-3 56,0 2-32,0-2-24,0 2-8,0 1 8,0-2-16,0 2-24,0 0-24,0 0-40,0 0 104,0 0-136,0 0-64,0 3 40,0 0 32,0-3 128,0 3-144,0 1 64,0 7-8,0-8 48,0-3 40,0 13-56,0-10 16,0 11 40,0-10-48,0-4 48,0 16-32,0-5 40,0-7-40,0 12 0,0-16 32,-2 4-16,2 12 8,0-12-16,-3 12 24,3-16 0,-2 4-8,0 12-8,-1-12 16,1 9-8,2-13 8,0 3-8,-2 8-8,-2-8 16,-1 8 16,5-11-16,-3 3 16,-2 1 8,1 1-24,-1-1 48,5-4-48,-4 4 40,2 1 0,-6-3 0,4 1-48,4-3 8,-5 0 24,-2 3 8,-4-3 8,11 0 32,0 0-72,-5 0 112,-2 0-8,4 0 48,-1-1 24,4 1-176,-4-2 152,4-1-48,-3-1 72,1 0-16,2 4-160,-3-4 176,1-2 8,2-6-72,0 8 24,0 4-136,0-11 120,0 7 8,0-2-64,0-5-64,0 11 0,0-3-16,0-2 40,0 0 0,0-1-104,0 6 80,0-4 8,0 0 8,0 1-16,0 1-24,0 2 24,0-1 24,0-1-96,0 1 56,0 0 176,0 1-160,0-2-48,0 2 56,0-1-8,0 1-8,0 0 8,0 0-64,0 0-56,0 0-32,0 0 488,0 0-792,0 0 304,0 3 32,0-3-56,0 0 176,0 2-48,-3 1 16,3 0-32,-2 0 80,2-3-16,-2 4-24,-3 0-32,3-1 88,2 2 72,0-5-104,-4 2-32,-4 1 8,6 2-16,-3-3 24,5-2 16,-5 5-40,-6-1 40,9 0-48,-10 0 8,12-4 40,-5 3 8,-8 2-16,8-3-16,-9 3-128,14-5 152,-4 2 32,-11 1-8,10-3 8,-8 0 88,13 0-120,-5 3-32,-7-3 16,8 0 64,-3 0 80,7 0-128,-12-1 176,10-2 8,-3-3 128,1 1 96,4 5-408,-5-12 409,0 6 79,3-6-80,-5 0-48,7 12-360,-3-11 264,1-2-8,-4-1-104,6-2-152,0 16 0,-5-15 168,5-1-104,-2 0-88,2 1 64,0 15-40,-3-16-40,3 2 16,-2 0 112,-1-1 16,3 15-104,0-12-16,0-1 16,0 2-16,0 5 96,0 6-80,0-12-24,0 8 8,0 0-32,0 0 8,0 4 40,0-3 16,3 1-32,-3 1-24,0 0-88,0 1 128,0 0-104,0 0-32,0 0-32,0 0-48,0 0 840,0 0-1448,0 2 664,0 1 88,0 2 16,0-5 56,2 11-32,-2-7-8,0 9-56,5-9 96,-5-4 0,0 16-40,0-5 40,0-7-40,5 15 40,-5-19 0,0 11-8,2 1-120,-2 0 120,0 0-40,0-12 48,0 13-24,0-1 72,0 1-112,0-1-48,0-12 112,-2 11-8,2 2-8,-3-2 40,1 2-24,2-13 0,-2 4 0,-3 13 16,0-5 16,0-1 16,5-11-48,-11 11 0,6-6-24,-7 9 48,8-10 56,4-4-80,-16 14-16,7-9 16,-8 7-8,4-9-16,13-3 24,-12 12 8,-3-10 32,-1 3-16,3-1-40,13-4 16,-17 4 48,-1 1-48,16-3 128,-15-2-32,17 0-96,-11 3 104,-6-3 32,3 3-136,-4-3 64,18 0-64,-19 0 0,-4 0 96,2 0-112,-2 0 120,23 0-104,-24 0 48,3-1-72,1-2 64,-3-1-88,23 4 48,-19-5 0,-2 0 24,-2-7-40,6 9 32,17 3-16,-16-4 32,3-9 32,1 9 40,-3-7-16,15 11-88,-6-6 136,-8-7-40,14 2 40,-5-1-56,5 12-80,-6-11 48,3-2 72,1 0-112,2 1 80,0 12-88,0-13 96,2-1-88,3-2 56,4 2-112,-9 14 48,4-16-16,11 1-96,-4-3 72,1 3 16,-12 15 24,9-16-40,5 1 152,-3-1-136,3 2 80,-14 14-56,14-14 8,0 1-200,0 1 192,-2 1-40,-12 11 40,14-6-48,-3-7 24,4 9-40,-4 0 8,-11 4 56,2-4-64,12 1 128,-9 1-192,6 2 40,-11 0 88,3 0-32,-1 3-88,3 2-56,0 6 40,-5-11 136,2 4-160,-2 9 80,0-9 16,0 12 16,0-16 48,0 11-48,0 1-64,0-1 128,0 0-8,0-11-8,0 13-64,0-1 88,-2 0 8,-3 0-64,5-12 32,-5 12-8,-7 0 80,6 1-32,-9-1 72,15-12-112,-11 13 88,2-1 48,-6 0-88,2 1 40,13-13-88,-14 13 176,-5-2-120,5 1 16,-4-1-24,18-11-48,-19 11 56,0 1-72,3-8 56,-4 13-64,20-17 24,-20 4 0,0 9 0,1-8 64,0 6-40,19-11-24,-20 3-40,1 1 56,1 0-8,1 1 32,17-5-40,-18 4 40,1 0 64,6-1-184,-3-3 96,14 0-16,-11 3 72,1-3-96,3 0 48,-7 0-88,14 0 64,-2 0-88,-10 0-152,10 0-168,-5-2-320,7 2 728,-2-3-1233,-3-1-535,3 0-593,-1-2-455,3 6 2816,-2-13-2761,2 2 193,0-2 399,5-1-79,-5 14 2248,0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9:06:19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50 10146,'0'0'0,"0"0"0,0-3 2320,4-1-1192,-4 0-175,5 0 47,-5 4-1000,5-6 984,0 0-248,0 1-200,7 0-104,-12 5-432,0-4 224,0 0-32,2 2-79,-2 1-57,0 1-56,0-1 48,3 1-80,-3 0-32,0 0-57,0 0 121,0 0-32,0 2-16,2 3 24,3 6 32,-5-11-8,0 4-56,2 12 16,1-3-32,-1 1-24,-2-14 96,2 17-56,3 1-80,-2 1-48,-3 1-256,0-20 440,0 20-1048,2 0-944,0 0-1017,3-3-672,-5-17 3681,12 18-3473,-9-2-183,-3-16 3656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9:06:20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301 654 280,'0'0'0,"0"-1"384,0 0 320,0-1 256,0 2-960,0-1 1184,0-2 145,0 0-329,0 0-248,0 3-752,-2-3 544,-1 1-72,1-3 48,-3 2 72,5 3-592,0-2 576,-2-3-63,-6 1-113,6 0-8,2 4-392,-7-4 424,-3-2 128,5 0 88,1-5-16,4 11-624,-12-5 600,4-6-136,-6 7-63,2-10-81,12 14-320,-12-5 288,0-7 16,-3 7 24,3-6 16,12 11-344,-17-4 264,13-9 40,-8 9 0,0-9-24,12 13-280,-12-4 400,0-9-16,7 8 32,-7-7 81,12 12-497,-7-6 472,-6-7 48,11 8 16,-10-13 8,12 18-544,-2-12 632,-6-3-136,6-2 40,-3-1-112,5 18-424,-5-19 336,5-2 49,-4-2-169,4-1 96,0 24-312,-3-24 112,1 0 0,2-2-88,0 2-32,0 24 8,0-24 96,0 1-136,0 2 104,0 1-128,0 20 64,0-18-88,0 2-72,0 3-320,0 2-281,0 11 761,0-5-1464,0 1-824,0 0-1425,0 3-1240,0 1 4953,0 0-5033,-3 2 304,3-2 4729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9:06:20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400 74 11002,'0'0'0,"0"0"7481,2 0-7224,1 0-281,4 0 7,-5 0-103,1 3 112,2 0-200,-5-3 208,4 3-152,-1-1 104,-1 3-144,-2 6 176,0-11 16,3 3-128,-3 1 0,0 9 120,0-9-88,0-4 96,0 12-16,-3-8-16,1 9-40,-10-11-32,12-2 104,-5 13-80,-2-10 80,-3 9-96,8-10 224,2-2-128,-12 5 72,7-1 48,-2 0 144,-5 0 48,12-4-312,-3 3 536,-11 0 1,9-3 167,-7 0-232,12 0-472,-12 0 432,7 0 120,-12 0-304,5-1 64,12 1-312,-12-5 264,-5 1-240,5-7 56,0 7-56,12 4-24,-19-12-152,5 6-64,-1-9 64,-4 3-72,19 12 224,-14-12-128,-1 0 176,-2-1-136,1-1 80,16 14 8,-15-13-120,1 1-624,-1-1-536,1 0 3352,14 13-2072,-15-13-5281,3 0-3225,3 2 3001,9 11 5505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9:06:22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1265 576 27709,'0'0'0,"0"0"40,0 0-8,5 3-208,-5-3 176,2 3-144,2 0-168,-2 0-80,1 1-48,-3-4 440,2 4-784,-2 8-152,0-9-545,0 1-615,0-4 2096,0 14-3049,0-11-1912,0 8-624,0-8-408,0-3 5993</inkml:trace>
  <inkml:trace contextRef="#ctx0" brushRef="#br0" timeOffset="1">930 1056 15699,'0'0'0,"0"0"752,0 0-800,-2-2 144,2 2-96,0-1 160,0 1-48,-1-2 40,-2 1-96,3 1-56,-2-1 192,-1-1-112,1 1 8,0-1 40,2 2-128,-5-3-72,0 1 0,3-2-88,-5-1-160,7 5 320,-9-4-256,4 0 16,-6 0 120,4-1-80,7 5 200,-15-4-160,7-2 4145,-7 2-3993,2-1 120,13 5-112,-15-6 8,-5 2-32,1-1-272,0 1 184,19 4 112,-23-4-256,0-1-184,-5 3 279,0 0-271,28 2 432,-25-1-176,-3-1 160,0 1-136,3 0 152,25 1 0,-33 0-224,8 0-88,-7 0 240,2 0-104,30 0 176,-31 0-24,-1 0-64,6 0-64,-6 0-8,32 0 160,-26 0 3881,-2 0-3649,3 0-272,2 0 448,23 0-408,-23 0-216,0 2 192,0-2 136,3 0-88,20 0-24,-18 0 88,-3 0-216,7 0 168,3 0-424,11 0 384,-12 0 168,7 0 136,-8 3-224,13-3 296,0 0-376,-3 0-64,1 0-264,2 0 88,5 0-184,-5 0 424,11 0 32,1 0 152,6 0 72,-1 0 184,-17 0-440,18 0 184,5 0 216,0-1-160,10-1 0,-33 2-240,30-1 448,5-2-256,4 0 161,1-1-4546,-40 4 4193,44-3-4025,4 0 4089,3-1-56,0 1 136,-51 3-144,58-4 224,0 1-104,3 0 48,2 0-32,-63 3-136,67-4 288,2 1-56,8 0-176,64-1 16,-141 4-72,137-4-40,-10 0 32,-3-1 136,-11 3 8,-113 2-136,100-3 136,-8 0 8,-17 1 64,-1 0-64,-74 2-144,72-5 112,-2 3 88,-1-3-32,-6 1-56,-63 4-112,69-4 8,42-2-176,-29 0 24,-19 1 208,-63 5-64,41-3 120,-9 2 24,-1-1 32,-3 1-160,-28 1-16,23-1 104,0-1 33,-5 2-81,1-1-32,-19 1-24,16 0-8,-3-2 56,0 2-72,-9-1 24,-4 1 0,14 0 56,-12-2-8,3 2 40,-3 0 24,-2 0-112,5 0 56,-2 0-136,-3 0 104,0-1 0,0 1-24,0 0 8,0-1 120,4 1-120,-4 0 40,0 0-48,2 0 64,3-2-112,-3 2 112,0 0-40,-2 0-24,0-1-16,0 1 168,3 0-96,-3 0-40,0 0-16,0-2 128,0 2 16,-3 0-16,3 0 24,0 0-152,-4-1 88,-1 1-120,-9-1 24,10-1 8,4 2 0,-19-1 8,2-1-16,-1 1 16,-2-1-8,20 2 0,-23-1-24,-3 0 40,1 1-32,-6 0 8,31 0 8,-37 0-80,2 0 48,-4 0-24,21 0 96,18 0-40,-31 0 40,4 0-16,-9 0-16,1-2-120,35 2 112,-43 0 0,1-1 16,-7-1-16,-2 1-40,51 1 40,-49-2-64,-1 0 16,-1-3 24,4 1-24,47 4 48,-47-6-24,6-5 24,1 7-40,4-10 56,36 14-16,-33-12 32,3-1 8,2-2 96,5-1 0,23 16-136,-23-17 144,7-3-8,-1-2-64,6-1 8,11 23-80,-2-24-24,-3-3-16,2-2-24,3 0 0,0 29 64,14-33-40,-2-1-56,4 0 8,1 0-40,-17 34 128,20-36-120,1 1 32,2-2-24,0 2 32,-23 35 80,24-34-32,-3 2 8,2 1 56,-3 4 8,-20 27-40,21-26 24,3 4 24,-3 5-56,-3 2-16,-18 15 24,16-12-56,1 8 32,-4-2-32,2 2-32,-15 4 88,8-1-64,-3 1-80,9 2 80,-9 13 24,-5-15 40,3 14-48,8 3 24,-11 6-32,4 5-48,-4-28 104,5 30-80,-2 4 64,-1 1-16,-2 4 40,0-39-8,4 39 24,-2 4-48,1-1 88,2 1-64,-5-43 0,12 42 72,-9 4 16,0-4 32,11 2 64,-14-44-184,5 43 120,6 2 96,1-2-48,-7-2 32,-5-41-200,16 41 264,-7 0-8,2 0 64,1-1-104,-12-40-216,5 38 240,11-1-32,-14 0-48,12-2 32,-14-35-192,5 33 104,7-3 40,-10-2-72,14-1 0,-16-27-72,5 23 72,4-3-32,-5-1 8,6-2-56,-8-4 32,-2-13-24,5 13 40,0-9-16,-3 11 80,2-13-8,-4-2-96,5 5 40,0-1 0,-3-1-96,-2-3 56,2 0-272,-2 3-544,0-3-784,5 0-1817,-5-5-1760,0 5 5177,0-12-5433,0 6 280,0 6 5153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6"/>
  <sheetViews>
    <sheetView rightToLeft="1" tabSelected="1" view="pageBreakPreview" topLeftCell="A60" zoomScale="130" zoomScaleNormal="100" zoomScaleSheetLayoutView="130" workbookViewId="0">
      <selection activeCell="E59" sqref="E5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7" t="s">
        <v>200</v>
      </c>
      <c r="C1" s="47"/>
      <c r="D1" s="47"/>
      <c r="E1" s="47"/>
      <c r="F1" s="47"/>
      <c r="G1" s="47"/>
      <c r="H1" s="47"/>
      <c r="I1" s="47"/>
      <c r="J1" s="47"/>
    </row>
    <row r="2" spans="1:10" ht="30" customHeight="1" x14ac:dyDescent="0.3">
      <c r="B2" s="14" t="s">
        <v>8</v>
      </c>
      <c r="C2" s="53" t="s">
        <v>16</v>
      </c>
      <c r="D2" s="53"/>
      <c r="E2" s="14" t="s">
        <v>7</v>
      </c>
      <c r="F2" s="48">
        <v>45952</v>
      </c>
      <c r="G2" s="48"/>
      <c r="H2" s="48"/>
      <c r="I2" s="48"/>
      <c r="J2" s="48"/>
    </row>
    <row r="3" spans="1:10" ht="30" customHeight="1" x14ac:dyDescent="0.3">
      <c r="B3" s="14" t="s">
        <v>9</v>
      </c>
      <c r="C3" s="53" t="s">
        <v>74</v>
      </c>
      <c r="D3" s="53"/>
      <c r="E3" s="14" t="s">
        <v>6</v>
      </c>
      <c r="F3" s="53" t="s">
        <v>59</v>
      </c>
      <c r="G3" s="53"/>
      <c r="H3" s="53"/>
      <c r="I3" s="53"/>
      <c r="J3" s="53"/>
    </row>
    <row r="4" spans="1:10" ht="30" customHeight="1" thickBot="1" x14ac:dyDescent="0.35">
      <c r="B4" s="6"/>
      <c r="C4" s="7"/>
      <c r="D4" s="7"/>
      <c r="E4" s="6"/>
      <c r="F4" s="109" t="s">
        <v>235</v>
      </c>
      <c r="G4" s="109"/>
      <c r="H4" s="109"/>
      <c r="I4" s="109"/>
      <c r="J4" s="109"/>
    </row>
    <row r="5" spans="1:10" ht="24.9" customHeight="1" x14ac:dyDescent="0.3">
      <c r="A5" s="12"/>
      <c r="B5" s="49" t="s">
        <v>0</v>
      </c>
      <c r="C5" s="50"/>
      <c r="D5" s="50"/>
      <c r="E5" s="60" t="s">
        <v>1</v>
      </c>
      <c r="F5" s="60"/>
      <c r="G5" s="60"/>
      <c r="H5" s="60"/>
      <c r="I5" s="60" t="s">
        <v>2</v>
      </c>
      <c r="J5" s="61"/>
    </row>
    <row r="6" spans="1:10" ht="24.9" customHeight="1" thickBot="1" x14ac:dyDescent="0.35">
      <c r="A6" s="12"/>
      <c r="B6" s="51"/>
      <c r="C6" s="52"/>
      <c r="D6" s="52"/>
      <c r="E6" s="13" t="s">
        <v>3</v>
      </c>
      <c r="F6" s="13" t="s">
        <v>4</v>
      </c>
      <c r="G6" s="13" t="s">
        <v>23</v>
      </c>
      <c r="H6" s="13" t="s">
        <v>24</v>
      </c>
      <c r="I6" s="62"/>
      <c r="J6" s="63"/>
    </row>
    <row r="7" spans="1:10" ht="24.9" customHeight="1" thickBot="1" x14ac:dyDescent="0.35">
      <c r="A7" s="12"/>
      <c r="B7" s="56" t="s">
        <v>21</v>
      </c>
      <c r="C7" s="57"/>
      <c r="D7" s="57"/>
      <c r="E7" s="31" t="s">
        <v>18</v>
      </c>
      <c r="F7" s="31" t="s">
        <v>19</v>
      </c>
      <c r="G7" s="31" t="s">
        <v>22</v>
      </c>
      <c r="H7" s="31" t="s">
        <v>20</v>
      </c>
      <c r="I7" s="64" t="s">
        <v>25</v>
      </c>
      <c r="J7" s="65"/>
    </row>
    <row r="8" spans="1:10" ht="39.9" customHeight="1" x14ac:dyDescent="0.3">
      <c r="A8" s="12"/>
      <c r="B8" s="101" t="s">
        <v>180</v>
      </c>
      <c r="C8" s="102"/>
      <c r="D8" s="102"/>
      <c r="E8" s="35">
        <v>5</v>
      </c>
      <c r="F8" s="36">
        <v>3.75</v>
      </c>
      <c r="G8" s="37">
        <f>IFERROR(F8/E8,"")</f>
        <v>0.75</v>
      </c>
      <c r="H8" s="38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8"/>
      <c r="J8" s="79"/>
    </row>
    <row r="9" spans="1:10" ht="39.9" customHeight="1" x14ac:dyDescent="0.3">
      <c r="A9" s="12"/>
      <c r="B9" s="89" t="s">
        <v>181</v>
      </c>
      <c r="C9" s="90"/>
      <c r="D9" s="90"/>
      <c r="E9" s="11">
        <v>5</v>
      </c>
      <c r="F9" s="28">
        <v>3.5</v>
      </c>
      <c r="G9" s="33">
        <f>IFERROR(F9/E9,"")</f>
        <v>0.7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8"/>
      <c r="J9" s="59"/>
    </row>
    <row r="10" spans="1:10" ht="39.9" customHeight="1" x14ac:dyDescent="0.3">
      <c r="A10" s="12"/>
      <c r="B10" s="89" t="s">
        <v>182</v>
      </c>
      <c r="C10" s="90"/>
      <c r="D10" s="90"/>
      <c r="E10" s="11">
        <v>5</v>
      </c>
      <c r="F10" s="28">
        <v>3.5</v>
      </c>
      <c r="G10" s="33">
        <f t="shared" ref="G10:G61" si="0">IFERROR(F10/E10,"")</f>
        <v>0.7</v>
      </c>
      <c r="H10" s="34" t="str">
        <f t="shared" ref="H10:H61" si="1">_xlfn.IFS(F10="أدخل العلامة","",F10="لا ينطبق","تم الإلغاء",G10&gt;=90%,"ممتاز",G10&gt;=80%,"جيد جداً",G10&gt;=70%,"جيد",G10&gt;=60%,"مقبول",G10&lt;60%,"راسب")</f>
        <v>جيد</v>
      </c>
      <c r="I10" s="58"/>
      <c r="J10" s="59"/>
    </row>
    <row r="11" spans="1:10" ht="39.9" customHeight="1" x14ac:dyDescent="0.3">
      <c r="A11" s="12"/>
      <c r="B11" s="89" t="s">
        <v>183</v>
      </c>
      <c r="C11" s="90"/>
      <c r="D11" s="90"/>
      <c r="E11" s="11">
        <v>5</v>
      </c>
      <c r="F11" s="28">
        <v>3.5</v>
      </c>
      <c r="G11" s="33">
        <f t="shared" si="0"/>
        <v>0.7</v>
      </c>
      <c r="H11" s="34" t="str">
        <f t="shared" si="1"/>
        <v>جيد</v>
      </c>
      <c r="I11" s="58"/>
      <c r="J11" s="59"/>
    </row>
    <row r="12" spans="1:10" ht="39.9" customHeight="1" thickBot="1" x14ac:dyDescent="0.35">
      <c r="A12" s="12"/>
      <c r="B12" s="91" t="s">
        <v>184</v>
      </c>
      <c r="C12" s="92"/>
      <c r="D12" s="92"/>
      <c r="E12" s="42">
        <v>5</v>
      </c>
      <c r="F12" s="43">
        <v>3.5</v>
      </c>
      <c r="G12" s="44">
        <f t="shared" si="0"/>
        <v>0.7</v>
      </c>
      <c r="H12" s="45" t="str">
        <f t="shared" si="1"/>
        <v>جيد</v>
      </c>
      <c r="I12" s="76"/>
      <c r="J12" s="77"/>
    </row>
    <row r="13" spans="1:10" ht="39.9" customHeight="1" x14ac:dyDescent="0.3">
      <c r="A13" s="12"/>
      <c r="B13" s="101" t="s">
        <v>203</v>
      </c>
      <c r="C13" s="102"/>
      <c r="D13" s="102"/>
      <c r="E13" s="46"/>
      <c r="F13" s="36"/>
      <c r="G13" s="37"/>
      <c r="H13" s="38"/>
      <c r="I13" s="78"/>
      <c r="J13" s="79"/>
    </row>
    <row r="14" spans="1:10" ht="39.9" customHeight="1" x14ac:dyDescent="0.3">
      <c r="A14" s="12"/>
      <c r="B14" s="95" t="s">
        <v>204</v>
      </c>
      <c r="C14" s="96"/>
      <c r="D14" s="96"/>
      <c r="E14" s="11">
        <v>5</v>
      </c>
      <c r="F14" s="28">
        <v>3.5</v>
      </c>
      <c r="G14" s="33">
        <f t="shared" si="0"/>
        <v>0.7</v>
      </c>
      <c r="H14" s="34" t="str">
        <f t="shared" si="1"/>
        <v>جيد</v>
      </c>
      <c r="I14" s="58"/>
      <c r="J14" s="59"/>
    </row>
    <row r="15" spans="1:10" ht="39.9" customHeight="1" x14ac:dyDescent="0.3">
      <c r="A15" s="12"/>
      <c r="B15" s="95" t="s">
        <v>185</v>
      </c>
      <c r="C15" s="96"/>
      <c r="D15" s="96"/>
      <c r="E15" s="11">
        <v>5</v>
      </c>
      <c r="F15" s="28">
        <v>3.5</v>
      </c>
      <c r="G15" s="33">
        <f t="shared" si="0"/>
        <v>0.7</v>
      </c>
      <c r="H15" s="34" t="str">
        <f t="shared" si="1"/>
        <v>جيد</v>
      </c>
      <c r="I15" s="58"/>
      <c r="J15" s="59"/>
    </row>
    <row r="16" spans="1:10" ht="39.9" customHeight="1" x14ac:dyDescent="0.3">
      <c r="A16" s="12"/>
      <c r="B16" s="95" t="s">
        <v>186</v>
      </c>
      <c r="C16" s="96"/>
      <c r="D16" s="96"/>
      <c r="E16" s="11">
        <v>5</v>
      </c>
      <c r="F16" s="28">
        <v>3.5</v>
      </c>
      <c r="G16" s="33">
        <f t="shared" si="0"/>
        <v>0.7</v>
      </c>
      <c r="H16" s="34" t="str">
        <f t="shared" si="1"/>
        <v>جيد</v>
      </c>
      <c r="I16" s="58"/>
      <c r="J16" s="59"/>
    </row>
    <row r="17" spans="1:10" ht="39.9" customHeight="1" x14ac:dyDescent="0.3">
      <c r="A17" s="12"/>
      <c r="B17" s="95" t="s">
        <v>187</v>
      </c>
      <c r="C17" s="96"/>
      <c r="D17" s="96"/>
      <c r="E17" s="11">
        <v>5</v>
      </c>
      <c r="F17" s="28">
        <v>3.5</v>
      </c>
      <c r="G17" s="33">
        <f t="shared" si="0"/>
        <v>0.7</v>
      </c>
      <c r="H17" s="34" t="str">
        <f t="shared" si="1"/>
        <v>جيد</v>
      </c>
      <c r="I17" s="58"/>
      <c r="J17" s="59"/>
    </row>
    <row r="18" spans="1:10" ht="39.9" customHeight="1" x14ac:dyDescent="0.3">
      <c r="A18" s="12"/>
      <c r="B18" s="95" t="s">
        <v>205</v>
      </c>
      <c r="C18" s="96"/>
      <c r="D18" s="96"/>
      <c r="E18" s="11">
        <v>5</v>
      </c>
      <c r="F18" s="28">
        <v>3.5</v>
      </c>
      <c r="G18" s="33">
        <f t="shared" si="0"/>
        <v>0.7</v>
      </c>
      <c r="H18" s="34" t="str">
        <f t="shared" si="1"/>
        <v>جيد</v>
      </c>
      <c r="I18" s="58"/>
      <c r="J18" s="59"/>
    </row>
    <row r="19" spans="1:10" ht="39.9" customHeight="1" x14ac:dyDescent="0.3">
      <c r="A19" s="12"/>
      <c r="B19" s="95" t="s">
        <v>206</v>
      </c>
      <c r="C19" s="96"/>
      <c r="D19" s="96"/>
      <c r="E19" s="11">
        <v>5</v>
      </c>
      <c r="F19" s="28">
        <v>3.5</v>
      </c>
      <c r="G19" s="33">
        <f t="shared" si="0"/>
        <v>0.7</v>
      </c>
      <c r="H19" s="34" t="str">
        <f t="shared" si="1"/>
        <v>جيد</v>
      </c>
      <c r="I19" s="58"/>
      <c r="J19" s="59"/>
    </row>
    <row r="20" spans="1:10" ht="39.9" customHeight="1" x14ac:dyDescent="0.3">
      <c r="A20" s="12"/>
      <c r="B20" s="95" t="s">
        <v>188</v>
      </c>
      <c r="C20" s="96"/>
      <c r="D20" s="96"/>
      <c r="E20" s="11">
        <v>5</v>
      </c>
      <c r="F20" s="28">
        <v>3.5</v>
      </c>
      <c r="G20" s="33">
        <f t="shared" si="0"/>
        <v>0.7</v>
      </c>
      <c r="H20" s="34" t="str">
        <f t="shared" si="1"/>
        <v>جيد</v>
      </c>
      <c r="I20" s="58"/>
      <c r="J20" s="59"/>
    </row>
    <row r="21" spans="1:10" ht="39.9" customHeight="1" x14ac:dyDescent="0.3">
      <c r="A21" s="12"/>
      <c r="B21" s="95" t="s">
        <v>189</v>
      </c>
      <c r="C21" s="96"/>
      <c r="D21" s="96"/>
      <c r="E21" s="11">
        <v>5</v>
      </c>
      <c r="F21" s="28">
        <v>3.5</v>
      </c>
      <c r="G21" s="33">
        <f t="shared" si="0"/>
        <v>0.7</v>
      </c>
      <c r="H21" s="34" t="str">
        <f t="shared" si="1"/>
        <v>جيد</v>
      </c>
      <c r="I21" s="58"/>
      <c r="J21" s="59"/>
    </row>
    <row r="22" spans="1:10" ht="39.9" customHeight="1" x14ac:dyDescent="0.3">
      <c r="A22" s="12"/>
      <c r="B22" s="95" t="s">
        <v>190</v>
      </c>
      <c r="C22" s="96"/>
      <c r="D22" s="96"/>
      <c r="E22" s="11">
        <v>5</v>
      </c>
      <c r="F22" s="28">
        <v>3.75</v>
      </c>
      <c r="G22" s="33">
        <f t="shared" si="0"/>
        <v>0.75</v>
      </c>
      <c r="H22" s="34" t="str">
        <f t="shared" si="1"/>
        <v>جيد</v>
      </c>
      <c r="I22" s="58"/>
      <c r="J22" s="59"/>
    </row>
    <row r="23" spans="1:10" ht="39.9" customHeight="1" thickBot="1" x14ac:dyDescent="0.35">
      <c r="A23" s="12"/>
      <c r="B23" s="97" t="s">
        <v>191</v>
      </c>
      <c r="C23" s="98"/>
      <c r="D23" s="98"/>
      <c r="E23" s="39">
        <v>5</v>
      </c>
      <c r="F23" s="30">
        <v>3.5</v>
      </c>
      <c r="G23" s="40">
        <f t="shared" si="0"/>
        <v>0.7</v>
      </c>
      <c r="H23" s="41" t="str">
        <f t="shared" si="1"/>
        <v>جيد</v>
      </c>
      <c r="I23" s="66"/>
      <c r="J23" s="67"/>
    </row>
    <row r="24" spans="1:10" ht="39.9" customHeight="1" x14ac:dyDescent="0.3">
      <c r="A24" s="12"/>
      <c r="B24" s="99" t="s">
        <v>207</v>
      </c>
      <c r="C24" s="100"/>
      <c r="D24" s="100"/>
      <c r="E24" s="9">
        <v>5</v>
      </c>
      <c r="F24" s="29">
        <v>3.5</v>
      </c>
      <c r="G24" s="10">
        <f t="shared" si="0"/>
        <v>0.7</v>
      </c>
      <c r="H24" s="8" t="str">
        <f t="shared" si="1"/>
        <v>جيد</v>
      </c>
      <c r="I24" s="68"/>
      <c r="J24" s="69"/>
    </row>
    <row r="25" spans="1:10" ht="39.9" customHeight="1" x14ac:dyDescent="0.3">
      <c r="A25" s="12"/>
      <c r="B25" s="89" t="s">
        <v>208</v>
      </c>
      <c r="C25" s="90"/>
      <c r="D25" s="90"/>
      <c r="E25" s="11">
        <v>5</v>
      </c>
      <c r="F25" s="28">
        <v>3.5</v>
      </c>
      <c r="G25" s="33">
        <f t="shared" si="0"/>
        <v>0.7</v>
      </c>
      <c r="H25" s="34" t="str">
        <f t="shared" si="1"/>
        <v>جيد</v>
      </c>
      <c r="I25" s="58"/>
      <c r="J25" s="59"/>
    </row>
    <row r="26" spans="1:10" ht="39.9" customHeight="1" x14ac:dyDescent="0.3">
      <c r="A26" s="12"/>
      <c r="B26" s="89" t="s">
        <v>192</v>
      </c>
      <c r="C26" s="90"/>
      <c r="D26" s="90"/>
      <c r="E26" s="11">
        <v>5</v>
      </c>
      <c r="F26" s="28">
        <v>3.5</v>
      </c>
      <c r="G26" s="33">
        <f t="shared" si="0"/>
        <v>0.7</v>
      </c>
      <c r="H26" s="34" t="str">
        <f t="shared" si="1"/>
        <v>جيد</v>
      </c>
      <c r="I26" s="58"/>
      <c r="J26" s="59"/>
    </row>
    <row r="27" spans="1:10" ht="39.9" customHeight="1" x14ac:dyDescent="0.3">
      <c r="A27" s="12"/>
      <c r="B27" s="89" t="s">
        <v>209</v>
      </c>
      <c r="C27" s="90"/>
      <c r="D27" s="90"/>
      <c r="E27" s="11">
        <v>5</v>
      </c>
      <c r="F27" s="28">
        <v>3.5</v>
      </c>
      <c r="G27" s="33">
        <f t="shared" si="0"/>
        <v>0.7</v>
      </c>
      <c r="H27" s="34" t="str">
        <f t="shared" si="1"/>
        <v>جيد</v>
      </c>
      <c r="I27" s="58"/>
      <c r="J27" s="59"/>
    </row>
    <row r="28" spans="1:10" ht="39.9" customHeight="1" thickBot="1" x14ac:dyDescent="0.35">
      <c r="A28" s="12"/>
      <c r="B28" s="91" t="s">
        <v>210</v>
      </c>
      <c r="C28" s="92"/>
      <c r="D28" s="92"/>
      <c r="E28" s="42">
        <v>5</v>
      </c>
      <c r="F28" s="43">
        <v>3.5</v>
      </c>
      <c r="G28" s="44">
        <f t="shared" si="0"/>
        <v>0.7</v>
      </c>
      <c r="H28" s="45" t="str">
        <f t="shared" si="1"/>
        <v>جيد</v>
      </c>
      <c r="I28" s="76"/>
      <c r="J28" s="77"/>
    </row>
    <row r="29" spans="1:10" ht="39.9" customHeight="1" x14ac:dyDescent="0.3">
      <c r="A29" s="12"/>
      <c r="B29" s="105" t="s">
        <v>211</v>
      </c>
      <c r="C29" s="106"/>
      <c r="D29" s="106"/>
      <c r="E29" s="35"/>
      <c r="F29" s="36"/>
      <c r="G29" s="37"/>
      <c r="H29" s="38"/>
      <c r="I29" s="78"/>
      <c r="J29" s="79"/>
    </row>
    <row r="30" spans="1:10" ht="39.9" customHeight="1" x14ac:dyDescent="0.3">
      <c r="A30" s="12"/>
      <c r="B30" s="93" t="s">
        <v>212</v>
      </c>
      <c r="C30" s="94"/>
      <c r="D30" s="94"/>
      <c r="E30" s="11">
        <v>5</v>
      </c>
      <c r="F30" s="28">
        <v>3.75</v>
      </c>
      <c r="G30" s="33">
        <f t="shared" si="0"/>
        <v>0.75</v>
      </c>
      <c r="H30" s="34" t="str">
        <f t="shared" si="1"/>
        <v>جيد</v>
      </c>
      <c r="I30" s="58"/>
      <c r="J30" s="59"/>
    </row>
    <row r="31" spans="1:10" ht="39.9" customHeight="1" x14ac:dyDescent="0.3">
      <c r="A31" s="12"/>
      <c r="B31" s="93" t="s">
        <v>213</v>
      </c>
      <c r="C31" s="94"/>
      <c r="D31" s="94"/>
      <c r="E31" s="11">
        <v>0</v>
      </c>
      <c r="F31" s="28" t="s">
        <v>17</v>
      </c>
      <c r="G31" s="33" t="str">
        <f t="shared" si="0"/>
        <v/>
      </c>
      <c r="H31" s="34" t="str">
        <f t="shared" si="1"/>
        <v>تم الإلغاء</v>
      </c>
      <c r="I31" s="58"/>
      <c r="J31" s="59"/>
    </row>
    <row r="32" spans="1:10" ht="39.9" customHeight="1" x14ac:dyDescent="0.3">
      <c r="A32" s="12"/>
      <c r="B32" s="93" t="s">
        <v>214</v>
      </c>
      <c r="C32" s="94"/>
      <c r="D32" s="94"/>
      <c r="E32" s="11">
        <v>5</v>
      </c>
      <c r="F32" s="28">
        <v>3.5</v>
      </c>
      <c r="G32" s="33">
        <f t="shared" si="0"/>
        <v>0.7</v>
      </c>
      <c r="H32" s="34" t="str">
        <f t="shared" si="1"/>
        <v>جيد</v>
      </c>
      <c r="I32" s="58"/>
      <c r="J32" s="59"/>
    </row>
    <row r="33" spans="1:10" ht="39.9" customHeight="1" x14ac:dyDescent="0.3">
      <c r="A33" s="12"/>
      <c r="B33" s="93" t="s">
        <v>223</v>
      </c>
      <c r="C33" s="94"/>
      <c r="D33" s="94"/>
      <c r="E33" s="11">
        <v>5</v>
      </c>
      <c r="F33" s="28">
        <v>3.5</v>
      </c>
      <c r="G33" s="33">
        <f t="shared" si="0"/>
        <v>0.7</v>
      </c>
      <c r="H33" s="34" t="str">
        <f t="shared" si="1"/>
        <v>جيد</v>
      </c>
      <c r="I33" s="58"/>
      <c r="J33" s="59"/>
    </row>
    <row r="34" spans="1:10" ht="39.9" customHeight="1" x14ac:dyDescent="0.3">
      <c r="A34" s="12"/>
      <c r="B34" s="93" t="s">
        <v>224</v>
      </c>
      <c r="C34" s="94"/>
      <c r="D34" s="94"/>
      <c r="E34" s="11">
        <v>5</v>
      </c>
      <c r="F34" s="28">
        <v>3.5</v>
      </c>
      <c r="G34" s="33">
        <f t="shared" si="0"/>
        <v>0.7</v>
      </c>
      <c r="H34" s="34" t="str">
        <f t="shared" si="1"/>
        <v>جيد</v>
      </c>
      <c r="I34" s="58"/>
      <c r="J34" s="59"/>
    </row>
    <row r="35" spans="1:10" ht="39.9" customHeight="1" x14ac:dyDescent="0.3">
      <c r="A35" s="12"/>
      <c r="B35" s="93" t="s">
        <v>225</v>
      </c>
      <c r="C35" s="94"/>
      <c r="D35" s="94"/>
      <c r="E35" s="11">
        <v>5</v>
      </c>
      <c r="F35" s="28">
        <v>3.5</v>
      </c>
      <c r="G35" s="33">
        <f t="shared" si="0"/>
        <v>0.7</v>
      </c>
      <c r="H35" s="34" t="str">
        <f t="shared" si="1"/>
        <v>جيد</v>
      </c>
      <c r="I35" s="58"/>
      <c r="J35" s="59"/>
    </row>
    <row r="36" spans="1:10" ht="39.9" customHeight="1" x14ac:dyDescent="0.3">
      <c r="A36" s="12"/>
      <c r="B36" s="93" t="s">
        <v>215</v>
      </c>
      <c r="C36" s="94"/>
      <c r="D36" s="94"/>
      <c r="E36" s="11">
        <v>5</v>
      </c>
      <c r="F36" s="28">
        <v>3.5</v>
      </c>
      <c r="G36" s="33">
        <f t="shared" si="0"/>
        <v>0.7</v>
      </c>
      <c r="H36" s="34" t="str">
        <f t="shared" si="1"/>
        <v>جيد</v>
      </c>
      <c r="I36" s="58"/>
      <c r="J36" s="59"/>
    </row>
    <row r="37" spans="1:10" ht="39.9" customHeight="1" x14ac:dyDescent="0.3">
      <c r="A37" s="12"/>
      <c r="B37" s="93" t="s">
        <v>216</v>
      </c>
      <c r="C37" s="94"/>
      <c r="D37" s="94"/>
      <c r="E37" s="11">
        <v>5</v>
      </c>
      <c r="F37" s="28">
        <v>3.5</v>
      </c>
      <c r="G37" s="33">
        <f t="shared" si="0"/>
        <v>0.7</v>
      </c>
      <c r="H37" s="34" t="str">
        <f t="shared" si="1"/>
        <v>جيد</v>
      </c>
      <c r="I37" s="58"/>
      <c r="J37" s="59"/>
    </row>
    <row r="38" spans="1:10" ht="39.9" customHeight="1" x14ac:dyDescent="0.3">
      <c r="A38" s="12"/>
      <c r="B38" s="93" t="s">
        <v>217</v>
      </c>
      <c r="C38" s="94"/>
      <c r="D38" s="94"/>
      <c r="E38" s="11">
        <v>5</v>
      </c>
      <c r="F38" s="28">
        <v>3.75</v>
      </c>
      <c r="G38" s="33">
        <f t="shared" si="0"/>
        <v>0.75</v>
      </c>
      <c r="H38" s="34" t="str">
        <f t="shared" si="1"/>
        <v>جيد</v>
      </c>
      <c r="I38" s="58"/>
      <c r="J38" s="59"/>
    </row>
    <row r="39" spans="1:10" ht="39.9" customHeight="1" x14ac:dyDescent="0.3">
      <c r="A39" s="12"/>
      <c r="B39" s="93" t="s">
        <v>226</v>
      </c>
      <c r="C39" s="94"/>
      <c r="D39" s="94"/>
      <c r="E39" s="11">
        <v>5</v>
      </c>
      <c r="F39" s="28">
        <v>3.5</v>
      </c>
      <c r="G39" s="33">
        <f t="shared" si="0"/>
        <v>0.7</v>
      </c>
      <c r="H39" s="34" t="str">
        <f t="shared" si="1"/>
        <v>جيد</v>
      </c>
      <c r="I39" s="58"/>
      <c r="J39" s="59"/>
    </row>
    <row r="40" spans="1:10" ht="39.9" customHeight="1" x14ac:dyDescent="0.3">
      <c r="A40" s="12"/>
      <c r="B40" s="93" t="s">
        <v>218</v>
      </c>
      <c r="C40" s="94"/>
      <c r="D40" s="94"/>
      <c r="E40" s="11">
        <v>5</v>
      </c>
      <c r="F40" s="28">
        <v>3.75</v>
      </c>
      <c r="G40" s="33">
        <f t="shared" si="0"/>
        <v>0.75</v>
      </c>
      <c r="H40" s="34" t="str">
        <f t="shared" si="1"/>
        <v>جيد</v>
      </c>
      <c r="I40" s="58"/>
      <c r="J40" s="59"/>
    </row>
    <row r="41" spans="1:10" ht="39.9" customHeight="1" thickBot="1" x14ac:dyDescent="0.35">
      <c r="A41" s="12"/>
      <c r="B41" s="107" t="s">
        <v>227</v>
      </c>
      <c r="C41" s="108"/>
      <c r="D41" s="108"/>
      <c r="E41" s="39">
        <v>5</v>
      </c>
      <c r="F41" s="30">
        <v>3.5</v>
      </c>
      <c r="G41" s="40">
        <f t="shared" si="0"/>
        <v>0.7</v>
      </c>
      <c r="H41" s="41" t="str">
        <f t="shared" si="1"/>
        <v>جيد</v>
      </c>
      <c r="I41" s="66"/>
      <c r="J41" s="67"/>
    </row>
    <row r="42" spans="1:10" ht="39.9" customHeight="1" x14ac:dyDescent="0.3">
      <c r="A42" s="12"/>
      <c r="B42" s="99" t="s">
        <v>228</v>
      </c>
      <c r="C42" s="100"/>
      <c r="D42" s="100"/>
      <c r="E42" s="9"/>
      <c r="F42" s="29"/>
      <c r="G42" s="10"/>
      <c r="H42" s="8"/>
      <c r="I42" s="68"/>
      <c r="J42" s="69"/>
    </row>
    <row r="43" spans="1:10" ht="39.9" customHeight="1" x14ac:dyDescent="0.3">
      <c r="A43" s="12"/>
      <c r="B43" s="95" t="s">
        <v>201</v>
      </c>
      <c r="C43" s="96"/>
      <c r="D43" s="96"/>
      <c r="E43" s="11">
        <v>5</v>
      </c>
      <c r="F43" s="28">
        <v>3.5</v>
      </c>
      <c r="G43" s="33">
        <f t="shared" si="0"/>
        <v>0.7</v>
      </c>
      <c r="H43" s="34" t="str">
        <f t="shared" si="1"/>
        <v>جيد</v>
      </c>
      <c r="I43" s="58"/>
      <c r="J43" s="59"/>
    </row>
    <row r="44" spans="1:10" ht="39.9" customHeight="1" x14ac:dyDescent="0.3">
      <c r="A44" s="12"/>
      <c r="B44" s="95" t="s">
        <v>202</v>
      </c>
      <c r="C44" s="96"/>
      <c r="D44" s="96"/>
      <c r="E44" s="11">
        <v>5</v>
      </c>
      <c r="F44" s="28">
        <v>3.5</v>
      </c>
      <c r="G44" s="33">
        <f t="shared" si="0"/>
        <v>0.7</v>
      </c>
      <c r="H44" s="34" t="str">
        <f t="shared" si="1"/>
        <v>جيد</v>
      </c>
      <c r="I44" s="58"/>
      <c r="J44" s="59"/>
    </row>
    <row r="45" spans="1:10" ht="39.9" customHeight="1" x14ac:dyDescent="0.3">
      <c r="A45" s="12"/>
      <c r="B45" s="95" t="s">
        <v>193</v>
      </c>
      <c r="C45" s="96"/>
      <c r="D45" s="96"/>
      <c r="E45" s="11">
        <v>5</v>
      </c>
      <c r="F45" s="28">
        <v>3.5</v>
      </c>
      <c r="G45" s="33">
        <f t="shared" si="0"/>
        <v>0.7</v>
      </c>
      <c r="H45" s="34" t="str">
        <f t="shared" si="1"/>
        <v>جيد</v>
      </c>
      <c r="I45" s="58"/>
      <c r="J45" s="59"/>
    </row>
    <row r="46" spans="1:10" ht="39.9" customHeight="1" thickBot="1" x14ac:dyDescent="0.35">
      <c r="A46" s="12"/>
      <c r="B46" s="97" t="s">
        <v>194</v>
      </c>
      <c r="C46" s="98"/>
      <c r="D46" s="98"/>
      <c r="E46" s="39">
        <v>5</v>
      </c>
      <c r="F46" s="30">
        <v>3.5</v>
      </c>
      <c r="G46" s="40">
        <f t="shared" si="0"/>
        <v>0.7</v>
      </c>
      <c r="H46" s="41" t="str">
        <f t="shared" si="1"/>
        <v>جيد</v>
      </c>
      <c r="I46" s="66"/>
      <c r="J46" s="67"/>
    </row>
    <row r="47" spans="1:10" ht="39.9" customHeight="1" x14ac:dyDescent="0.3">
      <c r="A47" s="12"/>
      <c r="B47" s="99" t="s">
        <v>229</v>
      </c>
      <c r="C47" s="100"/>
      <c r="D47" s="100"/>
      <c r="E47" s="9">
        <v>5</v>
      </c>
      <c r="F47" s="29">
        <v>3.5</v>
      </c>
      <c r="G47" s="10">
        <f t="shared" si="0"/>
        <v>0.7</v>
      </c>
      <c r="H47" s="8" t="str">
        <f t="shared" si="1"/>
        <v>جيد</v>
      </c>
      <c r="I47" s="68"/>
      <c r="J47" s="69"/>
    </row>
    <row r="48" spans="1:10" ht="39.9" customHeight="1" thickBot="1" x14ac:dyDescent="0.35">
      <c r="A48" s="12"/>
      <c r="B48" s="91" t="s">
        <v>230</v>
      </c>
      <c r="C48" s="92"/>
      <c r="D48" s="92"/>
      <c r="E48" s="42">
        <v>5</v>
      </c>
      <c r="F48" s="43">
        <v>3.5</v>
      </c>
      <c r="G48" s="44">
        <f t="shared" si="0"/>
        <v>0.7</v>
      </c>
      <c r="H48" s="45" t="str">
        <f t="shared" si="1"/>
        <v>جيد</v>
      </c>
      <c r="I48" s="76"/>
      <c r="J48" s="77"/>
    </row>
    <row r="49" spans="1:10" ht="39.9" customHeight="1" x14ac:dyDescent="0.3">
      <c r="A49" s="12"/>
      <c r="B49" s="101" t="s">
        <v>231</v>
      </c>
      <c r="C49" s="102"/>
      <c r="D49" s="102"/>
      <c r="E49" s="35"/>
      <c r="F49" s="36"/>
      <c r="G49" s="37"/>
      <c r="H49" s="38"/>
      <c r="I49" s="78"/>
      <c r="J49" s="79"/>
    </row>
    <row r="50" spans="1:10" ht="39.9" customHeight="1" x14ac:dyDescent="0.3">
      <c r="A50" s="12"/>
      <c r="B50" s="95" t="s">
        <v>232</v>
      </c>
      <c r="C50" s="96"/>
      <c r="D50" s="96"/>
      <c r="E50" s="11">
        <v>5</v>
      </c>
      <c r="F50" s="28">
        <v>3.5</v>
      </c>
      <c r="G50" s="33">
        <f t="shared" si="0"/>
        <v>0.7</v>
      </c>
      <c r="H50" s="34" t="str">
        <f t="shared" si="1"/>
        <v>جيد</v>
      </c>
      <c r="I50" s="58"/>
      <c r="J50" s="59"/>
    </row>
    <row r="51" spans="1:10" ht="39.9" customHeight="1" x14ac:dyDescent="0.3">
      <c r="A51" s="12"/>
      <c r="B51" s="95" t="s">
        <v>195</v>
      </c>
      <c r="C51" s="96"/>
      <c r="D51" s="96"/>
      <c r="E51" s="11">
        <v>5</v>
      </c>
      <c r="F51" s="28">
        <v>3.5</v>
      </c>
      <c r="G51" s="33">
        <f t="shared" si="0"/>
        <v>0.7</v>
      </c>
      <c r="H51" s="34" t="str">
        <f t="shared" si="1"/>
        <v>جيد</v>
      </c>
      <c r="I51" s="58"/>
      <c r="J51" s="59"/>
    </row>
    <row r="52" spans="1:10" ht="39.9" customHeight="1" x14ac:dyDescent="0.3">
      <c r="A52" s="12"/>
      <c r="B52" s="95" t="s">
        <v>196</v>
      </c>
      <c r="C52" s="96"/>
      <c r="D52" s="96"/>
      <c r="E52" s="11">
        <v>0</v>
      </c>
      <c r="F52" s="28" t="s">
        <v>17</v>
      </c>
      <c r="G52" s="33" t="str">
        <f t="shared" si="0"/>
        <v/>
      </c>
      <c r="H52" s="34" t="str">
        <f t="shared" si="1"/>
        <v>تم الإلغاء</v>
      </c>
      <c r="I52" s="58"/>
      <c r="J52" s="59"/>
    </row>
    <row r="53" spans="1:10" ht="39.9" customHeight="1" x14ac:dyDescent="0.3">
      <c r="A53" s="12"/>
      <c r="B53" s="95" t="s">
        <v>197</v>
      </c>
      <c r="C53" s="96"/>
      <c r="D53" s="96"/>
      <c r="E53" s="11">
        <v>5</v>
      </c>
      <c r="F53" s="28">
        <v>3.5</v>
      </c>
      <c r="G53" s="33">
        <f t="shared" si="0"/>
        <v>0.7</v>
      </c>
      <c r="H53" s="34" t="str">
        <f t="shared" si="1"/>
        <v>جيد</v>
      </c>
      <c r="I53" s="58"/>
      <c r="J53" s="59"/>
    </row>
    <row r="54" spans="1:10" ht="39.9" customHeight="1" x14ac:dyDescent="0.3">
      <c r="A54" s="12"/>
      <c r="B54" s="95" t="s">
        <v>198</v>
      </c>
      <c r="C54" s="96"/>
      <c r="D54" s="96"/>
      <c r="E54" s="11">
        <v>5</v>
      </c>
      <c r="F54" s="28">
        <v>3.5</v>
      </c>
      <c r="G54" s="33">
        <f t="shared" si="0"/>
        <v>0.7</v>
      </c>
      <c r="H54" s="34" t="str">
        <f t="shared" si="1"/>
        <v>جيد</v>
      </c>
      <c r="I54" s="58"/>
      <c r="J54" s="59"/>
    </row>
    <row r="55" spans="1:10" ht="39.9" customHeight="1" thickBot="1" x14ac:dyDescent="0.35">
      <c r="A55" s="12"/>
      <c r="B55" s="97" t="s">
        <v>199</v>
      </c>
      <c r="C55" s="98"/>
      <c r="D55" s="98"/>
      <c r="E55" s="39">
        <v>5</v>
      </c>
      <c r="F55" s="30">
        <v>3.5</v>
      </c>
      <c r="G55" s="40">
        <f t="shared" si="0"/>
        <v>0.7</v>
      </c>
      <c r="H55" s="41" t="str">
        <f t="shared" si="1"/>
        <v>جيد</v>
      </c>
      <c r="I55" s="66"/>
      <c r="J55" s="67"/>
    </row>
    <row r="56" spans="1:10" ht="39.9" customHeight="1" x14ac:dyDescent="0.3">
      <c r="A56" s="12"/>
      <c r="B56" s="99" t="s">
        <v>233</v>
      </c>
      <c r="C56" s="100"/>
      <c r="D56" s="100"/>
      <c r="E56" s="9">
        <v>5</v>
      </c>
      <c r="F56" s="29">
        <v>3.5</v>
      </c>
      <c r="G56" s="10">
        <f t="shared" si="0"/>
        <v>0.7</v>
      </c>
      <c r="H56" s="8" t="str">
        <f t="shared" si="1"/>
        <v>جيد</v>
      </c>
      <c r="I56" s="68"/>
      <c r="J56" s="69"/>
    </row>
    <row r="57" spans="1:10" ht="39.9" customHeight="1" x14ac:dyDescent="0.3">
      <c r="A57" s="12"/>
      <c r="B57" s="103" t="s">
        <v>219</v>
      </c>
      <c r="C57" s="104"/>
      <c r="D57" s="104"/>
      <c r="E57" s="11">
        <v>5</v>
      </c>
      <c r="F57" s="28">
        <v>3.5</v>
      </c>
      <c r="G57" s="33">
        <f t="shared" si="0"/>
        <v>0.7</v>
      </c>
      <c r="H57" s="34" t="str">
        <f t="shared" si="1"/>
        <v>جيد</v>
      </c>
      <c r="I57" s="58"/>
      <c r="J57" s="59"/>
    </row>
    <row r="58" spans="1:10" ht="39.9" customHeight="1" x14ac:dyDescent="0.3">
      <c r="A58" s="12"/>
      <c r="B58" s="103" t="s">
        <v>220</v>
      </c>
      <c r="C58" s="104"/>
      <c r="D58" s="104"/>
      <c r="E58" s="11">
        <v>0</v>
      </c>
      <c r="F58" s="28" t="s">
        <v>17</v>
      </c>
      <c r="G58" s="33" t="str">
        <f t="shared" si="0"/>
        <v/>
      </c>
      <c r="H58" s="34" t="str">
        <f t="shared" si="1"/>
        <v>تم الإلغاء</v>
      </c>
      <c r="I58" s="58"/>
      <c r="J58" s="59"/>
    </row>
    <row r="59" spans="1:10" ht="39.9" customHeight="1" x14ac:dyDescent="0.3">
      <c r="A59" s="12"/>
      <c r="B59" s="103" t="s">
        <v>221</v>
      </c>
      <c r="C59" s="104"/>
      <c r="D59" s="104"/>
      <c r="E59" s="11">
        <v>5</v>
      </c>
      <c r="F59" s="28">
        <v>3.5</v>
      </c>
      <c r="G59" s="33">
        <f t="shared" si="0"/>
        <v>0.7</v>
      </c>
      <c r="H59" s="34" t="str">
        <f t="shared" si="1"/>
        <v>جيد</v>
      </c>
      <c r="I59" s="58"/>
      <c r="J59" s="59"/>
    </row>
    <row r="60" spans="1:10" ht="51.75" customHeight="1" x14ac:dyDescent="0.3">
      <c r="A60" s="12"/>
      <c r="B60" s="103" t="s">
        <v>222</v>
      </c>
      <c r="C60" s="104"/>
      <c r="D60" s="104"/>
      <c r="E60" s="11">
        <v>5</v>
      </c>
      <c r="F60" s="28">
        <v>3.5</v>
      </c>
      <c r="G60" s="33">
        <f t="shared" si="0"/>
        <v>0.7</v>
      </c>
      <c r="H60" s="34" t="str">
        <f t="shared" si="1"/>
        <v>جيد</v>
      </c>
      <c r="I60" s="58"/>
      <c r="J60" s="59"/>
    </row>
    <row r="61" spans="1:10" ht="39.9" customHeight="1" x14ac:dyDescent="0.3">
      <c r="A61" s="12"/>
      <c r="B61" s="103" t="s">
        <v>234</v>
      </c>
      <c r="C61" s="104"/>
      <c r="D61" s="104"/>
      <c r="E61" s="11">
        <v>5</v>
      </c>
      <c r="F61" s="28">
        <v>3.5</v>
      </c>
      <c r="G61" s="33">
        <f t="shared" si="0"/>
        <v>0.7</v>
      </c>
      <c r="H61" s="34" t="str">
        <f t="shared" si="1"/>
        <v>جيد</v>
      </c>
      <c r="I61" s="58"/>
      <c r="J61" s="59"/>
    </row>
    <row r="62" spans="1:10" ht="30" customHeight="1" thickBot="1" x14ac:dyDescent="0.35">
      <c r="A62" s="4"/>
      <c r="B62" s="82" t="s">
        <v>5</v>
      </c>
      <c r="C62" s="83"/>
      <c r="D62" s="83"/>
      <c r="E62" s="32">
        <f>SUM(E8:E61)</f>
        <v>235</v>
      </c>
      <c r="F62" s="32">
        <f>SUM(F8:F61)</f>
        <v>165.75</v>
      </c>
      <c r="G62" s="86"/>
      <c r="H62" s="87"/>
      <c r="I62" s="87"/>
      <c r="J62" s="88"/>
    </row>
    <row r="63" spans="1:10" ht="30" customHeight="1" thickBot="1" x14ac:dyDescent="0.35">
      <c r="A63" s="4"/>
      <c r="B63" s="84" t="s">
        <v>54</v>
      </c>
      <c r="C63" s="85"/>
      <c r="D63" s="85"/>
      <c r="E63" s="54">
        <f>F62/E62/100*100</f>
        <v>0.7053191489361702</v>
      </c>
      <c r="F63" s="54"/>
      <c r="G63" s="54"/>
      <c r="H63" s="54"/>
      <c r="I63" s="54"/>
      <c r="J63" s="55"/>
    </row>
    <row r="64" spans="1:10" ht="30" customHeight="1" thickBot="1" x14ac:dyDescent="0.35">
      <c r="A64" s="4"/>
      <c r="B64" s="84" t="s">
        <v>55</v>
      </c>
      <c r="C64" s="85"/>
      <c r="D64" s="85"/>
      <c r="E64" s="74" t="str">
        <f>_xlfn.IFS(E63&gt;=90%,"ممتاز",E63&gt;=80%,"جيد جداً",E63&gt;=70%,"جيد",E63&gt;=60%,"مقبول",E63&lt;60%,"راسب")</f>
        <v>جيد</v>
      </c>
      <c r="F64" s="74"/>
      <c r="G64" s="74"/>
      <c r="H64" s="74"/>
      <c r="I64" s="74"/>
      <c r="J64" s="75"/>
    </row>
    <row r="65" spans="1:10" ht="42" customHeight="1" x14ac:dyDescent="0.3">
      <c r="B65" s="70" t="s">
        <v>174</v>
      </c>
      <c r="C65" s="70"/>
      <c r="D65" s="70"/>
      <c r="E65" s="80" t="s">
        <v>52</v>
      </c>
      <c r="F65" s="80"/>
      <c r="G65" s="72" t="s">
        <v>59</v>
      </c>
      <c r="H65" s="72"/>
      <c r="I65" s="72"/>
      <c r="J65" s="72"/>
    </row>
    <row r="66" spans="1:10" ht="51" customHeight="1" x14ac:dyDescent="0.3">
      <c r="A66" s="5"/>
      <c r="B66" s="71"/>
      <c r="C66" s="71"/>
      <c r="D66" s="71"/>
      <c r="E66" s="81" t="s">
        <v>53</v>
      </c>
      <c r="F66" s="81"/>
      <c r="G66" s="73"/>
      <c r="H66" s="73"/>
      <c r="I66" s="73"/>
      <c r="J66" s="73"/>
    </row>
  </sheetData>
  <sheetProtection formatCells="0" formatColumns="0" formatRows="0" insertColumns="0" insertRows="0" insertHyperlinks="0" deleteColumns="0" deleteRows="0" selectLockedCells="1" sort="0" autoFilter="0" pivotTables="0"/>
  <mergeCells count="130">
    <mergeCell ref="B47:D47"/>
    <mergeCell ref="B48:D48"/>
    <mergeCell ref="F4:J4"/>
    <mergeCell ref="B38:D38"/>
    <mergeCell ref="B39:D39"/>
    <mergeCell ref="B57:D57"/>
    <mergeCell ref="B58:D58"/>
    <mergeCell ref="B59:D59"/>
    <mergeCell ref="B60:D60"/>
    <mergeCell ref="B61:D61"/>
    <mergeCell ref="B29:D29"/>
    <mergeCell ref="I29:J29"/>
    <mergeCell ref="B49:D49"/>
    <mergeCell ref="B50:D50"/>
    <mergeCell ref="B51:D51"/>
    <mergeCell ref="B52:D52"/>
    <mergeCell ref="B53:D53"/>
    <mergeCell ref="B54:D54"/>
    <mergeCell ref="B55:D55"/>
    <mergeCell ref="B56:D56"/>
    <mergeCell ref="B40:D40"/>
    <mergeCell ref="B41:D41"/>
    <mergeCell ref="B42:D42"/>
    <mergeCell ref="B43:D43"/>
    <mergeCell ref="B44:D44"/>
    <mergeCell ref="B45:D45"/>
    <mergeCell ref="B46:D4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30:D30"/>
    <mergeCell ref="I33:J33"/>
    <mergeCell ref="I34:J34"/>
    <mergeCell ref="I35:J35"/>
    <mergeCell ref="I36:J36"/>
    <mergeCell ref="I37:J3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1:D31"/>
    <mergeCell ref="B32:D32"/>
    <mergeCell ref="B33:D33"/>
    <mergeCell ref="B34:D34"/>
    <mergeCell ref="B35:D35"/>
    <mergeCell ref="B36:D36"/>
    <mergeCell ref="B37:D37"/>
    <mergeCell ref="I8:J8"/>
    <mergeCell ref="B62:D62"/>
    <mergeCell ref="B63:D63"/>
    <mergeCell ref="B64:D64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30:J30"/>
    <mergeCell ref="I59:J59"/>
    <mergeCell ref="I60:J60"/>
    <mergeCell ref="I61:J61"/>
    <mergeCell ref="I26:J26"/>
    <mergeCell ref="I27:J27"/>
    <mergeCell ref="G62:J62"/>
    <mergeCell ref="I9:J9"/>
    <mergeCell ref="B26:D26"/>
    <mergeCell ref="B27:D27"/>
    <mergeCell ref="B28:D28"/>
    <mergeCell ref="B65:D66"/>
    <mergeCell ref="G65:J65"/>
    <mergeCell ref="G66:J66"/>
    <mergeCell ref="E64:J64"/>
    <mergeCell ref="I41:J41"/>
    <mergeCell ref="I42:J42"/>
    <mergeCell ref="I43:J43"/>
    <mergeCell ref="I44:J44"/>
    <mergeCell ref="I45:J45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47:J47"/>
    <mergeCell ref="I48:J48"/>
    <mergeCell ref="I49:J49"/>
    <mergeCell ref="E65:F65"/>
    <mergeCell ref="E66:F66"/>
    <mergeCell ref="B1:J1"/>
    <mergeCell ref="F2:J2"/>
    <mergeCell ref="B5:D6"/>
    <mergeCell ref="C2:D2"/>
    <mergeCell ref="C3:D3"/>
    <mergeCell ref="F3:J3"/>
    <mergeCell ref="E63:J63"/>
    <mergeCell ref="B7:D7"/>
    <mergeCell ref="I39:J39"/>
    <mergeCell ref="I40:J40"/>
    <mergeCell ref="I31:J31"/>
    <mergeCell ref="I32:J32"/>
    <mergeCell ref="E5:H5"/>
    <mergeCell ref="I38:J38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5" priority="24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4" priority="23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4">
    <cfRule type="expression" dxfId="13" priority="63">
      <formula>$E64="راسب"</formula>
    </cfRule>
  </conditionalFormatting>
  <conditionalFormatting sqref="E64:J64">
    <cfRule type="expression" dxfId="12" priority="67">
      <formula>$E64="ممتاز"</formula>
    </cfRule>
    <cfRule type="expression" dxfId="11" priority="66">
      <formula>$E64="جيد جداً"</formula>
    </cfRule>
    <cfRule type="expression" dxfId="10" priority="65">
      <formula>$E64="جيد"</formula>
    </cfRule>
    <cfRule type="expression" dxfId="9" priority="64">
      <formula>$E64="مقبول"</formula>
    </cfRule>
  </conditionalFormatting>
  <conditionalFormatting sqref="F8:F61 H8:H61">
    <cfRule type="containsText" dxfId="8" priority="1" operator="containsText" text="أدخل العلامة">
      <formula>NOT(ISERROR(SEARCH("أدخل العلامة",F8)))</formula>
    </cfRule>
  </conditionalFormatting>
  <conditionalFormatting sqref="F2:J2">
    <cfRule type="containsText" dxfId="7" priority="25" operator="containsText" text="أدخل التاريخ">
      <formula>NOT(ISERROR(SEARCH("أدخل التاريخ",F2)))</formula>
    </cfRule>
  </conditionalFormatting>
  <conditionalFormatting sqref="F3:J3">
    <cfRule type="containsText" dxfId="6" priority="22" operator="containsText" text="أدخل أسم المحكم">
      <formula>NOT(ISERROR(SEARCH("أدخل أسم المحكم",F3)))</formula>
    </cfRule>
  </conditionalFormatting>
  <conditionalFormatting sqref="G65:J65">
    <cfRule type="containsText" dxfId="5" priority="21" operator="containsText" text="أدخل اسم المحكم">
      <formula>NOT(ISERROR(SEARCH("أدخل اسم المحكم",G65)))</formula>
    </cfRule>
  </conditionalFormatting>
  <conditionalFormatting sqref="H8:H61">
    <cfRule type="containsText" dxfId="4" priority="6" operator="containsText" text="راسب">
      <formula>NOT(ISERROR(SEARCH("راسب",H8)))</formula>
    </cfRule>
    <cfRule type="containsText" dxfId="3" priority="5" operator="containsText" text="مقبول">
      <formula>NOT(ISERROR(SEARCH("مقبول",H8)))</formula>
    </cfRule>
    <cfRule type="containsText" dxfId="2" priority="4" operator="containsText" text="جيد">
      <formula>NOT(ISERROR(SEARCH("جيد",H8)))</formula>
    </cfRule>
    <cfRule type="containsText" dxfId="1" priority="3" operator="containsText" text="جيد جداً">
      <formula>NOT(ISERROR(SEARCH("جيد جداً",H8)))</formula>
    </cfRule>
    <cfRule type="containsText" dxfId="0" priority="2" operator="containsText" text="ممتاز">
      <formula>NOT(ISERROR(SEARCH("ممتاز",H8)))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28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G65:J65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F50:F61 F43:F48 F8:F12 F14:F28 F30:F41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1" t="s">
        <v>62</v>
      </c>
    </row>
    <row r="3" spans="1:3" ht="20.100000000000001" customHeight="1" thickBot="1" x14ac:dyDescent="0.35">
      <c r="A3" s="2" t="s">
        <v>26</v>
      </c>
      <c r="C3" s="21" t="s">
        <v>63</v>
      </c>
    </row>
    <row r="4" spans="1:3" ht="20.100000000000001" customHeight="1" thickBot="1" x14ac:dyDescent="0.35">
      <c r="A4" s="2" t="s">
        <v>36</v>
      </c>
      <c r="C4" s="21" t="s">
        <v>64</v>
      </c>
    </row>
    <row r="5" spans="1:3" ht="20.100000000000001" customHeight="1" thickBot="1" x14ac:dyDescent="0.35">
      <c r="A5" s="2" t="s">
        <v>37</v>
      </c>
      <c r="C5" s="21" t="s">
        <v>65</v>
      </c>
    </row>
    <row r="6" spans="1:3" ht="20.100000000000001" customHeight="1" thickBot="1" x14ac:dyDescent="0.35">
      <c r="A6" s="2" t="s">
        <v>38</v>
      </c>
      <c r="C6" s="21" t="s">
        <v>66</v>
      </c>
    </row>
    <row r="7" spans="1:3" ht="20.100000000000001" customHeight="1" thickBot="1" x14ac:dyDescent="0.35">
      <c r="A7" s="2" t="s">
        <v>39</v>
      </c>
      <c r="C7" s="21" t="s">
        <v>67</v>
      </c>
    </row>
    <row r="8" spans="1:3" ht="20.100000000000001" customHeight="1" thickBot="1" x14ac:dyDescent="0.35">
      <c r="A8" s="2" t="s">
        <v>40</v>
      </c>
      <c r="C8" s="21" t="s">
        <v>68</v>
      </c>
    </row>
    <row r="9" spans="1:3" ht="20.100000000000001" customHeight="1" thickBot="1" x14ac:dyDescent="0.35">
      <c r="A9" s="2" t="s">
        <v>41</v>
      </c>
      <c r="C9" s="21" t="s">
        <v>69</v>
      </c>
    </row>
    <row r="10" spans="1:3" ht="20.100000000000001" customHeight="1" thickBot="1" x14ac:dyDescent="0.35">
      <c r="A10" s="2" t="s">
        <v>42</v>
      </c>
      <c r="C10" s="21" t="s">
        <v>70</v>
      </c>
    </row>
    <row r="11" spans="1:3" ht="20.100000000000001" customHeight="1" thickBot="1" x14ac:dyDescent="0.35">
      <c r="A11" s="2" t="s">
        <v>43</v>
      </c>
      <c r="C11" s="21" t="s">
        <v>71</v>
      </c>
    </row>
    <row r="12" spans="1:3" ht="20.100000000000001" customHeight="1" thickBot="1" x14ac:dyDescent="0.35">
      <c r="A12" s="2" t="s">
        <v>44</v>
      </c>
      <c r="C12" s="21" t="s">
        <v>72</v>
      </c>
    </row>
    <row r="13" spans="1:3" ht="20.100000000000001" customHeight="1" thickBot="1" x14ac:dyDescent="0.35">
      <c r="A13" s="2" t="s">
        <v>45</v>
      </c>
      <c r="C13" s="21" t="s">
        <v>73</v>
      </c>
    </row>
    <row r="14" spans="1:3" ht="20.100000000000001" customHeight="1" thickBot="1" x14ac:dyDescent="0.35">
      <c r="A14" s="2" t="s">
        <v>46</v>
      </c>
      <c r="C14" s="21" t="s">
        <v>74</v>
      </c>
    </row>
    <row r="15" spans="1:3" ht="20.100000000000001" customHeight="1" thickBot="1" x14ac:dyDescent="0.35">
      <c r="A15" s="2" t="s">
        <v>47</v>
      </c>
      <c r="C15" s="21" t="s">
        <v>75</v>
      </c>
    </row>
    <row r="16" spans="1:3" ht="20.100000000000001" customHeight="1" thickBot="1" x14ac:dyDescent="0.35">
      <c r="A16" s="2" t="s">
        <v>10</v>
      </c>
      <c r="C16" s="21" t="s">
        <v>76</v>
      </c>
    </row>
    <row r="17" spans="1:3" ht="20.100000000000001" customHeight="1" thickBot="1" x14ac:dyDescent="0.35">
      <c r="A17" s="2" t="s">
        <v>27</v>
      </c>
      <c r="C17" s="21" t="s">
        <v>77</v>
      </c>
    </row>
    <row r="18" spans="1:3" ht="20.100000000000001" customHeight="1" thickBot="1" x14ac:dyDescent="0.35">
      <c r="A18" s="2" t="s">
        <v>48</v>
      </c>
      <c r="C18" s="21" t="s">
        <v>78</v>
      </c>
    </row>
    <row r="19" spans="1:3" ht="20.100000000000001" customHeight="1" thickBot="1" x14ac:dyDescent="0.35">
      <c r="A19" s="2" t="s">
        <v>49</v>
      </c>
      <c r="C19" s="21" t="s">
        <v>79</v>
      </c>
    </row>
    <row r="20" spans="1:3" ht="20.100000000000001" customHeight="1" thickBot="1" x14ac:dyDescent="0.35">
      <c r="A20" s="2" t="s">
        <v>50</v>
      </c>
      <c r="C20" s="21" t="s">
        <v>80</v>
      </c>
    </row>
    <row r="21" spans="1:3" ht="20.100000000000001" customHeight="1" thickBot="1" x14ac:dyDescent="0.35">
      <c r="A21" s="2" t="s">
        <v>51</v>
      </c>
      <c r="C21" s="21" t="s">
        <v>81</v>
      </c>
    </row>
    <row r="22" spans="1:3" ht="20.100000000000001" customHeight="1" thickBot="1" x14ac:dyDescent="0.35">
      <c r="A22" s="2" t="s">
        <v>11</v>
      </c>
      <c r="C22" s="21" t="s">
        <v>82</v>
      </c>
    </row>
    <row r="23" spans="1:3" ht="20.100000000000001" customHeight="1" thickBot="1" x14ac:dyDescent="0.35">
      <c r="A23" s="2" t="s">
        <v>12</v>
      </c>
      <c r="C23" s="21" t="s">
        <v>83</v>
      </c>
    </row>
    <row r="24" spans="1:3" ht="20.100000000000001" customHeight="1" thickBot="1" x14ac:dyDescent="0.35">
      <c r="A24" s="2" t="s">
        <v>15</v>
      </c>
      <c r="C24" s="21" t="s">
        <v>84</v>
      </c>
    </row>
    <row r="25" spans="1:3" ht="20.100000000000001" customHeight="1" thickBot="1" x14ac:dyDescent="0.35">
      <c r="A25" s="2" t="s">
        <v>28</v>
      </c>
      <c r="C25" s="21" t="s">
        <v>85</v>
      </c>
    </row>
    <row r="26" spans="1:3" ht="20.100000000000001" customHeight="1" thickBot="1" x14ac:dyDescent="0.35">
      <c r="A26" s="2" t="s">
        <v>29</v>
      </c>
      <c r="C26" s="21" t="s">
        <v>86</v>
      </c>
    </row>
    <row r="27" spans="1:3" ht="20.100000000000001" customHeight="1" thickBot="1" x14ac:dyDescent="0.35">
      <c r="A27" s="2" t="s">
        <v>13</v>
      </c>
      <c r="C27" s="21" t="s">
        <v>87</v>
      </c>
    </row>
    <row r="28" spans="1:3" ht="20.100000000000001" customHeight="1" thickBot="1" x14ac:dyDescent="0.35">
      <c r="A28" s="2" t="s">
        <v>30</v>
      </c>
      <c r="C28" s="21" t="s">
        <v>88</v>
      </c>
    </row>
    <row r="29" spans="1:3" ht="20.100000000000001" customHeight="1" thickBot="1" x14ac:dyDescent="0.35">
      <c r="A29" s="2" t="s">
        <v>31</v>
      </c>
      <c r="C29" s="21" t="s">
        <v>177</v>
      </c>
    </row>
    <row r="30" spans="1:3" ht="20.100000000000001" customHeight="1" thickBot="1" x14ac:dyDescent="0.35">
      <c r="A30" s="2" t="s">
        <v>32</v>
      </c>
      <c r="C30" s="21" t="s">
        <v>178</v>
      </c>
    </row>
    <row r="31" spans="1:3" ht="20.100000000000001" customHeight="1" thickBot="1" x14ac:dyDescent="0.35">
      <c r="A31" s="2" t="s">
        <v>33</v>
      </c>
      <c r="C31" s="21" t="s">
        <v>179</v>
      </c>
    </row>
    <row r="32" spans="1:3" ht="20.100000000000001" customHeight="1" thickBot="1" x14ac:dyDescent="0.35">
      <c r="A32" s="2" t="s">
        <v>16</v>
      </c>
      <c r="C32" s="21"/>
    </row>
    <row r="33" spans="1:9" ht="20.100000000000001" customHeight="1" thickBot="1" x14ac:dyDescent="0.35">
      <c r="A33" s="2" t="s">
        <v>14</v>
      </c>
      <c r="C33" s="21"/>
    </row>
    <row r="34" spans="1:9" ht="20.100000000000001" customHeight="1" thickBot="1" x14ac:dyDescent="0.35">
      <c r="A34" s="2" t="s">
        <v>34</v>
      </c>
      <c r="C34" s="21"/>
    </row>
    <row r="35" spans="1:9" ht="20.100000000000001" customHeight="1" x14ac:dyDescent="0.3">
      <c r="A35" s="20"/>
    </row>
    <row r="36" spans="1:9" s="19" customFormat="1" ht="20.100000000000001" customHeight="1" x14ac:dyDescent="0.3">
      <c r="A36" s="17"/>
      <c r="B36" s="18"/>
      <c r="C36" s="18"/>
      <c r="D36" s="18"/>
      <c r="E36" s="18"/>
      <c r="F36" s="18"/>
      <c r="G36" s="18"/>
      <c r="H36" s="18"/>
      <c r="I36" s="18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5">
        <v>45931</v>
      </c>
    </row>
    <row r="40" spans="1:9" ht="20.100000000000001" customHeight="1" thickBot="1" x14ac:dyDescent="0.35">
      <c r="A40" s="15">
        <v>45932</v>
      </c>
    </row>
    <row r="41" spans="1:9" ht="20.100000000000001" customHeight="1" thickBot="1" x14ac:dyDescent="0.35">
      <c r="A41" s="15">
        <v>45933</v>
      </c>
    </row>
    <row r="42" spans="1:9" ht="20.100000000000001" customHeight="1" thickBot="1" x14ac:dyDescent="0.35">
      <c r="A42" s="15">
        <v>45934</v>
      </c>
    </row>
    <row r="43" spans="1:9" ht="20.100000000000001" customHeight="1" thickBot="1" x14ac:dyDescent="0.35">
      <c r="A43" s="15">
        <v>45935</v>
      </c>
    </row>
    <row r="44" spans="1:9" ht="20.100000000000001" customHeight="1" thickBot="1" x14ac:dyDescent="0.35">
      <c r="A44" s="15">
        <v>45936</v>
      </c>
    </row>
    <row r="45" spans="1:9" ht="20.100000000000001" customHeight="1" thickBot="1" x14ac:dyDescent="0.35">
      <c r="A45" s="15">
        <v>45937</v>
      </c>
    </row>
    <row r="46" spans="1:9" ht="20.100000000000001" customHeight="1" thickBot="1" x14ac:dyDescent="0.35">
      <c r="A46" s="15">
        <v>45938</v>
      </c>
    </row>
    <row r="47" spans="1:9" ht="20.100000000000001" customHeight="1" thickBot="1" x14ac:dyDescent="0.35">
      <c r="A47" s="15">
        <v>45939</v>
      </c>
    </row>
    <row r="48" spans="1:9" ht="20.100000000000001" customHeight="1" thickBot="1" x14ac:dyDescent="0.35">
      <c r="A48" s="15">
        <v>45940</v>
      </c>
    </row>
    <row r="49" spans="1:1" ht="20.100000000000001" customHeight="1" thickBot="1" x14ac:dyDescent="0.35">
      <c r="A49" s="15">
        <v>45941</v>
      </c>
    </row>
    <row r="50" spans="1:1" ht="20.100000000000001" customHeight="1" thickBot="1" x14ac:dyDescent="0.35">
      <c r="A50" s="15">
        <v>45942</v>
      </c>
    </row>
    <row r="51" spans="1:1" ht="20.100000000000001" customHeight="1" thickBot="1" x14ac:dyDescent="0.35">
      <c r="A51" s="15">
        <v>45943</v>
      </c>
    </row>
    <row r="52" spans="1:1" ht="20.100000000000001" customHeight="1" thickBot="1" x14ac:dyDescent="0.35">
      <c r="A52" s="15">
        <v>45944</v>
      </c>
    </row>
    <row r="53" spans="1:1" ht="20.100000000000001" customHeight="1" thickBot="1" x14ac:dyDescent="0.35">
      <c r="A53" s="15">
        <v>45945</v>
      </c>
    </row>
    <row r="54" spans="1:1" ht="20.100000000000001" customHeight="1" thickBot="1" x14ac:dyDescent="0.35">
      <c r="A54" s="15">
        <v>45946</v>
      </c>
    </row>
    <row r="55" spans="1:1" ht="20.100000000000001" customHeight="1" thickBot="1" x14ac:dyDescent="0.35">
      <c r="A55" s="15">
        <v>45947</v>
      </c>
    </row>
    <row r="56" spans="1:1" ht="20.100000000000001" customHeight="1" thickBot="1" x14ac:dyDescent="0.35">
      <c r="A56" s="15">
        <v>45948</v>
      </c>
    </row>
    <row r="57" spans="1:1" ht="20.100000000000001" customHeight="1" thickBot="1" x14ac:dyDescent="0.35">
      <c r="A57" s="15">
        <v>45949</v>
      </c>
    </row>
    <row r="58" spans="1:1" ht="20.100000000000001" customHeight="1" thickBot="1" x14ac:dyDescent="0.35">
      <c r="A58" s="15">
        <v>45950</v>
      </c>
    </row>
    <row r="59" spans="1:1" ht="20.100000000000001" customHeight="1" thickBot="1" x14ac:dyDescent="0.35">
      <c r="A59" s="15">
        <v>45951</v>
      </c>
    </row>
    <row r="60" spans="1:1" ht="20.100000000000001" customHeight="1" thickBot="1" x14ac:dyDescent="0.35">
      <c r="A60" s="15">
        <v>45952</v>
      </c>
    </row>
    <row r="61" spans="1:1" ht="20.100000000000001" customHeight="1" thickBot="1" x14ac:dyDescent="0.35">
      <c r="A61" s="15">
        <v>45953</v>
      </c>
    </row>
    <row r="62" spans="1:1" ht="20.100000000000001" customHeight="1" thickBot="1" x14ac:dyDescent="0.35">
      <c r="A62" s="15">
        <v>45954</v>
      </c>
    </row>
    <row r="63" spans="1:1" ht="20.100000000000001" customHeight="1" thickBot="1" x14ac:dyDescent="0.35">
      <c r="A63" s="15">
        <v>45955</v>
      </c>
    </row>
    <row r="64" spans="1:1" ht="20.100000000000001" customHeight="1" thickBot="1" x14ac:dyDescent="0.35">
      <c r="A64" s="15">
        <v>45956</v>
      </c>
    </row>
    <row r="65" spans="1:1" ht="20.100000000000001" customHeight="1" thickBot="1" x14ac:dyDescent="0.35">
      <c r="A65" s="15">
        <v>45957</v>
      </c>
    </row>
    <row r="66" spans="1:1" ht="20.100000000000001" customHeight="1" thickBot="1" x14ac:dyDescent="0.35">
      <c r="A66" s="15">
        <v>45958</v>
      </c>
    </row>
    <row r="67" spans="1:1" ht="20.100000000000001" customHeight="1" thickBot="1" x14ac:dyDescent="0.35">
      <c r="A67" s="15">
        <v>45959</v>
      </c>
    </row>
    <row r="68" spans="1:1" ht="20.100000000000001" customHeight="1" thickBot="1" x14ac:dyDescent="0.35">
      <c r="A68" s="15">
        <v>45960</v>
      </c>
    </row>
    <row r="69" spans="1:1" ht="20.100000000000001" customHeight="1" thickBot="1" x14ac:dyDescent="0.35">
      <c r="A69" s="15">
        <v>45961</v>
      </c>
    </row>
    <row r="70" spans="1:1" ht="20.100000000000001" customHeight="1" thickBot="1" x14ac:dyDescent="0.35">
      <c r="A70" s="15"/>
    </row>
    <row r="71" spans="1:1" ht="20.100000000000001" customHeight="1" thickBot="1" x14ac:dyDescent="0.35">
      <c r="A71" s="15"/>
    </row>
    <row r="72" spans="1:1" ht="20.100000000000001" customHeight="1" thickBot="1" x14ac:dyDescent="0.35">
      <c r="A72" s="15"/>
    </row>
    <row r="73" spans="1:1" ht="20.100000000000001" customHeight="1" thickBot="1" x14ac:dyDescent="0.35">
      <c r="A73" s="15"/>
    </row>
    <row r="74" spans="1:1" ht="20.100000000000001" customHeight="1" thickBot="1" x14ac:dyDescent="0.35">
      <c r="A74" s="15"/>
    </row>
    <row r="75" spans="1:1" ht="20.100000000000001" customHeight="1" thickBot="1" x14ac:dyDescent="0.35">
      <c r="A75" s="15"/>
    </row>
    <row r="76" spans="1:1" ht="20.100000000000001" customHeight="1" thickBot="1" x14ac:dyDescent="0.35">
      <c r="A76" s="15"/>
    </row>
    <row r="77" spans="1:1" ht="20.100000000000001" customHeight="1" thickBot="1" x14ac:dyDescent="0.35">
      <c r="A77" s="15"/>
    </row>
    <row r="78" spans="1:1" ht="20.100000000000001" customHeight="1" thickBot="1" x14ac:dyDescent="0.35">
      <c r="A78" s="15"/>
    </row>
    <row r="79" spans="1:1" ht="20.100000000000001" customHeight="1" thickBot="1" x14ac:dyDescent="0.35">
      <c r="A79" s="15"/>
    </row>
    <row r="80" spans="1:1" ht="20.100000000000001" customHeight="1" thickBot="1" x14ac:dyDescent="0.35">
      <c r="A80" s="15"/>
    </row>
    <row r="81" spans="1:1" ht="20.100000000000001" customHeight="1" thickBot="1" x14ac:dyDescent="0.35">
      <c r="A81" s="15"/>
    </row>
    <row r="82" spans="1:1" ht="20.100000000000001" customHeight="1" thickBot="1" x14ac:dyDescent="0.35">
      <c r="A82" s="15"/>
    </row>
    <row r="83" spans="1:1" ht="20.100000000000001" customHeight="1" thickBot="1" x14ac:dyDescent="0.35">
      <c r="A83" s="15"/>
    </row>
    <row r="84" spans="1:1" ht="20.100000000000001" customHeight="1" thickBot="1" x14ac:dyDescent="0.35">
      <c r="A84" s="15"/>
    </row>
    <row r="85" spans="1:1" ht="20.100000000000001" customHeight="1" thickBot="1" x14ac:dyDescent="0.35">
      <c r="A85" s="15"/>
    </row>
    <row r="86" spans="1:1" ht="20.100000000000001" customHeight="1" thickBot="1" x14ac:dyDescent="0.35">
      <c r="A86" s="15"/>
    </row>
    <row r="87" spans="1:1" ht="20.100000000000001" customHeight="1" thickBot="1" x14ac:dyDescent="0.35">
      <c r="A87" s="15"/>
    </row>
    <row r="88" spans="1:1" ht="20.100000000000001" customHeight="1" thickBot="1" x14ac:dyDescent="0.35">
      <c r="A88" s="15"/>
    </row>
    <row r="89" spans="1:1" ht="20.100000000000001" customHeight="1" thickBot="1" x14ac:dyDescent="0.35">
      <c r="A89" s="15"/>
    </row>
    <row r="90" spans="1:1" ht="20.100000000000001" customHeight="1" thickBot="1" x14ac:dyDescent="0.35">
      <c r="A90" s="15"/>
    </row>
    <row r="91" spans="1:1" ht="20.100000000000001" customHeight="1" thickBot="1" x14ac:dyDescent="0.35">
      <c r="A91" s="15"/>
    </row>
    <row r="92" spans="1:1" ht="20.100000000000001" customHeight="1" thickBot="1" x14ac:dyDescent="0.35">
      <c r="A92" s="15"/>
    </row>
    <row r="93" spans="1:1" ht="20.100000000000001" customHeight="1" thickBot="1" x14ac:dyDescent="0.35">
      <c r="A93" s="15"/>
    </row>
    <row r="94" spans="1:1" ht="20.100000000000001" customHeight="1" thickBot="1" x14ac:dyDescent="0.35">
      <c r="A94" s="15"/>
    </row>
    <row r="95" spans="1:1" ht="20.100000000000001" customHeight="1" thickBot="1" x14ac:dyDescent="0.35">
      <c r="A95" s="15"/>
    </row>
    <row r="96" spans="1:1" ht="20.100000000000001" customHeight="1" thickBot="1" x14ac:dyDescent="0.35">
      <c r="A96" s="15"/>
    </row>
    <row r="97" spans="1:9" ht="20.100000000000001" customHeight="1" thickBot="1" x14ac:dyDescent="0.35">
      <c r="A97" s="15"/>
    </row>
    <row r="98" spans="1:9" ht="20.100000000000001" customHeight="1" thickBot="1" x14ac:dyDescent="0.35">
      <c r="A98" s="15"/>
    </row>
    <row r="99" spans="1:9" ht="20.100000000000001" customHeight="1" thickBot="1" x14ac:dyDescent="0.35">
      <c r="A99" s="15"/>
    </row>
    <row r="100" spans="1:9" ht="20.100000000000001" customHeight="1" thickBot="1" x14ac:dyDescent="0.35">
      <c r="A100" s="15"/>
    </row>
    <row r="101" spans="1:9" ht="20.100000000000001" customHeight="1" thickBot="1" x14ac:dyDescent="0.35">
      <c r="A101" s="15"/>
    </row>
    <row r="102" spans="1:9" ht="20.100000000000001" customHeight="1" thickBot="1" x14ac:dyDescent="0.35">
      <c r="A102" s="15"/>
    </row>
    <row r="103" spans="1:9" ht="20.100000000000001" customHeight="1" thickBot="1" x14ac:dyDescent="0.35">
      <c r="A103" s="15"/>
    </row>
    <row r="104" spans="1:9" ht="20.100000000000001" customHeight="1" thickBot="1" x14ac:dyDescent="0.35">
      <c r="A104" s="15"/>
    </row>
    <row r="105" spans="1:9" ht="20.100000000000001" customHeight="1" thickBot="1" x14ac:dyDescent="0.35">
      <c r="A105" s="15"/>
    </row>
    <row r="106" spans="1:9" ht="20.100000000000001" customHeight="1" thickBot="1" x14ac:dyDescent="0.35">
      <c r="A106" s="15"/>
    </row>
    <row r="107" spans="1:9" ht="20.100000000000001" customHeight="1" x14ac:dyDescent="0.3">
      <c r="A107" s="16"/>
    </row>
    <row r="108" spans="1:9" ht="20.100000000000001" customHeight="1" x14ac:dyDescent="0.3">
      <c r="A108" s="16"/>
    </row>
    <row r="109" spans="1:9" s="19" customFormat="1" ht="20.100000000000001" customHeight="1" x14ac:dyDescent="0.3">
      <c r="A109" s="17"/>
      <c r="B109" s="18"/>
      <c r="C109" s="18"/>
      <c r="D109" s="18"/>
      <c r="E109" s="18"/>
      <c r="F109" s="18"/>
      <c r="G109" s="18"/>
      <c r="H109" s="18"/>
      <c r="I109" s="18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2" t="s">
        <v>89</v>
      </c>
    </row>
    <row r="200" spans="1:1" ht="20.100000000000001" customHeight="1" x14ac:dyDescent="0.3">
      <c r="A200" s="22" t="s">
        <v>90</v>
      </c>
    </row>
    <row r="201" spans="1:1" ht="20.100000000000001" customHeight="1" x14ac:dyDescent="0.3">
      <c r="A201" s="22" t="s">
        <v>91</v>
      </c>
    </row>
    <row r="202" spans="1:1" ht="20.100000000000001" customHeight="1" x14ac:dyDescent="0.3">
      <c r="A202" s="22" t="s">
        <v>92</v>
      </c>
    </row>
    <row r="203" spans="1:1" ht="20.100000000000001" customHeight="1" x14ac:dyDescent="0.3">
      <c r="A203" s="22" t="s">
        <v>93</v>
      </c>
    </row>
    <row r="204" spans="1:1" ht="20.100000000000001" customHeight="1" x14ac:dyDescent="0.3">
      <c r="A204" s="22" t="s">
        <v>94</v>
      </c>
    </row>
    <row r="205" spans="1:1" ht="20.100000000000001" customHeight="1" x14ac:dyDescent="0.3">
      <c r="A205" s="22" t="s">
        <v>95</v>
      </c>
    </row>
    <row r="206" spans="1:1" ht="20.100000000000001" customHeight="1" x14ac:dyDescent="0.3">
      <c r="A206" s="22" t="s">
        <v>96</v>
      </c>
    </row>
    <row r="207" spans="1:1" ht="20.100000000000001" customHeight="1" x14ac:dyDescent="0.3">
      <c r="A207" s="22" t="s">
        <v>97</v>
      </c>
    </row>
    <row r="208" spans="1:1" ht="20.100000000000001" customHeight="1" x14ac:dyDescent="0.3">
      <c r="A208" s="23" t="s">
        <v>98</v>
      </c>
    </row>
    <row r="209" spans="1:1" ht="20.100000000000001" customHeight="1" x14ac:dyDescent="0.3">
      <c r="A209" s="23" t="s">
        <v>99</v>
      </c>
    </row>
    <row r="210" spans="1:1" ht="20.100000000000001" customHeight="1" x14ac:dyDescent="0.3">
      <c r="A210" s="22" t="s">
        <v>100</v>
      </c>
    </row>
    <row r="211" spans="1:1" ht="20.100000000000001" customHeight="1" x14ac:dyDescent="0.3">
      <c r="A211" s="22" t="s">
        <v>101</v>
      </c>
    </row>
    <row r="212" spans="1:1" ht="20.100000000000001" customHeight="1" x14ac:dyDescent="0.3">
      <c r="A212" s="22" t="s">
        <v>175</v>
      </c>
    </row>
    <row r="213" spans="1:1" ht="20.100000000000001" customHeight="1" x14ac:dyDescent="0.3">
      <c r="A213" s="22" t="s">
        <v>102</v>
      </c>
    </row>
    <row r="214" spans="1:1" ht="20.100000000000001" customHeight="1" x14ac:dyDescent="0.3">
      <c r="A214" s="22" t="s">
        <v>103</v>
      </c>
    </row>
    <row r="215" spans="1:1" ht="20.100000000000001" customHeight="1" x14ac:dyDescent="0.3">
      <c r="A215" s="22" t="s">
        <v>104</v>
      </c>
    </row>
    <row r="216" spans="1:1" ht="20.100000000000001" customHeight="1" x14ac:dyDescent="0.3">
      <c r="A216" s="22" t="s">
        <v>105</v>
      </c>
    </row>
    <row r="217" spans="1:1" ht="20.100000000000001" customHeight="1" x14ac:dyDescent="0.3">
      <c r="A217" s="22" t="s">
        <v>106</v>
      </c>
    </row>
    <row r="218" spans="1:1" ht="20.100000000000001" customHeight="1" x14ac:dyDescent="0.3">
      <c r="A218" s="22" t="s">
        <v>107</v>
      </c>
    </row>
    <row r="219" spans="1:1" ht="20.100000000000001" customHeight="1" x14ac:dyDescent="0.3">
      <c r="A219" s="22" t="s">
        <v>108</v>
      </c>
    </row>
    <row r="220" spans="1:1" ht="20.100000000000001" customHeight="1" x14ac:dyDescent="0.3">
      <c r="A220" s="22" t="s">
        <v>109</v>
      </c>
    </row>
    <row r="221" spans="1:1" ht="20.100000000000001" customHeight="1" x14ac:dyDescent="0.3">
      <c r="A221" s="22" t="s">
        <v>110</v>
      </c>
    </row>
    <row r="222" spans="1:1" ht="20.100000000000001" customHeight="1" x14ac:dyDescent="0.3">
      <c r="A222" s="22" t="s">
        <v>111</v>
      </c>
    </row>
    <row r="223" spans="1:1" ht="20.100000000000001" customHeight="1" x14ac:dyDescent="0.3">
      <c r="A223" s="22" t="s">
        <v>112</v>
      </c>
    </row>
    <row r="224" spans="1:1" ht="20.100000000000001" customHeight="1" x14ac:dyDescent="0.3">
      <c r="A224" s="22" t="s">
        <v>176</v>
      </c>
    </row>
    <row r="225" spans="1:1" ht="20.100000000000001" customHeight="1" x14ac:dyDescent="0.3">
      <c r="A225" s="22" t="s">
        <v>113</v>
      </c>
    </row>
    <row r="226" spans="1:1" ht="20.100000000000001" customHeight="1" x14ac:dyDescent="0.3">
      <c r="A226" s="22" t="s">
        <v>114</v>
      </c>
    </row>
    <row r="227" spans="1:1" ht="20.100000000000001" customHeight="1" x14ac:dyDescent="0.3">
      <c r="A227" s="22" t="s">
        <v>115</v>
      </c>
    </row>
    <row r="228" spans="1:1" ht="20.100000000000001" customHeight="1" x14ac:dyDescent="0.3">
      <c r="A228" s="22" t="s">
        <v>116</v>
      </c>
    </row>
    <row r="229" spans="1:1" ht="20.100000000000001" customHeight="1" x14ac:dyDescent="0.3">
      <c r="A229" s="22" t="s">
        <v>117</v>
      </c>
    </row>
    <row r="230" spans="1:1" ht="20.100000000000001" customHeight="1" x14ac:dyDescent="0.3">
      <c r="A230" s="22" t="s">
        <v>118</v>
      </c>
    </row>
    <row r="231" spans="1:1" ht="20.100000000000001" customHeight="1" x14ac:dyDescent="0.3">
      <c r="A231" s="22" t="s">
        <v>119</v>
      </c>
    </row>
    <row r="232" spans="1:1" ht="20.100000000000001" customHeight="1" x14ac:dyDescent="0.3">
      <c r="A232" s="22" t="s">
        <v>120</v>
      </c>
    </row>
    <row r="233" spans="1:1" ht="20.100000000000001" customHeight="1" x14ac:dyDescent="0.3">
      <c r="A233" s="22" t="s">
        <v>121</v>
      </c>
    </row>
    <row r="234" spans="1:1" ht="20.100000000000001" customHeight="1" x14ac:dyDescent="0.3">
      <c r="A234" s="22" t="s">
        <v>122</v>
      </c>
    </row>
    <row r="235" spans="1:1" ht="20.100000000000001" customHeight="1" x14ac:dyDescent="0.3">
      <c r="A235" s="22" t="s">
        <v>123</v>
      </c>
    </row>
    <row r="236" spans="1:1" ht="20.100000000000001" customHeight="1" x14ac:dyDescent="0.3">
      <c r="A236" s="24" t="s">
        <v>124</v>
      </c>
    </row>
    <row r="237" spans="1:1" ht="20.100000000000001" customHeight="1" x14ac:dyDescent="0.3">
      <c r="A237" s="22" t="s">
        <v>125</v>
      </c>
    </row>
    <row r="238" spans="1:1" ht="20.100000000000001" customHeight="1" x14ac:dyDescent="0.3">
      <c r="A238" s="22" t="s">
        <v>126</v>
      </c>
    </row>
    <row r="239" spans="1:1" ht="20.100000000000001" customHeight="1" x14ac:dyDescent="0.3">
      <c r="A239" s="22" t="s">
        <v>127</v>
      </c>
    </row>
    <row r="240" spans="1:1" ht="20.100000000000001" customHeight="1" x14ac:dyDescent="0.3">
      <c r="A240" s="22" t="s">
        <v>128</v>
      </c>
    </row>
    <row r="241" spans="1:1" ht="20.100000000000001" customHeight="1" x14ac:dyDescent="0.3">
      <c r="A241" s="22" t="s">
        <v>129</v>
      </c>
    </row>
    <row r="242" spans="1:1" ht="20.100000000000001" customHeight="1" x14ac:dyDescent="0.3">
      <c r="A242" s="22" t="s">
        <v>130</v>
      </c>
    </row>
    <row r="243" spans="1:1" ht="20.100000000000001" customHeight="1" x14ac:dyDescent="0.3">
      <c r="A243" s="22" t="s">
        <v>131</v>
      </c>
    </row>
    <row r="244" spans="1:1" ht="20.100000000000001" customHeight="1" x14ac:dyDescent="0.3">
      <c r="A244" s="22" t="s">
        <v>132</v>
      </c>
    </row>
    <row r="245" spans="1:1" ht="20.100000000000001" customHeight="1" x14ac:dyDescent="0.3">
      <c r="A245" s="22" t="s">
        <v>133</v>
      </c>
    </row>
    <row r="246" spans="1:1" ht="20.100000000000001" customHeight="1" x14ac:dyDescent="0.3">
      <c r="A246" s="22" t="s">
        <v>134</v>
      </c>
    </row>
    <row r="247" spans="1:1" ht="20.100000000000001" customHeight="1" x14ac:dyDescent="0.3">
      <c r="A247" s="22" t="s">
        <v>135</v>
      </c>
    </row>
    <row r="248" spans="1:1" ht="20.100000000000001" customHeight="1" x14ac:dyDescent="0.3">
      <c r="A248" s="22" t="s">
        <v>126</v>
      </c>
    </row>
    <row r="249" spans="1:1" ht="20.100000000000001" customHeight="1" x14ac:dyDescent="0.3">
      <c r="A249" s="22" t="s">
        <v>136</v>
      </c>
    </row>
    <row r="250" spans="1:1" ht="20.100000000000001" customHeight="1" x14ac:dyDescent="0.3">
      <c r="A250" s="22" t="s">
        <v>137</v>
      </c>
    </row>
    <row r="251" spans="1:1" ht="20.100000000000001" customHeight="1" x14ac:dyDescent="0.3">
      <c r="A251" s="24" t="s">
        <v>138</v>
      </c>
    </row>
    <row r="252" spans="1:1" ht="20.100000000000001" customHeight="1" x14ac:dyDescent="0.3">
      <c r="A252" s="25" t="s">
        <v>139</v>
      </c>
    </row>
    <row r="253" spans="1:1" ht="20.100000000000001" customHeight="1" x14ac:dyDescent="0.3">
      <c r="A253" s="22" t="s">
        <v>140</v>
      </c>
    </row>
    <row r="254" spans="1:1" ht="20.100000000000001" customHeight="1" x14ac:dyDescent="0.3">
      <c r="A254" s="22" t="s">
        <v>141</v>
      </c>
    </row>
    <row r="255" spans="1:1" ht="20.100000000000001" customHeight="1" x14ac:dyDescent="0.3">
      <c r="A255" s="26" t="s">
        <v>142</v>
      </c>
    </row>
    <row r="256" spans="1:1" ht="20.100000000000001" customHeight="1" x14ac:dyDescent="0.3">
      <c r="A256" s="26" t="s">
        <v>143</v>
      </c>
    </row>
    <row r="257" spans="1:1" ht="20.100000000000001" customHeight="1" x14ac:dyDescent="0.3">
      <c r="A257" s="27" t="s">
        <v>144</v>
      </c>
    </row>
    <row r="258" spans="1:1" ht="20.100000000000001" customHeight="1" x14ac:dyDescent="0.3">
      <c r="A258" s="22" t="s">
        <v>145</v>
      </c>
    </row>
    <row r="259" spans="1:1" ht="20.100000000000001" customHeight="1" x14ac:dyDescent="0.3">
      <c r="A259" s="27" t="s">
        <v>146</v>
      </c>
    </row>
    <row r="260" spans="1:1" ht="20.100000000000001" customHeight="1" x14ac:dyDescent="0.3">
      <c r="A260" s="22" t="s">
        <v>147</v>
      </c>
    </row>
    <row r="261" spans="1:1" ht="20.100000000000001" customHeight="1" x14ac:dyDescent="0.3">
      <c r="A261" s="27" t="s">
        <v>148</v>
      </c>
    </row>
    <row r="262" spans="1:1" ht="20.100000000000001" customHeight="1" x14ac:dyDescent="0.3">
      <c r="A262" s="22" t="s">
        <v>149</v>
      </c>
    </row>
    <row r="263" spans="1:1" ht="20.100000000000001" customHeight="1" x14ac:dyDescent="0.3">
      <c r="A263" s="22" t="s">
        <v>150</v>
      </c>
    </row>
    <row r="264" spans="1:1" ht="20.100000000000001" customHeight="1" x14ac:dyDescent="0.3">
      <c r="A264" s="27" t="s">
        <v>151</v>
      </c>
    </row>
    <row r="265" spans="1:1" ht="20.100000000000001" customHeight="1" x14ac:dyDescent="0.3">
      <c r="A265" s="27" t="s">
        <v>152</v>
      </c>
    </row>
    <row r="266" spans="1:1" ht="20.100000000000001" customHeight="1" x14ac:dyDescent="0.3">
      <c r="A266" s="27" t="s">
        <v>153</v>
      </c>
    </row>
    <row r="267" spans="1:1" ht="20.100000000000001" customHeight="1" x14ac:dyDescent="0.3">
      <c r="A267" s="22" t="s">
        <v>154</v>
      </c>
    </row>
    <row r="268" spans="1:1" ht="20.100000000000001" customHeight="1" x14ac:dyDescent="0.3">
      <c r="A268" s="22" t="s">
        <v>155</v>
      </c>
    </row>
    <row r="269" spans="1:1" ht="20.100000000000001" customHeight="1" x14ac:dyDescent="0.3">
      <c r="A269" s="22" t="s">
        <v>156</v>
      </c>
    </row>
    <row r="270" spans="1:1" ht="20.100000000000001" customHeight="1" x14ac:dyDescent="0.3">
      <c r="A270" s="22" t="s">
        <v>157</v>
      </c>
    </row>
    <row r="271" spans="1:1" ht="20.100000000000001" customHeight="1" x14ac:dyDescent="0.3">
      <c r="A271" s="27" t="s">
        <v>158</v>
      </c>
    </row>
    <row r="272" spans="1:1" ht="20.100000000000001" customHeight="1" x14ac:dyDescent="0.3">
      <c r="A272" s="27" t="s">
        <v>159</v>
      </c>
    </row>
    <row r="273" spans="1:1" ht="20.100000000000001" customHeight="1" x14ac:dyDescent="0.3">
      <c r="A273" s="22" t="s">
        <v>160</v>
      </c>
    </row>
    <row r="274" spans="1:1" ht="20.100000000000001" customHeight="1" x14ac:dyDescent="0.3">
      <c r="A274" s="27" t="s">
        <v>161</v>
      </c>
    </row>
    <row r="275" spans="1:1" ht="20.100000000000001" customHeight="1" x14ac:dyDescent="0.3">
      <c r="A275" s="27" t="s">
        <v>162</v>
      </c>
    </row>
    <row r="276" spans="1:1" ht="20.100000000000001" customHeight="1" x14ac:dyDescent="0.3">
      <c r="A276" s="22" t="s">
        <v>163</v>
      </c>
    </row>
    <row r="277" spans="1:1" ht="20.100000000000001" customHeight="1" x14ac:dyDescent="0.3">
      <c r="A277" s="22" t="s">
        <v>164</v>
      </c>
    </row>
    <row r="278" spans="1:1" ht="20.100000000000001" customHeight="1" x14ac:dyDescent="0.3">
      <c r="A278" s="27" t="s">
        <v>165</v>
      </c>
    </row>
    <row r="279" spans="1:1" ht="20.100000000000001" customHeight="1" x14ac:dyDescent="0.3">
      <c r="A279" s="22" t="s">
        <v>166</v>
      </c>
    </row>
    <row r="280" spans="1:1" ht="20.100000000000001" customHeight="1" x14ac:dyDescent="0.3">
      <c r="A280" s="22" t="s">
        <v>167</v>
      </c>
    </row>
    <row r="281" spans="1:1" ht="20.100000000000001" customHeight="1" x14ac:dyDescent="0.3">
      <c r="A281" s="22" t="s">
        <v>168</v>
      </c>
    </row>
    <row r="282" spans="1:1" ht="20.100000000000001" customHeight="1" x14ac:dyDescent="0.3">
      <c r="A282" s="22" t="s">
        <v>169</v>
      </c>
    </row>
    <row r="283" spans="1:1" ht="20.100000000000001" customHeight="1" x14ac:dyDescent="0.3">
      <c r="A283" s="27" t="s">
        <v>170</v>
      </c>
    </row>
    <row r="284" spans="1:1" ht="20.100000000000001" customHeight="1" x14ac:dyDescent="0.3">
      <c r="A284" s="27" t="s">
        <v>171</v>
      </c>
    </row>
    <row r="285" spans="1:1" ht="20.100000000000001" customHeight="1" x14ac:dyDescent="0.3">
      <c r="A285" s="27" t="s">
        <v>172</v>
      </c>
    </row>
    <row r="286" spans="1:1" ht="20.100000000000001" customHeight="1" thickBot="1" x14ac:dyDescent="0.35">
      <c r="A286" s="22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2025-10-25T16:00:03Z</dcterms:modified>
</cp:coreProperties>
</file>