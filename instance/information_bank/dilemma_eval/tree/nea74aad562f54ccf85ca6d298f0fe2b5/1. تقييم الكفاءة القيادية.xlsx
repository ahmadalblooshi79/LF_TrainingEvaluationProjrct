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EEB7DE68-E688-8244-B120-A47B6E775F78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8" i="2"/>
  <c r="H8" i="2"/>
  <c r="F18" i="2"/>
  <c r="E18" i="2"/>
  <c r="E19" i="2"/>
  <c r="E20" i="2"/>
</calcChain>
</file>

<file path=xl/sharedStrings.xml><?xml version="1.0" encoding="utf-8"?>
<sst xmlns="http://schemas.openxmlformats.org/spreadsheetml/2006/main" count="114" uniqueCount="112">
  <si>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</si>
  <si>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</si>
  <si>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</si>
  <si>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</si>
  <si>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</si>
  <si>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</si>
  <si>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</si>
  <si>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</si>
  <si>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</si>
  <si>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</si>
  <si>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</si>
  <si>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</si>
  <si>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</si>
  <si>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</si>
  <si>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</si>
  <si>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</si>
  <si>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</si>
  <si>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</si>
  <si>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</si>
  <si>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</si>
  <si>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</si>
  <si>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</si>
  <si>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</si>
  <si>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</si>
  <si>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</si>
  <si>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</si>
  <si>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</si>
  <si>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</si>
  <si>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</si>
  <si>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</si>
  <si>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</si>
  <si>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</si>
  <si>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</si>
  <si>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</si>
  <si>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</si>
  <si>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</si>
  <si>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</si>
  <si>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</si>
  <si>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</si>
  <si>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</si>
  <si>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</si>
  <si>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</si>
  <si>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</si>
  <si>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</si>
  <si>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</si>
  <si>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</si>
  <si>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</si>
  <si>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</si>
  <si>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</si>
  <si>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</si>
  <si>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</si>
  <si>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</si>
  <si>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</si>
  <si>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</si>
  <si>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</si>
  <si>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</si>
  <si>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</si>
  <si>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</si>
  <si>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</si>
  <si>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</si>
  <si>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</si>
  <si>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</si>
  <si>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كتيبة المشاة الآلية/12 - السرية/1 - الفصيل/1</t>
  </si>
  <si>
    <t>كتيبة المشاة الآلية/12 - السرية/1 - الفصيل/2</t>
  </si>
  <si>
    <t>كتيبة المشاة الآلية/12 - السرية/1 - الفصيل/3</t>
  </si>
  <si>
    <t>كتيبة المشاة الآلية/12 - السرية/2 - الفصيل/1</t>
  </si>
  <si>
    <t>كتيبة المشاة الآلية/12 - السرية/2 - الفصيل/2</t>
  </si>
  <si>
    <t>كتيبة المشاة الآلية/12 - السرية/2 - الفصيل/3</t>
  </si>
  <si>
    <t>كتيبة المشاة الآلية/12 - السرية/3 - الفصيل/1</t>
  </si>
  <si>
    <t>كتيبة المشاة الآلية/12 - السرية/3 - الفصيل/2</t>
  </si>
  <si>
    <t>كتيبة المشاة الآلية/12 - السرية/3 - الفصيل/3</t>
  </si>
  <si>
    <t>كتيبة المشاة الآلية/13 - السرية/1 - الفصيل/1</t>
  </si>
  <si>
    <t>كتيبة المشاة الآلية/13 - السرية/1 - الفصيل/2</t>
  </si>
  <si>
    <t>كتيبة المشاة الآلية/13 - السرية/1 - الفصيل/3</t>
  </si>
  <si>
    <t>كتيبة المشاة الآلية/13 - السرية/2 - الفصيل/1</t>
  </si>
  <si>
    <t>كتيبة المشاة الآلية/13 - السرية/2 - الفصيل/2</t>
  </si>
  <si>
    <t>كتيبة المشاة الآلية/13 - السرية/2 - الفصيل/3</t>
  </si>
  <si>
    <t>كتيبة المشاة الآلية/13 - السرية/3 - الفصيل/1</t>
  </si>
  <si>
    <t>كتيبة المشاة الآلية/13 - السرية/3 - الفصيل/2</t>
  </si>
  <si>
    <t>كتيبة المشاة الآلية/13 - السرية/3 - الفصيل/3</t>
  </si>
  <si>
    <t>كتيبة الدبابات/14 - السرية/1 - الفصيل/1</t>
  </si>
  <si>
    <t>كتيبة الدبابات/14 - السرية/1 - الفصيل/2</t>
  </si>
  <si>
    <t>كتيبة الدبابات/14 - السرية/1 - الفصيل/3</t>
  </si>
  <si>
    <t>كتيبة المشاة الآلية/12 - السرية/1 - الفصيل/4</t>
  </si>
  <si>
    <t>كتيبة المشاة الآلية/12 - السرية/2 - الفصيل/4</t>
  </si>
  <si>
    <t>كتيبة المشاة الآلية/12 - السرية/3 - الفصيل/4</t>
  </si>
  <si>
    <t>كتيبة المشاة الآلية/13 - السرية/1 - الفصيل/4</t>
  </si>
  <si>
    <t>كتيبة المشاة الآلية/13 - السرية/2 - الفصيل/4</t>
  </si>
  <si>
    <t>كتيبة المشاة الآلية/13 - السرية/3 - الفصيل/4</t>
  </si>
  <si>
    <t>كتيبة الدبابات/14 - السرية/1 - الفصيل/4</t>
  </si>
  <si>
    <t>كتيبة الدبابات/14 - السرية/2 - الفصيل/1</t>
  </si>
  <si>
    <t>كتيبة الدبابات/14 - السرية/2 - الفصيل/2</t>
  </si>
  <si>
    <t>كتيبة الدبابات/14 - السرية/2 - الفصيل/3</t>
  </si>
  <si>
    <t>كتيبة الدبابات/14 - السرية/2 - الفصيل/4</t>
  </si>
  <si>
    <t>كتيبة الدبابات/14 - السرية/3 - الفصيل/1</t>
  </si>
  <si>
    <t>كتيبة الدبابات/14 - السرية/3 - الفصيل/2</t>
  </si>
  <si>
    <t>كتيبة الدبابات/14 - السرية/3 - الفصيل/3</t>
  </si>
  <si>
    <t>كتيبة الدبابات/14 - السرية/3 - الفصيل/4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</si>
  <si>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الثقة بالنفس</t>
    </r>
    <r>
      <rPr>
        <sz val="14"/>
        <color theme="1"/>
        <rFont val="Calibri"/>
        <family val="2"/>
      </rPr>
      <t xml:space="preserve"> 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</si>
  <si>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الصوت</t>
    </r>
    <r>
      <rPr>
        <sz val="14"/>
        <color theme="1"/>
        <rFont val="Calibri"/>
        <family val="2"/>
      </rPr>
      <t xml:space="preserve"> 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</si>
  <si>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استيعاب المهام الموكلة إليه</t>
    </r>
    <r>
      <rPr>
        <sz val="14"/>
        <color theme="1"/>
        <rFont val="Calibri"/>
        <family val="2"/>
      </rPr>
      <t xml:space="preserve"> 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</si>
  <si>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إيصال المعلومة والأوامر إلى مرؤوسيه</t>
    </r>
    <r>
      <rPr>
        <sz val="14"/>
        <color theme="1"/>
        <rFont val="Calibri"/>
        <family val="2"/>
      </rPr>
      <t xml:space="preserve"> 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</si>
  <si>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درجة الإبداع والمخاطرة</t>
    </r>
    <r>
      <rPr>
        <sz val="14"/>
        <color theme="1"/>
        <rFont val="Calibri"/>
        <family val="2"/>
      </rPr>
      <t xml:space="preserve"> 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</si>
  <si>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رد الفعل والاستجابة السريعة للمواقف الطارئة (المرونة)</t>
    </r>
    <r>
      <rPr>
        <sz val="14"/>
        <color theme="1"/>
        <rFont val="Calibri"/>
        <family val="2"/>
      </rPr>
      <t xml:space="preserve"> 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</si>
  <si>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إظهار روح المبادرة والجرأة</t>
    </r>
    <r>
      <rPr>
        <sz val="14"/>
        <color theme="1"/>
        <rFont val="Calibri"/>
        <family val="2"/>
      </rPr>
      <t xml:space="preserve"> 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</si>
  <si>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المهارة باستخدام سلاحه ومعداته الشخصية</t>
    </r>
    <r>
      <rPr>
        <sz val="14"/>
        <color theme="1"/>
        <rFont val="Calibri"/>
        <family val="2"/>
      </rPr>
      <t xml:space="preserve"> 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</si>
  <si>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القدرة على السيطرة على من دونه من المرؤوسين</t>
    </r>
    <r>
      <rPr>
        <sz val="14"/>
        <color theme="1"/>
        <rFont val="Calibri"/>
        <family val="2"/>
      </rPr>
      <t xml:space="preserve"> </t>
    </r>
  </si>
  <si>
    <r>
      <t>10.</t>
    </r>
    <r>
      <rPr>
        <sz val="7"/>
        <color theme="1"/>
        <rFont val="Times New Roman"/>
        <family val="1"/>
      </rPr>
      <t>   </t>
    </r>
    <r>
      <rPr>
        <sz val="14"/>
        <color theme="1"/>
        <rFont val="Arial"/>
        <family val="2"/>
      </rPr>
      <t>الصبر والتحمل</t>
    </r>
    <r>
      <rPr>
        <sz val="14"/>
        <color theme="1"/>
        <rFont val="Calibri"/>
        <family val="2"/>
      </rPr>
      <t xml:space="preserve"> </t>
    </r>
  </si>
  <si>
    <r>
      <rPr>
        <b/>
        <sz val="14"/>
        <color rgb="FF000000"/>
        <rFont val="Arial"/>
        <family val="2"/>
      </rPr>
      <t>تقييم الكفاءة القيادية للقادة الأصاغر (فصيل الـ م/د)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</si>
  <si>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ملازم/١</t>
  </si>
  <si>
    <t>صالح هادف المنصوري</t>
  </si>
  <si>
    <t xml:space="preserve">الرائد احمد هلال الزعابي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</si>
</sst>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0" fillId="0" borderId="20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0" fontId="10" fillId="0" borderId="5" xfId="0" applyFont="1" applyBorder="1" applyAlignment="1">
      <alignment horizontal="right" vertical="center" wrapText="1" readingOrder="2"/>
    </xf>
    <xf numFmtId="0" fontId="10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0" fillId="0" borderId="11" xfId="0" applyFont="1" applyBorder="1" applyAlignment="1">
      <alignment horizontal="right" vertical="center" wrapText="1" readingOrder="2"/>
    </xf>
    <xf numFmtId="0" fontId="10" fillId="0" borderId="12" xfId="0" applyFont="1" applyBorder="1" applyAlignment="1">
      <alignment horizontal="right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عادي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 /><Relationship Id="rId3" Type="http://schemas.openxmlformats.org/officeDocument/2006/relationships/customXml" Target="../ink/ink2.xml" /><Relationship Id="rId7" Type="http://schemas.openxmlformats.org/officeDocument/2006/relationships/customXml" Target="../ink/ink4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6" Type="http://schemas.openxmlformats.org/officeDocument/2006/relationships/image" Target="../media/image3.png" /><Relationship Id="rId5" Type="http://schemas.openxmlformats.org/officeDocument/2006/relationships/customXml" Target="../ink/ink3.xml" /><Relationship Id="rId10" Type="http://schemas.openxmlformats.org/officeDocument/2006/relationships/image" Target="../media/image5.png" /><Relationship Id="rId4" Type="http://schemas.openxmlformats.org/officeDocument/2006/relationships/image" Target="../media/image2.png" /><Relationship Id="rId9" Type="http://schemas.openxmlformats.org/officeDocument/2006/relationships/customXml" Target="../ink/ink5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212618</xdr:colOff>
      <xdr:row>20</xdr:row>
      <xdr:rowOff>118920</xdr:rowOff>
    </xdr:from>
    <xdr:to>
      <xdr:col>9</xdr:col>
      <xdr:colOff>496743</xdr:colOff>
      <xdr:row>25</xdr:row>
      <xdr:rowOff>132458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حبر 1">
              <a:extLst>
                <a:ext uri="{FF2B5EF4-FFF2-40B4-BE49-F238E27FC236}">
                  <a16:creationId xmlns:a16="http://schemas.microsoft.com/office/drawing/2014/main" id="{965CC7A9-F90F-E470-216F-23185B13B4FC}"/>
                </a:ext>
              </a:extLst>
            </xdr14:cNvPr>
            <xdr14:cNvContentPartPr/>
          </xdr14:nvContentPartPr>
          <xdr14:nvPr macro=""/>
          <xdr14:xfrm>
            <a:off x="11437942985" y="7738920"/>
            <a:ext cx="1715760" cy="1710720"/>
          </xdr14:xfrm>
        </xdr:contentPart>
      </mc:Choice>
      <mc:Fallback xmlns="">
        <xdr:pic>
          <xdr:nvPicPr>
            <xdr:cNvPr id="2" name="حبر 1">
              <a:extLst>
                <a:ext uri="{FF2B5EF4-FFF2-40B4-BE49-F238E27FC236}">
                  <a16:creationId xmlns:a16="http://schemas.microsoft.com/office/drawing/2014/main" id="{965CC7A9-F90F-E470-216F-23185B13B4F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37933985" y="7730280"/>
              <a:ext cx="1733400" cy="172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252357</xdr:colOff>
      <xdr:row>20</xdr:row>
      <xdr:rowOff>304680</xdr:rowOff>
    </xdr:from>
    <xdr:to>
      <xdr:col>6</xdr:col>
      <xdr:colOff>259557</xdr:colOff>
      <xdr:row>20</xdr:row>
      <xdr:rowOff>305040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حبر 2">
              <a:extLst>
                <a:ext uri="{FF2B5EF4-FFF2-40B4-BE49-F238E27FC236}">
                  <a16:creationId xmlns:a16="http://schemas.microsoft.com/office/drawing/2014/main" id="{F6E10D1A-0EDD-694E-A344-EAB78842FF3C}"/>
                </a:ext>
              </a:extLst>
            </xdr14:cNvPr>
            <xdr14:cNvContentPartPr/>
          </xdr14:nvContentPartPr>
          <xdr14:nvPr macro=""/>
          <xdr14:xfrm>
            <a:off x="11440327625" y="7924680"/>
            <a:ext cx="7200" cy="360"/>
          </xdr14:xfrm>
        </xdr:contentPart>
      </mc:Choice>
      <mc:Fallback xmlns="">
        <xdr:pic>
          <xdr:nvPicPr>
            <xdr:cNvPr id="3" name="حبر 2">
              <a:extLst>
                <a:ext uri="{FF2B5EF4-FFF2-40B4-BE49-F238E27FC236}">
                  <a16:creationId xmlns:a16="http://schemas.microsoft.com/office/drawing/2014/main" id="{F6E10D1A-0EDD-694E-A344-EAB78842FF3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440318625" y="7915680"/>
              <a:ext cx="2484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455757</xdr:colOff>
      <xdr:row>20</xdr:row>
      <xdr:rowOff>258600</xdr:rowOff>
    </xdr:from>
    <xdr:to>
      <xdr:col>6</xdr:col>
      <xdr:colOff>462237</xdr:colOff>
      <xdr:row>20</xdr:row>
      <xdr:rowOff>270480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حبر 3">
              <a:extLst>
                <a:ext uri="{FF2B5EF4-FFF2-40B4-BE49-F238E27FC236}">
                  <a16:creationId xmlns:a16="http://schemas.microsoft.com/office/drawing/2014/main" id="{E657703E-9E35-3D20-D852-D77B2000E8F3}"/>
                </a:ext>
              </a:extLst>
            </xdr14:cNvPr>
            <xdr14:cNvContentPartPr/>
          </xdr14:nvContentPartPr>
          <xdr14:nvPr macro=""/>
          <xdr14:xfrm>
            <a:off x="11440124945" y="7878600"/>
            <a:ext cx="6480" cy="11880"/>
          </xdr14:xfrm>
        </xdr:contentPart>
      </mc:Choice>
      <mc:Fallback xmlns="">
        <xdr:pic>
          <xdr:nvPicPr>
            <xdr:cNvPr id="4" name="حبر 3">
              <a:extLst>
                <a:ext uri="{FF2B5EF4-FFF2-40B4-BE49-F238E27FC236}">
                  <a16:creationId xmlns:a16="http://schemas.microsoft.com/office/drawing/2014/main" id="{E657703E-9E35-3D20-D852-D77B2000E8F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1440115945" y="7869600"/>
              <a:ext cx="24120" cy="2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496437</xdr:colOff>
      <xdr:row>20</xdr:row>
      <xdr:rowOff>368040</xdr:rowOff>
    </xdr:from>
    <xdr:to>
      <xdr:col>6</xdr:col>
      <xdr:colOff>496797</xdr:colOff>
      <xdr:row>20</xdr:row>
      <xdr:rowOff>374160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حبر 4">
              <a:extLst>
                <a:ext uri="{FF2B5EF4-FFF2-40B4-BE49-F238E27FC236}">
                  <a16:creationId xmlns:a16="http://schemas.microsoft.com/office/drawing/2014/main" id="{554E5396-FB4E-4B26-774C-AFE0123475DF}"/>
                </a:ext>
              </a:extLst>
            </xdr14:cNvPr>
            <xdr14:cNvContentPartPr/>
          </xdr14:nvContentPartPr>
          <xdr14:nvPr macro=""/>
          <xdr14:xfrm>
            <a:off x="11440090385" y="7988040"/>
            <a:ext cx="360" cy="6120"/>
          </xdr14:xfrm>
        </xdr:contentPart>
      </mc:Choice>
      <mc:Fallback xmlns="">
        <xdr:pic>
          <xdr:nvPicPr>
            <xdr:cNvPr id="5" name="حبر 4">
              <a:extLst>
                <a:ext uri="{FF2B5EF4-FFF2-40B4-BE49-F238E27FC236}">
                  <a16:creationId xmlns:a16="http://schemas.microsoft.com/office/drawing/2014/main" id="{554E5396-FB4E-4B26-774C-AFE0123475D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1440081385" y="7979400"/>
              <a:ext cx="1800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427317</xdr:colOff>
      <xdr:row>20</xdr:row>
      <xdr:rowOff>339240</xdr:rowOff>
    </xdr:from>
    <xdr:to>
      <xdr:col>6</xdr:col>
      <xdr:colOff>427677</xdr:colOff>
      <xdr:row>20</xdr:row>
      <xdr:rowOff>339600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حبر 5">
              <a:extLst>
                <a:ext uri="{FF2B5EF4-FFF2-40B4-BE49-F238E27FC236}">
                  <a16:creationId xmlns:a16="http://schemas.microsoft.com/office/drawing/2014/main" id="{70E101B0-AA59-6B63-F746-1C54E1A683FE}"/>
                </a:ext>
              </a:extLst>
            </xdr14:cNvPr>
            <xdr14:cNvContentPartPr/>
          </xdr14:nvContentPartPr>
          <xdr14:nvPr macro=""/>
          <xdr14:xfrm>
            <a:off x="11440159505" y="7959240"/>
            <a:ext cx="360" cy="360"/>
          </xdr14:xfrm>
        </xdr:contentPart>
      </mc:Choice>
      <mc:Fallback xmlns="">
        <xdr:pic>
          <xdr:nvPicPr>
            <xdr:cNvPr id="6" name="حبر 5">
              <a:extLst>
                <a:ext uri="{FF2B5EF4-FFF2-40B4-BE49-F238E27FC236}">
                  <a16:creationId xmlns:a16="http://schemas.microsoft.com/office/drawing/2014/main" id="{70E101B0-AA59-6B63-F746-1C54E1A683F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440150865" y="79506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9T15:17:56.2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642 2024,'0'0,"0"0,0 0,0 0,-17 16,17-14,0 12,-14 2,12-15,-30 46,-30 49,52-82,-62 68,-7 31,67-97,-73 96,20 0,56-95,-44 62,-12 1,55-67,-28 55,21-36,17-27,0 22,0-27,0 0,17-16,14 16,-26 0,72-48,50-33,-107 69,122-72,50-44,-163 108,183-104,59-37,-227 136,232-142,78-58,-299 191,227-124,37-34,-270 164,191-137,17-11,-218 149,132-91,-44 22,-108 81,42-18,-45 49,-13-14,-85 76,-62 67,122-124,-149 134,-21 21,163-150,-151 157,4-7,147-148,-134 137,33-21,110-122,-56 36,44-10,27-40,-7 0,46-8,-32 0,59-48,52-16,-94 54,89-60,5 6,-94 54,58-28,3 6,-68 26,41-37,12 27,-56 14,30-12,-39 30,0-13,-17 10,0 3,17-13,0 11,0 2,0-14,0 12,0 2,0-14,17-4,-15 2,13-16,-1 0,-11 13,28-10,-17-4,-11 15,28-12,-17-2,-11 14,11-12,3 14,-14 0,-6 16,3-8,0 0,0 8,0-13,-17 11,17 2,0-14,17-20,-14 16,9-13,4-1,-13 14,42-28,4-2,-42 27,17-22,24-5,-38 27,28-22,10-5,-41 28,51-40,7-4,-55 40,76-48,25-25,-92 69,44-40,16 4,-67 41,41-34,10-7,-51 40,24-32,12 24,-39 13,-18-10,9 5,0 32,-15-24,13 0,-29 32,-32 32,54-54,-112 60,-38 43,138-98,-167 114,-35 31,186-134,-136 109,-67 41,201-149,-163 122,-38-4,204-123,-152 132,-38 22,192-148,-156 121,-19-5,178-121,-145 98,15 24,137-123,-113 68,9 22,109-95,-75 30,15 2,67-42,-41 18,5 7,41-27,-34-10,26 21,13-14,-29-4,16 2,13 0,-30 16,1-16,26 0,-21 16,9-16,15 0,-13 0,1 0,11 0,-11 0,7 0,-3-16,27 0,-15 13,61-74,33-68,-81 122,129-114,48-56,-160 164,129-150,65-46,-192 191,252-252,19-51,-257 284,207-199,3-52,-217 256,127-161,8-31,-150 203,75-151,-5-4,-79 161,79-147,-48 34,-40 121,-16-50,-23 9,24 53,-20-27,-21-10,41 41,-48-2,-10-7,55 14,-141 4,-25-18,150 14,-157 52,-58 30,205-67,-120 119,-3-4,135-108,-65 40,-24 36,96-81,-125 179,61-18,68-148,42 8,36 13,-55-42,108 50,43-25,-137-28,144 56,39 20,-171-67,137 54,51 29,-185-79,83 47,-9 16,-96-68,46 72,2 12,-56-81,44 99,-36-18,-15-82,13 52,16 30,-26-82,7 36,19 14,-24-53,-14-6,39 28,-28-29,8 24,20 4,-25-27,34-10,41 5,-70 0,103-64,46-17,-134 69,139-72,26-28,-163 94,149-76,-17 13,-135 68,44-22,-5-13,-55 40,28-16,-6 8,-28 14,8-12,37-18,-42 27,17-22,24-5,-41 27,3-6,21-21,-24 27,17-22,24-5,-38 26,14-20,7-6,-26 27,7-23,3 28,-13 0,-36 16,32-14,-109 61,-64 33,146-81,-166 146,-94 48,244-175,-215 188,-108 67,308-243,-202 197,-58 45,267-241,-214 147,-22 30,241-186,-161 101,-15-11,188-108,-106 56,-2 4,122-67,-84 38,-7 14,96-55,-62 60,-17-6,84-54,-72 44,21 10,53-54,-45 44,7-22,41-27,-17 22,-10 5,29-26,-21 21,-6-11,28-14,-8 12,-5 2,17-14,0-4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9T15:18:01.4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0,'0'0,"0"0,0 0,0 0,0 0,0 0,0 0,0 0,0 0,0 0,0 0,0 0,15 0,-10 0,-10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9T15:18:02.3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0,'0'0,"0"0,0 0,0 0,0 0,0 0,0 0,0 0,0 0,0 0,0 0,0 0,0 16,0-15,17 14,-17-15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9T15:18:02.9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1,'0'0,"0"0,0 0,0 0,0 0,0 0,0 16,0-16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9T15:18:03.3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1,'0'0,"0"0,0 0,0 0,0 0,0 0,0 0,0 0,0 0,0 0,0 0,0 0,0 0,0 0,0 0,0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topLeftCell="D6" zoomScale="130" zoomScaleNormal="100" zoomScaleSheetLayoutView="130" workbookViewId="0">
      <selection activeCell="K16" sqref="K16"/>
    </sheetView>
  </sheetViews>
  <sheetFormatPr defaultColWidth="8.94921875" defaultRowHeight="13.5"/>
  <cols>
    <col min="1" max="1" width="5.1484375" style="1" customWidth="1"/>
    <col min="2" max="2" width="12.13671875" style="1" customWidth="1"/>
    <col min="3" max="3" width="8.94921875" style="1"/>
    <col min="4" max="4" width="28.07421875" style="1" customWidth="1"/>
    <col min="5" max="7" width="9.19140625" style="1" customWidth="1"/>
    <col min="8" max="8" width="9.19140625" style="3" customWidth="1"/>
    <col min="9" max="9" width="9.19140625" style="1" customWidth="1"/>
    <col min="10" max="10" width="15.4453125" style="1" customWidth="1"/>
    <col min="11" max="16384" width="8.94921875" style="1"/>
  </cols>
  <sheetData>
    <row r="1" spans="1:10" ht="45" customHeight="1">
      <c r="B1" s="41" t="s">
        <v>108</v>
      </c>
      <c r="C1" s="41"/>
      <c r="D1" s="41"/>
      <c r="E1" s="41"/>
      <c r="F1" s="41"/>
      <c r="G1" s="41"/>
      <c r="H1" s="41"/>
      <c r="I1" s="41"/>
      <c r="J1" s="41"/>
    </row>
    <row r="2" spans="1:10" ht="30" customHeight="1">
      <c r="B2" s="13" t="s">
        <v>8</v>
      </c>
      <c r="C2" s="47" t="s">
        <v>27</v>
      </c>
      <c r="D2" s="47"/>
      <c r="E2" s="13" t="s">
        <v>7</v>
      </c>
      <c r="F2" s="42">
        <v>45939</v>
      </c>
      <c r="G2" s="42"/>
      <c r="H2" s="42"/>
      <c r="I2" s="42"/>
      <c r="J2" s="42"/>
    </row>
    <row r="3" spans="1:10" ht="30" customHeight="1">
      <c r="B3" s="13" t="s">
        <v>9</v>
      </c>
      <c r="C3" s="47" t="s">
        <v>59</v>
      </c>
      <c r="D3" s="47"/>
      <c r="E3" s="13" t="s">
        <v>6</v>
      </c>
      <c r="F3" s="47" t="s">
        <v>111</v>
      </c>
      <c r="G3" s="47"/>
      <c r="H3" s="47"/>
      <c r="I3" s="47"/>
      <c r="J3" s="47"/>
    </row>
    <row r="4" spans="1:10" ht="30" customHeight="1" thickBot="1">
      <c r="B4" s="6"/>
      <c r="C4" s="7" t="s">
        <v>109</v>
      </c>
      <c r="D4" s="7" t="s">
        <v>110</v>
      </c>
      <c r="E4" s="6"/>
      <c r="F4" s="7"/>
      <c r="G4" s="7"/>
      <c r="H4" s="8"/>
      <c r="I4" s="7"/>
      <c r="J4" s="7"/>
    </row>
    <row r="5" spans="1:10" ht="24.95" customHeight="1">
      <c r="A5" s="11"/>
      <c r="B5" s="43" t="s">
        <v>0</v>
      </c>
      <c r="C5" s="44"/>
      <c r="D5" s="44"/>
      <c r="E5" s="52" t="s">
        <v>1</v>
      </c>
      <c r="F5" s="52"/>
      <c r="G5" s="52"/>
      <c r="H5" s="52"/>
      <c r="I5" s="52" t="s">
        <v>2</v>
      </c>
      <c r="J5" s="53"/>
    </row>
    <row r="6" spans="1:10" ht="24.95" customHeight="1" thickBot="1">
      <c r="A6" s="11"/>
      <c r="B6" s="45"/>
      <c r="C6" s="46"/>
      <c r="D6" s="46"/>
      <c r="E6" s="12" t="s">
        <v>3</v>
      </c>
      <c r="F6" s="12" t="s">
        <v>4</v>
      </c>
      <c r="G6" s="12" t="s">
        <v>23</v>
      </c>
      <c r="H6" s="12" t="s">
        <v>24</v>
      </c>
      <c r="I6" s="54"/>
      <c r="J6" s="55"/>
    </row>
    <row r="7" spans="1:10" ht="24.95" customHeight="1" thickBot="1">
      <c r="A7" s="11"/>
      <c r="B7" s="50" t="s">
        <v>21</v>
      </c>
      <c r="C7" s="51"/>
      <c r="D7" s="51"/>
      <c r="E7" s="22" t="s">
        <v>18</v>
      </c>
      <c r="F7" s="22" t="s">
        <v>19</v>
      </c>
      <c r="G7" s="22" t="s">
        <v>22</v>
      </c>
      <c r="H7" s="22" t="s">
        <v>20</v>
      </c>
      <c r="I7" s="56" t="s">
        <v>25</v>
      </c>
      <c r="J7" s="57"/>
    </row>
    <row r="8" spans="1:10" ht="30" customHeight="1">
      <c r="A8" s="11"/>
      <c r="B8" s="34" t="s">
        <v>98</v>
      </c>
      <c r="C8" s="35"/>
      <c r="D8" s="35"/>
      <c r="E8" s="25">
        <v>5</v>
      </c>
      <c r="F8" s="26">
        <v>4</v>
      </c>
      <c r="G8" s="27">
        <f>IFERROR(F8/E8,"")</f>
        <v>0.8</v>
      </c>
      <c r="H8" s="28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68"/>
      <c r="J8" s="69"/>
    </row>
    <row r="9" spans="1:10" ht="30" customHeight="1">
      <c r="A9" s="11"/>
      <c r="B9" s="32" t="s">
        <v>99</v>
      </c>
      <c r="C9" s="33"/>
      <c r="D9" s="33"/>
      <c r="E9" s="9">
        <v>5</v>
      </c>
      <c r="F9" s="20">
        <v>3.75</v>
      </c>
      <c r="G9" s="23">
        <f>IFERROR(F9/E9,"")</f>
        <v>0.75</v>
      </c>
      <c r="H9" s="2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8"/>
      <c r="J9" s="59"/>
    </row>
    <row r="10" spans="1:10" ht="30" customHeight="1">
      <c r="A10" s="11"/>
      <c r="B10" s="32" t="s">
        <v>100</v>
      </c>
      <c r="C10" s="33"/>
      <c r="D10" s="33"/>
      <c r="E10" s="9">
        <v>5</v>
      </c>
      <c r="F10" s="20">
        <v>3.75</v>
      </c>
      <c r="G10" s="23">
        <f t="shared" ref="G10:G17" si="0">IFERROR(F10/E10,"")</f>
        <v>0.75</v>
      </c>
      <c r="H10" s="24" t="str">
        <f t="shared" ref="H10:H17" si="1">_xlfn.IFS(F10="أدخل العلامة","",F10="لا ينطبق","تم الإلغاء",G10&gt;=90%,"ممتاز",G10&gt;=80%,"جيد جداً",G10&gt;=70%,"جيد",G10&gt;=60%,"مقبول",G10&lt;60%,"راسب")</f>
        <v>جيد</v>
      </c>
      <c r="I10" s="58"/>
      <c r="J10" s="59"/>
    </row>
    <row r="11" spans="1:10" ht="30" customHeight="1">
      <c r="A11" s="11"/>
      <c r="B11" s="32" t="s">
        <v>101</v>
      </c>
      <c r="C11" s="33"/>
      <c r="D11" s="33"/>
      <c r="E11" s="9">
        <v>5</v>
      </c>
      <c r="F11" s="20">
        <v>3.75</v>
      </c>
      <c r="G11" s="23">
        <f t="shared" si="0"/>
        <v>0.75</v>
      </c>
      <c r="H11" s="24" t="str">
        <f t="shared" si="1"/>
        <v>جيد</v>
      </c>
      <c r="I11" s="58"/>
      <c r="J11" s="59"/>
    </row>
    <row r="12" spans="1:10" ht="30" customHeight="1">
      <c r="A12" s="11"/>
      <c r="B12" s="32" t="s">
        <v>102</v>
      </c>
      <c r="C12" s="33"/>
      <c r="D12" s="33"/>
      <c r="E12" s="9">
        <v>5</v>
      </c>
      <c r="F12" s="20">
        <v>3.5</v>
      </c>
      <c r="G12" s="23">
        <f t="shared" si="0"/>
        <v>0.7</v>
      </c>
      <c r="H12" s="24" t="str">
        <f t="shared" si="1"/>
        <v>جيد</v>
      </c>
      <c r="I12" s="58"/>
      <c r="J12" s="59"/>
    </row>
    <row r="13" spans="1:10" ht="30" customHeight="1">
      <c r="A13" s="11"/>
      <c r="B13" s="32" t="s">
        <v>103</v>
      </c>
      <c r="C13" s="33"/>
      <c r="D13" s="33"/>
      <c r="E13" s="9">
        <v>5</v>
      </c>
      <c r="F13" s="20">
        <v>3.5</v>
      </c>
      <c r="G13" s="23">
        <f t="shared" si="0"/>
        <v>0.7</v>
      </c>
      <c r="H13" s="24" t="str">
        <f t="shared" si="1"/>
        <v>جيد</v>
      </c>
      <c r="I13" s="58"/>
      <c r="J13" s="59"/>
    </row>
    <row r="14" spans="1:10" ht="30" customHeight="1">
      <c r="A14" s="11"/>
      <c r="B14" s="32" t="s">
        <v>104</v>
      </c>
      <c r="C14" s="33"/>
      <c r="D14" s="33"/>
      <c r="E14" s="9">
        <v>5</v>
      </c>
      <c r="F14" s="20">
        <v>3.75</v>
      </c>
      <c r="G14" s="23">
        <f t="shared" si="0"/>
        <v>0.75</v>
      </c>
      <c r="H14" s="24" t="str">
        <f t="shared" si="1"/>
        <v>جيد</v>
      </c>
      <c r="I14" s="58"/>
      <c r="J14" s="59"/>
    </row>
    <row r="15" spans="1:10" ht="30" customHeight="1">
      <c r="A15" s="11"/>
      <c r="B15" s="32" t="s">
        <v>105</v>
      </c>
      <c r="C15" s="33"/>
      <c r="D15" s="33"/>
      <c r="E15" s="9">
        <v>5</v>
      </c>
      <c r="F15" s="20">
        <v>3.75</v>
      </c>
      <c r="G15" s="23">
        <f t="shared" si="0"/>
        <v>0.75</v>
      </c>
      <c r="H15" s="24" t="str">
        <f t="shared" si="1"/>
        <v>جيد</v>
      </c>
      <c r="I15" s="58"/>
      <c r="J15" s="59"/>
    </row>
    <row r="16" spans="1:10" ht="30" customHeight="1">
      <c r="A16" s="11"/>
      <c r="B16" s="32" t="s">
        <v>106</v>
      </c>
      <c r="C16" s="33"/>
      <c r="D16" s="33"/>
      <c r="E16" s="9">
        <v>5</v>
      </c>
      <c r="F16" s="20">
        <v>3.75</v>
      </c>
      <c r="G16" s="23">
        <f t="shared" si="0"/>
        <v>0.75</v>
      </c>
      <c r="H16" s="24" t="str">
        <f t="shared" si="1"/>
        <v>جيد</v>
      </c>
      <c r="I16" s="58"/>
      <c r="J16" s="59"/>
    </row>
    <row r="17" spans="1:10" ht="30" customHeight="1" thickBot="1">
      <c r="A17" s="11"/>
      <c r="B17" s="60" t="s">
        <v>107</v>
      </c>
      <c r="C17" s="61"/>
      <c r="D17" s="61"/>
      <c r="E17" s="29">
        <v>5</v>
      </c>
      <c r="F17" s="21">
        <v>4</v>
      </c>
      <c r="G17" s="30">
        <f t="shared" si="0"/>
        <v>0.8</v>
      </c>
      <c r="H17" s="31" t="str">
        <f t="shared" si="1"/>
        <v>جيد جداً</v>
      </c>
      <c r="I17" s="72"/>
      <c r="J17" s="73"/>
    </row>
    <row r="18" spans="1:10" ht="30" customHeight="1" thickBot="1">
      <c r="A18" s="4"/>
      <c r="B18" s="70" t="s">
        <v>5</v>
      </c>
      <c r="C18" s="71"/>
      <c r="D18" s="71"/>
      <c r="E18" s="10">
        <f>SUM(E8:E17)</f>
        <v>50</v>
      </c>
      <c r="F18" s="10">
        <f>SUM(F8:F17)</f>
        <v>37.5</v>
      </c>
      <c r="G18" s="38"/>
      <c r="H18" s="39"/>
      <c r="I18" s="39"/>
      <c r="J18" s="40"/>
    </row>
    <row r="19" spans="1:10" ht="30" customHeight="1" thickBot="1">
      <c r="A19" s="4"/>
      <c r="B19" s="70" t="s">
        <v>54</v>
      </c>
      <c r="C19" s="71"/>
      <c r="D19" s="71"/>
      <c r="E19" s="48">
        <f>F18/E18/100*100</f>
        <v>0.75</v>
      </c>
      <c r="F19" s="48"/>
      <c r="G19" s="48"/>
      <c r="H19" s="48"/>
      <c r="I19" s="48"/>
      <c r="J19" s="49"/>
    </row>
    <row r="20" spans="1:10" ht="30" customHeight="1" thickBot="1">
      <c r="A20" s="4"/>
      <c r="B20" s="70" t="s">
        <v>55</v>
      </c>
      <c r="C20" s="71"/>
      <c r="D20" s="71"/>
      <c r="E20" s="66" t="str">
        <f>_xlfn.IFS(E19&gt;=90%,"ممتاز",E19&gt;=80%,"جيد جداً",E19&gt;=70%,"جيد",E19&gt;=60%,"مقبول",E19&lt;60%,"راسب")</f>
        <v>جيد</v>
      </c>
      <c r="F20" s="66"/>
      <c r="G20" s="66"/>
      <c r="H20" s="66"/>
      <c r="I20" s="66"/>
      <c r="J20" s="67"/>
    </row>
    <row r="21" spans="1:10" ht="42" customHeight="1">
      <c r="B21" s="62" t="s">
        <v>61</v>
      </c>
      <c r="C21" s="62"/>
      <c r="D21" s="62"/>
      <c r="E21" s="36" t="s">
        <v>52</v>
      </c>
      <c r="F21" s="36"/>
      <c r="G21" s="64" t="s">
        <v>58</v>
      </c>
      <c r="H21" s="64"/>
      <c r="I21" s="64"/>
      <c r="J21" s="64"/>
    </row>
    <row r="22" spans="1:10" ht="51" customHeight="1">
      <c r="A22" s="5"/>
      <c r="B22" s="63"/>
      <c r="C22" s="63"/>
      <c r="D22" s="63"/>
      <c r="E22" s="37" t="s">
        <v>53</v>
      </c>
      <c r="F22" s="37"/>
      <c r="G22" s="65"/>
      <c r="H22" s="65"/>
      <c r="I22" s="65"/>
      <c r="J22" s="6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1">
    <mergeCell ref="B21:D22"/>
    <mergeCell ref="G21:J21"/>
    <mergeCell ref="G22:J22"/>
    <mergeCell ref="E20:J20"/>
    <mergeCell ref="I8:J8"/>
    <mergeCell ref="B18:D18"/>
    <mergeCell ref="B19:D19"/>
    <mergeCell ref="B20:D20"/>
    <mergeCell ref="I11:J11"/>
    <mergeCell ref="I12:J12"/>
    <mergeCell ref="I13:J13"/>
    <mergeCell ref="I14:J14"/>
    <mergeCell ref="I15:J15"/>
    <mergeCell ref="I16:J16"/>
    <mergeCell ref="I17:J17"/>
    <mergeCell ref="I9:J9"/>
    <mergeCell ref="E21:F21"/>
    <mergeCell ref="E22:F22"/>
    <mergeCell ref="G18:J18"/>
    <mergeCell ref="B1:J1"/>
    <mergeCell ref="F2:J2"/>
    <mergeCell ref="B5:D6"/>
    <mergeCell ref="C2:D2"/>
    <mergeCell ref="C3:D3"/>
    <mergeCell ref="F3:J3"/>
    <mergeCell ref="E19:J19"/>
    <mergeCell ref="B7:D7"/>
    <mergeCell ref="E5:H5"/>
    <mergeCell ref="I5:J6"/>
    <mergeCell ref="I7:J7"/>
    <mergeCell ref="I10:J10"/>
    <mergeCell ref="B17:D17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0">
    <cfRule type="expression" dxfId="14" priority="57">
      <formula>$E20="راسب"</formula>
    </cfRule>
  </conditionalFormatting>
  <conditionalFormatting sqref="E20:J20">
    <cfRule type="expression" dxfId="13" priority="58">
      <formula>$E20="مقبول"</formula>
    </cfRule>
    <cfRule type="expression" dxfId="12" priority="59">
      <formula>$E20="جيد"</formula>
    </cfRule>
    <cfRule type="expression" dxfId="11" priority="60">
      <formula>$E20="جيد جداً"</formula>
    </cfRule>
    <cfRule type="expression" dxfId="10" priority="61">
      <formula>$E20="ممتاز"</formula>
    </cfRule>
  </conditionalFormatting>
  <conditionalFormatting sqref="F8:F1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1:J21">
    <cfRule type="containsText" dxfId="6" priority="15" operator="containsText" text="أدخل اسم المحكم">
      <formula>NOT(ISERROR(SEARCH("أدخل اسم المحكم",G21)))</formula>
    </cfRule>
  </conditionalFormatting>
  <conditionalFormatting sqref="H8:H1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63B6DE-AA59-4C03-B91E-0E4266CD5498}">
          <x14:formula1>
            <xm:f>'بيانات التقييم'!$A$110:$A$132</xm:f>
          </x14:formula1>
          <xm:sqref>F8:F17</xm:sqref>
        </x14:dataValidation>
        <x14:dataValidation type="list" allowBlank="1" showInputMessage="1" showErrorMessage="1" xr:uid="{44A70599-D520-475C-AC59-F3BB48DF1527}">
          <x14:formula1>
            <xm:f>'بيانات التقييم'!$A$1:$A$70</xm:f>
          </x14:formula1>
          <xm:sqref>C2:D2</xm:sqref>
        </x14:dataValidation>
        <x14:dataValidation type="list" allowBlank="1" showInputMessage="1" showErrorMessage="1" xr:uid="{752BAE0F-E3DD-4976-92E4-009EDD5C72FE}">
          <x14:formula1>
            <xm:f>'بيانات التقييم'!$A$74:$A$105</xm:f>
          </x14:formula1>
          <xm:sqref>F2:J2</xm:sqref>
        </x14:dataValidation>
        <x14:dataValidation type="list" allowBlank="1" showInputMessage="1" showErrorMessage="1" xr:uid="{B1A9A504-F7F9-4975-BDDF-3CE5BBED544A}">
          <x14:formula1>
            <xm:f>'بيانات التقييم'!$A$197:$A$197</xm:f>
          </x14:formula1>
          <xm:sqref>G21:J21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H197"/>
  <sheetViews>
    <sheetView rightToLeft="1" topLeftCell="A97" workbookViewId="0">
      <selection activeCell="A110" sqref="A110:XFD110"/>
    </sheetView>
  </sheetViews>
  <sheetFormatPr defaultRowHeight="20.100000000000001" customHeight="1"/>
  <cols>
    <col min="1" max="1" width="42.5390625" style="1" customWidth="1"/>
    <col min="2" max="2" width="24.88671875" style="1" customWidth="1"/>
    <col min="3" max="8" width="8.94921875" style="1"/>
  </cols>
  <sheetData>
    <row r="1" spans="1:1" ht="20.100000000000001" customHeight="1" thickBot="1">
      <c r="A1" s="2" t="s">
        <v>57</v>
      </c>
    </row>
    <row r="2" spans="1:1" ht="20.100000000000001" customHeight="1" thickBot="1">
      <c r="A2" s="2" t="s">
        <v>35</v>
      </c>
    </row>
    <row r="3" spans="1:1" ht="20.100000000000001" customHeight="1" thickBot="1">
      <c r="A3" s="2" t="s">
        <v>26</v>
      </c>
    </row>
    <row r="4" spans="1:1" ht="20.100000000000001" customHeight="1" thickBot="1">
      <c r="A4" s="2" t="s">
        <v>36</v>
      </c>
    </row>
    <row r="5" spans="1:1" ht="20.100000000000001" customHeight="1" thickBot="1">
      <c r="A5" s="2" t="s">
        <v>37</v>
      </c>
    </row>
    <row r="6" spans="1:1" ht="20.100000000000001" customHeight="1" thickBot="1">
      <c r="A6" s="2" t="s">
        <v>62</v>
      </c>
    </row>
    <row r="7" spans="1:1" ht="20.100000000000001" customHeight="1" thickBot="1">
      <c r="A7" s="2" t="s">
        <v>63</v>
      </c>
    </row>
    <row r="8" spans="1:1" ht="20.100000000000001" customHeight="1" thickBot="1">
      <c r="A8" s="2" t="s">
        <v>64</v>
      </c>
    </row>
    <row r="9" spans="1:1" ht="20.100000000000001" customHeight="1" thickBot="1">
      <c r="A9" s="2" t="s">
        <v>83</v>
      </c>
    </row>
    <row r="10" spans="1:1" ht="20.100000000000001" customHeight="1" thickBot="1">
      <c r="A10" s="2" t="s">
        <v>38</v>
      </c>
    </row>
    <row r="11" spans="1:1" ht="20.100000000000001" customHeight="1" thickBot="1">
      <c r="A11" s="2" t="s">
        <v>65</v>
      </c>
    </row>
    <row r="12" spans="1:1" ht="20.100000000000001" customHeight="1" thickBot="1">
      <c r="A12" s="2" t="s">
        <v>66</v>
      </c>
    </row>
    <row r="13" spans="1:1" ht="20.100000000000001" customHeight="1" thickBot="1">
      <c r="A13" s="2" t="s">
        <v>67</v>
      </c>
    </row>
    <row r="14" spans="1:1" ht="20.100000000000001" customHeight="1" thickBot="1">
      <c r="A14" s="2" t="s">
        <v>84</v>
      </c>
    </row>
    <row r="15" spans="1:1" ht="20.100000000000001" customHeight="1" thickBot="1">
      <c r="A15" s="2" t="s">
        <v>39</v>
      </c>
    </row>
    <row r="16" spans="1:1" ht="20.100000000000001" customHeight="1" thickBot="1">
      <c r="A16" s="2" t="s">
        <v>68</v>
      </c>
    </row>
    <row r="17" spans="1:1" ht="20.100000000000001" customHeight="1" thickBot="1">
      <c r="A17" s="2" t="s">
        <v>69</v>
      </c>
    </row>
    <row r="18" spans="1:1" ht="20.100000000000001" customHeight="1" thickBot="1">
      <c r="A18" s="2" t="s">
        <v>70</v>
      </c>
    </row>
    <row r="19" spans="1:1" ht="20.100000000000001" customHeight="1" thickBot="1">
      <c r="A19" s="2" t="s">
        <v>85</v>
      </c>
    </row>
    <row r="20" spans="1:1" ht="20.100000000000001" customHeight="1" thickBot="1">
      <c r="A20" s="2" t="s">
        <v>40</v>
      </c>
    </row>
    <row r="21" spans="1:1" ht="20.100000000000001" customHeight="1" thickBot="1">
      <c r="A21" s="2" t="s">
        <v>41</v>
      </c>
    </row>
    <row r="22" spans="1:1" ht="20.100000000000001" customHeight="1" thickBot="1">
      <c r="A22" s="2" t="s">
        <v>71</v>
      </c>
    </row>
    <row r="23" spans="1:1" ht="20.100000000000001" customHeight="1" thickBot="1">
      <c r="A23" s="2" t="s">
        <v>72</v>
      </c>
    </row>
    <row r="24" spans="1:1" ht="20.100000000000001" customHeight="1" thickBot="1">
      <c r="A24" s="2" t="s">
        <v>73</v>
      </c>
    </row>
    <row r="25" spans="1:1" ht="20.100000000000001" customHeight="1" thickBot="1">
      <c r="A25" s="2" t="s">
        <v>86</v>
      </c>
    </row>
    <row r="26" spans="1:1" ht="20.100000000000001" customHeight="1" thickBot="1">
      <c r="A26" s="2" t="s">
        <v>42</v>
      </c>
    </row>
    <row r="27" spans="1:1" ht="20.100000000000001" customHeight="1" thickBot="1">
      <c r="A27" s="2" t="s">
        <v>74</v>
      </c>
    </row>
    <row r="28" spans="1:1" ht="20.100000000000001" customHeight="1" thickBot="1">
      <c r="A28" s="2" t="s">
        <v>75</v>
      </c>
    </row>
    <row r="29" spans="1:1" ht="20.100000000000001" customHeight="1" thickBot="1">
      <c r="A29" s="2" t="s">
        <v>76</v>
      </c>
    </row>
    <row r="30" spans="1:1" ht="20.100000000000001" customHeight="1" thickBot="1">
      <c r="A30" s="2" t="s">
        <v>87</v>
      </c>
    </row>
    <row r="31" spans="1:1" ht="20.100000000000001" customHeight="1" thickBot="1">
      <c r="A31" s="2" t="s">
        <v>43</v>
      </c>
    </row>
    <row r="32" spans="1:1" ht="20.100000000000001" customHeight="1" thickBot="1">
      <c r="A32" s="2" t="s">
        <v>77</v>
      </c>
    </row>
    <row r="33" spans="1:1" ht="20.100000000000001" customHeight="1" thickBot="1">
      <c r="A33" s="2" t="s">
        <v>78</v>
      </c>
    </row>
    <row r="34" spans="1:1" ht="20.100000000000001" customHeight="1" thickBot="1">
      <c r="A34" s="2" t="s">
        <v>79</v>
      </c>
    </row>
    <row r="35" spans="1:1" ht="20.100000000000001" customHeight="1" thickBot="1">
      <c r="A35" s="2" t="s">
        <v>88</v>
      </c>
    </row>
    <row r="36" spans="1:1" ht="20.100000000000001" customHeight="1" thickBot="1">
      <c r="A36" s="2" t="s">
        <v>44</v>
      </c>
    </row>
    <row r="37" spans="1:1" ht="20.100000000000001" customHeight="1" thickBot="1">
      <c r="A37" s="2" t="s">
        <v>45</v>
      </c>
    </row>
    <row r="38" spans="1:1" ht="20.100000000000001" customHeight="1" thickBot="1">
      <c r="A38" s="2" t="s">
        <v>80</v>
      </c>
    </row>
    <row r="39" spans="1:1" ht="20.100000000000001" customHeight="1" thickBot="1">
      <c r="A39" s="2" t="s">
        <v>81</v>
      </c>
    </row>
    <row r="40" spans="1:1" ht="20.100000000000001" customHeight="1" thickBot="1">
      <c r="A40" s="2" t="s">
        <v>82</v>
      </c>
    </row>
    <row r="41" spans="1:1" ht="20.100000000000001" customHeight="1" thickBot="1">
      <c r="A41" s="2" t="s">
        <v>89</v>
      </c>
    </row>
    <row r="42" spans="1:1" ht="20.100000000000001" customHeight="1" thickBot="1">
      <c r="A42" s="2" t="s">
        <v>46</v>
      </c>
    </row>
    <row r="43" spans="1:1" ht="20.100000000000001" customHeight="1" thickBot="1">
      <c r="A43" s="2" t="s">
        <v>90</v>
      </c>
    </row>
    <row r="44" spans="1:1" ht="20.100000000000001" customHeight="1" thickBot="1">
      <c r="A44" s="2" t="s">
        <v>91</v>
      </c>
    </row>
    <row r="45" spans="1:1" ht="20.100000000000001" customHeight="1" thickBot="1">
      <c r="A45" s="2" t="s">
        <v>92</v>
      </c>
    </row>
    <row r="46" spans="1:1" ht="20.100000000000001" customHeight="1" thickBot="1">
      <c r="A46" s="2" t="s">
        <v>93</v>
      </c>
    </row>
    <row r="47" spans="1:1" ht="20.100000000000001" customHeight="1" thickBot="1">
      <c r="A47" s="2" t="s">
        <v>47</v>
      </c>
    </row>
    <row r="48" spans="1:1" ht="20.100000000000001" customHeight="1" thickBot="1">
      <c r="A48" s="2" t="s">
        <v>94</v>
      </c>
    </row>
    <row r="49" spans="1:1" ht="20.100000000000001" customHeight="1" thickBot="1">
      <c r="A49" s="2" t="s">
        <v>95</v>
      </c>
    </row>
    <row r="50" spans="1:1" ht="20.100000000000001" customHeight="1" thickBot="1">
      <c r="A50" s="2" t="s">
        <v>96</v>
      </c>
    </row>
    <row r="51" spans="1:1" ht="20.100000000000001" customHeight="1" thickBot="1">
      <c r="A51" s="2" t="s">
        <v>97</v>
      </c>
    </row>
    <row r="52" spans="1:1" ht="20.100000000000001" customHeight="1" thickBot="1">
      <c r="A52" s="2" t="s">
        <v>10</v>
      </c>
    </row>
    <row r="53" spans="1:1" ht="20.100000000000001" customHeight="1" thickBot="1">
      <c r="A53" s="2" t="s">
        <v>27</v>
      </c>
    </row>
    <row r="54" spans="1:1" ht="20.100000000000001" customHeight="1" thickBot="1">
      <c r="A54" s="2" t="s">
        <v>48</v>
      </c>
    </row>
    <row r="55" spans="1:1" ht="20.100000000000001" customHeight="1" thickBot="1">
      <c r="A55" s="2" t="s">
        <v>49</v>
      </c>
    </row>
    <row r="56" spans="1:1" ht="20.100000000000001" customHeight="1" thickBot="1">
      <c r="A56" s="2" t="s">
        <v>50</v>
      </c>
    </row>
    <row r="57" spans="1:1" ht="20.100000000000001" customHeight="1" thickBot="1">
      <c r="A57" s="2" t="s">
        <v>51</v>
      </c>
    </row>
    <row r="58" spans="1:1" ht="20.100000000000001" customHeight="1" thickBot="1">
      <c r="A58" s="2" t="s">
        <v>11</v>
      </c>
    </row>
    <row r="59" spans="1:1" ht="20.100000000000001" customHeight="1" thickBot="1">
      <c r="A59" s="2" t="s">
        <v>12</v>
      </c>
    </row>
    <row r="60" spans="1:1" ht="20.100000000000001" customHeight="1" thickBot="1">
      <c r="A60" s="2" t="s">
        <v>15</v>
      </c>
    </row>
    <row r="61" spans="1:1" ht="20.100000000000001" customHeight="1" thickBot="1">
      <c r="A61" s="2" t="s">
        <v>28</v>
      </c>
    </row>
    <row r="62" spans="1:1" ht="20.100000000000001" customHeight="1" thickBot="1">
      <c r="A62" s="2" t="s">
        <v>29</v>
      </c>
    </row>
    <row r="63" spans="1:1" ht="20.100000000000001" customHeight="1" thickBot="1">
      <c r="A63" s="2" t="s">
        <v>13</v>
      </c>
    </row>
    <row r="64" spans="1:1" ht="20.100000000000001" customHeight="1" thickBot="1">
      <c r="A64" s="2" t="s">
        <v>30</v>
      </c>
    </row>
    <row r="65" spans="1:8" ht="20.100000000000001" customHeight="1" thickBot="1">
      <c r="A65" s="2" t="s">
        <v>31</v>
      </c>
    </row>
    <row r="66" spans="1:8" ht="20.100000000000001" customHeight="1" thickBot="1">
      <c r="A66" s="2" t="s">
        <v>32</v>
      </c>
    </row>
    <row r="67" spans="1:8" ht="20.100000000000001" customHeight="1" thickBot="1">
      <c r="A67" s="2" t="s">
        <v>33</v>
      </c>
    </row>
    <row r="68" spans="1:8" ht="20.100000000000001" customHeight="1" thickBot="1">
      <c r="A68" s="2" t="s">
        <v>16</v>
      </c>
    </row>
    <row r="69" spans="1:8" ht="20.100000000000001" customHeight="1" thickBot="1">
      <c r="A69" s="2" t="s">
        <v>14</v>
      </c>
    </row>
    <row r="70" spans="1:8" ht="20.100000000000001" customHeight="1" thickBot="1">
      <c r="A70" s="2" t="s">
        <v>34</v>
      </c>
    </row>
    <row r="71" spans="1:8" ht="20.100000000000001" customHeight="1">
      <c r="A71" s="19"/>
    </row>
    <row r="72" spans="1:8" s="18" customFormat="1" ht="20.100000000000001" customHeight="1">
      <c r="A72" s="16"/>
      <c r="B72" s="17"/>
      <c r="C72" s="17"/>
      <c r="D72" s="17"/>
      <c r="E72" s="17"/>
      <c r="F72" s="17"/>
      <c r="G72" s="17"/>
      <c r="H72" s="17"/>
    </row>
    <row r="73" spans="1:8" ht="20.100000000000001" customHeight="1" thickBot="1"/>
    <row r="74" spans="1:8" ht="20.100000000000001" customHeight="1" thickBot="1">
      <c r="A74" s="2" t="s">
        <v>56</v>
      </c>
    </row>
    <row r="75" spans="1:8" ht="20.100000000000001" customHeight="1" thickBot="1">
      <c r="A75" s="14">
        <v>45931</v>
      </c>
    </row>
    <row r="76" spans="1:8" ht="20.100000000000001" customHeight="1" thickBot="1">
      <c r="A76" s="14">
        <v>45932</v>
      </c>
    </row>
    <row r="77" spans="1:8" ht="20.100000000000001" customHeight="1" thickBot="1">
      <c r="A77" s="14">
        <v>45933</v>
      </c>
    </row>
    <row r="78" spans="1:8" ht="20.100000000000001" customHeight="1" thickBot="1">
      <c r="A78" s="14">
        <v>45934</v>
      </c>
    </row>
    <row r="79" spans="1:8" ht="20.100000000000001" customHeight="1" thickBot="1">
      <c r="A79" s="14">
        <v>45935</v>
      </c>
    </row>
    <row r="80" spans="1:8" ht="20.100000000000001" customHeight="1" thickBot="1">
      <c r="A80" s="14">
        <v>45936</v>
      </c>
    </row>
    <row r="81" spans="1:1" ht="20.100000000000001" customHeight="1" thickBot="1">
      <c r="A81" s="14">
        <v>45937</v>
      </c>
    </row>
    <row r="82" spans="1:1" ht="20.100000000000001" customHeight="1" thickBot="1">
      <c r="A82" s="14">
        <v>45938</v>
      </c>
    </row>
    <row r="83" spans="1:1" ht="20.100000000000001" customHeight="1" thickBot="1">
      <c r="A83" s="14">
        <v>45939</v>
      </c>
    </row>
    <row r="84" spans="1:1" ht="20.100000000000001" customHeight="1" thickBot="1">
      <c r="A84" s="14">
        <v>45940</v>
      </c>
    </row>
    <row r="85" spans="1:1" ht="20.100000000000001" customHeight="1" thickBot="1">
      <c r="A85" s="14">
        <v>45941</v>
      </c>
    </row>
    <row r="86" spans="1:1" ht="20.100000000000001" customHeight="1" thickBot="1">
      <c r="A86" s="14">
        <v>45942</v>
      </c>
    </row>
    <row r="87" spans="1:1" ht="20.100000000000001" customHeight="1" thickBot="1">
      <c r="A87" s="14">
        <v>45943</v>
      </c>
    </row>
    <row r="88" spans="1:1" ht="20.100000000000001" customHeight="1" thickBot="1">
      <c r="A88" s="14">
        <v>45944</v>
      </c>
    </row>
    <row r="89" spans="1:1" ht="20.100000000000001" customHeight="1" thickBot="1">
      <c r="A89" s="14">
        <v>45945</v>
      </c>
    </row>
    <row r="90" spans="1:1" ht="20.100000000000001" customHeight="1" thickBot="1">
      <c r="A90" s="14">
        <v>45946</v>
      </c>
    </row>
    <row r="91" spans="1:1" ht="20.100000000000001" customHeight="1" thickBot="1">
      <c r="A91" s="14">
        <v>45947</v>
      </c>
    </row>
    <row r="92" spans="1:1" ht="20.100000000000001" customHeight="1" thickBot="1">
      <c r="A92" s="14">
        <v>45948</v>
      </c>
    </row>
    <row r="93" spans="1:1" ht="20.100000000000001" customHeight="1" thickBot="1">
      <c r="A93" s="14">
        <v>45949</v>
      </c>
    </row>
    <row r="94" spans="1:1" ht="20.100000000000001" customHeight="1" thickBot="1">
      <c r="A94" s="14">
        <v>45950</v>
      </c>
    </row>
    <row r="95" spans="1:1" ht="20.100000000000001" customHeight="1" thickBot="1">
      <c r="A95" s="14">
        <v>45951</v>
      </c>
    </row>
    <row r="96" spans="1:1" ht="20.100000000000001" customHeight="1" thickBot="1">
      <c r="A96" s="14">
        <v>45952</v>
      </c>
    </row>
    <row r="97" spans="1:8" ht="20.100000000000001" customHeight="1" thickBot="1">
      <c r="A97" s="14">
        <v>45953</v>
      </c>
    </row>
    <row r="98" spans="1:8" ht="20.100000000000001" customHeight="1" thickBot="1">
      <c r="A98" s="14">
        <v>45954</v>
      </c>
    </row>
    <row r="99" spans="1:8" ht="20.100000000000001" customHeight="1" thickBot="1">
      <c r="A99" s="14">
        <v>45955</v>
      </c>
    </row>
    <row r="100" spans="1:8" ht="20.100000000000001" customHeight="1" thickBot="1">
      <c r="A100" s="14">
        <v>45956</v>
      </c>
    </row>
    <row r="101" spans="1:8" ht="20.100000000000001" customHeight="1" thickBot="1">
      <c r="A101" s="14">
        <v>45957</v>
      </c>
    </row>
    <row r="102" spans="1:8" ht="20.100000000000001" customHeight="1" thickBot="1">
      <c r="A102" s="14">
        <v>45958</v>
      </c>
    </row>
    <row r="103" spans="1:8" ht="20.100000000000001" customHeight="1" thickBot="1">
      <c r="A103" s="14">
        <v>45959</v>
      </c>
    </row>
    <row r="104" spans="1:8" ht="20.100000000000001" customHeight="1" thickBot="1">
      <c r="A104" s="14">
        <v>45960</v>
      </c>
    </row>
    <row r="105" spans="1:8" ht="20.100000000000001" customHeight="1" thickBot="1">
      <c r="A105" s="14">
        <v>45961</v>
      </c>
    </row>
    <row r="106" spans="1:8" ht="20.100000000000001" customHeight="1">
      <c r="A106" s="15"/>
    </row>
    <row r="107" spans="1:8" ht="20.100000000000001" customHeight="1">
      <c r="A107" s="15"/>
    </row>
    <row r="108" spans="1:8" s="18" customFormat="1" ht="20.100000000000001" customHeight="1">
      <c r="A108" s="16"/>
      <c r="B108" s="17"/>
      <c r="C108" s="17"/>
      <c r="D108" s="17"/>
      <c r="E108" s="17"/>
      <c r="F108" s="17"/>
      <c r="G108" s="17"/>
      <c r="H108" s="17"/>
    </row>
    <row r="109" spans="1:8" ht="20.100000000000001" customHeight="1" thickBot="1"/>
    <row r="110" spans="1:8" ht="20.100000000000001" customHeight="1" thickBot="1">
      <c r="A110" s="2" t="s">
        <v>60</v>
      </c>
    </row>
    <row r="111" spans="1:8" ht="20.100000000000001" customHeight="1" thickBot="1">
      <c r="A111" s="2" t="s">
        <v>17</v>
      </c>
    </row>
    <row r="112" spans="1:8" ht="20.100000000000001" customHeight="1" thickBot="1">
      <c r="A112" s="2">
        <v>0</v>
      </c>
    </row>
    <row r="113" spans="1:1" ht="20.100000000000001" customHeight="1" thickBot="1">
      <c r="A113" s="2">
        <v>0.25</v>
      </c>
    </row>
    <row r="114" spans="1:1" ht="20.100000000000001" customHeight="1" thickBot="1">
      <c r="A114" s="2">
        <v>0.5</v>
      </c>
    </row>
    <row r="115" spans="1:1" ht="20.100000000000001" customHeight="1" thickBot="1">
      <c r="A115" s="2">
        <v>0.75</v>
      </c>
    </row>
    <row r="116" spans="1:1" ht="20.100000000000001" customHeight="1" thickBot="1">
      <c r="A116" s="2">
        <v>1</v>
      </c>
    </row>
    <row r="117" spans="1:1" ht="20.100000000000001" customHeight="1" thickBot="1">
      <c r="A117" s="2">
        <v>1.25</v>
      </c>
    </row>
    <row r="118" spans="1:1" ht="20.100000000000001" customHeight="1" thickBot="1">
      <c r="A118" s="2">
        <v>1.5</v>
      </c>
    </row>
    <row r="119" spans="1:1" ht="20.100000000000001" customHeight="1" thickBot="1">
      <c r="A119" s="2">
        <v>1.75</v>
      </c>
    </row>
    <row r="120" spans="1:1" ht="20.100000000000001" customHeight="1" thickBot="1">
      <c r="A120" s="2">
        <v>2</v>
      </c>
    </row>
    <row r="121" spans="1:1" ht="20.100000000000001" customHeight="1" thickBot="1">
      <c r="A121" s="2">
        <v>2.25</v>
      </c>
    </row>
    <row r="122" spans="1:1" ht="20.100000000000001" customHeight="1" thickBot="1">
      <c r="A122" s="2">
        <v>2.5</v>
      </c>
    </row>
    <row r="123" spans="1:1" ht="20.100000000000001" customHeight="1" thickBot="1">
      <c r="A123" s="2">
        <v>2.75</v>
      </c>
    </row>
    <row r="124" spans="1:1" ht="20.100000000000001" customHeight="1" thickBot="1">
      <c r="A124" s="2">
        <v>3</v>
      </c>
    </row>
    <row r="125" spans="1:1" ht="20.100000000000001" customHeight="1" thickBot="1">
      <c r="A125" s="2">
        <v>3.25</v>
      </c>
    </row>
    <row r="126" spans="1:1" ht="20.100000000000001" customHeight="1" thickBot="1">
      <c r="A126" s="2">
        <v>3.5</v>
      </c>
    </row>
    <row r="127" spans="1:1" ht="20.100000000000001" customHeight="1" thickBot="1">
      <c r="A127" s="2">
        <v>3.75</v>
      </c>
    </row>
    <row r="128" spans="1:1" ht="20.100000000000001" customHeight="1" thickBot="1">
      <c r="A128" s="2">
        <v>4</v>
      </c>
    </row>
    <row r="129" spans="1:1" ht="20.100000000000001" customHeight="1" thickBot="1">
      <c r="A129" s="2">
        <v>4.25</v>
      </c>
    </row>
    <row r="130" spans="1:1" ht="20.100000000000001" customHeight="1" thickBot="1">
      <c r="A130" s="2">
        <v>4.5</v>
      </c>
    </row>
    <row r="131" spans="1:1" ht="20.100000000000001" customHeight="1" thickBot="1">
      <c r="A131" s="2">
        <v>4.75</v>
      </c>
    </row>
    <row r="132" spans="1:1" ht="20.100000000000001" customHeight="1" thickBot="1">
      <c r="A132" s="2">
        <v>5</v>
      </c>
    </row>
    <row r="133" spans="1:1" ht="20.100000000000001" customHeight="1" thickBot="1">
      <c r="A133" s="2">
        <v>5.25</v>
      </c>
    </row>
    <row r="134" spans="1:1" ht="20.100000000000001" customHeight="1" thickBot="1">
      <c r="A134" s="2">
        <v>5.5</v>
      </c>
    </row>
    <row r="135" spans="1:1" ht="20.100000000000001" customHeight="1" thickBot="1">
      <c r="A135" s="2">
        <v>5.75</v>
      </c>
    </row>
    <row r="136" spans="1:1" ht="20.100000000000001" customHeight="1" thickBot="1">
      <c r="A136" s="2">
        <v>6</v>
      </c>
    </row>
    <row r="137" spans="1:1" ht="20.100000000000001" customHeight="1" thickBot="1">
      <c r="A137" s="2">
        <v>6.25</v>
      </c>
    </row>
    <row r="138" spans="1:1" ht="20.100000000000001" customHeight="1" thickBot="1">
      <c r="A138" s="2">
        <v>6.5</v>
      </c>
    </row>
    <row r="139" spans="1:1" ht="20.100000000000001" customHeight="1" thickBot="1">
      <c r="A139" s="2">
        <v>6.75</v>
      </c>
    </row>
    <row r="140" spans="1:1" ht="20.100000000000001" customHeight="1" thickBot="1">
      <c r="A140" s="2">
        <v>7</v>
      </c>
    </row>
    <row r="141" spans="1:1" ht="20.100000000000001" customHeight="1" thickBot="1">
      <c r="A141" s="2">
        <v>7.25</v>
      </c>
    </row>
    <row r="142" spans="1:1" ht="20.100000000000001" customHeight="1" thickBot="1">
      <c r="A142" s="2">
        <v>7.5</v>
      </c>
    </row>
    <row r="143" spans="1:1" ht="20.100000000000001" customHeight="1" thickBot="1">
      <c r="A143" s="2">
        <v>7.75</v>
      </c>
    </row>
    <row r="144" spans="1:1" ht="20.100000000000001" customHeight="1" thickBot="1">
      <c r="A144" s="2">
        <v>8</v>
      </c>
    </row>
    <row r="145" spans="1:1" ht="20.100000000000001" customHeight="1" thickBot="1">
      <c r="A145" s="2">
        <v>8.25</v>
      </c>
    </row>
    <row r="146" spans="1:1" ht="20.100000000000001" customHeight="1" thickBot="1">
      <c r="A146" s="2">
        <v>8.5</v>
      </c>
    </row>
    <row r="147" spans="1:1" ht="20.100000000000001" customHeight="1" thickBot="1">
      <c r="A147" s="2">
        <v>8.75</v>
      </c>
    </row>
    <row r="148" spans="1:1" ht="20.100000000000001" customHeight="1" thickBot="1">
      <c r="A148" s="2">
        <v>9</v>
      </c>
    </row>
    <row r="149" spans="1:1" ht="20.100000000000001" customHeight="1" thickBot="1">
      <c r="A149" s="2">
        <v>9.25</v>
      </c>
    </row>
    <row r="150" spans="1:1" ht="20.100000000000001" customHeight="1" thickBot="1">
      <c r="A150" s="2">
        <v>9.5</v>
      </c>
    </row>
    <row r="151" spans="1:1" ht="20.100000000000001" customHeight="1" thickBot="1">
      <c r="A151" s="2">
        <v>9.75</v>
      </c>
    </row>
    <row r="152" spans="1:1" ht="20.100000000000001" customHeight="1" thickBot="1">
      <c r="A152" s="2">
        <v>10</v>
      </c>
    </row>
    <row r="153" spans="1:1" ht="20.100000000000001" customHeight="1" thickBot="1">
      <c r="A153" s="2">
        <v>10.25</v>
      </c>
    </row>
    <row r="154" spans="1:1" ht="20.100000000000001" customHeight="1" thickBot="1">
      <c r="A154" s="2">
        <v>10.5</v>
      </c>
    </row>
    <row r="155" spans="1:1" ht="20.100000000000001" customHeight="1" thickBot="1">
      <c r="A155" s="2">
        <v>10.75</v>
      </c>
    </row>
    <row r="156" spans="1:1" ht="20.100000000000001" customHeight="1" thickBot="1">
      <c r="A156" s="2">
        <v>11</v>
      </c>
    </row>
    <row r="157" spans="1:1" ht="20.100000000000001" customHeight="1" thickBot="1">
      <c r="A157" s="2">
        <v>11.25</v>
      </c>
    </row>
    <row r="158" spans="1:1" ht="20.100000000000001" customHeight="1" thickBot="1">
      <c r="A158" s="2">
        <v>11.5</v>
      </c>
    </row>
    <row r="159" spans="1:1" ht="20.100000000000001" customHeight="1" thickBot="1">
      <c r="A159" s="2">
        <v>11.75</v>
      </c>
    </row>
    <row r="160" spans="1:1" ht="20.100000000000001" customHeight="1" thickBot="1">
      <c r="A160" s="2">
        <v>12</v>
      </c>
    </row>
    <row r="161" spans="1:1" ht="20.100000000000001" customHeight="1" thickBot="1">
      <c r="A161" s="2">
        <v>12.25</v>
      </c>
    </row>
    <row r="162" spans="1:1" ht="20.100000000000001" customHeight="1" thickBot="1">
      <c r="A162" s="2">
        <v>12.5</v>
      </c>
    </row>
    <row r="163" spans="1:1" ht="20.100000000000001" customHeight="1" thickBot="1">
      <c r="A163" s="2">
        <v>12.75</v>
      </c>
    </row>
    <row r="164" spans="1:1" ht="20.100000000000001" customHeight="1" thickBot="1">
      <c r="A164" s="2">
        <v>13</v>
      </c>
    </row>
    <row r="165" spans="1:1" ht="20.100000000000001" customHeight="1" thickBot="1">
      <c r="A165" s="2">
        <v>13.25</v>
      </c>
    </row>
    <row r="166" spans="1:1" ht="20.100000000000001" customHeight="1" thickBot="1">
      <c r="A166" s="2">
        <v>13.5</v>
      </c>
    </row>
    <row r="167" spans="1:1" ht="20.100000000000001" customHeight="1" thickBot="1">
      <c r="A167" s="2">
        <v>13.75</v>
      </c>
    </row>
    <row r="168" spans="1:1" ht="20.100000000000001" customHeight="1" thickBot="1">
      <c r="A168" s="2">
        <v>14</v>
      </c>
    </row>
    <row r="169" spans="1:1" ht="20.100000000000001" customHeight="1" thickBot="1">
      <c r="A169" s="2">
        <v>14.25</v>
      </c>
    </row>
    <row r="170" spans="1:1" ht="20.100000000000001" customHeight="1" thickBot="1">
      <c r="A170" s="2">
        <v>14.5</v>
      </c>
    </row>
    <row r="171" spans="1:1" ht="20.100000000000001" customHeight="1" thickBot="1">
      <c r="A171" s="2">
        <v>14.75</v>
      </c>
    </row>
    <row r="172" spans="1:1" ht="20.100000000000001" customHeight="1" thickBot="1">
      <c r="A172" s="2">
        <v>15</v>
      </c>
    </row>
    <row r="173" spans="1:1" ht="20.100000000000001" customHeight="1" thickBot="1">
      <c r="A173" s="2">
        <v>15.25</v>
      </c>
    </row>
    <row r="174" spans="1:1" ht="20.100000000000001" customHeight="1" thickBot="1">
      <c r="A174" s="2">
        <v>15.5</v>
      </c>
    </row>
    <row r="175" spans="1:1" ht="20.100000000000001" customHeight="1" thickBot="1">
      <c r="A175" s="2">
        <v>15.75</v>
      </c>
    </row>
    <row r="176" spans="1:1" ht="20.100000000000001" customHeight="1" thickBot="1">
      <c r="A176" s="2">
        <v>16</v>
      </c>
    </row>
    <row r="177" spans="1:1" ht="20.100000000000001" customHeight="1" thickBot="1">
      <c r="A177" s="2">
        <v>16.25</v>
      </c>
    </row>
    <row r="178" spans="1:1" ht="20.100000000000001" customHeight="1" thickBot="1">
      <c r="A178" s="2">
        <v>16.5</v>
      </c>
    </row>
    <row r="179" spans="1:1" ht="20.100000000000001" customHeight="1" thickBot="1">
      <c r="A179" s="2">
        <v>16.75</v>
      </c>
    </row>
    <row r="180" spans="1:1" ht="20.100000000000001" customHeight="1" thickBot="1">
      <c r="A180" s="2">
        <v>17</v>
      </c>
    </row>
    <row r="181" spans="1:1" ht="20.100000000000001" customHeight="1" thickBot="1">
      <c r="A181" s="2">
        <v>17.25</v>
      </c>
    </row>
    <row r="182" spans="1:1" ht="20.100000000000001" customHeight="1" thickBot="1">
      <c r="A182" s="2">
        <v>17.5</v>
      </c>
    </row>
    <row r="183" spans="1:1" ht="20.100000000000001" customHeight="1" thickBot="1">
      <c r="A183" s="2">
        <v>17.75</v>
      </c>
    </row>
    <row r="184" spans="1:1" ht="20.100000000000001" customHeight="1" thickBot="1">
      <c r="A184" s="2">
        <v>18</v>
      </c>
    </row>
    <row r="185" spans="1:1" ht="20.100000000000001" customHeight="1" thickBot="1">
      <c r="A185" s="2">
        <v>18.25</v>
      </c>
    </row>
    <row r="186" spans="1:1" ht="20.100000000000001" customHeight="1" thickBot="1">
      <c r="A186" s="2">
        <v>18.5</v>
      </c>
    </row>
    <row r="187" spans="1:1" ht="20.100000000000001" customHeight="1" thickBot="1">
      <c r="A187" s="2">
        <v>18.75</v>
      </c>
    </row>
    <row r="188" spans="1:1" ht="20.100000000000001" customHeight="1" thickBot="1">
      <c r="A188" s="2">
        <v>19</v>
      </c>
    </row>
    <row r="189" spans="1:1" ht="20.100000000000001" customHeight="1" thickBot="1">
      <c r="A189" s="2">
        <v>19.25</v>
      </c>
    </row>
    <row r="190" spans="1:1" ht="20.100000000000001" customHeight="1" thickBot="1">
      <c r="A190" s="2">
        <v>19.5</v>
      </c>
    </row>
    <row r="191" spans="1:1" ht="20.100000000000001" customHeight="1" thickBot="1">
      <c r="A191" s="2">
        <v>19.75</v>
      </c>
    </row>
    <row r="192" spans="1:1" ht="20.100000000000001" customHeight="1" thickBot="1">
      <c r="A192" s="2">
        <v>20</v>
      </c>
    </row>
    <row r="196" spans="1:1" ht="20.100000000000001" customHeight="1" thickBot="1"/>
    <row r="197" spans="1:1" ht="20.100000000000001" customHeight="1" thickBot="1">
      <c r="A19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2025-10-06T08:27:08Z</dcterms:modified>
</cp:coreProperties>
</file>