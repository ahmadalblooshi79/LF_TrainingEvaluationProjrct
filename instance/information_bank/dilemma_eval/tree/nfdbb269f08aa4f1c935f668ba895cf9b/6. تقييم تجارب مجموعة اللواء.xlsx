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01804B22-AAE8-4BA3-B14F-0A35F0132A67}" xr6:coauthVersionLast="36" xr6:coauthVersionMax="36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التقييم'!$A$1:$J$60</definedName>
    <definedName name="_xlnm.Print_Titles" localSheetId="0">'قائمة التقييم'!$7:$7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8" i="2"/>
  <c r="H18" i="2" s="1"/>
  <c r="G19" i="2"/>
  <c r="H19" i="2" s="1"/>
  <c r="G20" i="2"/>
  <c r="H20" i="2" s="1"/>
  <c r="G22" i="2"/>
  <c r="H22" i="2" s="1"/>
  <c r="G23" i="2"/>
  <c r="H23" i="2" s="1"/>
  <c r="G24" i="2"/>
  <c r="H24" i="2" s="1"/>
  <c r="G25" i="2"/>
  <c r="H25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41" i="2"/>
  <c r="H41" i="2" s="1"/>
  <c r="G42" i="2"/>
  <c r="H42" i="2" s="1"/>
  <c r="G43" i="2"/>
  <c r="H43" i="2" s="1"/>
  <c r="G44" i="2"/>
  <c r="H44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F56" i="2" l="1"/>
  <c r="E56" i="2" l="1"/>
  <c r="E57" i="2" l="1"/>
  <c r="E58" i="2" s="1"/>
</calcChain>
</file>

<file path=xl/sharedStrings.xml><?xml version="1.0" encoding="utf-8"?>
<sst xmlns="http://schemas.openxmlformats.org/spreadsheetml/2006/main" count="117" uniqueCount="77">
  <si>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</si>
  <si>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</si>
  <si>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</si>
  <si>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</si>
  <si>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</si>
  <si>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</si>
  <si>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</si>
  <si>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</si>
  <si>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</si>
  <si>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</si>
  <si>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</si>
  <si>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</si>
  <si>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</si>
  <si>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</si>
  <si>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</si>
  <si>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</si>
  <si>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</si>
  <si>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</si>
  <si>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</si>
  <si>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</si>
  <si>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</si>
  <si>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</si>
  <si>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</si>
  <si>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</si>
  <si>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</si>
  <si>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</si>
  <si>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</si>
  <si>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</si>
  <si>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>ب. قام القائد والأركانية وقادة وضباط الوحدات المرؤوسة بتخطيط وترتيب أولويات العمل خلال التجارب من خلال ما يلي:</t>
  </si>
  <si>
    <t>جـ. اختيار أحد أساليب التجارب مثل التجارب باستخدام كامل القوة، باستخدام جزء من القوة، باستخدام نماذج تمثل طبيعة الأرض، الأجهزة اللاسلكية.</t>
  </si>
  <si>
    <t>هـ. قام نائب القائد بما يلي:</t>
  </si>
  <si>
    <t>ب. تخصيص الوقت للتجارب.</t>
  </si>
  <si>
    <t>جـ. مراجعة التجميع للواجب للعملية.</t>
  </si>
  <si>
    <t>د. التأكد من حضور المشاركين في التجارب.</t>
  </si>
  <si>
    <t>هـ. التأكد من جاهزية المعدات اللازمة للتجارب.</t>
  </si>
  <si>
    <t>ز. إعداد شفافات موحدة تضم كافة مخططات الوحدات المرؤوسة.</t>
  </si>
  <si>
    <t>ح. تعيين مسجل ملاحظات للتجربة.</t>
  </si>
  <si>
    <t>ط. إصدار الشفافات الموحدة (شفاف المناورة، الإسناد الناري، الإسناد الهندسي والإدامة).</t>
  </si>
  <si>
    <t>ي. انتهاء القادة المرؤوسين من عملية التخطيط لوحداتهم.</t>
  </si>
  <si>
    <t>ك. تحضير القادة المرؤوسين لأي أمور لمناقشتها أثناء التجارب مع القيادة الأعلى.</t>
  </si>
  <si>
    <t>ل. تحرك المشاركون إلى موقع التجربة.</t>
  </si>
  <si>
    <t>جـ. قام قادة الوحدات المرؤوسة (المناورة) بتطبيق أدوارهم في العملية وحسب تسلسل الأحداث.</t>
  </si>
  <si>
    <t>هـ. تم تسجيل الملاحظات التي تتطلب اتخاذ قرار من قبل القائد.</t>
  </si>
  <si>
    <t>ح. أرسال القيادات لأي تحديثات على أمر العمليات / الخطة للوحدات المرؤوسة.</t>
  </si>
  <si>
    <r>
      <t>1.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التخطيط.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</si>
  <si>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نوع التجارب التي سيتم تنفيذها (الإيجازات التأكيدية، ايجازات القادة المرؤوسين، تجارب الأسلحة الموحدة، تجارب الإسناد الناري والإداري وغيرها).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</si>
  <si>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الأحداث التي سيتم إجراء التجارب عليها وترتيبها حسب الأولوية وتحديد التوقيتات اللازمة لكل حدث.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</si>
  <si>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المشاركين في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</si>
  <si>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عمل العدو الذي سيتم تمثيله خلال التجارب.</t>
    </r>
  </si>
  <si>
    <r>
      <t>(5)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اختيار مكان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</si>
  <si>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الأحداث الهامة التي سيتم التمرين عليها.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</si>
  <si>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تسلسل الأحداث الهامة.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</si>
  <si>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قائمة تدقيق للأفعال (النشاطات) من قبل قواتنا.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</si>
  <si>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زمان ومكان التجربة وكما جاء في أمر العمليات أو الأمر الإنذاري.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</si>
  <si>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تحديد المخرجات المطلوبة من إجراء التجربة.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</si>
  <si>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التنسيق لحضور ضباط ارتباط الوحدات المجاورة عند الضرورة.</t>
    </r>
  </si>
  <si>
    <r>
      <t>2.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التحضير</t>
    </r>
    <r>
      <rPr>
        <b/>
        <sz val="12"/>
        <color rgb="FF000000"/>
        <rFont val="Arial"/>
        <family val="2"/>
      </rPr>
      <t>.</t>
    </r>
  </si>
  <si>
    <r>
      <t>3.</t>
    </r>
    <r>
      <rPr>
        <sz val="12"/>
        <color rgb="FF000000"/>
        <rFont val="Times New Roman"/>
        <family val="1"/>
      </rPr>
      <t xml:space="preserve">      </t>
    </r>
    <r>
      <rPr>
        <b/>
        <u/>
        <sz val="12"/>
        <color rgb="FF000000"/>
        <rFont val="Arial"/>
        <family val="2"/>
      </rPr>
      <t>مرحلة التنفيذ</t>
    </r>
    <r>
      <rPr>
        <b/>
        <sz val="12"/>
        <color rgb="FF000000"/>
        <rFont val="Arial"/>
        <family val="2"/>
      </rPr>
      <t>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</si>
  <si>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إيجاز المشاركين عن أسلوب تنفيذ التجارب.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</si>
  <si>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التأكيد على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</si>
  <si>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عرض مفهوم العمليات.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</si>
  <si>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تأكيد الأحداث الهامة التي سيتم التركيز عليها خلال التجارب.</t>
    </r>
  </si>
  <si>
    <r>
      <t>(1)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تفقد المشاركين والمعدات الضرورية.</t>
    </r>
  </si>
  <si>
    <r>
      <t>(2)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اعتماد التجميع للواجب للعملية.</t>
    </r>
  </si>
  <si>
    <r>
      <t>(3)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الالتزام بالتوقيتات خلال إجراء التجارب.</t>
    </r>
  </si>
  <si>
    <r>
      <t>(4)</t>
    </r>
    <r>
      <rPr>
        <sz val="12"/>
        <color rgb="FF000000"/>
        <rFont val="Times New Roman"/>
        <family val="1"/>
      </rPr>
      <t xml:space="preserve">         </t>
    </r>
    <r>
      <rPr>
        <sz val="12"/>
        <color rgb="FF000000"/>
        <rFont val="Arial"/>
        <family val="2"/>
      </rPr>
      <t>تنفيذ الأحداث الهامة حسب تسلسلها والأولوية والتوقيتات المحددة لكل حدث وتكون الأحداث ضد عمل العدو الذي تم اختياره في مرحلة التخطيط.</t>
    </r>
  </si>
  <si>
    <t>أ.   فهم القادة للموقف باستخدام كافة الوسائل المتوفرة.</t>
  </si>
  <si>
    <t>د.   كتابة النص الخاص بالتجارب شاملاً ما يلي:</t>
  </si>
  <si>
    <t>و.   تضمين مكان ووقت التجارب في أمر العمليات أو الإنذاري</t>
  </si>
  <si>
    <t>أ.   تم تدقيق قائمة الأحداث الهامة التي سيتم تطبيق التجارب عليها.</t>
  </si>
  <si>
    <t>و.  إزالة التعارض بين شفافات ومخططات الوحدات المرؤوسة إن وجدت.</t>
  </si>
  <si>
    <t>أ.   قام ركن / ضابط العمليات بما يلي:</t>
  </si>
  <si>
    <t>ب.  أدار نائب القائد التجارب كما يلي:</t>
  </si>
  <si>
    <t>د.  قام قادة وحدات الإسناد (الناري، الهندسي، الكيميائي وغيرها) بتطبيق أدوارهم في العملية وحسب واجباتهم وتسلسل الأحداث.</t>
  </si>
  <si>
    <t>و.  تم تعديل الخطة بعد انتهاء التجارب حسب الحاجة وإبلاغ المعنيين بذلك حسب الأوامر التعبوية المستديمة.</t>
  </si>
  <si>
    <t>ز.  قام مسجل الملاحظات فور الانتهاء من التجربة ببيان التعديلات، أعمال التنسيق، أو الاستفسارات التي اجريت بناءً على توجيهات القائد.</t>
  </si>
  <si>
    <t>تقييم تجارب مجموعة اللواء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</si>
</sst>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0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1"/>
    </xf>
    <xf numFmtId="0" fontId="2" fillId="0" borderId="11" xfId="0" applyFont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8" fillId="0" borderId="5" xfId="0" applyFont="1" applyBorder="1" applyAlignment="1">
      <alignment horizontal="right" vertical="center" wrapText="1" readingOrder="2"/>
    </xf>
    <xf numFmtId="0" fontId="8" fillId="0" borderId="21" xfId="0" applyFont="1" applyBorder="1" applyAlignment="1">
      <alignment horizontal="right" vertical="center" wrapText="1" indent="4" readingOrder="2"/>
    </xf>
    <xf numFmtId="0" fontId="8" fillId="0" borderId="2" xfId="0" applyFont="1" applyBorder="1" applyAlignment="1">
      <alignment horizontal="right" vertical="center" wrapText="1" indent="4" readingOrder="2"/>
    </xf>
    <xf numFmtId="0" fontId="8" fillId="0" borderId="21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8" fillId="0" borderId="10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3" borderId="17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0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4" xfId="0" applyFont="1" applyFill="1" applyBorder="1" applyAlignment="1" applyProtection="1">
      <alignment horizontal="center" vertical="center" wrapText="1" readingOrder="2"/>
      <protection locked="0"/>
    </xf>
    <xf numFmtId="0" fontId="6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1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5" xfId="0" applyFont="1" applyFill="1" applyBorder="1" applyAlignment="1" applyProtection="1">
      <alignment horizontal="center" vertical="center" wrapText="1" readingOrder="2"/>
      <protection locked="0"/>
    </xf>
    <xf numFmtId="0" fontId="5" fillId="3" borderId="16" xfId="0" applyFont="1" applyFill="1" applyBorder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49" fontId="4" fillId="0" borderId="0" xfId="0" applyNumberFormat="1" applyFont="1" applyAlignment="1" applyProtection="1">
      <alignment horizontal="center" vertical="center" readingOrder="2"/>
      <protection locked="0"/>
    </xf>
  </cellXfs>
  <cellStyles count="1">
    <cellStyle name="Normal" xfId="0" builtinId="0"/>
  </cellStyles>
  <dxfs count="24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0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2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7" t="s">
        <v>76</v>
      </c>
      <c r="C1" s="68"/>
      <c r="D1" s="68"/>
      <c r="E1" s="68"/>
      <c r="F1" s="68"/>
      <c r="G1" s="68"/>
      <c r="H1" s="68"/>
      <c r="I1" s="68"/>
      <c r="J1" s="68"/>
    </row>
    <row r="2" spans="1:10" ht="30" customHeight="1" x14ac:dyDescent="0.2">
      <c r="B2" s="11" t="s">
        <v>8</v>
      </c>
      <c r="C2" s="56" t="s">
        <v>23</v>
      </c>
      <c r="D2" s="56"/>
      <c r="E2" s="11" t="s">
        <v>7</v>
      </c>
      <c r="F2" s="51" t="s">
        <v>22</v>
      </c>
      <c r="G2" s="51"/>
      <c r="H2" s="51"/>
      <c r="I2" s="51"/>
      <c r="J2" s="51"/>
    </row>
    <row r="3" spans="1:10" ht="30" customHeight="1" x14ac:dyDescent="0.2">
      <c r="B3" s="11" t="s">
        <v>9</v>
      </c>
      <c r="C3" s="56" t="s">
        <v>25</v>
      </c>
      <c r="D3" s="56"/>
      <c r="E3" s="11" t="s">
        <v>6</v>
      </c>
      <c r="F3" s="56" t="s">
        <v>24</v>
      </c>
      <c r="G3" s="56"/>
      <c r="H3" s="56"/>
      <c r="I3" s="56"/>
      <c r="J3" s="56"/>
    </row>
    <row r="4" spans="1:10" ht="30" customHeight="1" thickBot="1" x14ac:dyDescent="0.25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">
      <c r="A5" s="9"/>
      <c r="B5" s="52" t="s">
        <v>0</v>
      </c>
      <c r="C5" s="53"/>
      <c r="D5" s="53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9"/>
      <c r="B6" s="54"/>
      <c r="C6" s="55"/>
      <c r="D6" s="55"/>
      <c r="E6" s="10" t="s">
        <v>3</v>
      </c>
      <c r="F6" s="10" t="s">
        <v>4</v>
      </c>
      <c r="G6" s="10" t="s">
        <v>15</v>
      </c>
      <c r="H6" s="10" t="s">
        <v>16</v>
      </c>
      <c r="I6" s="63"/>
      <c r="J6" s="64"/>
    </row>
    <row r="7" spans="1:10" ht="24.95" customHeight="1" thickBot="1" x14ac:dyDescent="0.25">
      <c r="A7" s="9"/>
      <c r="B7" s="59" t="s">
        <v>13</v>
      </c>
      <c r="C7" s="60"/>
      <c r="D7" s="60"/>
      <c r="E7" s="14" t="s">
        <v>10</v>
      </c>
      <c r="F7" s="14" t="s">
        <v>11</v>
      </c>
      <c r="G7" s="14" t="s">
        <v>14</v>
      </c>
      <c r="H7" s="14" t="s">
        <v>12</v>
      </c>
      <c r="I7" s="65" t="s">
        <v>17</v>
      </c>
      <c r="J7" s="66"/>
    </row>
    <row r="8" spans="1:10" ht="30" customHeight="1" x14ac:dyDescent="0.2">
      <c r="A8" s="9"/>
      <c r="B8" s="23" t="s">
        <v>44</v>
      </c>
      <c r="C8" s="24"/>
      <c r="D8" s="24"/>
      <c r="E8" s="24"/>
      <c r="F8" s="24"/>
      <c r="G8" s="24"/>
      <c r="H8" s="24"/>
      <c r="I8" s="24"/>
      <c r="J8" s="25"/>
    </row>
    <row r="9" spans="1:10" ht="30" customHeight="1" x14ac:dyDescent="0.2">
      <c r="A9" s="9"/>
      <c r="B9" s="28" t="s">
        <v>66</v>
      </c>
      <c r="C9" s="29"/>
      <c r="D9" s="29"/>
      <c r="E9" s="8">
        <v>5</v>
      </c>
      <c r="F9" s="12" t="s">
        <v>26</v>
      </c>
      <c r="G9" s="16" t="str">
        <f>IFERROR(F9/E9,"")</f>
        <v/>
      </c>
      <c r="H9" s="17" t="str">
        <f>_xlfn.IFS(F9="أدخل العلامة","",F9="لا ينطبق","تم الإلغاء",G9&gt;=90%,"ممتاز",G9&gt;=80%,"جيد جداً",G9&gt;=70%,"جيد",G9&gt;=60%,"مقبول",G9&lt;60%,"راسب")</f>
        <v/>
      </c>
      <c r="I9" s="32"/>
      <c r="J9" s="33"/>
    </row>
    <row r="10" spans="1:10" ht="39.950000000000003" customHeight="1" x14ac:dyDescent="0.2">
      <c r="A10" s="9"/>
      <c r="B10" s="28" t="s">
        <v>28</v>
      </c>
      <c r="C10" s="29"/>
      <c r="D10" s="29"/>
      <c r="E10" s="8"/>
      <c r="F10" s="12"/>
      <c r="G10" s="16"/>
      <c r="H10" s="17"/>
      <c r="I10" s="32"/>
      <c r="J10" s="33"/>
    </row>
    <row r="11" spans="1:10" ht="50.1" customHeight="1" x14ac:dyDescent="0.2">
      <c r="A11" s="9"/>
      <c r="B11" s="26" t="s">
        <v>45</v>
      </c>
      <c r="C11" s="27"/>
      <c r="D11" s="27"/>
      <c r="E11" s="8">
        <v>5</v>
      </c>
      <c r="F11" s="12" t="s">
        <v>26</v>
      </c>
      <c r="G11" s="16" t="str">
        <f t="shared" ref="G11:G55" si="0">IFERROR(F11/E11,"")</f>
        <v/>
      </c>
      <c r="H11" s="17" t="str">
        <f t="shared" ref="H11:H55" si="1">_xlfn.IFS(F11="أدخل العلامة","",F11="لا ينطبق","تم الإلغاء",G11&gt;=90%,"ممتاز",G11&gt;=80%,"جيد جداً",G11&gt;=70%,"جيد",G11&gt;=60%,"مقبول",G11&lt;60%,"راسب")</f>
        <v/>
      </c>
      <c r="I11" s="32"/>
      <c r="J11" s="33"/>
    </row>
    <row r="12" spans="1:10" ht="39.950000000000003" customHeight="1" x14ac:dyDescent="0.2">
      <c r="A12" s="9"/>
      <c r="B12" s="26" t="s">
        <v>46</v>
      </c>
      <c r="C12" s="27"/>
      <c r="D12" s="27"/>
      <c r="E12" s="8">
        <v>5</v>
      </c>
      <c r="F12" s="12" t="s">
        <v>26</v>
      </c>
      <c r="G12" s="16" t="str">
        <f t="shared" si="0"/>
        <v/>
      </c>
      <c r="H12" s="17" t="str">
        <f t="shared" si="1"/>
        <v/>
      </c>
      <c r="I12" s="32"/>
      <c r="J12" s="33"/>
    </row>
    <row r="13" spans="1:10" ht="30" customHeight="1" x14ac:dyDescent="0.2">
      <c r="A13" s="9"/>
      <c r="B13" s="26" t="s">
        <v>47</v>
      </c>
      <c r="C13" s="27"/>
      <c r="D13" s="27"/>
      <c r="E13" s="8">
        <v>5</v>
      </c>
      <c r="F13" s="12" t="s">
        <v>26</v>
      </c>
      <c r="G13" s="16" t="str">
        <f t="shared" si="0"/>
        <v/>
      </c>
      <c r="H13" s="17" t="str">
        <f t="shared" si="1"/>
        <v/>
      </c>
      <c r="I13" s="32"/>
      <c r="J13" s="33"/>
    </row>
    <row r="14" spans="1:10" ht="30" customHeight="1" x14ac:dyDescent="0.2">
      <c r="A14" s="9"/>
      <c r="B14" s="26" t="s">
        <v>48</v>
      </c>
      <c r="C14" s="27"/>
      <c r="D14" s="27"/>
      <c r="E14" s="8">
        <v>5</v>
      </c>
      <c r="F14" s="12" t="s">
        <v>26</v>
      </c>
      <c r="G14" s="16" t="str">
        <f t="shared" si="0"/>
        <v/>
      </c>
      <c r="H14" s="17" t="str">
        <f t="shared" si="1"/>
        <v/>
      </c>
      <c r="I14" s="32"/>
      <c r="J14" s="33"/>
    </row>
    <row r="15" spans="1:10" ht="30" customHeight="1" x14ac:dyDescent="0.2">
      <c r="A15" s="9"/>
      <c r="B15" s="26" t="s">
        <v>49</v>
      </c>
      <c r="C15" s="27"/>
      <c r="D15" s="27"/>
      <c r="E15" s="8">
        <v>5</v>
      </c>
      <c r="F15" s="12" t="s">
        <v>26</v>
      </c>
      <c r="G15" s="16" t="str">
        <f t="shared" si="0"/>
        <v/>
      </c>
      <c r="H15" s="17" t="str">
        <f t="shared" si="1"/>
        <v/>
      </c>
      <c r="I15" s="32"/>
      <c r="J15" s="33"/>
    </row>
    <row r="16" spans="1:10" ht="50.1" customHeight="1" x14ac:dyDescent="0.2">
      <c r="A16" s="9"/>
      <c r="B16" s="28" t="s">
        <v>29</v>
      </c>
      <c r="C16" s="29"/>
      <c r="D16" s="29"/>
      <c r="E16" s="8">
        <v>5</v>
      </c>
      <c r="F16" s="12" t="s">
        <v>26</v>
      </c>
      <c r="G16" s="16" t="str">
        <f t="shared" si="0"/>
        <v/>
      </c>
      <c r="H16" s="17" t="str">
        <f t="shared" si="1"/>
        <v/>
      </c>
      <c r="I16" s="32"/>
      <c r="J16" s="33"/>
    </row>
    <row r="17" spans="1:10" ht="30" customHeight="1" x14ac:dyDescent="0.2">
      <c r="A17" s="9"/>
      <c r="B17" s="28" t="s">
        <v>67</v>
      </c>
      <c r="C17" s="29"/>
      <c r="D17" s="29"/>
      <c r="E17" s="8"/>
      <c r="F17" s="12"/>
      <c r="G17" s="16"/>
      <c r="H17" s="17"/>
      <c r="I17" s="32"/>
      <c r="J17" s="33"/>
    </row>
    <row r="18" spans="1:10" ht="30" customHeight="1" x14ac:dyDescent="0.2">
      <c r="A18" s="9"/>
      <c r="B18" s="26" t="s">
        <v>50</v>
      </c>
      <c r="C18" s="27"/>
      <c r="D18" s="27"/>
      <c r="E18" s="8">
        <v>5</v>
      </c>
      <c r="F18" s="12" t="s">
        <v>26</v>
      </c>
      <c r="G18" s="16" t="str">
        <f t="shared" si="0"/>
        <v/>
      </c>
      <c r="H18" s="17" t="str">
        <f t="shared" si="1"/>
        <v/>
      </c>
      <c r="I18" s="32"/>
      <c r="J18" s="33"/>
    </row>
    <row r="19" spans="1:10" ht="30" customHeight="1" x14ac:dyDescent="0.2">
      <c r="A19" s="9"/>
      <c r="B19" s="26" t="s">
        <v>51</v>
      </c>
      <c r="C19" s="27"/>
      <c r="D19" s="27"/>
      <c r="E19" s="8">
        <v>5</v>
      </c>
      <c r="F19" s="12" t="s">
        <v>26</v>
      </c>
      <c r="G19" s="16" t="str">
        <f t="shared" si="0"/>
        <v/>
      </c>
      <c r="H19" s="17" t="str">
        <f t="shared" si="1"/>
        <v/>
      </c>
      <c r="I19" s="32"/>
      <c r="J19" s="33"/>
    </row>
    <row r="20" spans="1:10" ht="30" customHeight="1" x14ac:dyDescent="0.2">
      <c r="A20" s="9"/>
      <c r="B20" s="26" t="s">
        <v>52</v>
      </c>
      <c r="C20" s="27"/>
      <c r="D20" s="27"/>
      <c r="E20" s="8">
        <v>5</v>
      </c>
      <c r="F20" s="12" t="s">
        <v>26</v>
      </c>
      <c r="G20" s="16" t="str">
        <f t="shared" si="0"/>
        <v/>
      </c>
      <c r="H20" s="17" t="str">
        <f t="shared" si="1"/>
        <v/>
      </c>
      <c r="I20" s="32"/>
      <c r="J20" s="33"/>
    </row>
    <row r="21" spans="1:10" ht="30" customHeight="1" x14ac:dyDescent="0.2">
      <c r="A21" s="9"/>
      <c r="B21" s="28" t="s">
        <v>30</v>
      </c>
      <c r="C21" s="29"/>
      <c r="D21" s="29"/>
      <c r="E21" s="8"/>
      <c r="F21" s="12"/>
      <c r="G21" s="16"/>
      <c r="H21" s="17"/>
      <c r="I21" s="32"/>
      <c r="J21" s="33"/>
    </row>
    <row r="22" spans="1:10" ht="39.950000000000003" customHeight="1" x14ac:dyDescent="0.2">
      <c r="A22" s="9"/>
      <c r="B22" s="26" t="s">
        <v>53</v>
      </c>
      <c r="C22" s="27"/>
      <c r="D22" s="27"/>
      <c r="E22" s="8">
        <v>5</v>
      </c>
      <c r="F22" s="12" t="s">
        <v>26</v>
      </c>
      <c r="G22" s="16" t="str">
        <f t="shared" si="0"/>
        <v/>
      </c>
      <c r="H22" s="17" t="str">
        <f t="shared" si="1"/>
        <v/>
      </c>
      <c r="I22" s="32"/>
      <c r="J22" s="33"/>
    </row>
    <row r="23" spans="1:10" ht="30" customHeight="1" x14ac:dyDescent="0.2">
      <c r="A23" s="9"/>
      <c r="B23" s="26" t="s">
        <v>54</v>
      </c>
      <c r="C23" s="27"/>
      <c r="D23" s="27"/>
      <c r="E23" s="8">
        <v>5</v>
      </c>
      <c r="F23" s="12" t="s">
        <v>26</v>
      </c>
      <c r="G23" s="16" t="str">
        <f t="shared" si="0"/>
        <v/>
      </c>
      <c r="H23" s="17" t="str">
        <f t="shared" si="1"/>
        <v/>
      </c>
      <c r="I23" s="32"/>
      <c r="J23" s="33"/>
    </row>
    <row r="24" spans="1:10" ht="39.950000000000003" customHeight="1" x14ac:dyDescent="0.2">
      <c r="A24" s="9"/>
      <c r="B24" s="26" t="s">
        <v>55</v>
      </c>
      <c r="C24" s="27"/>
      <c r="D24" s="27"/>
      <c r="E24" s="8">
        <v>5</v>
      </c>
      <c r="F24" s="12" t="s">
        <v>26</v>
      </c>
      <c r="G24" s="16" t="str">
        <f t="shared" si="0"/>
        <v/>
      </c>
      <c r="H24" s="17" t="str">
        <f t="shared" si="1"/>
        <v/>
      </c>
      <c r="I24" s="32"/>
      <c r="J24" s="33"/>
    </row>
    <row r="25" spans="1:10" ht="30" customHeight="1" thickBot="1" x14ac:dyDescent="0.25">
      <c r="A25" s="9"/>
      <c r="B25" s="30" t="s">
        <v>68</v>
      </c>
      <c r="C25" s="31"/>
      <c r="D25" s="31"/>
      <c r="E25" s="22">
        <v>5</v>
      </c>
      <c r="F25" s="13" t="s">
        <v>26</v>
      </c>
      <c r="G25" s="20" t="str">
        <f t="shared" si="0"/>
        <v/>
      </c>
      <c r="H25" s="21" t="str">
        <f t="shared" si="1"/>
        <v/>
      </c>
      <c r="I25" s="44"/>
      <c r="J25" s="45"/>
    </row>
    <row r="26" spans="1:10" ht="30" customHeight="1" x14ac:dyDescent="0.2">
      <c r="A26" s="9"/>
      <c r="B26" s="23" t="s">
        <v>56</v>
      </c>
      <c r="C26" s="24"/>
      <c r="D26" s="24"/>
      <c r="E26" s="24"/>
      <c r="F26" s="24"/>
      <c r="G26" s="24"/>
      <c r="H26" s="24"/>
      <c r="I26" s="24"/>
      <c r="J26" s="25"/>
    </row>
    <row r="27" spans="1:10" ht="30" customHeight="1" x14ac:dyDescent="0.2">
      <c r="A27" s="9"/>
      <c r="B27" s="28" t="s">
        <v>69</v>
      </c>
      <c r="C27" s="29"/>
      <c r="D27" s="29"/>
      <c r="E27" s="18">
        <v>5</v>
      </c>
      <c r="F27" s="12" t="s">
        <v>26</v>
      </c>
      <c r="G27" s="16" t="str">
        <f t="shared" si="0"/>
        <v/>
      </c>
      <c r="H27" s="17" t="str">
        <f t="shared" si="1"/>
        <v/>
      </c>
      <c r="I27" s="32"/>
      <c r="J27" s="33"/>
    </row>
    <row r="28" spans="1:10" ht="30" customHeight="1" x14ac:dyDescent="0.2">
      <c r="A28" s="9"/>
      <c r="B28" s="28" t="s">
        <v>31</v>
      </c>
      <c r="C28" s="29"/>
      <c r="D28" s="29"/>
      <c r="E28" s="18">
        <v>5</v>
      </c>
      <c r="F28" s="12" t="s">
        <v>26</v>
      </c>
      <c r="G28" s="16" t="str">
        <f t="shared" si="0"/>
        <v/>
      </c>
      <c r="H28" s="17" t="str">
        <f t="shared" si="1"/>
        <v/>
      </c>
      <c r="I28" s="32"/>
      <c r="J28" s="33"/>
    </row>
    <row r="29" spans="1:10" ht="30" customHeight="1" x14ac:dyDescent="0.2">
      <c r="A29" s="9"/>
      <c r="B29" s="28" t="s">
        <v>32</v>
      </c>
      <c r="C29" s="29"/>
      <c r="D29" s="29"/>
      <c r="E29" s="18">
        <v>5</v>
      </c>
      <c r="F29" s="12" t="s">
        <v>26</v>
      </c>
      <c r="G29" s="16" t="str">
        <f t="shared" si="0"/>
        <v/>
      </c>
      <c r="H29" s="17" t="str">
        <f t="shared" si="1"/>
        <v/>
      </c>
      <c r="I29" s="32"/>
      <c r="J29" s="33"/>
    </row>
    <row r="30" spans="1:10" ht="30" customHeight="1" x14ac:dyDescent="0.2">
      <c r="A30" s="9"/>
      <c r="B30" s="28" t="s">
        <v>33</v>
      </c>
      <c r="C30" s="29"/>
      <c r="D30" s="29"/>
      <c r="E30" s="18">
        <v>5</v>
      </c>
      <c r="F30" s="12" t="s">
        <v>26</v>
      </c>
      <c r="G30" s="16" t="str">
        <f t="shared" si="0"/>
        <v/>
      </c>
      <c r="H30" s="17" t="str">
        <f t="shared" si="1"/>
        <v/>
      </c>
      <c r="I30" s="32"/>
      <c r="J30" s="33"/>
    </row>
    <row r="31" spans="1:10" ht="30" customHeight="1" x14ac:dyDescent="0.2">
      <c r="A31" s="9"/>
      <c r="B31" s="28" t="s">
        <v>34</v>
      </c>
      <c r="C31" s="29"/>
      <c r="D31" s="29"/>
      <c r="E31" s="18">
        <v>5</v>
      </c>
      <c r="F31" s="12" t="s">
        <v>26</v>
      </c>
      <c r="G31" s="16" t="str">
        <f t="shared" si="0"/>
        <v/>
      </c>
      <c r="H31" s="17" t="str">
        <f t="shared" si="1"/>
        <v/>
      </c>
      <c r="I31" s="32"/>
      <c r="J31" s="33"/>
    </row>
    <row r="32" spans="1:10" ht="39.950000000000003" customHeight="1" x14ac:dyDescent="0.2">
      <c r="A32" s="9"/>
      <c r="B32" s="28" t="s">
        <v>70</v>
      </c>
      <c r="C32" s="29"/>
      <c r="D32" s="29"/>
      <c r="E32" s="18">
        <v>5</v>
      </c>
      <c r="F32" s="12" t="s">
        <v>26</v>
      </c>
      <c r="G32" s="16" t="str">
        <f t="shared" si="0"/>
        <v/>
      </c>
      <c r="H32" s="17" t="str">
        <f t="shared" si="1"/>
        <v/>
      </c>
      <c r="I32" s="32"/>
      <c r="J32" s="33"/>
    </row>
    <row r="33" spans="1:10" ht="30" customHeight="1" x14ac:dyDescent="0.2">
      <c r="A33" s="9"/>
      <c r="B33" s="28" t="s">
        <v>35</v>
      </c>
      <c r="C33" s="29"/>
      <c r="D33" s="29"/>
      <c r="E33" s="18">
        <v>5</v>
      </c>
      <c r="F33" s="12" t="s">
        <v>26</v>
      </c>
      <c r="G33" s="16" t="str">
        <f t="shared" si="0"/>
        <v/>
      </c>
      <c r="H33" s="17" t="str">
        <f t="shared" si="1"/>
        <v/>
      </c>
      <c r="I33" s="32"/>
      <c r="J33" s="33"/>
    </row>
    <row r="34" spans="1:10" ht="30" customHeight="1" x14ac:dyDescent="0.2">
      <c r="A34" s="9"/>
      <c r="B34" s="28" t="s">
        <v>36</v>
      </c>
      <c r="C34" s="29"/>
      <c r="D34" s="29"/>
      <c r="E34" s="18">
        <v>5</v>
      </c>
      <c r="F34" s="12" t="s">
        <v>26</v>
      </c>
      <c r="G34" s="16" t="str">
        <f t="shared" si="0"/>
        <v/>
      </c>
      <c r="H34" s="17" t="str">
        <f t="shared" si="1"/>
        <v/>
      </c>
      <c r="I34" s="32"/>
      <c r="J34" s="33"/>
    </row>
    <row r="35" spans="1:10" ht="39.950000000000003" customHeight="1" x14ac:dyDescent="0.2">
      <c r="A35" s="9"/>
      <c r="B35" s="28" t="s">
        <v>37</v>
      </c>
      <c r="C35" s="29"/>
      <c r="D35" s="29"/>
      <c r="E35" s="18">
        <v>5</v>
      </c>
      <c r="F35" s="12" t="s">
        <v>26</v>
      </c>
      <c r="G35" s="16" t="str">
        <f t="shared" si="0"/>
        <v/>
      </c>
      <c r="H35" s="17" t="str">
        <f t="shared" si="1"/>
        <v/>
      </c>
      <c r="I35" s="32"/>
      <c r="J35" s="33"/>
    </row>
    <row r="36" spans="1:10" ht="30" customHeight="1" x14ac:dyDescent="0.2">
      <c r="A36" s="9"/>
      <c r="B36" s="28" t="s">
        <v>38</v>
      </c>
      <c r="C36" s="29"/>
      <c r="D36" s="29"/>
      <c r="E36" s="18">
        <v>5</v>
      </c>
      <c r="F36" s="12" t="s">
        <v>26</v>
      </c>
      <c r="G36" s="16" t="str">
        <f t="shared" si="0"/>
        <v/>
      </c>
      <c r="H36" s="17" t="str">
        <f t="shared" si="1"/>
        <v/>
      </c>
      <c r="I36" s="32"/>
      <c r="J36" s="33"/>
    </row>
    <row r="37" spans="1:10" ht="39.950000000000003" customHeight="1" x14ac:dyDescent="0.2">
      <c r="A37" s="9"/>
      <c r="B37" s="28" t="s">
        <v>39</v>
      </c>
      <c r="C37" s="29"/>
      <c r="D37" s="29"/>
      <c r="E37" s="18">
        <v>5</v>
      </c>
      <c r="F37" s="12" t="s">
        <v>26</v>
      </c>
      <c r="G37" s="16" t="str">
        <f t="shared" si="0"/>
        <v/>
      </c>
      <c r="H37" s="17" t="str">
        <f t="shared" si="1"/>
        <v/>
      </c>
      <c r="I37" s="32"/>
      <c r="J37" s="33"/>
    </row>
    <row r="38" spans="1:10" ht="30" customHeight="1" thickBot="1" x14ac:dyDescent="0.25">
      <c r="A38" s="9"/>
      <c r="B38" s="30" t="s">
        <v>40</v>
      </c>
      <c r="C38" s="31"/>
      <c r="D38" s="31"/>
      <c r="E38" s="19">
        <v>5</v>
      </c>
      <c r="F38" s="13" t="s">
        <v>26</v>
      </c>
      <c r="G38" s="20" t="str">
        <f t="shared" si="0"/>
        <v/>
      </c>
      <c r="H38" s="21" t="str">
        <f t="shared" si="1"/>
        <v/>
      </c>
      <c r="I38" s="44"/>
      <c r="J38" s="45"/>
    </row>
    <row r="39" spans="1:10" ht="30" customHeight="1" x14ac:dyDescent="0.2">
      <c r="A39" s="9"/>
      <c r="B39" s="23" t="s">
        <v>57</v>
      </c>
      <c r="C39" s="24"/>
      <c r="D39" s="24"/>
      <c r="E39" s="24"/>
      <c r="F39" s="24"/>
      <c r="G39" s="24"/>
      <c r="H39" s="24"/>
      <c r="I39" s="24"/>
      <c r="J39" s="25"/>
    </row>
    <row r="40" spans="1:10" ht="30" customHeight="1" x14ac:dyDescent="0.2">
      <c r="A40" s="9"/>
      <c r="B40" s="28" t="s">
        <v>71</v>
      </c>
      <c r="C40" s="29"/>
      <c r="D40" s="29"/>
      <c r="E40" s="8"/>
      <c r="F40" s="12"/>
      <c r="G40" s="16"/>
      <c r="H40" s="17"/>
      <c r="I40" s="32"/>
      <c r="J40" s="33"/>
    </row>
    <row r="41" spans="1:10" ht="30" customHeight="1" x14ac:dyDescent="0.2">
      <c r="A41" s="9"/>
      <c r="B41" s="26" t="s">
        <v>58</v>
      </c>
      <c r="C41" s="27"/>
      <c r="D41" s="27"/>
      <c r="E41" s="18">
        <v>5</v>
      </c>
      <c r="F41" s="12" t="s">
        <v>26</v>
      </c>
      <c r="G41" s="16" t="str">
        <f t="shared" si="0"/>
        <v/>
      </c>
      <c r="H41" s="17" t="str">
        <f t="shared" si="1"/>
        <v/>
      </c>
      <c r="I41" s="32"/>
      <c r="J41" s="33"/>
    </row>
    <row r="42" spans="1:10" ht="30" customHeight="1" x14ac:dyDescent="0.2">
      <c r="A42" s="9"/>
      <c r="B42" s="26" t="s">
        <v>59</v>
      </c>
      <c r="C42" s="27"/>
      <c r="D42" s="27"/>
      <c r="E42" s="18">
        <v>5</v>
      </c>
      <c r="F42" s="12" t="s">
        <v>26</v>
      </c>
      <c r="G42" s="16" t="str">
        <f t="shared" si="0"/>
        <v/>
      </c>
      <c r="H42" s="17" t="str">
        <f t="shared" si="1"/>
        <v/>
      </c>
      <c r="I42" s="32"/>
      <c r="J42" s="33"/>
    </row>
    <row r="43" spans="1:10" ht="30" customHeight="1" x14ac:dyDescent="0.2">
      <c r="A43" s="9"/>
      <c r="B43" s="26" t="s">
        <v>60</v>
      </c>
      <c r="C43" s="27"/>
      <c r="D43" s="27"/>
      <c r="E43" s="18">
        <v>5</v>
      </c>
      <c r="F43" s="12" t="s">
        <v>26</v>
      </c>
      <c r="G43" s="16" t="str">
        <f t="shared" si="0"/>
        <v/>
      </c>
      <c r="H43" s="17" t="str">
        <f t="shared" si="1"/>
        <v/>
      </c>
      <c r="I43" s="32"/>
      <c r="J43" s="33"/>
    </row>
    <row r="44" spans="1:10" ht="39.950000000000003" customHeight="1" x14ac:dyDescent="0.2">
      <c r="A44" s="9"/>
      <c r="B44" s="26" t="s">
        <v>61</v>
      </c>
      <c r="C44" s="27"/>
      <c r="D44" s="27"/>
      <c r="E44" s="18">
        <v>5</v>
      </c>
      <c r="F44" s="12" t="s">
        <v>26</v>
      </c>
      <c r="G44" s="16" t="str">
        <f t="shared" si="0"/>
        <v/>
      </c>
      <c r="H44" s="17" t="str">
        <f t="shared" si="1"/>
        <v/>
      </c>
      <c r="I44" s="32"/>
      <c r="J44" s="33"/>
    </row>
    <row r="45" spans="1:10" ht="30" customHeight="1" x14ac:dyDescent="0.2">
      <c r="A45" s="9"/>
      <c r="B45" s="28" t="s">
        <v>72</v>
      </c>
      <c r="C45" s="29"/>
      <c r="D45" s="29"/>
      <c r="E45" s="8"/>
      <c r="F45" s="12"/>
      <c r="G45" s="16"/>
      <c r="H45" s="17"/>
      <c r="I45" s="32"/>
      <c r="J45" s="33"/>
    </row>
    <row r="46" spans="1:10" ht="30" customHeight="1" x14ac:dyDescent="0.2">
      <c r="A46" s="9"/>
      <c r="B46" s="26" t="s">
        <v>62</v>
      </c>
      <c r="C46" s="27"/>
      <c r="D46" s="27"/>
      <c r="E46" s="18">
        <v>5</v>
      </c>
      <c r="F46" s="12" t="s">
        <v>26</v>
      </c>
      <c r="G46" s="16" t="str">
        <f t="shared" si="0"/>
        <v/>
      </c>
      <c r="H46" s="17" t="str">
        <f t="shared" si="1"/>
        <v/>
      </c>
      <c r="I46" s="32"/>
      <c r="J46" s="33"/>
    </row>
    <row r="47" spans="1:10" ht="30" customHeight="1" x14ac:dyDescent="0.2">
      <c r="A47" s="9"/>
      <c r="B47" s="26" t="s">
        <v>63</v>
      </c>
      <c r="C47" s="27"/>
      <c r="D47" s="27"/>
      <c r="E47" s="18">
        <v>5</v>
      </c>
      <c r="F47" s="12" t="s">
        <v>26</v>
      </c>
      <c r="G47" s="16" t="str">
        <f t="shared" si="0"/>
        <v/>
      </c>
      <c r="H47" s="17" t="str">
        <f t="shared" si="1"/>
        <v/>
      </c>
      <c r="I47" s="32"/>
      <c r="J47" s="33"/>
    </row>
    <row r="48" spans="1:10" ht="30" customHeight="1" x14ac:dyDescent="0.2">
      <c r="A48" s="9"/>
      <c r="B48" s="26" t="s">
        <v>64</v>
      </c>
      <c r="C48" s="27"/>
      <c r="D48" s="27"/>
      <c r="E48" s="18">
        <v>5</v>
      </c>
      <c r="F48" s="12" t="s">
        <v>26</v>
      </c>
      <c r="G48" s="16" t="str">
        <f t="shared" si="0"/>
        <v/>
      </c>
      <c r="H48" s="17" t="str">
        <f t="shared" si="1"/>
        <v/>
      </c>
      <c r="I48" s="32"/>
      <c r="J48" s="33"/>
    </row>
    <row r="49" spans="1:10" ht="50.1" customHeight="1" x14ac:dyDescent="0.2">
      <c r="A49" s="9"/>
      <c r="B49" s="26" t="s">
        <v>65</v>
      </c>
      <c r="C49" s="27"/>
      <c r="D49" s="27"/>
      <c r="E49" s="18">
        <v>5</v>
      </c>
      <c r="F49" s="12" t="s">
        <v>26</v>
      </c>
      <c r="G49" s="16" t="str">
        <f t="shared" si="0"/>
        <v/>
      </c>
      <c r="H49" s="17" t="str">
        <f t="shared" si="1"/>
        <v/>
      </c>
      <c r="I49" s="32"/>
      <c r="J49" s="33"/>
    </row>
    <row r="50" spans="1:10" ht="39.950000000000003" customHeight="1" x14ac:dyDescent="0.2">
      <c r="A50" s="9"/>
      <c r="B50" s="28" t="s">
        <v>41</v>
      </c>
      <c r="C50" s="29"/>
      <c r="D50" s="29"/>
      <c r="E50" s="18">
        <v>5</v>
      </c>
      <c r="F50" s="12" t="s">
        <v>26</v>
      </c>
      <c r="G50" s="16" t="str">
        <f t="shared" si="0"/>
        <v/>
      </c>
      <c r="H50" s="17" t="str">
        <f t="shared" si="1"/>
        <v/>
      </c>
      <c r="I50" s="32"/>
      <c r="J50" s="33"/>
    </row>
    <row r="51" spans="1:10" ht="39.950000000000003" customHeight="1" x14ac:dyDescent="0.2">
      <c r="A51" s="9"/>
      <c r="B51" s="28" t="s">
        <v>73</v>
      </c>
      <c r="C51" s="29"/>
      <c r="D51" s="29"/>
      <c r="E51" s="18">
        <v>5</v>
      </c>
      <c r="F51" s="12" t="s">
        <v>26</v>
      </c>
      <c r="G51" s="16" t="str">
        <f t="shared" si="0"/>
        <v/>
      </c>
      <c r="H51" s="17" t="str">
        <f t="shared" si="1"/>
        <v/>
      </c>
      <c r="I51" s="32"/>
      <c r="J51" s="33"/>
    </row>
    <row r="52" spans="1:10" ht="30" customHeight="1" x14ac:dyDescent="0.2">
      <c r="A52" s="9"/>
      <c r="B52" s="28" t="s">
        <v>42</v>
      </c>
      <c r="C52" s="29"/>
      <c r="D52" s="29"/>
      <c r="E52" s="18">
        <v>5</v>
      </c>
      <c r="F52" s="12" t="s">
        <v>26</v>
      </c>
      <c r="G52" s="16" t="str">
        <f t="shared" si="0"/>
        <v/>
      </c>
      <c r="H52" s="17" t="str">
        <f t="shared" si="1"/>
        <v/>
      </c>
      <c r="I52" s="32"/>
      <c r="J52" s="33"/>
    </row>
    <row r="53" spans="1:10" ht="39.950000000000003" customHeight="1" x14ac:dyDescent="0.2">
      <c r="A53" s="9"/>
      <c r="B53" s="28" t="s">
        <v>74</v>
      </c>
      <c r="C53" s="29"/>
      <c r="D53" s="29"/>
      <c r="E53" s="18">
        <v>5</v>
      </c>
      <c r="F53" s="12" t="s">
        <v>26</v>
      </c>
      <c r="G53" s="16" t="str">
        <f t="shared" si="0"/>
        <v/>
      </c>
      <c r="H53" s="17" t="str">
        <f t="shared" si="1"/>
        <v/>
      </c>
      <c r="I53" s="32"/>
      <c r="J53" s="33"/>
    </row>
    <row r="54" spans="1:10" ht="39.950000000000003" customHeight="1" x14ac:dyDescent="0.2">
      <c r="A54" s="9"/>
      <c r="B54" s="28" t="s">
        <v>75</v>
      </c>
      <c r="C54" s="29"/>
      <c r="D54" s="29"/>
      <c r="E54" s="18">
        <v>5</v>
      </c>
      <c r="F54" s="12" t="s">
        <v>26</v>
      </c>
      <c r="G54" s="16" t="str">
        <f t="shared" si="0"/>
        <v/>
      </c>
      <c r="H54" s="17" t="str">
        <f t="shared" si="1"/>
        <v/>
      </c>
      <c r="I54" s="32"/>
      <c r="J54" s="33"/>
    </row>
    <row r="55" spans="1:10" ht="39.950000000000003" customHeight="1" thickBot="1" x14ac:dyDescent="0.25">
      <c r="A55" s="9"/>
      <c r="B55" s="30" t="s">
        <v>43</v>
      </c>
      <c r="C55" s="31"/>
      <c r="D55" s="31"/>
      <c r="E55" s="19">
        <v>5</v>
      </c>
      <c r="F55" s="13" t="s">
        <v>26</v>
      </c>
      <c r="G55" s="20" t="str">
        <f t="shared" si="0"/>
        <v/>
      </c>
      <c r="H55" s="21" t="str">
        <f t="shared" si="1"/>
        <v/>
      </c>
      <c r="I55" s="44"/>
      <c r="J55" s="45"/>
    </row>
    <row r="56" spans="1:10" ht="30" customHeight="1" thickBot="1" x14ac:dyDescent="0.25">
      <c r="A56" s="3"/>
      <c r="B56" s="34" t="s">
        <v>5</v>
      </c>
      <c r="C56" s="35"/>
      <c r="D56" s="35"/>
      <c r="E56" s="15">
        <f>SUM(E8:E55)</f>
        <v>200</v>
      </c>
      <c r="F56" s="15">
        <f>SUM(F8:F55)</f>
        <v>0</v>
      </c>
      <c r="G56" s="48"/>
      <c r="H56" s="49"/>
      <c r="I56" s="49"/>
      <c r="J56" s="50"/>
    </row>
    <row r="57" spans="1:10" ht="30" customHeight="1" thickBot="1" x14ac:dyDescent="0.25">
      <c r="A57" s="3"/>
      <c r="B57" s="36" t="s">
        <v>20</v>
      </c>
      <c r="C57" s="37"/>
      <c r="D57" s="37"/>
      <c r="E57" s="57">
        <f>F56/E56/100*100</f>
        <v>0</v>
      </c>
      <c r="F57" s="57"/>
      <c r="G57" s="57"/>
      <c r="H57" s="57"/>
      <c r="I57" s="57"/>
      <c r="J57" s="58"/>
    </row>
    <row r="58" spans="1:10" ht="30" customHeight="1" thickBot="1" x14ac:dyDescent="0.25">
      <c r="A58" s="3"/>
      <c r="B58" s="36" t="s">
        <v>21</v>
      </c>
      <c r="C58" s="37"/>
      <c r="D58" s="37"/>
      <c r="E58" s="42" t="str">
        <f>_xlfn.IFS(E57&gt;=90%,"ممتاز",E57&gt;=80%,"جيد جداً",E57&gt;=70%,"جيد",E57&gt;=60%,"مقبول",E57&lt;60%,"راسب")</f>
        <v>راسب</v>
      </c>
      <c r="F58" s="42"/>
      <c r="G58" s="42"/>
      <c r="H58" s="42"/>
      <c r="I58" s="42"/>
      <c r="J58" s="43"/>
    </row>
    <row r="59" spans="1:10" ht="42" customHeight="1" x14ac:dyDescent="0.2">
      <c r="B59" s="38" t="s">
        <v>27</v>
      </c>
      <c r="C59" s="38"/>
      <c r="D59" s="38"/>
      <c r="E59" s="46" t="s">
        <v>18</v>
      </c>
      <c r="F59" s="46"/>
      <c r="G59" s="40" t="s">
        <v>24</v>
      </c>
      <c r="H59" s="40"/>
      <c r="I59" s="40"/>
      <c r="J59" s="40"/>
    </row>
    <row r="60" spans="1:10" ht="51" customHeight="1" x14ac:dyDescent="0.2">
      <c r="A60" s="4"/>
      <c r="B60" s="39"/>
      <c r="C60" s="39"/>
      <c r="D60" s="39"/>
      <c r="E60" s="47" t="s">
        <v>19</v>
      </c>
      <c r="F60" s="47"/>
      <c r="G60" s="41"/>
      <c r="H60" s="41"/>
      <c r="I60" s="41"/>
      <c r="J60" s="41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14">
    <mergeCell ref="B1:J1"/>
    <mergeCell ref="F2:J2"/>
    <mergeCell ref="B5:D6"/>
    <mergeCell ref="C2:D2"/>
    <mergeCell ref="C3:D3"/>
    <mergeCell ref="F3:J3"/>
    <mergeCell ref="E57:J57"/>
    <mergeCell ref="B7:D7"/>
    <mergeCell ref="I38:J38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27:J27"/>
    <mergeCell ref="B59:D60"/>
    <mergeCell ref="G59:J59"/>
    <mergeCell ref="G60:J60"/>
    <mergeCell ref="E58:J58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45:J45"/>
    <mergeCell ref="I46:J46"/>
    <mergeCell ref="I47:J47"/>
    <mergeCell ref="I48:J48"/>
    <mergeCell ref="E59:F59"/>
    <mergeCell ref="E60:F60"/>
    <mergeCell ref="G56:J56"/>
    <mergeCell ref="B52:D52"/>
    <mergeCell ref="I33:J33"/>
    <mergeCell ref="I34:J34"/>
    <mergeCell ref="I35:J35"/>
    <mergeCell ref="I36:J36"/>
    <mergeCell ref="B56:D56"/>
    <mergeCell ref="B57:D57"/>
    <mergeCell ref="B58:D58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B33:D33"/>
    <mergeCell ref="B34:D34"/>
    <mergeCell ref="B53:D53"/>
    <mergeCell ref="B54:D54"/>
    <mergeCell ref="B55:D55"/>
    <mergeCell ref="B50:D50"/>
    <mergeCell ref="B51:D51"/>
    <mergeCell ref="B15:D15"/>
    <mergeCell ref="B16:D16"/>
    <mergeCell ref="I32:J32"/>
    <mergeCell ref="I9:J9"/>
    <mergeCell ref="B28:D28"/>
    <mergeCell ref="B29:D29"/>
    <mergeCell ref="B30:D30"/>
    <mergeCell ref="B31:D31"/>
    <mergeCell ref="B32:D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8:J8"/>
    <mergeCell ref="B26:J26"/>
    <mergeCell ref="B39:J39"/>
    <mergeCell ref="B44:D44"/>
    <mergeCell ref="B45:D45"/>
    <mergeCell ref="B46:D46"/>
    <mergeCell ref="B47:D47"/>
    <mergeCell ref="B48:D48"/>
    <mergeCell ref="B49:D49"/>
    <mergeCell ref="B35:D35"/>
    <mergeCell ref="B36:D36"/>
    <mergeCell ref="B37:D37"/>
    <mergeCell ref="B38:D38"/>
    <mergeCell ref="B40:D40"/>
    <mergeCell ref="B41:D41"/>
    <mergeCell ref="B42:D42"/>
    <mergeCell ref="B43:D43"/>
    <mergeCell ref="B27:D27"/>
    <mergeCell ref="B9:D9"/>
    <mergeCell ref="B10:D10"/>
    <mergeCell ref="B11:D11"/>
    <mergeCell ref="B12:D12"/>
    <mergeCell ref="B13:D13"/>
    <mergeCell ref="B14:D14"/>
  </mergeCells>
  <conditionalFormatting sqref="E58">
    <cfRule type="expression" dxfId="23" priority="57">
      <formula>$E58="راسب"</formula>
    </cfRule>
  </conditionalFormatting>
  <conditionalFormatting sqref="E58:J58">
    <cfRule type="expression" dxfId="22" priority="58">
      <formula>$E58="مقبول"</formula>
    </cfRule>
    <cfRule type="expression" dxfId="21" priority="59">
      <formula>$E58="جيد"</formula>
    </cfRule>
    <cfRule type="expression" dxfId="20" priority="60">
      <formula>$E58="جيد جداً"</formula>
    </cfRule>
    <cfRule type="expression" dxfId="19" priority="61">
      <formula>$E58="ممتاز"</formula>
    </cfRule>
  </conditionalFormatting>
  <conditionalFormatting sqref="H10:H25 H27:H38 H40:H55">
    <cfRule type="containsText" dxfId="18" priority="39" operator="containsText" text="ممتاز">
      <formula>NOT(ISERROR(SEARCH("ممتاز",H10)))</formula>
    </cfRule>
    <cfRule type="containsText" dxfId="17" priority="40" operator="containsText" text="جيد جداً">
      <formula>NOT(ISERROR(SEARCH("جيد جداً",H10)))</formula>
    </cfRule>
    <cfRule type="containsText" dxfId="16" priority="41" operator="containsText" text="جيد">
      <formula>NOT(ISERROR(SEARCH("جيد",H10)))</formula>
    </cfRule>
    <cfRule type="containsText" dxfId="15" priority="42" operator="containsText" text="مقبول">
      <formula>NOT(ISERROR(SEARCH("مقبول",H10)))</formula>
    </cfRule>
    <cfRule type="containsText" dxfId="14" priority="43" operator="containsText" text="راسب">
      <formula>NOT(ISERROR(SEARCH("راسب",H10)))</formula>
    </cfRule>
  </conditionalFormatting>
  <conditionalFormatting sqref="H10:H25 H27:H38 H40:H55">
    <cfRule type="containsText" dxfId="13" priority="38" operator="containsText" text="أدخل العلامة">
      <formula>NOT(ISERROR(SEARCH("أدخل العلامة",H10)))</formula>
    </cfRule>
  </conditionalFormatting>
  <conditionalFormatting sqref="F2:J2">
    <cfRule type="containsText" dxfId="12" priority="19" operator="containsText" text="أدخل التاريخ">
      <formula>NOT(ISERROR(SEARCH("أدخل التاريخ",F2)))</formula>
    </cfRule>
  </conditionalFormatting>
  <conditionalFormatting sqref="C2:D2">
    <cfRule type="containsText" dxfId="11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0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9" priority="16" operator="containsText" text="أدخل أسم المحكم">
      <formula>NOT(ISERROR(SEARCH("أدخل أسم المحكم",F3)))</formula>
    </cfRule>
  </conditionalFormatting>
  <conditionalFormatting sqref="G59:J59">
    <cfRule type="containsText" dxfId="8" priority="15" operator="containsText" text="أدخل اسم المحكم">
      <formula>NOT(ISERROR(SEARCH("أدخل اسم المحكم",G59)))</formula>
    </cfRule>
  </conditionalFormatting>
  <conditionalFormatting sqref="F10:F25 F27:F38 F40:F55">
    <cfRule type="containsText" dxfId="7" priority="14" operator="containsText" text="أدخل العلامة">
      <formula>NOT(ISERROR(SEARCH("أدخل العلامة",F10)))</formula>
    </cfRule>
  </conditionalFormatting>
  <conditionalFormatting sqref="H9">
    <cfRule type="containsText" dxfId="6" priority="6" operator="containsText" text="ممتاز">
      <formula>NOT(ISERROR(SEARCH("ممتاز",H9)))</formula>
    </cfRule>
    <cfRule type="containsText" dxfId="5" priority="7" operator="containsText" text="جيد جداً">
      <formula>NOT(ISERROR(SEARCH("جيد جداً",H9)))</formula>
    </cfRule>
    <cfRule type="containsText" dxfId="4" priority="8" operator="containsText" text="جيد">
      <formula>NOT(ISERROR(SEARCH("جيد",H9)))</formula>
    </cfRule>
    <cfRule type="containsText" dxfId="3" priority="9" operator="containsText" text="مقبول">
      <formula>NOT(ISERROR(SEARCH("مقبول",H9)))</formula>
    </cfRule>
    <cfRule type="containsText" dxfId="2" priority="10" operator="containsText" text="راسب">
      <formula>NOT(ISERROR(SEARCH("راسب",H9)))</formula>
    </cfRule>
  </conditionalFormatting>
  <conditionalFormatting sqref="H9">
    <cfRule type="containsText" dxfId="1" priority="5" operator="containsText" text="أدخل العلامة">
      <formula>NOT(ISERROR(SEARCH("أدخل العلامة",H9)))</formula>
    </cfRule>
  </conditionalFormatting>
  <conditionalFormatting sqref="F9">
    <cfRule type="containsText" dxfId="0" priority="4" operator="containsText" text="أدخل العلامة">
      <formula>NOT(ISERROR(SEARCH("أدخل العلامة",F9)))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#REF!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#REF!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#REF!</xm:f>
          </x14:formula1>
          <xm:sqref>F11:F16 F41:F44 F27:F38 F46:F55 F22:F25 F18:F20 F9</xm:sqref>
        </x14:dataValidation>
        <x14:dataValidation type="list" allowBlank="1" showInputMessage="1" showErrorMessage="1" xr:uid="{AE50457C-7424-4A4C-907B-8DC6AA09E7A3}">
          <x14:formula1>
            <xm:f>#REF!</xm:f>
          </x14:formula1>
          <xm:sqref>G59:J59 F3:J3</xm:sqref>
        </x14:dataValidation>
        <x14:dataValidation type="list" allowBlank="1" showInputMessage="1" showErrorMessage="1" xr:uid="{74512448-CAED-4995-932E-CDA01DC3A5DC}">
          <x14:formula1>
            <xm:f>#REF!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2026-08-30T04:34:49Z</dcterms:modified>
</cp:coreProperties>
</file>