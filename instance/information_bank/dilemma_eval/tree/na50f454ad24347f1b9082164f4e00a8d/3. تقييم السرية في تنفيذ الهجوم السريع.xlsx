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92BA9A7-5096-4E89-A7C4-9085A53C04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3" i="2"/>
  <c r="H13" i="2"/>
  <c r="G14" i="2"/>
  <c r="H14" i="2"/>
  <c r="G15" i="2"/>
  <c r="H15" i="2" s="1"/>
  <c r="G16" i="2"/>
  <c r="H16" i="2" s="1"/>
  <c r="G17" i="2"/>
  <c r="H17" i="2" s="1"/>
  <c r="G18" i="2"/>
  <c r="H18" i="2" s="1"/>
  <c r="G20" i="2"/>
  <c r="H20" i="2"/>
  <c r="G21" i="2"/>
  <c r="H21" i="2" s="1"/>
  <c r="G22" i="2"/>
  <c r="H22" i="2" s="1"/>
  <c r="G23" i="2"/>
  <c r="H23" i="2" s="1"/>
  <c r="G25" i="2"/>
  <c r="H25" i="2"/>
  <c r="G27" i="2"/>
  <c r="H27" i="2"/>
  <c r="G28" i="2"/>
  <c r="H28" i="2"/>
  <c r="G29" i="2"/>
  <c r="H29" i="2"/>
  <c r="G31" i="2"/>
  <c r="H31" i="2"/>
  <c r="G32" i="2"/>
  <c r="H32" i="2" s="1"/>
  <c r="G33" i="2"/>
  <c r="H33" i="2"/>
  <c r="G34" i="2"/>
  <c r="H34" i="2" s="1"/>
  <c r="G35" i="2"/>
  <c r="H35" i="2"/>
  <c r="G37" i="2"/>
  <c r="H37" i="2" s="1"/>
  <c r="G38" i="2"/>
  <c r="H38" i="2" s="1"/>
  <c r="G40" i="2"/>
  <c r="H40" i="2"/>
  <c r="G41" i="2"/>
  <c r="H41" i="2" s="1"/>
  <c r="G42" i="2"/>
  <c r="H42" i="2" s="1"/>
  <c r="G43" i="2"/>
  <c r="H43" i="2"/>
  <c r="G44" i="2"/>
  <c r="H44" i="2"/>
  <c r="G46" i="2"/>
  <c r="H46" i="2"/>
  <c r="G47" i="2"/>
  <c r="H47" i="2" s="1"/>
  <c r="G48" i="2"/>
  <c r="H48" i="2" s="1"/>
  <c r="G49" i="2"/>
  <c r="H49" i="2"/>
  <c r="G50" i="2"/>
  <c r="H50" i="2"/>
  <c r="G51" i="2"/>
  <c r="H51" i="2" s="1"/>
  <c r="G52" i="2"/>
  <c r="H52" i="2" s="1"/>
  <c r="F53" i="2"/>
  <c r="E54" i="2" s="1"/>
  <c r="E55" i="2" s="1"/>
  <c r="E53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<sst xmlns="http://schemas.openxmlformats.org/spreadsheetml/2006/main" count="278" uniqueCount="222">
  <si>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</si>
  <si>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</si>
  <si>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</si>
  <si>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</si>
  <si>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</si>
  <si>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</si>
  <si>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</si>
  <si>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</si>
  <si>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</si>
  <si>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</si>
  <si>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</si>
  <si>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</si>
  <si>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</si>
  <si>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</si>
  <si>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</si>
  <si>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</si>
  <si>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</si>
  <si>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</si>
  <si>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</si>
  <si>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</si>
  <si>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</si>
  <si>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</si>
  <si>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</si>
  <si>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</si>
  <si>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</si>
  <si>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</si>
  <si>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</si>
  <si>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</si>
  <si>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</si>
  <si>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</si>
  <si>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</si>
  <si>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</si>
  <si>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</si>
  <si>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</si>
  <si>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</si>
  <si>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</si>
  <si>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</si>
  <si>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</si>
  <si>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</si>
  <si>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</si>
  <si>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</si>
  <si>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</si>
  <si>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</si>
  <si>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</si>
  <si>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</si>
  <si>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</si>
  <si>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</si>
  <si>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</si>
  <si>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</si>
  <si>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</si>
  <si>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</si>
  <si>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</si>
  <si>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</si>
  <si>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</si>
  <si>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</si>
  <si>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</si>
  <si>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</si>
  <si>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</si>
  <si>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</si>
  <si>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</si>
  <si>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</si>
  <si>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</si>
  <si>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</si>
  <si>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</si>
  <si>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</si>
  <si>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</si>
  <si>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</si>
  <si>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</si>
  <si>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</si>
  <si>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</si>
  <si>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</si>
  <si>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</si>
  <si>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</si>
  <si>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</si>
  <si>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</si>
  <si>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</si>
  <si>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</si>
  <si>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</si>
  <si>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</si>
  <si>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</si>
  <si>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</si>
  <si>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</si>
  <si>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</si>
  <si>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</si>
  <si>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</si>
  <si>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</si>
  <si>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</si>
  <si>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</si>
  <si>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</si>
  <si>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</si>
  <si>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</si>
  <si>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</si>
  <si>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</si>
  <si>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</si>
  <si>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</si>
  <si>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</si>
  <si>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</si>
  <si>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</si>
  <si>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</si>
  <si>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</si>
  <si>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</si>
  <si>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</si>
  <si>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</si>
  <si>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</si>
  <si>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</si>
  <si>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</si>
  <si>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</si>
  <si>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</si>
  <si>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</si>
  <si>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</si>
  <si>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</si>
  <si>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</si>
  <si>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</si>
  <si>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</si>
  <si>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</si>
  <si>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</si>
  <si>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</si>
  <si>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</si>
  <si>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</si>
  <si>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</si>
  <si>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</si>
  <si>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</si>
  <si>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</si>
  <si>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</si>
  <si>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</si>
  <si>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</si>
  <si>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</si>
  <si>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</si>
  <si>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</si>
  <si>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</si>
  <si>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</si>
  <si>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</si>
  <si>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</si>
  <si>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</si>
  <si>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</si>
  <si>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</si>
  <si>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</si>
  <si>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</si>
  <si>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</si>
  <si>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</si>
  <si>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</si>
  <si>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</si>
  <si>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</si>
  <si>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</si>
  <si>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</si>
  <si>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</si>
  <si>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</si>
  <si>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</si>
  <si>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</si>
  <si>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</si>
  <si>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</si>
  <si>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</si>
  <si>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</si>
  <si>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</si>
  <si>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</si>
  <si>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</si>
  <si>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</si>
  <si>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</si>
  <si>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</si>
  <si>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</si>
  <si>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</si>
  <si>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</si>
  <si>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</si>
  <si>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</si>
  <si>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</si>
  <si>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</si>
  <si>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</si>
  <si>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</si>
  <si>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</si>
  <si>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</si>
  <si>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</si>
  <si>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</si>
  <si>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</si>
  <si>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</si>
  <si>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</si>
  <si>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تنفيذ الهجوم السريع - تمرين لعبات حرب مجموعة لواء الإمارات/1 (رياح الصحراء 2025/19)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</si>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</sst>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245159</xdr:colOff>
      <xdr:row>56</xdr:row>
      <xdr:rowOff>4617</xdr:rowOff>
    </xdr:from>
    <xdr:to>
      <xdr:col>8</xdr:col>
      <xdr:colOff>464096</xdr:colOff>
      <xdr:row>56</xdr:row>
      <xdr:rowOff>392697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65AABD3-F241-01CF-28D7-F561BB96DB8E}"/>
                </a:ext>
              </a:extLst>
            </xdr14:cNvPr>
            <xdr14:cNvContentPartPr/>
          </xdr14:nvContentPartPr>
          <xdr14:nvPr macro=""/>
          <xdr14:xfrm>
            <a:off x="10423238704" y="27557640"/>
            <a:ext cx="873360" cy="388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65AABD3-F241-01CF-28D7-F561BB96DB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30064" y="27549000"/>
              <a:ext cx="891000" cy="40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637199</xdr:colOff>
      <xdr:row>56</xdr:row>
      <xdr:rowOff>170217</xdr:rowOff>
    </xdr:from>
    <xdr:to>
      <xdr:col>9</xdr:col>
      <xdr:colOff>13072</xdr:colOff>
      <xdr:row>56</xdr:row>
      <xdr:rowOff>564057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D6C35DF-DDA8-02E0-32F5-3181BF6FC920}"/>
                </a:ext>
              </a:extLst>
            </xdr14:cNvPr>
            <xdr14:cNvContentPartPr/>
          </xdr14:nvContentPartPr>
          <xdr14:nvPr macro=""/>
          <xdr14:xfrm>
            <a:off x="10423035304" y="27723240"/>
            <a:ext cx="684720" cy="393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D6C35DF-DDA8-02E0-32F5-3181BF6FC9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26304" y="27714600"/>
              <a:ext cx="702360" cy="41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12:15.7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1758 856 2368,'0'0'0,"-4"-1"408,1 0 96,-2-3 56,5 4-560,-4-3 400,1 0-136,-1 1-96,0-1-47,2 2-25,1 0-8,1 1-88,-2-1 112,1 0 8,0-1 0,0 1 40,1 0 16,0 0 0,0 1-176,0-1 216,0-1-24,0 2-8,0 0 0,0-1-8,0 1-24,0 0-152,0-1 160,0 0-16,0 1 16,0 0-24,0-1-8,2-1-32,-2 2-96,3-1 96,-1 0-16,1 0-8,0 0-16,1-2-24,-4 3-32,11-3 24,-9-1 0,9 0 8,-8 2-32,9-2 64,-2 1-40,-10 3-24,9-4 8,3 0 32,2 0-64,-1-1 32,1 2-8,1-2 0,-15 5 0,15-4 0,1 1 0,-1-1 8,2 0 0,1 2 0,0 0-16,-18 2 8,18-4 0,0 2 8,1-2 0,0 2 0,2-1-16,-2 1 8,-19 2 0,19-3 40,1 1-40,2 0-8,0 0 0,-1 1-48,-1 0 32,-20 1 24,17-1 0,2 1-8,-2 0-8,0 0 16,1 0-8,-2 0-16,-16 0 24,14 0 56,0 0-56,0 0-8,-1 2 8,0 1-64,-2-1 80,-11-2-16,3 2-8,11 1-40,-11 0-32,1 0-112,7 0-96,-11 1-96,0-4 384,2 4-360,0-1-104,-2 1 40,0 5 72,0-6 8,0 0 136,0-3 208,-2 10-168,-2-8 24,-1 8 15,-5-8 25,5 9 40,-8-7 24,13-4 40,-14 12-24,3-3 0,-3 1-16,-1 1 16,0-2 0,-3 2-8,18-11 32,-18 11 40,-1-8-48,1 12 8,-1-12 32,-3 9-72,1-8 104,21-4-64,-22 4 40,0 6-24,0-7 16,2-1-64,-1 1 88,0-1-24,21-2-32,-19 0 0,1 0 24,0 0-104,1 0 40,-4-1-8,2-2-32,19 3 80,-18-3-120,1-1-40,2-1-8,-2 1 0,-1-1 120,-1 0-24,19 5 72,-18-5-24,1 0 32,0 2-72,1-1 80,-1 2-32,-1-1-8,18 3 24,-18-1-32,0 1-40,-2 0 24,0 0 8,1 3-32,0-1 32,19-2 40,-20 4-40,-2-1 0,2 7 40,-2-8 32,2 2-24,0-1-32,20-3 24,-21 10 8,1-10-32,-1 4 48,1-1-16,-2 0 24,3-1 0,19-2-32,-19 0 16,0 2 32,2-2 0,-2 0 8,1 0 0,1-1-8,17 1-48,-17-3 32,2-1-16,-2-1 40,0-4 0,-1 5-16,-1-9-8,19 13-32,-18-11 0,0 0 0,-1-3-8,2-1 24,-1-1-8,2-1 8,16 17-16,-16-16 56,-1 0 32,1 0 72,1 0 32,-1 0 56,1 1 57,15 15-305,-17-14 328,1-1 72,2 1-16,0 0 0,0-2-72,4-1-64,10 17-248,-12-15 208,-1-1-24,2 1-64,0-2-48,1 1 8,6-1-56,4 17-24,-11-15 32,7-1 32,-1 1-24,-4 0-8,6 1-24,0-2-32,3 16 24,-4-14-40,2-2-16,1 2-32,-1 1-24,1-2-24,1 1-40,0 14 176,0-14-184,3-2-80,0 2 24,7-2-8,-8-1-24,11 2 72,-13 15 200,10-15-208,1 0 40,0 0 24,2 1 0,1 0-32,2-2 23,-16 16 153,18-13-160,1 0 16,1 0 32,3-1-8,1 2 24,0 0 8,-24 12 88,26-12-56,1 0 8,1 2 8,3-1 8,2 1 16,1 5-8,-34 5 24,33-10-8,2 6 8,1-5-24,0 5 16,3-1-8,1 0-8,-40 5 24,39-3-16,1-1 0,-2 3-16,-1 0 16,1 0-16,-1 1-8,-37 0 40,37 0-48,0 0 8,0 2-40,-2 2 16,0-1-8,-2 1 0,-33-4 72,31 9-56,-1-6-16,-1 0-8,-4 8-8,-1-7 8,-2 6 16,-22-10 64,19 4-48,-2 9 16,-2-3 16,-1 2-8,-4-1 8,-6-1 8,-4-10 8,12 10 0,-10 0 0,2-1-8,0 2 8,-2-1 0,-2-1 0,0-9 0,0 11 8,0 0 0,-2-1 0,-2 1 24,-6 0-8,1-1 32,9-10-56,-10 10 88,-4 2 8,-2 2 48,-1-1 8,-2 1 8,-2 1 16,21-15-176,-23 13 176,-2 1-16,-3 2-16,-1-2-16,-1 2-16,-3-1 16,33-15-128,-34 17 144,-2 0-16,-2 0-24,-2-1-23,0 1-25,-2 1 24,42-18-80,-43 18 112,-3 2-32,-1 1-16,-3-3 16,-1 2-32,-1-1 48,52-19-96,-52 22 104,0-1-64,-1 0 8,-1-1 40,0-2-64,1 1 104,53-19-128,-52 20 104,0-1-40,2 0 32,1 0-40,2 0 0,-1 0 56,48-19-112,-46 20 80,1-4-24,2 1-16,3-1-56,0-2 56,3-1 24,37-13-64,-34 15 40,-1-3-8,3 0-56,-2-2-8,4 1 40,0 0 32,30-11-40,-29 10 48,3-1-24,0-5-24,2 8-32,2-9-16,2 7-8,20-10 56,-17 0-144,1 4-144,3-2-144,2-2-240,1 0-169,6 0 41,4 0 800,-10 0-632,7-1 232,-1-4 208,2-6-1656,2 11 1848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6:12:16.8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1815 1 7417,'0'0'0,"0"0"0,-21 0 1872,-7 2-1495,-5 2-257,-1 8-104,1-2-24,-1 6 8,34-16 0,-37 17-80,2 3 88,-3 2-8,0-1 0,0 2 32,-3 0-56,41-23 24,-41 23 8,-2 1 16,2-3-32,-1 1 8,-3-1-8,1 0-16,44-21 24,-44 20 8,0-1-8,3-1-8,1-1-8,1 0-8,3-3-16,36-14 40,-33 12-32,1 0 8,3-8-32,2 9-24,3-11-41,5 2-79,19-4 200,-19 4-304,4-2-168,0-2-200,3 0-224,2 0-144,6 0-73,4 0 1113,-10-2-1024,9-2 304,-3-6 264,3 6 248,1-10 160,0 2 16,0 12 32,2-13-32,8-1 0,-7-3-1824,-3 17 1856</inkml:trace>
  <inkml:trace contextRef="#ctx0" brushRef="#br0" timeOffset="1">775 262 2168,'0'0'0,"0"0"56,0 0-32,2 0-16,-2 0 0,0 0-8,0 0 8,0 0 0,0 0 8,0 0 8,-1 2-8,-2 2 16,3-4-32,-2 2 40,-3 2 32,-5 0 16,7-1 40,-7 1 16,5-1-8,5-3-136,-11 4 120,2 0-24,-1-1-8,6 1-16,-9-1 0,8 0 0,5-3-72,-10 2 72,7 1 0,-2-3-8,-4 2 0,6-2-8,-1 0-8,4 0-48,-3 0 64,-1 0-8,1-1-8,0 0-16,-1-1-8,1 1-8,3 1-16,-5-1 0,1-1 8,-1 0-8,-4 0 0,6 1 0,3 1 0,-4-1 0,-6-1 8,6 1-8,-6 1 24,7 0-8,-9 0 8,12 0-24,-9 0 16,-2 3 16,2-1 0,-3 2 8,0-1 0,-2 7 8,14-10-48,-13 2 40,-2 2 8,1 6 0,-4-7-16,0 6 16,-2-5 8,20-4-56,-19 10 73,1-7 23,-1 8 0,2-7 8,-2 6 8,1-6 16,18-4-128,-16 4 136,-1 5 32,0-9 0,0 4 16,-2-2 8,3 1-32,16-3-160,-15 0 136,1 0 8,0 0-16,2 0-8,-1 0 0,0 0-24,13 0-96,-12-2 136,0 0 40,2-2 24,1-6 32,5 6-16,-7-7-24,11 11-192,-3-5 136,-8-5-64,8 0-112,0 5-120,-2-9-104,1 3-104,4 11 368,-4-13-352,1 0-8,0-2 40,2 1 56,0 0-16,1-1 8,0 15 272,0-15-240,0-1-16,4 0 0,-2 1 80,9-1 7,-7 3 89,-4 13 80,8-12-104,-4 1 0,7 1-16,-8 0-16,9 5 24,-3-6 0,-9 11 112,10-3-64,-1-1 0,1 2 16,0 1 16,-7-1-96,9 2-64,-12 0 192,4 0-216,7 3-64,-8 0 80,1 9 72,0-2 56,-1 1 40,-3-11 32,3 13-8,-1 1-8,1 2 16,-3 2-16,0 1 16,-2 1 0,2-20 0,-1 21 0,-2-1 16,0 2-32,-7 1 0,8 1 24,-6 2 0,8-26-8,-4 27 0,-7 2 16,3 0-24,-2 1-16,5 0 8,-7 0 16,12-30 0,-11 31-16,3 1 0,-3 0 32,2 0-24,4 0-16,-5 1 24,10-33 0,-5 30-24,-5 0 24,7-2 56,-1-1 48,-1 0 40,1-2 40,4-25-184,-1 26 248,1-4 48,0 0 112,4-2 80,7-2 73,-2 0 55,-9-18-616,12 16 672,4-3 80,2 0 0,2-2-16,5-1-80,3-7-135,-28-3-521,33 4 464,4-1-56,2 0-56,3-3-56,5 0-32,3-4-80,-50 4-184,53-5 152,3-7 8,1 2-72,4-2-32,2-2-32,4 0 0,-67 14-24,66-16 40,6 0 80,-1-1-80,2-1-80,2-1-184,-4 2-488,-71 17 712,74-18-1392,-2 1-601,2 2-351,-1 0 623,1 1 665,-2-2 512,-72 16 544,75-15-1896,-75 15 1896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zoomScale="140" zoomScaleNormal="100" zoomScaleSheetLayoutView="140" workbookViewId="0">
      <selection activeCell="F21" sqref="F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175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11" t="s">
        <v>8</v>
      </c>
      <c r="C2" s="56" t="s">
        <v>45</v>
      </c>
      <c r="D2" s="56"/>
      <c r="E2" s="11" t="s">
        <v>7</v>
      </c>
      <c r="F2" s="51">
        <v>45944</v>
      </c>
      <c r="G2" s="51"/>
      <c r="H2" s="51"/>
      <c r="I2" s="51"/>
      <c r="J2" s="51"/>
    </row>
    <row r="3" spans="1:10" ht="30" customHeight="1" x14ac:dyDescent="0.3">
      <c r="B3" s="11" t="s">
        <v>9</v>
      </c>
      <c r="C3" s="56" t="s">
        <v>82</v>
      </c>
      <c r="D3" s="56"/>
      <c r="E3" s="11" t="s">
        <v>6</v>
      </c>
      <c r="F3" s="56" t="s">
        <v>92</v>
      </c>
      <c r="G3" s="56"/>
      <c r="H3" s="56"/>
      <c r="I3" s="56"/>
      <c r="J3" s="5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3"/>
      <c r="J6" s="64"/>
    </row>
    <row r="7" spans="1:10" ht="24.9" customHeight="1" thickBot="1" x14ac:dyDescent="0.35">
      <c r="A7" s="10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39.9" customHeight="1" x14ac:dyDescent="0.3">
      <c r="A8" s="10"/>
      <c r="B8" s="78" t="s">
        <v>176</v>
      </c>
      <c r="C8" s="79"/>
      <c r="D8" s="79"/>
      <c r="E8" s="79"/>
      <c r="F8" s="79"/>
      <c r="G8" s="79"/>
      <c r="H8" s="79"/>
      <c r="I8" s="79"/>
      <c r="J8" s="80"/>
    </row>
    <row r="9" spans="1:10" ht="39.9" customHeight="1" x14ac:dyDescent="0.3">
      <c r="A9" s="10"/>
      <c r="B9" s="72" t="s">
        <v>210</v>
      </c>
      <c r="C9" s="73"/>
      <c r="D9" s="73"/>
      <c r="E9" s="35"/>
      <c r="F9" s="18"/>
      <c r="G9" s="30"/>
      <c r="H9" s="31"/>
      <c r="I9" s="42"/>
      <c r="J9" s="43"/>
    </row>
    <row r="10" spans="1:10" ht="59.25" customHeight="1" x14ac:dyDescent="0.3">
      <c r="A10" s="10"/>
      <c r="B10" s="74" t="s">
        <v>177</v>
      </c>
      <c r="C10" s="75"/>
      <c r="D10" s="75"/>
      <c r="E10" s="9">
        <v>5</v>
      </c>
      <c r="F10" s="18">
        <v>3.5</v>
      </c>
      <c r="G10" s="30">
        <f t="shared" ref="G10:G52" si="0">IFERROR(F10/E10,"")</f>
        <v>0.7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" customHeight="1" x14ac:dyDescent="0.3">
      <c r="A11" s="10"/>
      <c r="B11" s="74" t="s">
        <v>178</v>
      </c>
      <c r="C11" s="75"/>
      <c r="D11" s="75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42"/>
      <c r="J11" s="43"/>
    </row>
    <row r="12" spans="1:10" ht="39.9" customHeight="1" x14ac:dyDescent="0.3">
      <c r="A12" s="10"/>
      <c r="B12" s="74" t="s">
        <v>179</v>
      </c>
      <c r="C12" s="75"/>
      <c r="D12" s="75"/>
      <c r="E12" s="35"/>
      <c r="F12" s="18"/>
      <c r="G12" s="30"/>
      <c r="H12" s="31"/>
      <c r="I12" s="42"/>
      <c r="J12" s="43"/>
    </row>
    <row r="13" spans="1:10" ht="39.9" customHeight="1" x14ac:dyDescent="0.3">
      <c r="A13" s="10"/>
      <c r="B13" s="76" t="s">
        <v>180</v>
      </c>
      <c r="C13" s="77"/>
      <c r="D13" s="77"/>
      <c r="E13" s="9">
        <v>5</v>
      </c>
      <c r="F13" s="18">
        <v>3.75</v>
      </c>
      <c r="G13" s="30">
        <f t="shared" si="0"/>
        <v>0.75</v>
      </c>
      <c r="H13" s="31" t="str">
        <f t="shared" si="1"/>
        <v>جيد</v>
      </c>
      <c r="I13" s="42"/>
      <c r="J13" s="43"/>
    </row>
    <row r="14" spans="1:10" ht="39.9" customHeight="1" x14ac:dyDescent="0.3">
      <c r="A14" s="10"/>
      <c r="B14" s="76" t="s">
        <v>181</v>
      </c>
      <c r="C14" s="77"/>
      <c r="D14" s="77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42"/>
      <c r="J14" s="43"/>
    </row>
    <row r="15" spans="1:10" ht="54" customHeight="1" x14ac:dyDescent="0.3">
      <c r="A15" s="10"/>
      <c r="B15" s="76" t="s">
        <v>182</v>
      </c>
      <c r="C15" s="77"/>
      <c r="D15" s="77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2"/>
      <c r="J15" s="43"/>
    </row>
    <row r="16" spans="1:10" ht="39.9" customHeight="1" x14ac:dyDescent="0.3">
      <c r="A16" s="10"/>
      <c r="B16" s="76" t="s">
        <v>183</v>
      </c>
      <c r="C16" s="77"/>
      <c r="D16" s="77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" customHeight="1" x14ac:dyDescent="0.3">
      <c r="A17" s="10"/>
      <c r="B17" s="76" t="s">
        <v>184</v>
      </c>
      <c r="C17" s="77"/>
      <c r="D17" s="77"/>
      <c r="E17" s="9">
        <v>5</v>
      </c>
      <c r="F17" s="18">
        <v>3.75</v>
      </c>
      <c r="G17" s="30">
        <f t="shared" si="0"/>
        <v>0.75</v>
      </c>
      <c r="H17" s="31" t="str">
        <f t="shared" si="1"/>
        <v>جيد</v>
      </c>
      <c r="I17" s="42"/>
      <c r="J17" s="43"/>
    </row>
    <row r="18" spans="1:10" ht="39.9" customHeight="1" x14ac:dyDescent="0.3">
      <c r="A18" s="10"/>
      <c r="B18" s="74" t="s">
        <v>185</v>
      </c>
      <c r="C18" s="75"/>
      <c r="D18" s="75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2"/>
      <c r="J18" s="43"/>
    </row>
    <row r="19" spans="1:10" ht="39.9" customHeight="1" x14ac:dyDescent="0.3">
      <c r="A19" s="10"/>
      <c r="B19" s="74" t="s">
        <v>186</v>
      </c>
      <c r="C19" s="75"/>
      <c r="D19" s="75"/>
      <c r="E19" s="35"/>
      <c r="F19" s="18"/>
      <c r="G19" s="30"/>
      <c r="H19" s="31"/>
      <c r="I19" s="42"/>
      <c r="J19" s="43"/>
    </row>
    <row r="20" spans="1:10" ht="39.9" customHeight="1" x14ac:dyDescent="0.3">
      <c r="A20" s="10"/>
      <c r="B20" s="76" t="s">
        <v>187</v>
      </c>
      <c r="C20" s="77"/>
      <c r="D20" s="77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2"/>
      <c r="J20" s="43"/>
    </row>
    <row r="21" spans="1:10" ht="39.9" customHeight="1" x14ac:dyDescent="0.3">
      <c r="A21" s="10"/>
      <c r="B21" s="76" t="s">
        <v>188</v>
      </c>
      <c r="C21" s="77"/>
      <c r="D21" s="77"/>
      <c r="E21" s="9">
        <v>5</v>
      </c>
      <c r="F21" s="18">
        <v>3.5</v>
      </c>
      <c r="G21" s="30">
        <f t="shared" si="0"/>
        <v>0.7</v>
      </c>
      <c r="H21" s="31" t="str">
        <f t="shared" si="1"/>
        <v>جيد</v>
      </c>
      <c r="I21" s="42"/>
      <c r="J21" s="43"/>
    </row>
    <row r="22" spans="1:10" ht="39.9" customHeight="1" x14ac:dyDescent="0.3">
      <c r="A22" s="10"/>
      <c r="B22" s="76" t="s">
        <v>189</v>
      </c>
      <c r="C22" s="77"/>
      <c r="D22" s="77"/>
      <c r="E22" s="9">
        <v>5</v>
      </c>
      <c r="F22" s="18">
        <v>3.5</v>
      </c>
      <c r="G22" s="30">
        <f t="shared" si="0"/>
        <v>0.7</v>
      </c>
      <c r="H22" s="31" t="str">
        <f t="shared" si="1"/>
        <v>جيد</v>
      </c>
      <c r="I22" s="42"/>
      <c r="J22" s="43"/>
    </row>
    <row r="23" spans="1:10" ht="39.9" customHeight="1" thickBot="1" x14ac:dyDescent="0.35">
      <c r="A23" s="10"/>
      <c r="B23" s="81" t="s">
        <v>211</v>
      </c>
      <c r="C23" s="82"/>
      <c r="D23" s="82"/>
      <c r="E23" s="32">
        <v>5</v>
      </c>
      <c r="F23" s="19">
        <v>3.5</v>
      </c>
      <c r="G23" s="33">
        <f t="shared" si="0"/>
        <v>0.7</v>
      </c>
      <c r="H23" s="34" t="str">
        <f t="shared" si="1"/>
        <v>جيد</v>
      </c>
      <c r="I23" s="44"/>
      <c r="J23" s="45"/>
    </row>
    <row r="24" spans="1:10" ht="39.9" customHeight="1" x14ac:dyDescent="0.3">
      <c r="A24" s="10"/>
      <c r="B24" s="78" t="s">
        <v>190</v>
      </c>
      <c r="C24" s="79"/>
      <c r="D24" s="79"/>
      <c r="E24" s="79"/>
      <c r="F24" s="79"/>
      <c r="G24" s="79"/>
      <c r="H24" s="79"/>
      <c r="I24" s="79"/>
      <c r="J24" s="80"/>
    </row>
    <row r="25" spans="1:10" ht="39.9" customHeight="1" x14ac:dyDescent="0.3">
      <c r="A25" s="10"/>
      <c r="B25" s="72" t="s">
        <v>212</v>
      </c>
      <c r="C25" s="73"/>
      <c r="D25" s="73"/>
      <c r="E25" s="9">
        <v>5</v>
      </c>
      <c r="F25" s="18">
        <v>3.5</v>
      </c>
      <c r="G25" s="30">
        <f t="shared" si="0"/>
        <v>0.7</v>
      </c>
      <c r="H25" s="31" t="str">
        <f t="shared" si="1"/>
        <v>جيد</v>
      </c>
      <c r="I25" s="42"/>
      <c r="J25" s="43"/>
    </row>
    <row r="26" spans="1:10" ht="39.9" customHeight="1" x14ac:dyDescent="0.3">
      <c r="A26" s="10"/>
      <c r="B26" s="72" t="s">
        <v>213</v>
      </c>
      <c r="C26" s="73"/>
      <c r="D26" s="73"/>
      <c r="E26" s="35"/>
      <c r="F26" s="18"/>
      <c r="G26" s="30"/>
      <c r="H26" s="31"/>
      <c r="I26" s="42"/>
      <c r="J26" s="43"/>
    </row>
    <row r="27" spans="1:10" ht="39.9" customHeight="1" x14ac:dyDescent="0.3">
      <c r="A27" s="10"/>
      <c r="B27" s="74" t="s">
        <v>191</v>
      </c>
      <c r="C27" s="75"/>
      <c r="D27" s="75"/>
      <c r="E27" s="9">
        <v>5</v>
      </c>
      <c r="F27" s="18">
        <v>3.5</v>
      </c>
      <c r="G27" s="30">
        <f t="shared" si="0"/>
        <v>0.7</v>
      </c>
      <c r="H27" s="31" t="str">
        <f t="shared" si="1"/>
        <v>جيد</v>
      </c>
      <c r="I27" s="42"/>
      <c r="J27" s="43"/>
    </row>
    <row r="28" spans="1:10" ht="39.9" customHeight="1" x14ac:dyDescent="0.3">
      <c r="A28" s="10"/>
      <c r="B28" s="74" t="s">
        <v>192</v>
      </c>
      <c r="C28" s="75"/>
      <c r="D28" s="75"/>
      <c r="E28" s="9">
        <v>5</v>
      </c>
      <c r="F28" s="18">
        <v>3.5</v>
      </c>
      <c r="G28" s="30">
        <f t="shared" si="0"/>
        <v>0.7</v>
      </c>
      <c r="H28" s="31" t="str">
        <f t="shared" si="1"/>
        <v>جيد</v>
      </c>
      <c r="I28" s="42"/>
      <c r="J28" s="43"/>
    </row>
    <row r="29" spans="1:10" ht="39.9" customHeight="1" x14ac:dyDescent="0.3">
      <c r="A29" s="10"/>
      <c r="B29" s="74" t="s">
        <v>193</v>
      </c>
      <c r="C29" s="75"/>
      <c r="D29" s="75"/>
      <c r="E29" s="9">
        <v>5</v>
      </c>
      <c r="F29" s="18">
        <v>3.75</v>
      </c>
      <c r="G29" s="30">
        <f t="shared" si="0"/>
        <v>0.75</v>
      </c>
      <c r="H29" s="31" t="str">
        <f t="shared" si="1"/>
        <v>جيد</v>
      </c>
      <c r="I29" s="42"/>
      <c r="J29" s="43"/>
    </row>
    <row r="30" spans="1:10" ht="39.9" customHeight="1" x14ac:dyDescent="0.3">
      <c r="A30" s="10"/>
      <c r="B30" s="72" t="s">
        <v>214</v>
      </c>
      <c r="C30" s="73"/>
      <c r="D30" s="73"/>
      <c r="E30" s="35"/>
      <c r="F30" s="18"/>
      <c r="G30" s="30"/>
      <c r="H30" s="31"/>
      <c r="I30" s="42"/>
      <c r="J30" s="43"/>
    </row>
    <row r="31" spans="1:10" ht="39.9" customHeight="1" x14ac:dyDescent="0.3">
      <c r="A31" s="10"/>
      <c r="B31" s="74" t="s">
        <v>194</v>
      </c>
      <c r="C31" s="75"/>
      <c r="D31" s="75"/>
      <c r="E31" s="9">
        <v>5</v>
      </c>
      <c r="F31" s="18">
        <v>3.5</v>
      </c>
      <c r="G31" s="30">
        <f t="shared" si="0"/>
        <v>0.7</v>
      </c>
      <c r="H31" s="31" t="str">
        <f t="shared" si="1"/>
        <v>جيد</v>
      </c>
      <c r="I31" s="42"/>
      <c r="J31" s="43"/>
    </row>
    <row r="32" spans="1:10" ht="39.9" customHeight="1" x14ac:dyDescent="0.3">
      <c r="A32" s="10"/>
      <c r="B32" s="74" t="s">
        <v>195</v>
      </c>
      <c r="C32" s="75"/>
      <c r="D32" s="75"/>
      <c r="E32" s="9">
        <v>5</v>
      </c>
      <c r="F32" s="18">
        <v>3.5</v>
      </c>
      <c r="G32" s="30">
        <f t="shared" si="0"/>
        <v>0.7</v>
      </c>
      <c r="H32" s="31" t="str">
        <f t="shared" si="1"/>
        <v>جيد</v>
      </c>
      <c r="I32" s="42"/>
      <c r="J32" s="43"/>
    </row>
    <row r="33" spans="1:10" ht="39.9" customHeight="1" x14ac:dyDescent="0.3">
      <c r="A33" s="10"/>
      <c r="B33" s="74" t="s">
        <v>196</v>
      </c>
      <c r="C33" s="75"/>
      <c r="D33" s="75"/>
      <c r="E33" s="9">
        <v>5</v>
      </c>
      <c r="F33" s="18">
        <v>3.75</v>
      </c>
      <c r="G33" s="30">
        <f t="shared" si="0"/>
        <v>0.75</v>
      </c>
      <c r="H33" s="31" t="str">
        <f t="shared" si="1"/>
        <v>جيد</v>
      </c>
      <c r="I33" s="42"/>
      <c r="J33" s="43"/>
    </row>
    <row r="34" spans="1:10" ht="39.9" customHeight="1" x14ac:dyDescent="0.3">
      <c r="A34" s="10"/>
      <c r="B34" s="74" t="s">
        <v>197</v>
      </c>
      <c r="C34" s="75"/>
      <c r="D34" s="75"/>
      <c r="E34" s="9">
        <v>5</v>
      </c>
      <c r="F34" s="18">
        <v>3.5</v>
      </c>
      <c r="G34" s="30">
        <f t="shared" si="0"/>
        <v>0.7</v>
      </c>
      <c r="H34" s="31" t="str">
        <f t="shared" si="1"/>
        <v>جيد</v>
      </c>
      <c r="I34" s="42"/>
      <c r="J34" s="43"/>
    </row>
    <row r="35" spans="1:10" ht="39.9" customHeight="1" thickBot="1" x14ac:dyDescent="0.35">
      <c r="A35" s="10"/>
      <c r="B35" s="81" t="s">
        <v>215</v>
      </c>
      <c r="C35" s="82"/>
      <c r="D35" s="82"/>
      <c r="E35" s="32">
        <v>5</v>
      </c>
      <c r="F35" s="19">
        <v>3.5</v>
      </c>
      <c r="G35" s="33">
        <f t="shared" si="0"/>
        <v>0.7</v>
      </c>
      <c r="H35" s="34" t="str">
        <f t="shared" si="1"/>
        <v>جيد</v>
      </c>
      <c r="I35" s="44"/>
      <c r="J35" s="45"/>
    </row>
    <row r="36" spans="1:10" ht="39.9" customHeight="1" x14ac:dyDescent="0.3">
      <c r="A36" s="10"/>
      <c r="B36" s="78" t="s">
        <v>198</v>
      </c>
      <c r="C36" s="79"/>
      <c r="D36" s="79"/>
      <c r="E36" s="79"/>
      <c r="F36" s="79"/>
      <c r="G36" s="79"/>
      <c r="H36" s="79"/>
      <c r="I36" s="79"/>
      <c r="J36" s="80"/>
    </row>
    <row r="37" spans="1:10" ht="39.9" customHeight="1" x14ac:dyDescent="0.3">
      <c r="A37" s="10"/>
      <c r="B37" s="72" t="s">
        <v>216</v>
      </c>
      <c r="C37" s="73"/>
      <c r="D37" s="73"/>
      <c r="E37" s="9">
        <v>5</v>
      </c>
      <c r="F37" s="18">
        <v>3.5</v>
      </c>
      <c r="G37" s="30">
        <f t="shared" si="0"/>
        <v>0.7</v>
      </c>
      <c r="H37" s="31" t="str">
        <f t="shared" si="1"/>
        <v>جيد</v>
      </c>
      <c r="I37" s="42"/>
      <c r="J37" s="43"/>
    </row>
    <row r="38" spans="1:10" ht="39.9" customHeight="1" x14ac:dyDescent="0.3">
      <c r="A38" s="10"/>
      <c r="B38" s="83" t="s">
        <v>217</v>
      </c>
      <c r="C38" s="84"/>
      <c r="D38" s="84"/>
      <c r="E38" s="9">
        <v>5</v>
      </c>
      <c r="F38" s="18">
        <v>3.5</v>
      </c>
      <c r="G38" s="30">
        <f t="shared" si="0"/>
        <v>0.7</v>
      </c>
      <c r="H38" s="31" t="str">
        <f t="shared" si="1"/>
        <v>جيد</v>
      </c>
      <c r="I38" s="42"/>
      <c r="J38" s="43"/>
    </row>
    <row r="39" spans="1:10" ht="39.9" customHeight="1" x14ac:dyDescent="0.3">
      <c r="A39" s="10"/>
      <c r="B39" s="83" t="s">
        <v>218</v>
      </c>
      <c r="C39" s="84"/>
      <c r="D39" s="84"/>
      <c r="E39" s="35"/>
      <c r="F39" s="18"/>
      <c r="G39" s="30"/>
      <c r="H39" s="31"/>
      <c r="I39" s="42"/>
      <c r="J39" s="43"/>
    </row>
    <row r="40" spans="1:10" ht="39.9" customHeight="1" x14ac:dyDescent="0.3">
      <c r="A40" s="10"/>
      <c r="B40" s="74" t="s">
        <v>199</v>
      </c>
      <c r="C40" s="75"/>
      <c r="D40" s="75"/>
      <c r="E40" s="9">
        <v>5</v>
      </c>
      <c r="F40" s="18">
        <v>3.5</v>
      </c>
      <c r="G40" s="30">
        <f t="shared" si="0"/>
        <v>0.7</v>
      </c>
      <c r="H40" s="31" t="str">
        <f t="shared" si="1"/>
        <v>جيد</v>
      </c>
      <c r="I40" s="42"/>
      <c r="J40" s="43"/>
    </row>
    <row r="41" spans="1:10" ht="39.9" customHeight="1" x14ac:dyDescent="0.3">
      <c r="A41" s="10"/>
      <c r="B41" s="74" t="s">
        <v>200</v>
      </c>
      <c r="C41" s="75"/>
      <c r="D41" s="75"/>
      <c r="E41" s="9">
        <v>5</v>
      </c>
      <c r="F41" s="18">
        <v>3.5</v>
      </c>
      <c r="G41" s="30">
        <f t="shared" si="0"/>
        <v>0.7</v>
      </c>
      <c r="H41" s="31" t="str">
        <f t="shared" si="1"/>
        <v>جيد</v>
      </c>
      <c r="I41" s="42"/>
      <c r="J41" s="43"/>
    </row>
    <row r="42" spans="1:10" ht="39.9" customHeight="1" x14ac:dyDescent="0.3">
      <c r="A42" s="10"/>
      <c r="B42" s="74" t="s">
        <v>201</v>
      </c>
      <c r="C42" s="75"/>
      <c r="D42" s="75"/>
      <c r="E42" s="9">
        <v>5</v>
      </c>
      <c r="F42" s="18">
        <v>3.5</v>
      </c>
      <c r="G42" s="30">
        <f t="shared" si="0"/>
        <v>0.7</v>
      </c>
      <c r="H42" s="31" t="str">
        <f t="shared" si="1"/>
        <v>جيد</v>
      </c>
      <c r="I42" s="42"/>
      <c r="J42" s="43"/>
    </row>
    <row r="43" spans="1:10" ht="39.9" customHeight="1" x14ac:dyDescent="0.3">
      <c r="A43" s="10"/>
      <c r="B43" s="74" t="s">
        <v>202</v>
      </c>
      <c r="C43" s="75"/>
      <c r="D43" s="75"/>
      <c r="E43" s="9">
        <v>5</v>
      </c>
      <c r="F43" s="18">
        <v>3.75</v>
      </c>
      <c r="G43" s="30">
        <f t="shared" si="0"/>
        <v>0.75</v>
      </c>
      <c r="H43" s="31" t="str">
        <f t="shared" si="1"/>
        <v>جيد</v>
      </c>
      <c r="I43" s="42"/>
      <c r="J43" s="43"/>
    </row>
    <row r="44" spans="1:10" ht="39.9" customHeight="1" x14ac:dyDescent="0.3">
      <c r="A44" s="10"/>
      <c r="B44" s="74" t="s">
        <v>203</v>
      </c>
      <c r="C44" s="75"/>
      <c r="D44" s="75"/>
      <c r="E44" s="9">
        <v>5</v>
      </c>
      <c r="F44" s="18">
        <v>3.5</v>
      </c>
      <c r="G44" s="30">
        <f t="shared" si="0"/>
        <v>0.7</v>
      </c>
      <c r="H44" s="31" t="str">
        <f t="shared" si="1"/>
        <v>جيد</v>
      </c>
      <c r="I44" s="42"/>
      <c r="J44" s="43"/>
    </row>
    <row r="45" spans="1:10" ht="39.9" customHeight="1" x14ac:dyDescent="0.3">
      <c r="A45" s="10"/>
      <c r="B45" s="72" t="s">
        <v>219</v>
      </c>
      <c r="C45" s="73"/>
      <c r="D45" s="73"/>
      <c r="E45" s="9"/>
      <c r="F45" s="18"/>
      <c r="G45" s="30"/>
      <c r="H45" s="31"/>
      <c r="I45" s="42"/>
      <c r="J45" s="43"/>
    </row>
    <row r="46" spans="1:10" ht="39.9" customHeight="1" x14ac:dyDescent="0.3">
      <c r="A46" s="10"/>
      <c r="B46" s="74" t="s">
        <v>204</v>
      </c>
      <c r="C46" s="75"/>
      <c r="D46" s="75"/>
      <c r="E46" s="9">
        <v>5</v>
      </c>
      <c r="F46" s="18">
        <v>3.5</v>
      </c>
      <c r="G46" s="30">
        <f t="shared" si="0"/>
        <v>0.7</v>
      </c>
      <c r="H46" s="31" t="str">
        <f t="shared" si="1"/>
        <v>جيد</v>
      </c>
      <c r="I46" s="42"/>
      <c r="J46" s="43"/>
    </row>
    <row r="47" spans="1:10" ht="39.9" customHeight="1" x14ac:dyDescent="0.3">
      <c r="A47" s="10"/>
      <c r="B47" s="74" t="s">
        <v>205</v>
      </c>
      <c r="C47" s="75"/>
      <c r="D47" s="75"/>
      <c r="E47" s="9">
        <v>5</v>
      </c>
      <c r="F47" s="18">
        <v>3.5</v>
      </c>
      <c r="G47" s="30">
        <f t="shared" si="0"/>
        <v>0.7</v>
      </c>
      <c r="H47" s="31" t="str">
        <f t="shared" si="1"/>
        <v>جيد</v>
      </c>
      <c r="I47" s="42"/>
      <c r="J47" s="43"/>
    </row>
    <row r="48" spans="1:10" ht="39.9" customHeight="1" x14ac:dyDescent="0.3">
      <c r="A48" s="10"/>
      <c r="B48" s="74" t="s">
        <v>206</v>
      </c>
      <c r="C48" s="75"/>
      <c r="D48" s="75"/>
      <c r="E48" s="9">
        <v>5</v>
      </c>
      <c r="F48" s="18">
        <v>3.5</v>
      </c>
      <c r="G48" s="30">
        <f t="shared" si="0"/>
        <v>0.7</v>
      </c>
      <c r="H48" s="31" t="str">
        <f t="shared" si="1"/>
        <v>جيد</v>
      </c>
      <c r="I48" s="42"/>
      <c r="J48" s="43"/>
    </row>
    <row r="49" spans="1:10" ht="39.9" customHeight="1" x14ac:dyDescent="0.3">
      <c r="A49" s="10"/>
      <c r="B49" s="74" t="s">
        <v>207</v>
      </c>
      <c r="C49" s="75"/>
      <c r="D49" s="75"/>
      <c r="E49" s="9">
        <v>5</v>
      </c>
      <c r="F49" s="18">
        <v>3.5</v>
      </c>
      <c r="G49" s="30">
        <f t="shared" si="0"/>
        <v>0.7</v>
      </c>
      <c r="H49" s="31" t="str">
        <f t="shared" si="1"/>
        <v>جيد</v>
      </c>
      <c r="I49" s="42"/>
      <c r="J49" s="43"/>
    </row>
    <row r="50" spans="1:10" ht="39.9" customHeight="1" x14ac:dyDescent="0.3">
      <c r="A50" s="10"/>
      <c r="B50" s="74" t="s">
        <v>208</v>
      </c>
      <c r="C50" s="75"/>
      <c r="D50" s="75"/>
      <c r="E50" s="9">
        <v>5</v>
      </c>
      <c r="F50" s="18">
        <v>3.75</v>
      </c>
      <c r="G50" s="30">
        <f t="shared" si="0"/>
        <v>0.75</v>
      </c>
      <c r="H50" s="31" t="str">
        <f t="shared" si="1"/>
        <v>جيد</v>
      </c>
      <c r="I50" s="42"/>
      <c r="J50" s="43"/>
    </row>
    <row r="51" spans="1:10" ht="39.9" customHeight="1" x14ac:dyDescent="0.3">
      <c r="A51" s="10"/>
      <c r="B51" s="74" t="s">
        <v>209</v>
      </c>
      <c r="C51" s="75"/>
      <c r="D51" s="75"/>
      <c r="E51" s="9">
        <v>5</v>
      </c>
      <c r="F51" s="18">
        <v>3.75</v>
      </c>
      <c r="G51" s="30">
        <f t="shared" si="0"/>
        <v>0.75</v>
      </c>
      <c r="H51" s="31" t="str">
        <f t="shared" si="1"/>
        <v>جيد</v>
      </c>
      <c r="I51" s="42"/>
      <c r="J51" s="43"/>
    </row>
    <row r="52" spans="1:10" ht="39.9" customHeight="1" thickBot="1" x14ac:dyDescent="0.35">
      <c r="A52" s="10"/>
      <c r="B52" s="85" t="s">
        <v>220</v>
      </c>
      <c r="C52" s="86"/>
      <c r="D52" s="86"/>
      <c r="E52" s="32">
        <v>5</v>
      </c>
      <c r="F52" s="19">
        <v>3.75</v>
      </c>
      <c r="G52" s="33">
        <f t="shared" si="0"/>
        <v>0.75</v>
      </c>
      <c r="H52" s="34" t="str">
        <f t="shared" si="1"/>
        <v>جيد</v>
      </c>
      <c r="I52" s="44"/>
      <c r="J52" s="45"/>
    </row>
    <row r="53" spans="1:10" ht="30" customHeight="1" thickBot="1" x14ac:dyDescent="0.35">
      <c r="A53" s="4"/>
      <c r="B53" s="46" t="s">
        <v>5</v>
      </c>
      <c r="C53" s="47"/>
      <c r="D53" s="47"/>
      <c r="E53" s="29">
        <f>SUM(E8:E52)</f>
        <v>175</v>
      </c>
      <c r="F53" s="29">
        <f>SUM(F8:F52)</f>
        <v>125.25</v>
      </c>
      <c r="G53" s="69"/>
      <c r="H53" s="70"/>
      <c r="I53" s="70"/>
      <c r="J53" s="71"/>
    </row>
    <row r="54" spans="1:10" ht="30" customHeight="1" thickBot="1" x14ac:dyDescent="0.35">
      <c r="A54" s="4"/>
      <c r="B54" s="48" t="s">
        <v>54</v>
      </c>
      <c r="C54" s="49"/>
      <c r="D54" s="49"/>
      <c r="E54" s="57">
        <f>F53/E53/100*100</f>
        <v>0.71571428571428575</v>
      </c>
      <c r="F54" s="57"/>
      <c r="G54" s="57"/>
      <c r="H54" s="57"/>
      <c r="I54" s="57"/>
      <c r="J54" s="58"/>
    </row>
    <row r="55" spans="1:10" ht="30" customHeight="1" thickBot="1" x14ac:dyDescent="0.35">
      <c r="A55" s="4"/>
      <c r="B55" s="48" t="s">
        <v>55</v>
      </c>
      <c r="C55" s="49"/>
      <c r="D55" s="49"/>
      <c r="E55" s="40" t="str">
        <f>_xlfn.IFS(E54&gt;=90%,"ممتاز",E54&gt;=80%,"جيد جداً",E54&gt;=70%,"جيد",E54&gt;=60%,"مقبول",E54&lt;60%,"راسب")</f>
        <v>جيد</v>
      </c>
      <c r="F55" s="40"/>
      <c r="G55" s="40"/>
      <c r="H55" s="40"/>
      <c r="I55" s="40"/>
      <c r="J55" s="41"/>
    </row>
    <row r="56" spans="1:10" ht="42" customHeight="1" x14ac:dyDescent="0.3">
      <c r="B56" s="36" t="s">
        <v>221</v>
      </c>
      <c r="C56" s="36"/>
      <c r="D56" s="36"/>
      <c r="E56" s="67" t="s">
        <v>52</v>
      </c>
      <c r="F56" s="67"/>
      <c r="G56" s="38" t="s">
        <v>92</v>
      </c>
      <c r="H56" s="38"/>
      <c r="I56" s="38"/>
      <c r="J56" s="38"/>
    </row>
    <row r="57" spans="1:10" ht="51" customHeight="1" x14ac:dyDescent="0.3">
      <c r="A57" s="5"/>
      <c r="B57" s="37"/>
      <c r="C57" s="37"/>
      <c r="D57" s="37"/>
      <c r="E57" s="68" t="s">
        <v>53</v>
      </c>
      <c r="F57" s="68"/>
      <c r="G57" s="39"/>
      <c r="H57" s="39"/>
      <c r="I57" s="39"/>
      <c r="J57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2025-10-15T17:25:11Z</dcterms:modified>
</cp:coreProperties>
</file>