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694A013-6FF1-2C44-9CC7-EA8904BB5CB7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<sst xmlns="http://schemas.openxmlformats.org/spreadsheetml/2006/main" count="250" uniqueCount="194">
  <si>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</si>
  <si>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</si>
  <si>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</si>
  <si>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</si>
  <si>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</si>
  <si>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</si>
  <si>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</si>
  <si>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</si>
  <si>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</si>
  <si>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</si>
  <si>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</si>
  <si>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</si>
  <si>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</si>
  <si>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</si>
  <si>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</si>
  <si>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</si>
  <si>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</si>
  <si>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</si>
  <si>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</si>
  <si>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</si>
  <si>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</si>
  <si>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</si>
  <si>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</si>
  <si>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</si>
  <si>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</si>
  <si>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</si>
  <si>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</si>
  <si>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</si>
  <si>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</si>
  <si>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</si>
  <si>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</si>
  <si>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</si>
  <si>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</si>
  <si>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</si>
  <si>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</si>
  <si>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</si>
  <si>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</si>
  <si>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</si>
  <si>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</si>
  <si>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</si>
  <si>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</si>
  <si>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</si>
  <si>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</si>
  <si>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</si>
  <si>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</si>
  <si>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</si>
  <si>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</si>
  <si>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</si>
  <si>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</si>
  <si>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</si>
  <si>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</si>
  <si>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</si>
  <si>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</si>
  <si>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</si>
  <si>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</si>
  <si>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</si>
  <si>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</si>
  <si>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</si>
  <si>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</si>
  <si>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</si>
  <si>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</si>
  <si>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</si>
  <si>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</si>
  <si>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</si>
  <si>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</si>
  <si>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</si>
  <si>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</si>
  <si>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</si>
  <si>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</si>
  <si>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</si>
  <si>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</si>
  <si>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</si>
  <si>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</si>
  <si>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</si>
  <si>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</si>
  <si>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</si>
  <si>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</si>
  <si>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</si>
  <si>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</si>
  <si>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</si>
  <si>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</si>
  <si>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</si>
  <si>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</si>
  <si>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</si>
  <si>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</si>
  <si>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</si>
  <si>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</si>
  <si>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</si>
  <si>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</si>
  <si>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</si>
  <si>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</si>
  <si>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</si>
  <si>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</si>
  <si>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</si>
  <si>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</si>
  <si>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</si>
  <si>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</si>
  <si>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</si>
  <si>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</si>
  <si>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</si>
  <si>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</si>
  <si>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</si>
  <si>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</si>
  <si>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</si>
  <si>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</si>
  <si>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</si>
  <si>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</si>
  <si>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</si>
  <si>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</si>
  <si>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</si>
  <si>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</si>
  <si>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</si>
  <si>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</si>
  <si>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</si>
  <si>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</si>
  <si>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</si>
  <si>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</si>
  <si>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</si>
  <si>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</si>
  <si>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</si>
  <si>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</si>
  <si>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</si>
  <si>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</si>
  <si>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</si>
  <si>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</si>
  <si>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</si>
  <si>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</si>
  <si>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</si>
  <si>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</si>
  <si>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</si>
  <si>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</si>
  <si>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</si>
  <si>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</si>
  <si>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</si>
  <si>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</si>
  <si>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</si>
  <si>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</si>
  <si>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</si>
  <si>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</si>
  <si>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</si>
  <si>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</si>
  <si>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</si>
  <si>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</si>
  <si>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</si>
  <si>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</si>
  <si>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</si>
  <si>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</si>
  <si>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</si>
  <si>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</si>
  <si>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</si>
  <si>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</si>
  <si>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</si>
  <si>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</si>
  <si>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</si>
  <si>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</si>
  <si>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</si>
  <si>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</si>
  <si>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</si>
  <si>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</si>
  <si>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</si>
  <si>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</si>
  <si>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</si>
  <si>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</si>
  <si>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</si>
  <si>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</si>
  <si>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</si>
  <si>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</si>
  <si>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</si>
  <si>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</si>
  <si>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</si>
  <si>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</si>
  <si>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</si>
  <si>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</si>
  <si>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</si>
  <si>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</si>
  <si>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</si>
  <si>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</si>
  <si>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</si>
  <si>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</si>
  <si>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</si>
  <si>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</si>
  <si>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</si>
  <si>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</si>
  <si>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</si>
  <si>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</si>
  <si>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</si>
  <si>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</si>
  <si>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</si>
  <si>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</si>
  <si>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</si>
  <si>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</si>
  <si>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</si>
  <si>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</si>
  <si>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معضلة/2 -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</si>
</sst>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180465</xdr:colOff>
      <xdr:row>24</xdr:row>
      <xdr:rowOff>480600</xdr:rowOff>
    </xdr:from>
    <xdr:to>
      <xdr:col>8</xdr:col>
      <xdr:colOff>507324</xdr:colOff>
      <xdr:row>26</xdr:row>
      <xdr:rowOff>46363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FDDE9AF-F4E3-BC2A-BBEB-6DD920E36F17}"/>
                </a:ext>
              </a:extLst>
            </xdr14:cNvPr>
            <xdr14:cNvContentPartPr/>
          </xdr14:nvContentPartPr>
          <xdr14:nvPr macro=""/>
          <xdr14:xfrm>
            <a:off x="10398737585" y="9624600"/>
            <a:ext cx="1643040" cy="7434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FDDE9AF-F4E3-BC2A-BBEB-6DD920E36F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28945" y="9615960"/>
              <a:ext cx="1660680" cy="76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463785</xdr:colOff>
      <xdr:row>25</xdr:row>
      <xdr:rowOff>387988</xdr:rowOff>
    </xdr:from>
    <xdr:to>
      <xdr:col>6</xdr:col>
      <xdr:colOff>483945</xdr:colOff>
      <xdr:row>25</xdr:row>
      <xdr:rowOff>456388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63E41B9-E178-4523-226B-0FE0D615C0F1}"/>
                </a:ext>
              </a:extLst>
            </xdr14:cNvPr>
            <xdr14:cNvContentPartPr/>
          </xdr14:nvContentPartPr>
          <xdr14:nvPr macro=""/>
          <xdr14:xfrm>
            <a:off x="10400077145" y="10063080"/>
            <a:ext cx="20160" cy="684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63E41B9-E178-4523-226B-0FE0D615C0F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68505" y="10054440"/>
              <a:ext cx="37800" cy="86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4:57:58.4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4169 618 13586,'0'0'0,"0"-17"2145,0 1-1529,0 16-616,-5-19 472,5 8-208,0 7-232,0-2 40,0 6-72,3-6-16,-1 2-8,3 0 24,-3 0-56,-2 4 56,5-3-8,0 1-32,7 1 24,-7-1-48,-5 2 64,14 0-80,-2 0-64,5 3-16,0 12 40,-17-15 120,19 14-152,0 6 112,5 4 40,3 4-120,-27-28 120,26 33-88,-2 0-152,3 2-152,-3-2 0,-24-33 392,24 31-456,-2-1 32,-1-4 111,-6-5 161,-15-21 152,12 20-128,-8-5 16,8-2-32,-12-8 32,0-5 112,0 4 72,0 0 352,-2 0 289,0-1 55,2-3-768,-12 0 800,-5 0-288,-5 3-152,-9-3-136,31 0-224,-31 3 168,-10 0-80,-10 0-40,1-1 32,50-2-80,-60 5 72,-8-3 56,-2 3-8,-7-2 80,77-3-200,-81 2 176,-6-2-32,-4 3 16,-8 2-32,99-5-128,-106 14 64,0-3 41,-9 5 31,-15 4-88,130-20-48,-132 25 160,-10 5-24,-7 4-160,4 6 8,145-40 16,-149 43-24,-2 1-24,-3 4 120,0 2 0,154-50-72,-156 50 16,6-1-8,6 4 16,-5-3-8,149-50-16,-144 51 64,-1-4-64,6-3-64,11-3 72,128-41-8,-113 40-32,5 0 80,9-3 16,6-2-40,93-35-24,-85 34 32,4-2-40,11-3 32,10-3 64,60-26-88,-53 20-24,12-3 8,7-6-56,8-6-64,26-5 136,-15 4 64,11-1-16,4-3 24,0 0-112,0 0 40,14-2-136,8-3 88,2-12-48,24-1 160,-48 18-64,55-25 8,17-8 16,17-7-8,12-5-40,-101 45 24,116-51-40,6-3 32,13-3 64,9-6-16,-144 63-40,162-69 48,4-4-72,-3-4 0,6 2-48,-169 75 72,165-74 0,-1 0-24,-3 2 8,-2-1 40,-159 73-24,151-71 48,-4 3-24,-10 3 0,-7-1-48,-130 66 24,125-64 0,-12 0 112,-9 0-88,-20 3 64,-84 61-88,72-58 16,-14 2 8,-12 2 120,-10 3-64,-36 51-80,21-48 272,-18 5-136,-6 3-8,-16 2 96,19 38-224,-29-33-24,-12 2 192,-14 4-64,-17 6-96,72 21-8,-87-19 104,-11 5-64,-11 10-40,-1-2-56,110 6 56,-113-1 32,2 3-32,5 10 32,12-1 88,94-11-120,-86 13 88,6 1-24,15 2-64,10 0-40,55-16 40,-38 17-72,11 2-24,8 3 72,7 5-24,12-27 48,-2 30-56,6 7-8,13 2 0,5 5-64,-22-44 128,29 50-56,12 1 40,2 5-48,10 2 64,-53-58 0,55 63-40,3-1-32,7-1 120,-5-1-136,-60-60 88,60 54-40,-2-1 96,-1-4-176,-6 1 176,-51-50-56,51 46 32,-8-5-256,-2-4 272,-3-4-104,-38-33 56,29 28-80,0-4 192,-3-1-144,-9 0 104,-17-23-72,17 20 40,-12-2 24,9-1-120,-14 2-56,0-19 112,0 21-24,0 4-24,-7 2-16,-7 3 0,14-30 64,-15 32 48,-2 2-208,-2 3 296,2 1 40,17-38-176,-19 37-160,0 0 120,4-2-216,1-3-336,14-32 592,-12 31-1001,5-3-431,-3-2-1665,8 0-5192,2-26 8289,0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4:57:58.8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15 160 22932,'0'0'0,"-2"-58"376,-3 17-103,2-1 55,3 42-328,-4-18-72,4 18-88,4 11-129,11 3-407,-15-14 696,9 22-712,3 1-496,-9 4-104,2 0-297,-5-27 1609,2 25-1928,3-9-2353,-7 8-3305,2-24 7586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C11" zoomScale="130" zoomScaleNormal="100" zoomScaleSheetLayoutView="130" workbookViewId="0">
      <selection activeCell="G26" sqref="G26:J26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9" t="s">
        <v>193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>
      <c r="B2" s="11" t="s">
        <v>8</v>
      </c>
      <c r="C2" s="75" t="s">
        <v>37</v>
      </c>
      <c r="D2" s="75"/>
      <c r="E2" s="11" t="s">
        <v>7</v>
      </c>
      <c r="F2" s="70">
        <v>45912</v>
      </c>
      <c r="G2" s="70"/>
      <c r="H2" s="70"/>
      <c r="I2" s="70"/>
      <c r="J2" s="70"/>
    </row>
    <row r="3" spans="1:10" ht="30" customHeight="1">
      <c r="B3" s="11" t="s">
        <v>9</v>
      </c>
      <c r="C3" s="75" t="s">
        <v>78</v>
      </c>
      <c r="D3" s="75"/>
      <c r="E3" s="11" t="s">
        <v>6</v>
      </c>
      <c r="F3" s="75" t="s">
        <v>134</v>
      </c>
      <c r="G3" s="75"/>
      <c r="H3" s="75"/>
      <c r="I3" s="75"/>
      <c r="J3" s="75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71" t="s">
        <v>0</v>
      </c>
      <c r="C5" s="72"/>
      <c r="D5" s="72"/>
      <c r="E5" s="76" t="s">
        <v>1</v>
      </c>
      <c r="F5" s="76"/>
      <c r="G5" s="76"/>
      <c r="H5" s="76"/>
      <c r="I5" s="76" t="s">
        <v>2</v>
      </c>
      <c r="J5" s="77"/>
    </row>
    <row r="6" spans="1:10" ht="24.95" customHeight="1" thickBot="1">
      <c r="A6" s="9"/>
      <c r="B6" s="73"/>
      <c r="C6" s="74"/>
      <c r="D6" s="74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5" customHeight="1" thickBot="1">
      <c r="A7" s="9"/>
      <c r="B7" s="59" t="s">
        <v>21</v>
      </c>
      <c r="C7" s="60"/>
      <c r="D7" s="60"/>
      <c r="E7" s="30" t="s">
        <v>18</v>
      </c>
      <c r="F7" s="30" t="s">
        <v>19</v>
      </c>
      <c r="G7" s="30" t="s">
        <v>22</v>
      </c>
      <c r="H7" s="30" t="s">
        <v>20</v>
      </c>
      <c r="I7" s="61" t="s">
        <v>25</v>
      </c>
      <c r="J7" s="62"/>
    </row>
    <row r="8" spans="1:10" ht="30" customHeight="1">
      <c r="A8" s="9"/>
      <c r="B8" s="65" t="s">
        <v>178</v>
      </c>
      <c r="C8" s="66"/>
      <c r="D8" s="66"/>
      <c r="E8" s="35"/>
      <c r="F8" s="36"/>
      <c r="G8" s="37"/>
      <c r="H8" s="38"/>
      <c r="I8" s="86"/>
      <c r="J8" s="87"/>
    </row>
    <row r="9" spans="1:10" ht="30" customHeight="1">
      <c r="A9" s="9"/>
      <c r="B9" s="48" t="s">
        <v>182</v>
      </c>
      <c r="C9" s="49"/>
      <c r="D9" s="49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3"/>
      <c r="J9" s="64"/>
    </row>
    <row r="10" spans="1:10" ht="30" customHeight="1">
      <c r="A10" s="9"/>
      <c r="B10" s="48" t="s">
        <v>183</v>
      </c>
      <c r="C10" s="49"/>
      <c r="D10" s="49"/>
      <c r="E10" s="32">
        <v>3</v>
      </c>
      <c r="F10" s="25">
        <v>2</v>
      </c>
      <c r="G10" s="33">
        <f t="shared" ref="G10:G21" si="0">IFERROR(F10/E10,"")</f>
        <v>0.66666666666666663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63"/>
      <c r="J10" s="64"/>
    </row>
    <row r="11" spans="1:10" ht="30" customHeight="1">
      <c r="A11" s="9"/>
      <c r="B11" s="48" t="s">
        <v>184</v>
      </c>
      <c r="C11" s="49"/>
      <c r="D11" s="49"/>
      <c r="E11" s="32">
        <v>3</v>
      </c>
      <c r="F11" s="25">
        <v>2</v>
      </c>
      <c r="G11" s="33">
        <f t="shared" si="0"/>
        <v>0.66666666666666663</v>
      </c>
      <c r="H11" s="34" t="str">
        <f t="shared" si="1"/>
        <v>مقبول</v>
      </c>
      <c r="I11" s="63"/>
      <c r="J11" s="64"/>
    </row>
    <row r="12" spans="1:10" ht="30" customHeight="1">
      <c r="A12" s="9"/>
      <c r="B12" s="48" t="s">
        <v>185</v>
      </c>
      <c r="C12" s="49"/>
      <c r="D12" s="49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63"/>
      <c r="J12" s="64"/>
    </row>
    <row r="13" spans="1:10" ht="30" customHeight="1">
      <c r="A13" s="9"/>
      <c r="B13" s="48" t="s">
        <v>186</v>
      </c>
      <c r="C13" s="49"/>
      <c r="D13" s="49"/>
      <c r="E13" s="32">
        <v>3</v>
      </c>
      <c r="F13" s="25">
        <v>2</v>
      </c>
      <c r="G13" s="33">
        <f t="shared" si="0"/>
        <v>0.66666666666666663</v>
      </c>
      <c r="H13" s="34" t="str">
        <f t="shared" si="1"/>
        <v>مقبول</v>
      </c>
      <c r="I13" s="63"/>
      <c r="J13" s="64"/>
    </row>
    <row r="14" spans="1:10" ht="30" customHeight="1" thickBot="1">
      <c r="A14" s="9"/>
      <c r="B14" s="67" t="s">
        <v>187</v>
      </c>
      <c r="C14" s="68"/>
      <c r="D14" s="68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7"/>
      <c r="J14" s="58"/>
    </row>
    <row r="15" spans="1:10" ht="30" customHeight="1">
      <c r="A15" s="9"/>
      <c r="B15" s="65" t="s">
        <v>179</v>
      </c>
      <c r="C15" s="66"/>
      <c r="D15" s="66"/>
      <c r="E15" s="35"/>
      <c r="F15" s="36"/>
      <c r="G15" s="37"/>
      <c r="H15" s="38"/>
      <c r="I15" s="86"/>
      <c r="J15" s="87"/>
    </row>
    <row r="16" spans="1:10" ht="30" customHeight="1">
      <c r="A16" s="9"/>
      <c r="B16" s="48" t="s">
        <v>188</v>
      </c>
      <c r="C16" s="49"/>
      <c r="D16" s="49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63"/>
      <c r="J16" s="64"/>
    </row>
    <row r="17" spans="1:10" ht="30" customHeight="1">
      <c r="A17" s="9"/>
      <c r="B17" s="48" t="s">
        <v>180</v>
      </c>
      <c r="C17" s="49"/>
      <c r="D17" s="49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63"/>
      <c r="J17" s="64"/>
    </row>
    <row r="18" spans="1:10" ht="30" customHeight="1">
      <c r="A18" s="9"/>
      <c r="B18" s="48" t="s">
        <v>181</v>
      </c>
      <c r="C18" s="49"/>
      <c r="D18" s="49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63"/>
      <c r="J18" s="64"/>
    </row>
    <row r="19" spans="1:10" ht="30" customHeight="1">
      <c r="A19" s="9"/>
      <c r="B19" s="48" t="s">
        <v>189</v>
      </c>
      <c r="C19" s="49"/>
      <c r="D19" s="49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63"/>
      <c r="J19" s="64"/>
    </row>
    <row r="20" spans="1:10" ht="30" customHeight="1">
      <c r="A20" s="9"/>
      <c r="B20" s="48" t="s">
        <v>190</v>
      </c>
      <c r="C20" s="49"/>
      <c r="D20" s="49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63"/>
      <c r="J20" s="64"/>
    </row>
    <row r="21" spans="1:10" ht="30" customHeight="1" thickBot="1">
      <c r="A21" s="9"/>
      <c r="B21" s="67" t="s">
        <v>191</v>
      </c>
      <c r="C21" s="68"/>
      <c r="D21" s="68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7"/>
      <c r="J21" s="58"/>
    </row>
    <row r="22" spans="1:10" ht="30" customHeight="1" thickBot="1">
      <c r="A22" s="4"/>
      <c r="B22" s="88" t="s">
        <v>5</v>
      </c>
      <c r="C22" s="89"/>
      <c r="D22" s="89"/>
      <c r="E22" s="31">
        <f>SUM(E8:E21)</f>
        <v>36</v>
      </c>
      <c r="F22" s="31">
        <f>SUM(F8:F21)</f>
        <v>25.5</v>
      </c>
      <c r="G22" s="52"/>
      <c r="H22" s="53"/>
      <c r="I22" s="53"/>
      <c r="J22" s="54"/>
    </row>
    <row r="23" spans="1:10" ht="30" customHeight="1" thickBot="1">
      <c r="A23" s="4"/>
      <c r="B23" s="90" t="s">
        <v>54</v>
      </c>
      <c r="C23" s="91"/>
      <c r="D23" s="91"/>
      <c r="E23" s="55">
        <f>F22/E22/100*100</f>
        <v>0.70833333333333337</v>
      </c>
      <c r="F23" s="55"/>
      <c r="G23" s="55"/>
      <c r="H23" s="55"/>
      <c r="I23" s="55"/>
      <c r="J23" s="56"/>
    </row>
    <row r="24" spans="1:10" ht="30" customHeight="1" thickBot="1">
      <c r="A24" s="4"/>
      <c r="B24" s="90" t="s">
        <v>55</v>
      </c>
      <c r="C24" s="91"/>
      <c r="D24" s="91"/>
      <c r="E24" s="46" t="str">
        <f>_xlfn.IFS(E23&gt;=90%,"ممتاز",E23&gt;=80%,"جيد جداً",E23&gt;=70%,"جيد",E23&gt;=60%,"مقبول",E23&lt;60%,"راسب")</f>
        <v>جيد</v>
      </c>
      <c r="F24" s="46"/>
      <c r="G24" s="46"/>
      <c r="H24" s="46"/>
      <c r="I24" s="46"/>
      <c r="J24" s="47"/>
    </row>
    <row r="25" spans="1:10" ht="42" customHeight="1">
      <c r="B25" s="42" t="s">
        <v>192</v>
      </c>
      <c r="C25" s="42"/>
      <c r="D25" s="42"/>
      <c r="E25" s="50" t="s">
        <v>52</v>
      </c>
      <c r="F25" s="50"/>
      <c r="G25" s="44" t="s">
        <v>134</v>
      </c>
      <c r="H25" s="44"/>
      <c r="I25" s="44"/>
      <c r="J25" s="44"/>
    </row>
    <row r="26" spans="1:10" ht="51" customHeight="1">
      <c r="A26" s="5"/>
      <c r="B26" s="43"/>
      <c r="C26" s="43"/>
      <c r="D26" s="43"/>
      <c r="E26" s="51" t="s">
        <v>53</v>
      </c>
      <c r="F26" s="51"/>
      <c r="G26" s="45"/>
      <c r="H26" s="45"/>
      <c r="I26" s="45"/>
      <c r="J26" s="45"/>
    </row>
    <row r="27" spans="1:10">
      <c r="A27" s="27">
        <v>3</v>
      </c>
      <c r="B27" s="80" t="s">
        <v>175</v>
      </c>
      <c r="C27" s="81"/>
    </row>
    <row r="28" spans="1:10">
      <c r="A28" s="28">
        <v>2</v>
      </c>
      <c r="B28" s="82" t="s">
        <v>176</v>
      </c>
      <c r="C28" s="83"/>
    </row>
    <row r="29" spans="1:10">
      <c r="A29" s="29">
        <v>1</v>
      </c>
      <c r="B29" s="84" t="s">
        <v>177</v>
      </c>
      <c r="C29" s="8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2025-10-09T09:43:26Z</dcterms:modified>
</cp:coreProperties>
</file>