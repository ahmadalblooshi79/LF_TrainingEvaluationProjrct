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181A12CE-AC39-464D-835C-3961389FF371}"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<sst xmlns="http://schemas.openxmlformats.org/spreadsheetml/2006/main" count="258" uniqueCount="202">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</sst>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2" Type="http://schemas.openxmlformats.org/officeDocument/2006/relationships/image" Target="../media/image1.png" /><Relationship Id="rId1" Type="http://schemas.openxmlformats.org/officeDocument/2006/relationships/customXml" Target="../ink/ink1.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7</xdr:col>
      <xdr:colOff>249190</xdr:colOff>
      <xdr:row>35</xdr:row>
      <xdr:rowOff>489537</xdr:rowOff>
    </xdr:from>
    <xdr:to>
      <xdr:col>8</xdr:col>
      <xdr:colOff>339967</xdr:colOff>
      <xdr:row>36</xdr:row>
      <xdr:rowOff>400377</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658EF579-6424-F131-8351-6866DE2F44BB}"/>
                </a:ext>
              </a:extLst>
            </xdr14:cNvPr>
            <xdr14:cNvContentPartPr/>
          </xdr14:nvContentPartPr>
          <xdr14:nvPr macro=""/>
          <xdr14:xfrm>
            <a:off x="10423362833" y="18212760"/>
            <a:ext cx="745200" cy="444240"/>
          </xdr14:xfrm>
        </xdr:contentPart>
      </mc:Choice>
      <mc:Fallback>
        <xdr:pic>
          <xdr:nvPicPr>
            <xdr:cNvPr id="2" name="Ink 1">
              <a:extLst>
                <a:ext uri="{FF2B5EF4-FFF2-40B4-BE49-F238E27FC236}">
                  <a16:creationId xmlns:a16="http://schemas.microsoft.com/office/drawing/2014/main" id="{658EF579-6424-F131-8351-6866DE2F44BB}"/>
                </a:ext>
              </a:extLst>
            </xdr:cNvPr>
            <xdr:cNvPicPr/>
          </xdr:nvPicPr>
          <xdr:blipFill>
            <a:blip xmlns:r="http://schemas.openxmlformats.org/officeDocument/2006/relationships" r:embed="rId2"/>
            <a:stretch>
              <a:fillRect/>
            </a:stretch>
          </xdr:blipFill>
          <xdr:spPr>
            <a:xfrm>
              <a:off x="10423353833" y="18203760"/>
              <a:ext cx="762840" cy="461880"/>
            </a:xfrm>
            <a:prstGeom prst="rect">
              <a:avLst/>
            </a:prstGeom>
          </xdr:spPr>
        </xdr:pic>
      </mc:Fallback>
    </mc:AlternateContent>
    <xdr:clientData/>
  </xdr:twoCellAnchor>
  <xdr:twoCellAnchor editAs="oneCell">
    <xdr:from>
      <xdr:col>7</xdr:col>
      <xdr:colOff>646990</xdr:colOff>
      <xdr:row>36</xdr:row>
      <xdr:rowOff>163137</xdr:rowOff>
    </xdr:from>
    <xdr:to>
      <xdr:col>9</xdr:col>
      <xdr:colOff>61383</xdr:colOff>
      <xdr:row>36</xdr:row>
      <xdr:rowOff>642657</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06B54115-AC87-D0B7-51B0-274B86B0A9C9}"/>
                </a:ext>
              </a:extLst>
            </xdr14:cNvPr>
            <xdr14:cNvContentPartPr/>
          </xdr14:nvContentPartPr>
          <xdr14:nvPr macro=""/>
          <xdr14:xfrm>
            <a:off x="10422986993" y="18419760"/>
            <a:ext cx="723240" cy="479520"/>
          </xdr14:xfrm>
        </xdr:contentPart>
      </mc:Choice>
      <mc:Fallback>
        <xdr:pic>
          <xdr:nvPicPr>
            <xdr:cNvPr id="3" name="Ink 2">
              <a:extLst>
                <a:ext uri="{FF2B5EF4-FFF2-40B4-BE49-F238E27FC236}">
                  <a16:creationId xmlns:a16="http://schemas.microsoft.com/office/drawing/2014/main" id="{06B54115-AC87-D0B7-51B0-274B86B0A9C9}"/>
                </a:ext>
              </a:extLst>
            </xdr:cNvPr>
            <xdr:cNvPicPr/>
          </xdr:nvPicPr>
          <xdr:blipFill>
            <a:blip xmlns:r="http://schemas.openxmlformats.org/officeDocument/2006/relationships" r:embed="rId4"/>
            <a:stretch>
              <a:fillRect/>
            </a:stretch>
          </xdr:blipFill>
          <xdr:spPr>
            <a:xfrm>
              <a:off x="10422977993" y="18411120"/>
              <a:ext cx="740880" cy="4971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6:46:12.916"/>
    </inkml:context>
    <inkml:brush xml:id="br0">
      <inkml:brushProperty name="width" value="0.05" units="cm"/>
      <inkml:brushProperty name="height" value="0.05" units="cm"/>
    </inkml:brush>
  </inkml:definitions>
  <inkml:trace contextRef="#ctx0" brushRef="#br0">1897 984 3592,'0'0'0,"0"0"0,-1 0 1449,-1 0 183,-1-1-848,1 1-496,1 0-216,0 0-64,1 0-8,-2 0-16,1 0-32,1 0-24,0 0-32,0 0 8,-1 0-8,1 0 104,0 0-80,0 0 16,-1 0 8,0 3 8,-1-3 16,1 3 0,1-3 32,-2 3-24,-1-3 24,0 2-16,-1 0 0,-1 1 8,-4-1-16,9-2 24,-4 4-24,-7-2 32,7 1 24,-8-1 16,7 0 40,-8 1-16,13-3-72,-10 2 120,-1-2-64,-1 0 24,1 3 16,-2-3-40,1 2 72,12-2-128,-10 0 144,-1 0 24,-1 0 0,1-1 48,-1 0 16,0-2-40,12 3-192,-9-3 304,-1-2-95,5-5-57,-8 7-24,3-8-128,5 7 48,5 4-48,-10-13-64,5 8-16,-6-8-64,8 2-81,-8-1 1,10 0 0,1 12 224,-4-12-248,-1 0-32,2 0 32,-1-1-24,2-1 64,0 1 80,2 13 128,0-12-184,0-2-40,0 4-72,3-2-72,0 1 56,7 1 16,-10 10 296,4-11-312,8 2 24,-9 4 8,13-7 55,-6 9 105,4-7 88,-14 10 32,12-4 16,1 1 16,0-1 24,2 1-24,3 0 97,-2 2 71,-16 1-200,17 0 232,2 0 80,-1 2 16,4 2 8,0 0-32,0 6-96,-22-10-208,22 4 120,-1 7-96,0-8-8,-2 12-8,1-12 0,-1 13-16,-19-16 8,18 9 24,-1 2-24,-1-1-8,-2 1-32,-1-2-32,-1 2 56,-12-11 16,4 10-8,7-7 32,-9 12 96,0-12 16,1 8 120,-3-7 72,0-4-328,0 9 400,-1-7 48,-3 2-16,-1 7 161,-4-8-41,-1 9-104,10-12-448,-9 4 432,-5 10-240,-3-4 16,3 0 8,-5 0-144,-2 2 24,21-12-96,-20 12 32,-5 0-8,1-1 104,0-1-8,-1-1-40,-2 2-16,27-11-64,-26 10 56,0-7-136,-3 12 56,1-12-56,0 9-160,-4-8-24,32-4 264,-31 9-368,-1-6 48,-2-1 24,1 1 88,2-3 24,-2 0 8,33 0 176,-32-4-72,0-6-16,-2 7 16,1-8 24,-2 6 16,1-9 24,34 14 8,-33-12 56,-1 0 24,1 0 8,-2-1-8,1-2 0,1 2 0,33 13-80,-34-17 88,2 4-32,-2-1 40,2-1 8,-2 3 0,0 2 40,34 10-144,-35-12 128,0 1-32,1-1 48,3-1-8,0 1-48,1 0 32,30 12-120,-30-11 32,1 1-16,1 1 24,0 4-32,2-7-16,-1 7 24,27 5-16,-26-11-24,0 8-24,2-8 8,1 7 16,0-5-8,3 4 8,20 5 24,-19-13-112,-1 9-48,4-8-48,0 9 16,3-7 8,2 7 40,11 3 144,-9-12-184,5 7-24,-6-7-48,9 1-113,-1 0-119,1-1-144,1 12 632,-2-12-784,2-1-88,0-1 16,4-2 24,9-3 95,-2-3 169,-11 22 568,13-22-424,3-2 168,2 1 112,2-1 72,3 2 16,1 1 16,-24 21 40,26-21-16,3 0 0,1 0 0,1 0 8,3-1 0,0 2 8,-34 20 0,38-22 8,1 1 0,2-1 0,1-1 8,1 4 16,4 1 0,-47 18-32,46-18 56,1 3-8,0 0-8,0-1-8,-1 0 8,1 4-24,-47 12-16,47-12 16,-2 2-32,2 6 8,-1-8 16,-2 8 0,0-1 16,-44 5-24,41-5 32,-1 2 0,-1 2 8,-2-1 8,1 2 24,-3 0 0,-35 0-72,35 3 72,-3 0-16,0 7 0,-5 0-8,-1-7 8,-3 13-8,-23-16-48,23 11 56,-2-2 0,-1 2-16,-2 2 8,-1-2-16,-17-11-32,15 12 32,1-1 0,-4-2-8,-1 1 32,-2 1 32,-5 1 64,-4-12-152,11 9 192,-11 4 48,2-1 33,-2 3 15,0-1 24,-1 2-8,1-16-304,-4 17 312,-9-1-8,0 6-8,-4 2-24,-3 0-64,-4 1-40,24-25-168,-28 25 120,-3 0-16,-3 3 16,-3 1 24,-2-1 48,-7 2 32,46-30-224,-48 29 224,-3 0-16,-1-2-24,-1 0-48,-2-2-16,-1 0 8,56-25-128,-57 25 160,-2 0-31,0 2-1,-1-2-40,0 1-56,0 0 56,60-26-88,-62 25 40,0 0 24,-1-1 0,2 1-24,2-1 16,2 0-16,57-24-40,-54 23 48,2-2-16,3 0 24,2-3-24,3 0-8,5-3 16,39-15-40,-37 15-8,4-2-232,2-1-368,2-1-497,4-1-543,0 1-152,25-11 1800,-25 11-1377,2 0 473,0-2 456,2-5 320,0 7-1680,21-11 1808</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6:46:13.940"/>
    </inkml:context>
    <inkml:brush xml:id="br0">
      <inkml:brushProperty name="width" value="0.05" units="cm"/>
      <inkml:brushProperty name="height" value="0.05" units="cm"/>
    </inkml:brush>
  </inkml:definitions>
  <inkml:trace contextRef="#ctx0" brushRef="#br0">2008 4 10186,'0'0'0,"-22"-1"4505,-2 0-3761,-4 0-576,0 1-112,28 0-56,-26 0 64,-1 12-72,0-3-32,-2 3 96,1 3-56,2-1 16,26-14-16,-27 16 32,0 0-112,1 4 48,-1 0 8,-3 2-32,2 0 0,28-22 56,-30 23-48,0 1-40,0-2-24,1 0-56,3 0-32,0-4-216,26-18 416,-22 18-697,-2-3-375,2 1-408,2-2-408,1 1-273,2-2 201,17-13 1960,-17 11-1537,3 1 585,-1-9 488,2 9 272,1-8 120,0-2 40,12-2 32,-9 3-48,-1-1-1720,10-2 1768</inkml:trace>
  <inkml:trace contextRef="#ctx0" brushRef="#br0" timeOffset="1">1069 409 1984,'0'0'0,"-10"0"96,0 0 0,-3 0 8,13 0-104,-11 3 152,0-3 40,1 2 32,-1 1 64,0-1 8,0 2-8,11-4-288,-10 2 240,6 2-96,-8-2-64,8 0-64,-7 2-24,8-2-16,3-2 24,-11 0-40,9 3-64,-2-3-96,-1 2-168,1-2-80,-1 0 40,5 0 408,-5 0-312,-5 3 152,7-1 96,-7 0 32,5 1 16,-8-1-8,13-2 24,-11 4-8,-2-1 8,-1 9 0,-2-9 8,-1 6-16,-1-5 16,18-4-8,-18 11 0,-2-8 8,-2 10-8,1-10 8,-2 8 0,0-8 0,23-3-8,-24 12 16,2-8-8,-2 8 16,-2-10 0,3 8 16,0-8 8,23-2-48,-23 3 72,1 0 32,1 1 8,-1-4 24,2 2 24,0-2 16,20 0-176,-22 0 200,2 0 32,-2-1-32,2 0-40,2-3-32,0 1-48,18 3-80,-17-4 56,-1-1 16,2 0-16,1-4 8,-1 6-8,2-1 8,14 4-64,-16-10 64,2 8 8,0-8 16,0 6 32,2 0 33,-1 0 39,13 4-192,-10-10 200,0 7 0,0-2-8,5 0-40,-6-4-16,8 7-80,3 2-56,-5-4 24,2-1-48,-1-6-64,3 9-48,0-3-64,-1 1-56,2 4 256,0-3-280,0-7 24,0 8-17,0-2 1,3-1 16,-1 2 16,-2 3 240,3-10-192,0 7 8,8-2 16,-9 0 16,10 1-8,-9 1 56,-3 3 104,12-4-96,-9 2 16,8 1 8,-8-1 8,8 2 16,-7 0 0,-4 0 48,12 0-16,-8 0 0,6 4 8,-7 0 16,7 8-8,-8-9 40,-2-3-40,3 16 24,7-5 24,-10 2 8,2 2 16,1 2 32,-1 3-8,-2-20-96,0 23 120,0 0-24,0 3-8,-2 2 8,-1 1-48,0 4 24,3-33-72,-11 34 56,8 1-8,-7 1 16,6-2 0,1 2 40,-8 0-8,11-36-96,-4 36 104,0 0 8,-6 0 0,7 0 16,2-1 0,0-3 48,1-32-176,-1 31 160,1-1 25,2-2 31,8-2-40,-1-1 0,2-3 0,-11-22-176,13 19 144,4-1 32,2-2 40,5-4 32,3-2 112,2-6 64,-29-4-424,33 4 448,4-1-16,2-3-64,4 0-64,0-3-72,2-8-16,-45 11-216,49-10 152,2-2-15,3-2-33,1-3-112,0-1-209,1-1-327,-56 19 544,59-20-1056,1-3-360,1-1-32,3-1 199,-1-2 457,2 0 352,-65 27 440,67-31-216,0-3 144,3-3-1768,-70 37 1840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27" zoomScale="130" zoomScaleNormal="100" zoomScaleSheetLayoutView="130" workbookViewId="0">
      <selection activeCell="G37" sqref="G37:J37"/>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60" t="s">
        <v>201</v>
      </c>
      <c r="C1" s="60"/>
      <c r="D1" s="60"/>
      <c r="E1" s="60"/>
      <c r="F1" s="60"/>
      <c r="G1" s="60"/>
      <c r="H1" s="60"/>
      <c r="I1" s="60"/>
      <c r="J1" s="60"/>
    </row>
    <row r="2" spans="1:10" ht="30" customHeight="1" x14ac:dyDescent="0.2">
      <c r="B2" s="13" t="s">
        <v>8</v>
      </c>
      <c r="C2" s="66" t="s">
        <v>40</v>
      </c>
      <c r="D2" s="66"/>
      <c r="E2" s="13" t="s">
        <v>7</v>
      </c>
      <c r="F2" s="61">
        <v>45956</v>
      </c>
      <c r="G2" s="61"/>
      <c r="H2" s="61"/>
      <c r="I2" s="61"/>
      <c r="J2" s="61"/>
    </row>
    <row r="3" spans="1:10" ht="30" customHeight="1" x14ac:dyDescent="0.2">
      <c r="B3" s="13" t="s">
        <v>9</v>
      </c>
      <c r="C3" s="66" t="s">
        <v>81</v>
      </c>
      <c r="D3" s="66"/>
      <c r="E3" s="13" t="s">
        <v>6</v>
      </c>
      <c r="F3" s="66" t="s">
        <v>92</v>
      </c>
      <c r="G3" s="66"/>
      <c r="H3" s="66"/>
      <c r="I3" s="66"/>
      <c r="J3" s="66"/>
    </row>
    <row r="4" spans="1:10" ht="30" customHeight="1" thickBot="1" x14ac:dyDescent="0.25">
      <c r="B4" s="6"/>
      <c r="C4" s="7"/>
      <c r="D4" s="7"/>
      <c r="E4" s="6"/>
      <c r="F4" s="7"/>
      <c r="G4" s="7"/>
      <c r="H4" s="8"/>
      <c r="I4" s="7"/>
      <c r="J4" s="7"/>
    </row>
    <row r="5" spans="1:10" ht="24.95" customHeight="1" x14ac:dyDescent="0.2">
      <c r="A5" s="11"/>
      <c r="B5" s="62" t="s">
        <v>0</v>
      </c>
      <c r="C5" s="63"/>
      <c r="D5" s="63"/>
      <c r="E5" s="71" t="s">
        <v>1</v>
      </c>
      <c r="F5" s="71"/>
      <c r="G5" s="71"/>
      <c r="H5" s="71"/>
      <c r="I5" s="71" t="s">
        <v>2</v>
      </c>
      <c r="J5" s="72"/>
    </row>
    <row r="6" spans="1:10" ht="24.95" customHeight="1" thickBot="1" x14ac:dyDescent="0.25">
      <c r="A6" s="11"/>
      <c r="B6" s="64"/>
      <c r="C6" s="65"/>
      <c r="D6" s="65"/>
      <c r="E6" s="12" t="s">
        <v>3</v>
      </c>
      <c r="F6" s="12" t="s">
        <v>4</v>
      </c>
      <c r="G6" s="12" t="s">
        <v>23</v>
      </c>
      <c r="H6" s="12" t="s">
        <v>24</v>
      </c>
      <c r="I6" s="73"/>
      <c r="J6" s="74"/>
    </row>
    <row r="7" spans="1:10" ht="24.95" customHeight="1" thickBot="1" x14ac:dyDescent="0.25">
      <c r="A7" s="11"/>
      <c r="B7" s="69" t="s">
        <v>21</v>
      </c>
      <c r="C7" s="70"/>
      <c r="D7" s="70"/>
      <c r="E7" s="30" t="s">
        <v>18</v>
      </c>
      <c r="F7" s="30" t="s">
        <v>19</v>
      </c>
      <c r="G7" s="30" t="s">
        <v>22</v>
      </c>
      <c r="H7" s="30" t="s">
        <v>20</v>
      </c>
      <c r="I7" s="50" t="s">
        <v>25</v>
      </c>
      <c r="J7" s="51"/>
    </row>
    <row r="8" spans="1:10" ht="39.950000000000003" customHeight="1" thickBot="1" x14ac:dyDescent="0.25">
      <c r="A8" s="11"/>
      <c r="B8" s="89" t="s">
        <v>200</v>
      </c>
      <c r="C8" s="90"/>
      <c r="D8" s="90"/>
      <c r="E8" s="10">
        <v>5</v>
      </c>
      <c r="F8" s="41">
        <v>4</v>
      </c>
      <c r="G8" s="42">
        <f>IFERROR(F8/E8,"")</f>
        <v>0.8</v>
      </c>
      <c r="H8" s="28" t="str">
        <f>_xlfn.IFS(F8="أدخل العلامة","",F8="لا ينطبق","تم الإلغاء",G8&gt;=90%,"ممتاز",G8&gt;=80%,"جيد جداً",G8&gt;=70%,"جيد",G8&gt;=60%,"مقبول",G8&lt;60%,"راسب")</f>
        <v>جيد جداً</v>
      </c>
      <c r="I8" s="48"/>
      <c r="J8" s="49"/>
    </row>
    <row r="9" spans="1:10" ht="39.950000000000003" customHeight="1" thickBot="1" x14ac:dyDescent="0.25">
      <c r="A9" s="11"/>
      <c r="B9" s="91" t="s">
        <v>195</v>
      </c>
      <c r="C9" s="92"/>
      <c r="D9" s="92"/>
      <c r="E9" s="10">
        <v>5</v>
      </c>
      <c r="F9" s="41">
        <v>3.75</v>
      </c>
      <c r="G9" s="42">
        <f>IFERROR(F9/E9,"")</f>
        <v>0.75</v>
      </c>
      <c r="H9" s="28" t="str">
        <f>_xlfn.IFS(F9="أدخل العلامة","",F9="لا ينطبق","تم الإلغاء",G9&gt;=90%,"ممتاز",G9&gt;=80%,"جيد جداً",G9&gt;=70%,"جيد",G9&gt;=60%,"مقبول",G9&lt;60%,"راسب")</f>
        <v>جيد</v>
      </c>
      <c r="I9" s="48"/>
      <c r="J9" s="49"/>
    </row>
    <row r="10" spans="1:10" ht="39.950000000000003" customHeight="1" thickBot="1" x14ac:dyDescent="0.25">
      <c r="A10" s="11"/>
      <c r="B10" s="91" t="s">
        <v>196</v>
      </c>
      <c r="C10" s="92"/>
      <c r="D10" s="92"/>
      <c r="E10" s="10">
        <v>5</v>
      </c>
      <c r="F10" s="41">
        <v>3.5</v>
      </c>
      <c r="G10" s="42">
        <f t="shared" ref="G10:G32" si="0">IFERROR(F10/E10,"")</f>
        <v>0.7</v>
      </c>
      <c r="H10" s="28" t="str">
        <f t="shared" ref="H10:H32" si="1">_xlfn.IFS(F10="أدخل العلامة","",F10="لا ينطبق","تم الإلغاء",G10&gt;=90%,"ممتاز",G10&gt;=80%,"جيد جداً",G10&gt;=70%,"جيد",G10&gt;=60%,"مقبول",G10&lt;60%,"راسب")</f>
        <v>جيد</v>
      </c>
      <c r="I10" s="48"/>
      <c r="J10" s="49"/>
    </row>
    <row r="11" spans="1:10" ht="39.950000000000003" customHeight="1" x14ac:dyDescent="0.2">
      <c r="A11" s="11"/>
      <c r="B11" s="93" t="s">
        <v>197</v>
      </c>
      <c r="C11" s="94"/>
      <c r="D11" s="94"/>
      <c r="E11" s="40"/>
      <c r="F11" s="34"/>
      <c r="G11" s="35"/>
      <c r="H11" s="36"/>
      <c r="I11" s="79"/>
      <c r="J11" s="80"/>
    </row>
    <row r="12" spans="1:10" ht="39.950000000000003" customHeight="1" x14ac:dyDescent="0.2">
      <c r="A12" s="11"/>
      <c r="B12" s="83" t="s">
        <v>176</v>
      </c>
      <c r="C12" s="84"/>
      <c r="D12" s="84"/>
      <c r="E12" s="9">
        <v>5</v>
      </c>
      <c r="F12" s="27">
        <v>4</v>
      </c>
      <c r="G12" s="32">
        <f t="shared" si="0"/>
        <v>0.8</v>
      </c>
      <c r="H12" s="33" t="str">
        <f t="shared" si="1"/>
        <v>جيد جداً</v>
      </c>
      <c r="I12" s="52"/>
      <c r="J12" s="53"/>
    </row>
    <row r="13" spans="1:10" ht="54.95" customHeight="1" x14ac:dyDescent="0.2">
      <c r="A13" s="11"/>
      <c r="B13" s="83" t="s">
        <v>177</v>
      </c>
      <c r="C13" s="84"/>
      <c r="D13" s="84"/>
      <c r="E13" s="9">
        <v>5</v>
      </c>
      <c r="F13" s="27">
        <v>3.5</v>
      </c>
      <c r="G13" s="32">
        <f t="shared" si="0"/>
        <v>0.7</v>
      </c>
      <c r="H13" s="33" t="str">
        <f t="shared" si="1"/>
        <v>جيد</v>
      </c>
      <c r="I13" s="52"/>
      <c r="J13" s="53"/>
    </row>
    <row r="14" spans="1:10" ht="71.25" customHeight="1" x14ac:dyDescent="0.2">
      <c r="A14" s="11"/>
      <c r="B14" s="83" t="s">
        <v>178</v>
      </c>
      <c r="C14" s="84"/>
      <c r="D14" s="84"/>
      <c r="E14" s="9">
        <v>5</v>
      </c>
      <c r="F14" s="27">
        <v>3.5</v>
      </c>
      <c r="G14" s="32">
        <f t="shared" si="0"/>
        <v>0.7</v>
      </c>
      <c r="H14" s="33" t="str">
        <f t="shared" si="1"/>
        <v>جيد</v>
      </c>
      <c r="I14" s="52"/>
      <c r="J14" s="53"/>
    </row>
    <row r="15" spans="1:10" ht="39.950000000000003" customHeight="1" x14ac:dyDescent="0.2">
      <c r="A15" s="11"/>
      <c r="B15" s="83" t="s">
        <v>179</v>
      </c>
      <c r="C15" s="84"/>
      <c r="D15" s="84"/>
      <c r="E15" s="9">
        <v>5</v>
      </c>
      <c r="F15" s="27">
        <v>3.75</v>
      </c>
      <c r="G15" s="32">
        <f t="shared" si="0"/>
        <v>0.75</v>
      </c>
      <c r="H15" s="33" t="str">
        <f t="shared" si="1"/>
        <v>جيد</v>
      </c>
      <c r="I15" s="52"/>
      <c r="J15" s="53"/>
    </row>
    <row r="16" spans="1:10" ht="68.25" customHeight="1" x14ac:dyDescent="0.2">
      <c r="A16" s="11"/>
      <c r="B16" s="83" t="s">
        <v>180</v>
      </c>
      <c r="C16" s="84"/>
      <c r="D16" s="84"/>
      <c r="E16" s="9">
        <v>5</v>
      </c>
      <c r="F16" s="27">
        <v>4</v>
      </c>
      <c r="G16" s="32">
        <f t="shared" si="0"/>
        <v>0.8</v>
      </c>
      <c r="H16" s="33" t="str">
        <f t="shared" si="1"/>
        <v>جيد جداً</v>
      </c>
      <c r="I16" s="52"/>
      <c r="J16" s="53"/>
    </row>
    <row r="17" spans="1:10" ht="65.099999999999994" customHeight="1" thickBot="1" x14ac:dyDescent="0.25">
      <c r="A17" s="11"/>
      <c r="B17" s="85" t="s">
        <v>181</v>
      </c>
      <c r="C17" s="86"/>
      <c r="D17" s="86"/>
      <c r="E17" s="37">
        <v>5</v>
      </c>
      <c r="F17" s="29">
        <v>3.5</v>
      </c>
      <c r="G17" s="38">
        <f t="shared" si="0"/>
        <v>0.7</v>
      </c>
      <c r="H17" s="39" t="str">
        <f t="shared" si="1"/>
        <v>جيد</v>
      </c>
      <c r="I17" s="81"/>
      <c r="J17" s="82"/>
    </row>
    <row r="18" spans="1:10" ht="39.950000000000003" customHeight="1" x14ac:dyDescent="0.2">
      <c r="A18" s="11"/>
      <c r="B18" s="87" t="s">
        <v>198</v>
      </c>
      <c r="C18" s="88"/>
      <c r="D18" s="88"/>
      <c r="E18" s="40"/>
      <c r="F18" s="34"/>
      <c r="G18" s="35"/>
      <c r="H18" s="36"/>
      <c r="I18" s="79"/>
      <c r="J18" s="80"/>
    </row>
    <row r="19" spans="1:10" ht="39.950000000000003" customHeight="1" x14ac:dyDescent="0.2">
      <c r="A19" s="11"/>
      <c r="B19" s="83" t="s">
        <v>182</v>
      </c>
      <c r="C19" s="84"/>
      <c r="D19" s="84"/>
      <c r="E19" s="9">
        <v>5</v>
      </c>
      <c r="F19" s="27">
        <v>3.5</v>
      </c>
      <c r="G19" s="32">
        <f t="shared" si="0"/>
        <v>0.7</v>
      </c>
      <c r="H19" s="33" t="str">
        <f t="shared" si="1"/>
        <v>جيد</v>
      </c>
      <c r="I19" s="52"/>
      <c r="J19" s="53"/>
    </row>
    <row r="20" spans="1:10" ht="39.950000000000003" customHeight="1" x14ac:dyDescent="0.2">
      <c r="A20" s="11"/>
      <c r="B20" s="83" t="s">
        <v>183</v>
      </c>
      <c r="C20" s="84"/>
      <c r="D20" s="84"/>
      <c r="E20" s="9">
        <v>5</v>
      </c>
      <c r="F20" s="27">
        <v>4</v>
      </c>
      <c r="G20" s="32">
        <f t="shared" si="0"/>
        <v>0.8</v>
      </c>
      <c r="H20" s="33" t="str">
        <f t="shared" si="1"/>
        <v>جيد جداً</v>
      </c>
      <c r="I20" s="52"/>
      <c r="J20" s="53"/>
    </row>
    <row r="21" spans="1:10" ht="39.950000000000003" customHeight="1" x14ac:dyDescent="0.2">
      <c r="A21" s="11"/>
      <c r="B21" s="83" t="s">
        <v>184</v>
      </c>
      <c r="C21" s="84"/>
      <c r="D21" s="84"/>
      <c r="E21" s="9">
        <v>5</v>
      </c>
      <c r="F21" s="27">
        <v>3.5</v>
      </c>
      <c r="G21" s="32">
        <f t="shared" si="0"/>
        <v>0.7</v>
      </c>
      <c r="H21" s="33" t="str">
        <f t="shared" si="1"/>
        <v>جيد</v>
      </c>
      <c r="I21" s="52"/>
      <c r="J21" s="53"/>
    </row>
    <row r="22" spans="1:10" ht="39.950000000000003" customHeight="1" x14ac:dyDescent="0.2">
      <c r="A22" s="11"/>
      <c r="B22" s="83" t="s">
        <v>185</v>
      </c>
      <c r="C22" s="84"/>
      <c r="D22" s="84"/>
      <c r="E22" s="9">
        <v>5</v>
      </c>
      <c r="F22" s="27">
        <v>3.75</v>
      </c>
      <c r="G22" s="32">
        <f t="shared" si="0"/>
        <v>0.75</v>
      </c>
      <c r="H22" s="33" t="str">
        <f t="shared" si="1"/>
        <v>جيد</v>
      </c>
      <c r="I22" s="52"/>
      <c r="J22" s="53"/>
    </row>
    <row r="23" spans="1:10" ht="39.950000000000003" customHeight="1" x14ac:dyDescent="0.2">
      <c r="A23" s="11"/>
      <c r="B23" s="83" t="s">
        <v>186</v>
      </c>
      <c r="C23" s="84"/>
      <c r="D23" s="84"/>
      <c r="E23" s="9">
        <v>5</v>
      </c>
      <c r="F23" s="27">
        <v>4</v>
      </c>
      <c r="G23" s="32">
        <f t="shared" si="0"/>
        <v>0.8</v>
      </c>
      <c r="H23" s="33" t="str">
        <f t="shared" si="1"/>
        <v>جيد جداً</v>
      </c>
      <c r="I23" s="52"/>
      <c r="J23" s="53"/>
    </row>
    <row r="24" spans="1:10" ht="39.950000000000003" customHeight="1" x14ac:dyDescent="0.2">
      <c r="A24" s="11"/>
      <c r="B24" s="83" t="s">
        <v>187</v>
      </c>
      <c r="C24" s="84"/>
      <c r="D24" s="84"/>
      <c r="E24" s="9">
        <v>5</v>
      </c>
      <c r="F24" s="27">
        <v>3.5</v>
      </c>
      <c r="G24" s="32">
        <f t="shared" si="0"/>
        <v>0.7</v>
      </c>
      <c r="H24" s="33" t="str">
        <f t="shared" si="1"/>
        <v>جيد</v>
      </c>
      <c r="I24" s="52"/>
      <c r="J24" s="53"/>
    </row>
    <row r="25" spans="1:10" ht="39.950000000000003" customHeight="1" x14ac:dyDescent="0.2">
      <c r="A25" s="11"/>
      <c r="B25" s="83" t="s">
        <v>188</v>
      </c>
      <c r="C25" s="84"/>
      <c r="D25" s="84"/>
      <c r="E25" s="9">
        <v>5</v>
      </c>
      <c r="F25" s="27">
        <v>4</v>
      </c>
      <c r="G25" s="32">
        <f t="shared" si="0"/>
        <v>0.8</v>
      </c>
      <c r="H25" s="33" t="str">
        <f t="shared" si="1"/>
        <v>جيد جداً</v>
      </c>
      <c r="I25" s="52"/>
      <c r="J25" s="53"/>
    </row>
    <row r="26" spans="1:10" ht="39.950000000000003" customHeight="1" thickBot="1" x14ac:dyDescent="0.25">
      <c r="A26" s="11"/>
      <c r="B26" s="85" t="s">
        <v>189</v>
      </c>
      <c r="C26" s="86"/>
      <c r="D26" s="86"/>
      <c r="E26" s="37">
        <v>5</v>
      </c>
      <c r="F26" s="29">
        <v>3.5</v>
      </c>
      <c r="G26" s="38">
        <f t="shared" si="0"/>
        <v>0.7</v>
      </c>
      <c r="H26" s="39" t="str">
        <f t="shared" si="1"/>
        <v>جيد</v>
      </c>
      <c r="I26" s="81"/>
      <c r="J26" s="82"/>
    </row>
    <row r="27" spans="1:10" ht="39.950000000000003" customHeight="1" x14ac:dyDescent="0.2">
      <c r="A27" s="11"/>
      <c r="B27" s="93" t="s">
        <v>199</v>
      </c>
      <c r="C27" s="94"/>
      <c r="D27" s="94"/>
      <c r="E27" s="40"/>
      <c r="F27" s="34"/>
      <c r="G27" s="35"/>
      <c r="H27" s="36"/>
      <c r="I27" s="79"/>
      <c r="J27" s="80"/>
    </row>
    <row r="28" spans="1:10" ht="39.950000000000003" customHeight="1" x14ac:dyDescent="0.2">
      <c r="A28" s="11"/>
      <c r="B28" s="83" t="s">
        <v>190</v>
      </c>
      <c r="C28" s="84"/>
      <c r="D28" s="84"/>
      <c r="E28" s="9">
        <v>5</v>
      </c>
      <c r="F28" s="27">
        <v>3.75</v>
      </c>
      <c r="G28" s="32">
        <f t="shared" si="0"/>
        <v>0.75</v>
      </c>
      <c r="H28" s="33" t="str">
        <f t="shared" si="1"/>
        <v>جيد</v>
      </c>
      <c r="I28" s="52"/>
      <c r="J28" s="53"/>
    </row>
    <row r="29" spans="1:10" ht="39.950000000000003" customHeight="1" x14ac:dyDescent="0.2">
      <c r="A29" s="11"/>
      <c r="B29" s="83" t="s">
        <v>191</v>
      </c>
      <c r="C29" s="84"/>
      <c r="D29" s="84"/>
      <c r="E29" s="9">
        <v>5</v>
      </c>
      <c r="F29" s="27">
        <v>3.5</v>
      </c>
      <c r="G29" s="32">
        <f t="shared" si="0"/>
        <v>0.7</v>
      </c>
      <c r="H29" s="33" t="str">
        <f t="shared" si="1"/>
        <v>جيد</v>
      </c>
      <c r="I29" s="52"/>
      <c r="J29" s="53"/>
    </row>
    <row r="30" spans="1:10" ht="39.950000000000003" customHeight="1" x14ac:dyDescent="0.2">
      <c r="A30" s="11"/>
      <c r="B30" s="83" t="s">
        <v>192</v>
      </c>
      <c r="C30" s="84"/>
      <c r="D30" s="84"/>
      <c r="E30" s="9">
        <v>5</v>
      </c>
      <c r="F30" s="27">
        <v>3.5</v>
      </c>
      <c r="G30" s="32">
        <f t="shared" si="0"/>
        <v>0.7</v>
      </c>
      <c r="H30" s="33" t="str">
        <f t="shared" si="1"/>
        <v>جيد</v>
      </c>
      <c r="I30" s="52"/>
      <c r="J30" s="53"/>
    </row>
    <row r="31" spans="1:10" ht="39.950000000000003" customHeight="1" x14ac:dyDescent="0.2">
      <c r="A31" s="11"/>
      <c r="B31" s="83" t="s">
        <v>193</v>
      </c>
      <c r="C31" s="84"/>
      <c r="D31" s="84"/>
      <c r="E31" s="9">
        <v>5</v>
      </c>
      <c r="F31" s="27">
        <v>3.75</v>
      </c>
      <c r="G31" s="32">
        <f t="shared" si="0"/>
        <v>0.75</v>
      </c>
      <c r="H31" s="33" t="str">
        <f t="shared" si="1"/>
        <v>جيد</v>
      </c>
      <c r="I31" s="52"/>
      <c r="J31" s="53"/>
    </row>
    <row r="32" spans="1:10" ht="39.950000000000003" customHeight="1" thickBot="1" x14ac:dyDescent="0.25">
      <c r="A32" s="11"/>
      <c r="B32" s="85" t="s">
        <v>194</v>
      </c>
      <c r="C32" s="86"/>
      <c r="D32" s="86"/>
      <c r="E32" s="37">
        <v>5</v>
      </c>
      <c r="F32" s="29">
        <v>3.5</v>
      </c>
      <c r="G32" s="38">
        <f t="shared" si="0"/>
        <v>0.7</v>
      </c>
      <c r="H32" s="39" t="str">
        <f t="shared" si="1"/>
        <v>جيد</v>
      </c>
      <c r="I32" s="81"/>
      <c r="J32" s="82"/>
    </row>
    <row r="33" spans="1:10" ht="30" customHeight="1" thickBot="1" x14ac:dyDescent="0.25">
      <c r="A33" s="4"/>
      <c r="B33" s="75" t="s">
        <v>5</v>
      </c>
      <c r="C33" s="76"/>
      <c r="D33" s="76"/>
      <c r="E33" s="31">
        <f>SUM(E8:E32)</f>
        <v>110</v>
      </c>
      <c r="F33" s="31">
        <f>SUM(F8:F32)</f>
        <v>81.25</v>
      </c>
      <c r="G33" s="45"/>
      <c r="H33" s="46"/>
      <c r="I33" s="46"/>
      <c r="J33" s="47"/>
    </row>
    <row r="34" spans="1:10" ht="30" customHeight="1" thickBot="1" x14ac:dyDescent="0.25">
      <c r="A34" s="4"/>
      <c r="B34" s="77" t="s">
        <v>54</v>
      </c>
      <c r="C34" s="78"/>
      <c r="D34" s="78"/>
      <c r="E34" s="67">
        <f>F33/E33/100*100</f>
        <v>0.73863636363636365</v>
      </c>
      <c r="F34" s="67"/>
      <c r="G34" s="67"/>
      <c r="H34" s="67"/>
      <c r="I34" s="67"/>
      <c r="J34" s="68"/>
    </row>
    <row r="35" spans="1:10" ht="30" customHeight="1" thickBot="1" x14ac:dyDescent="0.2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2">
      <c r="B36" s="54" t="s">
        <v>175</v>
      </c>
      <c r="C36" s="54"/>
      <c r="D36" s="54"/>
      <c r="E36" s="43" t="s">
        <v>52</v>
      </c>
      <c r="F36" s="43"/>
      <c r="G36" s="56" t="s">
        <v>92</v>
      </c>
      <c r="H36" s="56"/>
      <c r="I36" s="56"/>
      <c r="J36" s="56"/>
    </row>
    <row r="37" spans="1:10" ht="51" customHeight="1" x14ac:dyDescent="0.2">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2025-10-22T04:13:12Z</dcterms:modified>
</cp:coreProperties>
</file>