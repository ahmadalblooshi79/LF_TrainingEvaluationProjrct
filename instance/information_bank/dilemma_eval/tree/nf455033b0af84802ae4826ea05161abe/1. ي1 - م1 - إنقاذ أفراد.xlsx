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412835CE-81A7-45DA-82B6-DF694908C11F}"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التقييم'!$A$1:$J$29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6" i="2"/>
  <c r="H16" i="2"/>
  <c r="G17" i="2"/>
  <c r="H17" i="2"/>
  <c r="G18" i="2"/>
  <c r="H18" i="2"/>
  <c r="G19" i="2"/>
  <c r="H19" i="2"/>
  <c r="G20" i="2"/>
  <c r="H20" i="2"/>
  <c r="G21" i="2"/>
  <c r="H21" i="2"/>
  <c r="F22" i="2"/>
  <c r="E22" i="2"/>
  <c r="E23" i="2"/>
  <c r="E24" i="2"/>
</calcChain>
</file>

<file path=xl/sharedStrings.xml><?xml version="1.0" encoding="utf-8"?>
<sst xmlns="http://schemas.openxmlformats.org/spreadsheetml/2006/main" count="252" uniqueCount="196">
  <si>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</si>
  <si>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</si>
  <si>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</si>
  <si>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</si>
  <si>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</si>
  <si>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</si>
  <si>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</si>
  <si>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</si>
  <si>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</si>
  <si>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</si>
  <si>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</si>
  <si>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</si>
  <si>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</si>
  <si>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</si>
  <si>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</si>
  <si>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</si>
  <si>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</si>
  <si>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</si>
  <si>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</si>
  <si>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</si>
  <si>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</si>
  <si>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</si>
  <si>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</si>
  <si>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</si>
  <si>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</si>
  <si>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</si>
  <si>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</si>
  <si>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</si>
  <si>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</si>
  <si>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</si>
  <si>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</si>
  <si>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</si>
  <si>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</si>
  <si>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</si>
  <si>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</si>
  <si>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</si>
  <si>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</si>
  <si>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</si>
  <si>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</si>
  <si>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</si>
  <si>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</si>
  <si>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</si>
  <si>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</si>
  <si>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</si>
  <si>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</si>
  <si>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</si>
  <si>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</si>
  <si>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</si>
  <si>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</si>
  <si>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</si>
  <si>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</si>
  <si>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</si>
  <si>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</si>
  <si>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</si>
  <si>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</si>
  <si>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</si>
  <si>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</si>
  <si>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</si>
  <si>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</si>
  <si>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</si>
  <si>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</si>
  <si>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</si>
  <si>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</si>
  <si>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</si>
  <si>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</si>
  <si>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</si>
  <si>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</si>
  <si>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</si>
  <si>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</si>
  <si>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</si>
  <si>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</si>
  <si>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</si>
  <si>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</si>
  <si>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</si>
  <si>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</si>
  <si>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</si>
  <si>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</si>
  <si>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</si>
  <si>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</si>
  <si>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</si>
  <si>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</si>
  <si>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</si>
  <si>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</si>
  <si>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</si>
  <si>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</si>
  <si>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</si>
  <si>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</si>
  <si>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</si>
  <si>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</si>
  <si>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</si>
  <si>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</si>
  <si>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</si>
  <si>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</si>
  <si>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</si>
  <si>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</si>
  <si>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</si>
  <si>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</si>
  <si>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</si>
  <si>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</si>
  <si>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</si>
  <si>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</si>
  <si>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</si>
  <si>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</si>
  <si>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</si>
  <si>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</si>
  <si>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</si>
  <si>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</si>
  <si>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</si>
  <si>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</si>
  <si>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</si>
  <si>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</si>
  <si>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</si>
  <si>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</si>
  <si>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</si>
  <si>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</si>
  <si>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</si>
  <si>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</si>
  <si>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</si>
  <si>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</si>
  <si>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</si>
  <si>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</si>
  <si>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</si>
  <si>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</si>
  <si>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</si>
  <si>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</si>
  <si>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</si>
  <si>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</si>
  <si>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</si>
  <si>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</si>
  <si>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</si>
  <si>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</si>
  <si>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</si>
  <si>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</si>
  <si>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</si>
  <si>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</si>
  <si>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</si>
  <si>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</si>
  <si>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</si>
  <si>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</si>
  <si>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</si>
  <si>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</si>
  <si>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</si>
  <si>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</si>
  <si>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</si>
  <si>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</si>
  <si>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</si>
  <si>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</si>
  <si>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</si>
  <si>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</si>
  <si>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</si>
  <si>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</si>
  <si>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</si>
  <si>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</si>
  <si>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</si>
  <si>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</si>
  <si>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</si>
  <si>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</si>
  <si>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</si>
  <si>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</si>
  <si>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</si>
  <si>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</si>
  <si>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</si>
  <si>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</si>
  <si>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</si>
  <si>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</si>
  <si>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</si>
  <si>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</si>
  <si>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</si>
  <si>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</si>
  <si>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</si>
  <si>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</si>
  <si>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</si>
  <si>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</si>
  <si>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</si>
  <si>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</si>
  <si>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t>مدرب</t>
  </si>
  <si>
    <t>يحتاج تدريب</t>
  </si>
  <si>
    <t>غير مدرب</t>
  </si>
  <si>
    <t>اجراءات رد فعل وحدة المناورة</t>
  </si>
  <si>
    <t>اجراءات رد فعل الوحدة الطبية</t>
  </si>
  <si>
    <r>
      <t>2.</t>
    </r>
    <r>
      <rPr>
        <sz val="14"/>
        <color rgb="FF000000"/>
        <rFont val="Times New Roman"/>
        <family val="1"/>
      </rPr>
      <t xml:space="preserve">      </t>
    </r>
    <r>
      <rPr>
        <sz val="14"/>
        <color rgb="FF000000"/>
        <rFont val="Arial"/>
        <family val="2"/>
      </rPr>
      <t>التوزيع السليم للأدوار</t>
    </r>
  </si>
  <si>
    <r>
      <t>3.</t>
    </r>
    <r>
      <rPr>
        <sz val="14"/>
        <color rgb="FF000000"/>
        <rFont val="Times New Roman"/>
        <family val="1"/>
      </rPr>
      <t xml:space="preserve">      تنفيذ </t>
    </r>
    <r>
      <rPr>
        <sz val="14"/>
        <color rgb="FF000000"/>
        <rFont val="Arial"/>
        <family val="2"/>
      </rPr>
      <t>إجراءات تصنيف الإصابات</t>
    </r>
  </si>
  <si>
    <r>
      <t>1.</t>
    </r>
    <r>
      <rPr>
        <sz val="14"/>
        <color rgb="FF000000"/>
        <rFont val="Times New Roman"/>
        <family val="1"/>
      </rPr>
      <t xml:space="preserve">      </t>
    </r>
    <r>
      <rPr>
        <sz val="14"/>
        <color rgb="FF000000"/>
        <rFont val="Arial"/>
        <family val="2"/>
      </rPr>
      <t xml:space="preserve"> إبلاغ المستوى الأعلى</t>
    </r>
  </si>
  <si>
    <r>
      <t>2.</t>
    </r>
    <r>
      <rPr>
        <sz val="14"/>
        <color rgb="FF000000"/>
        <rFont val="Times New Roman"/>
        <family val="1"/>
      </rPr>
      <t xml:space="preserve">      </t>
    </r>
    <r>
      <rPr>
        <sz val="14"/>
        <color rgb="FF000000"/>
        <rFont val="Arial"/>
        <family val="2"/>
      </rPr>
      <t xml:space="preserve"> توفير الحماية للقوات</t>
    </r>
  </si>
  <si>
    <r>
      <t>3.</t>
    </r>
    <r>
      <rPr>
        <sz val="14"/>
        <color rgb="FF000000"/>
        <rFont val="Times New Roman"/>
        <family val="1"/>
      </rPr>
      <t xml:space="preserve">      </t>
    </r>
    <r>
      <rPr>
        <sz val="14"/>
        <color rgb="FF000000"/>
        <rFont val="Arial"/>
        <family val="2"/>
      </rPr>
      <t>تنفيذ إجراءات إسعاف الذاتي والتبادلي</t>
    </r>
  </si>
  <si>
    <r>
      <t>4.</t>
    </r>
    <r>
      <rPr>
        <sz val="14"/>
        <color rgb="FF000000"/>
        <rFont val="Times New Roman"/>
        <family val="1"/>
      </rPr>
      <t xml:space="preserve">      تنفيذ </t>
    </r>
    <r>
      <rPr>
        <sz val="14"/>
        <color rgb="FF000000"/>
        <rFont val="Arial"/>
        <family val="2"/>
      </rPr>
      <t>إجراءات اخراج ونقل المصابين من الآلية</t>
    </r>
  </si>
  <si>
    <r>
      <t>5.</t>
    </r>
    <r>
      <rPr>
        <sz val="14"/>
        <color rgb="FF000000"/>
        <rFont val="Times New Roman"/>
        <family val="1"/>
      </rPr>
      <t xml:space="preserve">      تنفيذ </t>
    </r>
    <r>
      <rPr>
        <sz val="14"/>
        <color rgb="FF000000"/>
        <rFont val="Arial"/>
        <family val="2"/>
      </rPr>
      <t>إجراءات التعامل مع الشهداء</t>
    </r>
  </si>
  <si>
    <r>
      <t>6.</t>
    </r>
    <r>
      <rPr>
        <sz val="14"/>
        <color rgb="FF000000"/>
        <rFont val="Times New Roman"/>
        <family val="1"/>
      </rPr>
      <t xml:space="preserve">      تنفيذ </t>
    </r>
    <r>
      <rPr>
        <sz val="14"/>
        <color rgb="FF000000"/>
        <rFont val="Arial"/>
        <family val="2"/>
      </rPr>
      <t>إجراءات نقل المصابين إلى نقطة جمع المصابين</t>
    </r>
  </si>
  <si>
    <r>
      <t>1.</t>
    </r>
    <r>
      <rPr>
        <sz val="14"/>
        <color rgb="FF000000"/>
        <rFont val="Times New Roman"/>
        <family val="1"/>
      </rPr>
      <t xml:space="preserve">      </t>
    </r>
    <r>
      <rPr>
        <sz val="14"/>
        <color rgb="FF000000"/>
        <rFont val="Arial"/>
        <family val="2"/>
      </rPr>
      <t>سرعة عناصر الإسناد الطبي إلى موقع الحدث</t>
    </r>
  </si>
  <si>
    <r>
      <t>4.</t>
    </r>
    <r>
      <rPr>
        <sz val="14"/>
        <color rgb="FF000000"/>
        <rFont val="Times New Roman"/>
        <family val="1"/>
      </rPr>
      <t xml:space="preserve">      </t>
    </r>
    <r>
      <rPr>
        <sz val="14"/>
        <color rgb="FF000000"/>
        <rFont val="Arial"/>
        <family val="2"/>
      </rPr>
      <t>إبلاغ المستوى الأعلى</t>
    </r>
  </si>
  <si>
    <r>
      <t>5.</t>
    </r>
    <r>
      <rPr>
        <sz val="14"/>
        <color rgb="FF000000"/>
        <rFont val="Times New Roman"/>
        <family val="1"/>
      </rPr>
      <t xml:space="preserve">      </t>
    </r>
    <r>
      <rPr>
        <sz val="14"/>
        <color rgb="FF000000"/>
        <rFont val="Arial"/>
        <family val="2"/>
      </rPr>
      <t xml:space="preserve"> طلب إخلاء جوي حسب النسق الصحيح</t>
    </r>
  </si>
  <si>
    <r>
      <t>6.</t>
    </r>
    <r>
      <rPr>
        <sz val="14"/>
        <color rgb="FF000000"/>
        <rFont val="Times New Roman"/>
        <family val="1"/>
      </rPr>
      <t xml:space="preserve">      </t>
    </r>
    <r>
      <rPr>
        <sz val="14"/>
        <color rgb="FF000000"/>
        <rFont val="Arial"/>
        <family val="2"/>
      </rPr>
      <t>تنفيذ الإخلاء الطبي</t>
    </r>
  </si>
  <si>
    <r>
      <t>ملاحظـــات</t>
    </r>
    <r>
      <rPr>
        <b/>
        <sz val="14"/>
        <color rgb="FF000000"/>
        <rFont val="Arial"/>
        <family val="2"/>
      </rPr>
      <t xml:space="preserve">: 
</t>
    </r>
    <r>
      <rPr>
        <sz val="14"/>
        <color rgb="FF000000"/>
        <rFont val="Arial"/>
        <family val="2"/>
      </rPr>
      <t>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</si>
  <si>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rPr>
        <b/>
        <sz val="14"/>
        <color rgb="FF000000"/>
        <rFont val="Arial"/>
        <family val="2"/>
      </rPr>
      <t>اليوم/1 - تقييم معضلة/1 - إنقاذ المصابين</t>
    </r>
    <r>
      <rPr>
        <b/>
        <u/>
        <sz val="14"/>
        <color rgb="FF000000"/>
        <rFont val="Arial"/>
        <family val="2"/>
      </rPr>
      <t xml:space="preserve">
تقييم سرايا الدروع - تمرين جاهزية مجموعة لواء الإمارات/1 (جندي الصحراء 2025/20)</t>
    </r>
  </si>
  <si>
    <t>النقيب/ عبدالله سعيد النعيمي</t>
  </si>
  <si>
    <t>العقيد الركن/ سيف الراشدي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</si>
</sst>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4"/>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A8D08D"/>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6" borderId="3" xfId="0" applyFont="1" applyFill="1" applyBorder="1" applyAlignment="1">
      <alignment horizontal="center" vertical="center" wrapText="1" readingOrder="2"/>
    </xf>
    <xf numFmtId="0" fontId="3" fillId="3" borderId="3" xfId="0" applyFont="1" applyFill="1" applyBorder="1" applyAlignment="1">
      <alignment horizontal="center" vertical="center" wrapText="1" readingOrder="2"/>
    </xf>
    <xf numFmtId="0" fontId="3" fillId="5" borderId="3" xfId="0" applyFont="1" applyFill="1" applyBorder="1" applyAlignment="1">
      <alignment horizontal="center" vertical="center" wrapText="1" readingOrder="2"/>
    </xf>
    <xf numFmtId="0" fontId="6" fillId="4" borderId="18" xfId="0" applyFont="1" applyFill="1" applyBorder="1" applyAlignment="1" applyProtection="1">
      <alignment horizontal="center" vertical="center" wrapText="1" readingOrder="2"/>
      <protection locked="0"/>
    </xf>
    <xf numFmtId="0" fontId="2" fillId="0" borderId="21" xfId="0" applyFont="1" applyBorder="1" applyAlignment="1">
      <alignment horizontal="center" vertical="center" wrapText="1" readingOrder="2"/>
    </xf>
    <xf numFmtId="0" fontId="2" fillId="0" borderId="3"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6" borderId="15" xfId="0" applyFont="1" applyFill="1" applyBorder="1" applyAlignment="1">
      <alignment horizontal="center" vertical="center" wrapText="1" readingOrder="2"/>
    </xf>
    <xf numFmtId="0" fontId="3" fillId="6" borderId="16" xfId="0" applyFont="1" applyFill="1" applyBorder="1" applyAlignment="1">
      <alignment horizontal="center" vertical="center" wrapText="1" readingOrder="2"/>
    </xf>
    <xf numFmtId="0" fontId="3" fillId="3" borderId="15" xfId="0" applyFont="1" applyFill="1" applyBorder="1" applyAlignment="1">
      <alignment horizontal="center" vertical="center" wrapText="1" readingOrder="2"/>
    </xf>
    <xf numFmtId="0" fontId="3" fillId="3" borderId="16" xfId="0" applyFont="1" applyFill="1" applyBorder="1" applyAlignment="1">
      <alignment horizontal="center" vertical="center" wrapText="1" readingOrder="2"/>
    </xf>
    <xf numFmtId="0" fontId="3" fillId="5" borderId="15" xfId="0" applyFont="1" applyFill="1" applyBorder="1" applyAlignment="1">
      <alignment horizontal="center" vertical="center" wrapText="1" readingOrder="2"/>
    </xf>
    <xf numFmtId="0" fontId="3" fillId="5" borderId="16" xfId="0" applyFont="1" applyFill="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21"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8" fillId="0" borderId="11" xfId="0" applyFont="1" applyBorder="1" applyAlignment="1">
      <alignment horizontal="right" vertical="center" wrapText="1" readingOrder="2"/>
    </xf>
    <xf numFmtId="0" fontId="8" fillId="0" borderId="12" xfId="0" applyFont="1" applyBorder="1" applyAlignment="1">
      <alignment horizontal="right"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5" fillId="0" borderId="5" xfId="0" applyFont="1" applyBorder="1" applyAlignment="1">
      <alignment horizontal="right" vertical="center" wrapText="1" readingOrder="2"/>
    </xf>
    <xf numFmtId="0" fontId="5" fillId="0" borderId="4" xfId="0" applyFont="1" applyBorder="1" applyAlignment="1">
      <alignment horizontal="right" vertical="center" wrapText="1" readingOrder="2"/>
    </xf>
    <xf numFmtId="0" fontId="8" fillId="0" borderId="25" xfId="0" applyFont="1" applyBorder="1" applyAlignment="1">
      <alignment horizontal="right" vertical="center" wrapText="1" readingOrder="2"/>
    </xf>
    <xf numFmtId="0" fontId="8" fillId="0" borderId="3" xfId="0" applyFont="1" applyBorder="1" applyAlignment="1">
      <alignment horizontal="right" vertical="center" wrapText="1" readingOrder="2"/>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2" xfId="0" applyFont="1" applyBorder="1" applyAlignment="1">
      <alignment horizontal="center" vertical="center" wrapText="1" readingOrder="2"/>
    </xf>
    <xf numFmtId="0" fontId="2" fillId="0" borderId="23" xfId="0" applyFont="1" applyBorder="1" applyAlignment="1">
      <alignment horizontal="center" vertical="center" wrapText="1" readingOrder="2"/>
    </xf>
    <xf numFmtId="0" fontId="2" fillId="0" borderId="24" xfId="0"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26" xfId="0" applyFont="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6</xdr:col>
      <xdr:colOff>205665</xdr:colOff>
      <xdr:row>25</xdr:row>
      <xdr:rowOff>202948</xdr:rowOff>
    </xdr:from>
    <xdr:to>
      <xdr:col>7</xdr:col>
      <xdr:colOff>74255</xdr:colOff>
      <xdr:row>25</xdr:row>
      <xdr:rowOff>405268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36A38D77-F0E4-61D4-6E7B-60A04EB775C6}"/>
                </a:ext>
              </a:extLst>
            </xdr14:cNvPr>
            <xdr14:cNvContentPartPr/>
          </xdr14:nvContentPartPr>
          <xdr14:nvPr macro=""/>
          <xdr14:xfrm>
            <a:off x="10399828745" y="9878040"/>
            <a:ext cx="526680" cy="202320"/>
          </xdr14:xfrm>
        </xdr:contentPart>
      </mc:Choice>
      <mc:Fallback xmlns="">
        <xdr:pic>
          <xdr:nvPicPr>
            <xdr:cNvPr id="2" name="Ink 1">
              <a:extLst>
                <a:ext uri="{FF2B5EF4-FFF2-40B4-BE49-F238E27FC236}">
                  <a16:creationId xmlns:a16="http://schemas.microsoft.com/office/drawing/2014/main" id="{36A38D77-F0E4-61D4-6E7B-60A04EB775C6}"/>
                </a:ext>
              </a:extLst>
            </xdr:cNvPr>
            <xdr:cNvPicPr/>
          </xdr:nvPicPr>
          <xdr:blipFill>
            <a:blip xmlns:r="http://schemas.openxmlformats.org/officeDocument/2006/relationships" r:embed="rId2"/>
            <a:stretch>
              <a:fillRect/>
            </a:stretch>
          </xdr:blipFill>
          <xdr:spPr>
            <a:xfrm>
              <a:off x="10399822625" y="9871920"/>
              <a:ext cx="538920" cy="214560"/>
            </a:xfrm>
            <a:prstGeom prst="rect">
              <a:avLst/>
            </a:prstGeom>
          </xdr:spPr>
        </xdr:pic>
      </mc:Fallback>
    </mc:AlternateContent>
    <xdr:clientData/>
  </xdr:twoCellAnchor>
  <xdr:twoCellAnchor editAs="oneCell">
    <xdr:from>
      <xdr:col>6</xdr:col>
      <xdr:colOff>502665</xdr:colOff>
      <xdr:row>25</xdr:row>
      <xdr:rowOff>485908</xdr:rowOff>
    </xdr:from>
    <xdr:to>
      <xdr:col>6</xdr:col>
      <xdr:colOff>514185</xdr:colOff>
      <xdr:row>25</xdr:row>
      <xdr:rowOff>503548</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205C91CE-71B1-B089-1D8E-6170CDAB38D4}"/>
                </a:ext>
              </a:extLst>
            </xdr14:cNvPr>
            <xdr14:cNvContentPartPr/>
          </xdr14:nvContentPartPr>
          <xdr14:nvPr macro=""/>
          <xdr14:xfrm>
            <a:off x="10400046905" y="10161000"/>
            <a:ext cx="11520" cy="17640"/>
          </xdr14:xfrm>
        </xdr:contentPart>
      </mc:Choice>
      <mc:Fallback xmlns="">
        <xdr:pic>
          <xdr:nvPicPr>
            <xdr:cNvPr id="3" name="Ink 2">
              <a:extLst>
                <a:ext uri="{FF2B5EF4-FFF2-40B4-BE49-F238E27FC236}">
                  <a16:creationId xmlns:a16="http://schemas.microsoft.com/office/drawing/2014/main" id="{205C91CE-71B1-B089-1D8E-6170CDAB38D4}"/>
                </a:ext>
              </a:extLst>
            </xdr:cNvPr>
            <xdr:cNvPicPr/>
          </xdr:nvPicPr>
          <xdr:blipFill>
            <a:blip xmlns:r="http://schemas.openxmlformats.org/officeDocument/2006/relationships" r:embed="rId4"/>
            <a:stretch>
              <a:fillRect/>
            </a:stretch>
          </xdr:blipFill>
          <xdr:spPr>
            <a:xfrm>
              <a:off x="10400040785" y="10154880"/>
              <a:ext cx="23760" cy="29880"/>
            </a:xfrm>
            <a:prstGeom prst="rect">
              <a:avLst/>
            </a:prstGeom>
          </xdr:spPr>
        </xdr:pic>
      </mc:Fallback>
    </mc:AlternateContent>
    <xdr:clientData/>
  </xdr:twoCellAnchor>
  <xdr:twoCellAnchor editAs="oneCell">
    <xdr:from>
      <xdr:col>7</xdr:col>
      <xdr:colOff>22055</xdr:colOff>
      <xdr:row>25</xdr:row>
      <xdr:rowOff>514708</xdr:rowOff>
    </xdr:from>
    <xdr:to>
      <xdr:col>7</xdr:col>
      <xdr:colOff>139415</xdr:colOff>
      <xdr:row>26</xdr:row>
      <xdr:rowOff>29803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A5C21DFC-9174-AF99-33B5-34A1F04A6DCE}"/>
                </a:ext>
              </a:extLst>
            </xdr14:cNvPr>
            <xdr14:cNvContentPartPr/>
          </xdr14:nvContentPartPr>
          <xdr14:nvPr macro=""/>
          <xdr14:xfrm>
            <a:off x="10399763585" y="10189800"/>
            <a:ext cx="117360" cy="161640"/>
          </xdr14:xfrm>
        </xdr:contentPart>
      </mc:Choice>
      <mc:Fallback xmlns="">
        <xdr:pic>
          <xdr:nvPicPr>
            <xdr:cNvPr id="4" name="Ink 3">
              <a:extLst>
                <a:ext uri="{FF2B5EF4-FFF2-40B4-BE49-F238E27FC236}">
                  <a16:creationId xmlns:a16="http://schemas.microsoft.com/office/drawing/2014/main" id="{A5C21DFC-9174-AF99-33B5-34A1F04A6DCE}"/>
                </a:ext>
              </a:extLst>
            </xdr:cNvPr>
            <xdr:cNvPicPr/>
          </xdr:nvPicPr>
          <xdr:blipFill>
            <a:blip xmlns:r="http://schemas.openxmlformats.org/officeDocument/2006/relationships" r:embed="rId6"/>
            <a:stretch>
              <a:fillRect/>
            </a:stretch>
          </xdr:blipFill>
          <xdr:spPr>
            <a:xfrm>
              <a:off x="10399757465" y="10183680"/>
              <a:ext cx="129600" cy="173880"/>
            </a:xfrm>
            <a:prstGeom prst="rect">
              <a:avLst/>
            </a:prstGeom>
          </xdr:spPr>
        </xdr:pic>
      </mc:Fallback>
    </mc:AlternateContent>
    <xdr:clientData/>
  </xdr:twoCellAnchor>
  <xdr:twoCellAnchor editAs="oneCell">
    <xdr:from>
      <xdr:col>6</xdr:col>
      <xdr:colOff>92265</xdr:colOff>
      <xdr:row>25</xdr:row>
      <xdr:rowOff>52828</xdr:rowOff>
    </xdr:from>
    <xdr:to>
      <xdr:col>8</xdr:col>
      <xdr:colOff>511644</xdr:colOff>
      <xdr:row>25</xdr:row>
      <xdr:rowOff>575548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4CCB83F0-08A2-1F79-8756-C02FCBE28847}"/>
                </a:ext>
              </a:extLst>
            </xdr14:cNvPr>
            <xdr14:cNvContentPartPr/>
          </xdr14:nvContentPartPr>
          <xdr14:nvPr macro=""/>
          <xdr14:xfrm>
            <a:off x="10398733265" y="9727920"/>
            <a:ext cx="1735560" cy="522720"/>
          </xdr14:xfrm>
        </xdr:contentPart>
      </mc:Choice>
      <mc:Fallback xmlns="">
        <xdr:pic>
          <xdr:nvPicPr>
            <xdr:cNvPr id="5" name="Ink 4">
              <a:extLst>
                <a:ext uri="{FF2B5EF4-FFF2-40B4-BE49-F238E27FC236}">
                  <a16:creationId xmlns:a16="http://schemas.microsoft.com/office/drawing/2014/main" id="{4CCB83F0-08A2-1F79-8756-C02FCBE28847}"/>
                </a:ext>
              </a:extLst>
            </xdr:cNvPr>
            <xdr:cNvPicPr/>
          </xdr:nvPicPr>
          <xdr:blipFill>
            <a:blip xmlns:r="http://schemas.openxmlformats.org/officeDocument/2006/relationships" r:embed="rId8"/>
            <a:stretch>
              <a:fillRect/>
            </a:stretch>
          </xdr:blipFill>
          <xdr:spPr>
            <a:xfrm>
              <a:off x="10398727145" y="9721800"/>
              <a:ext cx="1747800" cy="534960"/>
            </a:xfrm>
            <a:prstGeom prst="rect">
              <a:avLst/>
            </a:prstGeom>
          </xdr:spPr>
        </xdr:pic>
      </mc:Fallback>
    </mc:AlternateContent>
    <xdr:clientData/>
  </xdr:twoCellAnchor>
  <xdr:twoCellAnchor editAs="oneCell">
    <xdr:from>
      <xdr:col>6</xdr:col>
      <xdr:colOff>67065</xdr:colOff>
      <xdr:row>25</xdr:row>
      <xdr:rowOff>485908</xdr:rowOff>
    </xdr:from>
    <xdr:to>
      <xdr:col>6</xdr:col>
      <xdr:colOff>75345</xdr:colOff>
      <xdr:row>25</xdr:row>
      <xdr:rowOff>486268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32F5D375-43F1-F039-C6B4-83D24FE7C782}"/>
                </a:ext>
              </a:extLst>
            </xdr14:cNvPr>
            <xdr14:cNvContentPartPr/>
          </xdr14:nvContentPartPr>
          <xdr14:nvPr macro=""/>
          <xdr14:xfrm>
            <a:off x="10400485745" y="10161000"/>
            <a:ext cx="8280" cy="360"/>
          </xdr14:xfrm>
        </xdr:contentPart>
      </mc:Choice>
      <mc:Fallback xmlns="">
        <xdr:pic>
          <xdr:nvPicPr>
            <xdr:cNvPr id="6" name="Ink 5">
              <a:extLst>
                <a:ext uri="{FF2B5EF4-FFF2-40B4-BE49-F238E27FC236}">
                  <a16:creationId xmlns:a16="http://schemas.microsoft.com/office/drawing/2014/main" id="{32F5D375-43F1-F039-C6B4-83D24FE7C782}"/>
                </a:ext>
              </a:extLst>
            </xdr:cNvPr>
            <xdr:cNvPicPr/>
          </xdr:nvPicPr>
          <xdr:blipFill>
            <a:blip xmlns:r="http://schemas.openxmlformats.org/officeDocument/2006/relationships" r:embed="rId10"/>
            <a:stretch>
              <a:fillRect/>
            </a:stretch>
          </xdr:blipFill>
          <xdr:spPr>
            <a:xfrm>
              <a:off x="10400479625" y="10154880"/>
              <a:ext cx="2052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1:08.335"/>
    </inkml:context>
    <inkml:brush xml:id="br0">
      <inkml:brushProperty name="width" value="0.035" units="cm"/>
      <inkml:brushProperty name="height" value="0.035" units="cm"/>
    </inkml:brush>
  </inkml:definitions>
  <inkml:trace contextRef="#ctx0" brushRef="#br0">1094 1,'0'0,"0"0,0 0,0 0,0 0,0 0,0 0,0 0,0 0,0 0,0 0,0 0,0 0,0 0,0 0,0 0,0 0,0 0,0 0,0 0,0 0,0 0,0 0,0 0,0 0,0 0,0 0,0 0,0 0,0 0,0 0,0 0,0 0,0 0,0 0,0 0,0 16,0-10,0 4,0 6,0-10,0 4,0 6,0-3,0 6,0-3,0-3,0 6,16 13,-16-26,0 4,14 22,-14-25,0 2,16 7,-9-16,3 0,3 16,-1-9,9 2,9-9,-19 7,8 2,13-9,-27 0,4 0,24 16,-22-9,-9-14,13 7,3 0,-5 16,-5-9,-29 3,-12 6,22-16,-8 0,-27 16,18-3,-7 6,-11-3,21-9,-10 2,-44 23,53-25,-8 2,-12 7,24-9,-3 2,-21-9,32 7,-5 2,-10-9,24 0,-7 0,-1 0,5-7,-1-2,9-7,0 9,0-2,0-7,0 2,0-4,17 2,-17 9,0-2,0-7,0 9,-17 14,-6-7,15 0,-7 16,-4-16,-8 0,-4 0,11 7,-6 2,-7-9,21 0,-6 0,-28 0,41 0,-6 0,-3-16,7 9,-2-2,-8-7,17 9,0-2,-13-24,13 26,0-2,-16-7,11 10,-7 12,7-13,-3-2,-9 9,3 0,-2 0,-16 0,20 0,-6 0,-29 0,33 0,-2 0,-30 0,24 0,-3 0,-7 0,20 0,24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1:08.808"/>
    </inkml:context>
    <inkml:brush xml:id="br0">
      <inkml:brushProperty name="width" value="0.035" units="cm"/>
      <inkml:brushProperty name="height" value="0.035" units="cm"/>
    </inkml:brush>
  </inkml:definitions>
  <inkml:trace contextRef="#ctx0" brushRef="#br0">0 0,'0'0,"0"0,0 0,0 0,0 0,0 0,0 0,0 0,0 0,0 0,0 0,0 0,17 16,-2 17,-15-33</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1:09.359"/>
    </inkml:context>
    <inkml:brush xml:id="br0">
      <inkml:brushProperty name="width" value="0.035" units="cm"/>
      <inkml:brushProperty name="height" value="0.035" units="cm"/>
    </inkml:brush>
  </inkml:definitions>
  <inkml:trace contextRef="#ctx0" brushRef="#br0">1 1,'0'0,"0"0,0 0,0 0,0 0,0 0,0 0,0 0,17 16,0-16,-13 13,6 6,7 13,-3-18,3 4,31 62,-19-39,7 14,44 57,-44-64,-72-96</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1:10.541"/>
    </inkml:context>
    <inkml:brush xml:id="br0">
      <inkml:brushProperty name="width" value="0.035" units="cm"/>
      <inkml:brushProperty name="height" value="0.035" units="cm"/>
    </inkml:brush>
  </inkml:definitions>
  <inkml:trace contextRef="#ctx0" brushRef="#br0">2424 193,'0'0,"0"0,0 0,0 0,0 0,0 0,0 0,0 0,0 0,16 0,1 16,-12-9,3 2,9 23,-3-18,2 4,18 31,-21-29,4 8,13 36,-22-37,1 10,8 27,-13-36,6 8,-10 28,-5-36,-4 8,-8 13,3-35,-2 4,-31 14,18-11,-6 6,-28-11,37-9,-10 2,-27-9,30-14,-12-4,-18-14,44 4,-9-8,-3-29,17 31,-5-12,5-50,7 48,-2-16,25-16,-11 45,4-11,8-18,-11 44,4-8,21-20,-17 34,2-4,17-14,-28 25,5-2,22 9,-27-7,5-2,5 9,-7 7,1 2,-9 7,-9-9,1 2,-22 39,10-20,-7 8,-100 44,68-39,-23 15,-73 56,74-65,-26 18,-82 47,82-50,-37 21,-122 61,169-95,-27 14,-64 33,136-68,-21 9,-21-5,61-12,-11 8,-20 4,44-25,-8 2,12-9,12 7,-6 2,1-1,32-16,57-8,-19 2,20-4,121-46,-78 29,34-10,188-52,-191 42,50-18,171-39,-211 63,47-14,116-50,-102 43,66-20,165-70,-288 111,52-15,78-32,-210 68,26-8,-37 20,-45 2,12-4,35 2,-41 2,16-4,-72 34,13-16,-8 0,12-12,0 8,-14 4,-1 0,-3 0,-12 0,25 0,-7 0,-18 0,25 7,-7 2,-18-9,25 7,-7 2,-19 7,24-9,-2 2,9-9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14T19:51:10.903"/>
    </inkml:context>
    <inkml:brush xml:id="br0">
      <inkml:brushProperty name="width" value="0.035" units="cm"/>
      <inkml:brushProperty name="height" value="0.035" units="cm"/>
    </inkml:brush>
  </inkml:definitions>
  <inkml:trace contextRef="#ctx0" brushRef="#br0">1 0,'0'0,"0"0,0 0,0 0,0 0,0 0,14 0,-6 0,-16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29"/>
  <sheetViews>
    <sheetView rightToLeft="1" tabSelected="1" view="pageBreakPreview" topLeftCell="C19" zoomScale="130" zoomScaleNormal="100" zoomScaleSheetLayoutView="130" workbookViewId="0">
      <selection activeCell="F4" sqref="F4:J4"/>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193</v>
      </c>
      <c r="C1" s="58"/>
      <c r="D1" s="58"/>
      <c r="E1" s="58"/>
      <c r="F1" s="58"/>
      <c r="G1" s="58"/>
      <c r="H1" s="58"/>
      <c r="I1" s="58"/>
      <c r="J1" s="58"/>
    </row>
    <row r="2" spans="1:10" ht="30" customHeight="1" x14ac:dyDescent="0.3">
      <c r="B2" s="9" t="s">
        <v>8</v>
      </c>
      <c r="C2" s="64" t="s">
        <v>45</v>
      </c>
      <c r="D2" s="64"/>
      <c r="E2" s="9" t="s">
        <v>7</v>
      </c>
      <c r="F2" s="59">
        <v>45944</v>
      </c>
      <c r="G2" s="59"/>
      <c r="H2" s="59"/>
      <c r="I2" s="59"/>
      <c r="J2" s="59"/>
    </row>
    <row r="3" spans="1:10" ht="30" customHeight="1" x14ac:dyDescent="0.3">
      <c r="B3" s="9" t="s">
        <v>9</v>
      </c>
      <c r="C3" s="64" t="s">
        <v>60</v>
      </c>
      <c r="D3" s="64"/>
      <c r="E3" s="9" t="s">
        <v>6</v>
      </c>
      <c r="F3" s="64" t="s">
        <v>59</v>
      </c>
      <c r="G3" s="64"/>
      <c r="H3" s="64"/>
      <c r="I3" s="64"/>
      <c r="J3" s="64"/>
    </row>
    <row r="4" spans="1:10" ht="30" customHeight="1" thickBot="1" x14ac:dyDescent="0.35">
      <c r="B4" s="6"/>
      <c r="C4" s="90" t="s">
        <v>194</v>
      </c>
      <c r="D4" s="90"/>
      <c r="E4" s="6"/>
      <c r="F4" s="90" t="s">
        <v>195</v>
      </c>
      <c r="G4" s="90"/>
      <c r="H4" s="90"/>
      <c r="I4" s="90"/>
      <c r="J4" s="90"/>
    </row>
    <row r="5" spans="1:10" ht="24.9" customHeight="1" x14ac:dyDescent="0.3">
      <c r="A5" s="7"/>
      <c r="B5" s="60" t="s">
        <v>0</v>
      </c>
      <c r="C5" s="61"/>
      <c r="D5" s="61"/>
      <c r="E5" s="65" t="s">
        <v>1</v>
      </c>
      <c r="F5" s="65"/>
      <c r="G5" s="65"/>
      <c r="H5" s="65"/>
      <c r="I5" s="65" t="s">
        <v>2</v>
      </c>
      <c r="J5" s="66"/>
    </row>
    <row r="6" spans="1:10" ht="24.9" customHeight="1" thickBot="1" x14ac:dyDescent="0.35">
      <c r="A6" s="7"/>
      <c r="B6" s="62"/>
      <c r="C6" s="63"/>
      <c r="D6" s="63"/>
      <c r="E6" s="8" t="s">
        <v>3</v>
      </c>
      <c r="F6" s="8" t="s">
        <v>4</v>
      </c>
      <c r="G6" s="8" t="s">
        <v>23</v>
      </c>
      <c r="H6" s="8" t="s">
        <v>24</v>
      </c>
      <c r="I6" s="67"/>
      <c r="J6" s="68"/>
    </row>
    <row r="7" spans="1:10" ht="24.9" customHeight="1" thickBot="1" x14ac:dyDescent="0.35">
      <c r="A7" s="7"/>
      <c r="B7" s="69" t="s">
        <v>21</v>
      </c>
      <c r="C7" s="70"/>
      <c r="D7" s="70"/>
      <c r="E7" s="28" t="s">
        <v>18</v>
      </c>
      <c r="F7" s="28" t="s">
        <v>19</v>
      </c>
      <c r="G7" s="28" t="s">
        <v>22</v>
      </c>
      <c r="H7" s="28" t="s">
        <v>20</v>
      </c>
      <c r="I7" s="71" t="s">
        <v>25</v>
      </c>
      <c r="J7" s="72"/>
    </row>
    <row r="8" spans="1:10" ht="30" customHeight="1" x14ac:dyDescent="0.3">
      <c r="A8" s="7"/>
      <c r="B8" s="73" t="s">
        <v>178</v>
      </c>
      <c r="C8" s="74"/>
      <c r="D8" s="74"/>
      <c r="E8" s="33"/>
      <c r="F8" s="34"/>
      <c r="G8" s="35"/>
      <c r="H8" s="36"/>
      <c r="I8" s="46"/>
      <c r="J8" s="47"/>
    </row>
    <row r="9" spans="1:10" ht="30" customHeight="1" x14ac:dyDescent="0.3">
      <c r="A9" s="7"/>
      <c r="B9" s="75" t="s">
        <v>182</v>
      </c>
      <c r="C9" s="76"/>
      <c r="D9" s="76"/>
      <c r="E9" s="30">
        <v>3</v>
      </c>
      <c r="F9" s="23">
        <v>2.5</v>
      </c>
      <c r="G9" s="31">
        <f>IFERROR(F9/E9,"")</f>
        <v>0.83333333333333337</v>
      </c>
      <c r="H9" s="32" t="str">
        <f>_xlfn.IFS(F9="أدخل العلامة","",F9="لا ينطبق","تم الإلغاء",G9&gt;=90%,"ممتاز",G9&gt;=80%,"جيد جداً",G9&gt;=70%,"جيد",G9&gt;=60%,"مقبول",G9&lt;60%,"راسب")</f>
        <v>جيد جداً</v>
      </c>
      <c r="I9" s="52"/>
      <c r="J9" s="53"/>
    </row>
    <row r="10" spans="1:10" ht="30" customHeight="1" x14ac:dyDescent="0.3">
      <c r="A10" s="7"/>
      <c r="B10" s="75" t="s">
        <v>183</v>
      </c>
      <c r="C10" s="76"/>
      <c r="D10" s="76"/>
      <c r="E10" s="30">
        <v>3</v>
      </c>
      <c r="F10" s="23">
        <v>2.5</v>
      </c>
      <c r="G10" s="31">
        <f t="shared" ref="G10:G21" si="0">IFERROR(F10/E10,"")</f>
        <v>0.83333333333333337</v>
      </c>
      <c r="H10" s="32" t="str">
        <f t="shared" ref="H10:H21" si="1">_xlfn.IFS(F10="أدخل العلامة","",F10="لا ينطبق","تم الإلغاء",G10&gt;=90%,"ممتاز",G10&gt;=80%,"جيد جداً",G10&gt;=70%,"جيد",G10&gt;=60%,"مقبول",G10&lt;60%,"راسب")</f>
        <v>جيد جداً</v>
      </c>
      <c r="I10" s="52"/>
      <c r="J10" s="53"/>
    </row>
    <row r="11" spans="1:10" ht="30" customHeight="1" x14ac:dyDescent="0.3">
      <c r="A11" s="7"/>
      <c r="B11" s="75" t="s">
        <v>184</v>
      </c>
      <c r="C11" s="76"/>
      <c r="D11" s="76"/>
      <c r="E11" s="30">
        <v>3</v>
      </c>
      <c r="F11" s="23">
        <v>2.25</v>
      </c>
      <c r="G11" s="31">
        <f t="shared" si="0"/>
        <v>0.75</v>
      </c>
      <c r="H11" s="32" t="str">
        <f t="shared" si="1"/>
        <v>جيد</v>
      </c>
      <c r="I11" s="52"/>
      <c r="J11" s="53"/>
    </row>
    <row r="12" spans="1:10" ht="30" customHeight="1" x14ac:dyDescent="0.3">
      <c r="A12" s="7"/>
      <c r="B12" s="75" t="s">
        <v>185</v>
      </c>
      <c r="C12" s="76"/>
      <c r="D12" s="76"/>
      <c r="E12" s="30">
        <v>3</v>
      </c>
      <c r="F12" s="23">
        <v>2.25</v>
      </c>
      <c r="G12" s="31">
        <f t="shared" si="0"/>
        <v>0.75</v>
      </c>
      <c r="H12" s="32" t="str">
        <f t="shared" si="1"/>
        <v>جيد</v>
      </c>
      <c r="I12" s="52"/>
      <c r="J12" s="53"/>
    </row>
    <row r="13" spans="1:10" ht="30" customHeight="1" x14ac:dyDescent="0.3">
      <c r="A13" s="7"/>
      <c r="B13" s="75" t="s">
        <v>186</v>
      </c>
      <c r="C13" s="76"/>
      <c r="D13" s="76"/>
      <c r="E13" s="30">
        <v>3</v>
      </c>
      <c r="F13" s="23">
        <v>2.25</v>
      </c>
      <c r="G13" s="31">
        <f t="shared" si="0"/>
        <v>0.75</v>
      </c>
      <c r="H13" s="32" t="str">
        <f t="shared" si="1"/>
        <v>جيد</v>
      </c>
      <c r="I13" s="52"/>
      <c r="J13" s="53"/>
    </row>
    <row r="14" spans="1:10" ht="30" customHeight="1" thickBot="1" x14ac:dyDescent="0.35">
      <c r="A14" s="7"/>
      <c r="B14" s="56" t="s">
        <v>187</v>
      </c>
      <c r="C14" s="57"/>
      <c r="D14" s="57"/>
      <c r="E14" s="37">
        <v>3</v>
      </c>
      <c r="F14" s="24">
        <v>2.25</v>
      </c>
      <c r="G14" s="38">
        <f t="shared" si="0"/>
        <v>0.75</v>
      </c>
      <c r="H14" s="39" t="str">
        <f t="shared" si="1"/>
        <v>جيد</v>
      </c>
      <c r="I14" s="54"/>
      <c r="J14" s="55"/>
    </row>
    <row r="15" spans="1:10" ht="30" customHeight="1" x14ac:dyDescent="0.3">
      <c r="A15" s="7"/>
      <c r="B15" s="73" t="s">
        <v>179</v>
      </c>
      <c r="C15" s="74"/>
      <c r="D15" s="74"/>
      <c r="E15" s="33"/>
      <c r="F15" s="34"/>
      <c r="G15" s="35"/>
      <c r="H15" s="36"/>
      <c r="I15" s="46"/>
      <c r="J15" s="47"/>
    </row>
    <row r="16" spans="1:10" ht="30" customHeight="1" x14ac:dyDescent="0.3">
      <c r="A16" s="7"/>
      <c r="B16" s="75" t="s">
        <v>188</v>
      </c>
      <c r="C16" s="76"/>
      <c r="D16" s="76"/>
      <c r="E16" s="30">
        <v>3</v>
      </c>
      <c r="F16" s="23">
        <v>2.25</v>
      </c>
      <c r="G16" s="31">
        <f t="shared" si="0"/>
        <v>0.75</v>
      </c>
      <c r="H16" s="32" t="str">
        <f t="shared" si="1"/>
        <v>جيد</v>
      </c>
      <c r="I16" s="52"/>
      <c r="J16" s="53"/>
    </row>
    <row r="17" spans="1:10" ht="30" customHeight="1" x14ac:dyDescent="0.3">
      <c r="A17" s="7"/>
      <c r="B17" s="75" t="s">
        <v>180</v>
      </c>
      <c r="C17" s="76"/>
      <c r="D17" s="76"/>
      <c r="E17" s="30">
        <v>3</v>
      </c>
      <c r="F17" s="23">
        <v>2.25</v>
      </c>
      <c r="G17" s="31">
        <f t="shared" si="0"/>
        <v>0.75</v>
      </c>
      <c r="H17" s="32" t="str">
        <f t="shared" si="1"/>
        <v>جيد</v>
      </c>
      <c r="I17" s="52"/>
      <c r="J17" s="53"/>
    </row>
    <row r="18" spans="1:10" ht="30" customHeight="1" x14ac:dyDescent="0.3">
      <c r="A18" s="7"/>
      <c r="B18" s="75" t="s">
        <v>181</v>
      </c>
      <c r="C18" s="76"/>
      <c r="D18" s="76"/>
      <c r="E18" s="30">
        <v>3</v>
      </c>
      <c r="F18" s="23">
        <v>2.25</v>
      </c>
      <c r="G18" s="31">
        <f t="shared" si="0"/>
        <v>0.75</v>
      </c>
      <c r="H18" s="32" t="str">
        <f t="shared" si="1"/>
        <v>جيد</v>
      </c>
      <c r="I18" s="52"/>
      <c r="J18" s="53"/>
    </row>
    <row r="19" spans="1:10" ht="30" customHeight="1" x14ac:dyDescent="0.3">
      <c r="A19" s="7"/>
      <c r="B19" s="75" t="s">
        <v>189</v>
      </c>
      <c r="C19" s="76"/>
      <c r="D19" s="76"/>
      <c r="E19" s="30">
        <v>3</v>
      </c>
      <c r="F19" s="23">
        <v>2.5</v>
      </c>
      <c r="G19" s="31">
        <f t="shared" si="0"/>
        <v>0.83333333333333337</v>
      </c>
      <c r="H19" s="32" t="str">
        <f t="shared" si="1"/>
        <v>جيد جداً</v>
      </c>
      <c r="I19" s="52"/>
      <c r="J19" s="53"/>
    </row>
    <row r="20" spans="1:10" ht="30" customHeight="1" x14ac:dyDescent="0.3">
      <c r="A20" s="7"/>
      <c r="B20" s="75" t="s">
        <v>190</v>
      </c>
      <c r="C20" s="76"/>
      <c r="D20" s="76"/>
      <c r="E20" s="30">
        <v>3</v>
      </c>
      <c r="F20" s="23">
        <v>2.5</v>
      </c>
      <c r="G20" s="31">
        <f t="shared" si="0"/>
        <v>0.83333333333333337</v>
      </c>
      <c r="H20" s="32" t="str">
        <f t="shared" si="1"/>
        <v>جيد جداً</v>
      </c>
      <c r="I20" s="52"/>
      <c r="J20" s="53"/>
    </row>
    <row r="21" spans="1:10" ht="30" customHeight="1" thickBot="1" x14ac:dyDescent="0.35">
      <c r="A21" s="7"/>
      <c r="B21" s="56" t="s">
        <v>191</v>
      </c>
      <c r="C21" s="57"/>
      <c r="D21" s="57"/>
      <c r="E21" s="37">
        <v>3</v>
      </c>
      <c r="F21" s="24">
        <v>2.5</v>
      </c>
      <c r="G21" s="38">
        <f t="shared" si="0"/>
        <v>0.83333333333333337</v>
      </c>
      <c r="H21" s="39" t="str">
        <f t="shared" si="1"/>
        <v>جيد جداً</v>
      </c>
      <c r="I21" s="54"/>
      <c r="J21" s="55"/>
    </row>
    <row r="22" spans="1:10" ht="30" customHeight="1" thickBot="1" x14ac:dyDescent="0.35">
      <c r="A22" s="4"/>
      <c r="B22" s="48" t="s">
        <v>5</v>
      </c>
      <c r="C22" s="49"/>
      <c r="D22" s="49"/>
      <c r="E22" s="29">
        <f>SUM(E8:E21)</f>
        <v>36</v>
      </c>
      <c r="F22" s="29">
        <f>SUM(F8:F21)</f>
        <v>28.25</v>
      </c>
      <c r="G22" s="85"/>
      <c r="H22" s="86"/>
      <c r="I22" s="86"/>
      <c r="J22" s="87"/>
    </row>
    <row r="23" spans="1:10" ht="30" customHeight="1" thickBot="1" x14ac:dyDescent="0.35">
      <c r="A23" s="4"/>
      <c r="B23" s="50" t="s">
        <v>54</v>
      </c>
      <c r="C23" s="51"/>
      <c r="D23" s="51"/>
      <c r="E23" s="88">
        <f>F22/E22/100*100</f>
        <v>0.78472222222222221</v>
      </c>
      <c r="F23" s="88"/>
      <c r="G23" s="88"/>
      <c r="H23" s="88"/>
      <c r="I23" s="88"/>
      <c r="J23" s="89"/>
    </row>
    <row r="24" spans="1:10" ht="30" customHeight="1" thickBot="1" x14ac:dyDescent="0.35">
      <c r="A24" s="4"/>
      <c r="B24" s="50" t="s">
        <v>55</v>
      </c>
      <c r="C24" s="51"/>
      <c r="D24" s="51"/>
      <c r="E24" s="81" t="str">
        <f>_xlfn.IFS(E23&gt;=90%,"ممتاز",E23&gt;=80%,"جيد جداً",E23&gt;=70%,"جيد",E23&gt;=60%,"مقبول",E23&lt;60%,"راسب")</f>
        <v>جيد</v>
      </c>
      <c r="F24" s="81"/>
      <c r="G24" s="81"/>
      <c r="H24" s="81"/>
      <c r="I24" s="81"/>
      <c r="J24" s="82"/>
    </row>
    <row r="25" spans="1:10" ht="42" customHeight="1" x14ac:dyDescent="0.3">
      <c r="B25" s="77" t="s">
        <v>192</v>
      </c>
      <c r="C25" s="77"/>
      <c r="D25" s="77"/>
      <c r="E25" s="83" t="s">
        <v>52</v>
      </c>
      <c r="F25" s="83"/>
      <c r="G25" s="79" t="s">
        <v>59</v>
      </c>
      <c r="H25" s="79"/>
      <c r="I25" s="79"/>
      <c r="J25" s="79"/>
    </row>
    <row r="26" spans="1:10" ht="51" customHeight="1" x14ac:dyDescent="0.3">
      <c r="A26" s="5"/>
      <c r="B26" s="78"/>
      <c r="C26" s="78"/>
      <c r="D26" s="78"/>
      <c r="E26" s="84" t="s">
        <v>53</v>
      </c>
      <c r="F26" s="84"/>
      <c r="G26" s="80"/>
      <c r="H26" s="80"/>
      <c r="I26" s="80"/>
      <c r="J26" s="80"/>
    </row>
    <row r="27" spans="1:10" ht="15.6" x14ac:dyDescent="0.3">
      <c r="A27" s="25">
        <v>3</v>
      </c>
      <c r="B27" s="40" t="s">
        <v>175</v>
      </c>
      <c r="C27" s="41"/>
    </row>
    <row r="28" spans="1:10" ht="15.6" x14ac:dyDescent="0.3">
      <c r="A28" s="26">
        <v>2</v>
      </c>
      <c r="B28" s="42" t="s">
        <v>176</v>
      </c>
      <c r="C28" s="43"/>
    </row>
    <row r="29" spans="1:10" ht="15.6" x14ac:dyDescent="0.3">
      <c r="A29" s="27">
        <v>1</v>
      </c>
      <c r="B29" s="44" t="s">
        <v>177</v>
      </c>
      <c r="C29" s="45"/>
    </row>
  </sheetData>
  <sheetProtection formatCells="0" formatColumns="0" formatRows="0" insertColumns="0" insertRows="0" insertHyperlinks="0" deleteColumns="0" deleteRows="0" selectLockedCells="1" sort="0" autoFilter="0" pivotTables="0"/>
  <mergeCells count="54">
    <mergeCell ref="B25:D26"/>
    <mergeCell ref="G25:J25"/>
    <mergeCell ref="G26:J26"/>
    <mergeCell ref="E24:J24"/>
    <mergeCell ref="B16:D16"/>
    <mergeCell ref="B17:D17"/>
    <mergeCell ref="B18:D18"/>
    <mergeCell ref="B19:D19"/>
    <mergeCell ref="B20:D20"/>
    <mergeCell ref="E25:F25"/>
    <mergeCell ref="E26:F26"/>
    <mergeCell ref="G22:J22"/>
    <mergeCell ref="E23:J23"/>
    <mergeCell ref="I21:J21"/>
    <mergeCell ref="B7:D7"/>
    <mergeCell ref="I7:J7"/>
    <mergeCell ref="I10:J10"/>
    <mergeCell ref="I19:J19"/>
    <mergeCell ref="I20:J20"/>
    <mergeCell ref="B8:D8"/>
    <mergeCell ref="B9:D9"/>
    <mergeCell ref="B10:D10"/>
    <mergeCell ref="B11:D11"/>
    <mergeCell ref="B12:D12"/>
    <mergeCell ref="B13:D13"/>
    <mergeCell ref="B14:D14"/>
    <mergeCell ref="B15:D15"/>
    <mergeCell ref="I9:J9"/>
    <mergeCell ref="B1:J1"/>
    <mergeCell ref="F2:J2"/>
    <mergeCell ref="B5:D6"/>
    <mergeCell ref="C2:D2"/>
    <mergeCell ref="C3:D3"/>
    <mergeCell ref="F3:J3"/>
    <mergeCell ref="E5:H5"/>
    <mergeCell ref="I5:J6"/>
    <mergeCell ref="C4:D4"/>
    <mergeCell ref="F4:J4"/>
    <mergeCell ref="B27:C27"/>
    <mergeCell ref="B28:C28"/>
    <mergeCell ref="B29:C29"/>
    <mergeCell ref="I8:J8"/>
    <mergeCell ref="B22:D22"/>
    <mergeCell ref="B23:D23"/>
    <mergeCell ref="B24:D24"/>
    <mergeCell ref="I11:J11"/>
    <mergeCell ref="I12:J12"/>
    <mergeCell ref="I13:J13"/>
    <mergeCell ref="I14:J14"/>
    <mergeCell ref="I15:J15"/>
    <mergeCell ref="I16:J16"/>
    <mergeCell ref="I17:J17"/>
    <mergeCell ref="I18:J18"/>
    <mergeCell ref="B21:D21"/>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24">
    <cfRule type="expression" dxfId="14" priority="57">
      <formula>$E24="راسب"</formula>
    </cfRule>
  </conditionalFormatting>
  <conditionalFormatting sqref="E24:J24">
    <cfRule type="expression" dxfId="13" priority="58">
      <formula>$E24="مقبول"</formula>
    </cfRule>
    <cfRule type="expression" dxfId="12" priority="59">
      <formula>$E24="جيد"</formula>
    </cfRule>
    <cfRule type="expression" dxfId="11" priority="60">
      <formula>$E24="جيد جداً"</formula>
    </cfRule>
    <cfRule type="expression" dxfId="10" priority="61">
      <formula>$E24="ممتاز"</formula>
    </cfRule>
  </conditionalFormatting>
  <conditionalFormatting sqref="F8:F21">
    <cfRule type="containsText" dxfId="9" priority="38"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25:J25">
    <cfRule type="containsText" dxfId="6" priority="15" operator="containsText" text="أدخل اسم المحكم">
      <formula>NOT(ISERROR(SEARCH("أدخل اسم المحكم",G25)))</formula>
    </cfRule>
  </conditionalFormatting>
  <conditionalFormatting sqref="H8:H21">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AE50457C-7424-4A4C-907B-8DC6AA09E7A3}">
          <x14:formula1>
            <xm:f>'بيانات التقييم'!$A$198:$A$285</xm:f>
          </x14:formula1>
          <xm:sqref>G25:J25 F3:J3</xm:sqref>
        </x14:dataValidation>
        <x14:dataValidation type="list" allowBlank="1" showInputMessage="1" showErrorMessage="1" xr:uid="{74512448-CAED-4995-932E-CDA01DC3A5DC}">
          <x14:formula1>
            <xm:f>'بيانات التقييم'!$C$1:$C$28</xm:f>
          </x14:formula1>
          <xm:sqref>C3:D3</xm:sqref>
        </x14:dataValidation>
        <x14:dataValidation type="list" allowBlank="1" showInputMessage="1" showErrorMessage="1" xr:uid="{36ED5D87-B8CE-48D5-8C3F-AD190A97274B}">
          <x14:formula1>
            <xm:f>'بيانات التقييم'!$A$111:$A$125</xm:f>
          </x14:formula1>
          <xm:sqref>F16:F21 F9:F14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111"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6" t="s">
        <v>62</v>
      </c>
    </row>
    <row r="3" spans="1:3" ht="20.100000000000001" customHeight="1" thickBot="1" x14ac:dyDescent="0.35">
      <c r="A3" s="2" t="s">
        <v>26</v>
      </c>
      <c r="C3" s="16" t="s">
        <v>63</v>
      </c>
    </row>
    <row r="4" spans="1:3" ht="20.100000000000001" customHeight="1" thickBot="1" x14ac:dyDescent="0.35">
      <c r="A4" s="2" t="s">
        <v>36</v>
      </c>
      <c r="C4" s="16" t="s">
        <v>64</v>
      </c>
    </row>
    <row r="5" spans="1:3" ht="20.100000000000001" customHeight="1" thickBot="1" x14ac:dyDescent="0.35">
      <c r="A5" s="2" t="s">
        <v>37</v>
      </c>
      <c r="C5" s="16" t="s">
        <v>65</v>
      </c>
    </row>
    <row r="6" spans="1:3" ht="20.100000000000001" customHeight="1" thickBot="1" x14ac:dyDescent="0.35">
      <c r="A6" s="2" t="s">
        <v>38</v>
      </c>
      <c r="C6" s="16" t="s">
        <v>66</v>
      </c>
    </row>
    <row r="7" spans="1:3" ht="20.100000000000001" customHeight="1" thickBot="1" x14ac:dyDescent="0.35">
      <c r="A7" s="2" t="s">
        <v>39</v>
      </c>
      <c r="C7" s="16" t="s">
        <v>67</v>
      </c>
    </row>
    <row r="8" spans="1:3" ht="20.100000000000001" customHeight="1" thickBot="1" x14ac:dyDescent="0.35">
      <c r="A8" s="2" t="s">
        <v>40</v>
      </c>
      <c r="C8" s="16" t="s">
        <v>68</v>
      </c>
    </row>
    <row r="9" spans="1:3" ht="20.100000000000001" customHeight="1" thickBot="1" x14ac:dyDescent="0.35">
      <c r="A9" s="2" t="s">
        <v>41</v>
      </c>
      <c r="C9" s="16" t="s">
        <v>69</v>
      </c>
    </row>
    <row r="10" spans="1:3" ht="20.100000000000001" customHeight="1" thickBot="1" x14ac:dyDescent="0.35">
      <c r="A10" s="2" t="s">
        <v>42</v>
      </c>
      <c r="C10" s="16" t="s">
        <v>70</v>
      </c>
    </row>
    <row r="11" spans="1:3" ht="20.100000000000001" customHeight="1" thickBot="1" x14ac:dyDescent="0.35">
      <c r="A11" s="2" t="s">
        <v>43</v>
      </c>
      <c r="C11" s="16" t="s">
        <v>71</v>
      </c>
    </row>
    <row r="12" spans="1:3" ht="20.100000000000001" customHeight="1" thickBot="1" x14ac:dyDescent="0.35">
      <c r="A12" s="2" t="s">
        <v>44</v>
      </c>
      <c r="C12" s="16" t="s">
        <v>72</v>
      </c>
    </row>
    <row r="13" spans="1:3" ht="20.100000000000001" customHeight="1" thickBot="1" x14ac:dyDescent="0.35">
      <c r="A13" s="2" t="s">
        <v>45</v>
      </c>
      <c r="C13" s="16" t="s">
        <v>73</v>
      </c>
    </row>
    <row r="14" spans="1:3" ht="20.100000000000001" customHeight="1" thickBot="1" x14ac:dyDescent="0.35">
      <c r="A14" s="2" t="s">
        <v>46</v>
      </c>
      <c r="C14" s="16" t="s">
        <v>74</v>
      </c>
    </row>
    <row r="15" spans="1:3" ht="20.100000000000001" customHeight="1" thickBot="1" x14ac:dyDescent="0.35">
      <c r="A15" s="2" t="s">
        <v>47</v>
      </c>
      <c r="C15" s="16" t="s">
        <v>75</v>
      </c>
    </row>
    <row r="16" spans="1:3" ht="20.100000000000001" customHeight="1" thickBot="1" x14ac:dyDescent="0.35">
      <c r="A16" s="2" t="s">
        <v>10</v>
      </c>
      <c r="C16" s="16" t="s">
        <v>76</v>
      </c>
    </row>
    <row r="17" spans="1:3" ht="20.100000000000001" customHeight="1" thickBot="1" x14ac:dyDescent="0.35">
      <c r="A17" s="2" t="s">
        <v>27</v>
      </c>
      <c r="C17" s="16" t="s">
        <v>77</v>
      </c>
    </row>
    <row r="18" spans="1:3" ht="20.100000000000001" customHeight="1" thickBot="1" x14ac:dyDescent="0.35">
      <c r="A18" s="2" t="s">
        <v>48</v>
      </c>
      <c r="C18" s="16" t="s">
        <v>78</v>
      </c>
    </row>
    <row r="19" spans="1:3" ht="20.100000000000001" customHeight="1" thickBot="1" x14ac:dyDescent="0.35">
      <c r="A19" s="2" t="s">
        <v>49</v>
      </c>
      <c r="C19" s="16" t="s">
        <v>79</v>
      </c>
    </row>
    <row r="20" spans="1:3" ht="20.100000000000001" customHeight="1" thickBot="1" x14ac:dyDescent="0.35">
      <c r="A20" s="2" t="s">
        <v>50</v>
      </c>
      <c r="C20" s="16" t="s">
        <v>80</v>
      </c>
    </row>
    <row r="21" spans="1:3" ht="20.100000000000001" customHeight="1" thickBot="1" x14ac:dyDescent="0.35">
      <c r="A21" s="2" t="s">
        <v>51</v>
      </c>
      <c r="C21" s="16" t="s">
        <v>81</v>
      </c>
    </row>
    <row r="22" spans="1:3" ht="20.100000000000001" customHeight="1" thickBot="1" x14ac:dyDescent="0.35">
      <c r="A22" s="2" t="s">
        <v>11</v>
      </c>
      <c r="C22" s="16" t="s">
        <v>82</v>
      </c>
    </row>
    <row r="23" spans="1:3" ht="20.100000000000001" customHeight="1" thickBot="1" x14ac:dyDescent="0.35">
      <c r="A23" s="2" t="s">
        <v>12</v>
      </c>
      <c r="C23" s="16" t="s">
        <v>83</v>
      </c>
    </row>
    <row r="24" spans="1:3" ht="20.100000000000001" customHeight="1" thickBot="1" x14ac:dyDescent="0.35">
      <c r="A24" s="2" t="s">
        <v>15</v>
      </c>
      <c r="C24" s="16" t="s">
        <v>84</v>
      </c>
    </row>
    <row r="25" spans="1:3" ht="20.100000000000001" customHeight="1" thickBot="1" x14ac:dyDescent="0.35">
      <c r="A25" s="2" t="s">
        <v>28</v>
      </c>
      <c r="C25" s="16" t="s">
        <v>85</v>
      </c>
    </row>
    <row r="26" spans="1:3" ht="20.100000000000001" customHeight="1" thickBot="1" x14ac:dyDescent="0.35">
      <c r="A26" s="2" t="s">
        <v>29</v>
      </c>
      <c r="C26" s="16" t="s">
        <v>86</v>
      </c>
    </row>
    <row r="27" spans="1:3" ht="20.100000000000001" customHeight="1" thickBot="1" x14ac:dyDescent="0.35">
      <c r="A27" s="2" t="s">
        <v>13</v>
      </c>
      <c r="C27" s="16" t="s">
        <v>87</v>
      </c>
    </row>
    <row r="28" spans="1:3" ht="20.100000000000001" customHeight="1" thickBot="1" x14ac:dyDescent="0.35">
      <c r="A28" s="2" t="s">
        <v>30</v>
      </c>
      <c r="C28" s="16"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5"/>
    </row>
    <row r="36" spans="1:9" s="14" customFormat="1" ht="20.100000000000001" customHeight="1" x14ac:dyDescent="0.3">
      <c r="A36" s="12"/>
      <c r="B36" s="13"/>
      <c r="C36" s="13"/>
      <c r="D36" s="13"/>
      <c r="E36" s="13"/>
      <c r="F36" s="13"/>
      <c r="G36" s="13"/>
      <c r="H36" s="13"/>
      <c r="I36" s="13"/>
    </row>
    <row r="37" spans="1:9" ht="20.100000000000001" customHeight="1" thickBot="1" x14ac:dyDescent="0.35"/>
    <row r="38" spans="1:9" ht="20.100000000000001" customHeight="1" thickBot="1" x14ac:dyDescent="0.35">
      <c r="A38" s="2" t="s">
        <v>56</v>
      </c>
    </row>
    <row r="39" spans="1:9" ht="20.100000000000001" customHeight="1" thickBot="1" x14ac:dyDescent="0.35">
      <c r="A39" s="10">
        <v>45901</v>
      </c>
    </row>
    <row r="40" spans="1:9" ht="20.100000000000001" customHeight="1" thickBot="1" x14ac:dyDescent="0.35">
      <c r="A40" s="10">
        <v>45902</v>
      </c>
    </row>
    <row r="41" spans="1:9" ht="20.100000000000001" customHeight="1" thickBot="1" x14ac:dyDescent="0.35">
      <c r="A41" s="10">
        <v>45903</v>
      </c>
    </row>
    <row r="42" spans="1:9" ht="20.100000000000001" customHeight="1" thickBot="1" x14ac:dyDescent="0.35">
      <c r="A42" s="10">
        <v>45904</v>
      </c>
    </row>
    <row r="43" spans="1:9" ht="20.100000000000001" customHeight="1" thickBot="1" x14ac:dyDescent="0.35">
      <c r="A43" s="10">
        <v>45905</v>
      </c>
    </row>
    <row r="44" spans="1:9" ht="20.100000000000001" customHeight="1" thickBot="1" x14ac:dyDescent="0.35">
      <c r="A44" s="10">
        <v>45906</v>
      </c>
    </row>
    <row r="45" spans="1:9" ht="20.100000000000001" customHeight="1" thickBot="1" x14ac:dyDescent="0.35">
      <c r="A45" s="10">
        <v>45907</v>
      </c>
    </row>
    <row r="46" spans="1:9" ht="20.100000000000001" customHeight="1" thickBot="1" x14ac:dyDescent="0.35">
      <c r="A46" s="10">
        <v>45908</v>
      </c>
    </row>
    <row r="47" spans="1:9" ht="20.100000000000001" customHeight="1" thickBot="1" x14ac:dyDescent="0.35">
      <c r="A47" s="10">
        <v>45909</v>
      </c>
    </row>
    <row r="48" spans="1:9" ht="20.100000000000001" customHeight="1" thickBot="1" x14ac:dyDescent="0.35">
      <c r="A48" s="10">
        <v>45910</v>
      </c>
    </row>
    <row r="49" spans="1:1" ht="20.100000000000001" customHeight="1" thickBot="1" x14ac:dyDescent="0.35">
      <c r="A49" s="10">
        <v>45911</v>
      </c>
    </row>
    <row r="50" spans="1:1" ht="20.100000000000001" customHeight="1" thickBot="1" x14ac:dyDescent="0.35">
      <c r="A50" s="10">
        <v>45912</v>
      </c>
    </row>
    <row r="51" spans="1:1" ht="20.100000000000001" customHeight="1" thickBot="1" x14ac:dyDescent="0.35">
      <c r="A51" s="10">
        <v>45913</v>
      </c>
    </row>
    <row r="52" spans="1:1" ht="20.100000000000001" customHeight="1" thickBot="1" x14ac:dyDescent="0.35">
      <c r="A52" s="10">
        <v>45914</v>
      </c>
    </row>
    <row r="53" spans="1:1" ht="20.100000000000001" customHeight="1" thickBot="1" x14ac:dyDescent="0.35">
      <c r="A53" s="10">
        <v>45915</v>
      </c>
    </row>
    <row r="54" spans="1:1" ht="20.100000000000001" customHeight="1" thickBot="1" x14ac:dyDescent="0.35">
      <c r="A54" s="10">
        <v>45916</v>
      </c>
    </row>
    <row r="55" spans="1:1" ht="20.100000000000001" customHeight="1" thickBot="1" x14ac:dyDescent="0.35">
      <c r="A55" s="10">
        <v>45917</v>
      </c>
    </row>
    <row r="56" spans="1:1" ht="20.100000000000001" customHeight="1" thickBot="1" x14ac:dyDescent="0.35">
      <c r="A56" s="10">
        <v>45918</v>
      </c>
    </row>
    <row r="57" spans="1:1" ht="20.100000000000001" customHeight="1" thickBot="1" x14ac:dyDescent="0.35">
      <c r="A57" s="10">
        <v>45919</v>
      </c>
    </row>
    <row r="58" spans="1:1" ht="20.100000000000001" customHeight="1" thickBot="1" x14ac:dyDescent="0.35">
      <c r="A58" s="10">
        <v>45920</v>
      </c>
    </row>
    <row r="59" spans="1:1" ht="20.100000000000001" customHeight="1" thickBot="1" x14ac:dyDescent="0.35">
      <c r="A59" s="10">
        <v>45921</v>
      </c>
    </row>
    <row r="60" spans="1:1" ht="20.100000000000001" customHeight="1" thickBot="1" x14ac:dyDescent="0.35">
      <c r="A60" s="10">
        <v>45922</v>
      </c>
    </row>
    <row r="61" spans="1:1" ht="20.100000000000001" customHeight="1" thickBot="1" x14ac:dyDescent="0.35">
      <c r="A61" s="10">
        <v>45923</v>
      </c>
    </row>
    <row r="62" spans="1:1" ht="20.100000000000001" customHeight="1" thickBot="1" x14ac:dyDescent="0.35">
      <c r="A62" s="10">
        <v>45924</v>
      </c>
    </row>
    <row r="63" spans="1:1" ht="20.100000000000001" customHeight="1" thickBot="1" x14ac:dyDescent="0.35">
      <c r="A63" s="10">
        <v>45925</v>
      </c>
    </row>
    <row r="64" spans="1:1" ht="20.100000000000001" customHeight="1" thickBot="1" x14ac:dyDescent="0.35">
      <c r="A64" s="10">
        <v>45926</v>
      </c>
    </row>
    <row r="65" spans="1:1" ht="20.100000000000001" customHeight="1" thickBot="1" x14ac:dyDescent="0.35">
      <c r="A65" s="10">
        <v>45927</v>
      </c>
    </row>
    <row r="66" spans="1:1" ht="20.100000000000001" customHeight="1" thickBot="1" x14ac:dyDescent="0.35">
      <c r="A66" s="10">
        <v>45928</v>
      </c>
    </row>
    <row r="67" spans="1:1" ht="20.100000000000001" customHeight="1" thickBot="1" x14ac:dyDescent="0.35">
      <c r="A67" s="10">
        <v>45929</v>
      </c>
    </row>
    <row r="68" spans="1:1" ht="20.100000000000001" customHeight="1" thickBot="1" x14ac:dyDescent="0.35">
      <c r="A68" s="10">
        <v>45930</v>
      </c>
    </row>
    <row r="69" spans="1:1" ht="20.100000000000001" customHeight="1" thickBot="1" x14ac:dyDescent="0.35">
      <c r="A69" s="10">
        <v>45931</v>
      </c>
    </row>
    <row r="70" spans="1:1" ht="20.100000000000001" customHeight="1" thickBot="1" x14ac:dyDescent="0.35">
      <c r="A70" s="10">
        <v>45932</v>
      </c>
    </row>
    <row r="71" spans="1:1" ht="20.100000000000001" customHeight="1" thickBot="1" x14ac:dyDescent="0.35">
      <c r="A71" s="10">
        <v>45933</v>
      </c>
    </row>
    <row r="72" spans="1:1" ht="20.100000000000001" customHeight="1" thickBot="1" x14ac:dyDescent="0.35">
      <c r="A72" s="10">
        <v>45934</v>
      </c>
    </row>
    <row r="73" spans="1:1" ht="20.100000000000001" customHeight="1" thickBot="1" x14ac:dyDescent="0.35">
      <c r="A73" s="10">
        <v>45935</v>
      </c>
    </row>
    <row r="74" spans="1:1" ht="20.100000000000001" customHeight="1" thickBot="1" x14ac:dyDescent="0.35">
      <c r="A74" s="10">
        <v>45936</v>
      </c>
    </row>
    <row r="75" spans="1:1" ht="20.100000000000001" customHeight="1" thickBot="1" x14ac:dyDescent="0.35">
      <c r="A75" s="10">
        <v>45937</v>
      </c>
    </row>
    <row r="76" spans="1:1" ht="20.100000000000001" customHeight="1" thickBot="1" x14ac:dyDescent="0.35">
      <c r="A76" s="10">
        <v>45938</v>
      </c>
    </row>
    <row r="77" spans="1:1" ht="20.100000000000001" customHeight="1" thickBot="1" x14ac:dyDescent="0.35">
      <c r="A77" s="10">
        <v>45939</v>
      </c>
    </row>
    <row r="78" spans="1:1" ht="20.100000000000001" customHeight="1" thickBot="1" x14ac:dyDescent="0.35">
      <c r="A78" s="10">
        <v>45940</v>
      </c>
    </row>
    <row r="79" spans="1:1" ht="20.100000000000001" customHeight="1" thickBot="1" x14ac:dyDescent="0.35">
      <c r="A79" s="10">
        <v>45941</v>
      </c>
    </row>
    <row r="80" spans="1:1" ht="20.100000000000001" customHeight="1" thickBot="1" x14ac:dyDescent="0.35">
      <c r="A80" s="10">
        <v>45942</v>
      </c>
    </row>
    <row r="81" spans="1:1" ht="20.100000000000001" customHeight="1" thickBot="1" x14ac:dyDescent="0.35">
      <c r="A81" s="10">
        <v>45943</v>
      </c>
    </row>
    <row r="82" spans="1:1" ht="20.100000000000001" customHeight="1" thickBot="1" x14ac:dyDescent="0.35">
      <c r="A82" s="10">
        <v>45944</v>
      </c>
    </row>
    <row r="83" spans="1:1" ht="20.100000000000001" customHeight="1" thickBot="1" x14ac:dyDescent="0.35">
      <c r="A83" s="10">
        <v>45945</v>
      </c>
    </row>
    <row r="84" spans="1:1" ht="20.100000000000001" customHeight="1" thickBot="1" x14ac:dyDescent="0.35">
      <c r="A84" s="10">
        <v>45946</v>
      </c>
    </row>
    <row r="85" spans="1:1" ht="20.100000000000001" customHeight="1" thickBot="1" x14ac:dyDescent="0.35">
      <c r="A85" s="10">
        <v>45947</v>
      </c>
    </row>
    <row r="86" spans="1:1" ht="20.100000000000001" customHeight="1" thickBot="1" x14ac:dyDescent="0.35">
      <c r="A86" s="10">
        <v>45948</v>
      </c>
    </row>
    <row r="87" spans="1:1" ht="20.100000000000001" customHeight="1" thickBot="1" x14ac:dyDescent="0.35">
      <c r="A87" s="10">
        <v>45949</v>
      </c>
    </row>
    <row r="88" spans="1:1" ht="20.100000000000001" customHeight="1" thickBot="1" x14ac:dyDescent="0.35">
      <c r="A88" s="10">
        <v>45950</v>
      </c>
    </row>
    <row r="89" spans="1:1" ht="20.100000000000001" customHeight="1" thickBot="1" x14ac:dyDescent="0.35">
      <c r="A89" s="10">
        <v>45951</v>
      </c>
    </row>
    <row r="90" spans="1:1" ht="20.100000000000001" customHeight="1" thickBot="1" x14ac:dyDescent="0.35">
      <c r="A90" s="10">
        <v>45952</v>
      </c>
    </row>
    <row r="91" spans="1:1" ht="20.100000000000001" customHeight="1" thickBot="1" x14ac:dyDescent="0.35">
      <c r="A91" s="10">
        <v>45953</v>
      </c>
    </row>
    <row r="92" spans="1:1" ht="20.100000000000001" customHeight="1" thickBot="1" x14ac:dyDescent="0.35">
      <c r="A92" s="10">
        <v>45954</v>
      </c>
    </row>
    <row r="93" spans="1:1" ht="20.100000000000001" customHeight="1" thickBot="1" x14ac:dyDescent="0.35">
      <c r="A93" s="10">
        <v>45955</v>
      </c>
    </row>
    <row r="94" spans="1:1" ht="20.100000000000001" customHeight="1" thickBot="1" x14ac:dyDescent="0.35">
      <c r="A94" s="10">
        <v>45956</v>
      </c>
    </row>
    <row r="95" spans="1:1" ht="20.100000000000001" customHeight="1" thickBot="1" x14ac:dyDescent="0.35">
      <c r="A95" s="10">
        <v>45957</v>
      </c>
    </row>
    <row r="96" spans="1:1" ht="20.100000000000001" customHeight="1" thickBot="1" x14ac:dyDescent="0.35">
      <c r="A96" s="10">
        <v>45958</v>
      </c>
    </row>
    <row r="97" spans="1:9" ht="20.100000000000001" customHeight="1" thickBot="1" x14ac:dyDescent="0.35">
      <c r="A97" s="10">
        <v>45959</v>
      </c>
    </row>
    <row r="98" spans="1:9" ht="20.100000000000001" customHeight="1" thickBot="1" x14ac:dyDescent="0.35">
      <c r="A98" s="10">
        <v>45960</v>
      </c>
    </row>
    <row r="99" spans="1:9" ht="20.100000000000001" customHeight="1" thickBot="1" x14ac:dyDescent="0.35">
      <c r="A99" s="10">
        <v>45961</v>
      </c>
    </row>
    <row r="100" spans="1:9" ht="20.100000000000001" customHeight="1" thickBot="1" x14ac:dyDescent="0.35">
      <c r="A100" s="10">
        <v>45962</v>
      </c>
    </row>
    <row r="101" spans="1:9" ht="20.100000000000001" customHeight="1" thickBot="1" x14ac:dyDescent="0.35">
      <c r="A101" s="10">
        <v>45963</v>
      </c>
    </row>
    <row r="102" spans="1:9" ht="20.100000000000001" customHeight="1" thickBot="1" x14ac:dyDescent="0.35">
      <c r="A102" s="10">
        <v>45964</v>
      </c>
    </row>
    <row r="103" spans="1:9" ht="20.100000000000001" customHeight="1" thickBot="1" x14ac:dyDescent="0.35">
      <c r="A103" s="10">
        <v>45965</v>
      </c>
    </row>
    <row r="104" spans="1:9" ht="20.100000000000001" customHeight="1" thickBot="1" x14ac:dyDescent="0.35">
      <c r="A104" s="10">
        <v>45966</v>
      </c>
    </row>
    <row r="105" spans="1:9" ht="20.100000000000001" customHeight="1" thickBot="1" x14ac:dyDescent="0.35">
      <c r="A105" s="10">
        <v>45967</v>
      </c>
    </row>
    <row r="106" spans="1:9" ht="20.100000000000001" customHeight="1" thickBot="1" x14ac:dyDescent="0.35">
      <c r="A106" s="10">
        <v>45968</v>
      </c>
    </row>
    <row r="107" spans="1:9" ht="20.100000000000001" customHeight="1" x14ac:dyDescent="0.3">
      <c r="A107" s="11"/>
    </row>
    <row r="108" spans="1:9" ht="20.100000000000001" customHeight="1" x14ac:dyDescent="0.3">
      <c r="A108" s="11"/>
    </row>
    <row r="109" spans="1:9" s="14" customFormat="1" ht="20.100000000000001" customHeight="1" x14ac:dyDescent="0.3">
      <c r="A109" s="12"/>
      <c r="B109" s="13"/>
      <c r="C109" s="13"/>
      <c r="D109" s="13"/>
      <c r="E109" s="13"/>
      <c r="F109" s="13"/>
      <c r="G109" s="13"/>
      <c r="H109" s="13"/>
      <c r="I109" s="13"/>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17" t="s">
        <v>89</v>
      </c>
    </row>
    <row r="200" spans="1:1" ht="20.100000000000001" customHeight="1" x14ac:dyDescent="0.3">
      <c r="A200" s="17" t="s">
        <v>90</v>
      </c>
    </row>
    <row r="201" spans="1:1" ht="20.100000000000001" customHeight="1" x14ac:dyDescent="0.3">
      <c r="A201" s="17" t="s">
        <v>91</v>
      </c>
    </row>
    <row r="202" spans="1:1" ht="20.100000000000001" customHeight="1" x14ac:dyDescent="0.3">
      <c r="A202" s="17" t="s">
        <v>92</v>
      </c>
    </row>
    <row r="203" spans="1:1" ht="20.100000000000001" customHeight="1" x14ac:dyDescent="0.3">
      <c r="A203" s="17" t="s">
        <v>93</v>
      </c>
    </row>
    <row r="204" spans="1:1" ht="20.100000000000001" customHeight="1" x14ac:dyDescent="0.3">
      <c r="A204" s="17" t="s">
        <v>94</v>
      </c>
    </row>
    <row r="205" spans="1:1" ht="20.100000000000001" customHeight="1" x14ac:dyDescent="0.3">
      <c r="A205" s="17" t="s">
        <v>95</v>
      </c>
    </row>
    <row r="206" spans="1:1" ht="20.100000000000001" customHeight="1" x14ac:dyDescent="0.3">
      <c r="A206" s="17" t="s">
        <v>96</v>
      </c>
    </row>
    <row r="207" spans="1:1" ht="20.100000000000001" customHeight="1" x14ac:dyDescent="0.3">
      <c r="A207" s="17" t="s">
        <v>97</v>
      </c>
    </row>
    <row r="208" spans="1:1" ht="20.100000000000001" customHeight="1" x14ac:dyDescent="0.3">
      <c r="A208" s="18" t="s">
        <v>98</v>
      </c>
    </row>
    <row r="209" spans="1:1" ht="20.100000000000001" customHeight="1" x14ac:dyDescent="0.3">
      <c r="A209" s="18" t="s">
        <v>99</v>
      </c>
    </row>
    <row r="210" spans="1:1" ht="20.100000000000001" customHeight="1" x14ac:dyDescent="0.3">
      <c r="A210" s="17" t="s">
        <v>100</v>
      </c>
    </row>
    <row r="211" spans="1:1" ht="20.100000000000001" customHeight="1" x14ac:dyDescent="0.3">
      <c r="A211" s="17" t="s">
        <v>101</v>
      </c>
    </row>
    <row r="212" spans="1:1" ht="20.100000000000001" customHeight="1" x14ac:dyDescent="0.3">
      <c r="A212" s="17" t="s">
        <v>102</v>
      </c>
    </row>
    <row r="213" spans="1:1" ht="20.100000000000001" customHeight="1" x14ac:dyDescent="0.3">
      <c r="A213" s="17" t="s">
        <v>103</v>
      </c>
    </row>
    <row r="214" spans="1:1" ht="20.100000000000001" customHeight="1" x14ac:dyDescent="0.3">
      <c r="A214" s="17" t="s">
        <v>104</v>
      </c>
    </row>
    <row r="215" spans="1:1" ht="20.100000000000001" customHeight="1" x14ac:dyDescent="0.3">
      <c r="A215" s="17" t="s">
        <v>105</v>
      </c>
    </row>
    <row r="216" spans="1:1" ht="20.100000000000001" customHeight="1" x14ac:dyDescent="0.3">
      <c r="A216" s="17" t="s">
        <v>106</v>
      </c>
    </row>
    <row r="217" spans="1:1" ht="20.100000000000001" customHeight="1" x14ac:dyDescent="0.3">
      <c r="A217" s="17" t="s">
        <v>107</v>
      </c>
    </row>
    <row r="218" spans="1:1" ht="20.100000000000001" customHeight="1" x14ac:dyDescent="0.3">
      <c r="A218" s="17" t="s">
        <v>108</v>
      </c>
    </row>
    <row r="219" spans="1:1" ht="20.100000000000001" customHeight="1" x14ac:dyDescent="0.3">
      <c r="A219" s="17" t="s">
        <v>109</v>
      </c>
    </row>
    <row r="220" spans="1:1" ht="20.100000000000001" customHeight="1" x14ac:dyDescent="0.3">
      <c r="A220" s="17" t="s">
        <v>110</v>
      </c>
    </row>
    <row r="221" spans="1:1" ht="20.100000000000001" customHeight="1" x14ac:dyDescent="0.3">
      <c r="A221" s="17" t="s">
        <v>111</v>
      </c>
    </row>
    <row r="222" spans="1:1" ht="20.100000000000001" customHeight="1" x14ac:dyDescent="0.3">
      <c r="A222" s="17" t="s">
        <v>112</v>
      </c>
    </row>
    <row r="223" spans="1:1" ht="20.100000000000001" customHeight="1" x14ac:dyDescent="0.3">
      <c r="A223" s="17" t="s">
        <v>113</v>
      </c>
    </row>
    <row r="224" spans="1:1" ht="20.100000000000001" customHeight="1" x14ac:dyDescent="0.3">
      <c r="A224" s="17" t="s">
        <v>114</v>
      </c>
    </row>
    <row r="225" spans="1:1" ht="20.100000000000001" customHeight="1" x14ac:dyDescent="0.3">
      <c r="A225" s="17" t="s">
        <v>115</v>
      </c>
    </row>
    <row r="226" spans="1:1" ht="20.100000000000001" customHeight="1" x14ac:dyDescent="0.3">
      <c r="A226" s="17" t="s">
        <v>116</v>
      </c>
    </row>
    <row r="227" spans="1:1" ht="20.100000000000001" customHeight="1" x14ac:dyDescent="0.3">
      <c r="A227" s="17" t="s">
        <v>117</v>
      </c>
    </row>
    <row r="228" spans="1:1" ht="20.100000000000001" customHeight="1" x14ac:dyDescent="0.3">
      <c r="A228" s="17" t="s">
        <v>118</v>
      </c>
    </row>
    <row r="229" spans="1:1" ht="20.100000000000001" customHeight="1" x14ac:dyDescent="0.3">
      <c r="A229" s="17" t="s">
        <v>119</v>
      </c>
    </row>
    <row r="230" spans="1:1" ht="20.100000000000001" customHeight="1" x14ac:dyDescent="0.3">
      <c r="A230" s="17" t="s">
        <v>120</v>
      </c>
    </row>
    <row r="231" spans="1:1" ht="20.100000000000001" customHeight="1" x14ac:dyDescent="0.3">
      <c r="A231" s="17" t="s">
        <v>121</v>
      </c>
    </row>
    <row r="232" spans="1:1" ht="20.100000000000001" customHeight="1" x14ac:dyDescent="0.3">
      <c r="A232" s="17" t="s">
        <v>122</v>
      </c>
    </row>
    <row r="233" spans="1:1" ht="20.100000000000001" customHeight="1" x14ac:dyDescent="0.3">
      <c r="A233" s="17" t="s">
        <v>123</v>
      </c>
    </row>
    <row r="234" spans="1:1" ht="20.100000000000001" customHeight="1" x14ac:dyDescent="0.3">
      <c r="A234" s="17" t="s">
        <v>124</v>
      </c>
    </row>
    <row r="235" spans="1:1" ht="20.100000000000001" customHeight="1" x14ac:dyDescent="0.3">
      <c r="A235" s="19" t="s">
        <v>125</v>
      </c>
    </row>
    <row r="236" spans="1:1" ht="20.100000000000001" customHeight="1" x14ac:dyDescent="0.3">
      <c r="A236" s="17" t="s">
        <v>126</v>
      </c>
    </row>
    <row r="237" spans="1:1" ht="20.100000000000001" customHeight="1" x14ac:dyDescent="0.3">
      <c r="A237" s="17" t="s">
        <v>127</v>
      </c>
    </row>
    <row r="238" spans="1:1" ht="20.100000000000001" customHeight="1" x14ac:dyDescent="0.3">
      <c r="A238" s="17" t="s">
        <v>128</v>
      </c>
    </row>
    <row r="239" spans="1:1" ht="20.100000000000001" customHeight="1" x14ac:dyDescent="0.3">
      <c r="A239" s="17" t="s">
        <v>129</v>
      </c>
    </row>
    <row r="240" spans="1:1" ht="20.100000000000001" customHeight="1" x14ac:dyDescent="0.3">
      <c r="A240" s="17" t="s">
        <v>130</v>
      </c>
    </row>
    <row r="241" spans="1:1" ht="20.100000000000001" customHeight="1" x14ac:dyDescent="0.3">
      <c r="A241" s="17" t="s">
        <v>131</v>
      </c>
    </row>
    <row r="242" spans="1:1" ht="20.100000000000001" customHeight="1" x14ac:dyDescent="0.3">
      <c r="A242" s="17" t="s">
        <v>132</v>
      </c>
    </row>
    <row r="243" spans="1:1" ht="20.100000000000001" customHeight="1" x14ac:dyDescent="0.3">
      <c r="A243" s="17" t="s">
        <v>133</v>
      </c>
    </row>
    <row r="244" spans="1:1" ht="20.100000000000001" customHeight="1" x14ac:dyDescent="0.3">
      <c r="A244" s="17" t="s">
        <v>134</v>
      </c>
    </row>
    <row r="245" spans="1:1" ht="20.100000000000001" customHeight="1" x14ac:dyDescent="0.3">
      <c r="A245" s="17" t="s">
        <v>135</v>
      </c>
    </row>
    <row r="246" spans="1:1" ht="20.100000000000001" customHeight="1" x14ac:dyDescent="0.3">
      <c r="A246" s="17" t="s">
        <v>136</v>
      </c>
    </row>
    <row r="247" spans="1:1" ht="20.100000000000001" customHeight="1" x14ac:dyDescent="0.3">
      <c r="A247" s="17" t="s">
        <v>127</v>
      </c>
    </row>
    <row r="248" spans="1:1" ht="20.100000000000001" customHeight="1" x14ac:dyDescent="0.3">
      <c r="A248" s="17" t="s">
        <v>137</v>
      </c>
    </row>
    <row r="249" spans="1:1" ht="20.100000000000001" customHeight="1" x14ac:dyDescent="0.3">
      <c r="A249" s="17" t="s">
        <v>138</v>
      </c>
    </row>
    <row r="250" spans="1:1" ht="20.100000000000001" customHeight="1" x14ac:dyDescent="0.3">
      <c r="A250" s="19" t="s">
        <v>139</v>
      </c>
    </row>
    <row r="251" spans="1:1" ht="20.100000000000001" customHeight="1" x14ac:dyDescent="0.3">
      <c r="A251" s="20" t="s">
        <v>140</v>
      </c>
    </row>
    <row r="252" spans="1:1" ht="20.100000000000001" customHeight="1" x14ac:dyDescent="0.3">
      <c r="A252" s="17" t="s">
        <v>141</v>
      </c>
    </row>
    <row r="253" spans="1:1" ht="20.100000000000001" customHeight="1" x14ac:dyDescent="0.3">
      <c r="A253" s="17" t="s">
        <v>142</v>
      </c>
    </row>
    <row r="254" spans="1:1" ht="20.100000000000001" customHeight="1" x14ac:dyDescent="0.3">
      <c r="A254" s="21" t="s">
        <v>143</v>
      </c>
    </row>
    <row r="255" spans="1:1" ht="20.100000000000001" customHeight="1" x14ac:dyDescent="0.3">
      <c r="A255" s="21" t="s">
        <v>144</v>
      </c>
    </row>
    <row r="256" spans="1:1" ht="20.100000000000001" customHeight="1" x14ac:dyDescent="0.3">
      <c r="A256" s="22" t="s">
        <v>145</v>
      </c>
    </row>
    <row r="257" spans="1:1" ht="20.100000000000001" customHeight="1" x14ac:dyDescent="0.3">
      <c r="A257" s="17" t="s">
        <v>146</v>
      </c>
    </row>
    <row r="258" spans="1:1" ht="20.100000000000001" customHeight="1" x14ac:dyDescent="0.3">
      <c r="A258" s="22" t="s">
        <v>147</v>
      </c>
    </row>
    <row r="259" spans="1:1" ht="20.100000000000001" customHeight="1" x14ac:dyDescent="0.3">
      <c r="A259" s="17" t="s">
        <v>148</v>
      </c>
    </row>
    <row r="260" spans="1:1" ht="20.100000000000001" customHeight="1" x14ac:dyDescent="0.3">
      <c r="A260" s="22" t="s">
        <v>149</v>
      </c>
    </row>
    <row r="261" spans="1:1" ht="20.100000000000001" customHeight="1" x14ac:dyDescent="0.3">
      <c r="A261" s="17" t="s">
        <v>150</v>
      </c>
    </row>
    <row r="262" spans="1:1" ht="20.100000000000001" customHeight="1" x14ac:dyDescent="0.3">
      <c r="A262" s="17" t="s">
        <v>151</v>
      </c>
    </row>
    <row r="263" spans="1:1" ht="20.100000000000001" customHeight="1" x14ac:dyDescent="0.3">
      <c r="A263" s="22" t="s">
        <v>152</v>
      </c>
    </row>
    <row r="264" spans="1:1" ht="20.100000000000001" customHeight="1" x14ac:dyDescent="0.3">
      <c r="A264" s="22" t="s">
        <v>153</v>
      </c>
    </row>
    <row r="265" spans="1:1" ht="20.100000000000001" customHeight="1" x14ac:dyDescent="0.3">
      <c r="A265" s="22" t="s">
        <v>154</v>
      </c>
    </row>
    <row r="266" spans="1:1" ht="20.100000000000001" customHeight="1" x14ac:dyDescent="0.3">
      <c r="A266" s="17" t="s">
        <v>155</v>
      </c>
    </row>
    <row r="267" spans="1:1" ht="20.100000000000001" customHeight="1" x14ac:dyDescent="0.3">
      <c r="A267" s="17" t="s">
        <v>156</v>
      </c>
    </row>
    <row r="268" spans="1:1" ht="20.100000000000001" customHeight="1" x14ac:dyDescent="0.3">
      <c r="A268" s="17" t="s">
        <v>157</v>
      </c>
    </row>
    <row r="269" spans="1:1" ht="20.100000000000001" customHeight="1" x14ac:dyDescent="0.3">
      <c r="A269" s="17" t="s">
        <v>158</v>
      </c>
    </row>
    <row r="270" spans="1:1" ht="20.100000000000001" customHeight="1" x14ac:dyDescent="0.3">
      <c r="A270" s="22" t="s">
        <v>159</v>
      </c>
    </row>
    <row r="271" spans="1:1" ht="20.100000000000001" customHeight="1" x14ac:dyDescent="0.3">
      <c r="A271" s="22" t="s">
        <v>160</v>
      </c>
    </row>
    <row r="272" spans="1:1" ht="20.100000000000001" customHeight="1" x14ac:dyDescent="0.3">
      <c r="A272" s="17" t="s">
        <v>161</v>
      </c>
    </row>
    <row r="273" spans="1:1" ht="20.100000000000001" customHeight="1" x14ac:dyDescent="0.3">
      <c r="A273" s="22" t="s">
        <v>162</v>
      </c>
    </row>
    <row r="274" spans="1:1" ht="20.100000000000001" customHeight="1" x14ac:dyDescent="0.3">
      <c r="A274" s="22" t="s">
        <v>163</v>
      </c>
    </row>
    <row r="275" spans="1:1" ht="20.100000000000001" customHeight="1" x14ac:dyDescent="0.3">
      <c r="A275" s="17" t="s">
        <v>164</v>
      </c>
    </row>
    <row r="276" spans="1:1" ht="20.100000000000001" customHeight="1" x14ac:dyDescent="0.3">
      <c r="A276" s="17" t="s">
        <v>165</v>
      </c>
    </row>
    <row r="277" spans="1:1" ht="20.100000000000001" customHeight="1" x14ac:dyDescent="0.3">
      <c r="A277" s="22" t="s">
        <v>166</v>
      </c>
    </row>
    <row r="278" spans="1:1" ht="20.100000000000001" customHeight="1" x14ac:dyDescent="0.3">
      <c r="A278" s="17" t="s">
        <v>167</v>
      </c>
    </row>
    <row r="279" spans="1:1" ht="20.100000000000001" customHeight="1" x14ac:dyDescent="0.3">
      <c r="A279" s="17" t="s">
        <v>168</v>
      </c>
    </row>
    <row r="280" spans="1:1" ht="20.100000000000001" customHeight="1" x14ac:dyDescent="0.3">
      <c r="A280" s="17" t="s">
        <v>169</v>
      </c>
    </row>
    <row r="281" spans="1:1" ht="20.100000000000001" customHeight="1" x14ac:dyDescent="0.3">
      <c r="A281" s="17" t="s">
        <v>170</v>
      </c>
    </row>
    <row r="282" spans="1:1" ht="20.100000000000001" customHeight="1" x14ac:dyDescent="0.3">
      <c r="A282" s="22" t="s">
        <v>171</v>
      </c>
    </row>
    <row r="283" spans="1:1" ht="20.100000000000001" customHeight="1" x14ac:dyDescent="0.3">
      <c r="A283" s="22" t="s">
        <v>172</v>
      </c>
    </row>
    <row r="284" spans="1:1" ht="20.100000000000001" customHeight="1" x14ac:dyDescent="0.3">
      <c r="A284" s="22" t="s">
        <v>173</v>
      </c>
    </row>
    <row r="285" spans="1:1" ht="20.100000000000001" customHeight="1" thickBot="1" x14ac:dyDescent="0.35">
      <c r="A285" s="17"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2025-10-15T20:16:48Z</dcterms:modified>
</cp:coreProperties>
</file>