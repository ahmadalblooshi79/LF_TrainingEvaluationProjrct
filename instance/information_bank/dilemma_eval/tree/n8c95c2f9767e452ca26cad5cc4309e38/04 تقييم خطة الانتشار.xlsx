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C14CD3D1-EB20-B84F-B759-0F212D0DFF32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<sst xmlns="http://schemas.openxmlformats.org/spreadsheetml/2006/main" count="246" uniqueCount="190">
  <si>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</si>
  <si>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</si>
  <si>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</si>
  <si>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</si>
  <si>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</si>
  <si>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</si>
  <si>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</si>
  <si>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</si>
  <si>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</si>
  <si>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</si>
  <si>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</si>
  <si>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</si>
  <si>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</si>
  <si>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</si>
  <si>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</si>
  <si>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</si>
  <si>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</si>
  <si>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</si>
  <si>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</si>
  <si>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</si>
  <si>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</si>
  <si>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</si>
  <si>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</si>
  <si>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</si>
  <si>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</si>
  <si>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</si>
  <si>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</si>
  <si>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</si>
  <si>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</si>
  <si>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</si>
  <si>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</si>
  <si>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</si>
  <si>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</si>
  <si>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</si>
  <si>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</si>
  <si>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</si>
  <si>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</si>
  <si>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</si>
  <si>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</si>
  <si>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</si>
  <si>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</si>
  <si>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</si>
  <si>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</si>
  <si>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</si>
  <si>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</si>
  <si>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</si>
  <si>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</si>
  <si>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</si>
  <si>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</si>
  <si>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</si>
  <si>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</si>
  <si>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</si>
  <si>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</si>
  <si>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</si>
  <si>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</si>
  <si>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</si>
  <si>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</si>
  <si>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</si>
  <si>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</si>
  <si>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</si>
  <si>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</si>
  <si>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</si>
  <si>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</si>
  <si>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</si>
  <si>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</si>
  <si>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</si>
  <si>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</si>
  <si>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</si>
  <si>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</si>
  <si>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</si>
  <si>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</si>
  <si>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</si>
  <si>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</si>
  <si>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</si>
  <si>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</si>
  <si>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</si>
  <si>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</si>
  <si>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</si>
  <si>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</si>
  <si>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</si>
  <si>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</si>
  <si>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</si>
  <si>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</si>
  <si>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</si>
  <si>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</si>
  <si>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</si>
  <si>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</si>
  <si>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</si>
  <si>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</si>
  <si>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</si>
  <si>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</si>
  <si>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</si>
  <si>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</si>
  <si>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</si>
  <si>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</si>
  <si>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</si>
  <si>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</si>
  <si>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</si>
  <si>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</si>
  <si>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</si>
  <si>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</si>
  <si>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</si>
  <si>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</si>
  <si>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</si>
  <si>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</si>
  <si>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</si>
  <si>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</si>
  <si>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</si>
  <si>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</si>
  <si>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</si>
  <si>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</si>
  <si>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</si>
  <si>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</si>
  <si>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</si>
  <si>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</si>
  <si>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</si>
  <si>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</si>
  <si>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</si>
  <si>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</si>
  <si>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</si>
  <si>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</si>
  <si>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</si>
  <si>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</si>
  <si>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</si>
  <si>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</si>
  <si>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</si>
  <si>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</si>
  <si>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</si>
  <si>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</si>
  <si>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</si>
  <si>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</si>
  <si>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</si>
  <si>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</si>
  <si>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</si>
  <si>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</si>
  <si>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</si>
  <si>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</si>
  <si>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</si>
  <si>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</si>
  <si>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</si>
  <si>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</si>
  <si>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</si>
  <si>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</si>
  <si>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</si>
  <si>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</si>
  <si>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</si>
  <si>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</si>
  <si>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</si>
  <si>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</si>
  <si>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</si>
  <si>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</si>
  <si>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</si>
  <si>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</si>
  <si>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</si>
  <si>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</si>
  <si>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</si>
  <si>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</si>
  <si>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</si>
  <si>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</si>
  <si>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</si>
  <si>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</si>
  <si>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</si>
  <si>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</si>
  <si>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</si>
  <si>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</si>
  <si>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</si>
  <si>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</si>
  <si>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</si>
  <si>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</si>
  <si>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</si>
  <si>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</si>
  <si>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</si>
  <si>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</si>
  <si>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</si>
  <si>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</si>
  <si>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</si>
  <si>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</si>
  <si>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</si>
  <si>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</si>
  <si>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</si>
  <si>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خطة الانتشار في وحدات المناورة - تمرين جاهزية مجموعة لواء الإمارات/1 (جندي الصحراء 2025/20)</t>
  </si>
  <si>
    <r>
      <rPr>
        <b/>
        <sz val="12"/>
        <color theme="1"/>
        <rFont val="Arial"/>
        <family val="2"/>
      </rPr>
      <t xml:space="preserve">1.   </t>
    </r>
    <r>
      <rPr>
        <b/>
        <u/>
        <sz val="12"/>
        <color theme="1"/>
        <rFont val="Arial"/>
        <family val="2"/>
      </rPr>
      <t>الخطة</t>
    </r>
    <r>
      <rPr>
        <b/>
        <sz val="12"/>
        <color theme="1"/>
        <rFont val="Arial"/>
        <family val="2"/>
      </rPr>
      <t xml:space="preserve"> (يتم التأكد من التالي): </t>
    </r>
  </si>
  <si>
    <t>أ.    وجود الخطة واعتمادها.</t>
  </si>
  <si>
    <t>ب.  التقيد بالإطار العام.</t>
  </si>
  <si>
    <t>جـ.  التقيد بواجبات الأركان الصغرى في إعداد الخطة.</t>
  </si>
  <si>
    <t>2.   التقيد بالتدريب على تنفيذ الخطة ومدى واقعيتها للتطبيق (التدريب على مهام العمليات).</t>
  </si>
  <si>
    <t>3.   مدى إلمام المرتب بالخطة ومتطلباتها والواجبات المحددة لكل منهم.</t>
  </si>
  <si>
    <t>4.   مدى توفر المهمات والمعدات المطلوبة لتنفيذ الخطة (آليات، معدات، إلخ...).</t>
  </si>
  <si>
    <t>5.   التأكد من التنسيق مع المعنيين لتنفيذ الخطة.</t>
  </si>
  <si>
    <t>6.   مدى تنفيذ المستوى الخاضع للتقييم لجميع الإجراءات المطلوبة منهم في تطبيق الخطة حسب المعاضل التي تفرض من قبل فريق التقييم.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</si>
</sst>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137054</xdr:colOff>
      <xdr:row>20</xdr:row>
      <xdr:rowOff>82532</xdr:rowOff>
    </xdr:from>
    <xdr:to>
      <xdr:col>8</xdr:col>
      <xdr:colOff>328991</xdr:colOff>
      <xdr:row>20</xdr:row>
      <xdr:rowOff>384572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6603F80-AAE8-996E-3F7A-2E91C0B362CA}"/>
                </a:ext>
              </a:extLst>
            </xdr14:cNvPr>
            <xdr14:cNvContentPartPr/>
          </xdr14:nvContentPartPr>
          <xdr14:nvPr macro=""/>
          <xdr14:xfrm>
            <a:off x="10423373809" y="8975520"/>
            <a:ext cx="846360" cy="3020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6603F80-AAE8-996E-3F7A-2E91C0B362C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365169" y="8966880"/>
              <a:ext cx="864000" cy="31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553214</xdr:colOff>
      <xdr:row>20</xdr:row>
      <xdr:rowOff>177212</xdr:rowOff>
    </xdr:from>
    <xdr:to>
      <xdr:col>8</xdr:col>
      <xdr:colOff>474071</xdr:colOff>
      <xdr:row>20</xdr:row>
      <xdr:rowOff>493652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7964589-92B7-9F59-E271-CA0190F8672A}"/>
                </a:ext>
              </a:extLst>
            </xdr14:cNvPr>
            <xdr14:cNvContentPartPr/>
          </xdr14:nvContentPartPr>
          <xdr14:nvPr macro=""/>
          <xdr14:xfrm>
            <a:off x="10423228729" y="9070200"/>
            <a:ext cx="575280" cy="3164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7964589-92B7-9F59-E271-CA0190F8672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220089" y="9061200"/>
              <a:ext cx="592920" cy="334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28:45.8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1734 368 1840,'0'0'0,"0"0"0,3 0 336,7 0 80,-8-4 0,2 2-192,5-1-192,-6 1-96,-3 2 64,9-3-112,-5 1 8,10 0 8,-3-1 24,1 1 24,0-1 16,-12 3 32,12-2 0,1-2 24,0 2 0,2 0 8,-2-2 0,1 2 8,-14 2-40,14-3 40,-3 1 16,3-1 16,-2 3 8,0-2 16,-2 2 16,-10 0-112,12-2 152,-1 2-16,1 0 24,0 0 8,0-3 0,0 3 16,-12 0-184,12 0 184,1 0-8,-2 0-7,1 0-9,0 0-16,-1 0-32,-11 0-112,12 0 136,-1 1-48,-2 1-16,1-1 0,-1-1-56,1 1 40,-10-1-56,10 1 64,0 0-48,0 2 0,-1-2-32,1 3-24,0-2 64,-10-2-24,9 4 32,-5-2-16,9 2 8,-9-1 16,9 0 0,-10 0 48,-3-3-88,14 4 168,-11-1-80,8 1 8,-9 0-8,8 5-64,-8-8 24,-2-1-48,4 5 80,0 5 0,-1-9-8,0 3 32,-1-3-32,0 2 16,-2-3-88,3 4 96,-3 0 48,0 5 32,0-8 0,0 3-24,0-1-40,0-3-112,-3 5 152,1 5-32,-2-8 48,1 8-24,-7-8-64,7 9 8,3-11-88,-13 5 144,9 6-80,-10-2 8,5-5-8,-3 7-104,1-2 72,11-9-32,-12 4 8,-1 9-24,0-3 24,-1-7-16,-1 10-24,0-3-32,15-10 64,-16 9-56,0-4-32,-2 7 0,2-8 112,-4 5-72,2-4 16,18-5 32,-18 11-40,0-1-32,1-6 96,-1 7-24,-2-6-16,4 6 32,16-11-16,-18 5-40,0 5 16,0-6 88,-1 6-32,-2-8-64,3 3 24,18-5 8,-18 5-72,0-1 8,0 0 144,1 0 0,0-2 8,0-1 40,17-1-128,-17 0 112,-1 0 32,1 0 112,-2 0 1,0 0 31,0-3 32,19 3-320,-19-3 280,-2 0 8,2-7 8,-1 8-104,-2-8-32,2 6-16,20 4-144,-20-12 48,0 10 40,1-10 56,-1 8-80,0-8 8,1 9 0,19 3-72,-19-12 24,1 8 104,-1-9-80,1 9 48,0-8-24,1 9-48,17 3-24,-16-4 80,2-8-48,0 9 0,1-7-16,-1 8-8,1-8 16,13 10-24,-13-2-24,1-2-32,-1-7 40,0 9-56,0 0-48,-2-2 8,15 4 112,-16-2-232,2-2 40,-1 2-24,-1-1-24,-1 1-16,1 2-8,16 0 264,-18 0-248,-2 0 64,4 0-32,-3 0-8,0 0-16,0 1-17,19-1 257,-19 1-208,-1-1 112,1 1 40,1-1 32,1 0 48,0 0-32,17 0 8,-16 0 64,2 0 72,1-3-8,1-1 1,1-5-33,6 5-72,5 4-24,-12-10 0,9 8-88,-2-10-33,0 8-71,1-11-8,1 4 8,3 11 192,-4-12-288,3 0-72,0-1-48,0-3-8,1 1 24,0-1 40,0 16 352,0-17-320,3 3 16,1 0 64,6-1 80,-8 2 24,7 0 16,-9 13 120,3-13-144,9 1-24,-9-1 0,12 1-9,-4 0 17,-1 0 24,-10 12 136,12-12-120,-1-2 32,4 2 32,-2 0-16,1 0 0,1 2 0,-15 10 72,15-10-96,1 1 16,-1 5 8,2-10 0,-1 10 0,-1-9 8,-15 13 64,17-4-40,0-5-16,1 5 32,0-6-8,-2 8 0,2-8 16,-18 10 16,18-2-8,0-2 0,2-5-16,-2 6-16,-1 1 8,1 0-8,-18 2 40,17-3-40,-1 1 16,-1 2-16,2 0 8,-1 0 8,-1 0 0,-15 0 24,16 0-24,-1 0 0,2 1 0,-1 1 16,-1 2-16,0 1 8,-15-5 16,14 9-56,-1-5-8,1 7-8,-2-6-8,-1 8 16,0-8 0,-11-5 64,11 14-48,-1-4 16,-7 2 0,9-2 32,-9 2 0,0 0 0,-3-12 0,10 12 0,-10 0-8,2 1 0,1 1 8,-3-2-8,0-12 8,0 12 0,0-2 8,0 0 0,0 1 16,0 0 0,-1 1 8,1-12-32,-2 9 48,0 2-8,-2 0 0,-5-2 16,5 3-16,-6-1 16,10-11-56,-3 11 56,-10-2 16,2 3 8,-1 0 40,-1 0 16,-2-1 32,15-11-168,-14 12 160,-3-2 32,-2-1 24,-1 2 0,-2-1 32,0-6 8,22-4-256,-21 15 192,-1-6 1,1 1-1,-2 1-64,1-2 32,-3 1-88,25-10-72,-24 11 88,-1-6-16,-1 8-32,1-4 16,-2 1-8,0 0 16,27-10-64,-27 9 104,0 2-16,-1 0 8,0-1-24,-1 1-8,0-1 0,29-10-64,-30 11 48,1-2 16,-1 2-16,0 0-16,0-2 8,-1 3-56,31-12 16,-32 11 48,-2 0-40,-1 0 16,1-2 8,0-4-48,0 8-8,34-13 24,-35 11-32,0-1 24,-1 0-24,1 0 72,2-6-8,0 8-80,33-12 48,-30 3 16,2 8-40,1-7-8,3-2 88,0 2-160,4-1 16,20-3 88,-17 1-160,2 1-256,1-2-240,4 0-489,-1 0 105,6-3 312,5 3 728,-11-3-440,8-1-1208,3 4 1648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28:47.0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1597 5 6833,'0'0'0,"0"0"0,0 0 3993,0 0-352,-1 0-2193,-1 0-824,-1-2-496,1-1-336,2 3 208,-1 0-248,0 0-152,-1 0 56,1 0 40,1 0 72,-1 0 104,1 0 128,-1 0-160,-2 0-16,0 0-16,-8 0 24,6 1 15,-9 1 49,14-2 104,-13 3-64,-2 1-24,-2 5 48,-1-4-24,-1 6-8,-1-1 16,20-10 56,-23 10-64,-1 1-24,1 1 88,-2 1 16,-1 1 8,-3-1 32,29-13-56,-30 14-8,0-1 16,-1 0-16,0 1-8,0-2 16,0 1 0,31-13 0,-31 12-8,0 0 16,-1 0-24,1-1-48,0-2-16,0 2-40,31-11 120,-29 10-144,2-6-8,3 8-56,2-7-72,-1 5-96,4-7-152,19-3 528,-19 5-728,3 5-272,2-9-369,0 2-327,4 1-224,0-2 471,10-2 1449,-5 2-936,-4-1 440,5-1 400,0 0-1520,4 0 1616</inkml:trace>
  <inkml:trace contextRef="#ctx0" brushRef="#br0" timeOffset="1">981 197 7825,'0'0'0,"0"0"0,-14 0 4153,-4 0-1456,-4 0-1705,-2 1-672,3 3-280,-2-1-80,23-3 40,-22 11-40,1-6-88,1 8 32,-2-8 8,-1 8-16,0-8 144,23-5-40,-22 11-40,-2-2 40,1-5 0,-1 7-32,1-7 48,3 1 40,20-5-56,-21 5 72,3 0-56,2-2 16,-1 1-48,4-2-24,1-1 8,12-1 32,-5 2-104,-7-1-104,10-1-200,-2 1-232,3-1-249,-1 0-199,2 0 1088,0 0-1376,0 0-161,0 0 25,0-2 144,3 2 400,-3 0 304,0 0 664,2-3-353,-2 3 241,0 0 176,0 0 177,0 0 79,-1 1 248,1-1-568,-1 0 688,-3 2 112,1-2 48,-2 1-208,-6 2-88,6 0-247,5-3-305,-12 2 224,0 1-96,1-1-80,-3 2 24,-1 5 16,-1-5 32,16-4-120,-18 9 128,-1-5 72,0 7 16,0-9 80,1 8 176,0-8 16,18-2-488,-20 4 440,0 5-8,0-7-152,0 2-48,1 0 56,2 0-176,17-4-112,-16 1 144,0-1-32,2 1-56,1-1 89,2 0 55,0-2 24,11 2-224,-10-10 248,1 10 8,5-4-144,-6 1-40,6-8-56,0 7-32,4 4 16,-3-3-32,-1-12-72,1 12-48,1-10-40,1 3-48,0 0 0,1 10 240,0-10-289,0 0-55,0-2 0,2 0-40,2 3-8,6-2 0,-10 11 392,2-4-416,9-9-8,-8 9-40,8-9-8,-7 11 0,9-8 88,-13 10 384,3-2-313,12-8 65,-6 8 96,2-2-40,0 2-40,-1 2 16,-10 0 216,10-3-280,1 3 88,0 0-64,0 0 48,-2 4-32,1 0-56,-10-4 296,4 9-192,10-8-16,-10 9 0,7-6 32,-7 8-32,6 0 8,-10-12 200,2 10-176,2 4-48,-1 0 0,1 1-25,-1 2-7,0 0-16,-3-17 272,2 17-240,1 2 16,-3 0 64,0 0 40,2 2 40,-2-1 40,0-20 40,0 20-32,0 1 0,2-1 24,-2 2 0,0-2-24,0 2 8,0-22 24,3 21-24,-1 0-16,0-2 40,1 1 24,1-1 16,-1-1 8,-3-18-48,11 17 56,-7-1 40,7-2 80,-7 1 160,12-2 184,-5 0 241,-11-13-761,13 13 952,1-2 136,1 1 64,0-3 17,3 1 31,2 0-40,-20-10-1160,22 4 1104,2 6-88,2-6-135,2-1-161,-1 0-136,5-2-72,-32-1-512,32 0 416,1 0-80,3-3-96,3 0-72,0-1-48,1-8-40,-40 12-80,42-3 48,0-8-24,2 7-16,-1-7-8,-1 8 0,0-8-24,-42 11 24,37-4-104,0-6-192,-1 6-536,0-8-1040,-1 8-1065,-2-8-768,-33 12 3705,33-3-3280,-2-11 1247,0 0 953,1 0-736,-32 14 1816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A14" zoomScale="130" zoomScaleNormal="100" zoomScaleSheetLayoutView="130" workbookViewId="0">
      <selection activeCell="G21" sqref="G21:J21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6" t="s">
        <v>180</v>
      </c>
      <c r="C1" s="56"/>
      <c r="D1" s="56"/>
      <c r="E1" s="56"/>
      <c r="F1" s="56"/>
      <c r="G1" s="56"/>
      <c r="H1" s="56"/>
      <c r="I1" s="56"/>
      <c r="J1" s="56"/>
    </row>
    <row r="2" spans="1:10" ht="30" customHeight="1" x14ac:dyDescent="0.2">
      <c r="B2" s="11" t="s">
        <v>8</v>
      </c>
      <c r="C2" s="62" t="s">
        <v>36</v>
      </c>
      <c r="D2" s="62"/>
      <c r="E2" s="11" t="s">
        <v>7</v>
      </c>
      <c r="F2" s="57">
        <v>45933</v>
      </c>
      <c r="G2" s="57"/>
      <c r="H2" s="57"/>
      <c r="I2" s="57"/>
      <c r="J2" s="57"/>
    </row>
    <row r="3" spans="1:10" ht="30" customHeight="1" x14ac:dyDescent="0.2">
      <c r="B3" s="11" t="s">
        <v>9</v>
      </c>
      <c r="C3" s="62" t="s">
        <v>77</v>
      </c>
      <c r="D3" s="62"/>
      <c r="E3" s="11" t="s">
        <v>6</v>
      </c>
      <c r="F3" s="62" t="s">
        <v>92</v>
      </c>
      <c r="G3" s="62"/>
      <c r="H3" s="62"/>
      <c r="I3" s="62"/>
      <c r="J3" s="62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58" t="s">
        <v>0</v>
      </c>
      <c r="C5" s="59"/>
      <c r="D5" s="59"/>
      <c r="E5" s="67" t="s">
        <v>1</v>
      </c>
      <c r="F5" s="67"/>
      <c r="G5" s="67"/>
      <c r="H5" s="67"/>
      <c r="I5" s="67" t="s">
        <v>2</v>
      </c>
      <c r="J5" s="68"/>
    </row>
    <row r="6" spans="1:10" ht="24.95" customHeight="1" thickBot="1" x14ac:dyDescent="0.25">
      <c r="A6" s="9"/>
      <c r="B6" s="60"/>
      <c r="C6" s="61"/>
      <c r="D6" s="61"/>
      <c r="E6" s="10" t="s">
        <v>3</v>
      </c>
      <c r="F6" s="10" t="s">
        <v>4</v>
      </c>
      <c r="G6" s="10" t="s">
        <v>23</v>
      </c>
      <c r="H6" s="10" t="s">
        <v>24</v>
      </c>
      <c r="I6" s="69"/>
      <c r="J6" s="70"/>
    </row>
    <row r="7" spans="1:10" ht="24.95" customHeight="1" thickBot="1" x14ac:dyDescent="0.25">
      <c r="A7" s="9"/>
      <c r="B7" s="65" t="s">
        <v>21</v>
      </c>
      <c r="C7" s="66"/>
      <c r="D7" s="66"/>
      <c r="E7" s="32" t="s">
        <v>18</v>
      </c>
      <c r="F7" s="32" t="s">
        <v>19</v>
      </c>
      <c r="G7" s="32" t="s">
        <v>22</v>
      </c>
      <c r="H7" s="32" t="s">
        <v>20</v>
      </c>
      <c r="I7" s="71" t="s">
        <v>25</v>
      </c>
      <c r="J7" s="72"/>
    </row>
    <row r="8" spans="1:10" ht="39.950000000000003" customHeight="1" x14ac:dyDescent="0.2">
      <c r="A8" s="9"/>
      <c r="B8" s="85" t="s">
        <v>181</v>
      </c>
      <c r="C8" s="86"/>
      <c r="D8" s="86"/>
      <c r="E8" s="28"/>
      <c r="F8" s="36"/>
      <c r="G8" s="37"/>
      <c r="H8" s="38"/>
      <c r="I8" s="83"/>
      <c r="J8" s="84"/>
    </row>
    <row r="9" spans="1:10" ht="39.950000000000003" customHeight="1" x14ac:dyDescent="0.2">
      <c r="A9" s="9"/>
      <c r="B9" s="87" t="s">
        <v>182</v>
      </c>
      <c r="C9" s="88"/>
      <c r="D9" s="88"/>
      <c r="E9" s="29">
        <v>10</v>
      </c>
      <c r="F9" s="25">
        <v>9</v>
      </c>
      <c r="G9" s="34">
        <f>IFERROR(F9/E9,"")</f>
        <v>0.9</v>
      </c>
      <c r="H9" s="35" t="str">
        <f>_xlfn.IFS(F9="أدخل العلامة","",F9="لا ينطبق","تم الإلغاء",G9&gt;=90%,"ممتاز",G9&gt;=80%,"جيد جداً",G9&gt;=70%,"جيد",G9&gt;=60%,"مقبول",G9&lt;60%,"راسب")</f>
        <v>ممتاز</v>
      </c>
      <c r="I9" s="48"/>
      <c r="J9" s="49"/>
    </row>
    <row r="10" spans="1:10" ht="39.950000000000003" customHeight="1" x14ac:dyDescent="0.2">
      <c r="A10" s="9"/>
      <c r="B10" s="87" t="s">
        <v>183</v>
      </c>
      <c r="C10" s="88"/>
      <c r="D10" s="88"/>
      <c r="E10" s="29">
        <v>5</v>
      </c>
      <c r="F10" s="25">
        <v>4.5</v>
      </c>
      <c r="G10" s="34">
        <f t="shared" ref="G10:G16" si="0">IFERROR(F10/E10,"")</f>
        <v>0.9</v>
      </c>
      <c r="H10" s="35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ممتاز</v>
      </c>
      <c r="I10" s="48"/>
      <c r="J10" s="49"/>
    </row>
    <row r="11" spans="1:10" ht="39.950000000000003" customHeight="1" thickBot="1" x14ac:dyDescent="0.25">
      <c r="A11" s="9"/>
      <c r="B11" s="89" t="s">
        <v>184</v>
      </c>
      <c r="C11" s="90"/>
      <c r="D11" s="90"/>
      <c r="E11" s="30">
        <v>5</v>
      </c>
      <c r="F11" s="27">
        <v>4.25</v>
      </c>
      <c r="G11" s="39">
        <f t="shared" si="0"/>
        <v>0.85</v>
      </c>
      <c r="H11" s="40" t="str">
        <f t="shared" si="1"/>
        <v>جيد جداً</v>
      </c>
      <c r="I11" s="77"/>
      <c r="J11" s="78"/>
    </row>
    <row r="12" spans="1:10" ht="39.950000000000003" customHeight="1" thickBot="1" x14ac:dyDescent="0.25">
      <c r="A12" s="9"/>
      <c r="B12" s="81" t="s">
        <v>185</v>
      </c>
      <c r="C12" s="82"/>
      <c r="D12" s="82"/>
      <c r="E12" s="31">
        <v>20</v>
      </c>
      <c r="F12" s="41">
        <v>16</v>
      </c>
      <c r="G12" s="42">
        <f t="shared" si="0"/>
        <v>0.8</v>
      </c>
      <c r="H12" s="26" t="str">
        <f t="shared" si="1"/>
        <v>جيد جداً</v>
      </c>
      <c r="I12" s="79"/>
      <c r="J12" s="80"/>
    </row>
    <row r="13" spans="1:10" ht="39.950000000000003" customHeight="1" thickBot="1" x14ac:dyDescent="0.25">
      <c r="A13" s="9"/>
      <c r="B13" s="81" t="s">
        <v>186</v>
      </c>
      <c r="C13" s="82"/>
      <c r="D13" s="82"/>
      <c r="E13" s="31">
        <v>10</v>
      </c>
      <c r="F13" s="41">
        <v>7</v>
      </c>
      <c r="G13" s="42">
        <f t="shared" si="0"/>
        <v>0.7</v>
      </c>
      <c r="H13" s="26" t="str">
        <f t="shared" si="1"/>
        <v>جيد</v>
      </c>
      <c r="I13" s="79"/>
      <c r="J13" s="80"/>
    </row>
    <row r="14" spans="1:10" ht="39.950000000000003" customHeight="1" thickBot="1" x14ac:dyDescent="0.25">
      <c r="A14" s="9"/>
      <c r="B14" s="81" t="s">
        <v>187</v>
      </c>
      <c r="C14" s="82"/>
      <c r="D14" s="82"/>
      <c r="E14" s="31">
        <v>10</v>
      </c>
      <c r="F14" s="41">
        <v>7</v>
      </c>
      <c r="G14" s="42">
        <f t="shared" si="0"/>
        <v>0.7</v>
      </c>
      <c r="H14" s="26" t="str">
        <f t="shared" si="1"/>
        <v>جيد</v>
      </c>
      <c r="I14" s="79"/>
      <c r="J14" s="80"/>
    </row>
    <row r="15" spans="1:10" ht="39.950000000000003" customHeight="1" thickBot="1" x14ac:dyDescent="0.25">
      <c r="A15" s="9"/>
      <c r="B15" s="81" t="s">
        <v>188</v>
      </c>
      <c r="C15" s="82"/>
      <c r="D15" s="82"/>
      <c r="E15" s="31">
        <v>5</v>
      </c>
      <c r="F15" s="41">
        <v>3.75</v>
      </c>
      <c r="G15" s="42">
        <f t="shared" si="0"/>
        <v>0.75</v>
      </c>
      <c r="H15" s="26" t="str">
        <f t="shared" si="1"/>
        <v>جيد</v>
      </c>
      <c r="I15" s="79"/>
      <c r="J15" s="80"/>
    </row>
    <row r="16" spans="1:10" ht="39.950000000000003" customHeight="1" thickBot="1" x14ac:dyDescent="0.25">
      <c r="A16" s="9"/>
      <c r="B16" s="81" t="s">
        <v>189</v>
      </c>
      <c r="C16" s="82"/>
      <c r="D16" s="82"/>
      <c r="E16" s="31">
        <v>5</v>
      </c>
      <c r="F16" s="41">
        <v>3.75</v>
      </c>
      <c r="G16" s="42">
        <f t="shared" si="0"/>
        <v>0.75</v>
      </c>
      <c r="H16" s="26" t="str">
        <f t="shared" si="1"/>
        <v>جيد</v>
      </c>
      <c r="I16" s="79"/>
      <c r="J16" s="80"/>
    </row>
    <row r="17" spans="1:10" ht="30" customHeight="1" thickBot="1" x14ac:dyDescent="0.25">
      <c r="A17" s="4"/>
      <c r="B17" s="73" t="s">
        <v>5</v>
      </c>
      <c r="C17" s="74"/>
      <c r="D17" s="74"/>
      <c r="E17" s="33">
        <f>SUM(E8:E16)</f>
        <v>70</v>
      </c>
      <c r="F17" s="33">
        <f>SUM(F8:F16)</f>
        <v>55.25</v>
      </c>
      <c r="G17" s="45"/>
      <c r="H17" s="46"/>
      <c r="I17" s="46"/>
      <c r="J17" s="47"/>
    </row>
    <row r="18" spans="1:10" ht="30" customHeight="1" thickBot="1" x14ac:dyDescent="0.25">
      <c r="A18" s="4"/>
      <c r="B18" s="75" t="s">
        <v>54</v>
      </c>
      <c r="C18" s="76"/>
      <c r="D18" s="76"/>
      <c r="E18" s="63">
        <f>F17/E17/100*100</f>
        <v>0.78928571428571426</v>
      </c>
      <c r="F18" s="63"/>
      <c r="G18" s="63"/>
      <c r="H18" s="63"/>
      <c r="I18" s="63"/>
      <c r="J18" s="64"/>
    </row>
    <row r="19" spans="1:10" ht="30" customHeight="1" thickBot="1" x14ac:dyDescent="0.25">
      <c r="A19" s="4"/>
      <c r="B19" s="75" t="s">
        <v>55</v>
      </c>
      <c r="C19" s="76"/>
      <c r="D19" s="76"/>
      <c r="E19" s="54" t="str">
        <f>_xlfn.IFS(E18&gt;=90%,"ممتاز",E18&gt;=80%,"جيد جداً",E18&gt;=70%,"جيد",E18&gt;=60%,"مقبول",E18&lt;60%,"راسب")</f>
        <v>جيد</v>
      </c>
      <c r="F19" s="54"/>
      <c r="G19" s="54"/>
      <c r="H19" s="54"/>
      <c r="I19" s="54"/>
      <c r="J19" s="55"/>
    </row>
    <row r="20" spans="1:10" ht="42" customHeight="1" x14ac:dyDescent="0.2">
      <c r="B20" s="50" t="s">
        <v>174</v>
      </c>
      <c r="C20" s="50"/>
      <c r="D20" s="50"/>
      <c r="E20" s="43" t="s">
        <v>52</v>
      </c>
      <c r="F20" s="43"/>
      <c r="G20" s="52" t="s">
        <v>92</v>
      </c>
      <c r="H20" s="52"/>
      <c r="I20" s="52"/>
      <c r="J20" s="52"/>
    </row>
    <row r="21" spans="1:10" ht="51" customHeight="1" x14ac:dyDescent="0.2">
      <c r="A21" s="5"/>
      <c r="B21" s="51"/>
      <c r="C21" s="51"/>
      <c r="D21" s="51"/>
      <c r="E21" s="44" t="s">
        <v>53</v>
      </c>
      <c r="F21" s="44"/>
      <c r="G21" s="53"/>
      <c r="H21" s="53"/>
      <c r="I21" s="53"/>
      <c r="J21" s="5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B11:D11"/>
    <mergeCell ref="B12:D12"/>
    <mergeCell ref="I15:J15"/>
    <mergeCell ref="I16:J16"/>
    <mergeCell ref="B13:D13"/>
    <mergeCell ref="B14:D14"/>
    <mergeCell ref="B15:D15"/>
    <mergeCell ref="B16:D16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F15:F16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FA2703D-2ECF-43C5-A3F7-82FDA389B93E}">
          <x14:formula1>
            <xm:f>'بيانات التقييم'!$A$111:$A$153</xm:f>
          </x14:formula1>
          <xm:sqref>F9 F13 F14</xm:sqref>
        </x14:dataValidation>
        <x14:dataValidation type="list" allowBlank="1" showInputMessage="1" showErrorMessage="1" xr:uid="{146A380C-0401-491B-8FEE-C46060DDCED8}">
          <x14:formula1>
            <xm:f>'بيانات التقييم'!$A$111:$A$193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6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62</v>
      </c>
    </row>
    <row r="3" spans="1:3" ht="20.100000000000001" customHeight="1" thickBot="1" x14ac:dyDescent="0.3">
      <c r="A3" s="2" t="s">
        <v>26</v>
      </c>
      <c r="C3" s="18" t="s">
        <v>63</v>
      </c>
    </row>
    <row r="4" spans="1:3" ht="20.100000000000001" customHeight="1" thickBot="1" x14ac:dyDescent="0.3">
      <c r="A4" s="2" t="s">
        <v>36</v>
      </c>
      <c r="C4" s="18" t="s">
        <v>64</v>
      </c>
    </row>
    <row r="5" spans="1:3" ht="20.100000000000001" customHeight="1" thickBot="1" x14ac:dyDescent="0.3">
      <c r="A5" s="2" t="s">
        <v>37</v>
      </c>
      <c r="C5" s="18" t="s">
        <v>65</v>
      </c>
    </row>
    <row r="6" spans="1:3" ht="20.100000000000001" customHeight="1" thickBot="1" x14ac:dyDescent="0.3">
      <c r="A6" s="2" t="s">
        <v>38</v>
      </c>
      <c r="C6" s="18" t="s">
        <v>66</v>
      </c>
    </row>
    <row r="7" spans="1:3" ht="20.100000000000001" customHeight="1" thickBot="1" x14ac:dyDescent="0.3">
      <c r="A7" s="2" t="s">
        <v>39</v>
      </c>
      <c r="C7" s="18" t="s">
        <v>67</v>
      </c>
    </row>
    <row r="8" spans="1:3" ht="20.100000000000001" customHeight="1" thickBot="1" x14ac:dyDescent="0.3">
      <c r="A8" s="2" t="s">
        <v>40</v>
      </c>
      <c r="C8" s="18" t="s">
        <v>68</v>
      </c>
    </row>
    <row r="9" spans="1:3" ht="20.100000000000001" customHeight="1" thickBot="1" x14ac:dyDescent="0.3">
      <c r="A9" s="2" t="s">
        <v>41</v>
      </c>
      <c r="C9" s="18" t="s">
        <v>69</v>
      </c>
    </row>
    <row r="10" spans="1:3" ht="20.100000000000001" customHeight="1" thickBot="1" x14ac:dyDescent="0.3">
      <c r="A10" s="2" t="s">
        <v>42</v>
      </c>
      <c r="C10" s="18" t="s">
        <v>70</v>
      </c>
    </row>
    <row r="11" spans="1:3" ht="20.100000000000001" customHeight="1" thickBot="1" x14ac:dyDescent="0.3">
      <c r="A11" s="2" t="s">
        <v>43</v>
      </c>
      <c r="C11" s="18" t="s">
        <v>71</v>
      </c>
    </row>
    <row r="12" spans="1:3" ht="20.100000000000001" customHeight="1" thickBot="1" x14ac:dyDescent="0.3">
      <c r="A12" s="2" t="s">
        <v>44</v>
      </c>
      <c r="C12" s="18" t="s">
        <v>72</v>
      </c>
    </row>
    <row r="13" spans="1:3" ht="20.100000000000001" customHeight="1" thickBot="1" x14ac:dyDescent="0.3">
      <c r="A13" s="2" t="s">
        <v>45</v>
      </c>
      <c r="C13" s="18" t="s">
        <v>73</v>
      </c>
    </row>
    <row r="14" spans="1:3" ht="20.100000000000001" customHeight="1" thickBot="1" x14ac:dyDescent="0.3">
      <c r="A14" s="2" t="s">
        <v>46</v>
      </c>
      <c r="C14" s="18" t="s">
        <v>74</v>
      </c>
    </row>
    <row r="15" spans="1:3" ht="20.100000000000001" customHeight="1" thickBot="1" x14ac:dyDescent="0.3">
      <c r="A15" s="2" t="s">
        <v>47</v>
      </c>
      <c r="C15" s="18" t="s">
        <v>75</v>
      </c>
    </row>
    <row r="16" spans="1:3" ht="20.100000000000001" customHeight="1" thickBot="1" x14ac:dyDescent="0.3">
      <c r="A16" s="2" t="s">
        <v>10</v>
      </c>
      <c r="C16" s="18" t="s">
        <v>76</v>
      </c>
    </row>
    <row r="17" spans="1:3" ht="20.100000000000001" customHeight="1" thickBot="1" x14ac:dyDescent="0.3">
      <c r="A17" s="2" t="s">
        <v>27</v>
      </c>
      <c r="C17" s="18" t="s">
        <v>77</v>
      </c>
    </row>
    <row r="18" spans="1:3" ht="20.100000000000001" customHeight="1" thickBot="1" x14ac:dyDescent="0.3">
      <c r="A18" s="2" t="s">
        <v>48</v>
      </c>
      <c r="C18" s="18" t="s">
        <v>78</v>
      </c>
    </row>
    <row r="19" spans="1:3" ht="20.100000000000001" customHeight="1" thickBot="1" x14ac:dyDescent="0.3">
      <c r="A19" s="2" t="s">
        <v>49</v>
      </c>
      <c r="C19" s="18" t="s">
        <v>79</v>
      </c>
    </row>
    <row r="20" spans="1:3" ht="20.100000000000001" customHeight="1" thickBot="1" x14ac:dyDescent="0.3">
      <c r="A20" s="2" t="s">
        <v>50</v>
      </c>
      <c r="C20" s="18" t="s">
        <v>80</v>
      </c>
    </row>
    <row r="21" spans="1:3" ht="20.100000000000001" customHeight="1" thickBot="1" x14ac:dyDescent="0.3">
      <c r="A21" s="2" t="s">
        <v>51</v>
      </c>
      <c r="C21" s="18" t="s">
        <v>81</v>
      </c>
    </row>
    <row r="22" spans="1:3" ht="20.100000000000001" customHeight="1" thickBot="1" x14ac:dyDescent="0.3">
      <c r="A22" s="2" t="s">
        <v>11</v>
      </c>
      <c r="C22" s="18" t="s">
        <v>82</v>
      </c>
    </row>
    <row r="23" spans="1:3" ht="20.100000000000001" customHeight="1" thickBot="1" x14ac:dyDescent="0.3">
      <c r="A23" s="2" t="s">
        <v>12</v>
      </c>
      <c r="C23" s="18" t="s">
        <v>83</v>
      </c>
    </row>
    <row r="24" spans="1:3" ht="20.100000000000001" customHeight="1" thickBot="1" x14ac:dyDescent="0.3">
      <c r="A24" s="2" t="s">
        <v>15</v>
      </c>
      <c r="C24" s="18" t="s">
        <v>84</v>
      </c>
    </row>
    <row r="25" spans="1:3" ht="20.100000000000001" customHeight="1" thickBot="1" x14ac:dyDescent="0.3">
      <c r="A25" s="2" t="s">
        <v>28</v>
      </c>
      <c r="C25" s="18" t="s">
        <v>85</v>
      </c>
    </row>
    <row r="26" spans="1:3" ht="20.100000000000001" customHeight="1" thickBot="1" x14ac:dyDescent="0.3">
      <c r="A26" s="2" t="s">
        <v>29</v>
      </c>
      <c r="C26" s="18" t="s">
        <v>86</v>
      </c>
    </row>
    <row r="27" spans="1:3" ht="20.100000000000001" customHeight="1" thickBot="1" x14ac:dyDescent="0.3">
      <c r="A27" s="2" t="s">
        <v>13</v>
      </c>
      <c r="C27" s="18" t="s">
        <v>87</v>
      </c>
    </row>
    <row r="28" spans="1:3" ht="20.100000000000001" customHeight="1" thickBot="1" x14ac:dyDescent="0.3">
      <c r="A28" s="2" t="s">
        <v>30</v>
      </c>
      <c r="C28" s="18" t="s">
        <v>88</v>
      </c>
    </row>
    <row r="29" spans="1:3" ht="20.100000000000001" customHeight="1" thickBot="1" x14ac:dyDescent="0.3">
      <c r="A29" s="2" t="s">
        <v>31</v>
      </c>
      <c r="C29" s="18" t="s">
        <v>177</v>
      </c>
    </row>
    <row r="30" spans="1:3" ht="20.100000000000001" customHeight="1" thickBot="1" x14ac:dyDescent="0.3">
      <c r="A30" s="2" t="s">
        <v>32</v>
      </c>
      <c r="C30" s="18" t="s">
        <v>178</v>
      </c>
    </row>
    <row r="31" spans="1:3" ht="20.100000000000001" customHeight="1" thickBot="1" x14ac:dyDescent="0.3">
      <c r="A31" s="2" t="s">
        <v>33</v>
      </c>
      <c r="C31" s="18" t="s">
        <v>179</v>
      </c>
    </row>
    <row r="32" spans="1:3" ht="20.100000000000001" customHeight="1" thickBot="1" x14ac:dyDescent="0.3">
      <c r="A32" s="2" t="s">
        <v>16</v>
      </c>
      <c r="C32" s="18"/>
    </row>
    <row r="33" spans="1:9" ht="20.100000000000001" customHeight="1" thickBot="1" x14ac:dyDescent="0.3">
      <c r="A33" s="2" t="s">
        <v>14</v>
      </c>
      <c r="C33" s="18"/>
    </row>
    <row r="34" spans="1:9" ht="20.100000000000001" customHeight="1" thickBot="1" x14ac:dyDescent="0.3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9" t="s">
        <v>89</v>
      </c>
    </row>
    <row r="200" spans="1:1" ht="20.100000000000001" customHeight="1" x14ac:dyDescent="0.2">
      <c r="A200" s="19" t="s">
        <v>90</v>
      </c>
    </row>
    <row r="201" spans="1:1" ht="20.100000000000001" customHeight="1" x14ac:dyDescent="0.2">
      <c r="A201" s="19" t="s">
        <v>91</v>
      </c>
    </row>
    <row r="202" spans="1:1" ht="20.100000000000001" customHeight="1" x14ac:dyDescent="0.2">
      <c r="A202" s="19" t="s">
        <v>92</v>
      </c>
    </row>
    <row r="203" spans="1:1" ht="20.100000000000001" customHeight="1" x14ac:dyDescent="0.2">
      <c r="A203" s="19" t="s">
        <v>93</v>
      </c>
    </row>
    <row r="204" spans="1:1" ht="20.100000000000001" customHeight="1" x14ac:dyDescent="0.2">
      <c r="A204" s="19" t="s">
        <v>94</v>
      </c>
    </row>
    <row r="205" spans="1:1" ht="20.100000000000001" customHeight="1" x14ac:dyDescent="0.2">
      <c r="A205" s="19" t="s">
        <v>95</v>
      </c>
    </row>
    <row r="206" spans="1:1" ht="20.100000000000001" customHeight="1" x14ac:dyDescent="0.2">
      <c r="A206" s="19" t="s">
        <v>96</v>
      </c>
    </row>
    <row r="207" spans="1:1" ht="20.100000000000001" customHeight="1" x14ac:dyDescent="0.2">
      <c r="A207" s="19" t="s">
        <v>97</v>
      </c>
    </row>
    <row r="208" spans="1:1" ht="20.100000000000001" customHeight="1" x14ac:dyDescent="0.2">
      <c r="A208" s="20" t="s">
        <v>98</v>
      </c>
    </row>
    <row r="209" spans="1:1" ht="20.100000000000001" customHeight="1" x14ac:dyDescent="0.2">
      <c r="A209" s="20" t="s">
        <v>99</v>
      </c>
    </row>
    <row r="210" spans="1:1" ht="20.100000000000001" customHeight="1" x14ac:dyDescent="0.2">
      <c r="A210" s="19" t="s">
        <v>100</v>
      </c>
    </row>
    <row r="211" spans="1:1" ht="20.100000000000001" customHeight="1" x14ac:dyDescent="0.2">
      <c r="A211" s="19" t="s">
        <v>101</v>
      </c>
    </row>
    <row r="212" spans="1:1" ht="20.100000000000001" customHeight="1" x14ac:dyDescent="0.2">
      <c r="A212" s="19" t="s">
        <v>175</v>
      </c>
    </row>
    <row r="213" spans="1:1" ht="20.100000000000001" customHeight="1" x14ac:dyDescent="0.2">
      <c r="A213" s="19" t="s">
        <v>102</v>
      </c>
    </row>
    <row r="214" spans="1:1" ht="20.100000000000001" customHeight="1" x14ac:dyDescent="0.2">
      <c r="A214" s="19" t="s">
        <v>103</v>
      </c>
    </row>
    <row r="215" spans="1:1" ht="20.100000000000001" customHeight="1" x14ac:dyDescent="0.2">
      <c r="A215" s="19" t="s">
        <v>104</v>
      </c>
    </row>
    <row r="216" spans="1:1" ht="20.100000000000001" customHeight="1" x14ac:dyDescent="0.2">
      <c r="A216" s="19" t="s">
        <v>105</v>
      </c>
    </row>
    <row r="217" spans="1:1" ht="20.100000000000001" customHeight="1" x14ac:dyDescent="0.2">
      <c r="A217" s="19" t="s">
        <v>106</v>
      </c>
    </row>
    <row r="218" spans="1:1" ht="20.100000000000001" customHeight="1" x14ac:dyDescent="0.2">
      <c r="A218" s="19" t="s">
        <v>107</v>
      </c>
    </row>
    <row r="219" spans="1:1" ht="20.100000000000001" customHeight="1" x14ac:dyDescent="0.2">
      <c r="A219" s="19" t="s">
        <v>108</v>
      </c>
    </row>
    <row r="220" spans="1:1" ht="20.100000000000001" customHeight="1" x14ac:dyDescent="0.2">
      <c r="A220" s="19" t="s">
        <v>109</v>
      </c>
    </row>
    <row r="221" spans="1:1" ht="20.100000000000001" customHeight="1" x14ac:dyDescent="0.2">
      <c r="A221" s="19" t="s">
        <v>110</v>
      </c>
    </row>
    <row r="222" spans="1:1" ht="20.100000000000001" customHeight="1" x14ac:dyDescent="0.2">
      <c r="A222" s="19" t="s">
        <v>111</v>
      </c>
    </row>
    <row r="223" spans="1:1" ht="20.100000000000001" customHeight="1" x14ac:dyDescent="0.2">
      <c r="A223" s="19" t="s">
        <v>112</v>
      </c>
    </row>
    <row r="224" spans="1:1" ht="20.100000000000001" customHeight="1" x14ac:dyDescent="0.2">
      <c r="A224" s="19" t="s">
        <v>176</v>
      </c>
    </row>
    <row r="225" spans="1:1" ht="20.100000000000001" customHeight="1" x14ac:dyDescent="0.2">
      <c r="A225" s="19" t="s">
        <v>113</v>
      </c>
    </row>
    <row r="226" spans="1:1" ht="20.100000000000001" customHeight="1" x14ac:dyDescent="0.2">
      <c r="A226" s="19" t="s">
        <v>114</v>
      </c>
    </row>
    <row r="227" spans="1:1" ht="20.100000000000001" customHeight="1" x14ac:dyDescent="0.2">
      <c r="A227" s="19" t="s">
        <v>115</v>
      </c>
    </row>
    <row r="228" spans="1:1" ht="20.100000000000001" customHeight="1" x14ac:dyDescent="0.2">
      <c r="A228" s="19" t="s">
        <v>116</v>
      </c>
    </row>
    <row r="229" spans="1:1" ht="20.100000000000001" customHeight="1" x14ac:dyDescent="0.2">
      <c r="A229" s="19" t="s">
        <v>117</v>
      </c>
    </row>
    <row r="230" spans="1:1" ht="20.100000000000001" customHeight="1" x14ac:dyDescent="0.2">
      <c r="A230" s="19" t="s">
        <v>118</v>
      </c>
    </row>
    <row r="231" spans="1:1" ht="20.100000000000001" customHeight="1" x14ac:dyDescent="0.2">
      <c r="A231" s="19" t="s">
        <v>119</v>
      </c>
    </row>
    <row r="232" spans="1:1" ht="20.100000000000001" customHeight="1" x14ac:dyDescent="0.2">
      <c r="A232" s="19" t="s">
        <v>120</v>
      </c>
    </row>
    <row r="233" spans="1:1" ht="20.100000000000001" customHeight="1" x14ac:dyDescent="0.2">
      <c r="A233" s="19" t="s">
        <v>121</v>
      </c>
    </row>
    <row r="234" spans="1:1" ht="20.100000000000001" customHeight="1" x14ac:dyDescent="0.2">
      <c r="A234" s="19" t="s">
        <v>122</v>
      </c>
    </row>
    <row r="235" spans="1:1" ht="20.100000000000001" customHeight="1" x14ac:dyDescent="0.2">
      <c r="A235" s="19" t="s">
        <v>123</v>
      </c>
    </row>
    <row r="236" spans="1:1" ht="20.100000000000001" customHeight="1" x14ac:dyDescent="0.2">
      <c r="A236" s="21" t="s">
        <v>124</v>
      </c>
    </row>
    <row r="237" spans="1:1" ht="20.100000000000001" customHeight="1" x14ac:dyDescent="0.2">
      <c r="A237" s="19" t="s">
        <v>125</v>
      </c>
    </row>
    <row r="238" spans="1:1" ht="20.100000000000001" customHeight="1" x14ac:dyDescent="0.2">
      <c r="A238" s="19" t="s">
        <v>126</v>
      </c>
    </row>
    <row r="239" spans="1:1" ht="20.100000000000001" customHeight="1" x14ac:dyDescent="0.2">
      <c r="A239" s="19" t="s">
        <v>127</v>
      </c>
    </row>
    <row r="240" spans="1:1" ht="20.100000000000001" customHeight="1" x14ac:dyDescent="0.2">
      <c r="A240" s="19" t="s">
        <v>128</v>
      </c>
    </row>
    <row r="241" spans="1:1" ht="20.100000000000001" customHeight="1" x14ac:dyDescent="0.2">
      <c r="A241" s="19" t="s">
        <v>129</v>
      </c>
    </row>
    <row r="242" spans="1:1" ht="20.100000000000001" customHeight="1" x14ac:dyDescent="0.2">
      <c r="A242" s="19" t="s">
        <v>130</v>
      </c>
    </row>
    <row r="243" spans="1:1" ht="20.100000000000001" customHeight="1" x14ac:dyDescent="0.2">
      <c r="A243" s="19" t="s">
        <v>131</v>
      </c>
    </row>
    <row r="244" spans="1:1" ht="20.100000000000001" customHeight="1" x14ac:dyDescent="0.2">
      <c r="A244" s="19" t="s">
        <v>132</v>
      </c>
    </row>
    <row r="245" spans="1:1" ht="20.100000000000001" customHeight="1" x14ac:dyDescent="0.2">
      <c r="A245" s="19" t="s">
        <v>133</v>
      </c>
    </row>
    <row r="246" spans="1:1" ht="20.100000000000001" customHeight="1" x14ac:dyDescent="0.2">
      <c r="A246" s="19" t="s">
        <v>134</v>
      </c>
    </row>
    <row r="247" spans="1:1" ht="20.100000000000001" customHeight="1" x14ac:dyDescent="0.2">
      <c r="A247" s="19" t="s">
        <v>135</v>
      </c>
    </row>
    <row r="248" spans="1:1" ht="20.100000000000001" customHeight="1" x14ac:dyDescent="0.2">
      <c r="A248" s="19" t="s">
        <v>126</v>
      </c>
    </row>
    <row r="249" spans="1:1" ht="20.100000000000001" customHeight="1" x14ac:dyDescent="0.2">
      <c r="A249" s="19" t="s">
        <v>136</v>
      </c>
    </row>
    <row r="250" spans="1:1" ht="20.100000000000001" customHeight="1" x14ac:dyDescent="0.2">
      <c r="A250" s="19" t="s">
        <v>137</v>
      </c>
    </row>
    <row r="251" spans="1:1" ht="20.100000000000001" customHeight="1" x14ac:dyDescent="0.2">
      <c r="A251" s="21" t="s">
        <v>138</v>
      </c>
    </row>
    <row r="252" spans="1:1" ht="20.100000000000001" customHeight="1" x14ac:dyDescent="0.2">
      <c r="A252" s="22" t="s">
        <v>139</v>
      </c>
    </row>
    <row r="253" spans="1:1" ht="20.100000000000001" customHeight="1" x14ac:dyDescent="0.2">
      <c r="A253" s="19" t="s">
        <v>140</v>
      </c>
    </row>
    <row r="254" spans="1:1" ht="20.100000000000001" customHeight="1" x14ac:dyDescent="0.2">
      <c r="A254" s="19" t="s">
        <v>141</v>
      </c>
    </row>
    <row r="255" spans="1:1" ht="20.100000000000001" customHeight="1" x14ac:dyDescent="0.2">
      <c r="A255" s="23" t="s">
        <v>142</v>
      </c>
    </row>
    <row r="256" spans="1:1" ht="20.100000000000001" customHeight="1" x14ac:dyDescent="0.2">
      <c r="A256" s="23" t="s">
        <v>143</v>
      </c>
    </row>
    <row r="257" spans="1:1" ht="20.100000000000001" customHeight="1" x14ac:dyDescent="0.2">
      <c r="A257" s="24" t="s">
        <v>144</v>
      </c>
    </row>
    <row r="258" spans="1:1" ht="20.100000000000001" customHeight="1" x14ac:dyDescent="0.2">
      <c r="A258" s="19" t="s">
        <v>145</v>
      </c>
    </row>
    <row r="259" spans="1:1" ht="20.100000000000001" customHeight="1" x14ac:dyDescent="0.2">
      <c r="A259" s="24" t="s">
        <v>146</v>
      </c>
    </row>
    <row r="260" spans="1:1" ht="20.100000000000001" customHeight="1" x14ac:dyDescent="0.2">
      <c r="A260" s="19" t="s">
        <v>147</v>
      </c>
    </row>
    <row r="261" spans="1:1" ht="20.100000000000001" customHeight="1" x14ac:dyDescent="0.2">
      <c r="A261" s="24" t="s">
        <v>148</v>
      </c>
    </row>
    <row r="262" spans="1:1" ht="20.100000000000001" customHeight="1" x14ac:dyDescent="0.2">
      <c r="A262" s="19" t="s">
        <v>149</v>
      </c>
    </row>
    <row r="263" spans="1:1" ht="20.100000000000001" customHeight="1" x14ac:dyDescent="0.2">
      <c r="A263" s="19" t="s">
        <v>150</v>
      </c>
    </row>
    <row r="264" spans="1:1" ht="20.100000000000001" customHeight="1" x14ac:dyDescent="0.2">
      <c r="A264" s="24" t="s">
        <v>151</v>
      </c>
    </row>
    <row r="265" spans="1:1" ht="20.100000000000001" customHeight="1" x14ac:dyDescent="0.2">
      <c r="A265" s="24" t="s">
        <v>152</v>
      </c>
    </row>
    <row r="266" spans="1:1" ht="20.100000000000001" customHeight="1" x14ac:dyDescent="0.2">
      <c r="A266" s="24" t="s">
        <v>153</v>
      </c>
    </row>
    <row r="267" spans="1:1" ht="20.100000000000001" customHeight="1" x14ac:dyDescent="0.2">
      <c r="A267" s="19" t="s">
        <v>154</v>
      </c>
    </row>
    <row r="268" spans="1:1" ht="20.100000000000001" customHeight="1" x14ac:dyDescent="0.2">
      <c r="A268" s="19" t="s">
        <v>155</v>
      </c>
    </row>
    <row r="269" spans="1:1" ht="20.100000000000001" customHeight="1" x14ac:dyDescent="0.2">
      <c r="A269" s="19" t="s">
        <v>156</v>
      </c>
    </row>
    <row r="270" spans="1:1" ht="20.100000000000001" customHeight="1" x14ac:dyDescent="0.2">
      <c r="A270" s="19" t="s">
        <v>157</v>
      </c>
    </row>
    <row r="271" spans="1:1" ht="20.100000000000001" customHeight="1" x14ac:dyDescent="0.2">
      <c r="A271" s="24" t="s">
        <v>158</v>
      </c>
    </row>
    <row r="272" spans="1:1" ht="20.100000000000001" customHeight="1" x14ac:dyDescent="0.2">
      <c r="A272" s="24" t="s">
        <v>159</v>
      </c>
    </row>
    <row r="273" spans="1:1" ht="20.100000000000001" customHeight="1" x14ac:dyDescent="0.2">
      <c r="A273" s="19" t="s">
        <v>160</v>
      </c>
    </row>
    <row r="274" spans="1:1" ht="20.100000000000001" customHeight="1" x14ac:dyDescent="0.2">
      <c r="A274" s="24" t="s">
        <v>161</v>
      </c>
    </row>
    <row r="275" spans="1:1" ht="20.100000000000001" customHeight="1" x14ac:dyDescent="0.2">
      <c r="A275" s="24" t="s">
        <v>162</v>
      </c>
    </row>
    <row r="276" spans="1:1" ht="20.100000000000001" customHeight="1" x14ac:dyDescent="0.2">
      <c r="A276" s="19" t="s">
        <v>163</v>
      </c>
    </row>
    <row r="277" spans="1:1" ht="20.100000000000001" customHeight="1" x14ac:dyDescent="0.2">
      <c r="A277" s="19" t="s">
        <v>164</v>
      </c>
    </row>
    <row r="278" spans="1:1" ht="20.100000000000001" customHeight="1" x14ac:dyDescent="0.2">
      <c r="A278" s="24" t="s">
        <v>165</v>
      </c>
    </row>
    <row r="279" spans="1:1" ht="20.100000000000001" customHeight="1" x14ac:dyDescent="0.2">
      <c r="A279" s="19" t="s">
        <v>166</v>
      </c>
    </row>
    <row r="280" spans="1:1" ht="20.100000000000001" customHeight="1" x14ac:dyDescent="0.2">
      <c r="A280" s="19" t="s">
        <v>167</v>
      </c>
    </row>
    <row r="281" spans="1:1" ht="20.100000000000001" customHeight="1" x14ac:dyDescent="0.2">
      <c r="A281" s="19" t="s">
        <v>168</v>
      </c>
    </row>
    <row r="282" spans="1:1" ht="20.100000000000001" customHeight="1" x14ac:dyDescent="0.2">
      <c r="A282" s="19" t="s">
        <v>169</v>
      </c>
    </row>
    <row r="283" spans="1:1" ht="20.100000000000001" customHeight="1" x14ac:dyDescent="0.2">
      <c r="A283" s="24" t="s">
        <v>170</v>
      </c>
    </row>
    <row r="284" spans="1:1" ht="20.100000000000001" customHeight="1" x14ac:dyDescent="0.2">
      <c r="A284" s="24" t="s">
        <v>171</v>
      </c>
    </row>
    <row r="285" spans="1:1" ht="20.100000000000001" customHeight="1" x14ac:dyDescent="0.2">
      <c r="A285" s="24" t="s">
        <v>172</v>
      </c>
    </row>
    <row r="286" spans="1:1" ht="20.100000000000001" customHeight="1" thickBot="1" x14ac:dyDescent="0.25">
      <c r="A286" s="19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2025-09-22T05:36:07Z</dcterms:modified>
</cp:coreProperties>
</file>