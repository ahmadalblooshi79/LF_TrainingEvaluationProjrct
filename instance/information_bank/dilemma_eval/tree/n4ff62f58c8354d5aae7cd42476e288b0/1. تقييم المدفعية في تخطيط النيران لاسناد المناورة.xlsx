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103B6B7-BE2B-F045-9F48-4FEA0BE531D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4" i="2"/>
  <c r="H54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6" i="2"/>
  <c r="H66" i="2"/>
  <c r="G67" i="2"/>
  <c r="H67" i="2"/>
  <c r="G68" i="2"/>
  <c r="H68" i="2"/>
  <c r="G69" i="2"/>
  <c r="H69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F79" i="2"/>
  <c r="E79" i="2"/>
  <c r="E80" i="2"/>
  <c r="E81" i="2"/>
</calcChain>
</file>

<file path=xl/sharedStrings.xml><?xml version="1.0" encoding="utf-8"?>
<sst xmlns="http://schemas.openxmlformats.org/spreadsheetml/2006/main" count="304" uniqueCount="248">
  <si>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</si>
  <si>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</si>
  <si>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</si>
  <si>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</si>
  <si>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</si>
  <si>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</si>
  <si>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</si>
  <si>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</si>
  <si>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</si>
  <si>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</si>
  <si>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</si>
  <si>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</si>
  <si>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</si>
  <si>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</si>
  <si>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</si>
  <si>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</si>
  <si>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</si>
  <si>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</si>
  <si>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</si>
  <si>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</si>
  <si>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</si>
  <si>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</si>
  <si>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</si>
  <si>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</si>
  <si>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</si>
  <si>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</si>
  <si>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</si>
  <si>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</si>
  <si>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</si>
  <si>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</si>
  <si>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</si>
  <si>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</si>
  <si>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</si>
  <si>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</si>
  <si>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</si>
  <si>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</si>
  <si>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</si>
  <si>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</si>
  <si>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</si>
  <si>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</si>
  <si>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</si>
  <si>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</si>
  <si>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</si>
  <si>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</si>
  <si>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</si>
  <si>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</si>
  <si>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</si>
  <si>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</si>
  <si>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</si>
  <si>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</si>
  <si>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</si>
  <si>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</si>
  <si>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</si>
  <si>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</si>
  <si>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</si>
  <si>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</si>
  <si>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</si>
  <si>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</si>
  <si>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</si>
  <si>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</si>
  <si>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</si>
  <si>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</si>
  <si>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</si>
  <si>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</si>
  <si>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</si>
  <si>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</si>
  <si>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</si>
  <si>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</si>
  <si>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</si>
  <si>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</si>
  <si>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</si>
  <si>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</si>
  <si>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</si>
  <si>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</si>
  <si>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</si>
  <si>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</si>
  <si>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</si>
  <si>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</si>
  <si>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</si>
  <si>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</si>
  <si>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</si>
  <si>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</si>
  <si>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</si>
  <si>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</si>
  <si>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</si>
  <si>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</si>
  <si>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</si>
  <si>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</si>
  <si>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</si>
  <si>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</si>
  <si>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</si>
  <si>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</si>
  <si>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</si>
  <si>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</si>
  <si>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</si>
  <si>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</si>
  <si>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</si>
  <si>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</si>
  <si>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</si>
  <si>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</si>
  <si>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</si>
  <si>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</si>
  <si>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</si>
  <si>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</si>
  <si>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</si>
  <si>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</si>
  <si>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</si>
  <si>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</si>
  <si>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</si>
  <si>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</si>
  <si>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</si>
  <si>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</si>
  <si>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</si>
  <si>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</si>
  <si>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</si>
  <si>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</si>
  <si>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</si>
  <si>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</si>
  <si>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</si>
  <si>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</si>
  <si>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</si>
  <si>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</si>
  <si>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</si>
  <si>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</si>
  <si>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</si>
  <si>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</si>
  <si>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</si>
  <si>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</si>
  <si>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</si>
  <si>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</si>
  <si>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</si>
  <si>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</si>
  <si>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</si>
  <si>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</si>
  <si>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</si>
  <si>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</si>
  <si>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</si>
  <si>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</si>
  <si>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</si>
  <si>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</si>
  <si>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</si>
  <si>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</si>
  <si>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</si>
  <si>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</si>
  <si>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</si>
  <si>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</si>
  <si>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</si>
  <si>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</si>
  <si>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</si>
  <si>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</si>
  <si>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</si>
  <si>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</si>
  <si>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</si>
  <si>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</si>
  <si>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</si>
  <si>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</si>
  <si>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</si>
  <si>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</si>
  <si>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</si>
  <si>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</si>
  <si>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</si>
  <si>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</si>
  <si>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</si>
  <si>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</si>
  <si>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</si>
  <si>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</si>
  <si>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</si>
  <si>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</si>
  <si>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</si>
  <si>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</si>
  <si>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</si>
  <si>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</si>
  <si>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</si>
  <si>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</si>
  <si>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</si>
  <si>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</si>
  <si>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 xml:space="preserve">إجراءات التخطيط. </t>
    </r>
    <r>
      <rPr>
        <sz val="12"/>
        <color rgb="FF000000"/>
        <rFont val="Arial"/>
        <family val="2"/>
      </rPr>
      <t>يشارك رئيس فريق الإسناد الناري في عملية تخطيط الإسناد الناري وكما هو مطبق في العمليات التعرضية، الدفاعية، والعمليات الخاصة كما يلي: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</si>
  <si>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يُخطط مبكراً وبشكل مُستمر.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</si>
  <si>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يستثمر الأهداف المتوفرة.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</si>
  <si>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يخطط لاستخدام وسائل الهجوم القاتلة وغير القاتلة.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</si>
  <si>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ينتخب عدد وحدات الرمي القادرة على توفير إسناد فعَّال.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</si>
  <si>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ينتخب أكثر الوسائل فعالية.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</si>
  <si>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يجهز نوع الإسناد المطلوب.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</si>
  <si>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يتفادى الازدواجية.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</si>
  <si>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ينسق المجال الجوي.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</si>
  <si>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يوفر إسناد كافي.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</si>
  <si>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يوفر تنسيق سريع وفعال.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</si>
  <si>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يستخدم معايير تنسيق نيران الإسناد.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</si>
  <si>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2"/>
        <color rgb="FF000000"/>
        <rFont val="Arial"/>
        <family val="2"/>
      </rPr>
      <t>يوفر المرونة.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</si>
  <si>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</si>
  <si>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عند استلام المهمة يقوم ضابط الإسناد الناري في فريق القتال بما يلي:</t>
    </r>
  </si>
  <si>
    <t>أ. يقوم بتحليل خطة الإسناد الناري للقيادة الأعلى وتشمل: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</si>
  <si>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فقرة النيران.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</si>
  <si>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واجبات الإسناد الناري للوحدات المرؤوسة.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</si>
  <si>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وثائق الإسناد الناري.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</si>
  <si>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يراجع موقف القوات الصديقة والعدو.</t>
    </r>
  </si>
  <si>
    <r>
      <t>(5)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 xml:space="preserve">يُحدد ويخصص مصادر الإسناد الناري المتوفرة. </t>
    </r>
  </si>
  <si>
    <r>
      <t>(6)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يُحدد معايير تنسيق نيران الإسناد.</t>
    </r>
  </si>
  <si>
    <r>
      <t>(7)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يُحدد الواجبات الأساسية لنيران الإسناد والأهداف المٌحددة من قبل القيادة الأعلى لتنفيذها.</t>
    </r>
  </si>
  <si>
    <t>ب. يقدم النصح ويساعد القائد في اعداد دليل نار الإسناد.</t>
  </si>
  <si>
    <t>جـ. يستلم المهمة من القائد بعد إعادة صياغتها 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</si>
  <si>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خلال إصدار القائد للأمر الإنذاري يقوم ضابط الإسناد الناري بما يلي:</t>
    </r>
  </si>
  <si>
    <t>أ. يقوم بتزويد القائد بمعلومات نيران الإسناد الحالية ليتم دمجها.</t>
  </si>
  <si>
    <t>ب. يصدر أمر انذاري لفريق الإسناد الناري فيما يتعلق بأي صعوبات خاصة الاسناد الناري ( مثل: الواجبات الاساسية للإسناد الناري).</t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</si>
  <si>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بالتزامن مع ذلك يقوم ضابط الإسناد الناري بعمل ملحق أسناد ناري اولي اعتمادا على توجيهات القيادة الأعلى وتوجيهات القائد. </t>
    </r>
  </si>
  <si>
    <t>أ. يتأكد من تحديث جميع الأنظمة الرقمية (نظام أطلس) بالمعلومات الحالية.</t>
  </si>
  <si>
    <t>ب. يتأكد من توزيع معايير تنسيق نيران الإسناد مبكراً قدر الإمكان لتصِل الى أدنى مستوى .</t>
  </si>
  <si>
    <t>جـ. ينتخب الأسلوب الامثل لتحقيق واجبات نيران الإسناد الأساسية التي تم تحديدها في تحليل المهمة.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</si>
  <si>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الهاونات مع فريق القتال.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</si>
  <si>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المدفعية.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</si>
  <si>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الهاون.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</si>
  <si>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طلب الإسناد الجوي القريب.</t>
    </r>
  </si>
  <si>
    <t>د. يدمج واجبات نيران الإسناد الأساسية ( التي تم تحديدها من قبل القيادة الأعلى والواجبات التي تم تطويرها اعتماداً على توجيه القائد لنيران الإسناد) في مفهوم النيران.</t>
  </si>
  <si>
    <t>هـ. يقدم النصح للقائد سواء كانت المصادر المتوفرة قادرة او غير قادرة على تلبية متطلبات تلك الواجبات.</t>
  </si>
  <si>
    <t xml:space="preserve"> و. يتأكد من خلو منطقة الرماية من القوات الصديق (تصريح بالرماية) لتجنُّب الاصابة بالنيران الصديقة.</t>
  </si>
  <si>
    <t xml:space="preserve"> ز. يُراجع معايير الاشتباك، الأهداف المخطط لها، مؤشرات ونقاط مرجع لبدء الرماية، مع تحديد ضباط الرصد لمشاغلة تلك الاهداف.</t>
  </si>
  <si>
    <t xml:space="preserve"> ح. يقوم بإعداد قائمة الأهداف.</t>
  </si>
  <si>
    <t>ط. يقوم بإعداد جدول الاسناد الناري (جدول الواجبات مع بيان الوحدات لكل هدف).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</si>
  <si>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</si>
  <si>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ايجاز القائد عن الخطة الاولية للإسناد الناري من أجل التوجيه الإضافي والتدقيق والموافقة على توزيعها وذلك لأغراض التخطيط.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</si>
  <si>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يوزع ضابط الإسناد ناري في فريق القتال الخطة الاولية للإسناد الناري الى الوحدات المرؤوسة لتسهيل الحركة إلى المراصد والقيام بتفتيشات ما قبل القتال وفحص المعدات.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</si>
  <si>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يرافق ضابط الإسناد الناري قائد فريق القتال خلال عملية الاستطلاع:</t>
    </r>
  </si>
  <si>
    <t>أ. يتأكد من مُؤشرات ونقاط المرجع لمشاغلة الاهداف ( الواجبات الاساسية للأسناد الناري ).</t>
  </si>
  <si>
    <t xml:space="preserve"> ب. يُعين ضابط رصد رئيسي وآخر بديل لتنفيذ واجبات الإسناد الناري الأساسية.</t>
  </si>
  <si>
    <t>جـ. يقوم بإعداد خطة المراقبة والرصد بحيث تتضمن جميع المصادر المتوفرة.</t>
  </si>
  <si>
    <t>د. يُدقق ويعدل الأهداف وإحداثيات مكان كل هدف حسب طبيعة الارض ودليل قائد فريق القتال .</t>
  </si>
  <si>
    <t>هـ. يُقدم توصية بإضافة أهداف الى قائمة الأهداف المُنتخبة بحيث تكون أهداف واضحة.</t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</si>
  <si>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يُكمل ضابط الإسناد الناري خطته وكما يلي:</t>
    </r>
  </si>
  <si>
    <t>أ. يُعدل ملحق الإسناد الناري بناءً على عملية الاستطلاع.</t>
  </si>
  <si>
    <t>ب. يُقدم إيجاز للقائد من أجل الموافقة على ملحق الإسناد الناري.</t>
  </si>
  <si>
    <t>جـ. يستلم موافقة القائد النهائية على خطة الاسناد الناري.</t>
  </si>
  <si>
    <t>د. يُرسل أية مراجعة نهائية للواجبات إلى عناصر الإسناد الناري للقوة.</t>
  </si>
  <si>
    <t>هـ. بشكل مُبكر، يُقدم إيجاز للمرؤوسين عن ملحق الإسناد الناري.</t>
  </si>
  <si>
    <t>و. يُحضر ويوزع وثائق الإسناد الناري المناسبة مثل:</t>
  </si>
  <si>
    <r>
      <t>(1)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جدول واجبات الإسناد الناري.</t>
    </r>
  </si>
  <si>
    <r>
      <t>(2)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الاهداف.</t>
    </r>
  </si>
  <si>
    <r>
      <t>(3)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شفاف الإسناد الناري.</t>
    </r>
  </si>
  <si>
    <r>
      <t>(4)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خطة المراقبة والرصد.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</si>
  <si>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يقدم ضابط الإسناد الناري إيجاز عن فقرة النيران في أمر عمليات فريق القتال ويشمل:</t>
    </r>
  </si>
  <si>
    <t>أ. القصد ( توجيه القائد لنيران الإسناد).</t>
  </si>
  <si>
    <t>ب. أولوية النيران</t>
  </si>
  <si>
    <t>جـ. تخصيص مصادر الإسناد الناري.</t>
  </si>
  <si>
    <t>د. التحديدات (مثل معايير تنسيق نيران الإسناد، القيود، التحديدات.. الخ)</t>
  </si>
  <si>
    <t>هـ. خطة الاسناد الناري/ تنفيذ واجب الأسناد الناري الأساسي لإسناد خطة المناورة.</t>
  </si>
  <si>
    <t>و. توقيتات تجارب الإسناد الناري.</t>
  </si>
  <si>
    <t>ز. الإجابة على جميع الأسئلة المتعلقة بنيران الإسناد.</t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</si>
  <si>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يُنسق ويُدقق ضابط الإسناد الناري خطة الإسناد مع خطة المناورة من خلال تجارب الأسلحة الموحدة وتجارب الإسناد الناري.</t>
    </r>
  </si>
  <si>
    <r>
      <rPr>
        <b/>
        <sz val="14"/>
        <color rgb="FF000000"/>
        <rFont val="Arial"/>
        <family val="2"/>
      </rPr>
      <t>تقييم كتيبة المدفعية في تخطيط النيران لإسناد عمليات المناورة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</si>
</sst>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20" xfId="0" applyNumberFormat="1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13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4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13" xfId="0" applyFont="1" applyBorder="1" applyAlignment="1">
      <alignment horizontal="right" vertical="center" wrapText="1" indent="2" readingOrder="2"/>
    </xf>
    <xf numFmtId="0" fontId="1" fillId="0" borderId="15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20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7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3" fillId="0" borderId="20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45825</xdr:colOff>
      <xdr:row>81</xdr:row>
      <xdr:rowOff>502218</xdr:rowOff>
    </xdr:from>
    <xdr:to>
      <xdr:col>9</xdr:col>
      <xdr:colOff>509474</xdr:colOff>
      <xdr:row>82</xdr:row>
      <xdr:rowOff>428327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F055A6-A8C1-BEA5-6582-42C37D0EE3F0}"/>
                </a:ext>
              </a:extLst>
            </xdr14:cNvPr>
            <xdr14:cNvContentPartPr/>
          </xdr14:nvContentPartPr>
          <xdr14:nvPr macro=""/>
          <xdr14:xfrm>
            <a:off x="10398077345" y="34457400"/>
            <a:ext cx="2437920" cy="45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F055A6-A8C1-BEA5-6582-42C37D0EE3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68345" y="34448760"/>
              <a:ext cx="2455560" cy="474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18:00:53.4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6290 965,'0'0,"0"0,0 0,0 0,0 0,0 0,0 0,0 0,0 0,0 0,0 0,-16-16,0 16,14 0,-28-16,-34 16,58 0,-69-16,-53 0,116 15,-136-14,-45-1,174 14,-186-12,-52 14,232 0,-238 0,-58 16,293-14,-265 12,-43 2,303-14,-303 44,-49-14,342-28,-315 40,-43-11,357-30,-281 42,-11 3,299-43,-247 6,-5 5,259-14,-164-4,2 18,169-14,-99-20,26 18,85 0,-58-16,5 0,56 14,-32-12,7 14,30 0,-10-16,-3 16,14 0,-28-16,-2 16,28 0,8-16,-4 0,0 14,16 4,16-18,-28 14,88-12,37-3,-114 16,130-14,48-1,-168 14,206-12,42-2,-237 14,232-28,69-2,-291 28,229-8,62-20,-291 28,260-40,47 12,-303 27,237-22,50-5,-293 28,232-24,29 12,-263 13,205 6,41 13,-248-14,209-4,7 18,-219-14,167-4,21 2,-193 0,128 0,0-16,-136 13,81-10,-25-3,-69 13,58-10,-21-3,-42 13,20-10,-26-3,0 13,-16 6,-16-20,28 15,-40 4,-68-18,95 14,-143-12,-64-18,191 28,-223-8,-81-4,293 14,-296 4,-61-18,341 14,-329 20,-12-2,346-14,-339 44,-55 3,386-43,-275 52,-47 6,327-55,-221 62,-25-23,257-41,-147 50,-14-25,179-27,-71 6,-12 5,95-13,-30 10,31-29,14 14,-12 4,30-18,-14 14,28-12,50-18,-67 27,103-22,44-5,-135 27,190-54,74 11,-244 40,231-48,92 8,-311 40,271-33,57 9,-329 28,273-40,56 28,-331 14,245-28,38 30,-289 0,208-16,33 0,-248 14,158 4,42-18,-206 14,138-12,20-18,-164 27,70-6,13-5,-95 14,30-12,17-2,-54 13,13-10,9-3,-27 13,-42-10,34 12,-27 2,-50-1,68 0,-120 0,-44 0,150 0,-189 16,-73 0,246-14,-269 28,-90 2,341-27,-329 22,-28 37,355-54,-309 44,-46 10,356-54,-247 61,-28-7,286-55,-237 46,14-7,236-42,-102 36,11-26,109-14,-43-4,30 2,27 0,-6-16,27-16,-14 28,28-24,66-36,-82 55,69-62,45-10,-111 71,126-76,18 6,-139 69,164-58,7-27,-163 81,148-67,-18 18,-135 54,63-12,-24 6,-54 14,44 4,-6-2,-41 0,2 32,7 48,-14-67,12 103,18 28,-27-122,38 116,21 39,-54-150,45 122,9 44,-55-165,62 120,-71-148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3"/>
  <sheetViews>
    <sheetView rightToLeft="1" tabSelected="1" view="pageBreakPreview" topLeftCell="A61" zoomScale="130" zoomScaleNormal="100" zoomScaleSheetLayoutView="130" workbookViewId="0">
      <selection activeCell="F77" sqref="F7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8" t="s">
        <v>247</v>
      </c>
      <c r="C1" s="78"/>
      <c r="D1" s="78"/>
      <c r="E1" s="78"/>
      <c r="F1" s="78"/>
      <c r="G1" s="78"/>
      <c r="H1" s="78"/>
      <c r="I1" s="78"/>
      <c r="J1" s="78"/>
    </row>
    <row r="2" spans="1:10" ht="30" customHeight="1" x14ac:dyDescent="0.2">
      <c r="B2" s="15" t="s">
        <v>8</v>
      </c>
      <c r="C2" s="84" t="s">
        <v>48</v>
      </c>
      <c r="D2" s="84"/>
      <c r="E2" s="15" t="s">
        <v>7</v>
      </c>
      <c r="F2" s="79">
        <v>45923</v>
      </c>
      <c r="G2" s="79"/>
      <c r="H2" s="79"/>
      <c r="I2" s="79"/>
      <c r="J2" s="79"/>
    </row>
    <row r="3" spans="1:10" ht="30" customHeight="1" x14ac:dyDescent="0.2">
      <c r="B3" s="15" t="s">
        <v>9</v>
      </c>
      <c r="C3" s="84" t="s">
        <v>68</v>
      </c>
      <c r="D3" s="84"/>
      <c r="E3" s="15" t="s">
        <v>6</v>
      </c>
      <c r="F3" s="84" t="s">
        <v>97</v>
      </c>
      <c r="G3" s="84"/>
      <c r="H3" s="84"/>
      <c r="I3" s="84"/>
      <c r="J3" s="8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3"/>
      <c r="B5" s="80" t="s">
        <v>0</v>
      </c>
      <c r="C5" s="81"/>
      <c r="D5" s="81"/>
      <c r="E5" s="89" t="s">
        <v>1</v>
      </c>
      <c r="F5" s="89"/>
      <c r="G5" s="89"/>
      <c r="H5" s="89"/>
      <c r="I5" s="89" t="s">
        <v>2</v>
      </c>
      <c r="J5" s="90"/>
    </row>
    <row r="6" spans="1:10" ht="24.95" customHeight="1" thickBot="1" x14ac:dyDescent="0.25">
      <c r="A6" s="13"/>
      <c r="B6" s="82"/>
      <c r="C6" s="83"/>
      <c r="D6" s="83"/>
      <c r="E6" s="14" t="s">
        <v>3</v>
      </c>
      <c r="F6" s="14" t="s">
        <v>4</v>
      </c>
      <c r="G6" s="14" t="s">
        <v>23</v>
      </c>
      <c r="H6" s="14" t="s">
        <v>24</v>
      </c>
      <c r="I6" s="91"/>
      <c r="J6" s="92"/>
    </row>
    <row r="7" spans="1:10" ht="24.95" customHeight="1" thickBot="1" x14ac:dyDescent="0.25">
      <c r="A7" s="13"/>
      <c r="B7" s="87" t="s">
        <v>21</v>
      </c>
      <c r="C7" s="88"/>
      <c r="D7" s="88"/>
      <c r="E7" s="30" t="s">
        <v>18</v>
      </c>
      <c r="F7" s="30" t="s">
        <v>19</v>
      </c>
      <c r="G7" s="30" t="s">
        <v>22</v>
      </c>
      <c r="H7" s="30" t="s">
        <v>20</v>
      </c>
      <c r="I7" s="93" t="s">
        <v>25</v>
      </c>
      <c r="J7" s="94"/>
    </row>
    <row r="8" spans="1:10" ht="50.25" customHeight="1" x14ac:dyDescent="0.2">
      <c r="A8" s="13"/>
      <c r="B8" s="58" t="s">
        <v>176</v>
      </c>
      <c r="C8" s="59"/>
      <c r="D8" s="59"/>
      <c r="E8" s="34"/>
      <c r="F8" s="35"/>
      <c r="G8" s="36"/>
      <c r="H8" s="37"/>
      <c r="I8" s="64"/>
      <c r="J8" s="65"/>
    </row>
    <row r="9" spans="1:10" ht="30" customHeight="1" x14ac:dyDescent="0.2">
      <c r="A9" s="13"/>
      <c r="B9" s="52" t="s">
        <v>177</v>
      </c>
      <c r="C9" s="53"/>
      <c r="D9" s="53"/>
      <c r="E9" s="11">
        <v>5</v>
      </c>
      <c r="F9" s="29">
        <v>4.25</v>
      </c>
      <c r="G9" s="32">
        <f>IFERROR(F9/E9,"")</f>
        <v>0.85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2"/>
      <c r="J9" s="63"/>
    </row>
    <row r="10" spans="1:10" ht="30" customHeight="1" x14ac:dyDescent="0.2">
      <c r="A10" s="13"/>
      <c r="B10" s="52" t="s">
        <v>178</v>
      </c>
      <c r="C10" s="53"/>
      <c r="D10" s="53"/>
      <c r="E10" s="11">
        <v>5</v>
      </c>
      <c r="F10" s="45">
        <v>3.5</v>
      </c>
      <c r="G10" s="32">
        <f t="shared" ref="G10:G73" si="0">IFERROR(F10/E10,"")</f>
        <v>0.7</v>
      </c>
      <c r="H10" s="33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62"/>
      <c r="J10" s="63"/>
    </row>
    <row r="11" spans="1:10" ht="30" customHeight="1" x14ac:dyDescent="0.2">
      <c r="A11" s="13"/>
      <c r="B11" s="52" t="s">
        <v>179</v>
      </c>
      <c r="C11" s="53"/>
      <c r="D11" s="53"/>
      <c r="E11" s="11">
        <v>5</v>
      </c>
      <c r="F11" s="45">
        <v>3.5</v>
      </c>
      <c r="G11" s="32">
        <f t="shared" si="0"/>
        <v>0.7</v>
      </c>
      <c r="H11" s="33" t="str">
        <f t="shared" si="1"/>
        <v>جيد</v>
      </c>
      <c r="I11" s="62"/>
      <c r="J11" s="63"/>
    </row>
    <row r="12" spans="1:10" ht="30" customHeight="1" x14ac:dyDescent="0.2">
      <c r="A12" s="13"/>
      <c r="B12" s="52" t="s">
        <v>180</v>
      </c>
      <c r="C12" s="53"/>
      <c r="D12" s="53"/>
      <c r="E12" s="11">
        <v>5</v>
      </c>
      <c r="F12" s="45">
        <v>3.75</v>
      </c>
      <c r="G12" s="32">
        <f t="shared" si="0"/>
        <v>0.75</v>
      </c>
      <c r="H12" s="33" t="str">
        <f t="shared" si="1"/>
        <v>جيد</v>
      </c>
      <c r="I12" s="62"/>
      <c r="J12" s="63"/>
    </row>
    <row r="13" spans="1:10" ht="30" customHeight="1" x14ac:dyDescent="0.2">
      <c r="A13" s="13"/>
      <c r="B13" s="52" t="s">
        <v>181</v>
      </c>
      <c r="C13" s="53"/>
      <c r="D13" s="53"/>
      <c r="E13" s="11">
        <v>5</v>
      </c>
      <c r="F13" s="45">
        <v>3.5</v>
      </c>
      <c r="G13" s="32">
        <f t="shared" si="0"/>
        <v>0.7</v>
      </c>
      <c r="H13" s="33" t="str">
        <f t="shared" si="1"/>
        <v>جيد</v>
      </c>
      <c r="I13" s="62"/>
      <c r="J13" s="63"/>
    </row>
    <row r="14" spans="1:10" ht="30" customHeight="1" x14ac:dyDescent="0.2">
      <c r="A14" s="13"/>
      <c r="B14" s="52" t="s">
        <v>182</v>
      </c>
      <c r="C14" s="53"/>
      <c r="D14" s="53"/>
      <c r="E14" s="11">
        <v>5</v>
      </c>
      <c r="F14" s="45">
        <v>3.5</v>
      </c>
      <c r="G14" s="32">
        <f t="shared" si="0"/>
        <v>0.7</v>
      </c>
      <c r="H14" s="33" t="str">
        <f t="shared" si="1"/>
        <v>جيد</v>
      </c>
      <c r="I14" s="62"/>
      <c r="J14" s="63"/>
    </row>
    <row r="15" spans="1:10" ht="30" customHeight="1" x14ac:dyDescent="0.2">
      <c r="A15" s="13"/>
      <c r="B15" s="52" t="s">
        <v>183</v>
      </c>
      <c r="C15" s="53"/>
      <c r="D15" s="53"/>
      <c r="E15" s="11">
        <v>5</v>
      </c>
      <c r="F15" s="45">
        <v>3.5</v>
      </c>
      <c r="G15" s="32">
        <f t="shared" si="0"/>
        <v>0.7</v>
      </c>
      <c r="H15" s="33" t="str">
        <f t="shared" si="1"/>
        <v>جيد</v>
      </c>
      <c r="I15" s="62"/>
      <c r="J15" s="63"/>
    </row>
    <row r="16" spans="1:10" ht="30" customHeight="1" x14ac:dyDescent="0.2">
      <c r="A16" s="13"/>
      <c r="B16" s="52" t="s">
        <v>184</v>
      </c>
      <c r="C16" s="53"/>
      <c r="D16" s="53"/>
      <c r="E16" s="11">
        <v>5</v>
      </c>
      <c r="F16" s="45">
        <v>3.5</v>
      </c>
      <c r="G16" s="32">
        <f t="shared" si="0"/>
        <v>0.7</v>
      </c>
      <c r="H16" s="33" t="str">
        <f t="shared" si="1"/>
        <v>جيد</v>
      </c>
      <c r="I16" s="62"/>
      <c r="J16" s="63"/>
    </row>
    <row r="17" spans="1:10" ht="30" customHeight="1" x14ac:dyDescent="0.2">
      <c r="A17" s="13"/>
      <c r="B17" s="52" t="s">
        <v>185</v>
      </c>
      <c r="C17" s="53"/>
      <c r="D17" s="53"/>
      <c r="E17" s="11">
        <v>5</v>
      </c>
      <c r="F17" s="45">
        <v>4</v>
      </c>
      <c r="G17" s="32">
        <f t="shared" si="0"/>
        <v>0.8</v>
      </c>
      <c r="H17" s="33" t="str">
        <f t="shared" si="1"/>
        <v>جيد جداً</v>
      </c>
      <c r="I17" s="62"/>
      <c r="J17" s="63"/>
    </row>
    <row r="18" spans="1:10" ht="30" customHeight="1" x14ac:dyDescent="0.2">
      <c r="A18" s="13"/>
      <c r="B18" s="52" t="s">
        <v>186</v>
      </c>
      <c r="C18" s="53"/>
      <c r="D18" s="53"/>
      <c r="E18" s="11">
        <v>5</v>
      </c>
      <c r="F18" s="45">
        <v>3.5</v>
      </c>
      <c r="G18" s="32">
        <f t="shared" si="0"/>
        <v>0.7</v>
      </c>
      <c r="H18" s="33" t="str">
        <f t="shared" si="1"/>
        <v>جيد</v>
      </c>
      <c r="I18" s="62"/>
      <c r="J18" s="63"/>
    </row>
    <row r="19" spans="1:10" ht="30" customHeight="1" x14ac:dyDescent="0.2">
      <c r="A19" s="13"/>
      <c r="B19" s="52" t="s">
        <v>187</v>
      </c>
      <c r="C19" s="53"/>
      <c r="D19" s="53"/>
      <c r="E19" s="11">
        <v>5</v>
      </c>
      <c r="F19" s="45">
        <v>3.5</v>
      </c>
      <c r="G19" s="32">
        <f t="shared" si="0"/>
        <v>0.7</v>
      </c>
      <c r="H19" s="33" t="str">
        <f t="shared" si="1"/>
        <v>جيد</v>
      </c>
      <c r="I19" s="62"/>
      <c r="J19" s="63"/>
    </row>
    <row r="20" spans="1:10" ht="30" customHeight="1" thickBot="1" x14ac:dyDescent="0.25">
      <c r="A20" s="13"/>
      <c r="B20" s="60" t="s">
        <v>188</v>
      </c>
      <c r="C20" s="61"/>
      <c r="D20" s="61"/>
      <c r="E20" s="42">
        <v>5</v>
      </c>
      <c r="F20" s="45">
        <v>3.75</v>
      </c>
      <c r="G20" s="43">
        <f t="shared" si="0"/>
        <v>0.75</v>
      </c>
      <c r="H20" s="44" t="str">
        <f t="shared" si="1"/>
        <v>جيد</v>
      </c>
      <c r="I20" s="95"/>
      <c r="J20" s="96"/>
    </row>
    <row r="21" spans="1:10" ht="30" customHeight="1" x14ac:dyDescent="0.2">
      <c r="A21" s="13"/>
      <c r="B21" s="58" t="s">
        <v>189</v>
      </c>
      <c r="C21" s="59"/>
      <c r="D21" s="59"/>
      <c r="E21" s="34"/>
      <c r="F21" s="35"/>
      <c r="G21" s="36"/>
      <c r="H21" s="37"/>
      <c r="I21" s="64"/>
      <c r="J21" s="65"/>
    </row>
    <row r="22" spans="1:10" ht="30" customHeight="1" x14ac:dyDescent="0.2">
      <c r="A22" s="13"/>
      <c r="B22" s="52" t="s">
        <v>190</v>
      </c>
      <c r="C22" s="53"/>
      <c r="D22" s="53"/>
      <c r="E22" s="11"/>
      <c r="F22" s="29"/>
      <c r="G22" s="32"/>
      <c r="H22" s="33"/>
      <c r="I22" s="62"/>
      <c r="J22" s="63"/>
    </row>
    <row r="23" spans="1:10" ht="30" customHeight="1" x14ac:dyDescent="0.2">
      <c r="A23" s="13"/>
      <c r="B23" s="46" t="s">
        <v>191</v>
      </c>
      <c r="C23" s="47"/>
      <c r="D23" s="47"/>
      <c r="E23" s="31"/>
      <c r="F23" s="29"/>
      <c r="G23" s="32"/>
      <c r="H23" s="33"/>
      <c r="I23" s="62"/>
      <c r="J23" s="63"/>
    </row>
    <row r="24" spans="1:10" ht="30" customHeight="1" x14ac:dyDescent="0.2">
      <c r="A24" s="13"/>
      <c r="B24" s="50" t="s">
        <v>192</v>
      </c>
      <c r="C24" s="51"/>
      <c r="D24" s="51"/>
      <c r="E24" s="11">
        <v>5</v>
      </c>
      <c r="F24" s="29">
        <v>4</v>
      </c>
      <c r="G24" s="32">
        <f t="shared" si="0"/>
        <v>0.8</v>
      </c>
      <c r="H24" s="33" t="str">
        <f t="shared" si="1"/>
        <v>جيد جداً</v>
      </c>
      <c r="I24" s="62"/>
      <c r="J24" s="63"/>
    </row>
    <row r="25" spans="1:10" ht="30" customHeight="1" x14ac:dyDescent="0.2">
      <c r="A25" s="13"/>
      <c r="B25" s="50" t="s">
        <v>193</v>
      </c>
      <c r="C25" s="51"/>
      <c r="D25" s="51"/>
      <c r="E25" s="11">
        <v>5</v>
      </c>
      <c r="F25" s="45">
        <v>3.5</v>
      </c>
      <c r="G25" s="32">
        <f t="shared" si="0"/>
        <v>0.7</v>
      </c>
      <c r="H25" s="33" t="str">
        <f t="shared" si="1"/>
        <v>جيد</v>
      </c>
      <c r="I25" s="62"/>
      <c r="J25" s="63"/>
    </row>
    <row r="26" spans="1:10" ht="30" customHeight="1" x14ac:dyDescent="0.2">
      <c r="A26" s="13"/>
      <c r="B26" s="50" t="s">
        <v>194</v>
      </c>
      <c r="C26" s="51"/>
      <c r="D26" s="51"/>
      <c r="E26" s="11">
        <v>5</v>
      </c>
      <c r="F26" s="45">
        <v>3.5</v>
      </c>
      <c r="G26" s="32">
        <f t="shared" si="0"/>
        <v>0.7</v>
      </c>
      <c r="H26" s="33" t="str">
        <f t="shared" si="1"/>
        <v>جيد</v>
      </c>
      <c r="I26" s="62"/>
      <c r="J26" s="63"/>
    </row>
    <row r="27" spans="1:10" ht="30" customHeight="1" x14ac:dyDescent="0.2">
      <c r="A27" s="13"/>
      <c r="B27" s="50" t="s">
        <v>195</v>
      </c>
      <c r="C27" s="51"/>
      <c r="D27" s="51"/>
      <c r="E27" s="11">
        <v>5</v>
      </c>
      <c r="F27" s="45">
        <v>3.5</v>
      </c>
      <c r="G27" s="32">
        <f t="shared" si="0"/>
        <v>0.7</v>
      </c>
      <c r="H27" s="33" t="str">
        <f t="shared" si="1"/>
        <v>جيد</v>
      </c>
      <c r="I27" s="62"/>
      <c r="J27" s="63"/>
    </row>
    <row r="28" spans="1:10" ht="30" customHeight="1" x14ac:dyDescent="0.2">
      <c r="A28" s="13"/>
      <c r="B28" s="50" t="s">
        <v>196</v>
      </c>
      <c r="C28" s="51"/>
      <c r="D28" s="51"/>
      <c r="E28" s="11">
        <v>5</v>
      </c>
      <c r="F28" s="45">
        <v>3.75</v>
      </c>
      <c r="G28" s="32">
        <f t="shared" si="0"/>
        <v>0.75</v>
      </c>
      <c r="H28" s="33" t="str">
        <f t="shared" si="1"/>
        <v>جيد</v>
      </c>
      <c r="I28" s="62"/>
      <c r="J28" s="63"/>
    </row>
    <row r="29" spans="1:10" ht="30" customHeight="1" x14ac:dyDescent="0.2">
      <c r="A29" s="13"/>
      <c r="B29" s="50" t="s">
        <v>197</v>
      </c>
      <c r="C29" s="51"/>
      <c r="D29" s="51"/>
      <c r="E29" s="11">
        <v>5</v>
      </c>
      <c r="F29" s="45">
        <v>3.5</v>
      </c>
      <c r="G29" s="32">
        <f t="shared" si="0"/>
        <v>0.7</v>
      </c>
      <c r="H29" s="33" t="str">
        <f t="shared" si="1"/>
        <v>جيد</v>
      </c>
      <c r="I29" s="62"/>
      <c r="J29" s="63"/>
    </row>
    <row r="30" spans="1:10" ht="39.950000000000003" customHeight="1" x14ac:dyDescent="0.2">
      <c r="A30" s="13"/>
      <c r="B30" s="50" t="s">
        <v>198</v>
      </c>
      <c r="C30" s="51"/>
      <c r="D30" s="51"/>
      <c r="E30" s="11">
        <v>5</v>
      </c>
      <c r="F30" s="45">
        <v>3.5</v>
      </c>
      <c r="G30" s="32">
        <f t="shared" si="0"/>
        <v>0.7</v>
      </c>
      <c r="H30" s="33" t="str">
        <f t="shared" si="1"/>
        <v>جيد</v>
      </c>
      <c r="I30" s="62"/>
      <c r="J30" s="63"/>
    </row>
    <row r="31" spans="1:10" ht="30" customHeight="1" x14ac:dyDescent="0.2">
      <c r="A31" s="13"/>
      <c r="B31" s="46" t="s">
        <v>199</v>
      </c>
      <c r="C31" s="47"/>
      <c r="D31" s="47"/>
      <c r="E31" s="11">
        <v>5</v>
      </c>
      <c r="F31" s="45">
        <v>3.5</v>
      </c>
      <c r="G31" s="32">
        <f t="shared" si="0"/>
        <v>0.7</v>
      </c>
      <c r="H31" s="33" t="str">
        <f t="shared" si="1"/>
        <v>جيد</v>
      </c>
      <c r="I31" s="62"/>
      <c r="J31" s="63"/>
    </row>
    <row r="32" spans="1:10" ht="30" customHeight="1" x14ac:dyDescent="0.2">
      <c r="A32" s="13"/>
      <c r="B32" s="46" t="s">
        <v>200</v>
      </c>
      <c r="C32" s="47"/>
      <c r="D32" s="47"/>
      <c r="E32" s="11">
        <v>5</v>
      </c>
      <c r="F32" s="45">
        <v>3.5</v>
      </c>
      <c r="G32" s="32">
        <f t="shared" si="0"/>
        <v>0.7</v>
      </c>
      <c r="H32" s="33" t="str">
        <f t="shared" si="1"/>
        <v>جيد</v>
      </c>
      <c r="I32" s="62"/>
      <c r="J32" s="63"/>
    </row>
    <row r="33" spans="1:10" ht="30" customHeight="1" x14ac:dyDescent="0.2">
      <c r="A33" s="13"/>
      <c r="B33" s="52" t="s">
        <v>201</v>
      </c>
      <c r="C33" s="53"/>
      <c r="D33" s="53"/>
      <c r="E33" s="31"/>
      <c r="F33" s="29"/>
      <c r="G33" s="32"/>
      <c r="H33" s="33"/>
      <c r="I33" s="62"/>
      <c r="J33" s="63"/>
    </row>
    <row r="34" spans="1:10" ht="30" customHeight="1" x14ac:dyDescent="0.2">
      <c r="A34" s="13"/>
      <c r="B34" s="46" t="s">
        <v>202</v>
      </c>
      <c r="C34" s="47"/>
      <c r="D34" s="47"/>
      <c r="E34" s="11">
        <v>5</v>
      </c>
      <c r="F34" s="29">
        <v>3.5</v>
      </c>
      <c r="G34" s="32">
        <f t="shared" si="0"/>
        <v>0.7</v>
      </c>
      <c r="H34" s="33" t="str">
        <f t="shared" si="1"/>
        <v>جيد</v>
      </c>
      <c r="I34" s="62"/>
      <c r="J34" s="63"/>
    </row>
    <row r="35" spans="1:10" ht="39.950000000000003" customHeight="1" x14ac:dyDescent="0.2">
      <c r="A35" s="13"/>
      <c r="B35" s="46" t="s">
        <v>203</v>
      </c>
      <c r="C35" s="47"/>
      <c r="D35" s="47"/>
      <c r="E35" s="11">
        <v>5</v>
      </c>
      <c r="F35" s="45">
        <v>3.5</v>
      </c>
      <c r="G35" s="32">
        <f t="shared" si="0"/>
        <v>0.7</v>
      </c>
      <c r="H35" s="33" t="str">
        <f t="shared" si="1"/>
        <v>جيد</v>
      </c>
      <c r="I35" s="62"/>
      <c r="J35" s="63"/>
    </row>
    <row r="36" spans="1:10" ht="39.950000000000003" customHeight="1" x14ac:dyDescent="0.2">
      <c r="A36" s="13"/>
      <c r="B36" s="52" t="s">
        <v>204</v>
      </c>
      <c r="C36" s="53"/>
      <c r="D36" s="53"/>
      <c r="E36" s="31"/>
      <c r="F36" s="29"/>
      <c r="G36" s="32"/>
      <c r="H36" s="33"/>
      <c r="I36" s="62"/>
      <c r="J36" s="63"/>
    </row>
    <row r="37" spans="1:10" ht="30" customHeight="1" x14ac:dyDescent="0.2">
      <c r="A37" s="13"/>
      <c r="B37" s="46" t="s">
        <v>205</v>
      </c>
      <c r="C37" s="47"/>
      <c r="D37" s="47"/>
      <c r="E37" s="11">
        <v>5</v>
      </c>
      <c r="F37" s="29">
        <v>4.25</v>
      </c>
      <c r="G37" s="32">
        <f t="shared" si="0"/>
        <v>0.85</v>
      </c>
      <c r="H37" s="33" t="str">
        <f t="shared" si="1"/>
        <v>جيد جداً</v>
      </c>
      <c r="I37" s="62"/>
      <c r="J37" s="63"/>
    </row>
    <row r="38" spans="1:10" ht="39.950000000000003" customHeight="1" x14ac:dyDescent="0.2">
      <c r="A38" s="13"/>
      <c r="B38" s="46" t="s">
        <v>206</v>
      </c>
      <c r="C38" s="47"/>
      <c r="D38" s="47"/>
      <c r="E38" s="11">
        <v>5</v>
      </c>
      <c r="F38" s="45">
        <v>3.5</v>
      </c>
      <c r="G38" s="32">
        <f t="shared" si="0"/>
        <v>0.7</v>
      </c>
      <c r="H38" s="33" t="str">
        <f t="shared" si="1"/>
        <v>جيد</v>
      </c>
      <c r="I38" s="62"/>
      <c r="J38" s="63"/>
    </row>
    <row r="39" spans="1:10" ht="39.950000000000003" customHeight="1" x14ac:dyDescent="0.2">
      <c r="A39" s="13"/>
      <c r="B39" s="46" t="s">
        <v>207</v>
      </c>
      <c r="C39" s="47"/>
      <c r="D39" s="47"/>
      <c r="E39" s="31"/>
      <c r="F39" s="29"/>
      <c r="G39" s="32"/>
      <c r="H39" s="33"/>
      <c r="I39" s="62"/>
      <c r="J39" s="63"/>
    </row>
    <row r="40" spans="1:10" ht="30" customHeight="1" x14ac:dyDescent="0.2">
      <c r="A40" s="13"/>
      <c r="B40" s="50" t="s">
        <v>208</v>
      </c>
      <c r="C40" s="51"/>
      <c r="D40" s="51"/>
      <c r="E40" s="11">
        <v>5</v>
      </c>
      <c r="F40" s="29">
        <v>3.5</v>
      </c>
      <c r="G40" s="32">
        <f t="shared" si="0"/>
        <v>0.7</v>
      </c>
      <c r="H40" s="33" t="str">
        <f t="shared" si="1"/>
        <v>جيد</v>
      </c>
      <c r="I40" s="62"/>
      <c r="J40" s="63"/>
    </row>
    <row r="41" spans="1:10" ht="30" customHeight="1" x14ac:dyDescent="0.2">
      <c r="A41" s="13"/>
      <c r="B41" s="50" t="s">
        <v>209</v>
      </c>
      <c r="C41" s="51"/>
      <c r="D41" s="51"/>
      <c r="E41" s="11">
        <v>5</v>
      </c>
      <c r="F41" s="45">
        <v>3.5</v>
      </c>
      <c r="G41" s="32">
        <f t="shared" si="0"/>
        <v>0.7</v>
      </c>
      <c r="H41" s="33" t="str">
        <f t="shared" si="1"/>
        <v>جيد</v>
      </c>
      <c r="I41" s="62"/>
      <c r="J41" s="63"/>
    </row>
    <row r="42" spans="1:10" ht="30" customHeight="1" x14ac:dyDescent="0.2">
      <c r="A42" s="13"/>
      <c r="B42" s="50" t="s">
        <v>210</v>
      </c>
      <c r="C42" s="51"/>
      <c r="D42" s="51"/>
      <c r="E42" s="11">
        <v>5</v>
      </c>
      <c r="F42" s="45">
        <v>3.5</v>
      </c>
      <c r="G42" s="32">
        <f t="shared" si="0"/>
        <v>0.7</v>
      </c>
      <c r="H42" s="33" t="str">
        <f t="shared" si="1"/>
        <v>جيد</v>
      </c>
      <c r="I42" s="62"/>
      <c r="J42" s="63"/>
    </row>
    <row r="43" spans="1:10" ht="30" customHeight="1" x14ac:dyDescent="0.2">
      <c r="A43" s="13"/>
      <c r="B43" s="50" t="s">
        <v>211</v>
      </c>
      <c r="C43" s="51"/>
      <c r="D43" s="51"/>
      <c r="E43" s="11">
        <v>5</v>
      </c>
      <c r="F43" s="45">
        <v>3.5</v>
      </c>
      <c r="G43" s="32">
        <f t="shared" si="0"/>
        <v>0.7</v>
      </c>
      <c r="H43" s="33" t="str">
        <f t="shared" si="1"/>
        <v>جيد</v>
      </c>
      <c r="I43" s="62"/>
      <c r="J43" s="63"/>
    </row>
    <row r="44" spans="1:10" ht="54" customHeight="1" x14ac:dyDescent="0.2">
      <c r="A44" s="13"/>
      <c r="B44" s="46" t="s">
        <v>212</v>
      </c>
      <c r="C44" s="47"/>
      <c r="D44" s="47"/>
      <c r="E44" s="11">
        <v>5</v>
      </c>
      <c r="F44" s="45">
        <v>3.5</v>
      </c>
      <c r="G44" s="32">
        <f t="shared" si="0"/>
        <v>0.7</v>
      </c>
      <c r="H44" s="33" t="str">
        <f t="shared" si="1"/>
        <v>جيد</v>
      </c>
      <c r="I44" s="62"/>
      <c r="J44" s="63"/>
    </row>
    <row r="45" spans="1:10" ht="39.950000000000003" customHeight="1" x14ac:dyDescent="0.2">
      <c r="A45" s="13"/>
      <c r="B45" s="46" t="s">
        <v>213</v>
      </c>
      <c r="C45" s="47"/>
      <c r="D45" s="47"/>
      <c r="E45" s="11">
        <v>5</v>
      </c>
      <c r="F45" s="45">
        <v>3.5</v>
      </c>
      <c r="G45" s="32">
        <f t="shared" si="0"/>
        <v>0.7</v>
      </c>
      <c r="H45" s="33" t="str">
        <f t="shared" si="1"/>
        <v>جيد</v>
      </c>
      <c r="I45" s="62"/>
      <c r="J45" s="63"/>
    </row>
    <row r="46" spans="1:10" ht="39.950000000000003" customHeight="1" x14ac:dyDescent="0.2">
      <c r="A46" s="13"/>
      <c r="B46" s="46" t="s">
        <v>214</v>
      </c>
      <c r="C46" s="47"/>
      <c r="D46" s="47"/>
      <c r="E46" s="11">
        <v>5</v>
      </c>
      <c r="F46" s="45">
        <v>4.25</v>
      </c>
      <c r="G46" s="32">
        <f t="shared" si="0"/>
        <v>0.85</v>
      </c>
      <c r="H46" s="33" t="str">
        <f t="shared" si="1"/>
        <v>جيد جداً</v>
      </c>
      <c r="I46" s="62"/>
      <c r="J46" s="63"/>
    </row>
    <row r="47" spans="1:10" ht="39.950000000000003" customHeight="1" x14ac:dyDescent="0.2">
      <c r="A47" s="13"/>
      <c r="B47" s="46" t="s">
        <v>215</v>
      </c>
      <c r="C47" s="47"/>
      <c r="D47" s="47"/>
      <c r="E47" s="11">
        <v>5</v>
      </c>
      <c r="F47" s="45">
        <v>3.5</v>
      </c>
      <c r="G47" s="32">
        <f t="shared" si="0"/>
        <v>0.7</v>
      </c>
      <c r="H47" s="33" t="str">
        <f t="shared" si="1"/>
        <v>جيد</v>
      </c>
      <c r="I47" s="62"/>
      <c r="J47" s="63"/>
    </row>
    <row r="48" spans="1:10" ht="30" customHeight="1" x14ac:dyDescent="0.2">
      <c r="A48" s="13"/>
      <c r="B48" s="46" t="s">
        <v>216</v>
      </c>
      <c r="C48" s="47"/>
      <c r="D48" s="47"/>
      <c r="E48" s="11">
        <v>5</v>
      </c>
      <c r="F48" s="45">
        <v>3.5</v>
      </c>
      <c r="G48" s="32">
        <f t="shared" si="0"/>
        <v>0.7</v>
      </c>
      <c r="H48" s="33" t="str">
        <f t="shared" si="1"/>
        <v>جيد</v>
      </c>
      <c r="I48" s="62"/>
      <c r="J48" s="63"/>
    </row>
    <row r="49" spans="1:10" ht="39.950000000000003" customHeight="1" thickBot="1" x14ac:dyDescent="0.25">
      <c r="A49" s="13"/>
      <c r="B49" s="54" t="s">
        <v>217</v>
      </c>
      <c r="C49" s="55"/>
      <c r="D49" s="55"/>
      <c r="E49" s="38">
        <v>5</v>
      </c>
      <c r="F49" s="45">
        <v>3.5</v>
      </c>
      <c r="G49" s="39">
        <f t="shared" si="0"/>
        <v>0.7</v>
      </c>
      <c r="H49" s="40" t="str">
        <f t="shared" si="1"/>
        <v>جيد</v>
      </c>
      <c r="I49" s="74"/>
      <c r="J49" s="75"/>
    </row>
    <row r="50" spans="1:10" ht="30" customHeight="1" x14ac:dyDescent="0.2">
      <c r="A50" s="13"/>
      <c r="B50" s="56" t="s">
        <v>218</v>
      </c>
      <c r="C50" s="57"/>
      <c r="D50" s="57"/>
      <c r="E50" s="41"/>
      <c r="F50" s="45"/>
      <c r="G50" s="10" t="str">
        <f t="shared" si="0"/>
        <v/>
      </c>
      <c r="H50" s="9" t="str">
        <f t="shared" si="1"/>
        <v>ممتاز</v>
      </c>
      <c r="I50" s="76"/>
      <c r="J50" s="77"/>
    </row>
    <row r="51" spans="1:10" ht="39.950000000000003" customHeight="1" x14ac:dyDescent="0.2">
      <c r="A51" s="13"/>
      <c r="B51" s="52" t="s">
        <v>219</v>
      </c>
      <c r="C51" s="53"/>
      <c r="D51" s="53"/>
      <c r="E51" s="11">
        <v>5</v>
      </c>
      <c r="F51" s="29">
        <v>4</v>
      </c>
      <c r="G51" s="32">
        <f t="shared" si="0"/>
        <v>0.8</v>
      </c>
      <c r="H51" s="33" t="str">
        <f t="shared" si="1"/>
        <v>جيد جداً</v>
      </c>
      <c r="I51" s="62"/>
      <c r="J51" s="63"/>
    </row>
    <row r="52" spans="1:10" ht="49.5" customHeight="1" x14ac:dyDescent="0.2">
      <c r="A52" s="13"/>
      <c r="B52" s="52" t="s">
        <v>220</v>
      </c>
      <c r="C52" s="53"/>
      <c r="D52" s="53"/>
      <c r="E52" s="11">
        <v>5</v>
      </c>
      <c r="F52" s="45">
        <v>3.5</v>
      </c>
      <c r="G52" s="32">
        <f t="shared" si="0"/>
        <v>0.7</v>
      </c>
      <c r="H52" s="33" t="str">
        <f t="shared" si="1"/>
        <v>جيد</v>
      </c>
      <c r="I52" s="62"/>
      <c r="J52" s="63"/>
    </row>
    <row r="53" spans="1:10" ht="30" customHeight="1" x14ac:dyDescent="0.2">
      <c r="A53" s="13"/>
      <c r="B53" s="52" t="s">
        <v>221</v>
      </c>
      <c r="C53" s="53"/>
      <c r="D53" s="53"/>
      <c r="E53" s="31"/>
      <c r="F53" s="29"/>
      <c r="G53" s="32"/>
      <c r="H53" s="33"/>
      <c r="I53" s="62"/>
      <c r="J53" s="63"/>
    </row>
    <row r="54" spans="1:10" ht="39.950000000000003" customHeight="1" x14ac:dyDescent="0.2">
      <c r="A54" s="13"/>
      <c r="B54" s="46" t="s">
        <v>222</v>
      </c>
      <c r="C54" s="47"/>
      <c r="D54" s="47"/>
      <c r="E54" s="11">
        <v>5</v>
      </c>
      <c r="F54" s="29">
        <v>3.5</v>
      </c>
      <c r="G54" s="32">
        <f t="shared" si="0"/>
        <v>0.7</v>
      </c>
      <c r="H54" s="33" t="str">
        <f t="shared" si="1"/>
        <v>جيد</v>
      </c>
      <c r="I54" s="62"/>
      <c r="J54" s="63"/>
    </row>
    <row r="55" spans="1:10" ht="39.950000000000003" customHeight="1" x14ac:dyDescent="0.2">
      <c r="A55" s="13"/>
      <c r="B55" s="46" t="s">
        <v>223</v>
      </c>
      <c r="C55" s="47"/>
      <c r="D55" s="47"/>
      <c r="E55" s="11">
        <v>5</v>
      </c>
      <c r="F55" s="45">
        <v>3.5</v>
      </c>
      <c r="G55" s="32">
        <f t="shared" si="0"/>
        <v>0.7</v>
      </c>
      <c r="H55" s="33" t="str">
        <f t="shared" si="1"/>
        <v>جيد</v>
      </c>
      <c r="I55" s="62"/>
      <c r="J55" s="63"/>
    </row>
    <row r="56" spans="1:10" ht="39.950000000000003" customHeight="1" x14ac:dyDescent="0.2">
      <c r="A56" s="13"/>
      <c r="B56" s="46" t="s">
        <v>224</v>
      </c>
      <c r="C56" s="47"/>
      <c r="D56" s="47"/>
      <c r="E56" s="11">
        <v>5</v>
      </c>
      <c r="F56" s="45">
        <v>3.5</v>
      </c>
      <c r="G56" s="32">
        <f t="shared" si="0"/>
        <v>0.7</v>
      </c>
      <c r="H56" s="33" t="str">
        <f t="shared" si="1"/>
        <v>جيد</v>
      </c>
      <c r="I56" s="62"/>
      <c r="J56" s="63"/>
    </row>
    <row r="57" spans="1:10" ht="39.950000000000003" customHeight="1" x14ac:dyDescent="0.2">
      <c r="A57" s="13"/>
      <c r="B57" s="46" t="s">
        <v>225</v>
      </c>
      <c r="C57" s="47"/>
      <c r="D57" s="47"/>
      <c r="E57" s="11">
        <v>5</v>
      </c>
      <c r="F57" s="45">
        <v>3.75</v>
      </c>
      <c r="G57" s="32">
        <f t="shared" si="0"/>
        <v>0.75</v>
      </c>
      <c r="H57" s="33" t="str">
        <f t="shared" si="1"/>
        <v>جيد</v>
      </c>
      <c r="I57" s="62"/>
      <c r="J57" s="63"/>
    </row>
    <row r="58" spans="1:10" ht="39.950000000000003" customHeight="1" x14ac:dyDescent="0.2">
      <c r="A58" s="13"/>
      <c r="B58" s="46" t="s">
        <v>226</v>
      </c>
      <c r="C58" s="47"/>
      <c r="D58" s="47"/>
      <c r="E58" s="11">
        <v>5</v>
      </c>
      <c r="F58" s="45">
        <v>3.5</v>
      </c>
      <c r="G58" s="32">
        <f t="shared" si="0"/>
        <v>0.7</v>
      </c>
      <c r="H58" s="33" t="str">
        <f t="shared" si="1"/>
        <v>جيد</v>
      </c>
      <c r="I58" s="62"/>
      <c r="J58" s="63"/>
    </row>
    <row r="59" spans="1:10" ht="30" customHeight="1" x14ac:dyDescent="0.2">
      <c r="A59" s="13"/>
      <c r="B59" s="52" t="s">
        <v>227</v>
      </c>
      <c r="C59" s="53"/>
      <c r="D59" s="53"/>
      <c r="E59" s="31"/>
      <c r="F59" s="29"/>
      <c r="G59" s="32"/>
      <c r="H59" s="33"/>
      <c r="I59" s="62"/>
      <c r="J59" s="63"/>
    </row>
    <row r="60" spans="1:10" ht="30" customHeight="1" x14ac:dyDescent="0.2">
      <c r="A60" s="13"/>
      <c r="B60" s="46" t="s">
        <v>228</v>
      </c>
      <c r="C60" s="47"/>
      <c r="D60" s="47"/>
      <c r="E60" s="11">
        <v>5</v>
      </c>
      <c r="F60" s="29">
        <v>3.5</v>
      </c>
      <c r="G60" s="32">
        <f t="shared" si="0"/>
        <v>0.7</v>
      </c>
      <c r="H60" s="33" t="str">
        <f t="shared" si="1"/>
        <v>جيد</v>
      </c>
      <c r="I60" s="62"/>
      <c r="J60" s="63"/>
    </row>
    <row r="61" spans="1:10" ht="30" customHeight="1" x14ac:dyDescent="0.2">
      <c r="A61" s="13"/>
      <c r="B61" s="46" t="s">
        <v>229</v>
      </c>
      <c r="C61" s="47"/>
      <c r="D61" s="47"/>
      <c r="E61" s="11">
        <v>5</v>
      </c>
      <c r="F61" s="45">
        <v>3.5</v>
      </c>
      <c r="G61" s="32">
        <f t="shared" si="0"/>
        <v>0.7</v>
      </c>
      <c r="H61" s="33" t="str">
        <f t="shared" si="1"/>
        <v>جيد</v>
      </c>
      <c r="I61" s="62"/>
      <c r="J61" s="63"/>
    </row>
    <row r="62" spans="1:10" ht="30" customHeight="1" x14ac:dyDescent="0.2">
      <c r="A62" s="13"/>
      <c r="B62" s="46" t="s">
        <v>230</v>
      </c>
      <c r="C62" s="47"/>
      <c r="D62" s="47"/>
      <c r="E62" s="11">
        <v>5</v>
      </c>
      <c r="F62" s="45">
        <v>3.5</v>
      </c>
      <c r="G62" s="32">
        <f t="shared" si="0"/>
        <v>0.7</v>
      </c>
      <c r="H62" s="33" t="str">
        <f t="shared" si="1"/>
        <v>جيد</v>
      </c>
      <c r="I62" s="62"/>
      <c r="J62" s="63"/>
    </row>
    <row r="63" spans="1:10" ht="30" customHeight="1" x14ac:dyDescent="0.2">
      <c r="A63" s="13"/>
      <c r="B63" s="46" t="s">
        <v>231</v>
      </c>
      <c r="C63" s="47"/>
      <c r="D63" s="47"/>
      <c r="E63" s="11">
        <v>5</v>
      </c>
      <c r="F63" s="45">
        <v>3.5</v>
      </c>
      <c r="G63" s="32">
        <f t="shared" si="0"/>
        <v>0.7</v>
      </c>
      <c r="H63" s="33" t="str">
        <f t="shared" si="1"/>
        <v>جيد</v>
      </c>
      <c r="I63" s="62"/>
      <c r="J63" s="63"/>
    </row>
    <row r="64" spans="1:10" ht="30" customHeight="1" x14ac:dyDescent="0.2">
      <c r="A64" s="13"/>
      <c r="B64" s="46" t="s">
        <v>232</v>
      </c>
      <c r="C64" s="47"/>
      <c r="D64" s="47"/>
      <c r="E64" s="11">
        <v>5</v>
      </c>
      <c r="F64" s="45">
        <v>3.5</v>
      </c>
      <c r="G64" s="32">
        <f t="shared" si="0"/>
        <v>0.7</v>
      </c>
      <c r="H64" s="33" t="str">
        <f t="shared" si="1"/>
        <v>جيد</v>
      </c>
      <c r="I64" s="62"/>
      <c r="J64" s="63"/>
    </row>
    <row r="65" spans="1:10" ht="30" customHeight="1" x14ac:dyDescent="0.2">
      <c r="A65" s="13"/>
      <c r="B65" s="46" t="s">
        <v>233</v>
      </c>
      <c r="C65" s="47"/>
      <c r="D65" s="47"/>
      <c r="E65" s="31"/>
      <c r="F65" s="29"/>
      <c r="G65" s="32"/>
      <c r="H65" s="33"/>
      <c r="I65" s="62"/>
      <c r="J65" s="63"/>
    </row>
    <row r="66" spans="1:10" ht="30" customHeight="1" x14ac:dyDescent="0.2">
      <c r="A66" s="13"/>
      <c r="B66" s="50" t="s">
        <v>234</v>
      </c>
      <c r="C66" s="51"/>
      <c r="D66" s="51"/>
      <c r="E66" s="11">
        <v>5</v>
      </c>
      <c r="F66" s="29">
        <v>4.5</v>
      </c>
      <c r="G66" s="32">
        <f t="shared" si="0"/>
        <v>0.9</v>
      </c>
      <c r="H66" s="33" t="str">
        <f t="shared" si="1"/>
        <v>ممتاز</v>
      </c>
      <c r="I66" s="62"/>
      <c r="J66" s="63"/>
    </row>
    <row r="67" spans="1:10" ht="30" customHeight="1" x14ac:dyDescent="0.2">
      <c r="A67" s="13"/>
      <c r="B67" s="50" t="s">
        <v>235</v>
      </c>
      <c r="C67" s="51"/>
      <c r="D67" s="51"/>
      <c r="E67" s="11">
        <v>5</v>
      </c>
      <c r="F67" s="45">
        <v>3.5</v>
      </c>
      <c r="G67" s="32">
        <f t="shared" si="0"/>
        <v>0.7</v>
      </c>
      <c r="H67" s="33" t="str">
        <f t="shared" si="1"/>
        <v>جيد</v>
      </c>
      <c r="I67" s="62"/>
      <c r="J67" s="63"/>
    </row>
    <row r="68" spans="1:10" ht="30" customHeight="1" x14ac:dyDescent="0.2">
      <c r="A68" s="13"/>
      <c r="B68" s="50" t="s">
        <v>236</v>
      </c>
      <c r="C68" s="51"/>
      <c r="D68" s="51"/>
      <c r="E68" s="11">
        <v>5</v>
      </c>
      <c r="F68" s="45">
        <v>4</v>
      </c>
      <c r="G68" s="32">
        <f t="shared" si="0"/>
        <v>0.8</v>
      </c>
      <c r="H68" s="33" t="str">
        <f t="shared" si="1"/>
        <v>جيد جداً</v>
      </c>
      <c r="I68" s="62"/>
      <c r="J68" s="63"/>
    </row>
    <row r="69" spans="1:10" ht="30" customHeight="1" x14ac:dyDescent="0.2">
      <c r="A69" s="13"/>
      <c r="B69" s="50" t="s">
        <v>237</v>
      </c>
      <c r="C69" s="51"/>
      <c r="D69" s="51"/>
      <c r="E69" s="11">
        <v>5</v>
      </c>
      <c r="F69" s="45">
        <v>3.5</v>
      </c>
      <c r="G69" s="32">
        <f t="shared" si="0"/>
        <v>0.7</v>
      </c>
      <c r="H69" s="33" t="str">
        <f t="shared" si="1"/>
        <v>جيد</v>
      </c>
      <c r="I69" s="62"/>
      <c r="J69" s="63"/>
    </row>
    <row r="70" spans="1:10" ht="39.950000000000003" customHeight="1" x14ac:dyDescent="0.2">
      <c r="A70" s="13"/>
      <c r="B70" s="52" t="s">
        <v>238</v>
      </c>
      <c r="C70" s="53"/>
      <c r="D70" s="53"/>
      <c r="E70" s="31"/>
      <c r="F70" s="29"/>
      <c r="G70" s="32"/>
      <c r="H70" s="33"/>
      <c r="I70" s="62"/>
      <c r="J70" s="63"/>
    </row>
    <row r="71" spans="1:10" ht="30" customHeight="1" x14ac:dyDescent="0.2">
      <c r="A71" s="13"/>
      <c r="B71" s="46" t="s">
        <v>239</v>
      </c>
      <c r="C71" s="47"/>
      <c r="D71" s="47"/>
      <c r="E71" s="11">
        <v>5</v>
      </c>
      <c r="F71" s="29">
        <v>3.75</v>
      </c>
      <c r="G71" s="32">
        <f t="shared" si="0"/>
        <v>0.75</v>
      </c>
      <c r="H71" s="33" t="str">
        <f t="shared" si="1"/>
        <v>جيد</v>
      </c>
      <c r="I71" s="62"/>
      <c r="J71" s="63"/>
    </row>
    <row r="72" spans="1:10" ht="30" customHeight="1" x14ac:dyDescent="0.2">
      <c r="A72" s="13"/>
      <c r="B72" s="46" t="s">
        <v>240</v>
      </c>
      <c r="C72" s="47"/>
      <c r="D72" s="47"/>
      <c r="E72" s="11">
        <v>5</v>
      </c>
      <c r="F72" s="45">
        <v>3.5</v>
      </c>
      <c r="G72" s="32">
        <f t="shared" si="0"/>
        <v>0.7</v>
      </c>
      <c r="H72" s="33" t="str">
        <f t="shared" si="1"/>
        <v>جيد</v>
      </c>
      <c r="I72" s="62"/>
      <c r="J72" s="63"/>
    </row>
    <row r="73" spans="1:10" ht="30" customHeight="1" x14ac:dyDescent="0.2">
      <c r="A73" s="13"/>
      <c r="B73" s="46" t="s">
        <v>241</v>
      </c>
      <c r="C73" s="47"/>
      <c r="D73" s="47"/>
      <c r="E73" s="11">
        <v>5</v>
      </c>
      <c r="F73" s="45">
        <v>3.5</v>
      </c>
      <c r="G73" s="32">
        <f t="shared" si="0"/>
        <v>0.7</v>
      </c>
      <c r="H73" s="33" t="str">
        <f t="shared" si="1"/>
        <v>جيد</v>
      </c>
      <c r="I73" s="62"/>
      <c r="J73" s="63"/>
    </row>
    <row r="74" spans="1:10" ht="30" customHeight="1" x14ac:dyDescent="0.2">
      <c r="A74" s="13"/>
      <c r="B74" s="46" t="s">
        <v>242</v>
      </c>
      <c r="C74" s="47"/>
      <c r="D74" s="47"/>
      <c r="E74" s="11">
        <v>5</v>
      </c>
      <c r="F74" s="45">
        <v>3.5</v>
      </c>
      <c r="G74" s="32">
        <f t="shared" ref="G74:G78" si="2">IFERROR(F74/E74,"")</f>
        <v>0.7</v>
      </c>
      <c r="H74" s="33" t="str">
        <f t="shared" ref="H74:H78" si="3">_xlfn.IFS(F74="أدخل العلامة","",F74="لا ينطبق","تم الإلغاء",G74&gt;=90%,"ممتاز",G74&gt;=80%,"جيد جداً",G74&gt;=70%,"جيد",G74&gt;=60%,"مقبول",G74&lt;60%,"راسب")</f>
        <v>جيد</v>
      </c>
      <c r="I74" s="62"/>
      <c r="J74" s="63"/>
    </row>
    <row r="75" spans="1:10" ht="39.950000000000003" customHeight="1" x14ac:dyDescent="0.2">
      <c r="A75" s="13"/>
      <c r="B75" s="46" t="s">
        <v>243</v>
      </c>
      <c r="C75" s="47"/>
      <c r="D75" s="47"/>
      <c r="E75" s="11">
        <v>5</v>
      </c>
      <c r="F75" s="45">
        <v>3.5</v>
      </c>
      <c r="G75" s="32">
        <f t="shared" si="2"/>
        <v>0.7</v>
      </c>
      <c r="H75" s="33" t="str">
        <f t="shared" si="3"/>
        <v>جيد</v>
      </c>
      <c r="I75" s="62"/>
      <c r="J75" s="63"/>
    </row>
    <row r="76" spans="1:10" ht="30" customHeight="1" x14ac:dyDescent="0.2">
      <c r="A76" s="13"/>
      <c r="B76" s="46" t="s">
        <v>244</v>
      </c>
      <c r="C76" s="47"/>
      <c r="D76" s="47"/>
      <c r="E76" s="11">
        <v>5</v>
      </c>
      <c r="F76" s="45">
        <v>3.5</v>
      </c>
      <c r="G76" s="32">
        <f t="shared" si="2"/>
        <v>0.7</v>
      </c>
      <c r="H76" s="33" t="str">
        <f t="shared" si="3"/>
        <v>جيد</v>
      </c>
      <c r="I76" s="62"/>
      <c r="J76" s="63"/>
    </row>
    <row r="77" spans="1:10" ht="30" customHeight="1" x14ac:dyDescent="0.2">
      <c r="A77" s="13"/>
      <c r="B77" s="46" t="s">
        <v>245</v>
      </c>
      <c r="C77" s="47"/>
      <c r="D77" s="47"/>
      <c r="E77" s="11">
        <v>5</v>
      </c>
      <c r="F77" s="45">
        <v>3.75</v>
      </c>
      <c r="G77" s="32">
        <f t="shared" si="2"/>
        <v>0.75</v>
      </c>
      <c r="H77" s="33" t="str">
        <f t="shared" si="3"/>
        <v>جيد</v>
      </c>
      <c r="I77" s="62"/>
      <c r="J77" s="63"/>
    </row>
    <row r="78" spans="1:10" ht="39.950000000000003" customHeight="1" thickBot="1" x14ac:dyDescent="0.25">
      <c r="A78" s="13"/>
      <c r="B78" s="48" t="s">
        <v>246</v>
      </c>
      <c r="C78" s="49"/>
      <c r="D78" s="49"/>
      <c r="E78" s="38">
        <v>5</v>
      </c>
      <c r="F78" s="45">
        <v>3.5</v>
      </c>
      <c r="G78" s="39">
        <f t="shared" si="2"/>
        <v>0.7</v>
      </c>
      <c r="H78" s="40" t="str">
        <f t="shared" si="3"/>
        <v>جيد</v>
      </c>
      <c r="I78" s="74"/>
      <c r="J78" s="75"/>
    </row>
    <row r="79" spans="1:10" ht="30" customHeight="1" thickBot="1" x14ac:dyDescent="0.25">
      <c r="A79" s="4"/>
      <c r="B79" s="66" t="s">
        <v>5</v>
      </c>
      <c r="C79" s="67"/>
      <c r="D79" s="67"/>
      <c r="E79" s="12">
        <f>SUM(E8:E78)</f>
        <v>295</v>
      </c>
      <c r="F79" s="12">
        <f>SUM(F8:F78)</f>
        <v>213.25</v>
      </c>
      <c r="G79" s="99"/>
      <c r="H79" s="100"/>
      <c r="I79" s="100"/>
      <c r="J79" s="101"/>
    </row>
    <row r="80" spans="1:10" ht="30" customHeight="1" thickBot="1" x14ac:dyDescent="0.25">
      <c r="A80" s="4"/>
      <c r="B80" s="66" t="s">
        <v>54</v>
      </c>
      <c r="C80" s="67"/>
      <c r="D80" s="67"/>
      <c r="E80" s="85">
        <f>F79/E79/100*100</f>
        <v>0.72288135593220337</v>
      </c>
      <c r="F80" s="85"/>
      <c r="G80" s="85"/>
      <c r="H80" s="85"/>
      <c r="I80" s="85"/>
      <c r="J80" s="86"/>
    </row>
    <row r="81" spans="1:10" ht="30" customHeight="1" thickBot="1" x14ac:dyDescent="0.25">
      <c r="A81" s="4"/>
      <c r="B81" s="66" t="s">
        <v>55</v>
      </c>
      <c r="C81" s="67"/>
      <c r="D81" s="67"/>
      <c r="E81" s="72" t="str">
        <f>_xlfn.IFS(E80&gt;=90%,"ممتاز",E80&gt;=80%,"جيد جداً",E80&gt;=70%,"جيد",E80&gt;=60%,"مقبول",E80&lt;60%,"راسب")</f>
        <v>جيد</v>
      </c>
      <c r="F81" s="72"/>
      <c r="G81" s="72"/>
      <c r="H81" s="72"/>
      <c r="I81" s="72"/>
      <c r="J81" s="73"/>
    </row>
    <row r="82" spans="1:10" ht="42" customHeight="1" x14ac:dyDescent="0.2">
      <c r="B82" s="68" t="s">
        <v>175</v>
      </c>
      <c r="C82" s="68"/>
      <c r="D82" s="68"/>
      <c r="E82" s="97" t="s">
        <v>52</v>
      </c>
      <c r="F82" s="97"/>
      <c r="G82" s="70" t="s">
        <v>97</v>
      </c>
      <c r="H82" s="70"/>
      <c r="I82" s="70"/>
      <c r="J82" s="70"/>
    </row>
    <row r="83" spans="1:10" ht="51" customHeight="1" x14ac:dyDescent="0.2">
      <c r="A83" s="5"/>
      <c r="B83" s="69"/>
      <c r="C83" s="69"/>
      <c r="D83" s="69"/>
      <c r="E83" s="98" t="s">
        <v>53</v>
      </c>
      <c r="F83" s="98"/>
      <c r="G83" s="71"/>
      <c r="H83" s="71"/>
      <c r="I83" s="71"/>
      <c r="J83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63">
    <mergeCell ref="I9:J9"/>
    <mergeCell ref="E82:F82"/>
    <mergeCell ref="E83:F83"/>
    <mergeCell ref="G79:J79"/>
    <mergeCell ref="I72:J72"/>
    <mergeCell ref="I73:J73"/>
    <mergeCell ref="I74:J74"/>
    <mergeCell ref="I75:J75"/>
    <mergeCell ref="I76:J76"/>
    <mergeCell ref="I77:J77"/>
    <mergeCell ref="I78:J78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32:J32"/>
    <mergeCell ref="I33:J33"/>
    <mergeCell ref="I34:J34"/>
    <mergeCell ref="I35:J35"/>
    <mergeCell ref="B1:J1"/>
    <mergeCell ref="F2:J2"/>
    <mergeCell ref="B5:D6"/>
    <mergeCell ref="C2:D2"/>
    <mergeCell ref="C3:D3"/>
    <mergeCell ref="F3:J3"/>
    <mergeCell ref="E80:J8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82:D83"/>
    <mergeCell ref="G82:J82"/>
    <mergeCell ref="G83:J83"/>
    <mergeCell ref="E81:J8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36:J36"/>
    <mergeCell ref="I8:J8"/>
    <mergeCell ref="B79:D79"/>
    <mergeCell ref="B80:D80"/>
    <mergeCell ref="B81:D8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71:D71"/>
    <mergeCell ref="B72:D72"/>
    <mergeCell ref="B73:D73"/>
    <mergeCell ref="B74:D74"/>
    <mergeCell ref="B75:D75"/>
    <mergeCell ref="B76:D76"/>
    <mergeCell ref="B77:D77"/>
    <mergeCell ref="B78:D7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81">
    <cfRule type="expression" dxfId="14" priority="57">
      <formula>$E81="راسب"</formula>
    </cfRule>
  </conditionalFormatting>
  <conditionalFormatting sqref="E81:J81">
    <cfRule type="expression" dxfId="13" priority="58">
      <formula>$E81="مقبول"</formula>
    </cfRule>
    <cfRule type="expression" dxfId="12" priority="59">
      <formula>$E81="جيد"</formula>
    </cfRule>
    <cfRule type="expression" dxfId="11" priority="60">
      <formula>$E81="جيد جداً"</formula>
    </cfRule>
    <cfRule type="expression" dxfId="10" priority="61">
      <formula>$E81="ممتاز"</formula>
    </cfRule>
  </conditionalFormatting>
  <conditionalFormatting sqref="F8:F7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82:J82">
    <cfRule type="containsText" dxfId="6" priority="15" operator="containsText" text="أدخل اسم المحكم">
      <formula>NOT(ISERROR(SEARCH("أدخل اسم المحكم",G82)))</formula>
    </cfRule>
  </conditionalFormatting>
  <conditionalFormatting sqref="H8:H7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F71:F78 F66:F69 F60:F64 F54:F58 F40:F52 F37:F38 F34:F35 F24:F32 F9:F20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G82:J82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2" t="s">
        <v>62</v>
      </c>
    </row>
    <row r="3" spans="1:3" ht="20.100000000000001" customHeight="1" thickBot="1" x14ac:dyDescent="0.3">
      <c r="A3" s="2" t="s">
        <v>26</v>
      </c>
      <c r="C3" s="22" t="s">
        <v>63</v>
      </c>
    </row>
    <row r="4" spans="1:3" ht="20.100000000000001" customHeight="1" thickBot="1" x14ac:dyDescent="0.3">
      <c r="A4" s="2" t="s">
        <v>36</v>
      </c>
      <c r="C4" s="22" t="s">
        <v>64</v>
      </c>
    </row>
    <row r="5" spans="1:3" ht="20.100000000000001" customHeight="1" thickBot="1" x14ac:dyDescent="0.3">
      <c r="A5" s="2" t="s">
        <v>37</v>
      </c>
      <c r="C5" s="22" t="s">
        <v>65</v>
      </c>
    </row>
    <row r="6" spans="1:3" ht="20.100000000000001" customHeight="1" thickBot="1" x14ac:dyDescent="0.3">
      <c r="A6" s="2" t="s">
        <v>38</v>
      </c>
      <c r="C6" s="22" t="s">
        <v>66</v>
      </c>
    </row>
    <row r="7" spans="1:3" ht="20.100000000000001" customHeight="1" thickBot="1" x14ac:dyDescent="0.3">
      <c r="A7" s="2" t="s">
        <v>39</v>
      </c>
      <c r="C7" s="22" t="s">
        <v>67</v>
      </c>
    </row>
    <row r="8" spans="1:3" ht="20.100000000000001" customHeight="1" thickBot="1" x14ac:dyDescent="0.3">
      <c r="A8" s="2" t="s">
        <v>40</v>
      </c>
      <c r="C8" s="22" t="s">
        <v>68</v>
      </c>
    </row>
    <row r="9" spans="1:3" ht="20.100000000000001" customHeight="1" thickBot="1" x14ac:dyDescent="0.3">
      <c r="A9" s="2" t="s">
        <v>41</v>
      </c>
      <c r="C9" s="22" t="s">
        <v>69</v>
      </c>
    </row>
    <row r="10" spans="1:3" ht="20.100000000000001" customHeight="1" thickBot="1" x14ac:dyDescent="0.3">
      <c r="A10" s="2" t="s">
        <v>42</v>
      </c>
      <c r="C10" s="22" t="s">
        <v>70</v>
      </c>
    </row>
    <row r="11" spans="1:3" ht="20.100000000000001" customHeight="1" thickBot="1" x14ac:dyDescent="0.3">
      <c r="A11" s="2" t="s">
        <v>43</v>
      </c>
      <c r="C11" s="22" t="s">
        <v>71</v>
      </c>
    </row>
    <row r="12" spans="1:3" ht="20.100000000000001" customHeight="1" thickBot="1" x14ac:dyDescent="0.3">
      <c r="A12" s="2" t="s">
        <v>44</v>
      </c>
      <c r="C12" s="22" t="s">
        <v>72</v>
      </c>
    </row>
    <row r="13" spans="1:3" ht="20.100000000000001" customHeight="1" thickBot="1" x14ac:dyDescent="0.3">
      <c r="A13" s="2" t="s">
        <v>45</v>
      </c>
      <c r="C13" s="22" t="s">
        <v>73</v>
      </c>
    </row>
    <row r="14" spans="1:3" ht="20.100000000000001" customHeight="1" thickBot="1" x14ac:dyDescent="0.3">
      <c r="A14" s="2" t="s">
        <v>46</v>
      </c>
      <c r="C14" s="22" t="s">
        <v>74</v>
      </c>
    </row>
    <row r="15" spans="1:3" ht="20.100000000000001" customHeight="1" thickBot="1" x14ac:dyDescent="0.3">
      <c r="A15" s="2" t="s">
        <v>47</v>
      </c>
      <c r="C15" s="22" t="s">
        <v>75</v>
      </c>
    </row>
    <row r="16" spans="1:3" ht="20.100000000000001" customHeight="1" thickBot="1" x14ac:dyDescent="0.3">
      <c r="A16" s="2" t="s">
        <v>10</v>
      </c>
      <c r="C16" s="22" t="s">
        <v>76</v>
      </c>
    </row>
    <row r="17" spans="1:3" ht="20.100000000000001" customHeight="1" thickBot="1" x14ac:dyDescent="0.3">
      <c r="A17" s="2" t="s">
        <v>27</v>
      </c>
      <c r="C17" s="22" t="s">
        <v>77</v>
      </c>
    </row>
    <row r="18" spans="1:3" ht="20.100000000000001" customHeight="1" thickBot="1" x14ac:dyDescent="0.3">
      <c r="A18" s="2" t="s">
        <v>48</v>
      </c>
      <c r="C18" s="22" t="s">
        <v>78</v>
      </c>
    </row>
    <row r="19" spans="1:3" ht="20.100000000000001" customHeight="1" thickBot="1" x14ac:dyDescent="0.3">
      <c r="A19" s="2" t="s">
        <v>49</v>
      </c>
      <c r="C19" s="22" t="s">
        <v>79</v>
      </c>
    </row>
    <row r="20" spans="1:3" ht="20.100000000000001" customHeight="1" thickBot="1" x14ac:dyDescent="0.3">
      <c r="A20" s="2" t="s">
        <v>50</v>
      </c>
      <c r="C20" s="22" t="s">
        <v>80</v>
      </c>
    </row>
    <row r="21" spans="1:3" ht="20.100000000000001" customHeight="1" thickBot="1" x14ac:dyDescent="0.3">
      <c r="A21" s="2" t="s">
        <v>51</v>
      </c>
      <c r="C21" s="22" t="s">
        <v>81</v>
      </c>
    </row>
    <row r="22" spans="1:3" ht="20.100000000000001" customHeight="1" thickBot="1" x14ac:dyDescent="0.3">
      <c r="A22" s="2" t="s">
        <v>11</v>
      </c>
      <c r="C22" s="22" t="s">
        <v>82</v>
      </c>
    </row>
    <row r="23" spans="1:3" ht="20.100000000000001" customHeight="1" thickBot="1" x14ac:dyDescent="0.3">
      <c r="A23" s="2" t="s">
        <v>12</v>
      </c>
      <c r="C23" s="22" t="s">
        <v>83</v>
      </c>
    </row>
    <row r="24" spans="1:3" ht="20.100000000000001" customHeight="1" thickBot="1" x14ac:dyDescent="0.3">
      <c r="A24" s="2" t="s">
        <v>15</v>
      </c>
      <c r="C24" s="22" t="s">
        <v>84</v>
      </c>
    </row>
    <row r="25" spans="1:3" ht="20.100000000000001" customHeight="1" thickBot="1" x14ac:dyDescent="0.3">
      <c r="A25" s="2" t="s">
        <v>28</v>
      </c>
      <c r="C25" s="22" t="s">
        <v>85</v>
      </c>
    </row>
    <row r="26" spans="1:3" ht="20.100000000000001" customHeight="1" thickBot="1" x14ac:dyDescent="0.3">
      <c r="A26" s="2" t="s">
        <v>29</v>
      </c>
      <c r="C26" s="22" t="s">
        <v>86</v>
      </c>
    </row>
    <row r="27" spans="1:3" ht="20.100000000000001" customHeight="1" thickBot="1" x14ac:dyDescent="0.3">
      <c r="A27" s="2" t="s">
        <v>13</v>
      </c>
      <c r="C27" s="22" t="s">
        <v>87</v>
      </c>
    </row>
    <row r="28" spans="1:3" ht="20.100000000000001" customHeight="1" thickBot="1" x14ac:dyDescent="0.3">
      <c r="A28" s="2" t="s">
        <v>30</v>
      </c>
      <c r="C28" s="22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21"/>
    </row>
    <row r="36" spans="1:9" s="20" customFormat="1" ht="20.100000000000001" customHeight="1" x14ac:dyDescent="0.2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6">
        <v>45901</v>
      </c>
    </row>
    <row r="40" spans="1:9" ht="20.100000000000001" customHeight="1" thickBot="1" x14ac:dyDescent="0.3">
      <c r="A40" s="16">
        <v>45902</v>
      </c>
    </row>
    <row r="41" spans="1:9" ht="20.100000000000001" customHeight="1" thickBot="1" x14ac:dyDescent="0.3">
      <c r="A41" s="16">
        <v>45903</v>
      </c>
    </row>
    <row r="42" spans="1:9" ht="20.100000000000001" customHeight="1" thickBot="1" x14ac:dyDescent="0.3">
      <c r="A42" s="16">
        <v>45904</v>
      </c>
    </row>
    <row r="43" spans="1:9" ht="20.100000000000001" customHeight="1" thickBot="1" x14ac:dyDescent="0.3">
      <c r="A43" s="16">
        <v>45905</v>
      </c>
    </row>
    <row r="44" spans="1:9" ht="20.100000000000001" customHeight="1" thickBot="1" x14ac:dyDescent="0.3">
      <c r="A44" s="16">
        <v>45906</v>
      </c>
    </row>
    <row r="45" spans="1:9" ht="20.100000000000001" customHeight="1" thickBot="1" x14ac:dyDescent="0.3">
      <c r="A45" s="16">
        <v>45907</v>
      </c>
    </row>
    <row r="46" spans="1:9" ht="20.100000000000001" customHeight="1" thickBot="1" x14ac:dyDescent="0.3">
      <c r="A46" s="16">
        <v>45908</v>
      </c>
    </row>
    <row r="47" spans="1:9" ht="20.100000000000001" customHeight="1" thickBot="1" x14ac:dyDescent="0.3">
      <c r="A47" s="16">
        <v>45909</v>
      </c>
    </row>
    <row r="48" spans="1:9" ht="20.100000000000001" customHeight="1" thickBot="1" x14ac:dyDescent="0.3">
      <c r="A48" s="16">
        <v>45910</v>
      </c>
    </row>
    <row r="49" spans="1:1" ht="20.100000000000001" customHeight="1" thickBot="1" x14ac:dyDescent="0.3">
      <c r="A49" s="16">
        <v>45911</v>
      </c>
    </row>
    <row r="50" spans="1:1" ht="20.100000000000001" customHeight="1" thickBot="1" x14ac:dyDescent="0.3">
      <c r="A50" s="16">
        <v>45912</v>
      </c>
    </row>
    <row r="51" spans="1:1" ht="20.100000000000001" customHeight="1" thickBot="1" x14ac:dyDescent="0.3">
      <c r="A51" s="16">
        <v>45913</v>
      </c>
    </row>
    <row r="52" spans="1:1" ht="20.100000000000001" customHeight="1" thickBot="1" x14ac:dyDescent="0.3">
      <c r="A52" s="16">
        <v>45914</v>
      </c>
    </row>
    <row r="53" spans="1:1" ht="20.100000000000001" customHeight="1" thickBot="1" x14ac:dyDescent="0.3">
      <c r="A53" s="16">
        <v>45915</v>
      </c>
    </row>
    <row r="54" spans="1:1" ht="20.100000000000001" customHeight="1" thickBot="1" x14ac:dyDescent="0.3">
      <c r="A54" s="16">
        <v>45916</v>
      </c>
    </row>
    <row r="55" spans="1:1" ht="20.100000000000001" customHeight="1" thickBot="1" x14ac:dyDescent="0.3">
      <c r="A55" s="16">
        <v>45917</v>
      </c>
    </row>
    <row r="56" spans="1:1" ht="20.100000000000001" customHeight="1" thickBot="1" x14ac:dyDescent="0.3">
      <c r="A56" s="16">
        <v>45918</v>
      </c>
    </row>
    <row r="57" spans="1:1" ht="20.100000000000001" customHeight="1" thickBot="1" x14ac:dyDescent="0.3">
      <c r="A57" s="16">
        <v>45919</v>
      </c>
    </row>
    <row r="58" spans="1:1" ht="20.100000000000001" customHeight="1" thickBot="1" x14ac:dyDescent="0.3">
      <c r="A58" s="16">
        <v>45920</v>
      </c>
    </row>
    <row r="59" spans="1:1" ht="20.100000000000001" customHeight="1" thickBot="1" x14ac:dyDescent="0.3">
      <c r="A59" s="16">
        <v>45921</v>
      </c>
    </row>
    <row r="60" spans="1:1" ht="20.100000000000001" customHeight="1" thickBot="1" x14ac:dyDescent="0.3">
      <c r="A60" s="16">
        <v>45922</v>
      </c>
    </row>
    <row r="61" spans="1:1" ht="20.100000000000001" customHeight="1" thickBot="1" x14ac:dyDescent="0.3">
      <c r="A61" s="16">
        <v>45923</v>
      </c>
    </row>
    <row r="62" spans="1:1" ht="20.100000000000001" customHeight="1" thickBot="1" x14ac:dyDescent="0.3">
      <c r="A62" s="16">
        <v>45924</v>
      </c>
    </row>
    <row r="63" spans="1:1" ht="20.100000000000001" customHeight="1" thickBot="1" x14ac:dyDescent="0.3">
      <c r="A63" s="16">
        <v>45925</v>
      </c>
    </row>
    <row r="64" spans="1:1" ht="20.100000000000001" customHeight="1" thickBot="1" x14ac:dyDescent="0.3">
      <c r="A64" s="16">
        <v>45926</v>
      </c>
    </row>
    <row r="65" spans="1:1" ht="20.100000000000001" customHeight="1" thickBot="1" x14ac:dyDescent="0.3">
      <c r="A65" s="16">
        <v>45927</v>
      </c>
    </row>
    <row r="66" spans="1:1" ht="20.100000000000001" customHeight="1" thickBot="1" x14ac:dyDescent="0.3">
      <c r="A66" s="16">
        <v>45928</v>
      </c>
    </row>
    <row r="67" spans="1:1" ht="20.100000000000001" customHeight="1" thickBot="1" x14ac:dyDescent="0.3">
      <c r="A67" s="16">
        <v>45929</v>
      </c>
    </row>
    <row r="68" spans="1:1" ht="20.100000000000001" customHeight="1" thickBot="1" x14ac:dyDescent="0.3">
      <c r="A68" s="16">
        <v>45930</v>
      </c>
    </row>
    <row r="69" spans="1:1" ht="20.100000000000001" customHeight="1" thickBot="1" x14ac:dyDescent="0.3">
      <c r="A69" s="16">
        <v>45931</v>
      </c>
    </row>
    <row r="70" spans="1:1" ht="20.100000000000001" customHeight="1" thickBot="1" x14ac:dyDescent="0.3">
      <c r="A70" s="16">
        <v>45932</v>
      </c>
    </row>
    <row r="71" spans="1:1" ht="20.100000000000001" customHeight="1" thickBot="1" x14ac:dyDescent="0.3">
      <c r="A71" s="16">
        <v>45933</v>
      </c>
    </row>
    <row r="72" spans="1:1" ht="20.100000000000001" customHeight="1" thickBot="1" x14ac:dyDescent="0.3">
      <c r="A72" s="16">
        <v>45934</v>
      </c>
    </row>
    <row r="73" spans="1:1" ht="20.100000000000001" customHeight="1" thickBot="1" x14ac:dyDescent="0.3">
      <c r="A73" s="16">
        <v>45935</v>
      </c>
    </row>
    <row r="74" spans="1:1" ht="20.100000000000001" customHeight="1" thickBot="1" x14ac:dyDescent="0.3">
      <c r="A74" s="16">
        <v>45936</v>
      </c>
    </row>
    <row r="75" spans="1:1" ht="20.100000000000001" customHeight="1" thickBot="1" x14ac:dyDescent="0.3">
      <c r="A75" s="16">
        <v>45937</v>
      </c>
    </row>
    <row r="76" spans="1:1" ht="20.100000000000001" customHeight="1" thickBot="1" x14ac:dyDescent="0.3">
      <c r="A76" s="16">
        <v>45938</v>
      </c>
    </row>
    <row r="77" spans="1:1" ht="20.100000000000001" customHeight="1" thickBot="1" x14ac:dyDescent="0.3">
      <c r="A77" s="16">
        <v>45939</v>
      </c>
    </row>
    <row r="78" spans="1:1" ht="20.100000000000001" customHeight="1" thickBot="1" x14ac:dyDescent="0.3">
      <c r="A78" s="16">
        <v>45940</v>
      </c>
    </row>
    <row r="79" spans="1:1" ht="20.100000000000001" customHeight="1" thickBot="1" x14ac:dyDescent="0.3">
      <c r="A79" s="16">
        <v>45941</v>
      </c>
    </row>
    <row r="80" spans="1:1" ht="20.100000000000001" customHeight="1" thickBot="1" x14ac:dyDescent="0.3">
      <c r="A80" s="16">
        <v>45942</v>
      </c>
    </row>
    <row r="81" spans="1:1" ht="20.100000000000001" customHeight="1" thickBot="1" x14ac:dyDescent="0.3">
      <c r="A81" s="16">
        <v>45943</v>
      </c>
    </row>
    <row r="82" spans="1:1" ht="20.100000000000001" customHeight="1" thickBot="1" x14ac:dyDescent="0.3">
      <c r="A82" s="16">
        <v>45944</v>
      </c>
    </row>
    <row r="83" spans="1:1" ht="20.100000000000001" customHeight="1" thickBot="1" x14ac:dyDescent="0.3">
      <c r="A83" s="16">
        <v>45945</v>
      </c>
    </row>
    <row r="84" spans="1:1" ht="20.100000000000001" customHeight="1" thickBot="1" x14ac:dyDescent="0.3">
      <c r="A84" s="16">
        <v>45946</v>
      </c>
    </row>
    <row r="85" spans="1:1" ht="20.100000000000001" customHeight="1" thickBot="1" x14ac:dyDescent="0.3">
      <c r="A85" s="16">
        <v>45947</v>
      </c>
    </row>
    <row r="86" spans="1:1" ht="20.100000000000001" customHeight="1" thickBot="1" x14ac:dyDescent="0.3">
      <c r="A86" s="16">
        <v>45948</v>
      </c>
    </row>
    <row r="87" spans="1:1" ht="20.100000000000001" customHeight="1" thickBot="1" x14ac:dyDescent="0.3">
      <c r="A87" s="16">
        <v>45949</v>
      </c>
    </row>
    <row r="88" spans="1:1" ht="20.100000000000001" customHeight="1" thickBot="1" x14ac:dyDescent="0.3">
      <c r="A88" s="16">
        <v>45950</v>
      </c>
    </row>
    <row r="89" spans="1:1" ht="20.100000000000001" customHeight="1" thickBot="1" x14ac:dyDescent="0.3">
      <c r="A89" s="16">
        <v>45951</v>
      </c>
    </row>
    <row r="90" spans="1:1" ht="20.100000000000001" customHeight="1" thickBot="1" x14ac:dyDescent="0.3">
      <c r="A90" s="16">
        <v>45952</v>
      </c>
    </row>
    <row r="91" spans="1:1" ht="20.100000000000001" customHeight="1" thickBot="1" x14ac:dyDescent="0.3">
      <c r="A91" s="16">
        <v>45953</v>
      </c>
    </row>
    <row r="92" spans="1:1" ht="20.100000000000001" customHeight="1" thickBot="1" x14ac:dyDescent="0.3">
      <c r="A92" s="16">
        <v>45954</v>
      </c>
    </row>
    <row r="93" spans="1:1" ht="20.100000000000001" customHeight="1" thickBot="1" x14ac:dyDescent="0.3">
      <c r="A93" s="16">
        <v>45955</v>
      </c>
    </row>
    <row r="94" spans="1:1" ht="20.100000000000001" customHeight="1" thickBot="1" x14ac:dyDescent="0.3">
      <c r="A94" s="16">
        <v>45956</v>
      </c>
    </row>
    <row r="95" spans="1:1" ht="20.100000000000001" customHeight="1" thickBot="1" x14ac:dyDescent="0.3">
      <c r="A95" s="16">
        <v>45957</v>
      </c>
    </row>
    <row r="96" spans="1:1" ht="20.100000000000001" customHeight="1" thickBot="1" x14ac:dyDescent="0.3">
      <c r="A96" s="16">
        <v>45958</v>
      </c>
    </row>
    <row r="97" spans="1:9" ht="20.100000000000001" customHeight="1" thickBot="1" x14ac:dyDescent="0.3">
      <c r="A97" s="16">
        <v>45959</v>
      </c>
    </row>
    <row r="98" spans="1:9" ht="20.100000000000001" customHeight="1" thickBot="1" x14ac:dyDescent="0.3">
      <c r="A98" s="16">
        <v>45960</v>
      </c>
    </row>
    <row r="99" spans="1:9" ht="20.100000000000001" customHeight="1" thickBot="1" x14ac:dyDescent="0.3">
      <c r="A99" s="16">
        <v>45961</v>
      </c>
    </row>
    <row r="100" spans="1:9" ht="20.100000000000001" customHeight="1" thickBot="1" x14ac:dyDescent="0.3">
      <c r="A100" s="16">
        <v>45962</v>
      </c>
    </row>
    <row r="101" spans="1:9" ht="20.100000000000001" customHeight="1" thickBot="1" x14ac:dyDescent="0.3">
      <c r="A101" s="16">
        <v>45963</v>
      </c>
    </row>
    <row r="102" spans="1:9" ht="20.100000000000001" customHeight="1" thickBot="1" x14ac:dyDescent="0.3">
      <c r="A102" s="16">
        <v>45964</v>
      </c>
    </row>
    <row r="103" spans="1:9" ht="20.100000000000001" customHeight="1" thickBot="1" x14ac:dyDescent="0.3">
      <c r="A103" s="16">
        <v>45965</v>
      </c>
    </row>
    <row r="104" spans="1:9" ht="20.100000000000001" customHeight="1" thickBot="1" x14ac:dyDescent="0.3">
      <c r="A104" s="16">
        <v>45966</v>
      </c>
    </row>
    <row r="105" spans="1:9" ht="20.100000000000001" customHeight="1" thickBot="1" x14ac:dyDescent="0.3">
      <c r="A105" s="16">
        <v>45967</v>
      </c>
    </row>
    <row r="106" spans="1:9" ht="20.100000000000001" customHeight="1" thickBot="1" x14ac:dyDescent="0.3">
      <c r="A106" s="16">
        <v>45968</v>
      </c>
    </row>
    <row r="107" spans="1:9" ht="20.100000000000001" customHeight="1" x14ac:dyDescent="0.2">
      <c r="A107" s="17"/>
    </row>
    <row r="108" spans="1:9" ht="20.100000000000001" customHeight="1" x14ac:dyDescent="0.2">
      <c r="A108" s="17"/>
    </row>
    <row r="109" spans="1:9" s="20" customFormat="1" ht="20.100000000000001" customHeight="1" x14ac:dyDescent="0.2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3" t="s">
        <v>89</v>
      </c>
    </row>
    <row r="200" spans="1:1" ht="20.100000000000001" customHeight="1" x14ac:dyDescent="0.2">
      <c r="A200" s="23" t="s">
        <v>90</v>
      </c>
    </row>
    <row r="201" spans="1:1" ht="20.100000000000001" customHeight="1" x14ac:dyDescent="0.2">
      <c r="A201" s="23" t="s">
        <v>91</v>
      </c>
    </row>
    <row r="202" spans="1:1" ht="20.100000000000001" customHeight="1" x14ac:dyDescent="0.2">
      <c r="A202" s="23" t="s">
        <v>92</v>
      </c>
    </row>
    <row r="203" spans="1:1" ht="20.100000000000001" customHeight="1" x14ac:dyDescent="0.2">
      <c r="A203" s="23" t="s">
        <v>93</v>
      </c>
    </row>
    <row r="204" spans="1:1" ht="20.100000000000001" customHeight="1" x14ac:dyDescent="0.2">
      <c r="A204" s="23" t="s">
        <v>94</v>
      </c>
    </row>
    <row r="205" spans="1:1" ht="20.100000000000001" customHeight="1" x14ac:dyDescent="0.2">
      <c r="A205" s="23" t="s">
        <v>95</v>
      </c>
    </row>
    <row r="206" spans="1:1" ht="20.100000000000001" customHeight="1" x14ac:dyDescent="0.2">
      <c r="A206" s="23" t="s">
        <v>96</v>
      </c>
    </row>
    <row r="207" spans="1:1" ht="20.100000000000001" customHeight="1" x14ac:dyDescent="0.2">
      <c r="A207" s="23" t="s">
        <v>97</v>
      </c>
    </row>
    <row r="208" spans="1:1" ht="20.100000000000001" customHeight="1" x14ac:dyDescent="0.2">
      <c r="A208" s="24" t="s">
        <v>98</v>
      </c>
    </row>
    <row r="209" spans="1:1" ht="20.100000000000001" customHeight="1" x14ac:dyDescent="0.2">
      <c r="A209" s="24" t="s">
        <v>99</v>
      </c>
    </row>
    <row r="210" spans="1:1" ht="20.100000000000001" customHeight="1" x14ac:dyDescent="0.2">
      <c r="A210" s="23" t="s">
        <v>100</v>
      </c>
    </row>
    <row r="211" spans="1:1" ht="20.100000000000001" customHeight="1" x14ac:dyDescent="0.2">
      <c r="A211" s="23" t="s">
        <v>101</v>
      </c>
    </row>
    <row r="212" spans="1:1" ht="20.100000000000001" customHeight="1" x14ac:dyDescent="0.2">
      <c r="A212" s="23" t="s">
        <v>102</v>
      </c>
    </row>
    <row r="213" spans="1:1" ht="20.100000000000001" customHeight="1" x14ac:dyDescent="0.2">
      <c r="A213" s="23" t="s">
        <v>103</v>
      </c>
    </row>
    <row r="214" spans="1:1" ht="20.100000000000001" customHeight="1" x14ac:dyDescent="0.2">
      <c r="A214" s="23" t="s">
        <v>104</v>
      </c>
    </row>
    <row r="215" spans="1:1" ht="20.100000000000001" customHeight="1" x14ac:dyDescent="0.2">
      <c r="A215" s="23" t="s">
        <v>105</v>
      </c>
    </row>
    <row r="216" spans="1:1" ht="20.100000000000001" customHeight="1" x14ac:dyDescent="0.2">
      <c r="A216" s="23" t="s">
        <v>106</v>
      </c>
    </row>
    <row r="217" spans="1:1" ht="20.100000000000001" customHeight="1" x14ac:dyDescent="0.2">
      <c r="A217" s="23" t="s">
        <v>107</v>
      </c>
    </row>
    <row r="218" spans="1:1" ht="20.100000000000001" customHeight="1" x14ac:dyDescent="0.2">
      <c r="A218" s="23" t="s">
        <v>108</v>
      </c>
    </row>
    <row r="219" spans="1:1" ht="20.100000000000001" customHeight="1" x14ac:dyDescent="0.2">
      <c r="A219" s="23" t="s">
        <v>109</v>
      </c>
    </row>
    <row r="220" spans="1:1" ht="20.100000000000001" customHeight="1" x14ac:dyDescent="0.2">
      <c r="A220" s="23" t="s">
        <v>110</v>
      </c>
    </row>
    <row r="221" spans="1:1" ht="20.100000000000001" customHeight="1" x14ac:dyDescent="0.2">
      <c r="A221" s="23" t="s">
        <v>111</v>
      </c>
    </row>
    <row r="222" spans="1:1" ht="20.100000000000001" customHeight="1" x14ac:dyDescent="0.2">
      <c r="A222" s="23" t="s">
        <v>112</v>
      </c>
    </row>
    <row r="223" spans="1:1" ht="20.100000000000001" customHeight="1" x14ac:dyDescent="0.2">
      <c r="A223" s="23" t="s">
        <v>113</v>
      </c>
    </row>
    <row r="224" spans="1:1" ht="20.100000000000001" customHeight="1" x14ac:dyDescent="0.2">
      <c r="A224" s="23" t="s">
        <v>114</v>
      </c>
    </row>
    <row r="225" spans="1:1" ht="20.100000000000001" customHeight="1" x14ac:dyDescent="0.2">
      <c r="A225" s="23" t="s">
        <v>115</v>
      </c>
    </row>
    <row r="226" spans="1:1" ht="20.100000000000001" customHeight="1" x14ac:dyDescent="0.2">
      <c r="A226" s="23" t="s">
        <v>116</v>
      </c>
    </row>
    <row r="227" spans="1:1" ht="20.100000000000001" customHeight="1" x14ac:dyDescent="0.2">
      <c r="A227" s="23" t="s">
        <v>117</v>
      </c>
    </row>
    <row r="228" spans="1:1" ht="20.100000000000001" customHeight="1" x14ac:dyDescent="0.2">
      <c r="A228" s="23" t="s">
        <v>118</v>
      </c>
    </row>
    <row r="229" spans="1:1" ht="20.100000000000001" customHeight="1" x14ac:dyDescent="0.2">
      <c r="A229" s="23" t="s">
        <v>119</v>
      </c>
    </row>
    <row r="230" spans="1:1" ht="20.100000000000001" customHeight="1" x14ac:dyDescent="0.2">
      <c r="A230" s="23" t="s">
        <v>120</v>
      </c>
    </row>
    <row r="231" spans="1:1" ht="20.100000000000001" customHeight="1" x14ac:dyDescent="0.2">
      <c r="A231" s="23" t="s">
        <v>121</v>
      </c>
    </row>
    <row r="232" spans="1:1" ht="20.100000000000001" customHeight="1" x14ac:dyDescent="0.2">
      <c r="A232" s="23" t="s">
        <v>122</v>
      </c>
    </row>
    <row r="233" spans="1:1" ht="20.100000000000001" customHeight="1" x14ac:dyDescent="0.2">
      <c r="A233" s="23" t="s">
        <v>123</v>
      </c>
    </row>
    <row r="234" spans="1:1" ht="20.100000000000001" customHeight="1" x14ac:dyDescent="0.2">
      <c r="A234" s="23" t="s">
        <v>124</v>
      </c>
    </row>
    <row r="235" spans="1:1" ht="20.100000000000001" customHeight="1" x14ac:dyDescent="0.2">
      <c r="A235" s="25" t="s">
        <v>125</v>
      </c>
    </row>
    <row r="236" spans="1:1" ht="20.100000000000001" customHeight="1" x14ac:dyDescent="0.2">
      <c r="A236" s="23" t="s">
        <v>126</v>
      </c>
    </row>
    <row r="237" spans="1:1" ht="20.100000000000001" customHeight="1" x14ac:dyDescent="0.2">
      <c r="A237" s="23" t="s">
        <v>127</v>
      </c>
    </row>
    <row r="238" spans="1:1" ht="20.100000000000001" customHeight="1" x14ac:dyDescent="0.2">
      <c r="A238" s="23" t="s">
        <v>128</v>
      </c>
    </row>
    <row r="239" spans="1:1" ht="20.100000000000001" customHeight="1" x14ac:dyDescent="0.2">
      <c r="A239" s="23" t="s">
        <v>129</v>
      </c>
    </row>
    <row r="240" spans="1:1" ht="20.100000000000001" customHeight="1" x14ac:dyDescent="0.2">
      <c r="A240" s="23" t="s">
        <v>130</v>
      </c>
    </row>
    <row r="241" spans="1:1" ht="20.100000000000001" customHeight="1" x14ac:dyDescent="0.2">
      <c r="A241" s="23" t="s">
        <v>131</v>
      </c>
    </row>
    <row r="242" spans="1:1" ht="20.100000000000001" customHeight="1" x14ac:dyDescent="0.2">
      <c r="A242" s="23" t="s">
        <v>132</v>
      </c>
    </row>
    <row r="243" spans="1:1" ht="20.100000000000001" customHeight="1" x14ac:dyDescent="0.2">
      <c r="A243" s="23" t="s">
        <v>133</v>
      </c>
    </row>
    <row r="244" spans="1:1" ht="20.100000000000001" customHeight="1" x14ac:dyDescent="0.2">
      <c r="A244" s="23" t="s">
        <v>134</v>
      </c>
    </row>
    <row r="245" spans="1:1" ht="20.100000000000001" customHeight="1" x14ac:dyDescent="0.2">
      <c r="A245" s="23" t="s">
        <v>135</v>
      </c>
    </row>
    <row r="246" spans="1:1" ht="20.100000000000001" customHeight="1" x14ac:dyDescent="0.2">
      <c r="A246" s="23" t="s">
        <v>136</v>
      </c>
    </row>
    <row r="247" spans="1:1" ht="20.100000000000001" customHeight="1" x14ac:dyDescent="0.2">
      <c r="A247" s="23" t="s">
        <v>127</v>
      </c>
    </row>
    <row r="248" spans="1:1" ht="20.100000000000001" customHeight="1" x14ac:dyDescent="0.2">
      <c r="A248" s="23" t="s">
        <v>137</v>
      </c>
    </row>
    <row r="249" spans="1:1" ht="20.100000000000001" customHeight="1" x14ac:dyDescent="0.2">
      <c r="A249" s="23" t="s">
        <v>138</v>
      </c>
    </row>
    <row r="250" spans="1:1" ht="20.100000000000001" customHeight="1" x14ac:dyDescent="0.2">
      <c r="A250" s="25" t="s">
        <v>139</v>
      </c>
    </row>
    <row r="251" spans="1:1" ht="20.100000000000001" customHeight="1" x14ac:dyDescent="0.2">
      <c r="A251" s="26" t="s">
        <v>140</v>
      </c>
    </row>
    <row r="252" spans="1:1" ht="20.100000000000001" customHeight="1" x14ac:dyDescent="0.2">
      <c r="A252" s="23" t="s">
        <v>141</v>
      </c>
    </row>
    <row r="253" spans="1:1" ht="20.100000000000001" customHeight="1" x14ac:dyDescent="0.2">
      <c r="A253" s="23" t="s">
        <v>142</v>
      </c>
    </row>
    <row r="254" spans="1:1" ht="20.100000000000001" customHeight="1" x14ac:dyDescent="0.2">
      <c r="A254" s="27" t="s">
        <v>143</v>
      </c>
    </row>
    <row r="255" spans="1:1" ht="20.100000000000001" customHeight="1" x14ac:dyDescent="0.2">
      <c r="A255" s="27" t="s">
        <v>144</v>
      </c>
    </row>
    <row r="256" spans="1:1" ht="20.100000000000001" customHeight="1" x14ac:dyDescent="0.2">
      <c r="A256" s="28" t="s">
        <v>145</v>
      </c>
    </row>
    <row r="257" spans="1:1" ht="20.100000000000001" customHeight="1" x14ac:dyDescent="0.2">
      <c r="A257" s="23" t="s">
        <v>146</v>
      </c>
    </row>
    <row r="258" spans="1:1" ht="20.100000000000001" customHeight="1" x14ac:dyDescent="0.2">
      <c r="A258" s="28" t="s">
        <v>147</v>
      </c>
    </row>
    <row r="259" spans="1:1" ht="20.100000000000001" customHeight="1" x14ac:dyDescent="0.2">
      <c r="A259" s="23" t="s">
        <v>148</v>
      </c>
    </row>
    <row r="260" spans="1:1" ht="20.100000000000001" customHeight="1" x14ac:dyDescent="0.2">
      <c r="A260" s="28" t="s">
        <v>149</v>
      </c>
    </row>
    <row r="261" spans="1:1" ht="20.100000000000001" customHeight="1" x14ac:dyDescent="0.2">
      <c r="A261" s="23" t="s">
        <v>150</v>
      </c>
    </row>
    <row r="262" spans="1:1" ht="20.100000000000001" customHeight="1" x14ac:dyDescent="0.2">
      <c r="A262" s="23" t="s">
        <v>151</v>
      </c>
    </row>
    <row r="263" spans="1:1" ht="20.100000000000001" customHeight="1" x14ac:dyDescent="0.2">
      <c r="A263" s="28" t="s">
        <v>152</v>
      </c>
    </row>
    <row r="264" spans="1:1" ht="20.100000000000001" customHeight="1" x14ac:dyDescent="0.2">
      <c r="A264" s="28" t="s">
        <v>153</v>
      </c>
    </row>
    <row r="265" spans="1:1" ht="20.100000000000001" customHeight="1" x14ac:dyDescent="0.2">
      <c r="A265" s="28" t="s">
        <v>154</v>
      </c>
    </row>
    <row r="266" spans="1:1" ht="20.100000000000001" customHeight="1" x14ac:dyDescent="0.2">
      <c r="A266" s="23" t="s">
        <v>155</v>
      </c>
    </row>
    <row r="267" spans="1:1" ht="20.100000000000001" customHeight="1" x14ac:dyDescent="0.2">
      <c r="A267" s="23" t="s">
        <v>156</v>
      </c>
    </row>
    <row r="268" spans="1:1" ht="20.100000000000001" customHeight="1" x14ac:dyDescent="0.2">
      <c r="A268" s="23" t="s">
        <v>157</v>
      </c>
    </row>
    <row r="269" spans="1:1" ht="20.100000000000001" customHeight="1" x14ac:dyDescent="0.2">
      <c r="A269" s="23" t="s">
        <v>158</v>
      </c>
    </row>
    <row r="270" spans="1:1" ht="20.100000000000001" customHeight="1" x14ac:dyDescent="0.2">
      <c r="A270" s="28" t="s">
        <v>159</v>
      </c>
    </row>
    <row r="271" spans="1:1" ht="20.100000000000001" customHeight="1" x14ac:dyDescent="0.2">
      <c r="A271" s="28" t="s">
        <v>160</v>
      </c>
    </row>
    <row r="272" spans="1:1" ht="20.100000000000001" customHeight="1" x14ac:dyDescent="0.2">
      <c r="A272" s="23" t="s">
        <v>161</v>
      </c>
    </row>
    <row r="273" spans="1:1" ht="20.100000000000001" customHeight="1" x14ac:dyDescent="0.2">
      <c r="A273" s="28" t="s">
        <v>162</v>
      </c>
    </row>
    <row r="274" spans="1:1" ht="20.100000000000001" customHeight="1" x14ac:dyDescent="0.2">
      <c r="A274" s="28" t="s">
        <v>163</v>
      </c>
    </row>
    <row r="275" spans="1:1" ht="20.100000000000001" customHeight="1" x14ac:dyDescent="0.2">
      <c r="A275" s="23" t="s">
        <v>164</v>
      </c>
    </row>
    <row r="276" spans="1:1" ht="20.100000000000001" customHeight="1" x14ac:dyDescent="0.2">
      <c r="A276" s="23" t="s">
        <v>165</v>
      </c>
    </row>
    <row r="277" spans="1:1" ht="20.100000000000001" customHeight="1" x14ac:dyDescent="0.2">
      <c r="A277" s="28" t="s">
        <v>166</v>
      </c>
    </row>
    <row r="278" spans="1:1" ht="20.100000000000001" customHeight="1" x14ac:dyDescent="0.2">
      <c r="A278" s="23" t="s">
        <v>167</v>
      </c>
    </row>
    <row r="279" spans="1:1" ht="20.100000000000001" customHeight="1" x14ac:dyDescent="0.2">
      <c r="A279" s="23" t="s">
        <v>168</v>
      </c>
    </row>
    <row r="280" spans="1:1" ht="20.100000000000001" customHeight="1" x14ac:dyDescent="0.2">
      <c r="A280" s="23" t="s">
        <v>169</v>
      </c>
    </row>
    <row r="281" spans="1:1" ht="20.100000000000001" customHeight="1" x14ac:dyDescent="0.2">
      <c r="A281" s="23" t="s">
        <v>170</v>
      </c>
    </row>
    <row r="282" spans="1:1" ht="20.100000000000001" customHeight="1" x14ac:dyDescent="0.2">
      <c r="A282" s="28" t="s">
        <v>171</v>
      </c>
    </row>
    <row r="283" spans="1:1" ht="20.100000000000001" customHeight="1" x14ac:dyDescent="0.2">
      <c r="A283" s="28" t="s">
        <v>172</v>
      </c>
    </row>
    <row r="284" spans="1:1" ht="20.100000000000001" customHeight="1" x14ac:dyDescent="0.2">
      <c r="A284" s="28" t="s">
        <v>173</v>
      </c>
    </row>
    <row r="285" spans="1:1" ht="20.100000000000001" customHeight="1" thickBot="1" x14ac:dyDescent="0.25">
      <c r="A285" s="23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2025-10-22T07:52:38Z</dcterms:modified>
</cp:coreProperties>
</file>