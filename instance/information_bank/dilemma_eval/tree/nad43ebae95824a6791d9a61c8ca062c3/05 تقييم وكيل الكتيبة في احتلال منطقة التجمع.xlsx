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BAF30996-9733-48F9-9ABD-14012F4543A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s="1"/>
  <c r="G11" i="2"/>
  <c r="H11" i="2" s="1"/>
  <c r="G12" i="2"/>
  <c r="H12" i="2"/>
  <c r="G13" i="2"/>
  <c r="H13" i="2" s="1"/>
  <c r="G14" i="2"/>
  <c r="H14" i="2" s="1"/>
  <c r="G15" i="2"/>
  <c r="H15" i="2"/>
  <c r="G16" i="2"/>
  <c r="H16" i="2" s="1"/>
  <c r="G17" i="2"/>
  <c r="H17" i="2" s="1"/>
  <c r="G19" i="2"/>
  <c r="H19" i="2" s="1"/>
  <c r="G20" i="2"/>
  <c r="H20" i="2" s="1"/>
  <c r="G21" i="2"/>
  <c r="H21" i="2"/>
  <c r="G22" i="2"/>
  <c r="H22" i="2"/>
  <c r="G23" i="2"/>
  <c r="H23" i="2"/>
  <c r="G25" i="2"/>
  <c r="H25" i="2" s="1"/>
  <c r="G26" i="2"/>
  <c r="H26" i="2" s="1"/>
  <c r="G27" i="2"/>
  <c r="H27" i="2" s="1"/>
  <c r="G28" i="2"/>
  <c r="H28" i="2"/>
  <c r="G29" i="2"/>
  <c r="H29" i="2" s="1"/>
  <c r="G30" i="2"/>
  <c r="H30" i="2" s="1"/>
  <c r="G31" i="2"/>
  <c r="H31" i="2" s="1"/>
  <c r="G32" i="2"/>
  <c r="H32" i="2" s="1"/>
  <c r="G33" i="2"/>
  <c r="H33" i="2"/>
  <c r="G34" i="2"/>
  <c r="H34" i="2"/>
  <c r="G35" i="2"/>
  <c r="H35" i="2" s="1"/>
  <c r="F36" i="2"/>
  <c r="E37" i="2" s="1"/>
  <c r="E38" i="2" s="1"/>
  <c r="E36" i="2"/>
</calcChain>
</file>

<file path=xl/sharedStrings.xml><?xml version="1.0" encoding="utf-8"?>
<sst xmlns="http://schemas.openxmlformats.org/spreadsheetml/2006/main" count="266" uniqueCount="211">
  <si>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</si>
  <si>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</si>
  <si>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</si>
  <si>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</si>
  <si>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</si>
  <si>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</si>
  <si>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</si>
  <si>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</si>
  <si>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</si>
  <si>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</si>
  <si>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</si>
  <si>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</si>
  <si>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</si>
  <si>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</si>
  <si>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</si>
  <si>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</si>
  <si>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</si>
  <si>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</si>
  <si>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</si>
  <si>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</si>
  <si>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</si>
  <si>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</si>
  <si>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</si>
  <si>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</si>
  <si>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</si>
  <si>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</si>
  <si>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</si>
  <si>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</si>
  <si>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</si>
  <si>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</si>
  <si>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</si>
  <si>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</si>
  <si>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</si>
  <si>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</si>
  <si>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</si>
  <si>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</si>
  <si>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</si>
  <si>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</si>
  <si>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</si>
  <si>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</si>
  <si>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</si>
  <si>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</si>
  <si>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</si>
  <si>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</si>
  <si>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</si>
  <si>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</si>
  <si>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</si>
  <si>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</si>
  <si>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</si>
  <si>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</si>
  <si>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</si>
  <si>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</si>
  <si>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</si>
  <si>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</si>
  <si>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</si>
  <si>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</si>
  <si>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</si>
  <si>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</si>
  <si>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</si>
  <si>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</si>
  <si>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</si>
  <si>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</si>
  <si>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</si>
  <si>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</si>
  <si>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</si>
  <si>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</si>
  <si>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</si>
  <si>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</si>
  <si>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</si>
  <si>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</si>
  <si>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</si>
  <si>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</si>
  <si>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</si>
  <si>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</si>
  <si>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</si>
  <si>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</si>
  <si>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</si>
  <si>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</si>
  <si>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</si>
  <si>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</si>
  <si>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</si>
  <si>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</si>
  <si>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</si>
  <si>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</si>
  <si>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</si>
  <si>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</si>
  <si>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</si>
  <si>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</si>
  <si>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</si>
  <si>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</si>
  <si>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</si>
  <si>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</si>
  <si>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</si>
  <si>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</si>
  <si>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</si>
  <si>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</si>
  <si>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</si>
  <si>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</si>
  <si>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</si>
  <si>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</si>
  <si>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</si>
  <si>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</si>
  <si>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</si>
  <si>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</si>
  <si>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</si>
  <si>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</si>
  <si>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</si>
  <si>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</si>
  <si>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</si>
  <si>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</si>
  <si>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</si>
  <si>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</si>
  <si>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</si>
  <si>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</si>
  <si>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</si>
  <si>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</si>
  <si>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</si>
  <si>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</si>
  <si>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</si>
  <si>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</si>
  <si>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</si>
  <si>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</si>
  <si>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</si>
  <si>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</si>
  <si>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</si>
  <si>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</si>
  <si>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</si>
  <si>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</si>
  <si>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</si>
  <si>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</si>
  <si>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</si>
  <si>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</si>
  <si>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</si>
  <si>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</si>
  <si>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</si>
  <si>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</si>
  <si>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</si>
  <si>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</si>
  <si>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</si>
  <si>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</si>
  <si>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</si>
  <si>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</si>
  <si>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</si>
  <si>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</si>
  <si>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</si>
  <si>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</si>
  <si>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</si>
  <si>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</si>
  <si>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</si>
  <si>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</si>
  <si>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</si>
  <si>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</si>
  <si>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</si>
  <si>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</si>
  <si>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</si>
  <si>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</si>
  <si>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</si>
  <si>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</si>
  <si>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</si>
  <si>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</si>
  <si>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</si>
  <si>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</si>
  <si>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</si>
  <si>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</si>
  <si>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</si>
  <si>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</si>
  <si>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</si>
  <si>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</si>
  <si>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</si>
  <si>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</si>
  <si>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</si>
  <si>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</si>
  <si>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</si>
  <si>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</si>
  <si>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</si>
  <si>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</si>
  <si>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</si>
  <si>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</si>
  <si>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</si>
  <si>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</si>
  <si>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</si>
  <si>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</si>
  <si>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</si>
  <si>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</si>
  <si>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</si>
  <si>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</si>
  <si>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</si>
  <si>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</si>
  <si>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</si>
  <si>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</si>
  <si>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</si>
  <si>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</si>
  <si>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</si>
  <si>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</si>
  <si>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</si>
  <si>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</si>
  <si>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</si>
  <si>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</si>
  <si>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</si>
  <si>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</si>
  <si>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</si>
  <si>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</si>
  <si>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</si>
  <si>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</si>
  <si>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</si>
  <si>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</si>
  <si>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</si>
  <si>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</si>
  <si>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r>
      <rPr>
        <b/>
        <sz val="14"/>
        <color rgb="FF000000"/>
        <rFont val="Arial"/>
        <family val="2"/>
      </rPr>
      <t>تقييم وكيل الكتيبة في احتلال منطقة التجمع</t>
    </r>
    <r>
      <rPr>
        <b/>
        <u/>
        <sz val="14"/>
        <color rgb="FF000000"/>
        <rFont val="Arial"/>
        <family val="2"/>
      </rPr>
      <t xml:space="preserve">
تمرين جاهزية مجموعة لواء الإمارات/1 (جندي الصحراء 2025/20)</t>
    </r>
  </si>
  <si>
    <t xml:space="preserve">   وكيل /١ سلطان علي الحبسي</t>
  </si>
  <si>
    <t>رقيب/1 إبراهيم جاسم الدرمكي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</si>
</sst>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597878</xdr:colOff>
      <xdr:row>39</xdr:row>
      <xdr:rowOff>58837</xdr:rowOff>
    </xdr:from>
    <xdr:to>
      <xdr:col>8</xdr:col>
      <xdr:colOff>461694</xdr:colOff>
      <xdr:row>39</xdr:row>
      <xdr:rowOff>580293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7AE21D5-946C-48E4-B4AF-3B985C0C268E}"/>
                </a:ext>
              </a:extLst>
            </xdr14:cNvPr>
            <xdr14:cNvContentPartPr/>
          </xdr14:nvContentPartPr>
          <xdr14:nvPr macro=""/>
          <xdr14:xfrm>
            <a:off x="10078805383" y="16834560"/>
            <a:ext cx="1141631" cy="521456"/>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19:24:49.714"/>
    </inkml:context>
    <inkml:brush xml:id="br0">
      <inkml:brushProperty name="width" value="0.035" units="cm"/>
      <inkml:brushProperty name="height" value="0.035" units="cm"/>
    </inkml:brush>
  </inkml:definitions>
  <inkml:trace contextRef="#ctx0" brushRef="#br0">0 819,'0'0,"0"0,0 0,0 0,0 0,0 0,0 0,0 0,0 0,11 0,-11-16,5 16,0 0,6 0,-7 0,3 0,2 0,-3 0,0 0,14 0,-14 8,0 0,4 6,-4-6,-2 0,8 8,-3-4,2 6,-1 12,1-17,0 5,11 14,-18-20,1 5,18 14,-19-24,1 2,17 21,-18-30,1 0,16 16,-15-16,-1 0,6-16,-6 16,0 0,5-30,-4 22,0 0,4-23,-4 23,-2 0,7-21,-11 14,0-1,11 0,-6 8,-10 0,10 16,0 0,-5 3,0-6,11 10,-11-7,0 0,11 8,-11-11,0 3,10 23,-10-23,0 0,11 8,-11-9,0 1,11-8,-7 0,1 0,1 0,-1 0,7-15,-12 7,0 0,9-23,-3 23,-1 0,7-21,-8 21,1 0,-5-7,6 15,-1 0,6-16,-11 24,0 0,10-8,-4 8,-1-1,5 9,-4-8,-1 0,5 21,-4-21,-1-1,6 9,-6-8,0 0,6 7,0-8,-1 1,1 8,-6-16,-1 0,8 0,-7-8,1 0,3-22,3 6,-1 1,-2-53,3 36,-2 4,10-88,-14 76,-1 4,5-62,-4 58,-1 2,6-30,-11 44,0 2,10-30,-10 44,0 0,0 1,0-1,0 1,10-17,-10 19,0-3,12-15,-12 23,0 0,10-6,-10 6,0 0,0-8,0 10,10-2,-7 3,-6 24,3-3,0-8,0 0,0 6,0 10,0-1,11 22,-11-5,0-2,10 84,-5-66,1-5,5 88,-6-83,0-6,6 44,-5-47,-1-2,4 32,-9-53,0-3,12 10,-12-23,0 0,0 7,0-8,0 1,0 8,0-8,0-1,8-19,-6 9,-2-13,6 8,-2 1,-4-8,0 7,0 0,12 8,-12-8,0 0,10 8,-4 0,-2 0,-4 8,0 0,12 8,-7-8,0-1,5 24,-4-23,-2-1,8 23,-6-22,-2 0,-4 8,6-8,-2-2,-4 10,6-8,0-1,-6 5,0-8,10-4,-5 0,0 0,7 0,-12-8,0 0,9-7,-3 15,-1 0,7-30,-8 30,1 0,4-13,-7 10,10 3,-8 0,1 16,0 0,1-2,4 17,-10-15,0-3,11 3,-6 0,1-1,-6 31,6-30,-2-1,7 1,-6-8,0 0,-5 6,7-14,-3 0,6-14,-5 6,0-31,0 15,1 2,4-131,2 71,-2 9,-1-94,2 111,1 3,8-70,-14 67,0 6,3-120,2 130,0 4,-11-10,5 38,0 0,-5-7,0 7,0 0,-10 8,10 8,0 0,0-24,0 32,0-1,0 1,0 16,0-2,-11 77,6-43,-1-5,6 110,0-97,0-7,0 103,0-112,0-3,0 24,6-37,-1-3,-16-24,11 3,0 0,-9-1,13-7,1 0,-14-24,13 16,1 0,6-31,-5 15,-1 3,5-34,-4 7,-1 4,5-11,-4 16,-1 0,6-13,-11 17,0 7,10-42,-4 32,-12 46,12-24,-1 0,-5 24,0-8,0-2,0 56,0-38,0-1,10 37,-10-28,0-2,0 31,6-37,-1-2,-5 9,0-23,0 0,11 21,-7-13,2-32,5 0,-2 3,3-3,4-8,0 1,16-53,-21 44,-2 3,13-34,-12 31,1 4,10-18,-21 38,0 0,0-3,0 8,10 3,-10 15,0 0,12-1,-2 4,0-4,22 17,-6-15,-1-3,71 3,-35-16,-4 0,69 0,-44-24,-6 3,83-10,-70 15,-9 0,58-28,-85 28,-1 0,32-30,-56 31,-3-1,18 1,-33 7,0 0,-2-2,-5 4,-24 6,-2 19,4-6,-88-13,30 16,8-1,-122 0,69 2,11-2,-153 31,116-31,11 0,-139 15,134-14,10-1,-132 17,135-24,15-3,-97 11,111 0,10-1,-16-15,66 8,6 0,-19-8,37 8,0-1,26-18,-8 7,-14 4,8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zoomScale="130" zoomScaleNormal="100" zoomScaleSheetLayoutView="130" workbookViewId="0">
      <selection activeCell="E37" sqref="E37:J37"/>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208</v>
      </c>
      <c r="C1" s="60"/>
      <c r="D1" s="60"/>
      <c r="E1" s="60"/>
      <c r="F1" s="60"/>
      <c r="G1" s="60"/>
      <c r="H1" s="60"/>
      <c r="I1" s="60"/>
      <c r="J1" s="60"/>
    </row>
    <row r="2" spans="1:10" ht="30" customHeight="1" x14ac:dyDescent="0.3">
      <c r="B2" s="12" t="s">
        <v>178</v>
      </c>
      <c r="C2" s="66" t="s">
        <v>34</v>
      </c>
      <c r="D2" s="66"/>
      <c r="E2" s="12" t="s">
        <v>7</v>
      </c>
      <c r="F2" s="61">
        <v>45952</v>
      </c>
      <c r="G2" s="61"/>
      <c r="H2" s="61"/>
      <c r="I2" s="61"/>
      <c r="J2" s="61"/>
    </row>
    <row r="3" spans="1:10" ht="30" customHeight="1" x14ac:dyDescent="0.3">
      <c r="B3" s="12" t="s">
        <v>179</v>
      </c>
      <c r="C3" s="66" t="s">
        <v>209</v>
      </c>
      <c r="D3" s="66"/>
      <c r="E3" s="12" t="s">
        <v>6</v>
      </c>
      <c r="F3" s="66" t="s">
        <v>57</v>
      </c>
      <c r="G3" s="66"/>
      <c r="H3" s="66"/>
      <c r="I3" s="66"/>
      <c r="J3" s="66"/>
    </row>
    <row r="4" spans="1:10" ht="30" customHeight="1" thickBot="1" x14ac:dyDescent="0.35">
      <c r="B4" s="6"/>
      <c r="C4" s="7"/>
      <c r="D4" s="7"/>
      <c r="E4" s="6"/>
      <c r="F4" s="87" t="s">
        <v>210</v>
      </c>
      <c r="G4" s="87"/>
      <c r="H4" s="87"/>
      <c r="I4" s="87"/>
      <c r="J4" s="87"/>
    </row>
    <row r="5" spans="1:10" ht="24.9" customHeight="1" x14ac:dyDescent="0.3">
      <c r="A5" s="10"/>
      <c r="B5" s="62" t="s">
        <v>0</v>
      </c>
      <c r="C5" s="63"/>
      <c r="D5" s="63"/>
      <c r="E5" s="71" t="s">
        <v>1</v>
      </c>
      <c r="F5" s="71"/>
      <c r="G5" s="71"/>
      <c r="H5" s="71"/>
      <c r="I5" s="71" t="s">
        <v>2</v>
      </c>
      <c r="J5" s="72"/>
    </row>
    <row r="6" spans="1:10" ht="24.9" customHeight="1" thickBot="1" x14ac:dyDescent="0.35">
      <c r="A6" s="10"/>
      <c r="B6" s="64"/>
      <c r="C6" s="65"/>
      <c r="D6" s="65"/>
      <c r="E6" s="11" t="s">
        <v>3</v>
      </c>
      <c r="F6" s="11" t="s">
        <v>4</v>
      </c>
      <c r="G6" s="11" t="s">
        <v>21</v>
      </c>
      <c r="H6" s="11" t="s">
        <v>22</v>
      </c>
      <c r="I6" s="73"/>
      <c r="J6" s="74"/>
    </row>
    <row r="7" spans="1:10" ht="24.9" customHeight="1" thickBot="1" x14ac:dyDescent="0.35">
      <c r="A7" s="10"/>
      <c r="B7" s="69" t="s">
        <v>19</v>
      </c>
      <c r="C7" s="70"/>
      <c r="D7" s="70"/>
      <c r="E7" s="29" t="s">
        <v>16</v>
      </c>
      <c r="F7" s="29" t="s">
        <v>17</v>
      </c>
      <c r="G7" s="29" t="s">
        <v>20</v>
      </c>
      <c r="H7" s="29" t="s">
        <v>18</v>
      </c>
      <c r="I7" s="48" t="s">
        <v>23</v>
      </c>
      <c r="J7" s="49"/>
    </row>
    <row r="8" spans="1:10" ht="30" customHeight="1" x14ac:dyDescent="0.3">
      <c r="A8" s="10"/>
      <c r="B8" s="83" t="s">
        <v>180</v>
      </c>
      <c r="C8" s="84"/>
      <c r="D8" s="84"/>
      <c r="E8" s="32"/>
      <c r="F8" s="33"/>
      <c r="G8" s="34"/>
      <c r="H8" s="35"/>
      <c r="I8" s="52"/>
      <c r="J8" s="53"/>
    </row>
    <row r="9" spans="1:10" ht="30" customHeight="1" x14ac:dyDescent="0.3">
      <c r="A9" s="10"/>
      <c r="B9" s="85" t="s">
        <v>181</v>
      </c>
      <c r="C9" s="86"/>
      <c r="D9" s="86"/>
      <c r="E9" s="8">
        <v>5</v>
      </c>
      <c r="F9" s="26">
        <v>3.5</v>
      </c>
      <c r="G9" s="30">
        <f>IFERROR(F9/E9,"")</f>
        <v>0.7</v>
      </c>
      <c r="H9" s="31" t="str">
        <f>_xlfn.IFS(F9="أدخل العلامة","",F9="لا ينطبق","تم الإلغاء",G9&gt;=90%,"ممتاز",G9&gt;=80%,"جيد جداً",G9&gt;=70%,"جيد",G9&gt;=60%,"مقبول",G9&lt;60%,"راسب")</f>
        <v>جيد</v>
      </c>
      <c r="I9" s="46"/>
      <c r="J9" s="47"/>
    </row>
    <row r="10" spans="1:10" ht="39.9" customHeight="1" x14ac:dyDescent="0.3">
      <c r="A10" s="10"/>
      <c r="B10" s="85" t="s">
        <v>182</v>
      </c>
      <c r="C10" s="86"/>
      <c r="D10" s="86"/>
      <c r="E10" s="8">
        <v>5</v>
      </c>
      <c r="F10" s="26">
        <v>3.5</v>
      </c>
      <c r="G10" s="30">
        <f t="shared" ref="G10:G35" si="0">IFERROR(F10/E10,"")</f>
        <v>0.7</v>
      </c>
      <c r="H10" s="31" t="str">
        <f t="shared" ref="H10:H35" si="1">_xlfn.IFS(F10="أدخل العلامة","",F10="لا ينطبق","تم الإلغاء",G10&gt;=90%,"ممتاز",G10&gt;=80%,"جيد جداً",G10&gt;=70%,"جيد",G10&gt;=60%,"مقبول",G10&lt;60%,"راسب")</f>
        <v>جيد</v>
      </c>
      <c r="I10" s="46"/>
      <c r="J10" s="47"/>
    </row>
    <row r="11" spans="1:10" ht="65.25" customHeight="1" x14ac:dyDescent="0.3">
      <c r="A11" s="10"/>
      <c r="B11" s="85" t="s">
        <v>183</v>
      </c>
      <c r="C11" s="86"/>
      <c r="D11" s="86"/>
      <c r="E11" s="8">
        <v>5</v>
      </c>
      <c r="F11" s="26">
        <v>3.5</v>
      </c>
      <c r="G11" s="30">
        <f t="shared" si="0"/>
        <v>0.7</v>
      </c>
      <c r="H11" s="31" t="str">
        <f t="shared" si="1"/>
        <v>جيد</v>
      </c>
      <c r="I11" s="46"/>
      <c r="J11" s="47"/>
    </row>
    <row r="12" spans="1:10" ht="39.9" customHeight="1" x14ac:dyDescent="0.3">
      <c r="A12" s="10"/>
      <c r="B12" s="85" t="s">
        <v>184</v>
      </c>
      <c r="C12" s="86"/>
      <c r="D12" s="86"/>
      <c r="E12" s="8">
        <v>5</v>
      </c>
      <c r="F12" s="26">
        <v>4</v>
      </c>
      <c r="G12" s="30">
        <f t="shared" si="0"/>
        <v>0.8</v>
      </c>
      <c r="H12" s="31" t="str">
        <f t="shared" si="1"/>
        <v>جيد جداً</v>
      </c>
      <c r="I12" s="46"/>
      <c r="J12" s="47"/>
    </row>
    <row r="13" spans="1:10" ht="58.5" customHeight="1" x14ac:dyDescent="0.3">
      <c r="A13" s="10"/>
      <c r="B13" s="85" t="s">
        <v>185</v>
      </c>
      <c r="C13" s="86"/>
      <c r="D13" s="86"/>
      <c r="E13" s="8">
        <v>5</v>
      </c>
      <c r="F13" s="26">
        <v>3.75</v>
      </c>
      <c r="G13" s="30">
        <f t="shared" si="0"/>
        <v>0.75</v>
      </c>
      <c r="H13" s="31" t="str">
        <f t="shared" si="1"/>
        <v>جيد</v>
      </c>
      <c r="I13" s="46"/>
      <c r="J13" s="47"/>
    </row>
    <row r="14" spans="1:10" ht="30" customHeight="1" x14ac:dyDescent="0.3">
      <c r="A14" s="10"/>
      <c r="B14" s="85" t="s">
        <v>186</v>
      </c>
      <c r="C14" s="86"/>
      <c r="D14" s="86"/>
      <c r="E14" s="8">
        <v>5</v>
      </c>
      <c r="F14" s="26">
        <v>3.5</v>
      </c>
      <c r="G14" s="30">
        <f t="shared" si="0"/>
        <v>0.7</v>
      </c>
      <c r="H14" s="31" t="str">
        <f t="shared" si="1"/>
        <v>جيد</v>
      </c>
      <c r="I14" s="46"/>
      <c r="J14" s="47"/>
    </row>
    <row r="15" spans="1:10" ht="30" customHeight="1" x14ac:dyDescent="0.3">
      <c r="A15" s="10"/>
      <c r="B15" s="85" t="s">
        <v>187</v>
      </c>
      <c r="C15" s="86"/>
      <c r="D15" s="86"/>
      <c r="E15" s="8">
        <v>5</v>
      </c>
      <c r="F15" s="26">
        <v>3.75</v>
      </c>
      <c r="G15" s="30">
        <f t="shared" si="0"/>
        <v>0.75</v>
      </c>
      <c r="H15" s="31" t="str">
        <f t="shared" si="1"/>
        <v>جيد</v>
      </c>
      <c r="I15" s="46"/>
      <c r="J15" s="47"/>
    </row>
    <row r="16" spans="1:10" ht="30" customHeight="1" thickBot="1" x14ac:dyDescent="0.35">
      <c r="A16" s="10"/>
      <c r="B16" s="79" t="s">
        <v>188</v>
      </c>
      <c r="C16" s="80"/>
      <c r="D16" s="80"/>
      <c r="E16" s="36">
        <v>5</v>
      </c>
      <c r="F16" s="28">
        <v>3.5</v>
      </c>
      <c r="G16" s="37">
        <f t="shared" si="0"/>
        <v>0.7</v>
      </c>
      <c r="H16" s="38" t="str">
        <f t="shared" si="1"/>
        <v>جيد</v>
      </c>
      <c r="I16" s="50"/>
      <c r="J16" s="51"/>
    </row>
    <row r="17" spans="1:10" ht="39.9" customHeight="1" thickBot="1" x14ac:dyDescent="0.35">
      <c r="A17" s="10"/>
      <c r="B17" s="81" t="s">
        <v>189</v>
      </c>
      <c r="C17" s="82"/>
      <c r="D17" s="82"/>
      <c r="E17" s="9">
        <v>5</v>
      </c>
      <c r="F17" s="39">
        <v>3.75</v>
      </c>
      <c r="G17" s="40">
        <f t="shared" si="0"/>
        <v>0.75</v>
      </c>
      <c r="H17" s="27" t="str">
        <f t="shared" si="1"/>
        <v>جيد</v>
      </c>
      <c r="I17" s="77"/>
      <c r="J17" s="78"/>
    </row>
    <row r="18" spans="1:10" ht="39.9" customHeight="1" x14ac:dyDescent="0.3">
      <c r="A18" s="10"/>
      <c r="B18" s="83" t="s">
        <v>190</v>
      </c>
      <c r="C18" s="84"/>
      <c r="D18" s="84"/>
      <c r="E18" s="32"/>
      <c r="F18" s="33"/>
      <c r="G18" s="34"/>
      <c r="H18" s="35"/>
      <c r="I18" s="52"/>
      <c r="J18" s="53"/>
    </row>
    <row r="19" spans="1:10" ht="30" customHeight="1" x14ac:dyDescent="0.3">
      <c r="A19" s="10"/>
      <c r="B19" s="85" t="s">
        <v>191</v>
      </c>
      <c r="C19" s="86"/>
      <c r="D19" s="86"/>
      <c r="E19" s="8">
        <v>5</v>
      </c>
      <c r="F19" s="26">
        <v>3.75</v>
      </c>
      <c r="G19" s="30">
        <f t="shared" si="0"/>
        <v>0.75</v>
      </c>
      <c r="H19" s="31" t="str">
        <f t="shared" si="1"/>
        <v>جيد</v>
      </c>
      <c r="I19" s="46"/>
      <c r="J19" s="47"/>
    </row>
    <row r="20" spans="1:10" ht="30" customHeight="1" x14ac:dyDescent="0.3">
      <c r="A20" s="10"/>
      <c r="B20" s="85" t="s">
        <v>192</v>
      </c>
      <c r="C20" s="86"/>
      <c r="D20" s="86"/>
      <c r="E20" s="8">
        <v>5</v>
      </c>
      <c r="F20" s="26">
        <v>3.75</v>
      </c>
      <c r="G20" s="30">
        <f t="shared" si="0"/>
        <v>0.75</v>
      </c>
      <c r="H20" s="31" t="str">
        <f t="shared" si="1"/>
        <v>جيد</v>
      </c>
      <c r="I20" s="46"/>
      <c r="J20" s="47"/>
    </row>
    <row r="21" spans="1:10" ht="30" customHeight="1" x14ac:dyDescent="0.3">
      <c r="A21" s="10"/>
      <c r="B21" s="85" t="s">
        <v>193</v>
      </c>
      <c r="C21" s="86"/>
      <c r="D21" s="86"/>
      <c r="E21" s="8">
        <v>5</v>
      </c>
      <c r="F21" s="26">
        <v>3.75</v>
      </c>
      <c r="G21" s="30">
        <f t="shared" si="0"/>
        <v>0.75</v>
      </c>
      <c r="H21" s="31" t="str">
        <f t="shared" si="1"/>
        <v>جيد</v>
      </c>
      <c r="I21" s="46"/>
      <c r="J21" s="47"/>
    </row>
    <row r="22" spans="1:10" ht="39.9" customHeight="1" thickBot="1" x14ac:dyDescent="0.35">
      <c r="A22" s="10"/>
      <c r="B22" s="79" t="s">
        <v>194</v>
      </c>
      <c r="C22" s="80"/>
      <c r="D22" s="80"/>
      <c r="E22" s="36">
        <v>5</v>
      </c>
      <c r="F22" s="28">
        <v>4</v>
      </c>
      <c r="G22" s="37">
        <f t="shared" si="0"/>
        <v>0.8</v>
      </c>
      <c r="H22" s="38" t="str">
        <f t="shared" si="1"/>
        <v>جيد جداً</v>
      </c>
      <c r="I22" s="50"/>
      <c r="J22" s="51"/>
    </row>
    <row r="23" spans="1:10" ht="39.9" customHeight="1" thickBot="1" x14ac:dyDescent="0.35">
      <c r="A23" s="10"/>
      <c r="B23" s="81" t="s">
        <v>195</v>
      </c>
      <c r="C23" s="82"/>
      <c r="D23" s="82"/>
      <c r="E23" s="9">
        <v>5</v>
      </c>
      <c r="F23" s="39">
        <v>3.5</v>
      </c>
      <c r="G23" s="40">
        <f t="shared" si="0"/>
        <v>0.7</v>
      </c>
      <c r="H23" s="27" t="str">
        <f t="shared" si="1"/>
        <v>جيد</v>
      </c>
      <c r="I23" s="77"/>
      <c r="J23" s="78"/>
    </row>
    <row r="24" spans="1:10" ht="30" customHeight="1" x14ac:dyDescent="0.3">
      <c r="A24" s="10"/>
      <c r="B24" s="83" t="s">
        <v>196</v>
      </c>
      <c r="C24" s="84"/>
      <c r="D24" s="84"/>
      <c r="E24" s="32"/>
      <c r="F24" s="33"/>
      <c r="G24" s="34"/>
      <c r="H24" s="35"/>
      <c r="I24" s="52"/>
      <c r="J24" s="53"/>
    </row>
    <row r="25" spans="1:10" ht="30" customHeight="1" x14ac:dyDescent="0.3">
      <c r="A25" s="10"/>
      <c r="B25" s="85" t="s">
        <v>197</v>
      </c>
      <c r="C25" s="86"/>
      <c r="D25" s="86"/>
      <c r="E25" s="8">
        <v>5</v>
      </c>
      <c r="F25" s="26">
        <v>3.5</v>
      </c>
      <c r="G25" s="30">
        <f t="shared" si="0"/>
        <v>0.7</v>
      </c>
      <c r="H25" s="31" t="str">
        <f t="shared" si="1"/>
        <v>جيد</v>
      </c>
      <c r="I25" s="46"/>
      <c r="J25" s="47"/>
    </row>
    <row r="26" spans="1:10" ht="30" customHeight="1" x14ac:dyDescent="0.3">
      <c r="A26" s="10"/>
      <c r="B26" s="85" t="s">
        <v>198</v>
      </c>
      <c r="C26" s="86"/>
      <c r="D26" s="86"/>
      <c r="E26" s="8">
        <v>5</v>
      </c>
      <c r="F26" s="26">
        <v>3.5</v>
      </c>
      <c r="G26" s="30">
        <f t="shared" si="0"/>
        <v>0.7</v>
      </c>
      <c r="H26" s="31" t="str">
        <f t="shared" si="1"/>
        <v>جيد</v>
      </c>
      <c r="I26" s="46"/>
      <c r="J26" s="47"/>
    </row>
    <row r="27" spans="1:10" ht="39.9" customHeight="1" x14ac:dyDescent="0.3">
      <c r="A27" s="10"/>
      <c r="B27" s="85" t="s">
        <v>199</v>
      </c>
      <c r="C27" s="86"/>
      <c r="D27" s="86"/>
      <c r="E27" s="8">
        <v>5</v>
      </c>
      <c r="F27" s="26">
        <v>3.5</v>
      </c>
      <c r="G27" s="30">
        <f t="shared" si="0"/>
        <v>0.7</v>
      </c>
      <c r="H27" s="31" t="str">
        <f t="shared" si="1"/>
        <v>جيد</v>
      </c>
      <c r="I27" s="46"/>
      <c r="J27" s="47"/>
    </row>
    <row r="28" spans="1:10" ht="30" customHeight="1" x14ac:dyDescent="0.3">
      <c r="A28" s="10"/>
      <c r="B28" s="85" t="s">
        <v>200</v>
      </c>
      <c r="C28" s="86"/>
      <c r="D28" s="86"/>
      <c r="E28" s="8">
        <v>5</v>
      </c>
      <c r="F28" s="26">
        <v>3.5</v>
      </c>
      <c r="G28" s="30">
        <f t="shared" si="0"/>
        <v>0.7</v>
      </c>
      <c r="H28" s="31" t="str">
        <f t="shared" si="1"/>
        <v>جيد</v>
      </c>
      <c r="I28" s="46"/>
      <c r="J28" s="47"/>
    </row>
    <row r="29" spans="1:10" ht="30" customHeight="1" x14ac:dyDescent="0.3">
      <c r="A29" s="10"/>
      <c r="B29" s="85" t="s">
        <v>201</v>
      </c>
      <c r="C29" s="86"/>
      <c r="D29" s="86"/>
      <c r="E29" s="8">
        <v>5</v>
      </c>
      <c r="F29" s="26">
        <v>3.75</v>
      </c>
      <c r="G29" s="30">
        <f t="shared" si="0"/>
        <v>0.75</v>
      </c>
      <c r="H29" s="31" t="str">
        <f t="shared" si="1"/>
        <v>جيد</v>
      </c>
      <c r="I29" s="46"/>
      <c r="J29" s="47"/>
    </row>
    <row r="30" spans="1:10" ht="30" customHeight="1" x14ac:dyDescent="0.3">
      <c r="A30" s="10"/>
      <c r="B30" s="85" t="s">
        <v>202</v>
      </c>
      <c r="C30" s="86"/>
      <c r="D30" s="86"/>
      <c r="E30" s="8">
        <v>5</v>
      </c>
      <c r="F30" s="26">
        <v>3.5</v>
      </c>
      <c r="G30" s="30">
        <f t="shared" si="0"/>
        <v>0.7</v>
      </c>
      <c r="H30" s="31" t="str">
        <f t="shared" si="1"/>
        <v>جيد</v>
      </c>
      <c r="I30" s="46"/>
      <c r="J30" s="47"/>
    </row>
    <row r="31" spans="1:10" ht="30" customHeight="1" x14ac:dyDescent="0.3">
      <c r="A31" s="10"/>
      <c r="B31" s="85" t="s">
        <v>203</v>
      </c>
      <c r="C31" s="86"/>
      <c r="D31" s="86"/>
      <c r="E31" s="8">
        <v>5</v>
      </c>
      <c r="F31" s="26">
        <v>3.5</v>
      </c>
      <c r="G31" s="30">
        <f t="shared" si="0"/>
        <v>0.7</v>
      </c>
      <c r="H31" s="31" t="str">
        <f t="shared" si="1"/>
        <v>جيد</v>
      </c>
      <c r="I31" s="46"/>
      <c r="J31" s="47"/>
    </row>
    <row r="32" spans="1:10" ht="39.9" customHeight="1" x14ac:dyDescent="0.3">
      <c r="A32" s="10"/>
      <c r="B32" s="85" t="s">
        <v>204</v>
      </c>
      <c r="C32" s="86"/>
      <c r="D32" s="86"/>
      <c r="E32" s="8">
        <v>5</v>
      </c>
      <c r="F32" s="26">
        <v>3.75</v>
      </c>
      <c r="G32" s="30">
        <f t="shared" si="0"/>
        <v>0.75</v>
      </c>
      <c r="H32" s="31" t="str">
        <f t="shared" si="1"/>
        <v>جيد</v>
      </c>
      <c r="I32" s="46"/>
      <c r="J32" s="47"/>
    </row>
    <row r="33" spans="1:10" ht="30" customHeight="1" x14ac:dyDescent="0.3">
      <c r="A33" s="10"/>
      <c r="B33" s="85" t="s">
        <v>205</v>
      </c>
      <c r="C33" s="86"/>
      <c r="D33" s="86"/>
      <c r="E33" s="8">
        <v>5</v>
      </c>
      <c r="F33" s="26">
        <v>4</v>
      </c>
      <c r="G33" s="30">
        <f t="shared" si="0"/>
        <v>0.8</v>
      </c>
      <c r="H33" s="31" t="str">
        <f t="shared" si="1"/>
        <v>جيد جداً</v>
      </c>
      <c r="I33" s="46"/>
      <c r="J33" s="47"/>
    </row>
    <row r="34" spans="1:10" ht="30" customHeight="1" x14ac:dyDescent="0.3">
      <c r="A34" s="10"/>
      <c r="B34" s="85" t="s">
        <v>206</v>
      </c>
      <c r="C34" s="86"/>
      <c r="D34" s="86"/>
      <c r="E34" s="8">
        <v>5</v>
      </c>
      <c r="F34" s="26">
        <v>3.5</v>
      </c>
      <c r="G34" s="30">
        <f t="shared" si="0"/>
        <v>0.7</v>
      </c>
      <c r="H34" s="31" t="str">
        <f t="shared" si="1"/>
        <v>جيد</v>
      </c>
      <c r="I34" s="46"/>
      <c r="J34" s="47"/>
    </row>
    <row r="35" spans="1:10" ht="30" customHeight="1" thickBot="1" x14ac:dyDescent="0.35">
      <c r="A35" s="10"/>
      <c r="B35" s="79" t="s">
        <v>207</v>
      </c>
      <c r="C35" s="80"/>
      <c r="D35" s="80"/>
      <c r="E35" s="36">
        <v>5</v>
      </c>
      <c r="F35" s="28">
        <v>3.5</v>
      </c>
      <c r="G35" s="37">
        <f t="shared" si="0"/>
        <v>0.7</v>
      </c>
      <c r="H35" s="38" t="str">
        <f t="shared" si="1"/>
        <v>جيد</v>
      </c>
      <c r="I35" s="50"/>
      <c r="J35" s="51"/>
    </row>
    <row r="36" spans="1:10" ht="30" customHeight="1" thickBot="1" x14ac:dyDescent="0.35">
      <c r="A36" s="4"/>
      <c r="B36" s="75" t="s">
        <v>5</v>
      </c>
      <c r="C36" s="76"/>
      <c r="D36" s="76"/>
      <c r="E36" s="9">
        <f>SUM(E8:E35)</f>
        <v>125</v>
      </c>
      <c r="F36" s="9">
        <f>SUM(F8:F35)</f>
        <v>91</v>
      </c>
      <c r="G36" s="43"/>
      <c r="H36" s="44"/>
      <c r="I36" s="44"/>
      <c r="J36" s="45"/>
    </row>
    <row r="37" spans="1:10" ht="30" customHeight="1" thickBot="1" x14ac:dyDescent="0.35">
      <c r="A37" s="4"/>
      <c r="B37" s="75" t="s">
        <v>52</v>
      </c>
      <c r="C37" s="76"/>
      <c r="D37" s="76"/>
      <c r="E37" s="67">
        <f>F36/E36/100*100</f>
        <v>0.72799999999999998</v>
      </c>
      <c r="F37" s="67"/>
      <c r="G37" s="67"/>
      <c r="H37" s="67"/>
      <c r="I37" s="67"/>
      <c r="J37" s="68"/>
    </row>
    <row r="38" spans="1:10" ht="30" customHeight="1" thickBot="1" x14ac:dyDescent="0.35">
      <c r="A38" s="4"/>
      <c r="B38" s="75" t="s">
        <v>53</v>
      </c>
      <c r="C38" s="76"/>
      <c r="D38" s="76"/>
      <c r="E38" s="58" t="str">
        <f>_xlfn.IFS(E37&gt;=90%,"ممتاز",E37&gt;=80%,"جيد جداً",E37&gt;=70%,"جيد",E37&gt;=60%,"مقبول",E37&lt;60%,"راسب")</f>
        <v>جيد</v>
      </c>
      <c r="F38" s="58"/>
      <c r="G38" s="58"/>
      <c r="H38" s="58"/>
      <c r="I38" s="58"/>
      <c r="J38" s="59"/>
    </row>
    <row r="39" spans="1:10" ht="42" customHeight="1" x14ac:dyDescent="0.3">
      <c r="B39" s="54" t="s">
        <v>172</v>
      </c>
      <c r="C39" s="54"/>
      <c r="D39" s="54"/>
      <c r="E39" s="41" t="s">
        <v>50</v>
      </c>
      <c r="F39" s="41"/>
      <c r="G39" s="56" t="s">
        <v>57</v>
      </c>
      <c r="H39" s="56"/>
      <c r="I39" s="56"/>
      <c r="J39" s="56"/>
    </row>
    <row r="40" spans="1:10" ht="51" customHeight="1" x14ac:dyDescent="0.3">
      <c r="A40" s="5"/>
      <c r="B40" s="55"/>
      <c r="C40" s="55"/>
      <c r="D40" s="55"/>
      <c r="E40" s="42" t="s">
        <v>51</v>
      </c>
      <c r="F40" s="42"/>
      <c r="G40" s="57"/>
      <c r="H40" s="57"/>
      <c r="I40" s="57"/>
      <c r="J40" s="57"/>
    </row>
  </sheetData>
  <sheetProtection formatCells="0" formatColumns="0" formatRows="0" insertColumns="0" insertRows="0" insertHyperlinks="0" deleteColumns="0" deleteRows="0" selectLockedCells="1" sort="0" autoFilter="0" pivotTables="0"/>
  <mergeCells count="78">
    <mergeCell ref="F4:J4"/>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 ref="B13:D13"/>
    <mergeCell ref="B14:D14"/>
    <mergeCell ref="B15:D15"/>
    <mergeCell ref="B16:D16"/>
    <mergeCell ref="B17:D17"/>
    <mergeCell ref="B8:D8"/>
    <mergeCell ref="B9:D9"/>
    <mergeCell ref="B10:D10"/>
    <mergeCell ref="B11:D11"/>
    <mergeCell ref="B12:D12"/>
    <mergeCell ref="I27:J27"/>
    <mergeCell ref="B22:D22"/>
    <mergeCell ref="B23:D23"/>
    <mergeCell ref="B24:D24"/>
    <mergeCell ref="B25:D25"/>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2025-10-23T19:26:36Z</dcterms:modified>
</cp:coreProperties>
</file>