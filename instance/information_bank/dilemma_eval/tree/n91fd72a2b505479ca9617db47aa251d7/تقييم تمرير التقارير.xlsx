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6CC7BC9E-8685-0946-B4C3-10437637AD59}"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<sst xmlns="http://schemas.openxmlformats.org/spreadsheetml/2006/main" count="258" uniqueCount="202">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</sst>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6</xdr:col>
      <xdr:colOff>450105</xdr:colOff>
      <xdr:row>36</xdr:row>
      <xdr:rowOff>208055</xdr:rowOff>
    </xdr:from>
    <xdr:to>
      <xdr:col>9</xdr:col>
      <xdr:colOff>109874</xdr:colOff>
      <xdr:row>36</xdr:row>
      <xdr:rowOff>590375</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AABF8F40-BA13-D6DA-BE00-5864C4338E03}"/>
                </a:ext>
              </a:extLst>
            </xdr14:cNvPr>
            <xdr14:cNvContentPartPr/>
          </xdr14:nvContentPartPr>
          <xdr14:nvPr macro=""/>
          <xdr14:xfrm>
            <a:off x="10398476945" y="18507600"/>
            <a:ext cx="1634040" cy="382320"/>
          </xdr14:xfrm>
        </xdr:contentPart>
      </mc:Choice>
      <mc:Fallback>
        <xdr:pic>
          <xdr:nvPicPr>
            <xdr:cNvPr id="2" name="Ink 1">
              <a:extLst>
                <a:ext uri="{FF2B5EF4-FFF2-40B4-BE49-F238E27FC236}">
                  <a16:creationId xmlns:a16="http://schemas.microsoft.com/office/drawing/2014/main" id="{AABF8F40-BA13-D6DA-BE00-5864C4338E03}"/>
                </a:ext>
              </a:extLst>
            </xdr:cNvPr>
            <xdr:cNvPicPr/>
          </xdr:nvPicPr>
          <xdr:blipFill>
            <a:blip xmlns:r="http://schemas.openxmlformats.org/officeDocument/2006/relationships" r:embed="rId2"/>
            <a:stretch>
              <a:fillRect/>
            </a:stretch>
          </xdr:blipFill>
          <xdr:spPr>
            <a:xfrm>
              <a:off x="10398468305" y="18498600"/>
              <a:ext cx="1651680" cy="3999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8:28:15.827"/>
    </inkml:context>
    <inkml:brush xml:id="br0">
      <inkml:brushProperty name="width" value="0.05" units="cm"/>
      <inkml:brushProperty name="height" value="0.05" units="cm"/>
    </inkml:brush>
  </inkml:definitions>
  <inkml:trace contextRef="#ctx0" brushRef="#br0">4539 981,'0'0,"0"0,0 0,0 0,0 0,0 0,-16 0,0 0,12 0,-25 0,-3-16,26 13,-20 6,-54-3,66 0,-84-16,-46 16,118 0,-93-16,-57 0,146 13,-148-10,-47 13,185 0,-161-17,-39 17,199 0,-191 0,-24-16,213 14,-187 20,-42-18,229 0,-187 17,-43-17,230 0,-154 16,-28-16,189 0,-136 16,-4-16,148 0,-73 0,5 0,82 0,-36-16,2 16,41 0,-18-16,25-17,0 29,0-8,32-20,-29 29,26-26,35-35,-55 55,94-46,57-9,-135 54,111-44,72-10,-180 55,185-47,27-8,-204 56,201-48,20 8,-219 41,180-18,23-23,-207 41,188-18,19-7,-201 26,160-20,41 10,-201 13,144-10,25-3,-180 13,134 6,30-3,-164 0,70 16,-3-16,-82 0,68 16,-17-16,-56 0,30 16,-23 0,-14-14,-4 12,-14 2,13-14,-27 12,-18 34,41-41,-82 34,-71 23,136-54,-129 60,-55 27,180-85,-169 72,-59 12,218-82,-165 68,-21-2,191-68,-142 57,30-21,124-41,-54 18,-5-9,68-14,-24 12,20-14,13 0,38-32,61-16,-82 41,100-67,30-6,-124 69,153-74,35-11,-174 80,157-80,17-1,-176 83,145-68,-65 34,-95 41,62-34,-15 25,-54 14,-4-12,-54 30,41-14,-98 28,-39 18,121-40,-147 48,-6 24,149-67,-171 87,-42-4,209-84,-195 88,2 12,188-94,-121 45,45 1,93-53,-42 26,-3-5,54-27,4 6,6-11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40" zoomScale="130" zoomScaleNormal="100" zoomScaleSheetLayoutView="130" workbookViewId="0">
      <selection activeCell="F3" sqref="F3:J3"/>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69" t="s">
        <v>201</v>
      </c>
      <c r="C1" s="69"/>
      <c r="D1" s="69"/>
      <c r="E1" s="69"/>
      <c r="F1" s="69"/>
      <c r="G1" s="69"/>
      <c r="H1" s="69"/>
      <c r="I1" s="69"/>
      <c r="J1" s="69"/>
    </row>
    <row r="2" spans="1:10" ht="30" customHeight="1" x14ac:dyDescent="0.2">
      <c r="B2" s="13" t="s">
        <v>8</v>
      </c>
      <c r="C2" s="75" t="s">
        <v>42</v>
      </c>
      <c r="D2" s="75"/>
      <c r="E2" s="13" t="s">
        <v>7</v>
      </c>
      <c r="F2" s="70">
        <v>45957</v>
      </c>
      <c r="G2" s="70"/>
      <c r="H2" s="70"/>
      <c r="I2" s="70"/>
      <c r="J2" s="70"/>
    </row>
    <row r="3" spans="1:10" ht="30" customHeight="1" x14ac:dyDescent="0.2">
      <c r="B3" s="13" t="s">
        <v>9</v>
      </c>
      <c r="C3" s="75" t="s">
        <v>83</v>
      </c>
      <c r="D3" s="75"/>
      <c r="E3" s="13" t="s">
        <v>6</v>
      </c>
      <c r="F3" s="75" t="s">
        <v>131</v>
      </c>
      <c r="G3" s="75"/>
      <c r="H3" s="75"/>
      <c r="I3" s="75"/>
      <c r="J3" s="75"/>
    </row>
    <row r="4" spans="1:10" ht="30" customHeight="1" thickBot="1" x14ac:dyDescent="0.25">
      <c r="B4" s="6"/>
      <c r="C4" s="7"/>
      <c r="D4" s="7"/>
      <c r="E4" s="6"/>
      <c r="F4" s="7"/>
      <c r="G4" s="7"/>
      <c r="H4" s="8"/>
      <c r="I4" s="7"/>
      <c r="J4" s="7"/>
    </row>
    <row r="5" spans="1:10" ht="24.95" customHeight="1" x14ac:dyDescent="0.2">
      <c r="A5" s="11"/>
      <c r="B5" s="71" t="s">
        <v>0</v>
      </c>
      <c r="C5" s="72"/>
      <c r="D5" s="72"/>
      <c r="E5" s="80" t="s">
        <v>1</v>
      </c>
      <c r="F5" s="80"/>
      <c r="G5" s="80"/>
      <c r="H5" s="80"/>
      <c r="I5" s="80" t="s">
        <v>2</v>
      </c>
      <c r="J5" s="81"/>
    </row>
    <row r="6" spans="1:10" ht="24.95" customHeight="1" thickBot="1" x14ac:dyDescent="0.25">
      <c r="A6" s="11"/>
      <c r="B6" s="73"/>
      <c r="C6" s="74"/>
      <c r="D6" s="74"/>
      <c r="E6" s="12" t="s">
        <v>3</v>
      </c>
      <c r="F6" s="12" t="s">
        <v>4</v>
      </c>
      <c r="G6" s="12" t="s">
        <v>23</v>
      </c>
      <c r="H6" s="12" t="s">
        <v>24</v>
      </c>
      <c r="I6" s="82"/>
      <c r="J6" s="83"/>
    </row>
    <row r="7" spans="1:10" ht="24.95" customHeight="1" thickBot="1" x14ac:dyDescent="0.25">
      <c r="A7" s="11"/>
      <c r="B7" s="78" t="s">
        <v>21</v>
      </c>
      <c r="C7" s="79"/>
      <c r="D7" s="79"/>
      <c r="E7" s="28" t="s">
        <v>18</v>
      </c>
      <c r="F7" s="28" t="s">
        <v>19</v>
      </c>
      <c r="G7" s="28" t="s">
        <v>22</v>
      </c>
      <c r="H7" s="28" t="s">
        <v>20</v>
      </c>
      <c r="I7" s="91" t="s">
        <v>25</v>
      </c>
      <c r="J7" s="92"/>
    </row>
    <row r="8" spans="1:10" ht="39.950000000000003" customHeight="1" thickBot="1" x14ac:dyDescent="0.25">
      <c r="A8" s="11"/>
      <c r="B8" s="47" t="s">
        <v>195</v>
      </c>
      <c r="C8" s="48"/>
      <c r="D8" s="48"/>
      <c r="E8" s="10">
        <v>5</v>
      </c>
      <c r="F8" s="38">
        <v>4</v>
      </c>
      <c r="G8" s="39">
        <f>IFERROR(F8/E8,"")</f>
        <v>0.8</v>
      </c>
      <c r="H8" s="27" t="str">
        <f>_xlfn.IFS(F8="أدخل العلامة","",F8="لا ينطبق","تم الإلغاء",G8&gt;=90%,"ممتاز",G8&gt;=80%,"جيد جداً",G8&gt;=70%,"جيد",G8&gt;=60%,"مقبول",G8&lt;60%,"راسب")</f>
        <v>جيد جداً</v>
      </c>
      <c r="I8" s="89"/>
      <c r="J8" s="90"/>
    </row>
    <row r="9" spans="1:10" ht="39.950000000000003" customHeight="1" thickBot="1" x14ac:dyDescent="0.25">
      <c r="A9" s="11"/>
      <c r="B9" s="49" t="s">
        <v>196</v>
      </c>
      <c r="C9" s="50"/>
      <c r="D9" s="50"/>
      <c r="E9" s="10">
        <v>5</v>
      </c>
      <c r="F9" s="40">
        <v>4</v>
      </c>
      <c r="G9" s="39">
        <f>IFERROR(F9/E9,"")</f>
        <v>0.8</v>
      </c>
      <c r="H9" s="27" t="str">
        <f>_xlfn.IFS(F9="أدخل العلامة","",F9="لا ينطبق","تم الإلغاء",G9&gt;=90%,"ممتاز",G9&gt;=80%,"جيد جداً",G9&gt;=70%,"جيد",G9&gt;=60%,"مقبول",G9&lt;60%,"راسب")</f>
        <v>جيد جداً</v>
      </c>
      <c r="I9" s="89"/>
      <c r="J9" s="90"/>
    </row>
    <row r="10" spans="1:10" ht="39.950000000000003" customHeight="1" thickBot="1" x14ac:dyDescent="0.25">
      <c r="A10" s="11"/>
      <c r="B10" s="49" t="s">
        <v>197</v>
      </c>
      <c r="C10" s="50"/>
      <c r="D10" s="50"/>
      <c r="E10" s="10">
        <v>5</v>
      </c>
      <c r="F10" s="40">
        <v>3.5</v>
      </c>
      <c r="G10" s="39">
        <f t="shared" ref="G10:G32" si="0">IFERROR(F10/E10,"")</f>
        <v>0.7</v>
      </c>
      <c r="H10" s="27" t="str">
        <f t="shared" ref="H10:H32" si="1">_xlfn.IFS(F10="أدخل العلامة","",F10="لا ينطبق","تم الإلغاء",G10&gt;=90%,"ممتاز",G10&gt;=80%,"جيد جداً",G10&gt;=70%,"جيد",G10&gt;=60%,"مقبول",G10&lt;60%,"راسب")</f>
        <v>جيد</v>
      </c>
      <c r="I10" s="89"/>
      <c r="J10" s="90"/>
    </row>
    <row r="11" spans="1:10" ht="39.950000000000003" customHeight="1" thickBot="1" x14ac:dyDescent="0.25">
      <c r="A11" s="11"/>
      <c r="B11" s="45" t="s">
        <v>198</v>
      </c>
      <c r="C11" s="46"/>
      <c r="D11" s="46"/>
      <c r="E11" s="37"/>
      <c r="F11" s="40"/>
      <c r="G11" s="32"/>
      <c r="H11" s="33"/>
      <c r="I11" s="55"/>
      <c r="J11" s="56"/>
    </row>
    <row r="12" spans="1:10" ht="39.950000000000003" customHeight="1" thickBot="1" x14ac:dyDescent="0.25">
      <c r="A12" s="11"/>
      <c r="B12" s="41" t="s">
        <v>176</v>
      </c>
      <c r="C12" s="42"/>
      <c r="D12" s="42"/>
      <c r="E12" s="9">
        <v>5</v>
      </c>
      <c r="F12" s="40">
        <v>4</v>
      </c>
      <c r="G12" s="30">
        <f t="shared" si="0"/>
        <v>0.8</v>
      </c>
      <c r="H12" s="31" t="str">
        <f t="shared" si="1"/>
        <v>جيد جداً</v>
      </c>
      <c r="I12" s="53"/>
      <c r="J12" s="54"/>
    </row>
    <row r="13" spans="1:10" ht="54.95" customHeight="1" thickBot="1" x14ac:dyDescent="0.25">
      <c r="A13" s="11"/>
      <c r="B13" s="41" t="s">
        <v>177</v>
      </c>
      <c r="C13" s="42"/>
      <c r="D13" s="42"/>
      <c r="E13" s="9">
        <v>5</v>
      </c>
      <c r="F13" s="40">
        <v>4</v>
      </c>
      <c r="G13" s="30">
        <f t="shared" si="0"/>
        <v>0.8</v>
      </c>
      <c r="H13" s="31" t="str">
        <f t="shared" si="1"/>
        <v>جيد جداً</v>
      </c>
      <c r="I13" s="53"/>
      <c r="J13" s="54"/>
    </row>
    <row r="14" spans="1:10" ht="71.25" customHeight="1" thickBot="1" x14ac:dyDescent="0.25">
      <c r="A14" s="11"/>
      <c r="B14" s="41" t="s">
        <v>178</v>
      </c>
      <c r="C14" s="42"/>
      <c r="D14" s="42"/>
      <c r="E14" s="9">
        <v>5</v>
      </c>
      <c r="F14" s="40">
        <v>4</v>
      </c>
      <c r="G14" s="30">
        <f t="shared" si="0"/>
        <v>0.8</v>
      </c>
      <c r="H14" s="31" t="str">
        <f t="shared" si="1"/>
        <v>جيد جداً</v>
      </c>
      <c r="I14" s="53"/>
      <c r="J14" s="54"/>
    </row>
    <row r="15" spans="1:10" ht="39.950000000000003" customHeight="1" thickBot="1" x14ac:dyDescent="0.25">
      <c r="A15" s="11"/>
      <c r="B15" s="41" t="s">
        <v>179</v>
      </c>
      <c r="C15" s="42"/>
      <c r="D15" s="42"/>
      <c r="E15" s="9">
        <v>5</v>
      </c>
      <c r="F15" s="40">
        <v>4</v>
      </c>
      <c r="G15" s="30">
        <f t="shared" si="0"/>
        <v>0.8</v>
      </c>
      <c r="H15" s="31" t="str">
        <f t="shared" si="1"/>
        <v>جيد جداً</v>
      </c>
      <c r="I15" s="53"/>
      <c r="J15" s="54"/>
    </row>
    <row r="16" spans="1:10" ht="68.25" customHeight="1" thickBot="1" x14ac:dyDescent="0.25">
      <c r="A16" s="11"/>
      <c r="B16" s="41" t="s">
        <v>180</v>
      </c>
      <c r="C16" s="42"/>
      <c r="D16" s="42"/>
      <c r="E16" s="9">
        <v>5</v>
      </c>
      <c r="F16" s="40">
        <v>3.5</v>
      </c>
      <c r="G16" s="30">
        <f t="shared" si="0"/>
        <v>0.7</v>
      </c>
      <c r="H16" s="31" t="str">
        <f t="shared" si="1"/>
        <v>جيد</v>
      </c>
      <c r="I16" s="53"/>
      <c r="J16" s="54"/>
    </row>
    <row r="17" spans="1:10" ht="65.099999999999994" customHeight="1" thickBot="1" x14ac:dyDescent="0.25">
      <c r="A17" s="11"/>
      <c r="B17" s="43" t="s">
        <v>181</v>
      </c>
      <c r="C17" s="44"/>
      <c r="D17" s="44"/>
      <c r="E17" s="34">
        <v>5</v>
      </c>
      <c r="F17" s="40">
        <v>3.5</v>
      </c>
      <c r="G17" s="35">
        <f t="shared" si="0"/>
        <v>0.7</v>
      </c>
      <c r="H17" s="36" t="str">
        <f t="shared" si="1"/>
        <v>جيد</v>
      </c>
      <c r="I17" s="51"/>
      <c r="J17" s="52"/>
    </row>
    <row r="18" spans="1:10" ht="39.950000000000003" customHeight="1" thickBot="1" x14ac:dyDescent="0.25">
      <c r="A18" s="11"/>
      <c r="B18" s="57" t="s">
        <v>199</v>
      </c>
      <c r="C18" s="58"/>
      <c r="D18" s="58"/>
      <c r="E18" s="37"/>
      <c r="F18" s="40"/>
      <c r="G18" s="32"/>
      <c r="H18" s="33"/>
      <c r="I18" s="55"/>
      <c r="J18" s="56"/>
    </row>
    <row r="19" spans="1:10" ht="39.950000000000003" customHeight="1" thickBot="1" x14ac:dyDescent="0.25">
      <c r="A19" s="11"/>
      <c r="B19" s="41" t="s">
        <v>182</v>
      </c>
      <c r="C19" s="42"/>
      <c r="D19" s="42"/>
      <c r="E19" s="9">
        <v>5</v>
      </c>
      <c r="F19" s="40">
        <v>3.5</v>
      </c>
      <c r="G19" s="30">
        <f t="shared" si="0"/>
        <v>0.7</v>
      </c>
      <c r="H19" s="31" t="str">
        <f t="shared" si="1"/>
        <v>جيد</v>
      </c>
      <c r="I19" s="53"/>
      <c r="J19" s="54"/>
    </row>
    <row r="20" spans="1:10" ht="39.950000000000003" customHeight="1" thickBot="1" x14ac:dyDescent="0.25">
      <c r="A20" s="11"/>
      <c r="B20" s="41" t="s">
        <v>183</v>
      </c>
      <c r="C20" s="42"/>
      <c r="D20" s="42"/>
      <c r="E20" s="9">
        <v>5</v>
      </c>
      <c r="F20" s="40">
        <v>3.5</v>
      </c>
      <c r="G20" s="30">
        <f t="shared" si="0"/>
        <v>0.7</v>
      </c>
      <c r="H20" s="31" t="str">
        <f t="shared" si="1"/>
        <v>جيد</v>
      </c>
      <c r="I20" s="53"/>
      <c r="J20" s="54"/>
    </row>
    <row r="21" spans="1:10" ht="39.950000000000003" customHeight="1" thickBot="1" x14ac:dyDescent="0.25">
      <c r="A21" s="11"/>
      <c r="B21" s="41" t="s">
        <v>184</v>
      </c>
      <c r="C21" s="42"/>
      <c r="D21" s="42"/>
      <c r="E21" s="9">
        <v>5</v>
      </c>
      <c r="F21" s="40">
        <v>3.5</v>
      </c>
      <c r="G21" s="30">
        <f t="shared" si="0"/>
        <v>0.7</v>
      </c>
      <c r="H21" s="31" t="str">
        <f t="shared" si="1"/>
        <v>جيد</v>
      </c>
      <c r="I21" s="53"/>
      <c r="J21" s="54"/>
    </row>
    <row r="22" spans="1:10" ht="39.950000000000003" customHeight="1" thickBot="1" x14ac:dyDescent="0.25">
      <c r="A22" s="11"/>
      <c r="B22" s="41" t="s">
        <v>185</v>
      </c>
      <c r="C22" s="42"/>
      <c r="D22" s="42"/>
      <c r="E22" s="9">
        <v>5</v>
      </c>
      <c r="F22" s="40">
        <v>3.5</v>
      </c>
      <c r="G22" s="30">
        <f t="shared" si="0"/>
        <v>0.7</v>
      </c>
      <c r="H22" s="31" t="str">
        <f t="shared" si="1"/>
        <v>جيد</v>
      </c>
      <c r="I22" s="53"/>
      <c r="J22" s="54"/>
    </row>
    <row r="23" spans="1:10" ht="39.950000000000003" customHeight="1" thickBot="1" x14ac:dyDescent="0.25">
      <c r="A23" s="11"/>
      <c r="B23" s="41" t="s">
        <v>186</v>
      </c>
      <c r="C23" s="42"/>
      <c r="D23" s="42"/>
      <c r="E23" s="9">
        <v>5</v>
      </c>
      <c r="F23" s="40">
        <v>3.5</v>
      </c>
      <c r="G23" s="30">
        <f t="shared" si="0"/>
        <v>0.7</v>
      </c>
      <c r="H23" s="31" t="str">
        <f t="shared" si="1"/>
        <v>جيد</v>
      </c>
      <c r="I23" s="53"/>
      <c r="J23" s="54"/>
    </row>
    <row r="24" spans="1:10" ht="39.950000000000003" customHeight="1" thickBot="1" x14ac:dyDescent="0.25">
      <c r="A24" s="11"/>
      <c r="B24" s="41" t="s">
        <v>187</v>
      </c>
      <c r="C24" s="42"/>
      <c r="D24" s="42"/>
      <c r="E24" s="9">
        <v>5</v>
      </c>
      <c r="F24" s="40">
        <v>3.5</v>
      </c>
      <c r="G24" s="30">
        <f t="shared" si="0"/>
        <v>0.7</v>
      </c>
      <c r="H24" s="31" t="str">
        <f t="shared" si="1"/>
        <v>جيد</v>
      </c>
      <c r="I24" s="53"/>
      <c r="J24" s="54"/>
    </row>
    <row r="25" spans="1:10" ht="39.950000000000003" customHeight="1" thickBot="1" x14ac:dyDescent="0.25">
      <c r="A25" s="11"/>
      <c r="B25" s="41" t="s">
        <v>188</v>
      </c>
      <c r="C25" s="42"/>
      <c r="D25" s="42"/>
      <c r="E25" s="9">
        <v>5</v>
      </c>
      <c r="F25" s="40">
        <v>3.5</v>
      </c>
      <c r="G25" s="30">
        <f t="shared" si="0"/>
        <v>0.7</v>
      </c>
      <c r="H25" s="31" t="str">
        <f t="shared" si="1"/>
        <v>جيد</v>
      </c>
      <c r="I25" s="53"/>
      <c r="J25" s="54"/>
    </row>
    <row r="26" spans="1:10" ht="39.950000000000003" customHeight="1" thickBot="1" x14ac:dyDescent="0.25">
      <c r="A26" s="11"/>
      <c r="B26" s="43" t="s">
        <v>189</v>
      </c>
      <c r="C26" s="44"/>
      <c r="D26" s="44"/>
      <c r="E26" s="34">
        <v>5</v>
      </c>
      <c r="F26" s="40">
        <v>3.5</v>
      </c>
      <c r="G26" s="35">
        <f t="shared" si="0"/>
        <v>0.7</v>
      </c>
      <c r="H26" s="36" t="str">
        <f t="shared" si="1"/>
        <v>جيد</v>
      </c>
      <c r="I26" s="51"/>
      <c r="J26" s="52"/>
    </row>
    <row r="27" spans="1:10" ht="39.950000000000003" customHeight="1" thickBot="1" x14ac:dyDescent="0.25">
      <c r="A27" s="11"/>
      <c r="B27" s="45" t="s">
        <v>200</v>
      </c>
      <c r="C27" s="46"/>
      <c r="D27" s="46"/>
      <c r="E27" s="37"/>
      <c r="F27" s="40"/>
      <c r="G27" s="32"/>
      <c r="H27" s="33"/>
      <c r="I27" s="55"/>
      <c r="J27" s="56"/>
    </row>
    <row r="28" spans="1:10" ht="39.950000000000003" customHeight="1" thickBot="1" x14ac:dyDescent="0.25">
      <c r="A28" s="11"/>
      <c r="B28" s="41" t="s">
        <v>190</v>
      </c>
      <c r="C28" s="42"/>
      <c r="D28" s="42"/>
      <c r="E28" s="9">
        <v>5</v>
      </c>
      <c r="F28" s="40">
        <v>4</v>
      </c>
      <c r="G28" s="30">
        <f t="shared" si="0"/>
        <v>0.8</v>
      </c>
      <c r="H28" s="31" t="str">
        <f t="shared" si="1"/>
        <v>جيد جداً</v>
      </c>
      <c r="I28" s="53"/>
      <c r="J28" s="54"/>
    </row>
    <row r="29" spans="1:10" ht="39.950000000000003" customHeight="1" thickBot="1" x14ac:dyDescent="0.25">
      <c r="A29" s="11"/>
      <c r="B29" s="41" t="s">
        <v>191</v>
      </c>
      <c r="C29" s="42"/>
      <c r="D29" s="42"/>
      <c r="E29" s="9">
        <v>5</v>
      </c>
      <c r="F29" s="40">
        <v>4</v>
      </c>
      <c r="G29" s="30">
        <f t="shared" si="0"/>
        <v>0.8</v>
      </c>
      <c r="H29" s="31" t="str">
        <f t="shared" si="1"/>
        <v>جيد جداً</v>
      </c>
      <c r="I29" s="53"/>
      <c r="J29" s="54"/>
    </row>
    <row r="30" spans="1:10" ht="39.950000000000003" customHeight="1" thickBot="1" x14ac:dyDescent="0.25">
      <c r="A30" s="11"/>
      <c r="B30" s="41" t="s">
        <v>192</v>
      </c>
      <c r="C30" s="42"/>
      <c r="D30" s="42"/>
      <c r="E30" s="9">
        <v>5</v>
      </c>
      <c r="F30" s="40">
        <v>4</v>
      </c>
      <c r="G30" s="30">
        <f t="shared" si="0"/>
        <v>0.8</v>
      </c>
      <c r="H30" s="31" t="str">
        <f t="shared" si="1"/>
        <v>جيد جداً</v>
      </c>
      <c r="I30" s="53"/>
      <c r="J30" s="54"/>
    </row>
    <row r="31" spans="1:10" ht="39.950000000000003" customHeight="1" thickBot="1" x14ac:dyDescent="0.25">
      <c r="A31" s="11"/>
      <c r="B31" s="41" t="s">
        <v>193</v>
      </c>
      <c r="C31" s="42"/>
      <c r="D31" s="42"/>
      <c r="E31" s="9">
        <v>5</v>
      </c>
      <c r="F31" s="40">
        <v>4</v>
      </c>
      <c r="G31" s="30">
        <f t="shared" si="0"/>
        <v>0.8</v>
      </c>
      <c r="H31" s="31" t="str">
        <f t="shared" si="1"/>
        <v>جيد جداً</v>
      </c>
      <c r="I31" s="53"/>
      <c r="J31" s="54"/>
    </row>
    <row r="32" spans="1:10" ht="39.950000000000003" customHeight="1" thickBot="1" x14ac:dyDescent="0.25">
      <c r="A32" s="11"/>
      <c r="B32" s="43" t="s">
        <v>194</v>
      </c>
      <c r="C32" s="44"/>
      <c r="D32" s="44"/>
      <c r="E32" s="34">
        <v>5</v>
      </c>
      <c r="F32" s="40">
        <v>4</v>
      </c>
      <c r="G32" s="35">
        <f t="shared" si="0"/>
        <v>0.8</v>
      </c>
      <c r="H32" s="36" t="str">
        <f t="shared" si="1"/>
        <v>جيد جداً</v>
      </c>
      <c r="I32" s="51"/>
      <c r="J32" s="52"/>
    </row>
    <row r="33" spans="1:10" ht="30" customHeight="1" thickBot="1" x14ac:dyDescent="0.25">
      <c r="A33" s="4"/>
      <c r="B33" s="59" t="s">
        <v>5</v>
      </c>
      <c r="C33" s="60"/>
      <c r="D33" s="60"/>
      <c r="E33" s="29">
        <f>SUM(E8:E32)</f>
        <v>110</v>
      </c>
      <c r="F33" s="29">
        <f>SUM(F8:F32)</f>
        <v>82.5</v>
      </c>
      <c r="G33" s="86"/>
      <c r="H33" s="87"/>
      <c r="I33" s="87"/>
      <c r="J33" s="88"/>
    </row>
    <row r="34" spans="1:10" ht="30" customHeight="1" thickBot="1" x14ac:dyDescent="0.25">
      <c r="A34" s="4"/>
      <c r="B34" s="61" t="s">
        <v>54</v>
      </c>
      <c r="C34" s="62"/>
      <c r="D34" s="62"/>
      <c r="E34" s="76">
        <f>F33/E33/100*100</f>
        <v>0.75</v>
      </c>
      <c r="F34" s="76"/>
      <c r="G34" s="76"/>
      <c r="H34" s="76"/>
      <c r="I34" s="76"/>
      <c r="J34" s="77"/>
    </row>
    <row r="35" spans="1:10" ht="30" customHeight="1" thickBot="1" x14ac:dyDescent="0.25">
      <c r="A35" s="4"/>
      <c r="B35" s="61" t="s">
        <v>55</v>
      </c>
      <c r="C35" s="62"/>
      <c r="D35" s="62"/>
      <c r="E35" s="67" t="str">
        <f>_xlfn.IFS(E34&gt;=90%,"ممتاز",E34&gt;=80%,"جيد جداً",E34&gt;=70%,"جيد",E34&gt;=60%,"مقبول",E34&lt;60%,"راسب")</f>
        <v>جيد</v>
      </c>
      <c r="F35" s="67"/>
      <c r="G35" s="67"/>
      <c r="H35" s="67"/>
      <c r="I35" s="67"/>
      <c r="J35" s="68"/>
    </row>
    <row r="36" spans="1:10" ht="42" customHeight="1" x14ac:dyDescent="0.2">
      <c r="B36" s="63" t="s">
        <v>175</v>
      </c>
      <c r="C36" s="63"/>
      <c r="D36" s="63"/>
      <c r="E36" s="84" t="s">
        <v>52</v>
      </c>
      <c r="F36" s="84"/>
      <c r="G36" s="65" t="s">
        <v>131</v>
      </c>
      <c r="H36" s="65"/>
      <c r="I36" s="65"/>
      <c r="J36" s="65"/>
    </row>
    <row r="37" spans="1:10" ht="51" customHeight="1" x14ac:dyDescent="0.2">
      <c r="A37" s="5"/>
      <c r="B37" s="64"/>
      <c r="C37" s="64"/>
      <c r="D37" s="64"/>
      <c r="E37" s="85" t="s">
        <v>53</v>
      </c>
      <c r="F37" s="85"/>
      <c r="G37" s="66"/>
      <c r="H37" s="66"/>
      <c r="I37" s="66"/>
      <c r="J37" s="66"/>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