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/>
  <xr:revisionPtr revIDLastSave="0" documentId="13_ncr:1000001_{590D9334-E341-7E41-BDD5-42783FC4AE95}" xr6:coauthVersionLast="47" xr6:coauthVersionMax="47" xr10:uidLastSave="{00000000-0000-0000-0000-000000000000}"/>
  <bookViews>
    <workbookView xWindow="-105" yWindow="-105" windowWidth="23250" windowHeight="12570" xr2:uid="{00000000-000D-0000-FFFF-FFFF00000000}"/>
  </bookViews>
  <sheets>
    <sheet name="قائمة التقييم" sheetId="2" r:id="rId1"/>
    <sheet name="بيانات التقييم" sheetId="4" r:id="rId2"/>
  </sheets>
  <definedNames>
    <definedName name="_Hlk189049083" localSheetId="0">'قائمة التقييم'!#REF!</definedName>
    <definedName name="_Hlk189049123" localSheetId="0">'قائمة التقييم'!$B$3</definedName>
    <definedName name="_xlnm.Print_Area" localSheetId="0">'قائمة التقييم'!$A$1:$J$76</definedName>
    <definedName name="_xlnm.Print_Titles" localSheetId="0">'قائمة التقييم'!$7:$7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9" i="2" l="1"/>
  <c r="H9" i="2"/>
  <c r="G11" i="2"/>
  <c r="H11" i="2"/>
  <c r="G13" i="2"/>
  <c r="H13" i="2"/>
  <c r="G14" i="2"/>
  <c r="H14" i="2"/>
  <c r="G15" i="2"/>
  <c r="H15" i="2"/>
  <c r="G16" i="2"/>
  <c r="H16" i="2"/>
  <c r="G17" i="2"/>
  <c r="H17" i="2"/>
  <c r="G18" i="2"/>
  <c r="H18" i="2"/>
  <c r="G20" i="2"/>
  <c r="H20" i="2"/>
  <c r="G21" i="2"/>
  <c r="H21" i="2"/>
  <c r="G22" i="2"/>
  <c r="H22" i="2"/>
  <c r="G23" i="2"/>
  <c r="H23" i="2"/>
  <c r="G26" i="2"/>
  <c r="H26" i="2"/>
  <c r="G27" i="2"/>
  <c r="H27" i="2"/>
  <c r="G28" i="2"/>
  <c r="H28" i="2"/>
  <c r="G29" i="2"/>
  <c r="H29" i="2"/>
  <c r="G30" i="2"/>
  <c r="H30" i="2"/>
  <c r="G31" i="2"/>
  <c r="H31" i="2"/>
  <c r="G32" i="2"/>
  <c r="H32" i="2"/>
  <c r="G33" i="2"/>
  <c r="H33" i="2"/>
  <c r="G34" i="2"/>
  <c r="H34" i="2"/>
  <c r="G35" i="2"/>
  <c r="H35" i="2"/>
  <c r="G37" i="2"/>
  <c r="H37" i="2"/>
  <c r="G38" i="2"/>
  <c r="H38" i="2"/>
  <c r="G39" i="2"/>
  <c r="H39" i="2"/>
  <c r="G40" i="2"/>
  <c r="H40" i="2"/>
  <c r="G41" i="2"/>
  <c r="H41" i="2"/>
  <c r="G43" i="2"/>
  <c r="H43" i="2"/>
  <c r="G44" i="2"/>
  <c r="H44" i="2"/>
  <c r="G46" i="2"/>
  <c r="H46" i="2"/>
  <c r="G47" i="2"/>
  <c r="H47" i="2"/>
  <c r="G48" i="2"/>
  <c r="H48" i="2"/>
  <c r="G49" i="2"/>
  <c r="H49" i="2"/>
  <c r="G50" i="2"/>
  <c r="H50" i="2"/>
  <c r="G51" i="2"/>
  <c r="H51" i="2"/>
  <c r="G52" i="2"/>
  <c r="H52" i="2"/>
  <c r="G53" i="2"/>
  <c r="H53" i="2"/>
  <c r="G54" i="2"/>
  <c r="H54" i="2"/>
  <c r="G55" i="2"/>
  <c r="H55" i="2"/>
  <c r="G56" i="2"/>
  <c r="H56" i="2"/>
  <c r="G57" i="2"/>
  <c r="H57" i="2"/>
  <c r="G58" i="2"/>
  <c r="H58" i="2"/>
  <c r="G61" i="2"/>
  <c r="H61" i="2"/>
  <c r="G62" i="2"/>
  <c r="H62" i="2"/>
  <c r="G63" i="2"/>
  <c r="H63" i="2"/>
  <c r="G64" i="2"/>
  <c r="H64" i="2"/>
  <c r="G65" i="2"/>
  <c r="H65" i="2"/>
  <c r="G66" i="2"/>
  <c r="H66" i="2"/>
  <c r="G67" i="2"/>
  <c r="H67" i="2"/>
  <c r="G68" i="2"/>
  <c r="H68" i="2"/>
  <c r="G69" i="2"/>
  <c r="H69" i="2"/>
  <c r="G70" i="2"/>
  <c r="H70" i="2"/>
  <c r="G71" i="2"/>
  <c r="H71" i="2"/>
  <c r="F72" i="2"/>
  <c r="E72" i="2"/>
  <c r="E73" i="2"/>
  <c r="E74" i="2"/>
</calcChain>
</file>

<file path=xl/sharedStrings.xml><?xml version="1.0" encoding="utf-8"?>
<sst xmlns="http://schemas.openxmlformats.org/spreadsheetml/2006/main" count="298" uniqueCount="241">
  <si>
    <t>عناصــــــر التقييـــــم</t>
  </si>
  <si>
    <t>العلامـــــــات</t>
  </si>
  <si>
    <t>ملاحظــــــات</t>
  </si>
  <si>
    <t>القصوى</t>
  </si>
  <si>
    <t>المكتسبة</t>
  </si>
  <si>
    <t>إجمالي العلامـــــات</t>
  </si>
  <si>
    <t xml:space="preserve">المحكــم: </t>
  </si>
  <si>
    <t xml:space="preserve">التاريــخ: </t>
  </si>
  <si>
    <t xml:space="preserve">الوحـــــــدة: </t>
  </si>
  <si>
    <t xml:space="preserve">قائد الوحدة: </t>
  </si>
  <si>
    <t>سرية الاستطلاع</t>
  </si>
  <si>
    <t>سرية الهاون</t>
  </si>
  <si>
    <t>سرية الهندسة</t>
  </si>
  <si>
    <t>سرية الدفاع الكيميائي</t>
  </si>
  <si>
    <t>سرية الحرب الإلكترونية</t>
  </si>
  <si>
    <t>سرية الإشارة</t>
  </si>
  <si>
    <t>فصيل الشرطة العسكرية</t>
  </si>
  <si>
    <t>لا ينطبق</t>
  </si>
  <si>
    <t>(ب)</t>
  </si>
  <si>
    <t>(جـ)</t>
  </si>
  <si>
    <t>(هـ)</t>
  </si>
  <si>
    <t>( أ )</t>
  </si>
  <si>
    <t>( د )</t>
  </si>
  <si>
    <t>النسبة</t>
  </si>
  <si>
    <t>النتيجة</t>
  </si>
  <si>
    <t>( و )</t>
  </si>
  <si>
    <t>هيئة ركن مجموعة اللواء</t>
  </si>
  <si>
    <t>سرية الـ م/د</t>
  </si>
  <si>
    <t>القيادة والسيطرة</t>
  </si>
  <si>
    <t>سرية الدفاع الجوي</t>
  </si>
  <si>
    <t>كتيبة الإسناد الإداري</t>
  </si>
  <si>
    <t>السرية الطبية</t>
  </si>
  <si>
    <t>سرية الصيانة</t>
  </si>
  <si>
    <t>سرية التزويد والنقل</t>
  </si>
  <si>
    <t>ضباط الصف</t>
  </si>
  <si>
    <t>قيادة مجموعة لواء الإمارات/1</t>
  </si>
  <si>
    <t>قيادة كتيبة المشاة الآلية/12</t>
  </si>
  <si>
    <t>كتيبة المشاة الآلية/12 - السرية/1</t>
  </si>
  <si>
    <t>كتيبة المشاة الآلية/12 - السرية/2</t>
  </si>
  <si>
    <t>كتيبة المشاة الآلية/12 - السرية/3</t>
  </si>
  <si>
    <t>قيادة كتيبة المشاة الآلية/13</t>
  </si>
  <si>
    <t>كتيبة المشاة الآلية/13 - السرية/1</t>
  </si>
  <si>
    <t>كتيبة المشاة الآلية/13 - السرية/2</t>
  </si>
  <si>
    <t>كتيبة المشاة الآلية/13 - السرية/3</t>
  </si>
  <si>
    <t>قيادة كتيبة الدبابات/14</t>
  </si>
  <si>
    <t>كتيبة الدبابات/14 - السرية/1</t>
  </si>
  <si>
    <t>كتيبة الدبابات/14 - السرية/2</t>
  </si>
  <si>
    <t>كتيبة الدبابات/14 - السرية/3</t>
  </si>
  <si>
    <t>قيادة كتيبة المدفعية/72</t>
  </si>
  <si>
    <t>قيادة كتيبة المدفعية/72 - السرية/1</t>
  </si>
  <si>
    <t>قيادة كتيبة المدفعية/72 - السرية/2</t>
  </si>
  <si>
    <t>قيادة كتيبة المدفعية/72 - السرية/3</t>
  </si>
  <si>
    <t>المحكـــــــــم:</t>
  </si>
  <si>
    <t>التوقيــــــــع:</t>
  </si>
  <si>
    <t>النسبــــة العامــــــة</t>
  </si>
  <si>
    <t>التقديــــر العــــــام</t>
  </si>
  <si>
    <t>أدخل التاريخ</t>
  </si>
  <si>
    <t>أدخل الوحدة الخاضعة للتقييم</t>
  </si>
  <si>
    <t>..............................</t>
  </si>
  <si>
    <t>أدخل اسم المحكم</t>
  </si>
  <si>
    <t>أدخل اسم قائد الوحدة الخاضعة للتقييم</t>
  </si>
  <si>
    <t>أدخل العلامة</t>
  </si>
  <si>
    <t>عميد ركن / راشد حمد مفتاح النيادي</t>
  </si>
  <si>
    <t xml:space="preserve"> عقيد ركن / جمعة محمد جمعة الصريدي</t>
  </si>
  <si>
    <t xml:space="preserve"> عقيد ركن / عتيق الزفنة العفاري</t>
  </si>
  <si>
    <t>رائد / أحمد محمد الظهوري</t>
  </si>
  <si>
    <t>مقدم / عبدالله سعيد الشامسي</t>
  </si>
  <si>
    <t xml:space="preserve"> نقيب / سعيد أحمد الشحي</t>
  </si>
  <si>
    <t>عقيد ركن / محمد سعيد الكتبي</t>
  </si>
  <si>
    <t>نقيب / راشد الطيب النعيمي</t>
  </si>
  <si>
    <t>نقيب / حمدان سالمين العامري</t>
  </si>
  <si>
    <t>رائد/ عبدالله سيف الغفلي</t>
  </si>
  <si>
    <t>نقيب / حمد محمد الشامسي</t>
  </si>
  <si>
    <t>رائد/ سعيد مبارك الكتبي</t>
  </si>
  <si>
    <t>ملازم 2 / علي ابراهيم النعيمي</t>
  </si>
  <si>
    <t>رائد/ محمد عمران الكتبي</t>
  </si>
  <si>
    <t>نقيب / محمد سعيد الكعبي</t>
  </si>
  <si>
    <t>عقيد ركن / علي راشد اليماحي</t>
  </si>
  <si>
    <t>نقيب / ماجد عبدالله البلوشي</t>
  </si>
  <si>
    <t>ملازم 1 / حمد طارش الكعبي</t>
  </si>
  <si>
    <t>رائد/ سالم سلطان الكتبي</t>
  </si>
  <si>
    <t>مقدم ركن / محمد عبدالله الشحي</t>
  </si>
  <si>
    <t>رائد/ محمد عبدالرحمن الطنيجي</t>
  </si>
  <si>
    <t>رائد/ محمد راشد المزروعي</t>
  </si>
  <si>
    <t>رائد/ محمد سعيد الظنحاني</t>
  </si>
  <si>
    <t>مقدم ركن / علي حسن الحمادي</t>
  </si>
  <si>
    <t>ملازم 1 / علي ناصر المقدمي</t>
  </si>
  <si>
    <t>نقيب / حمد سعيد الشهياري</t>
  </si>
  <si>
    <t>ملازم 1 / سعود محمد الطياري</t>
  </si>
  <si>
    <t xml:space="preserve">عميد ركن / حمد علي جمعة الشحي </t>
  </si>
  <si>
    <t>عقيد ركن / خليفة بن هويدن الكتبي</t>
  </si>
  <si>
    <t>عقيد ركن / راشد محمد عبيد الظنحاني</t>
  </si>
  <si>
    <t>عقيد ركن / حميد محمد عبيد الدرعي</t>
  </si>
  <si>
    <t>عقيد ركن / سلطان راشد بالرشاد الشامسي</t>
  </si>
  <si>
    <t>عقيد ركن / احمد سليمان علي المعمري</t>
  </si>
  <si>
    <t>عقيد ركن / علي الرضه كمادي المهيري</t>
  </si>
  <si>
    <t>عقيد ركن / خليل احمد سليمان العنتلي</t>
  </si>
  <si>
    <t xml:space="preserve">عقيد ركن / سعود صالح  راشدالظاهري </t>
  </si>
  <si>
    <t>عقيد / سالم محمد سعيد العفاري</t>
  </si>
  <si>
    <t xml:space="preserve">مقدم ركن / خادم سيف المنصوري </t>
  </si>
  <si>
    <t>مقدم ركن / مصبح مفتاح علي الخاطري</t>
  </si>
  <si>
    <t>مقدم ركن / حمد راشد سليمان الزيودي</t>
  </si>
  <si>
    <t>مقدم / محمد عبدالرحمن الرميثي</t>
  </si>
  <si>
    <t xml:space="preserve">مقدم / علي سيف حامد الطنيجي </t>
  </si>
  <si>
    <t>مقدم / خليفة عبدالله سلطان السويدي</t>
  </si>
  <si>
    <t>مقدم / سالم القرين علي العامري</t>
  </si>
  <si>
    <t>مقدم / محمد عبدالرحمن جاسم الرميثي</t>
  </si>
  <si>
    <t xml:space="preserve">مقدم / سعيد محمد سالم  العامري </t>
  </si>
  <si>
    <t xml:space="preserve">مقدم / جابر محمد خاتم الشامسي </t>
  </si>
  <si>
    <t xml:space="preserve">مقدم / مصبح حارب المنصوري </t>
  </si>
  <si>
    <t>مقدم / عبدالله محمد سلطان الحبسي</t>
  </si>
  <si>
    <t>مقدم طبيب / محمد عيسى الرميثي</t>
  </si>
  <si>
    <t>رائد / احمد علي عبدالله الحوسني</t>
  </si>
  <si>
    <t xml:space="preserve">رائد / راشد ضاوي  راشدالطنيجي </t>
  </si>
  <si>
    <t xml:space="preserve">رائد / عبدالله مطر عبيد الكتبي </t>
  </si>
  <si>
    <t xml:space="preserve">رائد / خليفة مصبح الدهماني </t>
  </si>
  <si>
    <t>رائد / أحمد هلال سيف الزعابي</t>
  </si>
  <si>
    <t xml:space="preserve">رائد / سيف حمود محمد الشامسي </t>
  </si>
  <si>
    <t>رائد / عبدالناصر أحمد عبدالله  آل نصور</t>
  </si>
  <si>
    <t>رائد / حمدان محمد الكعبي</t>
  </si>
  <si>
    <t>رائد / سلطان سيف حميد بن سميط</t>
  </si>
  <si>
    <t xml:space="preserve">رائد / هلال سعيد ضبيب الدرعي </t>
  </si>
  <si>
    <t xml:space="preserve">رائد / سعيد إبراهيم المرزوقي </t>
  </si>
  <si>
    <t>رائد / أحمد عبدالكريم محمد</t>
  </si>
  <si>
    <t xml:space="preserve">رائد / جمعة محمد مسعود المزروعي </t>
  </si>
  <si>
    <t xml:space="preserve">رائد / خليفة مصبح علي الدهماني </t>
  </si>
  <si>
    <t xml:space="preserve">رائد / محمد خليفة حميد النعيمي </t>
  </si>
  <si>
    <t xml:space="preserve">نقيب / محمد سعيد الكعبي </t>
  </si>
  <si>
    <t>نقيب / ناصر حمد سليم التميمي</t>
  </si>
  <si>
    <t xml:space="preserve">نقيب / سعيد مصبح  محمد الغفلي </t>
  </si>
  <si>
    <t xml:space="preserve">نقيب / أحمد حمد حمود الدرعي </t>
  </si>
  <si>
    <t>نقيب / سالم جمعة محمد الكتبي</t>
  </si>
  <si>
    <t xml:space="preserve">نقيب / عمران راشد عبيد الكتبي </t>
  </si>
  <si>
    <t>نقيب / محمد جاسم محمد النقبي</t>
  </si>
  <si>
    <t>نقيب / بلاع سالم الدوده العامري</t>
  </si>
  <si>
    <t>نقيب / عبدالله علي سعيد الصريدي</t>
  </si>
  <si>
    <t>نقيب / عبدالله علي سليمان الزعابي</t>
  </si>
  <si>
    <t>نقيب / يوسف خليفه سعيد الكتبي</t>
  </si>
  <si>
    <t>نقيب بحري / سالم محمد جمعة الصريدي</t>
  </si>
  <si>
    <t xml:space="preserve">نقيب طبيب / حميد عبدالله خميس الكندي </t>
  </si>
  <si>
    <t xml:space="preserve">نقيب طيار / ناصر ظافر دشن الاحبابي </t>
  </si>
  <si>
    <t xml:space="preserve">ملازم 1 / مطر احمد الكلباني </t>
  </si>
  <si>
    <t>ملازم 1 / حمد هلال خليفة الكتبي</t>
  </si>
  <si>
    <t>ملازم / مايد عبدالله الزيودي</t>
  </si>
  <si>
    <t>وكيل/1 - خالد عبدالله التميمي</t>
  </si>
  <si>
    <t>وكيل/1 - سعيد راشد عبيد السدراني</t>
  </si>
  <si>
    <t xml:space="preserve">وكيل/1 - سمير إبراهيم المازمي </t>
  </si>
  <si>
    <t>وكيل/1 - فايز سعيد صالح العامري</t>
  </si>
  <si>
    <t xml:space="preserve">وكيل/1 - فهد سبت النعيمي </t>
  </si>
  <si>
    <t xml:space="preserve">وكيل/1 - مرزوق سالم مرزوق الزحمي </t>
  </si>
  <si>
    <t>وكيل/1 - سيف سعيد سالم اليماحي</t>
  </si>
  <si>
    <t xml:space="preserve">وكيل/1 - فيصل علي الاميري </t>
  </si>
  <si>
    <t>وكيل/1 - داوود درويش محمد الشحي</t>
  </si>
  <si>
    <t>وكيل/1 - محمد عبدالله سالم الزيدي</t>
  </si>
  <si>
    <t xml:space="preserve">وكيل/1 - حمد حسن علي القايدي </t>
  </si>
  <si>
    <t xml:space="preserve">وكيل/1 - خالد محمد الشحي </t>
  </si>
  <si>
    <t xml:space="preserve">وكيل/1 - عبدالله سعيد الكلباني </t>
  </si>
  <si>
    <t>وكيل/1 - علي مسلم الكتبي</t>
  </si>
  <si>
    <t xml:space="preserve">وكيل/1 - عمر أحمد مختار </t>
  </si>
  <si>
    <t xml:space="preserve">وكيل/ احمد سالمين سالم الشنيني </t>
  </si>
  <si>
    <t xml:space="preserve">وكيل/ أحمد سعيد حمد الشامسي </t>
  </si>
  <si>
    <t>وكيل/ علي عبدالله الصريدي</t>
  </si>
  <si>
    <t>وكيل/ محمد عمر سالم الخنبشي</t>
  </si>
  <si>
    <t xml:space="preserve">وكيل/ وليد مرزوق مسعود العلوي </t>
  </si>
  <si>
    <t xml:space="preserve">وكيل/ علي محمد عبدالله النقبي </t>
  </si>
  <si>
    <t>وكيل/ فهد علي سليمان الشحي</t>
  </si>
  <si>
    <t>وكيل/ محمد حميد عبيد الزعابي</t>
  </si>
  <si>
    <t xml:space="preserve">وكيل/ محمد علي الحمادي </t>
  </si>
  <si>
    <t>رقيب/1 - حامد سعيد شماريخ</t>
  </si>
  <si>
    <t xml:space="preserve">رقيب/1 - علي حميد علي الكندي </t>
  </si>
  <si>
    <t>رقيب/1 - فايز عيسى عبدالله البلوشي</t>
  </si>
  <si>
    <t xml:space="preserve">رقيب/1 - محمد جمعة محمد المنصوري </t>
  </si>
  <si>
    <t>رقيب/1 - محمد يوسف احمد ال علي</t>
  </si>
  <si>
    <t xml:space="preserve">رقيب / حسن علي سلطان ال علي </t>
  </si>
  <si>
    <t xml:space="preserve">رقيب / عوض محمد الكثيري </t>
  </si>
  <si>
    <r>
      <t>ملاحظـــات:</t>
    </r>
    <r>
      <rPr>
        <sz val="14"/>
        <color rgb="FF000000"/>
        <rFont val="Arial"/>
        <family val="2"/>
      </rPr>
      <t xml:space="preserve"> 
1. تقييم مستوى الوحدة من خلال مراقبة الآداء أو طرح الأسئلة.
2. يعتبر هذا النموذج (سري للغاية) بعد إدخال علامات التقييم.
3. نموذج التقييم قابل للتطوير والتعديل.</t>
    </r>
  </si>
  <si>
    <t>إجراءات التخطيط.</t>
  </si>
  <si>
    <t>(3)   مناطق العمليات للوحدات المرؤوسة.</t>
  </si>
  <si>
    <t>(4)   المقتربات وممرات الحركة من منطقة التجمع وحتى الأهداف.</t>
  </si>
  <si>
    <t>(5)   خط البدء وخطوط الفتح التعبوي.</t>
  </si>
  <si>
    <t>جـ.   تنفيذ التحضير الاستخباري لميدان المعركة.</t>
  </si>
  <si>
    <t>(1)   تحديد قوات الجهد الرئيسي (العملية الحاسمة).</t>
  </si>
  <si>
    <t>(2)   تحديد قوات الجهود المساندة وعمليات التمهيد/ التهيئة.</t>
  </si>
  <si>
    <t>(3)   تحديد قوات الاحتياط (القائد، التأليف والموقع).</t>
  </si>
  <si>
    <t xml:space="preserve">(4)   تخصيص وحدات الإسناد القتالي.  </t>
  </si>
  <si>
    <t>هـ.   توحيد وتنسيق الوظائف القتالية كما يلي:</t>
  </si>
  <si>
    <t>(ب)  تخطيط النيران على جميع مواقع العدو المعروفة والمحتملة ولعزل الهدف.</t>
  </si>
  <si>
    <t>(جـ)   تخطيط نيران الخداع لتضليل العدو وحسب الضرورة.</t>
  </si>
  <si>
    <t>(د)   تخطيط نيران الإعماء/ الحجب عند الضرورة.</t>
  </si>
  <si>
    <t>(هـ)   تخطيط نيران إسناد قوات فتح الثغرة في الموانع.</t>
  </si>
  <si>
    <t>(و)   تخطيط النيران لحماية القوات المقتحمة بواسطة إسكات وتحييد وتدمير أسلحة نيران العدو المباشرة.</t>
  </si>
  <si>
    <t>(ز)   التخطيط للنيران لما بعد الأهداف لإسناد الهجوم السريع أو الدفاع السريع (العمليات اللاحقة).</t>
  </si>
  <si>
    <t>(ح)   تخطيط وتنسيق النيران غير المباشرة والإسناد الجوي القريب لتأخير أو تحييد إعادة تموضع قوات العدو واحتياطه.</t>
  </si>
  <si>
    <t>(ط)   تخطيط النيران ضد تعزيزات العدو أثناء الهجوم ولإسناد التثبت وإعادة التنظيم للقوات الصديقة فور احتلال الهدف والاستيلاء عليه.</t>
  </si>
  <si>
    <t>(ي)   تخطيط النيران لقوات الاحتياط والوحدات اللاحقة.</t>
  </si>
  <si>
    <t>(2)   الإسناد الهندسي:</t>
  </si>
  <si>
    <t>(ب)   دمج وتوحيد متطلبات استخبارات الموانع ضمن متطلبات أولويات الاستخبارات وخطة الاستطلاع.</t>
  </si>
  <si>
    <t>(جـ)   تحديد مكان مواقع فتح الثغرات وعددها بناءً على خطة المناورة والعمل على الهدف وحجم قوة الاقتحام.</t>
  </si>
  <si>
    <t>(د)   التخطيط الملائم للتحول السريع لأولويات الجهد والإسناد الهندسي من أجل تعزيز النجاح أو الاستجابة للمواقف المتغيرة.</t>
  </si>
  <si>
    <t>إجراءات التحضير.</t>
  </si>
  <si>
    <t>أ.    تنقيح الخطة بناءً على الاستخبارات المحدثة باستمرار.</t>
  </si>
  <si>
    <t>ب.  تنفيذ الاستطلاع الواسع من أجل تحديد ما يلي:</t>
  </si>
  <si>
    <t>(1)   حجم وتأليف وتوزيعات قوة العدو في منطقة الأهداف والاحتياط.</t>
  </si>
  <si>
    <t>(2)   موقع ونوع وعمق وتأليف الموانع والممرات حول الموانع.</t>
  </si>
  <si>
    <t>(4)   نوع التحصينات المعادية وجهد القدرة على البقاء.</t>
  </si>
  <si>
    <t>(5)   مناطق اشتباك العدو.</t>
  </si>
  <si>
    <t>(6)   نقاط ضعف العدو.</t>
  </si>
  <si>
    <t>(7)   الفجوات في دفاع العدو.</t>
  </si>
  <si>
    <t>(8)   الأجنحة المكشوفة أو الضعيفة للعدو.</t>
  </si>
  <si>
    <t>(9)   المقتربات غير المراقبة أو المدافع عنها والتي تؤدي إلى أجنحة أو عمق ومؤخرة العدو.</t>
  </si>
  <si>
    <t>(10)   الطرق التي تتوفر فيها التخفية والتستر التي تسمح للقوات الصديقة بالاقتراب من دفاعات العدو.</t>
  </si>
  <si>
    <t>إجراءات التنفيذ.</t>
  </si>
  <si>
    <t>أ.   الحركة من منطقة التجمع إلى منطقة التشكيل وخط البدء، بأسلوب الحركة والتشكيلة المناسبين.</t>
  </si>
  <si>
    <t>ب.  تأسيس قاعدة/ قواعد الاسناد بالنيران.</t>
  </si>
  <si>
    <t>جـ.   تنفيذ خطة الإسناد الناري غير المباشر لإسناد القوات المهاجمة.</t>
  </si>
  <si>
    <t xml:space="preserve">د.   القيام بإجراءات فتح الثغرة في موانع العدو عند الضرورة.  </t>
  </si>
  <si>
    <t xml:space="preserve">هـ.   المناورة من خط البدء إلى الأهداف.   </t>
  </si>
  <si>
    <t>ز.   نقل النيران والدخان لإسكات قوات العدو وحجب قواتنا الصديقة.</t>
  </si>
  <si>
    <t>ح.   اقتحام الأهداف.</t>
  </si>
  <si>
    <t xml:space="preserve">ط.   إشراك الاحتياط عند الحاجة لتعزيز زخم الهجوم ومنع الهجمات المعاكسة للعدو واستغلال النجاح عند الحاجة. </t>
  </si>
  <si>
    <t>ي.   استدعاء مصادر الإدامة للأمام عند الحاجة.</t>
  </si>
  <si>
    <t>ك.   التثبت وإعادة التنظيم على الهدف.</t>
  </si>
  <si>
    <t xml:space="preserve">ل.   تنفيذ التحول حسب الخطة.   </t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</si>
  <si>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يعمل القادة في الكتيبة/ مجموعة القتال على فهم الموقف باستخدام كافة الوسائل المتوفرة.</t>
    </r>
  </si>
  <si>
    <r>
      <t>2.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 تستلم قيادة الكتيبة/ مجموعة القتال أمر العمليات من المستوى الأعلى ويتم القيام بما يلي:</t>
    </r>
  </si>
  <si>
    <r>
      <t>أ‌.</t>
    </r>
    <r>
      <rPr>
        <sz val="7"/>
        <color rgb="FF000000"/>
        <rFont val="Arial"/>
        <family val="2"/>
      </rPr>
      <t xml:space="preserve">      </t>
    </r>
    <r>
      <rPr>
        <sz val="12"/>
        <color rgb="FF000000"/>
        <rFont val="Arial"/>
        <family val="2"/>
      </rPr>
      <t xml:space="preserve">   البدء بإجراءات التخطيط من خلال إجراءات المعركة الثمانية.</t>
    </r>
  </si>
  <si>
    <r>
      <t>ب‌.</t>
    </r>
    <r>
      <rPr>
        <sz val="7"/>
        <color rgb="FF000000"/>
        <rFont val="Arial"/>
        <family val="2"/>
      </rPr>
      <t xml:space="preserve">    </t>
    </r>
    <r>
      <rPr>
        <sz val="12"/>
        <color rgb="FF000000"/>
        <rFont val="Arial"/>
        <family val="2"/>
      </rPr>
      <t xml:space="preserve"> تنفيذ الاستطلاع من الخارطة وتحديد ما يلي بشكل أولي:</t>
    </r>
  </si>
  <si>
    <r>
      <t>(1)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مناطق التجمع التعبوية للسرايا/ فرق القتال والوحدات المساندة.</t>
    </r>
  </si>
  <si>
    <r>
      <t>(2)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طرق الحركة لمنطقة التجمع.</t>
    </r>
  </si>
  <si>
    <r>
      <t>د.    تنظيم القوات المتوفرة وتجميعها لإنجاز المهمة وتخصيص الواجبات الرئيسة وكما يلي:</t>
    </r>
    <r>
      <rPr>
        <sz val="14"/>
        <color theme="1"/>
        <rFont val="Arial"/>
        <family val="2"/>
      </rPr>
      <t xml:space="preserve">  </t>
    </r>
  </si>
  <si>
    <r>
      <t>(1)</t>
    </r>
    <r>
      <rPr>
        <sz val="7"/>
        <color rgb="FF000000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النيران غير المباشرة:</t>
    </r>
  </si>
  <si>
    <r>
      <t>3.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إصدار أمر العمليات للوحدات المرؤوسة، وتقديم ايجازات تأكيدية من قبل القادة المرؤوسين للتأكد من أنهم يفهمون قصد القائد ومفهوم عملياته.</t>
    </r>
  </si>
  <si>
    <r>
      <t>1.</t>
    </r>
    <r>
      <rPr>
        <sz val="7"/>
        <color theme="1"/>
        <rFont val="Arial"/>
        <family val="2"/>
      </rPr>
      <t xml:space="preserve"> </t>
    </r>
    <r>
      <rPr>
        <sz val="12"/>
        <color rgb="FF000000"/>
        <rFont val="Arial"/>
        <family val="2"/>
      </rPr>
      <t xml:space="preserve">  تقوم الكتيبة/ مجموعة القتال بالتحضير والاستعداد للمهمة من خلال:</t>
    </r>
  </si>
  <si>
    <r>
      <t>(3)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الطرق المحتملة للهجوم المعاكس أو التعزيزات المعادية.</t>
    </r>
  </si>
  <si>
    <r>
      <t>2.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الإشراف على إجراءات المعركة للوحدات المرؤوسة لضمان أن التخطيط والتحضير يجري بطريقة صحيحة وتتفق مع قصد القائد.</t>
    </r>
  </si>
  <si>
    <r>
      <t>3.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تنفيذ التجارب أثناء النهار وفي فترات الرؤية المحدودة إذا أمكن.</t>
    </r>
  </si>
  <si>
    <r>
      <t>4.</t>
    </r>
    <r>
      <rPr>
        <sz val="7"/>
        <color rgb="FF000000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توضيع القوات للحركة.</t>
    </r>
  </si>
  <si>
    <r>
      <t>1.</t>
    </r>
    <r>
      <rPr>
        <sz val="7"/>
        <color theme="1"/>
        <rFont val="Arial"/>
        <family val="2"/>
      </rPr>
      <t xml:space="preserve">  </t>
    </r>
    <r>
      <rPr>
        <sz val="12"/>
        <color rgb="FF000000"/>
        <rFont val="Arial"/>
        <family val="2"/>
      </rPr>
      <t xml:space="preserve">  تنفذ الكتيبة/ مجموعة القتال الهجوم وتقوم بالإجراءات التالية:</t>
    </r>
  </si>
  <si>
    <t>( أ )    تخطيط النيران لإسناد جهد الاستطلاع.</t>
  </si>
  <si>
    <t>( أ )   تحديد واجبات قابلية الحركة الضرورية في منطقة عمليات الكتيبة/ مجموعة القتال وعلى طول ممرات الحركة وحتى الأهداف.</t>
  </si>
  <si>
    <r>
      <rPr>
        <b/>
        <sz val="14"/>
        <color rgb="FF000000"/>
        <rFont val="Arial"/>
        <family val="2"/>
      </rPr>
      <t>تقييم الكتيبة/ مجموعة القتال في تنفيذ الهجوم (المدبر)</t>
    </r>
    <r>
      <rPr>
        <b/>
        <u/>
        <sz val="14"/>
        <color rgb="FF000000"/>
        <rFont val="Arial"/>
        <family val="2"/>
      </rPr>
      <t xml:space="preserve">
تمرين جاهزية مجموعة لواء الإمارات/1 (جندي الصحراء 2025/20)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</si>
</sst>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C0000]d\ mmmm\ yyyy;@"/>
  </numFmts>
  <fonts count="19" x14ac:knownFonts="1">
    <font>
      <sz val="11"/>
      <color theme="1"/>
      <name val="Calibri"/>
      <family val="2"/>
      <scheme val="minor"/>
    </font>
    <font>
      <b/>
      <u/>
      <sz val="12"/>
      <color rgb="FF000000"/>
      <name val="Arial"/>
      <family val="2"/>
    </font>
    <font>
      <b/>
      <sz val="12"/>
      <color rgb="FF000000"/>
      <name val="Arial"/>
      <family val="2"/>
    </font>
    <font>
      <b/>
      <sz val="12"/>
      <color theme="1"/>
      <name val="Arial"/>
      <family val="2"/>
    </font>
    <font>
      <sz val="14"/>
      <color rgb="FF000000"/>
      <name val="Calibri"/>
      <family val="2"/>
      <scheme val="minor"/>
    </font>
    <font>
      <b/>
      <u/>
      <sz val="14"/>
      <color rgb="FF000000"/>
      <name val="Arial"/>
      <family val="2"/>
    </font>
    <font>
      <b/>
      <sz val="14"/>
      <color rgb="FF000000"/>
      <name val="Arial"/>
      <family val="2"/>
    </font>
    <font>
      <b/>
      <sz val="14"/>
      <color theme="1"/>
      <name val="Arial"/>
      <family val="2"/>
    </font>
    <font>
      <sz val="14"/>
      <color rgb="FF000000"/>
      <name val="Arial"/>
      <family val="2"/>
    </font>
    <font>
      <sz val="16"/>
      <color theme="1"/>
      <name val="Arial"/>
      <family val="2"/>
    </font>
    <font>
      <b/>
      <sz val="12"/>
      <color theme="1"/>
      <name val="Calibri"/>
      <family val="2"/>
      <scheme val="minor"/>
    </font>
    <font>
      <b/>
      <sz val="12"/>
      <name val="Arial"/>
      <family val="2"/>
    </font>
    <font>
      <b/>
      <sz val="12"/>
      <name val="Calibri"/>
      <family val="2"/>
      <scheme val="minor"/>
    </font>
    <font>
      <sz val="12"/>
      <color rgb="FF000000"/>
      <name val="Arial"/>
      <family val="2"/>
    </font>
    <font>
      <sz val="14"/>
      <color theme="1"/>
      <name val="Arial"/>
      <family val="2"/>
    </font>
    <font>
      <sz val="10"/>
      <color theme="1"/>
      <name val="Arial"/>
      <family val="2"/>
    </font>
    <font>
      <sz val="7"/>
      <color theme="1"/>
      <name val="Arial"/>
      <family val="2"/>
    </font>
    <font>
      <sz val="7"/>
      <color rgb="FF000000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27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0" borderId="0" xfId="0" applyProtection="1">
      <protection locked="0"/>
    </xf>
    <xf numFmtId="0" fontId="4" fillId="0" borderId="2" xfId="0" applyFont="1" applyBorder="1" applyAlignment="1" applyProtection="1">
      <alignment horizontal="center" vertical="center" wrapText="1" readingOrder="2"/>
      <protection locked="0"/>
    </xf>
    <xf numFmtId="0" fontId="0" fillId="0" borderId="0" xfId="0" applyAlignment="1" applyProtection="1">
      <alignment horizontal="center"/>
      <protection locked="0"/>
    </xf>
    <xf numFmtId="0" fontId="2" fillId="2" borderId="0" xfId="0" applyFont="1" applyFill="1" applyBorder="1" applyAlignment="1" applyProtection="1">
      <alignment vertical="center" wrapText="1" readingOrder="2"/>
      <protection locked="0"/>
    </xf>
    <xf numFmtId="0" fontId="1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Alignment="1" applyProtection="1">
      <alignment vertical="center" wrapText="1" readingOrder="2"/>
      <protection locked="0"/>
    </xf>
    <xf numFmtId="0" fontId="6" fillId="0" borderId="0" xfId="0" applyFont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3" xfId="0" applyFont="1" applyBorder="1" applyAlignment="1">
      <alignment horizontal="center" vertical="center" wrapText="1" readingOrder="2"/>
    </xf>
    <xf numFmtId="0" fontId="3" fillId="2" borderId="0" xfId="0" applyFont="1" applyFill="1" applyBorder="1" applyAlignment="1" applyProtection="1">
      <alignment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3" xfId="0" applyFont="1" applyFill="1" applyBorder="1" applyAlignment="1" applyProtection="1">
      <alignment vertical="center" wrapText="1" readingOrder="2"/>
      <protection locked="0"/>
    </xf>
    <xf numFmtId="164" fontId="4" fillId="0" borderId="2" xfId="0" applyNumberFormat="1" applyFont="1" applyBorder="1" applyAlignment="1" applyProtection="1">
      <alignment horizontal="center" vertical="center" wrapText="1" readingOrder="2"/>
      <protection locked="0"/>
    </xf>
    <xf numFmtId="164" fontId="4" fillId="0" borderId="0" xfId="0" applyNumberFormat="1" applyFont="1" applyBorder="1" applyAlignment="1" applyProtection="1">
      <alignment horizontal="center" vertical="center" wrapText="1" readingOrder="2"/>
      <protection locked="0"/>
    </xf>
    <xf numFmtId="164" fontId="4" fillId="3" borderId="0" xfId="0" applyNumberFormat="1" applyFont="1" applyFill="1" applyBorder="1" applyAlignment="1" applyProtection="1">
      <alignment horizontal="center" vertical="center" wrapText="1" readingOrder="2"/>
      <protection locked="0"/>
    </xf>
    <xf numFmtId="0" fontId="0" fillId="3" borderId="0" xfId="0" applyFill="1" applyProtection="1">
      <protection locked="0"/>
    </xf>
    <xf numFmtId="0" fontId="0" fillId="3" borderId="0" xfId="0" applyFill="1"/>
    <xf numFmtId="0" fontId="4" fillId="0" borderId="0" xfId="0" applyFont="1" applyBorder="1" applyAlignment="1" applyProtection="1">
      <alignment horizontal="center" vertical="center" wrapText="1" readingOrder="2"/>
      <protection locked="0"/>
    </xf>
    <xf numFmtId="0" fontId="9" fillId="0" borderId="3" xfId="0" applyFont="1" applyBorder="1" applyAlignment="1">
      <alignment horizontal="center" vertical="center"/>
    </xf>
    <xf numFmtId="0" fontId="10" fillId="0" borderId="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/>
    </xf>
    <xf numFmtId="0" fontId="3" fillId="0" borderId="3" xfId="0" applyFont="1" applyFill="1" applyBorder="1" applyAlignment="1">
      <alignment horizontal="center" vertical="center"/>
    </xf>
    <xf numFmtId="0" fontId="1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2" fillId="0" borderId="20" xfId="0" applyFont="1" applyBorder="1" applyAlignment="1">
      <alignment horizontal="center" vertical="center" wrapText="1" readingOrder="2"/>
    </xf>
    <xf numFmtId="9" fontId="3" fillId="0" borderId="3" xfId="0" applyNumberFormat="1" applyFont="1" applyBorder="1" applyAlignment="1">
      <alignment horizontal="center" vertical="center" wrapText="1" readingOrder="2"/>
    </xf>
    <xf numFmtId="0" fontId="2" fillId="0" borderId="3" xfId="0" applyFont="1" applyBorder="1" applyAlignment="1">
      <alignment horizontal="center" vertical="center" wrapText="1" readingOrder="1"/>
    </xf>
    <xf numFmtId="0" fontId="2" fillId="0" borderId="3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 readingOrder="2"/>
    </xf>
    <xf numFmtId="9" fontId="3" fillId="0" borderId="12" xfId="0" applyNumberFormat="1" applyFont="1" applyBorder="1" applyAlignment="1">
      <alignment horizontal="center" vertical="center" wrapText="1" readingOrder="2"/>
    </xf>
    <xf numFmtId="0" fontId="2" fillId="0" borderId="12" xfId="0" applyFont="1" applyBorder="1" applyAlignment="1">
      <alignment horizontal="center" vertical="center" wrapText="1" readingOrder="1"/>
    </xf>
    <xf numFmtId="0" fontId="2" fillId="0" borderId="12" xfId="0" applyFont="1" applyBorder="1" applyAlignment="1">
      <alignment horizontal="center" vertical="center" wrapText="1"/>
    </xf>
    <xf numFmtId="0" fontId="15" fillId="0" borderId="3" xfId="0" applyFont="1" applyBorder="1" applyAlignment="1">
      <alignment vertical="center" wrapText="1"/>
    </xf>
    <xf numFmtId="0" fontId="18" fillId="0" borderId="3" xfId="0" applyFont="1" applyBorder="1" applyAlignment="1">
      <alignment horizontal="center" vertical="center" wrapText="1"/>
    </xf>
    <xf numFmtId="0" fontId="3" fillId="0" borderId="3" xfId="0" applyFont="1" applyBorder="1" applyAlignment="1" applyProtection="1">
      <alignment horizontal="center" vertical="center" wrapText="1" readingOrder="2"/>
      <protection locked="0"/>
    </xf>
    <xf numFmtId="0" fontId="3" fillId="0" borderId="7" xfId="0" applyFont="1" applyBorder="1" applyAlignment="1" applyProtection="1">
      <alignment horizontal="center" vertical="center" wrapText="1" readingOrder="2"/>
      <protection locked="0"/>
    </xf>
    <xf numFmtId="0" fontId="3" fillId="0" borderId="12" xfId="0" applyFont="1" applyBorder="1" applyAlignment="1" applyProtection="1">
      <alignment horizontal="center" vertical="center" wrapText="1" readingOrder="2"/>
      <protection locked="0"/>
    </xf>
    <xf numFmtId="0" fontId="3" fillId="0" borderId="13" xfId="0" applyFont="1" applyBorder="1" applyAlignment="1" applyProtection="1">
      <alignment horizontal="center" vertical="center" wrapText="1" readingOrder="2"/>
      <protection locked="0"/>
    </xf>
    <xf numFmtId="0" fontId="6" fillId="0" borderId="1" xfId="0" applyFont="1" applyBorder="1" applyAlignment="1" applyProtection="1">
      <alignment horizontal="left" vertical="center" wrapText="1" readingOrder="2"/>
      <protection locked="0"/>
    </xf>
    <xf numFmtId="0" fontId="6" fillId="0" borderId="0" xfId="0" applyFont="1" applyAlignment="1" applyProtection="1">
      <alignment horizontal="left" vertical="center" wrapText="1" readingOrder="2"/>
      <protection locked="0"/>
    </xf>
    <xf numFmtId="0" fontId="2" fillId="0" borderId="21" xfId="0" applyFont="1" applyBorder="1" applyAlignment="1">
      <alignment horizontal="center" vertical="center" wrapText="1" readingOrder="2"/>
    </xf>
    <xf numFmtId="0" fontId="2" fillId="0" borderId="15" xfId="0" applyFont="1" applyBorder="1" applyAlignment="1">
      <alignment horizontal="center" vertical="center" wrapText="1" readingOrder="2"/>
    </xf>
    <xf numFmtId="0" fontId="2" fillId="0" borderId="22" xfId="0" applyFont="1" applyBorder="1" applyAlignment="1">
      <alignment horizontal="center" vertical="center" wrapText="1" readingOrder="2"/>
    </xf>
    <xf numFmtId="49" fontId="5" fillId="0" borderId="0" xfId="0" applyNumberFormat="1" applyFont="1" applyAlignment="1" applyProtection="1">
      <alignment horizontal="center" vertical="top" wrapText="1" readingOrder="2"/>
      <protection locked="0"/>
    </xf>
    <xf numFmtId="164" fontId="6" fillId="0" borderId="3" xfId="0" applyNumberFormat="1" applyFont="1" applyBorder="1" applyAlignment="1" applyProtection="1">
      <alignment horizontal="right" vertical="center" wrapText="1" readingOrder="2"/>
      <protection locked="0"/>
    </xf>
    <xf numFmtId="0" fontId="7" fillId="4" borderId="5" xfId="0" applyFont="1" applyFill="1" applyBorder="1" applyAlignment="1" applyProtection="1">
      <alignment horizontal="center" vertical="center" wrapText="1" readingOrder="2"/>
      <protection locked="0"/>
    </xf>
    <xf numFmtId="0" fontId="7" fillId="4" borderId="4" xfId="0" applyFont="1" applyFill="1" applyBorder="1" applyAlignment="1" applyProtection="1">
      <alignment horizontal="center" vertical="center" wrapText="1" readingOrder="2"/>
      <protection locked="0"/>
    </xf>
    <xf numFmtId="0" fontId="7" fillId="4" borderId="11" xfId="0" applyFont="1" applyFill="1" applyBorder="1" applyAlignment="1" applyProtection="1">
      <alignment horizontal="center" vertical="center" wrapText="1" readingOrder="2"/>
      <protection locked="0"/>
    </xf>
    <xf numFmtId="0" fontId="7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0" borderId="3" xfId="0" applyFont="1" applyBorder="1" applyAlignment="1" applyProtection="1">
      <alignment horizontal="right" vertical="center" wrapText="1" readingOrder="2"/>
      <protection locked="0"/>
    </xf>
    <xf numFmtId="10" fontId="2" fillId="0" borderId="9" xfId="0" applyNumberFormat="1" applyFont="1" applyBorder="1" applyAlignment="1">
      <alignment horizontal="center" vertical="center" wrapText="1" readingOrder="2"/>
    </xf>
    <xf numFmtId="10" fontId="2" fillId="0" borderId="10" xfId="0" applyNumberFormat="1" applyFont="1" applyBorder="1" applyAlignment="1">
      <alignment horizontal="center" vertical="center" wrapText="1" readingOrder="2"/>
    </xf>
    <xf numFmtId="0" fontId="7" fillId="4" borderId="16" xfId="0" applyFont="1" applyFill="1" applyBorder="1" applyAlignment="1" applyProtection="1">
      <alignment horizontal="center" vertical="center" wrapText="1" readingOrder="2"/>
      <protection locked="0"/>
    </xf>
    <xf numFmtId="0" fontId="7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4" xfId="0" applyFont="1" applyFill="1" applyBorder="1" applyAlignment="1" applyProtection="1">
      <alignment horizontal="center" vertical="center" wrapText="1" readingOrder="2"/>
      <protection locked="0"/>
    </xf>
    <xf numFmtId="0" fontId="6" fillId="4" borderId="6" xfId="0" applyFont="1" applyFill="1" applyBorder="1" applyAlignment="1" applyProtection="1">
      <alignment horizontal="center" vertical="center" wrapText="1" readingOrder="2"/>
      <protection locked="0"/>
    </xf>
    <xf numFmtId="0" fontId="6" fillId="4" borderId="12" xfId="0" applyFont="1" applyFill="1" applyBorder="1" applyAlignment="1" applyProtection="1">
      <alignment horizontal="center" vertical="center" wrapText="1" readingOrder="2"/>
      <protection locked="0"/>
    </xf>
    <xf numFmtId="0" fontId="6" fillId="4" borderId="13" xfId="0" applyFont="1" applyFill="1" applyBorder="1" applyAlignment="1" applyProtection="1">
      <alignment horizontal="center" vertical="center" wrapText="1" readingOrder="2"/>
      <protection locked="0"/>
    </xf>
    <xf numFmtId="0" fontId="6" fillId="4" borderId="17" xfId="0" applyFont="1" applyFill="1" applyBorder="1" applyAlignment="1" applyProtection="1">
      <alignment horizontal="center" vertical="center" wrapText="1" readingOrder="2"/>
      <protection locked="0"/>
    </xf>
    <xf numFmtId="0" fontId="6" fillId="4" borderId="18" xfId="0" applyFont="1" applyFill="1" applyBorder="1" applyAlignment="1" applyProtection="1">
      <alignment horizontal="center" vertical="center" wrapText="1" readingOrder="2"/>
      <protection locked="0"/>
    </xf>
    <xf numFmtId="0" fontId="5" fillId="0" borderId="1" xfId="0" applyFont="1" applyBorder="1" applyAlignment="1" applyProtection="1">
      <alignment vertical="top" wrapText="1" readingOrder="2"/>
      <protection locked="0"/>
    </xf>
    <xf numFmtId="0" fontId="5" fillId="0" borderId="0" xfId="0" applyFont="1" applyBorder="1" applyAlignment="1" applyProtection="1">
      <alignment vertical="top" wrapText="1" readingOrder="2"/>
      <protection locked="0"/>
    </xf>
    <xf numFmtId="0" fontId="6" fillId="0" borderId="0" xfId="0" applyFont="1" applyBorder="1" applyAlignment="1" applyProtection="1">
      <alignment horizontal="right" vertical="center" wrapText="1" readingOrder="2"/>
      <protection locked="0"/>
    </xf>
    <xf numFmtId="0" fontId="6" fillId="0" borderId="0" xfId="0" applyFont="1" applyAlignment="1" applyProtection="1">
      <alignment horizontal="center" vertical="center" wrapText="1" readingOrder="2"/>
      <protection locked="0"/>
    </xf>
    <xf numFmtId="0" fontId="2" fillId="0" borderId="9" xfId="0" applyFont="1" applyBorder="1" applyAlignment="1">
      <alignment horizontal="center" vertical="center" wrapText="1" readingOrder="1"/>
    </xf>
    <xf numFmtId="0" fontId="2" fillId="0" borderId="10" xfId="0" applyFont="1" applyBorder="1" applyAlignment="1">
      <alignment horizontal="center" vertical="center" wrapText="1" readingOrder="1"/>
    </xf>
    <xf numFmtId="0" fontId="6" fillId="4" borderId="19" xfId="0" applyFont="1" applyFill="1" applyBorder="1" applyAlignment="1" applyProtection="1">
      <alignment horizontal="center" vertical="center" wrapText="1" readingOrder="2"/>
      <protection locked="0"/>
    </xf>
    <xf numFmtId="0" fontId="6" fillId="4" borderId="20" xfId="0" applyFont="1" applyFill="1" applyBorder="1" applyAlignment="1" applyProtection="1">
      <alignment horizontal="center" vertical="center" wrapText="1" readingOrder="2"/>
      <protection locked="0"/>
    </xf>
    <xf numFmtId="0" fontId="6" fillId="4" borderId="8" xfId="0" applyFont="1" applyFill="1" applyBorder="1" applyAlignment="1" applyProtection="1">
      <alignment horizontal="center" vertical="center" wrapText="1" readingOrder="2"/>
      <protection locked="0"/>
    </xf>
    <xf numFmtId="0" fontId="6" fillId="4" borderId="9" xfId="0" applyFont="1" applyFill="1" applyBorder="1" applyAlignment="1" applyProtection="1">
      <alignment horizontal="center" vertical="center" wrapText="1" readingOrder="2"/>
      <protection locked="0"/>
    </xf>
    <xf numFmtId="0" fontId="14" fillId="0" borderId="23" xfId="0" applyFont="1" applyBorder="1" applyAlignment="1">
      <alignment horizontal="right" vertical="center" wrapText="1" indent="1" readingOrder="2"/>
    </xf>
    <xf numFmtId="0" fontId="14" fillId="0" borderId="3" xfId="0" applyFont="1" applyBorder="1" applyAlignment="1">
      <alignment horizontal="right" vertical="center" wrapText="1" indent="1" readingOrder="2"/>
    </xf>
    <xf numFmtId="0" fontId="13" fillId="0" borderId="23" xfId="0" applyFont="1" applyBorder="1" applyAlignment="1">
      <alignment horizontal="right" vertical="center" wrapText="1" indent="3" readingOrder="2"/>
    </xf>
    <xf numFmtId="0" fontId="13" fillId="0" borderId="3" xfId="0" applyFont="1" applyBorder="1" applyAlignment="1">
      <alignment horizontal="right" vertical="center" wrapText="1" indent="3" readingOrder="2"/>
    </xf>
    <xf numFmtId="0" fontId="13" fillId="0" borderId="23" xfId="0" applyFont="1" applyBorder="1" applyAlignment="1">
      <alignment horizontal="right" vertical="center" wrapText="1" indent="5" readingOrder="2"/>
    </xf>
    <xf numFmtId="0" fontId="13" fillId="0" borderId="3" xfId="0" applyFont="1" applyBorder="1" applyAlignment="1">
      <alignment horizontal="right" vertical="center" wrapText="1" indent="5" readingOrder="2"/>
    </xf>
    <xf numFmtId="0" fontId="13" fillId="0" borderId="23" xfId="0" applyFont="1" applyBorder="1" applyAlignment="1">
      <alignment horizontal="right" vertical="center" wrapText="1" indent="7" readingOrder="2"/>
    </xf>
    <xf numFmtId="0" fontId="13" fillId="0" borderId="3" xfId="0" applyFont="1" applyBorder="1" applyAlignment="1">
      <alignment horizontal="right" vertical="center" wrapText="1" indent="7" readingOrder="2"/>
    </xf>
    <xf numFmtId="0" fontId="13" fillId="0" borderId="23" xfId="0" applyFont="1" applyBorder="1" applyAlignment="1">
      <alignment horizontal="right" vertical="center" wrapText="1" indent="1" readingOrder="2"/>
    </xf>
    <xf numFmtId="0" fontId="13" fillId="0" borderId="3" xfId="0" applyFont="1" applyBorder="1" applyAlignment="1">
      <alignment horizontal="right" vertical="center" wrapText="1" indent="1" readingOrder="2"/>
    </xf>
    <xf numFmtId="0" fontId="14" fillId="0" borderId="11" xfId="0" applyFont="1" applyBorder="1" applyAlignment="1">
      <alignment horizontal="right" vertical="center" wrapText="1" indent="1" readingOrder="2"/>
    </xf>
    <xf numFmtId="0" fontId="14" fillId="0" borderId="12" xfId="0" applyFont="1" applyBorder="1" applyAlignment="1">
      <alignment horizontal="right" vertical="center" wrapText="1" indent="1" readingOrder="2"/>
    </xf>
    <xf numFmtId="0" fontId="13" fillId="0" borderId="11" xfId="0" applyFont="1" applyBorder="1" applyAlignment="1">
      <alignment horizontal="right" vertical="center" wrapText="1" indent="1" readingOrder="2"/>
    </xf>
    <xf numFmtId="0" fontId="13" fillId="0" borderId="12" xfId="0" applyFont="1" applyBorder="1" applyAlignment="1">
      <alignment horizontal="right" vertical="center" wrapText="1" indent="1" readingOrder="2"/>
    </xf>
    <xf numFmtId="0" fontId="1" fillId="5" borderId="24" xfId="0" applyFont="1" applyFill="1" applyBorder="1" applyAlignment="1">
      <alignment horizontal="right" vertical="center" wrapText="1" indent="1" readingOrder="2"/>
    </xf>
    <xf numFmtId="0" fontId="1" fillId="5" borderId="25" xfId="0" applyFont="1" applyFill="1" applyBorder="1" applyAlignment="1">
      <alignment horizontal="right" vertical="center" wrapText="1" indent="1" readingOrder="2"/>
    </xf>
    <xf numFmtId="0" fontId="1" fillId="5" borderId="26" xfId="0" applyFont="1" applyFill="1" applyBorder="1" applyAlignment="1">
      <alignment horizontal="right" vertical="center" wrapText="1" indent="1" readingOrder="2"/>
    </xf>
  </cellXfs>
  <cellStyles count="1">
    <cellStyle name="Normal" xfId="0" builtinId="0"/>
  </cellStyles>
  <dxfs count="24">
    <dxf>
      <font>
        <color theme="0"/>
      </font>
      <fill>
        <patternFill>
          <bgColor rgb="FFFF0000"/>
        </patternFill>
      </fill>
    </dxf>
    <dxf>
      <fill>
        <patternFill>
          <bgColor theme="5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CC00"/>
        </patternFill>
      </fill>
    </dxf>
    <dxf>
      <font>
        <color theme="1"/>
      </font>
      <fill>
        <patternFill>
          <bgColor rgb="FF00B0F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rgb="FF00B0F0"/>
        </patternFill>
      </fill>
    </dxf>
    <dxf>
      <fill>
        <patternFill>
          <bgColor rgb="FF00CC00"/>
        </patternFill>
      </fill>
    </dxf>
    <dxf>
      <fill>
        <patternFill>
          <bgColor rgb="FFFFFF00"/>
        </patternFill>
      </fill>
    </dxf>
    <dxf>
      <fill>
        <patternFill>
          <bgColor theme="5" tint="0.39994506668294322"/>
        </patternFill>
      </fill>
    </dxf>
    <dxf>
      <font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  <fill>
        <patternFill>
          <bgColor theme="8"/>
        </patternFill>
      </fill>
    </dxf>
    <dxf>
      <font>
        <b/>
        <i val="0"/>
        <color theme="1"/>
      </font>
      <fill>
        <patternFill>
          <bgColor rgb="FFFF9933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339933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color rgb="FFFF0000"/>
      </font>
    </dxf>
    <dxf>
      <font>
        <color rgb="FFFF0000"/>
      </font>
    </dxf>
  </dxfs>
  <tableStyles count="0" defaultTableStyle="TableStyleMedium2" defaultPivotStyle="PivotStyleLight16"/>
  <colors>
    <mruColors>
      <color rgb="FFFF9933"/>
      <color rgb="FF00CC00"/>
      <color rgb="FF33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 /><Relationship Id="rId1" Type="http://schemas.openxmlformats.org/officeDocument/2006/relationships/customXml" Target="../ink/ink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571065</xdr:colOff>
      <xdr:row>74</xdr:row>
      <xdr:rowOff>39320</xdr:rowOff>
    </xdr:from>
    <xdr:to>
      <xdr:col>9</xdr:col>
      <xdr:colOff>406154</xdr:colOff>
      <xdr:row>77</xdr:row>
      <xdr:rowOff>105063</xdr:rowOff>
    </xdr:to>
    <mc:AlternateContent xmlns:mc="http://schemas.openxmlformats.org/markup-compatibility/2006">
      <mc:Choice xmlns:xdr14="http://schemas.microsoft.com/office/excel/2010/spreadsheetDrawing" Requires="xdr14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9D5B7083-4627-A1AC-E65D-4C0C1DBF236F}"/>
                </a:ext>
              </a:extLst>
            </xdr14:cNvPr>
            <xdr14:cNvContentPartPr/>
          </xdr14:nvContentPartPr>
          <xdr14:nvPr macro=""/>
          <xdr14:xfrm>
            <a:off x="10398180665" y="36742320"/>
            <a:ext cx="1809360" cy="1433880"/>
          </xdr14:xfrm>
        </xdr:contentPart>
      </mc:Choice>
      <mc:Fallback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9D5B7083-4627-A1AC-E65D-4C0C1DBF236F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0398172025" y="36733680"/>
              <a:ext cx="1827000" cy="145152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10-27T18:55:11.060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4037 3982 19284,'0'0'0,"7"0"2352,5-4-1784,-12 4-568,5-4 184,-2 0-16,1 1-64,-1 0 176,-3 3-280,2 0 176,3-3-96,-5 3 72,0 0-224,0 0 72,2-3 32,-2 3 32,0-3-144,-2 0 120,2 3-40,-5-4 56,0-7 9,1 8 47,-6-8 40,10 11-152,-5-5 104,-7-12-8,12 6 96,-12-3-56,12 14-136,-12-15 112,0-2 96,-2 2-24,9-5 24,5 20-208,-17-21 304,12-2 8,-9-1 112,-1-2-64,15 26-360,-5-27 392,-11-3 8,4-2-72,-3-1 112,15 33-440,-12-34 321,-2 0 23,4-1-160,-2 1-32,12 34-152,-17-34 176,-2-1-112,5-2-40,-11 1 40,25 36-64,-14-38-616,-5 2 544,0 1 96,2-2-8,17 37-16,-15-36 752,3 1-616,-2 1 96,2 2-128,12 32-104,-12-30 120,0 2-88,7 1-48,-14 0 0,19 27 16,-12-24-8,0 0-72,0 0 16,0 2 112,12 22-48,-15-21-16,6 1 48,-3-1 32,7 1-24,5 20-40,-15-20 64,13 1 184,-10 4-64,7-1 0,5 16-184,-2-13 232,-3 1-136,2 0-8,-1 1-40,4 11-48,-5-4 16,2-8 48,3 9-112,-2-1 16,2 4 32,-5-11-120,3 11 8,-1-3 128,3 0-112,0 3 96,0 0 16,0-3-104,-4 3 88,4 0 16,0 0-16,0 0 72,0 0 24,0 0-112,0 0 96,0 0-312,0 0 432,2 0-184,0 0-112,3-3 208,-5 3-112,5 0 72,0 0 40,9-3-64,-4 1-144,-10 2 96,17-3-80,4-2-40,8-6 304,0 7-216,-29 4 32,36-16 64,10 2-184,-3-2-56,10 1 40,-53 15 136,53-17-128,5-2 192,2 1-128,7-1-40,-67 19 104,70-20-48,2 2-184,7-1-680,-6 1 808,-73 18 104,79-17-152,-9 3 320,-3 1 768,-4 9-904,-63 4-32,57-13 160,3 10-24,-11 0-152,4-1 216,-53 4-200,45-3 32,-6 3-16,2 0 72,-13 0 120,-28 0-208,29 1 72,-5 2-72,-7 0-24,-2 1-168,-15-4 192,12 5 0,-12-1-152,0-1 8,0 0-208,0-3 352,-3 2-184,1 3 16,-13 7-56,-4 0 144,19-12 80,-29 17-208,-4 3 368,-8 4 176,-7 2 160,48-26-496,-56 28 384,-11 0-280,-8 5 120,-6 1 8,81-34-232,-87 36 88,-2 4-8,-10-1-280,-2 5 56,101-44 144,-101 46-200,-2-1 120,0 2 48,-1-1-136,104-46 168,-103 45 80,-1 2-32,3-1-16,3 2-80,98-48 48,-97 48 48,4 2-176,4 0-560,2-3 592,87-47 96,-89 45-232,7-2 296,-2-3 520,7 0-464,77-40-120,-72 36 96,2-3-240,8-4 8,9-5 200,53-24-64,-46 21 48,5-4 120,10-4-48,4-7 24,27-6-144,-19 5 0,17-2 40,-3-1 72,3-2-96,2 0-16,0 0 48,12-12-64,2 1 0,8-6-48,-22 17 64,31-22-96,5-5-120,5-1 144,5-5-96,-46 33 168,48-31 8,0-3 88,5 0-216,-5-2 8,-48 36 112,50-34 128,1-1-88,-1 2 128,1 2 160,-51 31-328,46-29 64,-8 2 120,-4 3-56,-8 3-96,-26 21-32,22-19-32,-8 4-64,-9 3 112,0 8-32,-5 4 16,0-11 80,0 11 16,-17-5-192,0 1-64,17 4 160,-19-3-72,-10 3-8,0 0 80,-12 4-16,41-4 16,-43 15 0,-5-1 48,-3 4 56,6 1 56,45-19-160,-46 21 128,0-1-112,5 1-80,5-1-48,36-20 112,-33 16-696,9-2 144,0-1 48,9-2-72,15-11 576,-12 5-88,10 6-48,-1-10 0,3 1 80,0-2 56,0 0-16,0 0-72,8 0 56,8 0 424,-16 0-392,17-3 16,-2-1 520,6-9-16,1 9-264,-22 4-256,24-16 632,0 5-336,-5-1-112,8-1-120,-27 13-64,19-4 80,0-13-144,-2 13 80,-5-7-32,-12 11 16,12-3 0,-7 0 16,7 0 216,-12 0-216,0 3-16,2 0 96,-2 0-64,0 0-128,0 0 192,0 0-96,0 0 80,0 0 40,0 0-136,0 0 96,0 0-344,0 0 576,0 0-264,3 0 0,-3 0-64,0 0 16,0 0-48,0 0 192,0 0-64,0 0-256,0 0 496,0 0-192,0 0-176,0 0 128,0 0-560,0 0 1008,0 0-464,0-3 0,0 3-64,0 0-48,2-3 48,-2 1 128,3 2-63,-3 0-65,0-3 0,4 0-17,-4 3 1,3-3-16,-3 3 32,2-3 48,3 3-31,-5 0-17,5-3 0,-5 3 0,0-2 0,0 2 0,0 0 0,0-3 0,-3 0 0,3 3 0,-2 0 0,-3-3 0,5 3 0,0 0 0,0 0 0,0 0 0,0-3 0,0 3 0,0 0 0,0-3 0,0 3 0,-5 0 0,3-3 0,0 1 0,-3-1 0,5 3 0,-10-4 0,-4-8 0,-3 8 0,-2-13 0,19 17 0,-29-12 0,-5 1 0,-9-3 0,-5 0 0,48 14 0,-60-16 0,-10-1-97,-5 0-351,-11-2 656,86 19-208,-97-19 112,-11-4 80,-10-1-159,-4-3-33,122 27 0,-135-34-385,-5-2 353,-4-5 16,-7-5 48,151 46-32,-147-47 401,0-5-578,73 23 49,-18-9-80,92 38 208,-84-43-432,-12-11 384,9-3 240,-14-14 192,101 71-384,-86-76 417,-3-18-417,16-6 0,21-8 0,52 108 0,-34-116 0,17-7 0,22-5 0,31-4 0,-36 132 0,53-136 0,24 1 0,115-115 0,25 38 0,-217 212 0,228-168-209,-19 46-207,-4 27 528,11 11 352,-216 84-464,224-69 16,5 13 17,4 13-33,0 16 0,-233 27 0,234-4 0,-4 7 0,-11 29 0,-7 14 0,-212-46 0,195 59-177,-15 15-159,-19 10 48,-19 13 24,-142-97 264,123 109-320,-24 8 120,-22 14 232,-17 4 392,-60-135-424,38 140 264,-16 7-232,-20 4-344,-21 8-16,19-159 328,-51 167-144,-18 7 272,-28-1 328,-16 5-440,113-178-16,-134 179-176,-27 2 208,-17-5-16,-24-8 0,202-168-16,-205 160-128,-11-9-512,-11-7-312,-3-12 56,230-132 896,-231 116-1177,2-19-1911,-2 7-8315,10-39 1329,221-65 10074</inkml:trace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D0DF2-5DCE-4624-B909-68D4EC5F2664}">
  <sheetPr codeName="Sheet1">
    <pageSetUpPr fitToPage="1"/>
  </sheetPr>
  <dimension ref="A1:J76"/>
  <sheetViews>
    <sheetView rightToLeft="1" tabSelected="1" view="pageBreakPreview" topLeftCell="C64" zoomScale="130" zoomScaleNormal="100" zoomScaleSheetLayoutView="130" workbookViewId="0">
      <selection activeCell="G76" sqref="G76:J76"/>
    </sheetView>
  </sheetViews>
  <sheetFormatPr defaultColWidth="9.01171875" defaultRowHeight="15" x14ac:dyDescent="0.2"/>
  <cols>
    <col min="1" max="1" width="5.109375" style="1" customWidth="1"/>
    <col min="2" max="2" width="12.10546875" style="1" customWidth="1"/>
    <col min="3" max="3" width="9.01171875" style="1"/>
    <col min="4" max="4" width="28.11328125" style="1" customWidth="1"/>
    <col min="5" max="7" width="9.28125" style="1" customWidth="1"/>
    <col min="8" max="8" width="9.28125" style="3" customWidth="1"/>
    <col min="9" max="9" width="9.28125" style="1" customWidth="1"/>
    <col min="10" max="10" width="15.46875" style="1" customWidth="1"/>
    <col min="11" max="16384" width="9.01171875" style="1"/>
  </cols>
  <sheetData>
    <row r="1" spans="1:10" ht="45" customHeight="1" x14ac:dyDescent="0.2">
      <c r="B1" s="48" t="s">
        <v>240</v>
      </c>
      <c r="C1" s="48"/>
      <c r="D1" s="48"/>
      <c r="E1" s="48"/>
      <c r="F1" s="48"/>
      <c r="G1" s="48"/>
      <c r="H1" s="48"/>
      <c r="I1" s="48"/>
      <c r="J1" s="48"/>
    </row>
    <row r="2" spans="1:10" ht="30" customHeight="1" x14ac:dyDescent="0.2">
      <c r="B2" s="12" t="s">
        <v>8</v>
      </c>
      <c r="C2" s="54" t="s">
        <v>38</v>
      </c>
      <c r="D2" s="54"/>
      <c r="E2" s="12" t="s">
        <v>7</v>
      </c>
      <c r="F2" s="49">
        <v>45957</v>
      </c>
      <c r="G2" s="49"/>
      <c r="H2" s="49"/>
      <c r="I2" s="49"/>
      <c r="J2" s="49"/>
    </row>
    <row r="3" spans="1:10" ht="30" customHeight="1" x14ac:dyDescent="0.2">
      <c r="B3" s="12" t="s">
        <v>9</v>
      </c>
      <c r="C3" s="54" t="s">
        <v>77</v>
      </c>
      <c r="D3" s="54"/>
      <c r="E3" s="12" t="s">
        <v>6</v>
      </c>
      <c r="F3" s="54" t="s">
        <v>101</v>
      </c>
      <c r="G3" s="54"/>
      <c r="H3" s="54"/>
      <c r="I3" s="54"/>
      <c r="J3" s="54"/>
    </row>
    <row r="4" spans="1:10" ht="30" customHeight="1" thickBot="1" x14ac:dyDescent="0.25">
      <c r="B4" s="6"/>
      <c r="C4" s="7"/>
      <c r="D4" s="7"/>
      <c r="E4" s="6"/>
      <c r="F4" s="7"/>
      <c r="G4" s="7"/>
      <c r="H4" s="8"/>
      <c r="I4" s="7"/>
      <c r="J4" s="7"/>
    </row>
    <row r="5" spans="1:10" ht="24.95" customHeight="1" x14ac:dyDescent="0.2">
      <c r="A5" s="10"/>
      <c r="B5" s="50" t="s">
        <v>0</v>
      </c>
      <c r="C5" s="51"/>
      <c r="D5" s="51"/>
      <c r="E5" s="59" t="s">
        <v>1</v>
      </c>
      <c r="F5" s="59"/>
      <c r="G5" s="59"/>
      <c r="H5" s="59"/>
      <c r="I5" s="59" t="s">
        <v>2</v>
      </c>
      <c r="J5" s="60"/>
    </row>
    <row r="6" spans="1:10" ht="24.95" customHeight="1" thickBot="1" x14ac:dyDescent="0.25">
      <c r="A6" s="10"/>
      <c r="B6" s="52"/>
      <c r="C6" s="53"/>
      <c r="D6" s="53"/>
      <c r="E6" s="11" t="s">
        <v>3</v>
      </c>
      <c r="F6" s="11" t="s">
        <v>4</v>
      </c>
      <c r="G6" s="11" t="s">
        <v>23</v>
      </c>
      <c r="H6" s="11" t="s">
        <v>24</v>
      </c>
      <c r="I6" s="61"/>
      <c r="J6" s="62"/>
    </row>
    <row r="7" spans="1:10" ht="24.95" customHeight="1" thickBot="1" x14ac:dyDescent="0.25">
      <c r="A7" s="10"/>
      <c r="B7" s="57" t="s">
        <v>21</v>
      </c>
      <c r="C7" s="58"/>
      <c r="D7" s="58"/>
      <c r="E7" s="28" t="s">
        <v>18</v>
      </c>
      <c r="F7" s="28" t="s">
        <v>19</v>
      </c>
      <c r="G7" s="28" t="s">
        <v>22</v>
      </c>
      <c r="H7" s="28" t="s">
        <v>20</v>
      </c>
      <c r="I7" s="63" t="s">
        <v>25</v>
      </c>
      <c r="J7" s="64"/>
    </row>
    <row r="8" spans="1:10" ht="39.950000000000003" customHeight="1" x14ac:dyDescent="0.2">
      <c r="A8" s="10"/>
      <c r="B8" s="89" t="s">
        <v>176</v>
      </c>
      <c r="C8" s="90"/>
      <c r="D8" s="90"/>
      <c r="E8" s="90"/>
      <c r="F8" s="90"/>
      <c r="G8" s="90"/>
      <c r="H8" s="90"/>
      <c r="I8" s="90"/>
      <c r="J8" s="91"/>
    </row>
    <row r="9" spans="1:10" ht="39.950000000000003" customHeight="1" x14ac:dyDescent="0.2">
      <c r="A9" s="10"/>
      <c r="B9" s="75" t="s">
        <v>223</v>
      </c>
      <c r="C9" s="76"/>
      <c r="D9" s="76"/>
      <c r="E9" s="9">
        <v>5</v>
      </c>
      <c r="F9" s="26">
        <v>3.5</v>
      </c>
      <c r="G9" s="30">
        <f>IFERROR(F9/E9,"")</f>
        <v>0.7</v>
      </c>
      <c r="H9" s="31" t="str">
        <f>_xlfn.IFS(F9="أدخل العلامة","",F9="لا ينطبق","تم الإلغاء",G9&gt;=90%,"ممتاز",G9&gt;=80%,"جيد جداً",G9&gt;=70%,"جيد",G9&gt;=60%,"مقبول",G9&lt;60%,"راسب")</f>
        <v>جيد</v>
      </c>
      <c r="I9" s="39"/>
      <c r="J9" s="40"/>
    </row>
    <row r="10" spans="1:10" ht="39.950000000000003" customHeight="1" x14ac:dyDescent="0.2">
      <c r="A10" s="10"/>
      <c r="B10" s="75" t="s">
        <v>224</v>
      </c>
      <c r="C10" s="76"/>
      <c r="D10" s="76"/>
      <c r="E10" s="37"/>
      <c r="F10" s="26"/>
      <c r="G10" s="30"/>
      <c r="H10" s="31"/>
      <c r="I10" s="39"/>
      <c r="J10" s="40"/>
    </row>
    <row r="11" spans="1:10" ht="39.950000000000003" customHeight="1" x14ac:dyDescent="0.2">
      <c r="A11" s="10"/>
      <c r="B11" s="77" t="s">
        <v>225</v>
      </c>
      <c r="C11" s="78"/>
      <c r="D11" s="78"/>
      <c r="E11" s="9">
        <v>5</v>
      </c>
      <c r="F11" s="26">
        <v>3.5</v>
      </c>
      <c r="G11" s="30">
        <f t="shared" ref="G11:G71" si="0">IFERROR(F11/E11,"")</f>
        <v>0.7</v>
      </c>
      <c r="H11" s="31" t="str">
        <f t="shared" ref="H11:H71" si="1">_xlfn.IFS(F11="أدخل العلامة","",F11="لا ينطبق","تم الإلغاء",G11&gt;=90%,"ممتاز",G11&gt;=80%,"جيد جداً",G11&gt;=70%,"جيد",G11&gt;=60%,"مقبول",G11&lt;60%,"راسب")</f>
        <v>جيد</v>
      </c>
      <c r="I11" s="39"/>
      <c r="J11" s="40"/>
    </row>
    <row r="12" spans="1:10" ht="39.950000000000003" customHeight="1" x14ac:dyDescent="0.2">
      <c r="A12" s="10"/>
      <c r="B12" s="77" t="s">
        <v>226</v>
      </c>
      <c r="C12" s="78"/>
      <c r="D12" s="78"/>
      <c r="E12" s="37"/>
      <c r="F12" s="26"/>
      <c r="G12" s="30"/>
      <c r="H12" s="31"/>
      <c r="I12" s="39"/>
      <c r="J12" s="40"/>
    </row>
    <row r="13" spans="1:10" ht="39.950000000000003" customHeight="1" x14ac:dyDescent="0.2">
      <c r="A13" s="10"/>
      <c r="B13" s="79" t="s">
        <v>227</v>
      </c>
      <c r="C13" s="80"/>
      <c r="D13" s="80"/>
      <c r="E13" s="9">
        <v>5</v>
      </c>
      <c r="F13" s="26">
        <v>3.5</v>
      </c>
      <c r="G13" s="30">
        <f t="shared" si="0"/>
        <v>0.7</v>
      </c>
      <c r="H13" s="31" t="str">
        <f t="shared" si="1"/>
        <v>جيد</v>
      </c>
      <c r="I13" s="39"/>
      <c r="J13" s="40"/>
    </row>
    <row r="14" spans="1:10" ht="39.950000000000003" customHeight="1" x14ac:dyDescent="0.2">
      <c r="A14" s="10"/>
      <c r="B14" s="79" t="s">
        <v>228</v>
      </c>
      <c r="C14" s="80"/>
      <c r="D14" s="80"/>
      <c r="E14" s="9">
        <v>5</v>
      </c>
      <c r="F14" s="26">
        <v>3.5</v>
      </c>
      <c r="G14" s="30">
        <f t="shared" si="0"/>
        <v>0.7</v>
      </c>
      <c r="H14" s="31" t="str">
        <f t="shared" si="1"/>
        <v>جيد</v>
      </c>
      <c r="I14" s="39"/>
      <c r="J14" s="40"/>
    </row>
    <row r="15" spans="1:10" ht="39.950000000000003" customHeight="1" x14ac:dyDescent="0.2">
      <c r="A15" s="10"/>
      <c r="B15" s="79" t="s">
        <v>177</v>
      </c>
      <c r="C15" s="80"/>
      <c r="D15" s="80"/>
      <c r="E15" s="9">
        <v>5</v>
      </c>
      <c r="F15" s="26">
        <v>3.5</v>
      </c>
      <c r="G15" s="30">
        <f t="shared" si="0"/>
        <v>0.7</v>
      </c>
      <c r="H15" s="31" t="str">
        <f t="shared" si="1"/>
        <v>جيد</v>
      </c>
      <c r="I15" s="39"/>
      <c r="J15" s="40"/>
    </row>
    <row r="16" spans="1:10" ht="39.950000000000003" customHeight="1" x14ac:dyDescent="0.2">
      <c r="A16" s="10"/>
      <c r="B16" s="79" t="s">
        <v>178</v>
      </c>
      <c r="C16" s="80"/>
      <c r="D16" s="80"/>
      <c r="E16" s="9">
        <v>5</v>
      </c>
      <c r="F16" s="26">
        <v>3.5</v>
      </c>
      <c r="G16" s="30">
        <f t="shared" si="0"/>
        <v>0.7</v>
      </c>
      <c r="H16" s="31" t="str">
        <f t="shared" si="1"/>
        <v>جيد</v>
      </c>
      <c r="I16" s="39"/>
      <c r="J16" s="40"/>
    </row>
    <row r="17" spans="1:10" ht="39.950000000000003" customHeight="1" x14ac:dyDescent="0.2">
      <c r="A17" s="10"/>
      <c r="B17" s="79" t="s">
        <v>179</v>
      </c>
      <c r="C17" s="80"/>
      <c r="D17" s="80"/>
      <c r="E17" s="9">
        <v>5</v>
      </c>
      <c r="F17" s="26">
        <v>3.75</v>
      </c>
      <c r="G17" s="30">
        <f t="shared" si="0"/>
        <v>0.75</v>
      </c>
      <c r="H17" s="31" t="str">
        <f t="shared" si="1"/>
        <v>جيد</v>
      </c>
      <c r="I17" s="39"/>
      <c r="J17" s="40"/>
    </row>
    <row r="18" spans="1:10" ht="39.950000000000003" customHeight="1" x14ac:dyDescent="0.2">
      <c r="A18" s="10"/>
      <c r="B18" s="77" t="s">
        <v>180</v>
      </c>
      <c r="C18" s="78"/>
      <c r="D18" s="78"/>
      <c r="E18" s="9">
        <v>5</v>
      </c>
      <c r="F18" s="26">
        <v>3.75</v>
      </c>
      <c r="G18" s="30">
        <f t="shared" si="0"/>
        <v>0.75</v>
      </c>
      <c r="H18" s="31" t="str">
        <f t="shared" si="1"/>
        <v>جيد</v>
      </c>
      <c r="I18" s="39"/>
      <c r="J18" s="40"/>
    </row>
    <row r="19" spans="1:10" ht="39.950000000000003" customHeight="1" x14ac:dyDescent="0.2">
      <c r="A19" s="10"/>
      <c r="B19" s="77" t="s">
        <v>229</v>
      </c>
      <c r="C19" s="78"/>
      <c r="D19" s="78"/>
      <c r="E19" s="37"/>
      <c r="F19" s="26"/>
      <c r="G19" s="30"/>
      <c r="H19" s="31"/>
      <c r="I19" s="39"/>
      <c r="J19" s="40"/>
    </row>
    <row r="20" spans="1:10" ht="39.950000000000003" customHeight="1" x14ac:dyDescent="0.2">
      <c r="A20" s="10"/>
      <c r="B20" s="79" t="s">
        <v>181</v>
      </c>
      <c r="C20" s="80"/>
      <c r="D20" s="80"/>
      <c r="E20" s="9">
        <v>5</v>
      </c>
      <c r="F20" s="26">
        <v>3.75</v>
      </c>
      <c r="G20" s="30">
        <f t="shared" si="0"/>
        <v>0.75</v>
      </c>
      <c r="H20" s="31" t="str">
        <f t="shared" si="1"/>
        <v>جيد</v>
      </c>
      <c r="I20" s="39"/>
      <c r="J20" s="40"/>
    </row>
    <row r="21" spans="1:10" ht="39.950000000000003" customHeight="1" x14ac:dyDescent="0.2">
      <c r="A21" s="10"/>
      <c r="B21" s="79" t="s">
        <v>182</v>
      </c>
      <c r="C21" s="80"/>
      <c r="D21" s="80"/>
      <c r="E21" s="9">
        <v>5</v>
      </c>
      <c r="F21" s="26">
        <v>3.75</v>
      </c>
      <c r="G21" s="30">
        <f t="shared" si="0"/>
        <v>0.75</v>
      </c>
      <c r="H21" s="31" t="str">
        <f t="shared" si="1"/>
        <v>جيد</v>
      </c>
      <c r="I21" s="39"/>
      <c r="J21" s="40"/>
    </row>
    <row r="22" spans="1:10" ht="39.950000000000003" customHeight="1" x14ac:dyDescent="0.2">
      <c r="A22" s="10"/>
      <c r="B22" s="79" t="s">
        <v>183</v>
      </c>
      <c r="C22" s="80"/>
      <c r="D22" s="80"/>
      <c r="E22" s="9">
        <v>5</v>
      </c>
      <c r="F22" s="26">
        <v>3.75</v>
      </c>
      <c r="G22" s="30">
        <f t="shared" si="0"/>
        <v>0.75</v>
      </c>
      <c r="H22" s="31" t="str">
        <f t="shared" si="1"/>
        <v>جيد</v>
      </c>
      <c r="I22" s="39"/>
      <c r="J22" s="40"/>
    </row>
    <row r="23" spans="1:10" ht="39.950000000000003" customHeight="1" x14ac:dyDescent="0.2">
      <c r="A23" s="10"/>
      <c r="B23" s="79" t="s">
        <v>184</v>
      </c>
      <c r="C23" s="80"/>
      <c r="D23" s="80"/>
      <c r="E23" s="9">
        <v>5</v>
      </c>
      <c r="F23" s="26">
        <v>3.75</v>
      </c>
      <c r="G23" s="30">
        <f t="shared" si="0"/>
        <v>0.75</v>
      </c>
      <c r="H23" s="31" t="str">
        <f t="shared" si="1"/>
        <v>جيد</v>
      </c>
      <c r="I23" s="39"/>
      <c r="J23" s="40"/>
    </row>
    <row r="24" spans="1:10" ht="39.950000000000003" customHeight="1" x14ac:dyDescent="0.2">
      <c r="A24" s="10"/>
      <c r="B24" s="77" t="s">
        <v>185</v>
      </c>
      <c r="C24" s="78"/>
      <c r="D24" s="78"/>
      <c r="E24" s="9"/>
      <c r="F24" s="26"/>
      <c r="G24" s="30"/>
      <c r="H24" s="31"/>
      <c r="I24" s="39"/>
      <c r="J24" s="40"/>
    </row>
    <row r="25" spans="1:10" ht="39.950000000000003" customHeight="1" x14ac:dyDescent="0.2">
      <c r="A25" s="10"/>
      <c r="B25" s="79" t="s">
        <v>230</v>
      </c>
      <c r="C25" s="80"/>
      <c r="D25" s="80"/>
      <c r="E25" s="37"/>
      <c r="F25" s="26"/>
      <c r="G25" s="30"/>
      <c r="H25" s="31"/>
      <c r="I25" s="39"/>
      <c r="J25" s="40"/>
    </row>
    <row r="26" spans="1:10" ht="39.950000000000003" customHeight="1" x14ac:dyDescent="0.2">
      <c r="A26" s="10"/>
      <c r="B26" s="81" t="s">
        <v>238</v>
      </c>
      <c r="C26" s="82"/>
      <c r="D26" s="82"/>
      <c r="E26" s="9">
        <v>5</v>
      </c>
      <c r="F26" s="26">
        <v>3.75</v>
      </c>
      <c r="G26" s="30">
        <f t="shared" si="0"/>
        <v>0.75</v>
      </c>
      <c r="H26" s="31" t="str">
        <f t="shared" si="1"/>
        <v>جيد</v>
      </c>
      <c r="I26" s="39"/>
      <c r="J26" s="40"/>
    </row>
    <row r="27" spans="1:10" ht="39.950000000000003" customHeight="1" x14ac:dyDescent="0.2">
      <c r="A27" s="10"/>
      <c r="B27" s="81" t="s">
        <v>186</v>
      </c>
      <c r="C27" s="82"/>
      <c r="D27" s="82"/>
      <c r="E27" s="9">
        <v>5</v>
      </c>
      <c r="F27" s="26">
        <v>3.75</v>
      </c>
      <c r="G27" s="30">
        <f t="shared" si="0"/>
        <v>0.75</v>
      </c>
      <c r="H27" s="31" t="str">
        <f t="shared" si="1"/>
        <v>جيد</v>
      </c>
      <c r="I27" s="39"/>
      <c r="J27" s="40"/>
    </row>
    <row r="28" spans="1:10" ht="39.950000000000003" customHeight="1" x14ac:dyDescent="0.2">
      <c r="A28" s="10"/>
      <c r="B28" s="81" t="s">
        <v>187</v>
      </c>
      <c r="C28" s="82"/>
      <c r="D28" s="82"/>
      <c r="E28" s="32">
        <v>5</v>
      </c>
      <c r="F28" s="26">
        <v>3.5</v>
      </c>
      <c r="G28" s="30">
        <f t="shared" si="0"/>
        <v>0.7</v>
      </c>
      <c r="H28" s="31" t="str">
        <f t="shared" si="1"/>
        <v>جيد</v>
      </c>
      <c r="I28" s="39"/>
      <c r="J28" s="40"/>
    </row>
    <row r="29" spans="1:10" ht="39.950000000000003" customHeight="1" x14ac:dyDescent="0.2">
      <c r="A29" s="10"/>
      <c r="B29" s="81" t="s">
        <v>188</v>
      </c>
      <c r="C29" s="82"/>
      <c r="D29" s="82"/>
      <c r="E29" s="32">
        <v>5</v>
      </c>
      <c r="F29" s="26">
        <v>3.75</v>
      </c>
      <c r="G29" s="30">
        <f t="shared" si="0"/>
        <v>0.75</v>
      </c>
      <c r="H29" s="31" t="str">
        <f t="shared" si="1"/>
        <v>جيد</v>
      </c>
      <c r="I29" s="39"/>
      <c r="J29" s="40"/>
    </row>
    <row r="30" spans="1:10" ht="39.950000000000003" customHeight="1" x14ac:dyDescent="0.2">
      <c r="A30" s="10"/>
      <c r="B30" s="81" t="s">
        <v>189</v>
      </c>
      <c r="C30" s="82"/>
      <c r="D30" s="82"/>
      <c r="E30" s="32">
        <v>5</v>
      </c>
      <c r="F30" s="26">
        <v>3.5</v>
      </c>
      <c r="G30" s="30">
        <f t="shared" si="0"/>
        <v>0.7</v>
      </c>
      <c r="H30" s="31" t="str">
        <f t="shared" si="1"/>
        <v>جيد</v>
      </c>
      <c r="I30" s="39"/>
      <c r="J30" s="40"/>
    </row>
    <row r="31" spans="1:10" ht="39.950000000000003" customHeight="1" x14ac:dyDescent="0.2">
      <c r="A31" s="10"/>
      <c r="B31" s="81" t="s">
        <v>190</v>
      </c>
      <c r="C31" s="82"/>
      <c r="D31" s="82"/>
      <c r="E31" s="32">
        <v>5</v>
      </c>
      <c r="F31" s="26">
        <v>3.5</v>
      </c>
      <c r="G31" s="30">
        <f t="shared" si="0"/>
        <v>0.7</v>
      </c>
      <c r="H31" s="31" t="str">
        <f t="shared" si="1"/>
        <v>جيد</v>
      </c>
      <c r="I31" s="39"/>
      <c r="J31" s="40"/>
    </row>
    <row r="32" spans="1:10" ht="39.950000000000003" customHeight="1" x14ac:dyDescent="0.2">
      <c r="A32" s="10"/>
      <c r="B32" s="81" t="s">
        <v>191</v>
      </c>
      <c r="C32" s="82"/>
      <c r="D32" s="82"/>
      <c r="E32" s="32">
        <v>5</v>
      </c>
      <c r="F32" s="26">
        <v>3.5</v>
      </c>
      <c r="G32" s="30">
        <f t="shared" si="0"/>
        <v>0.7</v>
      </c>
      <c r="H32" s="31" t="str">
        <f t="shared" si="1"/>
        <v>جيد</v>
      </c>
      <c r="I32" s="39"/>
      <c r="J32" s="40"/>
    </row>
    <row r="33" spans="1:10" ht="39.950000000000003" customHeight="1" x14ac:dyDescent="0.2">
      <c r="A33" s="10"/>
      <c r="B33" s="81" t="s">
        <v>192</v>
      </c>
      <c r="C33" s="82"/>
      <c r="D33" s="82"/>
      <c r="E33" s="32">
        <v>5</v>
      </c>
      <c r="F33" s="26">
        <v>3.5</v>
      </c>
      <c r="G33" s="30">
        <f t="shared" si="0"/>
        <v>0.7</v>
      </c>
      <c r="H33" s="31" t="str">
        <f t="shared" si="1"/>
        <v>جيد</v>
      </c>
      <c r="I33" s="39"/>
      <c r="J33" s="40"/>
    </row>
    <row r="34" spans="1:10" ht="54.95" customHeight="1" x14ac:dyDescent="0.2">
      <c r="A34" s="10"/>
      <c r="B34" s="81" t="s">
        <v>193</v>
      </c>
      <c r="C34" s="82"/>
      <c r="D34" s="82"/>
      <c r="E34" s="32">
        <v>5</v>
      </c>
      <c r="F34" s="26">
        <v>3.5</v>
      </c>
      <c r="G34" s="30">
        <f t="shared" si="0"/>
        <v>0.7</v>
      </c>
      <c r="H34" s="31" t="str">
        <f t="shared" si="1"/>
        <v>جيد</v>
      </c>
      <c r="I34" s="39"/>
      <c r="J34" s="40"/>
    </row>
    <row r="35" spans="1:10" ht="39.950000000000003" customHeight="1" x14ac:dyDescent="0.2">
      <c r="A35" s="10"/>
      <c r="B35" s="81" t="s">
        <v>194</v>
      </c>
      <c r="C35" s="82"/>
      <c r="D35" s="82"/>
      <c r="E35" s="32">
        <v>5</v>
      </c>
      <c r="F35" s="26">
        <v>3.5</v>
      </c>
      <c r="G35" s="30">
        <f t="shared" si="0"/>
        <v>0.7</v>
      </c>
      <c r="H35" s="31" t="str">
        <f t="shared" si="1"/>
        <v>جيد</v>
      </c>
      <c r="I35" s="39"/>
      <c r="J35" s="40"/>
    </row>
    <row r="36" spans="1:10" ht="39.950000000000003" customHeight="1" x14ac:dyDescent="0.2">
      <c r="A36" s="10"/>
      <c r="B36" s="79" t="s">
        <v>195</v>
      </c>
      <c r="C36" s="80"/>
      <c r="D36" s="80"/>
      <c r="E36" s="38"/>
      <c r="F36" s="26"/>
      <c r="G36" s="30"/>
      <c r="H36" s="31"/>
      <c r="I36" s="39"/>
      <c r="J36" s="40"/>
    </row>
    <row r="37" spans="1:10" ht="54.95" customHeight="1" x14ac:dyDescent="0.2">
      <c r="A37" s="10"/>
      <c r="B37" s="79" t="s">
        <v>239</v>
      </c>
      <c r="C37" s="80"/>
      <c r="D37" s="80"/>
      <c r="E37" s="32">
        <v>5</v>
      </c>
      <c r="F37" s="26">
        <v>3.5</v>
      </c>
      <c r="G37" s="30">
        <f t="shared" si="0"/>
        <v>0.7</v>
      </c>
      <c r="H37" s="31" t="str">
        <f t="shared" si="1"/>
        <v>جيد</v>
      </c>
      <c r="I37" s="39"/>
      <c r="J37" s="40"/>
    </row>
    <row r="38" spans="1:10" ht="39.950000000000003" customHeight="1" x14ac:dyDescent="0.2">
      <c r="A38" s="10"/>
      <c r="B38" s="79" t="s">
        <v>196</v>
      </c>
      <c r="C38" s="80"/>
      <c r="D38" s="80"/>
      <c r="E38" s="32">
        <v>5</v>
      </c>
      <c r="F38" s="26">
        <v>3.75</v>
      </c>
      <c r="G38" s="30">
        <f t="shared" si="0"/>
        <v>0.75</v>
      </c>
      <c r="H38" s="31" t="str">
        <f t="shared" si="1"/>
        <v>جيد</v>
      </c>
      <c r="I38" s="39"/>
      <c r="J38" s="40"/>
    </row>
    <row r="39" spans="1:10" ht="39.950000000000003" customHeight="1" x14ac:dyDescent="0.2">
      <c r="A39" s="10"/>
      <c r="B39" s="79" t="s">
        <v>197</v>
      </c>
      <c r="C39" s="80"/>
      <c r="D39" s="80"/>
      <c r="E39" s="32">
        <v>5</v>
      </c>
      <c r="F39" s="26">
        <v>3.75</v>
      </c>
      <c r="G39" s="30">
        <f t="shared" si="0"/>
        <v>0.75</v>
      </c>
      <c r="H39" s="31" t="str">
        <f t="shared" si="1"/>
        <v>جيد</v>
      </c>
      <c r="I39" s="39"/>
      <c r="J39" s="40"/>
    </row>
    <row r="40" spans="1:10" ht="39.950000000000003" customHeight="1" x14ac:dyDescent="0.2">
      <c r="A40" s="10"/>
      <c r="B40" s="79" t="s">
        <v>198</v>
      </c>
      <c r="C40" s="80"/>
      <c r="D40" s="80"/>
      <c r="E40" s="32">
        <v>5</v>
      </c>
      <c r="F40" s="26">
        <v>3.75</v>
      </c>
      <c r="G40" s="30">
        <f t="shared" si="0"/>
        <v>0.75</v>
      </c>
      <c r="H40" s="31" t="str">
        <f t="shared" si="1"/>
        <v>جيد</v>
      </c>
      <c r="I40" s="39"/>
      <c r="J40" s="40"/>
    </row>
    <row r="41" spans="1:10" ht="39.950000000000003" customHeight="1" thickBot="1" x14ac:dyDescent="0.25">
      <c r="A41" s="10"/>
      <c r="B41" s="85" t="s">
        <v>231</v>
      </c>
      <c r="C41" s="86"/>
      <c r="D41" s="86"/>
      <c r="E41" s="36">
        <v>5</v>
      </c>
      <c r="F41" s="27">
        <v>3.75</v>
      </c>
      <c r="G41" s="34">
        <f t="shared" si="0"/>
        <v>0.75</v>
      </c>
      <c r="H41" s="35" t="str">
        <f t="shared" si="1"/>
        <v>جيد</v>
      </c>
      <c r="I41" s="41"/>
      <c r="J41" s="42"/>
    </row>
    <row r="42" spans="1:10" ht="39.950000000000003" customHeight="1" x14ac:dyDescent="0.2">
      <c r="A42" s="10"/>
      <c r="B42" s="89" t="s">
        <v>199</v>
      </c>
      <c r="C42" s="90"/>
      <c r="D42" s="90"/>
      <c r="E42" s="90"/>
      <c r="F42" s="90"/>
      <c r="G42" s="90"/>
      <c r="H42" s="90"/>
      <c r="I42" s="90"/>
      <c r="J42" s="91"/>
    </row>
    <row r="43" spans="1:10" ht="39.950000000000003" customHeight="1" x14ac:dyDescent="0.2">
      <c r="A43" s="10"/>
      <c r="B43" s="75" t="s">
        <v>232</v>
      </c>
      <c r="C43" s="76"/>
      <c r="D43" s="76"/>
      <c r="E43" s="9"/>
      <c r="F43" s="26" t="s">
        <v>17</v>
      </c>
      <c r="G43" s="30" t="str">
        <f t="shared" si="0"/>
        <v/>
      </c>
      <c r="H43" s="31" t="str">
        <f t="shared" si="1"/>
        <v>تم الإلغاء</v>
      </c>
      <c r="I43" s="39"/>
      <c r="J43" s="40"/>
    </row>
    <row r="44" spans="1:10" ht="39.950000000000003" customHeight="1" x14ac:dyDescent="0.2">
      <c r="A44" s="10"/>
      <c r="B44" s="83" t="s">
        <v>200</v>
      </c>
      <c r="C44" s="84"/>
      <c r="D44" s="84"/>
      <c r="E44" s="9">
        <v>5</v>
      </c>
      <c r="F44" s="26">
        <v>3.75</v>
      </c>
      <c r="G44" s="30">
        <f t="shared" si="0"/>
        <v>0.75</v>
      </c>
      <c r="H44" s="31" t="str">
        <f t="shared" si="1"/>
        <v>جيد</v>
      </c>
      <c r="I44" s="39"/>
      <c r="J44" s="40"/>
    </row>
    <row r="45" spans="1:10" ht="39.950000000000003" customHeight="1" x14ac:dyDescent="0.2">
      <c r="A45" s="10"/>
      <c r="B45" s="83" t="s">
        <v>201</v>
      </c>
      <c r="C45" s="84"/>
      <c r="D45" s="84"/>
      <c r="E45" s="37"/>
      <c r="F45" s="26"/>
      <c r="G45" s="30"/>
      <c r="H45" s="31"/>
      <c r="I45" s="39"/>
      <c r="J45" s="40"/>
    </row>
    <row r="46" spans="1:10" ht="39.950000000000003" customHeight="1" x14ac:dyDescent="0.2">
      <c r="A46" s="10"/>
      <c r="B46" s="83" t="s">
        <v>202</v>
      </c>
      <c r="C46" s="84"/>
      <c r="D46" s="84"/>
      <c r="E46" s="9">
        <v>5</v>
      </c>
      <c r="F46" s="26">
        <v>3.75</v>
      </c>
      <c r="G46" s="30">
        <f t="shared" si="0"/>
        <v>0.75</v>
      </c>
      <c r="H46" s="31" t="str">
        <f t="shared" si="1"/>
        <v>جيد</v>
      </c>
      <c r="I46" s="39"/>
      <c r="J46" s="40"/>
    </row>
    <row r="47" spans="1:10" ht="39.950000000000003" customHeight="1" x14ac:dyDescent="0.2">
      <c r="A47" s="10"/>
      <c r="B47" s="83" t="s">
        <v>203</v>
      </c>
      <c r="C47" s="84"/>
      <c r="D47" s="84"/>
      <c r="E47" s="9">
        <v>5</v>
      </c>
      <c r="F47" s="26">
        <v>3.75</v>
      </c>
      <c r="G47" s="30">
        <f t="shared" si="0"/>
        <v>0.75</v>
      </c>
      <c r="H47" s="31" t="str">
        <f t="shared" si="1"/>
        <v>جيد</v>
      </c>
      <c r="I47" s="39"/>
      <c r="J47" s="40"/>
    </row>
    <row r="48" spans="1:10" ht="39.950000000000003" customHeight="1" x14ac:dyDescent="0.2">
      <c r="A48" s="10"/>
      <c r="B48" s="83" t="s">
        <v>233</v>
      </c>
      <c r="C48" s="84"/>
      <c r="D48" s="84"/>
      <c r="E48" s="9">
        <v>5</v>
      </c>
      <c r="F48" s="26">
        <v>3.5</v>
      </c>
      <c r="G48" s="30">
        <f t="shared" si="0"/>
        <v>0.7</v>
      </c>
      <c r="H48" s="31" t="str">
        <f t="shared" si="1"/>
        <v>جيد</v>
      </c>
      <c r="I48" s="39"/>
      <c r="J48" s="40"/>
    </row>
    <row r="49" spans="1:10" ht="39.950000000000003" customHeight="1" x14ac:dyDescent="0.2">
      <c r="A49" s="10"/>
      <c r="B49" s="83" t="s">
        <v>204</v>
      </c>
      <c r="C49" s="84"/>
      <c r="D49" s="84"/>
      <c r="E49" s="9">
        <v>5</v>
      </c>
      <c r="F49" s="26">
        <v>3.75</v>
      </c>
      <c r="G49" s="30">
        <f t="shared" si="0"/>
        <v>0.75</v>
      </c>
      <c r="H49" s="31" t="str">
        <f t="shared" si="1"/>
        <v>جيد</v>
      </c>
      <c r="I49" s="39"/>
      <c r="J49" s="40"/>
    </row>
    <row r="50" spans="1:10" ht="39.950000000000003" customHeight="1" x14ac:dyDescent="0.2">
      <c r="A50" s="10"/>
      <c r="B50" s="83" t="s">
        <v>205</v>
      </c>
      <c r="C50" s="84"/>
      <c r="D50" s="84"/>
      <c r="E50" s="9">
        <v>5</v>
      </c>
      <c r="F50" s="26">
        <v>3.75</v>
      </c>
      <c r="G50" s="30">
        <f t="shared" si="0"/>
        <v>0.75</v>
      </c>
      <c r="H50" s="31" t="str">
        <f t="shared" si="1"/>
        <v>جيد</v>
      </c>
      <c r="I50" s="39"/>
      <c r="J50" s="40"/>
    </row>
    <row r="51" spans="1:10" ht="39.950000000000003" customHeight="1" x14ac:dyDescent="0.2">
      <c r="A51" s="10"/>
      <c r="B51" s="83" t="s">
        <v>206</v>
      </c>
      <c r="C51" s="84"/>
      <c r="D51" s="84"/>
      <c r="E51" s="9">
        <v>5</v>
      </c>
      <c r="F51" s="26">
        <v>3.75</v>
      </c>
      <c r="G51" s="30">
        <f t="shared" si="0"/>
        <v>0.75</v>
      </c>
      <c r="H51" s="31" t="str">
        <f t="shared" si="1"/>
        <v>جيد</v>
      </c>
      <c r="I51" s="39"/>
      <c r="J51" s="40"/>
    </row>
    <row r="52" spans="1:10" ht="39.950000000000003" customHeight="1" x14ac:dyDescent="0.2">
      <c r="A52" s="10"/>
      <c r="B52" s="83" t="s">
        <v>207</v>
      </c>
      <c r="C52" s="84"/>
      <c r="D52" s="84"/>
      <c r="E52" s="9">
        <v>5</v>
      </c>
      <c r="F52" s="26">
        <v>3.5</v>
      </c>
      <c r="G52" s="30">
        <f t="shared" si="0"/>
        <v>0.7</v>
      </c>
      <c r="H52" s="31" t="str">
        <f t="shared" si="1"/>
        <v>جيد</v>
      </c>
      <c r="I52" s="39"/>
      <c r="J52" s="40"/>
    </row>
    <row r="53" spans="1:10" ht="39.950000000000003" customHeight="1" x14ac:dyDescent="0.2">
      <c r="A53" s="10"/>
      <c r="B53" s="83" t="s">
        <v>208</v>
      </c>
      <c r="C53" s="84"/>
      <c r="D53" s="84"/>
      <c r="E53" s="9">
        <v>5</v>
      </c>
      <c r="F53" s="26">
        <v>3.75</v>
      </c>
      <c r="G53" s="30">
        <f t="shared" si="0"/>
        <v>0.75</v>
      </c>
      <c r="H53" s="31" t="str">
        <f t="shared" si="1"/>
        <v>جيد</v>
      </c>
      <c r="I53" s="39"/>
      <c r="J53" s="40"/>
    </row>
    <row r="54" spans="1:10" ht="39.950000000000003" customHeight="1" x14ac:dyDescent="0.2">
      <c r="A54" s="10"/>
      <c r="B54" s="83" t="s">
        <v>209</v>
      </c>
      <c r="C54" s="84"/>
      <c r="D54" s="84"/>
      <c r="E54" s="9">
        <v>5</v>
      </c>
      <c r="F54" s="26">
        <v>3.75</v>
      </c>
      <c r="G54" s="30">
        <f t="shared" si="0"/>
        <v>0.75</v>
      </c>
      <c r="H54" s="31" t="str">
        <f t="shared" si="1"/>
        <v>جيد</v>
      </c>
      <c r="I54" s="39"/>
      <c r="J54" s="40"/>
    </row>
    <row r="55" spans="1:10" ht="39.950000000000003" customHeight="1" x14ac:dyDescent="0.2">
      <c r="A55" s="10"/>
      <c r="B55" s="83" t="s">
        <v>210</v>
      </c>
      <c r="C55" s="84"/>
      <c r="D55" s="84"/>
      <c r="E55" s="9">
        <v>5</v>
      </c>
      <c r="F55" s="26">
        <v>3.5</v>
      </c>
      <c r="G55" s="30">
        <f t="shared" si="0"/>
        <v>0.7</v>
      </c>
      <c r="H55" s="31" t="str">
        <f t="shared" si="1"/>
        <v>جيد</v>
      </c>
      <c r="I55" s="39"/>
      <c r="J55" s="40"/>
    </row>
    <row r="56" spans="1:10" ht="39.950000000000003" customHeight="1" x14ac:dyDescent="0.2">
      <c r="A56" s="10"/>
      <c r="B56" s="83" t="s">
        <v>234</v>
      </c>
      <c r="C56" s="84"/>
      <c r="D56" s="84"/>
      <c r="E56" s="9">
        <v>5</v>
      </c>
      <c r="F56" s="26">
        <v>3.75</v>
      </c>
      <c r="G56" s="30">
        <f t="shared" si="0"/>
        <v>0.75</v>
      </c>
      <c r="H56" s="31" t="str">
        <f t="shared" si="1"/>
        <v>جيد</v>
      </c>
      <c r="I56" s="39"/>
      <c r="J56" s="40"/>
    </row>
    <row r="57" spans="1:10" ht="39.950000000000003" customHeight="1" x14ac:dyDescent="0.2">
      <c r="A57" s="10"/>
      <c r="B57" s="83" t="s">
        <v>235</v>
      </c>
      <c r="C57" s="84"/>
      <c r="D57" s="84"/>
      <c r="E57" s="9">
        <v>5</v>
      </c>
      <c r="F57" s="26">
        <v>3.75</v>
      </c>
      <c r="G57" s="30">
        <f t="shared" si="0"/>
        <v>0.75</v>
      </c>
      <c r="H57" s="31" t="str">
        <f t="shared" si="1"/>
        <v>جيد</v>
      </c>
      <c r="I57" s="39"/>
      <c r="J57" s="40"/>
    </row>
    <row r="58" spans="1:10" ht="39.950000000000003" customHeight="1" thickBot="1" x14ac:dyDescent="0.25">
      <c r="A58" s="10"/>
      <c r="B58" s="87" t="s">
        <v>236</v>
      </c>
      <c r="C58" s="88"/>
      <c r="D58" s="88"/>
      <c r="E58" s="33">
        <v>5</v>
      </c>
      <c r="F58" s="27">
        <v>3.5</v>
      </c>
      <c r="G58" s="34">
        <f t="shared" si="0"/>
        <v>0.7</v>
      </c>
      <c r="H58" s="35" t="str">
        <f t="shared" si="1"/>
        <v>جيد</v>
      </c>
      <c r="I58" s="41"/>
      <c r="J58" s="42"/>
    </row>
    <row r="59" spans="1:10" ht="39.950000000000003" customHeight="1" x14ac:dyDescent="0.2">
      <c r="A59" s="10"/>
      <c r="B59" s="89" t="s">
        <v>211</v>
      </c>
      <c r="C59" s="90"/>
      <c r="D59" s="90"/>
      <c r="E59" s="90"/>
      <c r="F59" s="90"/>
      <c r="G59" s="90"/>
      <c r="H59" s="90"/>
      <c r="I59" s="90"/>
      <c r="J59" s="91"/>
    </row>
    <row r="60" spans="1:10" ht="39.950000000000003" customHeight="1" x14ac:dyDescent="0.2">
      <c r="A60" s="10"/>
      <c r="B60" s="75" t="s">
        <v>237</v>
      </c>
      <c r="C60" s="76"/>
      <c r="D60" s="76"/>
      <c r="E60" s="9"/>
      <c r="F60" s="26"/>
      <c r="G60" s="30"/>
      <c r="H60" s="31"/>
      <c r="I60" s="39"/>
      <c r="J60" s="40"/>
    </row>
    <row r="61" spans="1:10" ht="39.950000000000003" customHeight="1" x14ac:dyDescent="0.2">
      <c r="A61" s="10"/>
      <c r="B61" s="83" t="s">
        <v>212</v>
      </c>
      <c r="C61" s="84"/>
      <c r="D61" s="84"/>
      <c r="E61" s="9">
        <v>5</v>
      </c>
      <c r="F61" s="26">
        <v>3.75</v>
      </c>
      <c r="G61" s="30">
        <f t="shared" si="0"/>
        <v>0.75</v>
      </c>
      <c r="H61" s="31" t="str">
        <f t="shared" si="1"/>
        <v>جيد</v>
      </c>
      <c r="I61" s="39"/>
      <c r="J61" s="40"/>
    </row>
    <row r="62" spans="1:10" ht="39.950000000000003" customHeight="1" x14ac:dyDescent="0.2">
      <c r="A62" s="10"/>
      <c r="B62" s="83" t="s">
        <v>213</v>
      </c>
      <c r="C62" s="84"/>
      <c r="D62" s="84"/>
      <c r="E62" s="9">
        <v>5</v>
      </c>
      <c r="F62" s="26">
        <v>3.75</v>
      </c>
      <c r="G62" s="30">
        <f t="shared" si="0"/>
        <v>0.75</v>
      </c>
      <c r="H62" s="31" t="str">
        <f t="shared" si="1"/>
        <v>جيد</v>
      </c>
      <c r="I62" s="39"/>
      <c r="J62" s="40"/>
    </row>
    <row r="63" spans="1:10" ht="39.950000000000003" customHeight="1" x14ac:dyDescent="0.2">
      <c r="A63" s="10"/>
      <c r="B63" s="83" t="s">
        <v>214</v>
      </c>
      <c r="C63" s="84"/>
      <c r="D63" s="84"/>
      <c r="E63" s="9">
        <v>5</v>
      </c>
      <c r="F63" s="26">
        <v>3.5</v>
      </c>
      <c r="G63" s="30">
        <f t="shared" si="0"/>
        <v>0.7</v>
      </c>
      <c r="H63" s="31" t="str">
        <f t="shared" si="1"/>
        <v>جيد</v>
      </c>
      <c r="I63" s="39"/>
      <c r="J63" s="40"/>
    </row>
    <row r="64" spans="1:10" ht="39.950000000000003" customHeight="1" x14ac:dyDescent="0.2">
      <c r="A64" s="10"/>
      <c r="B64" s="83" t="s">
        <v>215</v>
      </c>
      <c r="C64" s="84"/>
      <c r="D64" s="84"/>
      <c r="E64" s="9">
        <v>5</v>
      </c>
      <c r="F64" s="26">
        <v>3.5</v>
      </c>
      <c r="G64" s="30">
        <f t="shared" si="0"/>
        <v>0.7</v>
      </c>
      <c r="H64" s="31" t="str">
        <f t="shared" si="1"/>
        <v>جيد</v>
      </c>
      <c r="I64" s="39"/>
      <c r="J64" s="40"/>
    </row>
    <row r="65" spans="1:10" ht="39.950000000000003" customHeight="1" x14ac:dyDescent="0.2">
      <c r="A65" s="10"/>
      <c r="B65" s="83" t="s">
        <v>216</v>
      </c>
      <c r="C65" s="84"/>
      <c r="D65" s="84"/>
      <c r="E65" s="9">
        <v>5</v>
      </c>
      <c r="F65" s="26">
        <v>3.5</v>
      </c>
      <c r="G65" s="30">
        <f t="shared" si="0"/>
        <v>0.7</v>
      </c>
      <c r="H65" s="31" t="str">
        <f t="shared" si="1"/>
        <v>جيد</v>
      </c>
      <c r="I65" s="39"/>
      <c r="J65" s="40"/>
    </row>
    <row r="66" spans="1:10" ht="39.950000000000003" customHeight="1" x14ac:dyDescent="0.2">
      <c r="A66" s="10"/>
      <c r="B66" s="83" t="s">
        <v>217</v>
      </c>
      <c r="C66" s="84"/>
      <c r="D66" s="84"/>
      <c r="E66" s="9">
        <v>5</v>
      </c>
      <c r="F66" s="26">
        <v>3.5</v>
      </c>
      <c r="G66" s="30">
        <f t="shared" si="0"/>
        <v>0.7</v>
      </c>
      <c r="H66" s="31" t="str">
        <f t="shared" si="1"/>
        <v>جيد</v>
      </c>
      <c r="I66" s="39"/>
      <c r="J66" s="40"/>
    </row>
    <row r="67" spans="1:10" ht="39.950000000000003" customHeight="1" x14ac:dyDescent="0.2">
      <c r="A67" s="10"/>
      <c r="B67" s="83" t="s">
        <v>218</v>
      </c>
      <c r="C67" s="84"/>
      <c r="D67" s="84"/>
      <c r="E67" s="9">
        <v>5</v>
      </c>
      <c r="F67" s="26">
        <v>3.5</v>
      </c>
      <c r="G67" s="30">
        <f t="shared" si="0"/>
        <v>0.7</v>
      </c>
      <c r="H67" s="31" t="str">
        <f t="shared" si="1"/>
        <v>جيد</v>
      </c>
      <c r="I67" s="39"/>
      <c r="J67" s="40"/>
    </row>
    <row r="68" spans="1:10" ht="39.950000000000003" customHeight="1" x14ac:dyDescent="0.2">
      <c r="A68" s="10"/>
      <c r="B68" s="83" t="s">
        <v>219</v>
      </c>
      <c r="C68" s="84"/>
      <c r="D68" s="84"/>
      <c r="E68" s="9">
        <v>5</v>
      </c>
      <c r="F68" s="26">
        <v>4</v>
      </c>
      <c r="G68" s="30">
        <f t="shared" si="0"/>
        <v>0.8</v>
      </c>
      <c r="H68" s="31" t="str">
        <f t="shared" si="1"/>
        <v>جيد جداً</v>
      </c>
      <c r="I68" s="39"/>
      <c r="J68" s="40"/>
    </row>
    <row r="69" spans="1:10" ht="39.950000000000003" customHeight="1" x14ac:dyDescent="0.2">
      <c r="A69" s="10"/>
      <c r="B69" s="83" t="s">
        <v>220</v>
      </c>
      <c r="C69" s="84"/>
      <c r="D69" s="84"/>
      <c r="E69" s="9">
        <v>5</v>
      </c>
      <c r="F69" s="26">
        <v>3.75</v>
      </c>
      <c r="G69" s="30">
        <f t="shared" si="0"/>
        <v>0.75</v>
      </c>
      <c r="H69" s="31" t="str">
        <f t="shared" si="1"/>
        <v>جيد</v>
      </c>
      <c r="I69" s="39"/>
      <c r="J69" s="40"/>
    </row>
    <row r="70" spans="1:10" ht="39.950000000000003" customHeight="1" x14ac:dyDescent="0.2">
      <c r="A70" s="10"/>
      <c r="B70" s="83" t="s">
        <v>221</v>
      </c>
      <c r="C70" s="84"/>
      <c r="D70" s="84"/>
      <c r="E70" s="9">
        <v>5</v>
      </c>
      <c r="F70" s="26">
        <v>3.5</v>
      </c>
      <c r="G70" s="30">
        <f t="shared" si="0"/>
        <v>0.7</v>
      </c>
      <c r="H70" s="31" t="str">
        <f t="shared" si="1"/>
        <v>جيد</v>
      </c>
      <c r="I70" s="39"/>
      <c r="J70" s="40"/>
    </row>
    <row r="71" spans="1:10" ht="39.950000000000003" customHeight="1" thickBot="1" x14ac:dyDescent="0.25">
      <c r="A71" s="10"/>
      <c r="B71" s="87" t="s">
        <v>222</v>
      </c>
      <c r="C71" s="88"/>
      <c r="D71" s="88"/>
      <c r="E71" s="33">
        <v>5</v>
      </c>
      <c r="F71" s="27">
        <v>3.5</v>
      </c>
      <c r="G71" s="34">
        <f t="shared" si="0"/>
        <v>0.7</v>
      </c>
      <c r="H71" s="35" t="str">
        <f t="shared" si="1"/>
        <v>جيد</v>
      </c>
      <c r="I71" s="41"/>
      <c r="J71" s="42"/>
    </row>
    <row r="72" spans="1:10" ht="30" customHeight="1" thickBot="1" x14ac:dyDescent="0.25">
      <c r="A72" s="4"/>
      <c r="B72" s="71" t="s">
        <v>5</v>
      </c>
      <c r="C72" s="72"/>
      <c r="D72" s="72"/>
      <c r="E72" s="29">
        <f>SUM(E8:E71)</f>
        <v>260</v>
      </c>
      <c r="F72" s="29">
        <f>SUM(F8:F71)</f>
        <v>189</v>
      </c>
      <c r="G72" s="45"/>
      <c r="H72" s="46"/>
      <c r="I72" s="46"/>
      <c r="J72" s="47"/>
    </row>
    <row r="73" spans="1:10" ht="30" customHeight="1" thickBot="1" x14ac:dyDescent="0.25">
      <c r="A73" s="4"/>
      <c r="B73" s="73" t="s">
        <v>54</v>
      </c>
      <c r="C73" s="74"/>
      <c r="D73" s="74"/>
      <c r="E73" s="55">
        <f>F72/E72/100*100</f>
        <v>0.72692307692307689</v>
      </c>
      <c r="F73" s="55"/>
      <c r="G73" s="55"/>
      <c r="H73" s="55"/>
      <c r="I73" s="55"/>
      <c r="J73" s="56"/>
    </row>
    <row r="74" spans="1:10" ht="30" customHeight="1" thickBot="1" x14ac:dyDescent="0.25">
      <c r="A74" s="4"/>
      <c r="B74" s="73" t="s">
        <v>55</v>
      </c>
      <c r="C74" s="74"/>
      <c r="D74" s="74"/>
      <c r="E74" s="69" t="str">
        <f>_xlfn.IFS(E73&gt;=90%,"ممتاز",E73&gt;=80%,"جيد جداً",E73&gt;=70%,"جيد",E73&gt;=60%,"مقبول",E73&lt;60%,"راسب")</f>
        <v>جيد</v>
      </c>
      <c r="F74" s="69"/>
      <c r="G74" s="69"/>
      <c r="H74" s="69"/>
      <c r="I74" s="69"/>
      <c r="J74" s="70"/>
    </row>
    <row r="75" spans="1:10" ht="42" customHeight="1" x14ac:dyDescent="0.2">
      <c r="B75" s="65" t="s">
        <v>175</v>
      </c>
      <c r="C75" s="65"/>
      <c r="D75" s="65"/>
      <c r="E75" s="43" t="s">
        <v>52</v>
      </c>
      <c r="F75" s="43"/>
      <c r="G75" s="67" t="s">
        <v>101</v>
      </c>
      <c r="H75" s="67"/>
      <c r="I75" s="67"/>
      <c r="J75" s="67"/>
    </row>
    <row r="76" spans="1:10" ht="51" customHeight="1" x14ac:dyDescent="0.2">
      <c r="A76" s="5"/>
      <c r="B76" s="66"/>
      <c r="C76" s="66"/>
      <c r="D76" s="66"/>
      <c r="E76" s="44" t="s">
        <v>53</v>
      </c>
      <c r="F76" s="44"/>
      <c r="G76" s="68"/>
      <c r="H76" s="68"/>
      <c r="I76" s="68"/>
      <c r="J76" s="68"/>
    </row>
  </sheetData>
  <sheetProtection sheet="1" formatCells="0" formatColumns="0" formatRows="0" insertColumns="0" insertRows="0" insertHyperlinks="0" deleteColumns="0" deleteRows="0" selectLockedCells="1" sort="0" autoFilter="0" pivotTables="0"/>
  <mergeCells count="146">
    <mergeCell ref="B71:D71"/>
    <mergeCell ref="B59:J59"/>
    <mergeCell ref="B42:J42"/>
    <mergeCell ref="B8:J8"/>
    <mergeCell ref="B62:D62"/>
    <mergeCell ref="B63:D63"/>
    <mergeCell ref="B64:D64"/>
    <mergeCell ref="B65:D65"/>
    <mergeCell ref="B66:D66"/>
    <mergeCell ref="B67:D67"/>
    <mergeCell ref="B68:D68"/>
    <mergeCell ref="B69:D69"/>
    <mergeCell ref="B70:D70"/>
    <mergeCell ref="B53:D53"/>
    <mergeCell ref="B54:D54"/>
    <mergeCell ref="B55:D55"/>
    <mergeCell ref="B56:D56"/>
    <mergeCell ref="B57:D57"/>
    <mergeCell ref="B58:D58"/>
    <mergeCell ref="B60:D60"/>
    <mergeCell ref="B61:D61"/>
    <mergeCell ref="B44:D44"/>
    <mergeCell ref="B45:D45"/>
    <mergeCell ref="B46:D46"/>
    <mergeCell ref="B48:D48"/>
    <mergeCell ref="B49:D49"/>
    <mergeCell ref="B50:D50"/>
    <mergeCell ref="B51:D51"/>
    <mergeCell ref="B52:D52"/>
    <mergeCell ref="B35:D35"/>
    <mergeCell ref="B36:D36"/>
    <mergeCell ref="B37:D37"/>
    <mergeCell ref="B38:D38"/>
    <mergeCell ref="B39:D39"/>
    <mergeCell ref="B40:D40"/>
    <mergeCell ref="B41:D41"/>
    <mergeCell ref="B43:D43"/>
    <mergeCell ref="B9:D9"/>
    <mergeCell ref="B10:D10"/>
    <mergeCell ref="B11:D11"/>
    <mergeCell ref="B12:D12"/>
    <mergeCell ref="B13:D13"/>
    <mergeCell ref="B14:D14"/>
    <mergeCell ref="B15:D15"/>
    <mergeCell ref="B16:D16"/>
    <mergeCell ref="I32:J32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72:D72"/>
    <mergeCell ref="B73:D73"/>
    <mergeCell ref="B74:D74"/>
    <mergeCell ref="I11:J11"/>
    <mergeCell ref="I12:J12"/>
    <mergeCell ref="I13:J13"/>
    <mergeCell ref="I14:J14"/>
    <mergeCell ref="I15:J15"/>
    <mergeCell ref="I16:J16"/>
    <mergeCell ref="I17:J17"/>
    <mergeCell ref="I18:J18"/>
    <mergeCell ref="I28:J28"/>
    <mergeCell ref="I29:J29"/>
    <mergeCell ref="I60:J60"/>
    <mergeCell ref="I61:J61"/>
    <mergeCell ref="I26:J26"/>
    <mergeCell ref="I27:J27"/>
    <mergeCell ref="I64:J64"/>
    <mergeCell ref="I65:J65"/>
    <mergeCell ref="I66:J66"/>
    <mergeCell ref="B32:D32"/>
    <mergeCell ref="B33:D33"/>
    <mergeCell ref="B34:D34"/>
    <mergeCell ref="B47:D47"/>
    <mergeCell ref="B75:D76"/>
    <mergeCell ref="G75:J75"/>
    <mergeCell ref="G76:J76"/>
    <mergeCell ref="E74:J74"/>
    <mergeCell ref="I40:J40"/>
    <mergeCell ref="I41:J41"/>
    <mergeCell ref="I43:J43"/>
    <mergeCell ref="I44:J44"/>
    <mergeCell ref="I49:J49"/>
    <mergeCell ref="I50:J50"/>
    <mergeCell ref="I51:J51"/>
    <mergeCell ref="I52:J52"/>
    <mergeCell ref="I53:J53"/>
    <mergeCell ref="I54:J54"/>
    <mergeCell ref="I55:J55"/>
    <mergeCell ref="I56:J56"/>
    <mergeCell ref="I57:J57"/>
    <mergeCell ref="I58:J58"/>
    <mergeCell ref="I45:J45"/>
    <mergeCell ref="I46:J46"/>
    <mergeCell ref="I47:J47"/>
    <mergeCell ref="I48:J48"/>
    <mergeCell ref="I62:J62"/>
    <mergeCell ref="I63:J63"/>
    <mergeCell ref="B1:J1"/>
    <mergeCell ref="F2:J2"/>
    <mergeCell ref="B5:D6"/>
    <mergeCell ref="C2:D2"/>
    <mergeCell ref="C3:D3"/>
    <mergeCell ref="F3:J3"/>
    <mergeCell ref="E73:J73"/>
    <mergeCell ref="B7:D7"/>
    <mergeCell ref="I38:J38"/>
    <mergeCell ref="I39:J39"/>
    <mergeCell ref="I30:J30"/>
    <mergeCell ref="I31:J31"/>
    <mergeCell ref="E5:H5"/>
    <mergeCell ref="I37:J37"/>
    <mergeCell ref="I5:J6"/>
    <mergeCell ref="I7:J7"/>
    <mergeCell ref="I10:J10"/>
    <mergeCell ref="I19:J19"/>
    <mergeCell ref="I20:J20"/>
    <mergeCell ref="I21:J21"/>
    <mergeCell ref="I22:J22"/>
    <mergeCell ref="I23:J23"/>
    <mergeCell ref="I24:J24"/>
    <mergeCell ref="I25:J25"/>
    <mergeCell ref="I67:J67"/>
    <mergeCell ref="I68:J68"/>
    <mergeCell ref="I69:J69"/>
    <mergeCell ref="I70:J70"/>
    <mergeCell ref="I71:J71"/>
    <mergeCell ref="E75:F75"/>
    <mergeCell ref="E76:F76"/>
    <mergeCell ref="G72:J72"/>
    <mergeCell ref="I9:J9"/>
    <mergeCell ref="I33:J33"/>
    <mergeCell ref="I34:J34"/>
    <mergeCell ref="I35:J35"/>
    <mergeCell ref="I36:J36"/>
  </mergeCells>
  <conditionalFormatting sqref="C2:D2">
    <cfRule type="containsText" dxfId="23" priority="18" operator="containsText" text="أدخل الوحدة الخاضعة للتقييم">
      <formula>NOT(ISERROR(SEARCH("أدخل الوحدة الخاضعة للتقييم",C2)))</formula>
    </cfRule>
  </conditionalFormatting>
  <conditionalFormatting sqref="C3:D3">
    <cfRule type="containsText" dxfId="22" priority="17" operator="containsText" text="أدخل أسم قائد الوحدة الخاضعة للتقييم">
      <formula>NOT(ISERROR(SEARCH("أدخل أسم قائد الوحدة الخاضعة للتقييم",C3)))</formula>
    </cfRule>
  </conditionalFormatting>
  <conditionalFormatting sqref="E74">
    <cfRule type="expression" dxfId="21" priority="57">
      <formula>$E74="راسب"</formula>
    </cfRule>
  </conditionalFormatting>
  <conditionalFormatting sqref="E74:J74">
    <cfRule type="expression" dxfId="20" priority="60">
      <formula>$E74="جيد جداً"</formula>
    </cfRule>
    <cfRule type="expression" dxfId="19" priority="59">
      <formula>$E74="جيد"</formula>
    </cfRule>
    <cfRule type="expression" dxfId="18" priority="58">
      <formula>$E74="مقبول"</formula>
    </cfRule>
    <cfRule type="expression" dxfId="17" priority="61">
      <formula>$E74="ممتاز"</formula>
    </cfRule>
  </conditionalFormatting>
  <conditionalFormatting sqref="F9:F41">
    <cfRule type="containsText" dxfId="16" priority="4" operator="containsText" text="أدخل العلامة">
      <formula>NOT(ISERROR(SEARCH("أدخل العلامة",F9)))</formula>
    </cfRule>
  </conditionalFormatting>
  <conditionalFormatting sqref="F43:F58 F60:F71">
    <cfRule type="containsText" dxfId="15" priority="14" operator="containsText" text="أدخل العلامة">
      <formula>NOT(ISERROR(SEARCH("أدخل العلامة",F43)))</formula>
    </cfRule>
  </conditionalFormatting>
  <conditionalFormatting sqref="F2:J2">
    <cfRule type="containsText" dxfId="14" priority="19" operator="containsText" text="أدخل التاريخ">
      <formula>NOT(ISERROR(SEARCH("أدخل التاريخ",F2)))</formula>
    </cfRule>
  </conditionalFormatting>
  <conditionalFormatting sqref="F3:J3">
    <cfRule type="containsText" dxfId="13" priority="16" operator="containsText" text="أدخل أسم المحكم">
      <formula>NOT(ISERROR(SEARCH("أدخل أسم المحكم",F3)))</formula>
    </cfRule>
  </conditionalFormatting>
  <conditionalFormatting sqref="G75:J75">
    <cfRule type="containsText" dxfId="12" priority="15" operator="containsText" text="أدخل اسم المحكم">
      <formula>NOT(ISERROR(SEARCH("أدخل اسم المحكم",G75)))</formula>
    </cfRule>
  </conditionalFormatting>
  <conditionalFormatting sqref="H9:H41">
    <cfRule type="containsText" dxfId="11" priority="10" operator="containsText" text="راسب">
      <formula>NOT(ISERROR(SEARCH("راسب",H9)))</formula>
    </cfRule>
    <cfRule type="containsText" dxfId="10" priority="9" operator="containsText" text="مقبول">
      <formula>NOT(ISERROR(SEARCH("مقبول",H9)))</formula>
    </cfRule>
    <cfRule type="containsText" dxfId="9" priority="8" operator="containsText" text="جيد">
      <formula>NOT(ISERROR(SEARCH("جيد",H9)))</formula>
    </cfRule>
    <cfRule type="containsText" dxfId="8" priority="7" operator="containsText" text="جيد جداً">
      <formula>NOT(ISERROR(SEARCH("جيد جداً",H9)))</formula>
    </cfRule>
    <cfRule type="containsText" dxfId="7" priority="6" operator="containsText" text="ممتاز">
      <formula>NOT(ISERROR(SEARCH("ممتاز",H9)))</formula>
    </cfRule>
    <cfRule type="containsText" dxfId="6" priority="5" operator="containsText" text="أدخل العلامة">
      <formula>NOT(ISERROR(SEARCH("أدخل العلامة",H9)))</formula>
    </cfRule>
  </conditionalFormatting>
  <conditionalFormatting sqref="H43:H58 H60:H71">
    <cfRule type="containsText" dxfId="5" priority="38" operator="containsText" text="أدخل العلامة">
      <formula>NOT(ISERROR(SEARCH("أدخل العلامة",H43)))</formula>
    </cfRule>
    <cfRule type="containsText" dxfId="4" priority="39" operator="containsText" text="ممتاز">
      <formula>NOT(ISERROR(SEARCH("ممتاز",H43)))</formula>
    </cfRule>
    <cfRule type="containsText" dxfId="3" priority="40" operator="containsText" text="جيد جداً">
      <formula>NOT(ISERROR(SEARCH("جيد جداً",H43)))</formula>
    </cfRule>
    <cfRule type="containsText" dxfId="2" priority="41" operator="containsText" text="جيد">
      <formula>NOT(ISERROR(SEARCH("جيد",H43)))</formula>
    </cfRule>
    <cfRule type="containsText" dxfId="1" priority="42" operator="containsText" text="مقبول">
      <formula>NOT(ISERROR(SEARCH("مقبول",H43)))</formula>
    </cfRule>
    <cfRule type="containsText" dxfId="0" priority="43" operator="containsText" text="راسب">
      <formula>NOT(ISERROR(SEARCH("راسب",H43)))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69" fitToHeight="0" orientation="portrait" r:id="rId1"/>
  <headerFooter>
    <oddHeader>&amp;C&amp;"-,Bold"&amp;12&amp;Uسري للغاية</oddHeader>
    <oddFooter>&amp;C&amp;"-,Bold"&amp;P&amp;"-,Regular"
&amp;"-,Bold"&amp;Uسري للغاية</oddFooter>
  </headerFooter>
  <drawing r:id="rId2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39AD22F4-AC0E-4009-A1CA-39040C022149}">
          <x14:formula1>
            <xm:f>'بيانات التقييم'!$A$38:$A$106</xm:f>
          </x14:formula1>
          <xm:sqref>F2:J2</xm:sqref>
        </x14:dataValidation>
        <x14:dataValidation type="list" allowBlank="1" showInputMessage="1" showErrorMessage="1" xr:uid="{A272D648-FCB4-4132-BCDE-E6BADA2BBA96}">
          <x14:formula1>
            <xm:f>'بيانات التقييم'!$A$1:$A$34</xm:f>
          </x14:formula1>
          <xm:sqref>C2:D2</xm:sqref>
        </x14:dataValidation>
        <x14:dataValidation type="list" allowBlank="1" showInputMessage="1" showErrorMessage="1" xr:uid="{B02DBD13-A8C4-4819-9425-63F70757FE96}">
          <x14:formula1>
            <xm:f>'بيانات التقييم'!$A$111:$A$133</xm:f>
          </x14:formula1>
          <xm:sqref>F61:F71 F46:F58 F43:F44 F37:F41 F26:F35 F20:F23 F13:F18 F11 F9</xm:sqref>
        </x14:dataValidation>
        <x14:dataValidation type="list" allowBlank="1" showInputMessage="1" showErrorMessage="1" xr:uid="{AE50457C-7424-4A4C-907B-8DC6AA09E7A3}">
          <x14:formula1>
            <xm:f>'بيانات التقييم'!$A$198:$A$285</xm:f>
          </x14:formula1>
          <xm:sqref>G75:J75 F3:J3</xm:sqref>
        </x14:dataValidation>
        <x14:dataValidation type="list" allowBlank="1" showInputMessage="1" showErrorMessage="1" xr:uid="{74512448-CAED-4995-932E-CDA01DC3A5DC}">
          <x14:formula1>
            <xm:f>'بيانات التقييم'!$C$1:$C$28</xm:f>
          </x14:formula1>
          <xm:sqref>C3:D3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0E097-B5B4-4A62-8BA3-2420E658D743}">
  <sheetPr codeName="Sheet3"/>
  <dimension ref="A1:I337"/>
  <sheetViews>
    <sheetView rightToLeft="1" topLeftCell="A262" workbookViewId="0">
      <selection activeCell="A199" sqref="A199:A285"/>
    </sheetView>
  </sheetViews>
  <sheetFormatPr defaultRowHeight="20.100000000000001" customHeight="1" x14ac:dyDescent="0.2"/>
  <cols>
    <col min="1" max="1" width="42.5078125" style="1" customWidth="1"/>
    <col min="2" max="2" width="24.88671875" style="1" customWidth="1"/>
    <col min="3" max="3" width="59.86328125" style="1" customWidth="1"/>
    <col min="4" max="9" width="9.01171875" style="1"/>
  </cols>
  <sheetData>
    <row r="1" spans="1:3" ht="20.100000000000001" customHeight="1" thickBot="1" x14ac:dyDescent="0.3">
      <c r="A1" s="2" t="s">
        <v>57</v>
      </c>
      <c r="C1" s="2" t="s">
        <v>60</v>
      </c>
    </row>
    <row r="2" spans="1:3" ht="20.100000000000001" customHeight="1" thickBot="1" x14ac:dyDescent="0.3">
      <c r="A2" s="2" t="s">
        <v>35</v>
      </c>
      <c r="C2" s="19" t="s">
        <v>62</v>
      </c>
    </row>
    <row r="3" spans="1:3" ht="20.100000000000001" customHeight="1" thickBot="1" x14ac:dyDescent="0.3">
      <c r="A3" s="2" t="s">
        <v>26</v>
      </c>
      <c r="C3" s="19" t="s">
        <v>63</v>
      </c>
    </row>
    <row r="4" spans="1:3" ht="20.100000000000001" customHeight="1" thickBot="1" x14ac:dyDescent="0.3">
      <c r="A4" s="2" t="s">
        <v>36</v>
      </c>
      <c r="C4" s="19" t="s">
        <v>64</v>
      </c>
    </row>
    <row r="5" spans="1:3" ht="20.100000000000001" customHeight="1" thickBot="1" x14ac:dyDescent="0.3">
      <c r="A5" s="2" t="s">
        <v>37</v>
      </c>
      <c r="C5" s="19" t="s">
        <v>65</v>
      </c>
    </row>
    <row r="6" spans="1:3" ht="20.100000000000001" customHeight="1" thickBot="1" x14ac:dyDescent="0.3">
      <c r="A6" s="2" t="s">
        <v>38</v>
      </c>
      <c r="C6" s="19" t="s">
        <v>66</v>
      </c>
    </row>
    <row r="7" spans="1:3" ht="20.100000000000001" customHeight="1" thickBot="1" x14ac:dyDescent="0.3">
      <c r="A7" s="2" t="s">
        <v>39</v>
      </c>
      <c r="C7" s="19" t="s">
        <v>67</v>
      </c>
    </row>
    <row r="8" spans="1:3" ht="20.100000000000001" customHeight="1" thickBot="1" x14ac:dyDescent="0.3">
      <c r="A8" s="2" t="s">
        <v>40</v>
      </c>
      <c r="C8" s="19" t="s">
        <v>68</v>
      </c>
    </row>
    <row r="9" spans="1:3" ht="20.100000000000001" customHeight="1" thickBot="1" x14ac:dyDescent="0.3">
      <c r="A9" s="2" t="s">
        <v>41</v>
      </c>
      <c r="C9" s="19" t="s">
        <v>69</v>
      </c>
    </row>
    <row r="10" spans="1:3" ht="20.100000000000001" customHeight="1" thickBot="1" x14ac:dyDescent="0.3">
      <c r="A10" s="2" t="s">
        <v>42</v>
      </c>
      <c r="C10" s="19" t="s">
        <v>70</v>
      </c>
    </row>
    <row r="11" spans="1:3" ht="20.100000000000001" customHeight="1" thickBot="1" x14ac:dyDescent="0.3">
      <c r="A11" s="2" t="s">
        <v>43</v>
      </c>
      <c r="C11" s="19" t="s">
        <v>71</v>
      </c>
    </row>
    <row r="12" spans="1:3" ht="20.100000000000001" customHeight="1" thickBot="1" x14ac:dyDescent="0.3">
      <c r="A12" s="2" t="s">
        <v>44</v>
      </c>
      <c r="C12" s="19" t="s">
        <v>72</v>
      </c>
    </row>
    <row r="13" spans="1:3" ht="20.100000000000001" customHeight="1" thickBot="1" x14ac:dyDescent="0.3">
      <c r="A13" s="2" t="s">
        <v>45</v>
      </c>
      <c r="C13" s="19" t="s">
        <v>73</v>
      </c>
    </row>
    <row r="14" spans="1:3" ht="20.100000000000001" customHeight="1" thickBot="1" x14ac:dyDescent="0.3">
      <c r="A14" s="2" t="s">
        <v>46</v>
      </c>
      <c r="C14" s="19" t="s">
        <v>74</v>
      </c>
    </row>
    <row r="15" spans="1:3" ht="20.100000000000001" customHeight="1" thickBot="1" x14ac:dyDescent="0.3">
      <c r="A15" s="2" t="s">
        <v>47</v>
      </c>
      <c r="C15" s="19" t="s">
        <v>75</v>
      </c>
    </row>
    <row r="16" spans="1:3" ht="20.100000000000001" customHeight="1" thickBot="1" x14ac:dyDescent="0.3">
      <c r="A16" s="2" t="s">
        <v>10</v>
      </c>
      <c r="C16" s="19" t="s">
        <v>76</v>
      </c>
    </row>
    <row r="17" spans="1:3" ht="20.100000000000001" customHeight="1" thickBot="1" x14ac:dyDescent="0.3">
      <c r="A17" s="2" t="s">
        <v>27</v>
      </c>
      <c r="C17" s="19" t="s">
        <v>77</v>
      </c>
    </row>
    <row r="18" spans="1:3" ht="20.100000000000001" customHeight="1" thickBot="1" x14ac:dyDescent="0.3">
      <c r="A18" s="2" t="s">
        <v>48</v>
      </c>
      <c r="C18" s="19" t="s">
        <v>78</v>
      </c>
    </row>
    <row r="19" spans="1:3" ht="20.100000000000001" customHeight="1" thickBot="1" x14ac:dyDescent="0.3">
      <c r="A19" s="2" t="s">
        <v>49</v>
      </c>
      <c r="C19" s="19" t="s">
        <v>79</v>
      </c>
    </row>
    <row r="20" spans="1:3" ht="20.100000000000001" customHeight="1" thickBot="1" x14ac:dyDescent="0.3">
      <c r="A20" s="2" t="s">
        <v>50</v>
      </c>
      <c r="C20" s="19" t="s">
        <v>80</v>
      </c>
    </row>
    <row r="21" spans="1:3" ht="20.100000000000001" customHeight="1" thickBot="1" x14ac:dyDescent="0.3">
      <c r="A21" s="2" t="s">
        <v>51</v>
      </c>
      <c r="C21" s="19" t="s">
        <v>81</v>
      </c>
    </row>
    <row r="22" spans="1:3" ht="20.100000000000001" customHeight="1" thickBot="1" x14ac:dyDescent="0.3">
      <c r="A22" s="2" t="s">
        <v>11</v>
      </c>
      <c r="C22" s="19" t="s">
        <v>82</v>
      </c>
    </row>
    <row r="23" spans="1:3" ht="20.100000000000001" customHeight="1" thickBot="1" x14ac:dyDescent="0.3">
      <c r="A23" s="2" t="s">
        <v>12</v>
      </c>
      <c r="C23" s="19" t="s">
        <v>83</v>
      </c>
    </row>
    <row r="24" spans="1:3" ht="20.100000000000001" customHeight="1" thickBot="1" x14ac:dyDescent="0.3">
      <c r="A24" s="2" t="s">
        <v>15</v>
      </c>
      <c r="C24" s="19" t="s">
        <v>84</v>
      </c>
    </row>
    <row r="25" spans="1:3" ht="20.100000000000001" customHeight="1" thickBot="1" x14ac:dyDescent="0.3">
      <c r="A25" s="2" t="s">
        <v>28</v>
      </c>
      <c r="C25" s="19" t="s">
        <v>85</v>
      </c>
    </row>
    <row r="26" spans="1:3" ht="20.100000000000001" customHeight="1" thickBot="1" x14ac:dyDescent="0.3">
      <c r="A26" s="2" t="s">
        <v>29</v>
      </c>
      <c r="C26" s="19" t="s">
        <v>86</v>
      </c>
    </row>
    <row r="27" spans="1:3" ht="20.100000000000001" customHeight="1" thickBot="1" x14ac:dyDescent="0.3">
      <c r="A27" s="2" t="s">
        <v>13</v>
      </c>
      <c r="C27" s="19" t="s">
        <v>87</v>
      </c>
    </row>
    <row r="28" spans="1:3" ht="20.100000000000001" customHeight="1" thickBot="1" x14ac:dyDescent="0.3">
      <c r="A28" s="2" t="s">
        <v>30</v>
      </c>
      <c r="C28" s="19" t="s">
        <v>88</v>
      </c>
    </row>
    <row r="29" spans="1:3" ht="20.100000000000001" customHeight="1" thickBot="1" x14ac:dyDescent="0.3">
      <c r="A29" s="2" t="s">
        <v>31</v>
      </c>
      <c r="C29" s="2"/>
    </row>
    <row r="30" spans="1:3" ht="20.100000000000001" customHeight="1" thickBot="1" x14ac:dyDescent="0.3">
      <c r="A30" s="2" t="s">
        <v>32</v>
      </c>
      <c r="C30" s="2"/>
    </row>
    <row r="31" spans="1:3" ht="20.100000000000001" customHeight="1" thickBot="1" x14ac:dyDescent="0.3">
      <c r="A31" s="2" t="s">
        <v>33</v>
      </c>
      <c r="C31" s="2"/>
    </row>
    <row r="32" spans="1:3" ht="20.100000000000001" customHeight="1" thickBot="1" x14ac:dyDescent="0.3">
      <c r="A32" s="2" t="s">
        <v>16</v>
      </c>
      <c r="C32" s="2"/>
    </row>
    <row r="33" spans="1:9" ht="20.100000000000001" customHeight="1" thickBot="1" x14ac:dyDescent="0.3">
      <c r="A33" s="2" t="s">
        <v>14</v>
      </c>
      <c r="C33" s="2"/>
    </row>
    <row r="34" spans="1:9" ht="20.100000000000001" customHeight="1" thickBot="1" x14ac:dyDescent="0.3">
      <c r="A34" s="2" t="s">
        <v>34</v>
      </c>
      <c r="C34" s="2"/>
    </row>
    <row r="35" spans="1:9" ht="20.100000000000001" customHeight="1" x14ac:dyDescent="0.2">
      <c r="A35" s="18"/>
    </row>
    <row r="36" spans="1:9" s="17" customFormat="1" ht="20.100000000000001" customHeight="1" x14ac:dyDescent="0.2">
      <c r="A36" s="15"/>
      <c r="B36" s="16"/>
      <c r="C36" s="16"/>
      <c r="D36" s="16"/>
      <c r="E36" s="16"/>
      <c r="F36" s="16"/>
      <c r="G36" s="16"/>
      <c r="H36" s="16"/>
      <c r="I36" s="16"/>
    </row>
    <row r="37" spans="1:9" ht="20.100000000000001" customHeight="1" thickBot="1" x14ac:dyDescent="0.25"/>
    <row r="38" spans="1:9" ht="20.100000000000001" customHeight="1" thickBot="1" x14ac:dyDescent="0.3">
      <c r="A38" s="2" t="s">
        <v>56</v>
      </c>
    </row>
    <row r="39" spans="1:9" ht="20.100000000000001" customHeight="1" thickBot="1" x14ac:dyDescent="0.3">
      <c r="A39" s="13">
        <v>45901</v>
      </c>
    </row>
    <row r="40" spans="1:9" ht="20.100000000000001" customHeight="1" thickBot="1" x14ac:dyDescent="0.3">
      <c r="A40" s="13">
        <v>45902</v>
      </c>
    </row>
    <row r="41" spans="1:9" ht="20.100000000000001" customHeight="1" thickBot="1" x14ac:dyDescent="0.3">
      <c r="A41" s="13">
        <v>45903</v>
      </c>
    </row>
    <row r="42" spans="1:9" ht="20.100000000000001" customHeight="1" thickBot="1" x14ac:dyDescent="0.3">
      <c r="A42" s="13">
        <v>45904</v>
      </c>
    </row>
    <row r="43" spans="1:9" ht="20.100000000000001" customHeight="1" thickBot="1" x14ac:dyDescent="0.3">
      <c r="A43" s="13">
        <v>45905</v>
      </c>
    </row>
    <row r="44" spans="1:9" ht="20.100000000000001" customHeight="1" thickBot="1" x14ac:dyDescent="0.3">
      <c r="A44" s="13">
        <v>45906</v>
      </c>
    </row>
    <row r="45" spans="1:9" ht="20.100000000000001" customHeight="1" thickBot="1" x14ac:dyDescent="0.3">
      <c r="A45" s="13">
        <v>45907</v>
      </c>
    </row>
    <row r="46" spans="1:9" ht="20.100000000000001" customHeight="1" thickBot="1" x14ac:dyDescent="0.3">
      <c r="A46" s="13">
        <v>45908</v>
      </c>
    </row>
    <row r="47" spans="1:9" ht="20.100000000000001" customHeight="1" thickBot="1" x14ac:dyDescent="0.3">
      <c r="A47" s="13">
        <v>45909</v>
      </c>
    </row>
    <row r="48" spans="1:9" ht="20.100000000000001" customHeight="1" thickBot="1" x14ac:dyDescent="0.3">
      <c r="A48" s="13">
        <v>45910</v>
      </c>
    </row>
    <row r="49" spans="1:1" ht="20.100000000000001" customHeight="1" thickBot="1" x14ac:dyDescent="0.3">
      <c r="A49" s="13">
        <v>45911</v>
      </c>
    </row>
    <row r="50" spans="1:1" ht="20.100000000000001" customHeight="1" thickBot="1" x14ac:dyDescent="0.3">
      <c r="A50" s="13">
        <v>45912</v>
      </c>
    </row>
    <row r="51" spans="1:1" ht="20.100000000000001" customHeight="1" thickBot="1" x14ac:dyDescent="0.3">
      <c r="A51" s="13">
        <v>45913</v>
      </c>
    </row>
    <row r="52" spans="1:1" ht="20.100000000000001" customHeight="1" thickBot="1" x14ac:dyDescent="0.3">
      <c r="A52" s="13">
        <v>45914</v>
      </c>
    </row>
    <row r="53" spans="1:1" ht="20.100000000000001" customHeight="1" thickBot="1" x14ac:dyDescent="0.3">
      <c r="A53" s="13">
        <v>45915</v>
      </c>
    </row>
    <row r="54" spans="1:1" ht="20.100000000000001" customHeight="1" thickBot="1" x14ac:dyDescent="0.3">
      <c r="A54" s="13">
        <v>45916</v>
      </c>
    </row>
    <row r="55" spans="1:1" ht="20.100000000000001" customHeight="1" thickBot="1" x14ac:dyDescent="0.3">
      <c r="A55" s="13">
        <v>45917</v>
      </c>
    </row>
    <row r="56" spans="1:1" ht="20.100000000000001" customHeight="1" thickBot="1" x14ac:dyDescent="0.3">
      <c r="A56" s="13">
        <v>45918</v>
      </c>
    </row>
    <row r="57" spans="1:1" ht="20.100000000000001" customHeight="1" thickBot="1" x14ac:dyDescent="0.3">
      <c r="A57" s="13">
        <v>45919</v>
      </c>
    </row>
    <row r="58" spans="1:1" ht="20.100000000000001" customHeight="1" thickBot="1" x14ac:dyDescent="0.3">
      <c r="A58" s="13">
        <v>45920</v>
      </c>
    </row>
    <row r="59" spans="1:1" ht="20.100000000000001" customHeight="1" thickBot="1" x14ac:dyDescent="0.3">
      <c r="A59" s="13">
        <v>45921</v>
      </c>
    </row>
    <row r="60" spans="1:1" ht="20.100000000000001" customHeight="1" thickBot="1" x14ac:dyDescent="0.3">
      <c r="A60" s="13">
        <v>45922</v>
      </c>
    </row>
    <row r="61" spans="1:1" ht="20.100000000000001" customHeight="1" thickBot="1" x14ac:dyDescent="0.3">
      <c r="A61" s="13">
        <v>45923</v>
      </c>
    </row>
    <row r="62" spans="1:1" ht="20.100000000000001" customHeight="1" thickBot="1" x14ac:dyDescent="0.3">
      <c r="A62" s="13">
        <v>45924</v>
      </c>
    </row>
    <row r="63" spans="1:1" ht="20.100000000000001" customHeight="1" thickBot="1" x14ac:dyDescent="0.3">
      <c r="A63" s="13">
        <v>45925</v>
      </c>
    </row>
    <row r="64" spans="1:1" ht="20.100000000000001" customHeight="1" thickBot="1" x14ac:dyDescent="0.3">
      <c r="A64" s="13">
        <v>45926</v>
      </c>
    </row>
    <row r="65" spans="1:1" ht="20.100000000000001" customHeight="1" thickBot="1" x14ac:dyDescent="0.3">
      <c r="A65" s="13">
        <v>45927</v>
      </c>
    </row>
    <row r="66" spans="1:1" ht="20.100000000000001" customHeight="1" thickBot="1" x14ac:dyDescent="0.3">
      <c r="A66" s="13">
        <v>45928</v>
      </c>
    </row>
    <row r="67" spans="1:1" ht="20.100000000000001" customHeight="1" thickBot="1" x14ac:dyDescent="0.3">
      <c r="A67" s="13">
        <v>45929</v>
      </c>
    </row>
    <row r="68" spans="1:1" ht="20.100000000000001" customHeight="1" thickBot="1" x14ac:dyDescent="0.3">
      <c r="A68" s="13">
        <v>45930</v>
      </c>
    </row>
    <row r="69" spans="1:1" ht="20.100000000000001" customHeight="1" thickBot="1" x14ac:dyDescent="0.3">
      <c r="A69" s="13">
        <v>45931</v>
      </c>
    </row>
    <row r="70" spans="1:1" ht="20.100000000000001" customHeight="1" thickBot="1" x14ac:dyDescent="0.3">
      <c r="A70" s="13">
        <v>45932</v>
      </c>
    </row>
    <row r="71" spans="1:1" ht="20.100000000000001" customHeight="1" thickBot="1" x14ac:dyDescent="0.3">
      <c r="A71" s="13">
        <v>45933</v>
      </c>
    </row>
    <row r="72" spans="1:1" ht="20.100000000000001" customHeight="1" thickBot="1" x14ac:dyDescent="0.3">
      <c r="A72" s="13">
        <v>45934</v>
      </c>
    </row>
    <row r="73" spans="1:1" ht="20.100000000000001" customHeight="1" thickBot="1" x14ac:dyDescent="0.3">
      <c r="A73" s="13">
        <v>45935</v>
      </c>
    </row>
    <row r="74" spans="1:1" ht="20.100000000000001" customHeight="1" thickBot="1" x14ac:dyDescent="0.3">
      <c r="A74" s="13">
        <v>45936</v>
      </c>
    </row>
    <row r="75" spans="1:1" ht="20.100000000000001" customHeight="1" thickBot="1" x14ac:dyDescent="0.3">
      <c r="A75" s="13">
        <v>45937</v>
      </c>
    </row>
    <row r="76" spans="1:1" ht="20.100000000000001" customHeight="1" thickBot="1" x14ac:dyDescent="0.3">
      <c r="A76" s="13">
        <v>45938</v>
      </c>
    </row>
    <row r="77" spans="1:1" ht="20.100000000000001" customHeight="1" thickBot="1" x14ac:dyDescent="0.3">
      <c r="A77" s="13">
        <v>45939</v>
      </c>
    </row>
    <row r="78" spans="1:1" ht="20.100000000000001" customHeight="1" thickBot="1" x14ac:dyDescent="0.3">
      <c r="A78" s="13">
        <v>45940</v>
      </c>
    </row>
    <row r="79" spans="1:1" ht="20.100000000000001" customHeight="1" thickBot="1" x14ac:dyDescent="0.3">
      <c r="A79" s="13">
        <v>45941</v>
      </c>
    </row>
    <row r="80" spans="1:1" ht="20.100000000000001" customHeight="1" thickBot="1" x14ac:dyDescent="0.3">
      <c r="A80" s="13">
        <v>45942</v>
      </c>
    </row>
    <row r="81" spans="1:1" ht="20.100000000000001" customHeight="1" thickBot="1" x14ac:dyDescent="0.3">
      <c r="A81" s="13">
        <v>45943</v>
      </c>
    </row>
    <row r="82" spans="1:1" ht="20.100000000000001" customHeight="1" thickBot="1" x14ac:dyDescent="0.3">
      <c r="A82" s="13">
        <v>45944</v>
      </c>
    </row>
    <row r="83" spans="1:1" ht="20.100000000000001" customHeight="1" thickBot="1" x14ac:dyDescent="0.3">
      <c r="A83" s="13">
        <v>45945</v>
      </c>
    </row>
    <row r="84" spans="1:1" ht="20.100000000000001" customHeight="1" thickBot="1" x14ac:dyDescent="0.3">
      <c r="A84" s="13">
        <v>45946</v>
      </c>
    </row>
    <row r="85" spans="1:1" ht="20.100000000000001" customHeight="1" thickBot="1" x14ac:dyDescent="0.3">
      <c r="A85" s="13">
        <v>45947</v>
      </c>
    </row>
    <row r="86" spans="1:1" ht="20.100000000000001" customHeight="1" thickBot="1" x14ac:dyDescent="0.3">
      <c r="A86" s="13">
        <v>45948</v>
      </c>
    </row>
    <row r="87" spans="1:1" ht="20.100000000000001" customHeight="1" thickBot="1" x14ac:dyDescent="0.3">
      <c r="A87" s="13">
        <v>45949</v>
      </c>
    </row>
    <row r="88" spans="1:1" ht="20.100000000000001" customHeight="1" thickBot="1" x14ac:dyDescent="0.3">
      <c r="A88" s="13">
        <v>45950</v>
      </c>
    </row>
    <row r="89" spans="1:1" ht="20.100000000000001" customHeight="1" thickBot="1" x14ac:dyDescent="0.3">
      <c r="A89" s="13">
        <v>45951</v>
      </c>
    </row>
    <row r="90" spans="1:1" ht="20.100000000000001" customHeight="1" thickBot="1" x14ac:dyDescent="0.3">
      <c r="A90" s="13">
        <v>45952</v>
      </c>
    </row>
    <row r="91" spans="1:1" ht="20.100000000000001" customHeight="1" thickBot="1" x14ac:dyDescent="0.3">
      <c r="A91" s="13">
        <v>45953</v>
      </c>
    </row>
    <row r="92" spans="1:1" ht="20.100000000000001" customHeight="1" thickBot="1" x14ac:dyDescent="0.3">
      <c r="A92" s="13">
        <v>45954</v>
      </c>
    </row>
    <row r="93" spans="1:1" ht="20.100000000000001" customHeight="1" thickBot="1" x14ac:dyDescent="0.3">
      <c r="A93" s="13">
        <v>45955</v>
      </c>
    </row>
    <row r="94" spans="1:1" ht="20.100000000000001" customHeight="1" thickBot="1" x14ac:dyDescent="0.3">
      <c r="A94" s="13">
        <v>45956</v>
      </c>
    </row>
    <row r="95" spans="1:1" ht="20.100000000000001" customHeight="1" thickBot="1" x14ac:dyDescent="0.3">
      <c r="A95" s="13">
        <v>45957</v>
      </c>
    </row>
    <row r="96" spans="1:1" ht="20.100000000000001" customHeight="1" thickBot="1" x14ac:dyDescent="0.3">
      <c r="A96" s="13">
        <v>45958</v>
      </c>
    </row>
    <row r="97" spans="1:9" ht="20.100000000000001" customHeight="1" thickBot="1" x14ac:dyDescent="0.3">
      <c r="A97" s="13">
        <v>45959</v>
      </c>
    </row>
    <row r="98" spans="1:9" ht="20.100000000000001" customHeight="1" thickBot="1" x14ac:dyDescent="0.3">
      <c r="A98" s="13">
        <v>45960</v>
      </c>
    </row>
    <row r="99" spans="1:9" ht="20.100000000000001" customHeight="1" thickBot="1" x14ac:dyDescent="0.3">
      <c r="A99" s="13">
        <v>45961</v>
      </c>
    </row>
    <row r="100" spans="1:9" ht="20.100000000000001" customHeight="1" thickBot="1" x14ac:dyDescent="0.3">
      <c r="A100" s="13">
        <v>45962</v>
      </c>
    </row>
    <row r="101" spans="1:9" ht="20.100000000000001" customHeight="1" thickBot="1" x14ac:dyDescent="0.3">
      <c r="A101" s="13">
        <v>45963</v>
      </c>
    </row>
    <row r="102" spans="1:9" ht="20.100000000000001" customHeight="1" thickBot="1" x14ac:dyDescent="0.3">
      <c r="A102" s="13">
        <v>45964</v>
      </c>
    </row>
    <row r="103" spans="1:9" ht="20.100000000000001" customHeight="1" thickBot="1" x14ac:dyDescent="0.3">
      <c r="A103" s="13">
        <v>45965</v>
      </c>
    </row>
    <row r="104" spans="1:9" ht="20.100000000000001" customHeight="1" thickBot="1" x14ac:dyDescent="0.3">
      <c r="A104" s="13">
        <v>45966</v>
      </c>
    </row>
    <row r="105" spans="1:9" ht="20.100000000000001" customHeight="1" thickBot="1" x14ac:dyDescent="0.3">
      <c r="A105" s="13">
        <v>45967</v>
      </c>
    </row>
    <row r="106" spans="1:9" ht="20.100000000000001" customHeight="1" thickBot="1" x14ac:dyDescent="0.3">
      <c r="A106" s="13">
        <v>45968</v>
      </c>
    </row>
    <row r="107" spans="1:9" ht="20.100000000000001" customHeight="1" x14ac:dyDescent="0.2">
      <c r="A107" s="14"/>
    </row>
    <row r="108" spans="1:9" ht="20.100000000000001" customHeight="1" x14ac:dyDescent="0.2">
      <c r="A108" s="14"/>
    </row>
    <row r="109" spans="1:9" s="17" customFormat="1" ht="20.100000000000001" customHeight="1" x14ac:dyDescent="0.2">
      <c r="A109" s="15"/>
      <c r="B109" s="16"/>
      <c r="C109" s="16"/>
      <c r="D109" s="16"/>
      <c r="E109" s="16"/>
      <c r="F109" s="16"/>
      <c r="G109" s="16"/>
      <c r="H109" s="16"/>
      <c r="I109" s="16"/>
    </row>
    <row r="110" spans="1:9" ht="20.100000000000001" customHeight="1" thickBot="1" x14ac:dyDescent="0.25"/>
    <row r="111" spans="1:9" ht="20.100000000000001" customHeight="1" thickBot="1" x14ac:dyDescent="0.3">
      <c r="A111" s="2" t="s">
        <v>61</v>
      </c>
    </row>
    <row r="112" spans="1:9" ht="20.100000000000001" customHeight="1" thickBot="1" x14ac:dyDescent="0.3">
      <c r="A112" s="2" t="s">
        <v>17</v>
      </c>
    </row>
    <row r="113" spans="1:1" ht="20.100000000000001" customHeight="1" thickBot="1" x14ac:dyDescent="0.25">
      <c r="A113" s="2">
        <v>0</v>
      </c>
    </row>
    <row r="114" spans="1:1" ht="20.100000000000001" customHeight="1" thickBot="1" x14ac:dyDescent="0.25">
      <c r="A114" s="2">
        <v>0.25</v>
      </c>
    </row>
    <row r="115" spans="1:1" ht="20.100000000000001" customHeight="1" thickBot="1" x14ac:dyDescent="0.25">
      <c r="A115" s="2">
        <v>0.5</v>
      </c>
    </row>
    <row r="116" spans="1:1" ht="20.100000000000001" customHeight="1" thickBot="1" x14ac:dyDescent="0.25">
      <c r="A116" s="2">
        <v>0.75</v>
      </c>
    </row>
    <row r="117" spans="1:1" ht="20.100000000000001" customHeight="1" thickBot="1" x14ac:dyDescent="0.25">
      <c r="A117" s="2">
        <v>1</v>
      </c>
    </row>
    <row r="118" spans="1:1" ht="20.100000000000001" customHeight="1" thickBot="1" x14ac:dyDescent="0.25">
      <c r="A118" s="2">
        <v>1.25</v>
      </c>
    </row>
    <row r="119" spans="1:1" ht="20.100000000000001" customHeight="1" thickBot="1" x14ac:dyDescent="0.25">
      <c r="A119" s="2">
        <v>1.5</v>
      </c>
    </row>
    <row r="120" spans="1:1" ht="20.100000000000001" customHeight="1" thickBot="1" x14ac:dyDescent="0.25">
      <c r="A120" s="2">
        <v>1.75</v>
      </c>
    </row>
    <row r="121" spans="1:1" ht="20.100000000000001" customHeight="1" thickBot="1" x14ac:dyDescent="0.25">
      <c r="A121" s="2">
        <v>2</v>
      </c>
    </row>
    <row r="122" spans="1:1" ht="20.100000000000001" customHeight="1" thickBot="1" x14ac:dyDescent="0.25">
      <c r="A122" s="2">
        <v>2.25</v>
      </c>
    </row>
    <row r="123" spans="1:1" ht="20.100000000000001" customHeight="1" thickBot="1" x14ac:dyDescent="0.25">
      <c r="A123" s="2">
        <v>2.5</v>
      </c>
    </row>
    <row r="124" spans="1:1" ht="20.100000000000001" customHeight="1" thickBot="1" x14ac:dyDescent="0.25">
      <c r="A124" s="2">
        <v>2.75</v>
      </c>
    </row>
    <row r="125" spans="1:1" ht="20.100000000000001" customHeight="1" thickBot="1" x14ac:dyDescent="0.25">
      <c r="A125" s="2">
        <v>3</v>
      </c>
    </row>
    <row r="126" spans="1:1" ht="20.100000000000001" customHeight="1" thickBot="1" x14ac:dyDescent="0.25">
      <c r="A126" s="2">
        <v>3.25</v>
      </c>
    </row>
    <row r="127" spans="1:1" ht="20.100000000000001" customHeight="1" thickBot="1" x14ac:dyDescent="0.25">
      <c r="A127" s="2">
        <v>3.5</v>
      </c>
    </row>
    <row r="128" spans="1:1" ht="20.100000000000001" customHeight="1" thickBot="1" x14ac:dyDescent="0.25">
      <c r="A128" s="2">
        <v>3.75</v>
      </c>
    </row>
    <row r="129" spans="1:1" ht="20.100000000000001" customHeight="1" thickBot="1" x14ac:dyDescent="0.25">
      <c r="A129" s="2">
        <v>4</v>
      </c>
    </row>
    <row r="130" spans="1:1" ht="20.100000000000001" customHeight="1" thickBot="1" x14ac:dyDescent="0.25">
      <c r="A130" s="2">
        <v>4.25</v>
      </c>
    </row>
    <row r="131" spans="1:1" ht="20.100000000000001" customHeight="1" thickBot="1" x14ac:dyDescent="0.25">
      <c r="A131" s="2">
        <v>4.5</v>
      </c>
    </row>
    <row r="132" spans="1:1" ht="20.100000000000001" customHeight="1" thickBot="1" x14ac:dyDescent="0.25">
      <c r="A132" s="2">
        <v>4.75</v>
      </c>
    </row>
    <row r="133" spans="1:1" ht="20.100000000000001" customHeight="1" thickBot="1" x14ac:dyDescent="0.25">
      <c r="A133" s="2">
        <v>5</v>
      </c>
    </row>
    <row r="134" spans="1:1" ht="20.100000000000001" customHeight="1" thickBot="1" x14ac:dyDescent="0.25">
      <c r="A134" s="2">
        <v>5.25</v>
      </c>
    </row>
    <row r="135" spans="1:1" ht="20.100000000000001" customHeight="1" thickBot="1" x14ac:dyDescent="0.25">
      <c r="A135" s="2">
        <v>5.5</v>
      </c>
    </row>
    <row r="136" spans="1:1" ht="20.100000000000001" customHeight="1" thickBot="1" x14ac:dyDescent="0.25">
      <c r="A136" s="2">
        <v>5.75</v>
      </c>
    </row>
    <row r="137" spans="1:1" ht="20.100000000000001" customHeight="1" thickBot="1" x14ac:dyDescent="0.25">
      <c r="A137" s="2">
        <v>6</v>
      </c>
    </row>
    <row r="138" spans="1:1" ht="20.100000000000001" customHeight="1" thickBot="1" x14ac:dyDescent="0.25">
      <c r="A138" s="2">
        <v>6.25</v>
      </c>
    </row>
    <row r="139" spans="1:1" ht="20.100000000000001" customHeight="1" thickBot="1" x14ac:dyDescent="0.25">
      <c r="A139" s="2">
        <v>6.5</v>
      </c>
    </row>
    <row r="140" spans="1:1" ht="20.100000000000001" customHeight="1" thickBot="1" x14ac:dyDescent="0.25">
      <c r="A140" s="2">
        <v>6.75</v>
      </c>
    </row>
    <row r="141" spans="1:1" ht="20.100000000000001" customHeight="1" thickBot="1" x14ac:dyDescent="0.25">
      <c r="A141" s="2">
        <v>7</v>
      </c>
    </row>
    <row r="142" spans="1:1" ht="20.100000000000001" customHeight="1" thickBot="1" x14ac:dyDescent="0.25">
      <c r="A142" s="2">
        <v>7.25</v>
      </c>
    </row>
    <row r="143" spans="1:1" ht="20.100000000000001" customHeight="1" thickBot="1" x14ac:dyDescent="0.25">
      <c r="A143" s="2">
        <v>7.5</v>
      </c>
    </row>
    <row r="144" spans="1:1" ht="20.100000000000001" customHeight="1" thickBot="1" x14ac:dyDescent="0.25">
      <c r="A144" s="2">
        <v>7.75</v>
      </c>
    </row>
    <row r="145" spans="1:1" ht="20.100000000000001" customHeight="1" thickBot="1" x14ac:dyDescent="0.25">
      <c r="A145" s="2">
        <v>8</v>
      </c>
    </row>
    <row r="146" spans="1:1" ht="20.100000000000001" customHeight="1" thickBot="1" x14ac:dyDescent="0.25">
      <c r="A146" s="2">
        <v>8.25</v>
      </c>
    </row>
    <row r="147" spans="1:1" ht="20.100000000000001" customHeight="1" thickBot="1" x14ac:dyDescent="0.25">
      <c r="A147" s="2">
        <v>8.5</v>
      </c>
    </row>
    <row r="148" spans="1:1" ht="20.100000000000001" customHeight="1" thickBot="1" x14ac:dyDescent="0.25">
      <c r="A148" s="2">
        <v>8.75</v>
      </c>
    </row>
    <row r="149" spans="1:1" ht="20.100000000000001" customHeight="1" thickBot="1" x14ac:dyDescent="0.25">
      <c r="A149" s="2">
        <v>9</v>
      </c>
    </row>
    <row r="150" spans="1:1" ht="20.100000000000001" customHeight="1" thickBot="1" x14ac:dyDescent="0.25">
      <c r="A150" s="2">
        <v>9.25</v>
      </c>
    </row>
    <row r="151" spans="1:1" ht="20.100000000000001" customHeight="1" thickBot="1" x14ac:dyDescent="0.25">
      <c r="A151" s="2">
        <v>9.5</v>
      </c>
    </row>
    <row r="152" spans="1:1" ht="20.100000000000001" customHeight="1" thickBot="1" x14ac:dyDescent="0.25">
      <c r="A152" s="2">
        <v>9.75</v>
      </c>
    </row>
    <row r="153" spans="1:1" ht="20.100000000000001" customHeight="1" thickBot="1" x14ac:dyDescent="0.25">
      <c r="A153" s="2">
        <v>10</v>
      </c>
    </row>
    <row r="154" spans="1:1" ht="20.100000000000001" customHeight="1" thickBot="1" x14ac:dyDescent="0.25">
      <c r="A154" s="2">
        <v>10.25</v>
      </c>
    </row>
    <row r="155" spans="1:1" ht="20.100000000000001" customHeight="1" thickBot="1" x14ac:dyDescent="0.25">
      <c r="A155" s="2">
        <v>10.5</v>
      </c>
    </row>
    <row r="156" spans="1:1" ht="20.100000000000001" customHeight="1" thickBot="1" x14ac:dyDescent="0.25">
      <c r="A156" s="2">
        <v>10.75</v>
      </c>
    </row>
    <row r="157" spans="1:1" ht="20.100000000000001" customHeight="1" thickBot="1" x14ac:dyDescent="0.25">
      <c r="A157" s="2">
        <v>11</v>
      </c>
    </row>
    <row r="158" spans="1:1" ht="20.100000000000001" customHeight="1" thickBot="1" x14ac:dyDescent="0.25">
      <c r="A158" s="2">
        <v>11.25</v>
      </c>
    </row>
    <row r="159" spans="1:1" ht="20.100000000000001" customHeight="1" thickBot="1" x14ac:dyDescent="0.25">
      <c r="A159" s="2">
        <v>11.5</v>
      </c>
    </row>
    <row r="160" spans="1:1" ht="20.100000000000001" customHeight="1" thickBot="1" x14ac:dyDescent="0.25">
      <c r="A160" s="2">
        <v>11.75</v>
      </c>
    </row>
    <row r="161" spans="1:1" ht="20.100000000000001" customHeight="1" thickBot="1" x14ac:dyDescent="0.25">
      <c r="A161" s="2">
        <v>12</v>
      </c>
    </row>
    <row r="162" spans="1:1" ht="20.100000000000001" customHeight="1" thickBot="1" x14ac:dyDescent="0.25">
      <c r="A162" s="2">
        <v>12.25</v>
      </c>
    </row>
    <row r="163" spans="1:1" ht="20.100000000000001" customHeight="1" thickBot="1" x14ac:dyDescent="0.25">
      <c r="A163" s="2">
        <v>12.5</v>
      </c>
    </row>
    <row r="164" spans="1:1" ht="20.100000000000001" customHeight="1" thickBot="1" x14ac:dyDescent="0.25">
      <c r="A164" s="2">
        <v>12.75</v>
      </c>
    </row>
    <row r="165" spans="1:1" ht="20.100000000000001" customHeight="1" thickBot="1" x14ac:dyDescent="0.25">
      <c r="A165" s="2">
        <v>13</v>
      </c>
    </row>
    <row r="166" spans="1:1" ht="20.100000000000001" customHeight="1" thickBot="1" x14ac:dyDescent="0.25">
      <c r="A166" s="2">
        <v>13.25</v>
      </c>
    </row>
    <row r="167" spans="1:1" ht="20.100000000000001" customHeight="1" thickBot="1" x14ac:dyDescent="0.25">
      <c r="A167" s="2">
        <v>13.5</v>
      </c>
    </row>
    <row r="168" spans="1:1" ht="20.100000000000001" customHeight="1" thickBot="1" x14ac:dyDescent="0.25">
      <c r="A168" s="2">
        <v>13.75</v>
      </c>
    </row>
    <row r="169" spans="1:1" ht="20.100000000000001" customHeight="1" thickBot="1" x14ac:dyDescent="0.25">
      <c r="A169" s="2">
        <v>14</v>
      </c>
    </row>
    <row r="170" spans="1:1" ht="20.100000000000001" customHeight="1" thickBot="1" x14ac:dyDescent="0.25">
      <c r="A170" s="2">
        <v>14.25</v>
      </c>
    </row>
    <row r="171" spans="1:1" ht="20.100000000000001" customHeight="1" thickBot="1" x14ac:dyDescent="0.25">
      <c r="A171" s="2">
        <v>14.5</v>
      </c>
    </row>
    <row r="172" spans="1:1" ht="20.100000000000001" customHeight="1" thickBot="1" x14ac:dyDescent="0.25">
      <c r="A172" s="2">
        <v>14.75</v>
      </c>
    </row>
    <row r="173" spans="1:1" ht="20.100000000000001" customHeight="1" thickBot="1" x14ac:dyDescent="0.25">
      <c r="A173" s="2">
        <v>15</v>
      </c>
    </row>
    <row r="174" spans="1:1" ht="20.100000000000001" customHeight="1" thickBot="1" x14ac:dyDescent="0.25">
      <c r="A174" s="2">
        <v>15.25</v>
      </c>
    </row>
    <row r="175" spans="1:1" ht="20.100000000000001" customHeight="1" thickBot="1" x14ac:dyDescent="0.25">
      <c r="A175" s="2">
        <v>15.5</v>
      </c>
    </row>
    <row r="176" spans="1:1" ht="20.100000000000001" customHeight="1" thickBot="1" x14ac:dyDescent="0.25">
      <c r="A176" s="2">
        <v>15.75</v>
      </c>
    </row>
    <row r="177" spans="1:1" ht="20.100000000000001" customHeight="1" thickBot="1" x14ac:dyDescent="0.25">
      <c r="A177" s="2">
        <v>16</v>
      </c>
    </row>
    <row r="178" spans="1:1" ht="20.100000000000001" customHeight="1" thickBot="1" x14ac:dyDescent="0.25">
      <c r="A178" s="2">
        <v>16.25</v>
      </c>
    </row>
    <row r="179" spans="1:1" ht="20.100000000000001" customHeight="1" thickBot="1" x14ac:dyDescent="0.25">
      <c r="A179" s="2">
        <v>16.5</v>
      </c>
    </row>
    <row r="180" spans="1:1" ht="20.100000000000001" customHeight="1" thickBot="1" x14ac:dyDescent="0.25">
      <c r="A180" s="2">
        <v>16.75</v>
      </c>
    </row>
    <row r="181" spans="1:1" ht="20.100000000000001" customHeight="1" thickBot="1" x14ac:dyDescent="0.25">
      <c r="A181" s="2">
        <v>17</v>
      </c>
    </row>
    <row r="182" spans="1:1" ht="20.100000000000001" customHeight="1" thickBot="1" x14ac:dyDescent="0.25">
      <c r="A182" s="2">
        <v>17.25</v>
      </c>
    </row>
    <row r="183" spans="1:1" ht="20.100000000000001" customHeight="1" thickBot="1" x14ac:dyDescent="0.25">
      <c r="A183" s="2">
        <v>17.5</v>
      </c>
    </row>
    <row r="184" spans="1:1" ht="20.100000000000001" customHeight="1" thickBot="1" x14ac:dyDescent="0.25">
      <c r="A184" s="2">
        <v>17.75</v>
      </c>
    </row>
    <row r="185" spans="1:1" ht="20.100000000000001" customHeight="1" thickBot="1" x14ac:dyDescent="0.25">
      <c r="A185" s="2">
        <v>18</v>
      </c>
    </row>
    <row r="186" spans="1:1" ht="20.100000000000001" customHeight="1" thickBot="1" x14ac:dyDescent="0.25">
      <c r="A186" s="2">
        <v>18.25</v>
      </c>
    </row>
    <row r="187" spans="1:1" ht="20.100000000000001" customHeight="1" thickBot="1" x14ac:dyDescent="0.25">
      <c r="A187" s="2">
        <v>18.5</v>
      </c>
    </row>
    <row r="188" spans="1:1" ht="20.100000000000001" customHeight="1" thickBot="1" x14ac:dyDescent="0.25">
      <c r="A188" s="2">
        <v>18.75</v>
      </c>
    </row>
    <row r="189" spans="1:1" ht="20.100000000000001" customHeight="1" thickBot="1" x14ac:dyDescent="0.25">
      <c r="A189" s="2">
        <v>19</v>
      </c>
    </row>
    <row r="190" spans="1:1" ht="20.100000000000001" customHeight="1" thickBot="1" x14ac:dyDescent="0.25">
      <c r="A190" s="2">
        <v>19.25</v>
      </c>
    </row>
    <row r="191" spans="1:1" ht="20.100000000000001" customHeight="1" thickBot="1" x14ac:dyDescent="0.25">
      <c r="A191" s="2">
        <v>19.5</v>
      </c>
    </row>
    <row r="192" spans="1:1" ht="20.100000000000001" customHeight="1" thickBot="1" x14ac:dyDescent="0.25">
      <c r="A192" s="2">
        <v>19.75</v>
      </c>
    </row>
    <row r="193" spans="1:1" ht="20.100000000000001" customHeight="1" thickBot="1" x14ac:dyDescent="0.25">
      <c r="A193" s="2">
        <v>20</v>
      </c>
    </row>
    <row r="197" spans="1:1" ht="20.100000000000001" customHeight="1" thickBot="1" x14ac:dyDescent="0.25"/>
    <row r="198" spans="1:1" ht="20.100000000000001" customHeight="1" thickBot="1" x14ac:dyDescent="0.3">
      <c r="A198" s="2" t="s">
        <v>59</v>
      </c>
    </row>
    <row r="199" spans="1:1" ht="20.100000000000001" customHeight="1" x14ac:dyDescent="0.2">
      <c r="A199" s="20" t="s">
        <v>89</v>
      </c>
    </row>
    <row r="200" spans="1:1" ht="20.100000000000001" customHeight="1" x14ac:dyDescent="0.2">
      <c r="A200" s="20" t="s">
        <v>90</v>
      </c>
    </row>
    <row r="201" spans="1:1" ht="20.100000000000001" customHeight="1" x14ac:dyDescent="0.2">
      <c r="A201" s="20" t="s">
        <v>91</v>
      </c>
    </row>
    <row r="202" spans="1:1" ht="20.100000000000001" customHeight="1" x14ac:dyDescent="0.2">
      <c r="A202" s="20" t="s">
        <v>92</v>
      </c>
    </row>
    <row r="203" spans="1:1" ht="20.100000000000001" customHeight="1" x14ac:dyDescent="0.2">
      <c r="A203" s="20" t="s">
        <v>93</v>
      </c>
    </row>
    <row r="204" spans="1:1" ht="20.100000000000001" customHeight="1" x14ac:dyDescent="0.2">
      <c r="A204" s="20" t="s">
        <v>94</v>
      </c>
    </row>
    <row r="205" spans="1:1" ht="20.100000000000001" customHeight="1" x14ac:dyDescent="0.2">
      <c r="A205" s="20" t="s">
        <v>95</v>
      </c>
    </row>
    <row r="206" spans="1:1" ht="20.100000000000001" customHeight="1" x14ac:dyDescent="0.2">
      <c r="A206" s="20" t="s">
        <v>96</v>
      </c>
    </row>
    <row r="207" spans="1:1" ht="20.100000000000001" customHeight="1" x14ac:dyDescent="0.2">
      <c r="A207" s="20" t="s">
        <v>97</v>
      </c>
    </row>
    <row r="208" spans="1:1" ht="20.100000000000001" customHeight="1" x14ac:dyDescent="0.2">
      <c r="A208" s="21" t="s">
        <v>98</v>
      </c>
    </row>
    <row r="209" spans="1:1" ht="20.100000000000001" customHeight="1" x14ac:dyDescent="0.2">
      <c r="A209" s="21" t="s">
        <v>99</v>
      </c>
    </row>
    <row r="210" spans="1:1" ht="20.100000000000001" customHeight="1" x14ac:dyDescent="0.2">
      <c r="A210" s="20" t="s">
        <v>100</v>
      </c>
    </row>
    <row r="211" spans="1:1" ht="20.100000000000001" customHeight="1" x14ac:dyDescent="0.2">
      <c r="A211" s="20" t="s">
        <v>101</v>
      </c>
    </row>
    <row r="212" spans="1:1" ht="20.100000000000001" customHeight="1" x14ac:dyDescent="0.2">
      <c r="A212" s="20" t="s">
        <v>102</v>
      </c>
    </row>
    <row r="213" spans="1:1" ht="20.100000000000001" customHeight="1" x14ac:dyDescent="0.2">
      <c r="A213" s="20" t="s">
        <v>103</v>
      </c>
    </row>
    <row r="214" spans="1:1" ht="20.100000000000001" customHeight="1" x14ac:dyDescent="0.2">
      <c r="A214" s="20" t="s">
        <v>104</v>
      </c>
    </row>
    <row r="215" spans="1:1" ht="20.100000000000001" customHeight="1" x14ac:dyDescent="0.2">
      <c r="A215" s="20" t="s">
        <v>105</v>
      </c>
    </row>
    <row r="216" spans="1:1" ht="20.100000000000001" customHeight="1" x14ac:dyDescent="0.2">
      <c r="A216" s="20" t="s">
        <v>106</v>
      </c>
    </row>
    <row r="217" spans="1:1" ht="20.100000000000001" customHeight="1" x14ac:dyDescent="0.2">
      <c r="A217" s="20" t="s">
        <v>107</v>
      </c>
    </row>
    <row r="218" spans="1:1" ht="20.100000000000001" customHeight="1" x14ac:dyDescent="0.2">
      <c r="A218" s="20" t="s">
        <v>108</v>
      </c>
    </row>
    <row r="219" spans="1:1" ht="20.100000000000001" customHeight="1" x14ac:dyDescent="0.2">
      <c r="A219" s="20" t="s">
        <v>109</v>
      </c>
    </row>
    <row r="220" spans="1:1" ht="20.100000000000001" customHeight="1" x14ac:dyDescent="0.2">
      <c r="A220" s="20" t="s">
        <v>110</v>
      </c>
    </row>
    <row r="221" spans="1:1" ht="20.100000000000001" customHeight="1" x14ac:dyDescent="0.2">
      <c r="A221" s="20" t="s">
        <v>111</v>
      </c>
    </row>
    <row r="222" spans="1:1" ht="20.100000000000001" customHeight="1" x14ac:dyDescent="0.2">
      <c r="A222" s="20" t="s">
        <v>112</v>
      </c>
    </row>
    <row r="223" spans="1:1" ht="20.100000000000001" customHeight="1" x14ac:dyDescent="0.2">
      <c r="A223" s="20" t="s">
        <v>113</v>
      </c>
    </row>
    <row r="224" spans="1:1" ht="20.100000000000001" customHeight="1" x14ac:dyDescent="0.2">
      <c r="A224" s="20" t="s">
        <v>114</v>
      </c>
    </row>
    <row r="225" spans="1:1" ht="20.100000000000001" customHeight="1" x14ac:dyDescent="0.2">
      <c r="A225" s="20" t="s">
        <v>115</v>
      </c>
    </row>
    <row r="226" spans="1:1" ht="20.100000000000001" customHeight="1" x14ac:dyDescent="0.2">
      <c r="A226" s="20" t="s">
        <v>116</v>
      </c>
    </row>
    <row r="227" spans="1:1" ht="20.100000000000001" customHeight="1" x14ac:dyDescent="0.2">
      <c r="A227" s="20" t="s">
        <v>117</v>
      </c>
    </row>
    <row r="228" spans="1:1" ht="20.100000000000001" customHeight="1" x14ac:dyDescent="0.2">
      <c r="A228" s="20" t="s">
        <v>118</v>
      </c>
    </row>
    <row r="229" spans="1:1" ht="20.100000000000001" customHeight="1" x14ac:dyDescent="0.2">
      <c r="A229" s="20" t="s">
        <v>119</v>
      </c>
    </row>
    <row r="230" spans="1:1" ht="20.100000000000001" customHeight="1" x14ac:dyDescent="0.2">
      <c r="A230" s="20" t="s">
        <v>120</v>
      </c>
    </row>
    <row r="231" spans="1:1" ht="20.100000000000001" customHeight="1" x14ac:dyDescent="0.2">
      <c r="A231" s="20" t="s">
        <v>121</v>
      </c>
    </row>
    <row r="232" spans="1:1" ht="20.100000000000001" customHeight="1" x14ac:dyDescent="0.2">
      <c r="A232" s="20" t="s">
        <v>122</v>
      </c>
    </row>
    <row r="233" spans="1:1" ht="20.100000000000001" customHeight="1" x14ac:dyDescent="0.2">
      <c r="A233" s="20" t="s">
        <v>123</v>
      </c>
    </row>
    <row r="234" spans="1:1" ht="20.100000000000001" customHeight="1" x14ac:dyDescent="0.2">
      <c r="A234" s="20" t="s">
        <v>124</v>
      </c>
    </row>
    <row r="235" spans="1:1" ht="20.100000000000001" customHeight="1" x14ac:dyDescent="0.2">
      <c r="A235" s="22" t="s">
        <v>125</v>
      </c>
    </row>
    <row r="236" spans="1:1" ht="20.100000000000001" customHeight="1" x14ac:dyDescent="0.2">
      <c r="A236" s="20" t="s">
        <v>126</v>
      </c>
    </row>
    <row r="237" spans="1:1" ht="20.100000000000001" customHeight="1" x14ac:dyDescent="0.2">
      <c r="A237" s="20" t="s">
        <v>127</v>
      </c>
    </row>
    <row r="238" spans="1:1" ht="20.100000000000001" customHeight="1" x14ac:dyDescent="0.2">
      <c r="A238" s="20" t="s">
        <v>128</v>
      </c>
    </row>
    <row r="239" spans="1:1" ht="20.100000000000001" customHeight="1" x14ac:dyDescent="0.2">
      <c r="A239" s="20" t="s">
        <v>129</v>
      </c>
    </row>
    <row r="240" spans="1:1" ht="20.100000000000001" customHeight="1" x14ac:dyDescent="0.2">
      <c r="A240" s="20" t="s">
        <v>130</v>
      </c>
    </row>
    <row r="241" spans="1:1" ht="20.100000000000001" customHeight="1" x14ac:dyDescent="0.2">
      <c r="A241" s="20" t="s">
        <v>131</v>
      </c>
    </row>
    <row r="242" spans="1:1" ht="20.100000000000001" customHeight="1" x14ac:dyDescent="0.2">
      <c r="A242" s="20" t="s">
        <v>132</v>
      </c>
    </row>
    <row r="243" spans="1:1" ht="20.100000000000001" customHeight="1" x14ac:dyDescent="0.2">
      <c r="A243" s="20" t="s">
        <v>133</v>
      </c>
    </row>
    <row r="244" spans="1:1" ht="20.100000000000001" customHeight="1" x14ac:dyDescent="0.2">
      <c r="A244" s="20" t="s">
        <v>134</v>
      </c>
    </row>
    <row r="245" spans="1:1" ht="20.100000000000001" customHeight="1" x14ac:dyDescent="0.2">
      <c r="A245" s="20" t="s">
        <v>135</v>
      </c>
    </row>
    <row r="246" spans="1:1" ht="20.100000000000001" customHeight="1" x14ac:dyDescent="0.2">
      <c r="A246" s="20" t="s">
        <v>136</v>
      </c>
    </row>
    <row r="247" spans="1:1" ht="20.100000000000001" customHeight="1" x14ac:dyDescent="0.2">
      <c r="A247" s="20" t="s">
        <v>127</v>
      </c>
    </row>
    <row r="248" spans="1:1" ht="20.100000000000001" customHeight="1" x14ac:dyDescent="0.2">
      <c r="A248" s="20" t="s">
        <v>137</v>
      </c>
    </row>
    <row r="249" spans="1:1" ht="20.100000000000001" customHeight="1" x14ac:dyDescent="0.2">
      <c r="A249" s="20" t="s">
        <v>138</v>
      </c>
    </row>
    <row r="250" spans="1:1" ht="20.100000000000001" customHeight="1" x14ac:dyDescent="0.2">
      <c r="A250" s="22" t="s">
        <v>139</v>
      </c>
    </row>
    <row r="251" spans="1:1" ht="20.100000000000001" customHeight="1" x14ac:dyDescent="0.2">
      <c r="A251" s="23" t="s">
        <v>140</v>
      </c>
    </row>
    <row r="252" spans="1:1" ht="20.100000000000001" customHeight="1" x14ac:dyDescent="0.2">
      <c r="A252" s="20" t="s">
        <v>141</v>
      </c>
    </row>
    <row r="253" spans="1:1" ht="20.100000000000001" customHeight="1" x14ac:dyDescent="0.2">
      <c r="A253" s="20" t="s">
        <v>142</v>
      </c>
    </row>
    <row r="254" spans="1:1" ht="20.100000000000001" customHeight="1" x14ac:dyDescent="0.2">
      <c r="A254" s="24" t="s">
        <v>143</v>
      </c>
    </row>
    <row r="255" spans="1:1" ht="20.100000000000001" customHeight="1" x14ac:dyDescent="0.2">
      <c r="A255" s="24" t="s">
        <v>144</v>
      </c>
    </row>
    <row r="256" spans="1:1" ht="20.100000000000001" customHeight="1" x14ac:dyDescent="0.2">
      <c r="A256" s="25" t="s">
        <v>145</v>
      </c>
    </row>
    <row r="257" spans="1:1" ht="20.100000000000001" customHeight="1" x14ac:dyDescent="0.2">
      <c r="A257" s="20" t="s">
        <v>146</v>
      </c>
    </row>
    <row r="258" spans="1:1" ht="20.100000000000001" customHeight="1" x14ac:dyDescent="0.2">
      <c r="A258" s="25" t="s">
        <v>147</v>
      </c>
    </row>
    <row r="259" spans="1:1" ht="20.100000000000001" customHeight="1" x14ac:dyDescent="0.2">
      <c r="A259" s="20" t="s">
        <v>148</v>
      </c>
    </row>
    <row r="260" spans="1:1" ht="20.100000000000001" customHeight="1" x14ac:dyDescent="0.2">
      <c r="A260" s="25" t="s">
        <v>149</v>
      </c>
    </row>
    <row r="261" spans="1:1" ht="20.100000000000001" customHeight="1" x14ac:dyDescent="0.2">
      <c r="A261" s="20" t="s">
        <v>150</v>
      </c>
    </row>
    <row r="262" spans="1:1" ht="20.100000000000001" customHeight="1" x14ac:dyDescent="0.2">
      <c r="A262" s="20" t="s">
        <v>151</v>
      </c>
    </row>
    <row r="263" spans="1:1" ht="20.100000000000001" customHeight="1" x14ac:dyDescent="0.2">
      <c r="A263" s="25" t="s">
        <v>152</v>
      </c>
    </row>
    <row r="264" spans="1:1" ht="20.100000000000001" customHeight="1" x14ac:dyDescent="0.2">
      <c r="A264" s="25" t="s">
        <v>153</v>
      </c>
    </row>
    <row r="265" spans="1:1" ht="20.100000000000001" customHeight="1" x14ac:dyDescent="0.2">
      <c r="A265" s="25" t="s">
        <v>154</v>
      </c>
    </row>
    <row r="266" spans="1:1" ht="20.100000000000001" customHeight="1" x14ac:dyDescent="0.2">
      <c r="A266" s="20" t="s">
        <v>155</v>
      </c>
    </row>
    <row r="267" spans="1:1" ht="20.100000000000001" customHeight="1" x14ac:dyDescent="0.2">
      <c r="A267" s="20" t="s">
        <v>156</v>
      </c>
    </row>
    <row r="268" spans="1:1" ht="20.100000000000001" customHeight="1" x14ac:dyDescent="0.2">
      <c r="A268" s="20" t="s">
        <v>157</v>
      </c>
    </row>
    <row r="269" spans="1:1" ht="20.100000000000001" customHeight="1" x14ac:dyDescent="0.2">
      <c r="A269" s="20" t="s">
        <v>158</v>
      </c>
    </row>
    <row r="270" spans="1:1" ht="20.100000000000001" customHeight="1" x14ac:dyDescent="0.2">
      <c r="A270" s="25" t="s">
        <v>159</v>
      </c>
    </row>
    <row r="271" spans="1:1" ht="20.100000000000001" customHeight="1" x14ac:dyDescent="0.2">
      <c r="A271" s="25" t="s">
        <v>160</v>
      </c>
    </row>
    <row r="272" spans="1:1" ht="20.100000000000001" customHeight="1" x14ac:dyDescent="0.2">
      <c r="A272" s="20" t="s">
        <v>161</v>
      </c>
    </row>
    <row r="273" spans="1:1" ht="20.100000000000001" customHeight="1" x14ac:dyDescent="0.2">
      <c r="A273" s="25" t="s">
        <v>162</v>
      </c>
    </row>
    <row r="274" spans="1:1" ht="20.100000000000001" customHeight="1" x14ac:dyDescent="0.2">
      <c r="A274" s="25" t="s">
        <v>163</v>
      </c>
    </row>
    <row r="275" spans="1:1" ht="20.100000000000001" customHeight="1" x14ac:dyDescent="0.2">
      <c r="A275" s="20" t="s">
        <v>164</v>
      </c>
    </row>
    <row r="276" spans="1:1" ht="20.100000000000001" customHeight="1" x14ac:dyDescent="0.2">
      <c r="A276" s="20" t="s">
        <v>165</v>
      </c>
    </row>
    <row r="277" spans="1:1" ht="20.100000000000001" customHeight="1" x14ac:dyDescent="0.2">
      <c r="A277" s="25" t="s">
        <v>166</v>
      </c>
    </row>
    <row r="278" spans="1:1" ht="20.100000000000001" customHeight="1" x14ac:dyDescent="0.2">
      <c r="A278" s="20" t="s">
        <v>167</v>
      </c>
    </row>
    <row r="279" spans="1:1" ht="20.100000000000001" customHeight="1" x14ac:dyDescent="0.2">
      <c r="A279" s="20" t="s">
        <v>168</v>
      </c>
    </row>
    <row r="280" spans="1:1" ht="20.100000000000001" customHeight="1" x14ac:dyDescent="0.2">
      <c r="A280" s="20" t="s">
        <v>169</v>
      </c>
    </row>
    <row r="281" spans="1:1" ht="20.100000000000001" customHeight="1" x14ac:dyDescent="0.2">
      <c r="A281" s="20" t="s">
        <v>170</v>
      </c>
    </row>
    <row r="282" spans="1:1" ht="20.100000000000001" customHeight="1" x14ac:dyDescent="0.2">
      <c r="A282" s="25" t="s">
        <v>171</v>
      </c>
    </row>
    <row r="283" spans="1:1" ht="20.100000000000001" customHeight="1" x14ac:dyDescent="0.2">
      <c r="A283" s="25" t="s">
        <v>172</v>
      </c>
    </row>
    <row r="284" spans="1:1" ht="20.100000000000001" customHeight="1" x14ac:dyDescent="0.2">
      <c r="A284" s="25" t="s">
        <v>173</v>
      </c>
    </row>
    <row r="285" spans="1:1" ht="20.100000000000001" customHeight="1" thickBot="1" x14ac:dyDescent="0.25">
      <c r="A285" s="20" t="s">
        <v>174</v>
      </c>
    </row>
    <row r="286" spans="1:1" ht="20.100000000000001" customHeight="1" thickBot="1" x14ac:dyDescent="0.25">
      <c r="A286" s="2" t="s">
        <v>58</v>
      </c>
    </row>
    <row r="287" spans="1:1" ht="20.100000000000001" customHeight="1" thickBot="1" x14ac:dyDescent="0.25">
      <c r="A287" s="2" t="s">
        <v>58</v>
      </c>
    </row>
    <row r="288" spans="1:1" ht="20.100000000000001" customHeight="1" thickBot="1" x14ac:dyDescent="0.25">
      <c r="A288" s="2" t="s">
        <v>58</v>
      </c>
    </row>
    <row r="289" spans="1:1" ht="20.100000000000001" customHeight="1" thickBot="1" x14ac:dyDescent="0.25">
      <c r="A289" s="2" t="s">
        <v>58</v>
      </c>
    </row>
    <row r="290" spans="1:1" ht="20.100000000000001" customHeight="1" thickBot="1" x14ac:dyDescent="0.25">
      <c r="A290" s="2" t="s">
        <v>58</v>
      </c>
    </row>
    <row r="291" spans="1:1" ht="20.100000000000001" customHeight="1" thickBot="1" x14ac:dyDescent="0.25">
      <c r="A291" s="2" t="s">
        <v>58</v>
      </c>
    </row>
    <row r="292" spans="1:1" ht="20.100000000000001" customHeight="1" thickBot="1" x14ac:dyDescent="0.25">
      <c r="A292" s="2" t="s">
        <v>58</v>
      </c>
    </row>
    <row r="293" spans="1:1" ht="20.100000000000001" customHeight="1" thickBot="1" x14ac:dyDescent="0.25">
      <c r="A293" s="2" t="s">
        <v>58</v>
      </c>
    </row>
    <row r="294" spans="1:1" ht="20.100000000000001" customHeight="1" thickBot="1" x14ac:dyDescent="0.25">
      <c r="A294" s="2" t="s">
        <v>58</v>
      </c>
    </row>
    <row r="295" spans="1:1" ht="20.100000000000001" customHeight="1" thickBot="1" x14ac:dyDescent="0.25">
      <c r="A295" s="2" t="s">
        <v>58</v>
      </c>
    </row>
    <row r="296" spans="1:1" ht="20.100000000000001" customHeight="1" thickBot="1" x14ac:dyDescent="0.25">
      <c r="A296" s="2" t="s">
        <v>58</v>
      </c>
    </row>
    <row r="297" spans="1:1" ht="20.100000000000001" customHeight="1" thickBot="1" x14ac:dyDescent="0.25">
      <c r="A297" s="2" t="s">
        <v>58</v>
      </c>
    </row>
    <row r="298" spans="1:1" ht="20.100000000000001" customHeight="1" thickBot="1" x14ac:dyDescent="0.25">
      <c r="A298" s="2" t="s">
        <v>58</v>
      </c>
    </row>
    <row r="299" spans="1:1" ht="20.100000000000001" customHeight="1" thickBot="1" x14ac:dyDescent="0.25">
      <c r="A299" s="2" t="s">
        <v>58</v>
      </c>
    </row>
    <row r="300" spans="1:1" ht="20.100000000000001" customHeight="1" thickBot="1" x14ac:dyDescent="0.25">
      <c r="A300" s="2" t="s">
        <v>58</v>
      </c>
    </row>
    <row r="301" spans="1:1" ht="20.100000000000001" customHeight="1" thickBot="1" x14ac:dyDescent="0.25">
      <c r="A301" s="2" t="s">
        <v>58</v>
      </c>
    </row>
    <row r="302" spans="1:1" ht="20.100000000000001" customHeight="1" thickBot="1" x14ac:dyDescent="0.25">
      <c r="A302" s="2" t="s">
        <v>58</v>
      </c>
    </row>
    <row r="303" spans="1:1" ht="20.100000000000001" customHeight="1" thickBot="1" x14ac:dyDescent="0.25">
      <c r="A303" s="2" t="s">
        <v>58</v>
      </c>
    </row>
    <row r="304" spans="1:1" ht="20.100000000000001" customHeight="1" thickBot="1" x14ac:dyDescent="0.25">
      <c r="A304" s="2" t="s">
        <v>58</v>
      </c>
    </row>
    <row r="305" spans="1:1" ht="20.100000000000001" customHeight="1" thickBot="1" x14ac:dyDescent="0.25">
      <c r="A305" s="2" t="s">
        <v>58</v>
      </c>
    </row>
    <row r="306" spans="1:1" ht="20.100000000000001" customHeight="1" thickBot="1" x14ac:dyDescent="0.25">
      <c r="A306" s="2" t="s">
        <v>58</v>
      </c>
    </row>
    <row r="307" spans="1:1" ht="20.100000000000001" customHeight="1" thickBot="1" x14ac:dyDescent="0.25">
      <c r="A307" s="2" t="s">
        <v>58</v>
      </c>
    </row>
    <row r="308" spans="1:1" ht="20.100000000000001" customHeight="1" thickBot="1" x14ac:dyDescent="0.25">
      <c r="A308" s="2" t="s">
        <v>58</v>
      </c>
    </row>
    <row r="309" spans="1:1" ht="20.100000000000001" customHeight="1" thickBot="1" x14ac:dyDescent="0.25">
      <c r="A309" s="2" t="s">
        <v>58</v>
      </c>
    </row>
    <row r="310" spans="1:1" ht="20.100000000000001" customHeight="1" thickBot="1" x14ac:dyDescent="0.25">
      <c r="A310" s="2" t="s">
        <v>58</v>
      </c>
    </row>
    <row r="311" spans="1:1" ht="20.100000000000001" customHeight="1" thickBot="1" x14ac:dyDescent="0.25">
      <c r="A311" s="2" t="s">
        <v>58</v>
      </c>
    </row>
    <row r="312" spans="1:1" ht="20.100000000000001" customHeight="1" thickBot="1" x14ac:dyDescent="0.25">
      <c r="A312" s="2" t="s">
        <v>58</v>
      </c>
    </row>
    <row r="313" spans="1:1" ht="20.100000000000001" customHeight="1" thickBot="1" x14ac:dyDescent="0.25">
      <c r="A313" s="2" t="s">
        <v>58</v>
      </c>
    </row>
    <row r="314" spans="1:1" ht="20.100000000000001" customHeight="1" thickBot="1" x14ac:dyDescent="0.25">
      <c r="A314" s="2" t="s">
        <v>58</v>
      </c>
    </row>
    <row r="315" spans="1:1" ht="20.100000000000001" customHeight="1" thickBot="1" x14ac:dyDescent="0.25">
      <c r="A315" s="2" t="s">
        <v>58</v>
      </c>
    </row>
    <row r="316" spans="1:1" ht="20.100000000000001" customHeight="1" thickBot="1" x14ac:dyDescent="0.25">
      <c r="A316" s="2" t="s">
        <v>58</v>
      </c>
    </row>
    <row r="317" spans="1:1" ht="20.100000000000001" customHeight="1" thickBot="1" x14ac:dyDescent="0.25">
      <c r="A317" s="2" t="s">
        <v>58</v>
      </c>
    </row>
    <row r="318" spans="1:1" ht="20.100000000000001" customHeight="1" thickBot="1" x14ac:dyDescent="0.25">
      <c r="A318" s="2" t="s">
        <v>58</v>
      </c>
    </row>
    <row r="319" spans="1:1" ht="20.100000000000001" customHeight="1" thickBot="1" x14ac:dyDescent="0.25">
      <c r="A319" s="2" t="s">
        <v>58</v>
      </c>
    </row>
    <row r="320" spans="1:1" ht="20.100000000000001" customHeight="1" thickBot="1" x14ac:dyDescent="0.25">
      <c r="A320" s="2" t="s">
        <v>58</v>
      </c>
    </row>
    <row r="321" spans="1:1" ht="20.100000000000001" customHeight="1" thickBot="1" x14ac:dyDescent="0.25">
      <c r="A321" s="2" t="s">
        <v>58</v>
      </c>
    </row>
    <row r="322" spans="1:1" ht="20.100000000000001" customHeight="1" thickBot="1" x14ac:dyDescent="0.25">
      <c r="A322" s="2" t="s">
        <v>58</v>
      </c>
    </row>
    <row r="323" spans="1:1" ht="20.100000000000001" customHeight="1" thickBot="1" x14ac:dyDescent="0.25">
      <c r="A323" s="2" t="s">
        <v>58</v>
      </c>
    </row>
    <row r="324" spans="1:1" ht="20.100000000000001" customHeight="1" thickBot="1" x14ac:dyDescent="0.25">
      <c r="A324" s="2" t="s">
        <v>58</v>
      </c>
    </row>
    <row r="325" spans="1:1" ht="20.100000000000001" customHeight="1" thickBot="1" x14ac:dyDescent="0.25">
      <c r="A325" s="2" t="s">
        <v>58</v>
      </c>
    </row>
    <row r="326" spans="1:1" ht="20.100000000000001" customHeight="1" thickBot="1" x14ac:dyDescent="0.25">
      <c r="A326" s="2" t="s">
        <v>58</v>
      </c>
    </row>
    <row r="327" spans="1:1" ht="20.100000000000001" customHeight="1" thickBot="1" x14ac:dyDescent="0.25">
      <c r="A327" s="2" t="s">
        <v>58</v>
      </c>
    </row>
    <row r="328" spans="1:1" ht="20.100000000000001" customHeight="1" thickBot="1" x14ac:dyDescent="0.25">
      <c r="A328" s="2" t="s">
        <v>58</v>
      </c>
    </row>
    <row r="329" spans="1:1" ht="20.100000000000001" customHeight="1" thickBot="1" x14ac:dyDescent="0.25">
      <c r="A329" s="2" t="s">
        <v>58</v>
      </c>
    </row>
    <row r="330" spans="1:1" ht="20.100000000000001" customHeight="1" thickBot="1" x14ac:dyDescent="0.25">
      <c r="A330" s="2" t="s">
        <v>58</v>
      </c>
    </row>
    <row r="331" spans="1:1" ht="20.100000000000001" customHeight="1" thickBot="1" x14ac:dyDescent="0.25">
      <c r="A331" s="2" t="s">
        <v>58</v>
      </c>
    </row>
    <row r="332" spans="1:1" ht="20.100000000000001" customHeight="1" thickBot="1" x14ac:dyDescent="0.25">
      <c r="A332" s="2" t="s">
        <v>58</v>
      </c>
    </row>
    <row r="333" spans="1:1" ht="20.100000000000001" customHeight="1" thickBot="1" x14ac:dyDescent="0.25">
      <c r="A333" s="2" t="s">
        <v>58</v>
      </c>
    </row>
    <row r="334" spans="1:1" ht="20.100000000000001" customHeight="1" thickBot="1" x14ac:dyDescent="0.25">
      <c r="A334" s="2" t="s">
        <v>58</v>
      </c>
    </row>
    <row r="335" spans="1:1" ht="20.100000000000001" customHeight="1" thickBot="1" x14ac:dyDescent="0.25">
      <c r="A335" s="2" t="s">
        <v>58</v>
      </c>
    </row>
    <row r="336" spans="1:1" ht="20.100000000000001" customHeight="1" thickBot="1" x14ac:dyDescent="0.25">
      <c r="A336" s="2" t="s">
        <v>58</v>
      </c>
    </row>
    <row r="337" spans="1:1" ht="20.100000000000001" customHeight="1" thickBot="1" x14ac:dyDescent="0.25">
      <c r="A337" s="2" t="s">
        <v>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</vt:i4>
      </vt:variant>
    </vt:vector>
  </HeadingPairs>
  <TitlesOfParts>
    <vt:vector size="5" baseType="lpstr">
      <vt:lpstr>قائمة التقييم</vt:lpstr>
      <vt:lpstr>بيانات التقييم</vt:lpstr>
      <vt:lpstr>قائمة التقييم!_Hlk189049123</vt:lpstr>
      <vt:lpstr>قائمة التقييم!Print_Area</vt:lpstr>
      <vt:lpstr>قائمة التقييم!Print_Titles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2025-10-22T04:56:50Z</dcterms:modified>
</cp:coreProperties>
</file>