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21B6A90-7EE5-4265-8164-E10F0CF7DC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8" i="2"/>
  <c r="H8" i="2"/>
  <c r="F60" i="2"/>
  <c r="E60" i="2"/>
  <c r="E61" i="2"/>
  <c r="E62" i="2"/>
</calcChain>
</file>

<file path=xl/sharedStrings.xml><?xml version="1.0" encoding="utf-8"?>
<sst xmlns="http://schemas.openxmlformats.org/spreadsheetml/2006/main" count="290" uniqueCount="234">
  <si>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</si>
  <si>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</si>
  <si>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</si>
  <si>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</si>
  <si>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</si>
  <si>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</si>
  <si>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</si>
  <si>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</si>
  <si>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</si>
  <si>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</si>
  <si>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</si>
  <si>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</si>
  <si>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</si>
  <si>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</si>
  <si>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</si>
  <si>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</si>
  <si>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</si>
  <si>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</si>
  <si>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</si>
  <si>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</si>
  <si>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</si>
  <si>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</si>
  <si>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</si>
  <si>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</si>
  <si>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</si>
  <si>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</si>
  <si>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</si>
  <si>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</si>
  <si>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</si>
  <si>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</si>
  <si>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</si>
  <si>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</si>
  <si>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</si>
  <si>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</si>
  <si>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</si>
  <si>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</si>
  <si>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</si>
  <si>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</si>
  <si>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</si>
  <si>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</si>
  <si>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</si>
  <si>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</si>
  <si>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</si>
  <si>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</si>
  <si>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</si>
  <si>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</si>
  <si>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</si>
  <si>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</si>
  <si>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</si>
  <si>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</si>
  <si>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</si>
  <si>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</si>
  <si>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</si>
  <si>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</si>
  <si>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</si>
  <si>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</si>
  <si>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</si>
  <si>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</si>
  <si>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</si>
  <si>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</si>
  <si>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</si>
  <si>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</si>
  <si>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</si>
  <si>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</si>
  <si>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</si>
  <si>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</si>
  <si>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</si>
  <si>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</si>
  <si>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</si>
  <si>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</si>
  <si>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</si>
  <si>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</si>
  <si>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</si>
  <si>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</si>
  <si>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</si>
  <si>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</si>
  <si>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</si>
  <si>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</si>
  <si>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</si>
  <si>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</si>
  <si>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</si>
  <si>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</si>
  <si>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</si>
  <si>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</si>
  <si>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</si>
  <si>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</si>
  <si>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</si>
  <si>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</si>
  <si>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</si>
  <si>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</si>
  <si>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</si>
  <si>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</si>
  <si>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</si>
  <si>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</si>
  <si>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</si>
  <si>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</si>
  <si>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</si>
  <si>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</si>
  <si>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</si>
  <si>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</si>
  <si>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</si>
  <si>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</si>
  <si>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</si>
  <si>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</si>
  <si>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</si>
  <si>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</si>
  <si>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</si>
  <si>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</si>
  <si>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</si>
  <si>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</si>
  <si>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</si>
  <si>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</si>
  <si>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</si>
  <si>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</si>
  <si>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</si>
  <si>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</si>
  <si>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</si>
  <si>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</si>
  <si>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</si>
  <si>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</si>
  <si>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</si>
  <si>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</si>
  <si>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</si>
  <si>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</si>
  <si>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</si>
  <si>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</si>
  <si>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</si>
  <si>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</si>
  <si>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</si>
  <si>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</si>
  <si>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</si>
  <si>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</si>
  <si>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</si>
  <si>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</si>
  <si>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</si>
  <si>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</si>
  <si>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</si>
  <si>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</si>
  <si>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</si>
  <si>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</si>
  <si>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</si>
  <si>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</si>
  <si>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</si>
  <si>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</si>
  <si>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</si>
  <si>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</si>
  <si>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</si>
  <si>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</si>
  <si>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</si>
  <si>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</si>
  <si>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</si>
  <si>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</si>
  <si>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</si>
  <si>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</si>
  <si>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</si>
  <si>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</si>
  <si>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</si>
  <si>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</si>
  <si>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</si>
  <si>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</si>
  <si>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</si>
  <si>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</si>
  <si>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</si>
  <si>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</si>
  <si>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</si>
  <si>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</si>
  <si>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</si>
  <si>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</si>
  <si>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</si>
  <si>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</si>
  <si>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</si>
  <si>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</si>
  <si>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</si>
  <si>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</si>
  <si>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</si>
  <si>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</si>
  <si>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</si>
  <si>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</si>
  <si>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</si>
  <si>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</si>
  <si>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استطلاع الطريق وتحضير الخارطة.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</si>
  <si>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ومعرفة الآليات ثقيلة الوزن أو تلك ذات الحجم الكبير أو ذات السرعة البطيئة، وأخذ الاحتياطات بخصوص تنقلها.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</si>
  <si>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توفير قائمة جهات الاتصال سواء كانت أرقام هواتف، أو عناوين على طول الطريق في حال حصول حدث ما، أو وقوع حادث.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</si>
  <si>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اتخاذ تدابير محددة تحول دون نقل ركاب في الآلية الأخيرة.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</si>
  <si>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توفير إشارات تمييز القافلة وبحالة جيدة.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</si>
  <si>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توفير صناديق إسعاف أولي في آليات نقل الافراد.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</si>
  <si>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تأشير الآليات التي تعمل في الليل برموز عاكسة.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</si>
  <si>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توفير أعلام لآلية القائد، وآلية المقدمة وآلية المؤخرة.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</si>
  <si>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إشارات تحذيرية أساسية للطريق السريع في كل آلية.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</si>
  <si>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توفر مصابيح إضاءة بدلاً من قنابل التنوير في آليات نقل الغازات المضغوطة أو المتفجرات أو المواد القابلة للاشتعال.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</si>
  <si>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تعبئة وتغليف المواد الخطرة وتأشيرها وفقاً للقوانين والتعليمات.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</si>
  <si>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تعبئة وتغليف وتأشير المواد الخطرة من قبل شخص معتمد و ُمدرب بشكل جيد.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</si>
  <si>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مواقع الاستراحة على الخارطة.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</si>
  <si>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قائمة تدقيق شاملة للقافلة.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</si>
  <si>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اتخاذ التدابير بخصوص إنقاذ الآليات المتعطلة.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</si>
  <si>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نقطة البدء ونقطة الانتشار/التفرق.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</si>
  <si>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انتخاب جسور وممرات تستوعب الآليات المحملة والمجنزرة.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</si>
  <si>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النقاط الحرجة على الخارطة.</t>
    </r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</si>
  <si>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حجم الوحدات المشمولة في المسير.</t>
    </r>
  </si>
  <si>
    <r>
      <t>20.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التحقق من معدل سرعة المسير في أمر تنقل القافلة.</t>
    </r>
  </si>
  <si>
    <r>
      <t>21.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الفواصل (على الطرق المفتوحة، في المناطق المبنية، عند الوقفات) بين الآليات.</t>
    </r>
  </si>
  <si>
    <r>
      <t>22.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نوع الرتل.</t>
    </r>
  </si>
  <si>
    <r>
      <t>23.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اتخاذ تدابير إعادة التزود بالوقود.</t>
    </r>
  </si>
  <si>
    <r>
      <t>24.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اختيار موقع الاستراحة الليلية.</t>
    </r>
  </si>
  <si>
    <r>
      <t>25.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الحصول على الموافقات للقافلة ضمن إطار الوقت المناسب.</t>
    </r>
  </si>
  <si>
    <r>
      <t>26.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طلب توفير قوة مرافقة عند الضرورة.</t>
    </r>
  </si>
  <si>
    <r>
      <t>27.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توفر آليات احتياطية للطوارئ.</t>
    </r>
  </si>
  <si>
    <r>
      <t>28.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صيانة الآليات بشكل كامل ونظيفة وجاهزة للتحميل.</t>
    </r>
  </si>
  <si>
    <r>
      <t>29.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الحمل ملائم ومرتب ومتوازن.</t>
    </r>
  </si>
  <si>
    <r>
      <t>30.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إيجاز السائقين من قبل شخص مسؤول، وضمن إطار الوقت الصحيح.</t>
    </r>
  </si>
  <si>
    <r>
      <t>31.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القافلة في مقدمة ومؤخرة كل وحدة مسير.</t>
    </r>
  </si>
  <si>
    <r>
      <t>32.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التزام الأدلاء بأماكنهم.</t>
    </r>
  </si>
  <si>
    <r>
      <t>33.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 عمل مصابيح الحركة الليلية.</t>
    </r>
  </si>
  <si>
    <r>
      <t>34.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تبليغ عناصر الصيانة.</t>
    </r>
  </si>
  <si>
    <r>
      <t>35.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توضيع آلية الصيانة وأفراد الطبابة قرب مؤخرة الرتل.</t>
    </r>
  </si>
  <si>
    <r>
      <t>36.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وضع خطة للتعامل مع الإصابات.</t>
    </r>
  </si>
  <si>
    <r>
      <t>37.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إحاطة كل الأطراف المعنية بالوقت المتوقع للوصول.</t>
    </r>
  </si>
  <si>
    <r>
      <t>38.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إعداد وتحضير تقييم المخاطر.</t>
    </r>
  </si>
  <si>
    <r>
      <t>39.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جاهزية الضابط الموجود في آخر القافلة للقيام بأي إجراءات تصحيحية ضرورية، مثل: التحقيق في الحوادث والأحداث غير الاعتيادية، وتغيير الحمولات.</t>
    </r>
  </si>
  <si>
    <r>
      <t>40.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وضع خطة لتحميل الأفراد/ مواد الشحن.</t>
    </r>
  </si>
  <si>
    <r>
      <t>41.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توفير أمر عمليات مكتوب.</t>
    </r>
  </si>
  <si>
    <r>
      <t>42.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سجل للتنقل على الطريق في نهاية الرحلة.</t>
    </r>
  </si>
  <si>
    <r>
      <t>43.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الحصول على نشرة الطقس.</t>
    </r>
  </si>
  <si>
    <r>
      <t>44.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تزويد الأفراد بملابس ومعدات ملائمة.</t>
    </r>
  </si>
  <si>
    <r>
      <t>45.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خطة اتصالات.</t>
    </r>
  </si>
  <si>
    <r>
      <t>46.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منع الأفراد من الركوب في حجرات الشحن في الآليات التي تحمل ذخائر.</t>
    </r>
  </si>
  <si>
    <r>
      <t>47.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إيجاز سائقي الآليات بخصوص إجراءات الاستجابة في حالة الطوارئ ومسافة الانسحاب المطلوبة في حالة الحريق.</t>
    </r>
  </si>
  <si>
    <r>
      <t>48.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فصل الآليات المحملة بالذخيرة بمسافة مناسبة عن الأفراد والمعدات والمرافق.</t>
    </r>
  </si>
  <si>
    <r>
      <t>49.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توفر بطاقة طريق لكل آلية.</t>
    </r>
  </si>
  <si>
    <r>
      <t>50.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صرف الذخيرة لحراسة القافلة.</t>
    </r>
  </si>
  <si>
    <r>
      <t>51.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السرعات.</t>
    </r>
  </si>
  <si>
    <r>
      <t>52.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تعليمات الإضاءة.</t>
    </r>
  </si>
  <si>
    <r>
      <rPr>
        <b/>
        <sz val="14"/>
        <color rgb="FF000000"/>
        <rFont val="Arial"/>
        <family val="2"/>
      </rPr>
      <t xml:space="preserve">تقييـــــم سريـــــة التزويــــد والنقـــــل فـــي تنفيـــــــذ القوافـــل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</si>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</sst>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317237</xdr:colOff>
      <xdr:row>63</xdr:row>
      <xdr:rowOff>166978</xdr:rowOff>
    </xdr:from>
    <xdr:to>
      <xdr:col>8</xdr:col>
      <xdr:colOff>315421</xdr:colOff>
      <xdr:row>64</xdr:row>
      <xdr:rowOff>134947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370FF4A-FB76-ADB7-26D0-4C22BDA9E9FF}"/>
                </a:ext>
              </a:extLst>
            </xdr14:cNvPr>
            <xdr14:cNvContentPartPr/>
          </xdr14:nvContentPartPr>
          <xdr14:nvPr macro=""/>
          <xdr14:xfrm>
            <a:off x="10458004691" y="25668000"/>
            <a:ext cx="658440" cy="617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370FF4A-FB76-ADB7-26D0-4C22BDA9E9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57998571" y="25661880"/>
              <a:ext cx="670680" cy="62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129350</xdr:colOff>
      <xdr:row>63</xdr:row>
      <xdr:rowOff>392338</xdr:rowOff>
    </xdr:from>
    <xdr:to>
      <xdr:col>9</xdr:col>
      <xdr:colOff>531405</xdr:colOff>
      <xdr:row>69</xdr:row>
      <xdr:rowOff>132437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A89028C-8846-DCD6-744D-9DD0B6D5D2AC}"/>
                </a:ext>
              </a:extLst>
            </xdr14:cNvPr>
            <xdr14:cNvContentPartPr/>
          </xdr14:nvContentPartPr>
          <xdr14:nvPr macro=""/>
          <xdr14:xfrm>
            <a:off x="10457128451" y="25893360"/>
            <a:ext cx="3043080" cy="1363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A89028C-8846-DCD6-744D-9DD0B6D5D2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57122331" y="25887240"/>
              <a:ext cx="3055320" cy="1375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58:02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1462 1123 2960,'0'0'0,"0"-29"1088,0 1-656,10 1-119,-10 27-313,5-24 312,0 24 16,-5-5-48,0 0-24,0 5-256,4-6 160,0 1-40,-4 2-8,5 1-8,-5 2-104,5-3 120,0 0 32,4-2-16,-5 2-8,-4 3-128,5-2 160,-5-1 0,0 0 56,0 3 32,0 0-248,0 0 368,0 0 64,-5 0 48,-8-2 33,13 2-513,-23-3 368,13 0-32,-18-7-88,5-12-48,23 22-200,-33-10 176,5-22-24,-4 5-16,-6-2-16,38 29-120,-37-30 136,0-2-24,5-5 24,-1 0-32,33 37-104,-28-40 160,0-4 16,4-1 80,16-1 48,8 46-304,-20-50 240,16-1-64,4-5-128,0-2-96,0 58 48,0-56-88,9 1 0,14 10 0,-18 8 16,-5 37 72,23-32-56,-18 5-16,28 6-32,-14 13 8,-19 8 96,8-8-192,25 0-128,-28 5-104,28 0-72,-33 3 496,23 0-536,0 6 48,5 2 56,-1 0 55,-27-8 377,33 24-272,0-16 88,-1 16 16,6-16-8,-38-8 176,42 29-176,-5-8 0,5 3 24,-4-2 24,-38-22 128,36 24-120,-3 1-8,-5-1-24,-4 0 0,-24-24 152,4 26-184,5 4-80,-4 2 0,-5 2-88,0-34 352,-5 35-344,0 5 104,-18 2 40,0 6 96,23-48 104,-28 51-64,-4-2 32,-1-1 32,0-5 72,33-43-72,-32 34 152,-6-2-8,6-10 40,8-14-56,24-8-128,-23 26 144,5-26 16,8 6 8,1-1 176,9-5-344,-5 0 504,-4-3 304,0-2 320,-1-16 121,10 21-1249,-18-11 1160,13-18-224,-18 2-280,13-2-296,10 29-360,-27-32 336,3-6-39,20 1-33,-6-1 32,10 38-296,-13-35 208,8 6-48,-9 5-40,10 16 0,4 8-120,-5-8 112,5 0-72,-5 5 24,0 0-16,5 3-48,0-2 32,-5 2 0,1 0-8,4 0 40,0 0-64,0 0 88,0 0-8,0 0 8,0 0 32,0 0-496,-4 5 904,-1 0-352,-5 3 56,1-2-152,9-6-80,-19 8 16,10 0 48,-14 13-160,0-16 120,23-5-24,-23 24 8,3-16-24,-3 14 48,0-17-64,23-5 32,-5 22 0,-18-16-40,19-1 56,4 0-8,0-5-8,-5 6-56,5-6 0,0 0 56,0 0 56,0 0-104,0 0 96,5-3-72,-5 3 24,0-3-56,4 1 80,-4 2-72,0 0 96,0 0-48,0 0 24,0 0-16,0 0 72,0 0-88,0 0-96,0 5 216,-9 3-32,-9 24-64,8-3 16,10-29-32,-33 40 24,-4 16-24,0 8 24,-5 3 16,42-67-40,-42 64 80,5 1-64,-5-7 72,4-2-40,38-56-48,-37 54 48,0-4-16,5-7-56,-1-3 48,33-40-24,-28 32-24,-4-5 64,4-3-32,0-16-8,28-8 0,-10 27 32,-13-21-16,14 2 56,4-3-88,5-5 16,-14 5 0,9 1 16,-9-1 16,10-5 16,4 0-48,-9 5 48,-19 1-72,28-6 8,-15 5 32,15-5-16,-8 0-48,-2 5 56,0 1-112,-13-1 48,14 3-24,9-8 80,-23 8-96,0 13-40,0-13-504,3 19-616,20-27 1256,-8 8-2097,-16 16-399,15-24-113,4 8 569,5-8 2040,-9 5-1585,-19 19-967,28-24 2552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58:03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1647 443 7025,'0'0'0,"-29"0"2000,29 0-2000,-23 0 1073,-5 0-433,19 0-88,-1 0-192,10 0-360,-4 5 208,-1 0-56,1 2-152,-1 24 32,5-31-32,-5 38-16,-5 20 32,-13 18 16,0 19-72,23-95 40,-33 104 24,-4 8-8,-15 7 0,-8 5 24,60-124-40,-56 125 8,-11-8-24,7-1 24,4-1 40,56-115-48,-70 111 96,5 4 112,-5-1-96,-1 3 16,71-117-128,-70 115 40,-5 1-104,5-4 96,0 3 72,70-115-104,-65 106 88,4-5-8,-4-2-56,13-7-24,52-92 0,-52 84-56,15-5 24,0-9 64,4-6-128,33-64 96,-29 58 8,1-9 8,19-8-40,0-6 64,9-35-40,-9 31 24,9-8-24,0-3 56,23-13-16,-23-7-40,32 26-40,6-18 8,9-1 64,18-2 96,-65-5-128,90 0 368,13-28 120,32-13 41,19-20-137,-154 61-392,187-81 144,19-22-72,14-25-144,18-22-80,-238 150 152,247-160-24,30-12-88,17-11 88,19-8 0,-313 191 24,332-198-40,1-5 16,3 5-104,0 5 80,-336 193 48,342-189-24,-20 14 0,-13 13-8,-9 12-8,-300 150 40,285-135-40,-28 13 16,-14 21 48,-28 12-8,-215 89-16,192-76-32,-5 10-32,-19 3-137,-5 11-63,-163 52 264,165-43-408,-2 5-96,-4 10-88,0 18-776,-159 10 1368,154-10-2425,1 2-175,-15 6-609,-9 2 705,-131 0 2504,0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A57" zoomScale="130" zoomScaleNormal="100" zoomScaleSheetLayoutView="130" workbookViewId="0">
      <selection activeCell="G63" sqref="G63:J6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5" t="s">
        <v>232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0" t="s">
        <v>8</v>
      </c>
      <c r="C2" s="61" t="s">
        <v>33</v>
      </c>
      <c r="D2" s="61"/>
      <c r="E2" s="10" t="s">
        <v>7</v>
      </c>
      <c r="F2" s="56">
        <v>45954</v>
      </c>
      <c r="G2" s="56"/>
      <c r="H2" s="56"/>
      <c r="I2" s="56"/>
      <c r="J2" s="56"/>
    </row>
    <row r="3" spans="1:10" ht="30" customHeight="1" x14ac:dyDescent="0.3">
      <c r="B3" s="10" t="s">
        <v>9</v>
      </c>
      <c r="C3" s="61" t="s">
        <v>60</v>
      </c>
      <c r="D3" s="61"/>
      <c r="E3" s="10" t="s">
        <v>6</v>
      </c>
      <c r="F3" s="61" t="s">
        <v>120</v>
      </c>
      <c r="G3" s="61"/>
      <c r="H3" s="61"/>
      <c r="I3" s="61"/>
      <c r="J3" s="61"/>
    </row>
    <row r="4" spans="1:10" ht="30" customHeight="1" thickBot="1" x14ac:dyDescent="0.35">
      <c r="B4" s="6"/>
      <c r="C4" s="37" t="s">
        <v>233</v>
      </c>
      <c r="D4" s="37"/>
      <c r="E4" s="6"/>
      <c r="F4" s="37"/>
      <c r="G4" s="37"/>
      <c r="H4" s="37"/>
      <c r="I4" s="37"/>
      <c r="J4" s="37"/>
    </row>
    <row r="5" spans="1:10" ht="24.9" customHeight="1" x14ac:dyDescent="0.3">
      <c r="A5" s="8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8"/>
      <c r="B6" s="59"/>
      <c r="C6" s="60"/>
      <c r="D6" s="60"/>
      <c r="E6" s="9" t="s">
        <v>3</v>
      </c>
      <c r="F6" s="9" t="s">
        <v>4</v>
      </c>
      <c r="G6" s="9" t="s">
        <v>23</v>
      </c>
      <c r="H6" s="9" t="s">
        <v>24</v>
      </c>
      <c r="I6" s="68"/>
      <c r="J6" s="69"/>
    </row>
    <row r="7" spans="1:10" ht="24.9" customHeight="1" thickBot="1" x14ac:dyDescent="0.35">
      <c r="A7" s="8"/>
      <c r="B7" s="64" t="s">
        <v>21</v>
      </c>
      <c r="C7" s="65"/>
      <c r="D7" s="65"/>
      <c r="E7" s="26" t="s">
        <v>18</v>
      </c>
      <c r="F7" s="26" t="s">
        <v>19</v>
      </c>
      <c r="G7" s="26" t="s">
        <v>22</v>
      </c>
      <c r="H7" s="26" t="s">
        <v>20</v>
      </c>
      <c r="I7" s="70" t="s">
        <v>25</v>
      </c>
      <c r="J7" s="71"/>
    </row>
    <row r="8" spans="1:10" ht="30" customHeight="1" x14ac:dyDescent="0.3">
      <c r="A8" s="8"/>
      <c r="B8" s="76" t="s">
        <v>180</v>
      </c>
      <c r="C8" s="77"/>
      <c r="D8" s="77"/>
      <c r="E8" s="30">
        <v>5</v>
      </c>
      <c r="F8" s="31">
        <v>3.75</v>
      </c>
      <c r="G8" s="32">
        <f>IFERROR(F8/E8,"")</f>
        <v>0.75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1"/>
    </row>
    <row r="9" spans="1:10" ht="39.9" customHeight="1" x14ac:dyDescent="0.3">
      <c r="A9" s="8"/>
      <c r="B9" s="78" t="s">
        <v>181</v>
      </c>
      <c r="C9" s="79"/>
      <c r="D9" s="79"/>
      <c r="E9" s="7">
        <v>5</v>
      </c>
      <c r="F9" s="24">
        <v>3.5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8"/>
      <c r="J9" s="39"/>
    </row>
    <row r="10" spans="1:10" ht="39.9" customHeight="1" x14ac:dyDescent="0.3">
      <c r="A10" s="8"/>
      <c r="B10" s="78" t="s">
        <v>182</v>
      </c>
      <c r="C10" s="79"/>
      <c r="D10" s="79"/>
      <c r="E10" s="7">
        <v>5</v>
      </c>
      <c r="F10" s="24">
        <v>4</v>
      </c>
      <c r="G10" s="28">
        <f t="shared" ref="G10:G59" si="0">IFERROR(F10/E10,"")</f>
        <v>0.8</v>
      </c>
      <c r="H10" s="29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8"/>
      <c r="J10" s="39"/>
    </row>
    <row r="11" spans="1:10" ht="30" customHeight="1" x14ac:dyDescent="0.3">
      <c r="A11" s="8"/>
      <c r="B11" s="78" t="s">
        <v>183</v>
      </c>
      <c r="C11" s="79"/>
      <c r="D11" s="79"/>
      <c r="E11" s="7">
        <v>5</v>
      </c>
      <c r="F11" s="24">
        <v>3.75</v>
      </c>
      <c r="G11" s="28">
        <f t="shared" si="0"/>
        <v>0.75</v>
      </c>
      <c r="H11" s="29" t="str">
        <f t="shared" si="1"/>
        <v>جيد</v>
      </c>
      <c r="I11" s="38"/>
      <c r="J11" s="39"/>
    </row>
    <row r="12" spans="1:10" ht="30" customHeight="1" x14ac:dyDescent="0.3">
      <c r="A12" s="8"/>
      <c r="B12" s="78" t="s">
        <v>184</v>
      </c>
      <c r="C12" s="79"/>
      <c r="D12" s="79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38"/>
      <c r="J12" s="39"/>
    </row>
    <row r="13" spans="1:10" ht="30" customHeight="1" x14ac:dyDescent="0.3">
      <c r="A13" s="8"/>
      <c r="B13" s="78" t="s">
        <v>185</v>
      </c>
      <c r="C13" s="79"/>
      <c r="D13" s="79"/>
      <c r="E13" s="7">
        <v>5</v>
      </c>
      <c r="F13" s="24">
        <v>4</v>
      </c>
      <c r="G13" s="28">
        <f t="shared" si="0"/>
        <v>0.8</v>
      </c>
      <c r="H13" s="29" t="str">
        <f t="shared" si="1"/>
        <v>جيد جداً</v>
      </c>
      <c r="I13" s="38"/>
      <c r="J13" s="39"/>
    </row>
    <row r="14" spans="1:10" ht="30" customHeight="1" x14ac:dyDescent="0.3">
      <c r="A14" s="8"/>
      <c r="B14" s="78" t="s">
        <v>186</v>
      </c>
      <c r="C14" s="79"/>
      <c r="D14" s="79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38"/>
      <c r="J14" s="39"/>
    </row>
    <row r="15" spans="1:10" ht="30" customHeight="1" x14ac:dyDescent="0.3">
      <c r="A15" s="8"/>
      <c r="B15" s="78" t="s">
        <v>187</v>
      </c>
      <c r="C15" s="79"/>
      <c r="D15" s="79"/>
      <c r="E15" s="7">
        <v>5</v>
      </c>
      <c r="F15" s="24">
        <v>4</v>
      </c>
      <c r="G15" s="28">
        <f t="shared" si="0"/>
        <v>0.8</v>
      </c>
      <c r="H15" s="29" t="str">
        <f t="shared" si="1"/>
        <v>جيد جداً</v>
      </c>
      <c r="I15" s="38"/>
      <c r="J15" s="39"/>
    </row>
    <row r="16" spans="1:10" ht="30" customHeight="1" x14ac:dyDescent="0.3">
      <c r="A16" s="8"/>
      <c r="B16" s="78" t="s">
        <v>188</v>
      </c>
      <c r="C16" s="79"/>
      <c r="D16" s="79"/>
      <c r="E16" s="7">
        <v>5</v>
      </c>
      <c r="F16" s="24">
        <v>3.5</v>
      </c>
      <c r="G16" s="28">
        <f t="shared" si="0"/>
        <v>0.7</v>
      </c>
      <c r="H16" s="29" t="str">
        <f t="shared" si="1"/>
        <v>جيد</v>
      </c>
      <c r="I16" s="38"/>
      <c r="J16" s="39"/>
    </row>
    <row r="17" spans="1:10" ht="39.9" customHeight="1" x14ac:dyDescent="0.3">
      <c r="A17" s="8"/>
      <c r="B17" s="78" t="s">
        <v>189</v>
      </c>
      <c r="C17" s="79"/>
      <c r="D17" s="79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38"/>
      <c r="J17" s="39"/>
    </row>
    <row r="18" spans="1:10" ht="39.9" customHeight="1" x14ac:dyDescent="0.3">
      <c r="A18" s="8"/>
      <c r="B18" s="78" t="s">
        <v>190</v>
      </c>
      <c r="C18" s="79"/>
      <c r="D18" s="79"/>
      <c r="E18" s="7">
        <v>5</v>
      </c>
      <c r="F18" s="24">
        <v>3.5</v>
      </c>
      <c r="G18" s="28">
        <f t="shared" si="0"/>
        <v>0.7</v>
      </c>
      <c r="H18" s="29" t="str">
        <f t="shared" si="1"/>
        <v>جيد</v>
      </c>
      <c r="I18" s="38"/>
      <c r="J18" s="39"/>
    </row>
    <row r="19" spans="1:10" ht="39.9" customHeight="1" x14ac:dyDescent="0.3">
      <c r="A19" s="8"/>
      <c r="B19" s="78" t="s">
        <v>191</v>
      </c>
      <c r="C19" s="79"/>
      <c r="D19" s="79"/>
      <c r="E19" s="7">
        <v>5</v>
      </c>
      <c r="F19" s="24">
        <v>3.5</v>
      </c>
      <c r="G19" s="28">
        <f t="shared" si="0"/>
        <v>0.7</v>
      </c>
      <c r="H19" s="29" t="str">
        <f t="shared" si="1"/>
        <v>جيد</v>
      </c>
      <c r="I19" s="38"/>
      <c r="J19" s="39"/>
    </row>
    <row r="20" spans="1:10" ht="30" customHeight="1" x14ac:dyDescent="0.3">
      <c r="A20" s="8"/>
      <c r="B20" s="78" t="s">
        <v>192</v>
      </c>
      <c r="C20" s="79"/>
      <c r="D20" s="79"/>
      <c r="E20" s="7">
        <v>5</v>
      </c>
      <c r="F20" s="24">
        <v>3.75</v>
      </c>
      <c r="G20" s="28">
        <f t="shared" si="0"/>
        <v>0.75</v>
      </c>
      <c r="H20" s="29" t="str">
        <f t="shared" si="1"/>
        <v>جيد</v>
      </c>
      <c r="I20" s="38"/>
      <c r="J20" s="39"/>
    </row>
    <row r="21" spans="1:10" ht="30" customHeight="1" x14ac:dyDescent="0.3">
      <c r="A21" s="8"/>
      <c r="B21" s="78" t="s">
        <v>193</v>
      </c>
      <c r="C21" s="79"/>
      <c r="D21" s="79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38"/>
      <c r="J21" s="39"/>
    </row>
    <row r="22" spans="1:10" ht="30" customHeight="1" x14ac:dyDescent="0.3">
      <c r="A22" s="8"/>
      <c r="B22" s="78" t="s">
        <v>194</v>
      </c>
      <c r="C22" s="79"/>
      <c r="D22" s="79"/>
      <c r="E22" s="7">
        <v>5</v>
      </c>
      <c r="F22" s="24">
        <v>4</v>
      </c>
      <c r="G22" s="28">
        <f t="shared" si="0"/>
        <v>0.8</v>
      </c>
      <c r="H22" s="29" t="str">
        <f t="shared" si="1"/>
        <v>جيد جداً</v>
      </c>
      <c r="I22" s="38"/>
      <c r="J22" s="39"/>
    </row>
    <row r="23" spans="1:10" ht="30" customHeight="1" x14ac:dyDescent="0.3">
      <c r="A23" s="8"/>
      <c r="B23" s="78" t="s">
        <v>195</v>
      </c>
      <c r="C23" s="79"/>
      <c r="D23" s="79"/>
      <c r="E23" s="7">
        <v>5</v>
      </c>
      <c r="F23" s="24">
        <v>3.5</v>
      </c>
      <c r="G23" s="28">
        <f t="shared" si="0"/>
        <v>0.7</v>
      </c>
      <c r="H23" s="29" t="str">
        <f t="shared" si="1"/>
        <v>جيد</v>
      </c>
      <c r="I23" s="38"/>
      <c r="J23" s="39"/>
    </row>
    <row r="24" spans="1:10" ht="30" customHeight="1" x14ac:dyDescent="0.3">
      <c r="A24" s="8"/>
      <c r="B24" s="78" t="s">
        <v>196</v>
      </c>
      <c r="C24" s="79"/>
      <c r="D24" s="79"/>
      <c r="E24" s="7">
        <v>5</v>
      </c>
      <c r="F24" s="24">
        <v>3.25</v>
      </c>
      <c r="G24" s="28">
        <f t="shared" si="0"/>
        <v>0.65</v>
      </c>
      <c r="H24" s="29" t="str">
        <f t="shared" si="1"/>
        <v>مقبول</v>
      </c>
      <c r="I24" s="38"/>
      <c r="J24" s="39"/>
    </row>
    <row r="25" spans="1:10" ht="30" customHeight="1" x14ac:dyDescent="0.3">
      <c r="A25" s="8"/>
      <c r="B25" s="80" t="s">
        <v>197</v>
      </c>
      <c r="C25" s="81"/>
      <c r="D25" s="81"/>
      <c r="E25" s="7">
        <v>5</v>
      </c>
      <c r="F25" s="24">
        <v>3.5</v>
      </c>
      <c r="G25" s="28">
        <f t="shared" si="0"/>
        <v>0.7</v>
      </c>
      <c r="H25" s="29" t="str">
        <f t="shared" si="1"/>
        <v>جيد</v>
      </c>
      <c r="I25" s="38"/>
      <c r="J25" s="39"/>
    </row>
    <row r="26" spans="1:10" ht="30" customHeight="1" x14ac:dyDescent="0.3">
      <c r="A26" s="8"/>
      <c r="B26" s="78" t="s">
        <v>198</v>
      </c>
      <c r="C26" s="79"/>
      <c r="D26" s="79"/>
      <c r="E26" s="7">
        <v>5</v>
      </c>
      <c r="F26" s="24">
        <v>3.5</v>
      </c>
      <c r="G26" s="28">
        <f t="shared" si="0"/>
        <v>0.7</v>
      </c>
      <c r="H26" s="29" t="str">
        <f t="shared" si="1"/>
        <v>جيد</v>
      </c>
      <c r="I26" s="38"/>
      <c r="J26" s="39"/>
    </row>
    <row r="27" spans="1:10" ht="30" customHeight="1" x14ac:dyDescent="0.3">
      <c r="A27" s="8"/>
      <c r="B27" s="78" t="s">
        <v>199</v>
      </c>
      <c r="C27" s="79"/>
      <c r="D27" s="79"/>
      <c r="E27" s="7">
        <v>5</v>
      </c>
      <c r="F27" s="24">
        <v>3.75</v>
      </c>
      <c r="G27" s="28">
        <f t="shared" si="0"/>
        <v>0.75</v>
      </c>
      <c r="H27" s="29" t="str">
        <f t="shared" si="1"/>
        <v>جيد</v>
      </c>
      <c r="I27" s="38"/>
      <c r="J27" s="39"/>
    </row>
    <row r="28" spans="1:10" ht="39.9" customHeight="1" x14ac:dyDescent="0.3">
      <c r="A28" s="8"/>
      <c r="B28" s="78" t="s">
        <v>200</v>
      </c>
      <c r="C28" s="79"/>
      <c r="D28" s="79"/>
      <c r="E28" s="7">
        <v>5</v>
      </c>
      <c r="F28" s="24">
        <v>3.5</v>
      </c>
      <c r="G28" s="28">
        <f t="shared" si="0"/>
        <v>0.7</v>
      </c>
      <c r="H28" s="29" t="str">
        <f t="shared" si="1"/>
        <v>جيد</v>
      </c>
      <c r="I28" s="38"/>
      <c r="J28" s="39"/>
    </row>
    <row r="29" spans="1:10" ht="30" customHeight="1" x14ac:dyDescent="0.3">
      <c r="A29" s="8"/>
      <c r="B29" s="78" t="s">
        <v>201</v>
      </c>
      <c r="C29" s="79"/>
      <c r="D29" s="79"/>
      <c r="E29" s="7">
        <v>5</v>
      </c>
      <c r="F29" s="24">
        <v>3.5</v>
      </c>
      <c r="G29" s="28">
        <f t="shared" si="0"/>
        <v>0.7</v>
      </c>
      <c r="H29" s="29" t="str">
        <f t="shared" si="1"/>
        <v>جيد</v>
      </c>
      <c r="I29" s="38"/>
      <c r="J29" s="39"/>
    </row>
    <row r="30" spans="1:10" ht="30" customHeight="1" x14ac:dyDescent="0.3">
      <c r="A30" s="8"/>
      <c r="B30" s="78" t="s">
        <v>202</v>
      </c>
      <c r="C30" s="79"/>
      <c r="D30" s="79"/>
      <c r="E30" s="7">
        <v>5</v>
      </c>
      <c r="F30" s="24">
        <v>3.5</v>
      </c>
      <c r="G30" s="28">
        <f t="shared" si="0"/>
        <v>0.7</v>
      </c>
      <c r="H30" s="29" t="str">
        <f t="shared" si="1"/>
        <v>جيد</v>
      </c>
      <c r="I30" s="38"/>
      <c r="J30" s="39"/>
    </row>
    <row r="31" spans="1:10" ht="30" customHeight="1" x14ac:dyDescent="0.3">
      <c r="A31" s="8"/>
      <c r="B31" s="78" t="s">
        <v>203</v>
      </c>
      <c r="C31" s="79"/>
      <c r="D31" s="79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38"/>
      <c r="J31" s="39"/>
    </row>
    <row r="32" spans="1:10" ht="30" customHeight="1" x14ac:dyDescent="0.3">
      <c r="A32" s="8"/>
      <c r="B32" s="78" t="s">
        <v>204</v>
      </c>
      <c r="C32" s="79"/>
      <c r="D32" s="79"/>
      <c r="E32" s="7">
        <v>5</v>
      </c>
      <c r="F32" s="24">
        <v>4</v>
      </c>
      <c r="G32" s="28">
        <f t="shared" si="0"/>
        <v>0.8</v>
      </c>
      <c r="H32" s="29" t="str">
        <f t="shared" si="1"/>
        <v>جيد جداً</v>
      </c>
      <c r="I32" s="38"/>
      <c r="J32" s="39"/>
    </row>
    <row r="33" spans="1:10" ht="30" customHeight="1" x14ac:dyDescent="0.3">
      <c r="A33" s="8"/>
      <c r="B33" s="78" t="s">
        <v>205</v>
      </c>
      <c r="C33" s="79"/>
      <c r="D33" s="79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38"/>
      <c r="J33" s="39"/>
    </row>
    <row r="34" spans="1:10" ht="30" customHeight="1" x14ac:dyDescent="0.3">
      <c r="A34" s="8"/>
      <c r="B34" s="78" t="s">
        <v>206</v>
      </c>
      <c r="C34" s="79"/>
      <c r="D34" s="79"/>
      <c r="E34" s="7">
        <v>5</v>
      </c>
      <c r="F34" s="24">
        <v>3.25</v>
      </c>
      <c r="G34" s="28">
        <f t="shared" si="0"/>
        <v>0.65</v>
      </c>
      <c r="H34" s="29" t="str">
        <f t="shared" si="1"/>
        <v>مقبول</v>
      </c>
      <c r="I34" s="38"/>
      <c r="J34" s="39"/>
    </row>
    <row r="35" spans="1:10" ht="30" customHeight="1" x14ac:dyDescent="0.3">
      <c r="A35" s="8"/>
      <c r="B35" s="78" t="s">
        <v>207</v>
      </c>
      <c r="C35" s="79"/>
      <c r="D35" s="79"/>
      <c r="E35" s="7">
        <v>5</v>
      </c>
      <c r="F35" s="24">
        <v>3.75</v>
      </c>
      <c r="G35" s="28">
        <f t="shared" si="0"/>
        <v>0.75</v>
      </c>
      <c r="H35" s="29" t="str">
        <f t="shared" si="1"/>
        <v>جيد</v>
      </c>
      <c r="I35" s="38"/>
      <c r="J35" s="39"/>
    </row>
    <row r="36" spans="1:10" ht="30" customHeight="1" x14ac:dyDescent="0.3">
      <c r="A36" s="8"/>
      <c r="B36" s="78" t="s">
        <v>208</v>
      </c>
      <c r="C36" s="79"/>
      <c r="D36" s="79"/>
      <c r="E36" s="7">
        <v>5</v>
      </c>
      <c r="F36" s="24">
        <v>4</v>
      </c>
      <c r="G36" s="28">
        <f t="shared" si="0"/>
        <v>0.8</v>
      </c>
      <c r="H36" s="29" t="str">
        <f t="shared" si="1"/>
        <v>جيد جداً</v>
      </c>
      <c r="I36" s="38"/>
      <c r="J36" s="39"/>
    </row>
    <row r="37" spans="1:10" ht="30" customHeight="1" x14ac:dyDescent="0.3">
      <c r="A37" s="8"/>
      <c r="B37" s="78" t="s">
        <v>209</v>
      </c>
      <c r="C37" s="79"/>
      <c r="D37" s="79"/>
      <c r="E37" s="7">
        <v>5</v>
      </c>
      <c r="F37" s="24">
        <v>3.75</v>
      </c>
      <c r="G37" s="28">
        <f t="shared" si="0"/>
        <v>0.75</v>
      </c>
      <c r="H37" s="29" t="str">
        <f t="shared" si="1"/>
        <v>جيد</v>
      </c>
      <c r="I37" s="38"/>
      <c r="J37" s="39"/>
    </row>
    <row r="38" spans="1:10" ht="30" customHeight="1" x14ac:dyDescent="0.3">
      <c r="A38" s="8"/>
      <c r="B38" s="78" t="s">
        <v>210</v>
      </c>
      <c r="C38" s="79"/>
      <c r="D38" s="79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38"/>
      <c r="J38" s="39"/>
    </row>
    <row r="39" spans="1:10" ht="30" customHeight="1" x14ac:dyDescent="0.3">
      <c r="A39" s="8"/>
      <c r="B39" s="78" t="s">
        <v>211</v>
      </c>
      <c r="C39" s="79"/>
      <c r="D39" s="79"/>
      <c r="E39" s="7">
        <v>5</v>
      </c>
      <c r="F39" s="24">
        <v>3.75</v>
      </c>
      <c r="G39" s="28">
        <f t="shared" si="0"/>
        <v>0.75</v>
      </c>
      <c r="H39" s="29" t="str">
        <f t="shared" si="1"/>
        <v>جيد</v>
      </c>
      <c r="I39" s="38"/>
      <c r="J39" s="39"/>
    </row>
    <row r="40" spans="1:10" ht="30" customHeight="1" x14ac:dyDescent="0.3">
      <c r="A40" s="8"/>
      <c r="B40" s="78" t="s">
        <v>212</v>
      </c>
      <c r="C40" s="79"/>
      <c r="D40" s="79"/>
      <c r="E40" s="7">
        <v>5</v>
      </c>
      <c r="F40" s="24">
        <v>4</v>
      </c>
      <c r="G40" s="28">
        <f t="shared" si="0"/>
        <v>0.8</v>
      </c>
      <c r="H40" s="29" t="str">
        <f t="shared" si="1"/>
        <v>جيد جداً</v>
      </c>
      <c r="I40" s="38"/>
      <c r="J40" s="39"/>
    </row>
    <row r="41" spans="1:10" ht="30" customHeight="1" x14ac:dyDescent="0.3">
      <c r="A41" s="8"/>
      <c r="B41" s="78" t="s">
        <v>213</v>
      </c>
      <c r="C41" s="79"/>
      <c r="D41" s="79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38"/>
      <c r="J41" s="39"/>
    </row>
    <row r="42" spans="1:10" ht="30" customHeight="1" x14ac:dyDescent="0.3">
      <c r="A42" s="8"/>
      <c r="B42" s="78" t="s">
        <v>214</v>
      </c>
      <c r="C42" s="79"/>
      <c r="D42" s="79"/>
      <c r="E42" s="7">
        <v>5</v>
      </c>
      <c r="F42" s="24">
        <v>4</v>
      </c>
      <c r="G42" s="28">
        <f t="shared" si="0"/>
        <v>0.8</v>
      </c>
      <c r="H42" s="29" t="str">
        <f t="shared" si="1"/>
        <v>جيد جداً</v>
      </c>
      <c r="I42" s="38"/>
      <c r="J42" s="39"/>
    </row>
    <row r="43" spans="1:10" ht="30" customHeight="1" x14ac:dyDescent="0.3">
      <c r="A43" s="8"/>
      <c r="B43" s="78" t="s">
        <v>215</v>
      </c>
      <c r="C43" s="79"/>
      <c r="D43" s="79"/>
      <c r="E43" s="7">
        <v>5</v>
      </c>
      <c r="F43" s="24">
        <v>3.75</v>
      </c>
      <c r="G43" s="28">
        <f t="shared" si="0"/>
        <v>0.75</v>
      </c>
      <c r="H43" s="29" t="str">
        <f t="shared" si="1"/>
        <v>جيد</v>
      </c>
      <c r="I43" s="38"/>
      <c r="J43" s="39"/>
    </row>
    <row r="44" spans="1:10" ht="30" customHeight="1" x14ac:dyDescent="0.3">
      <c r="A44" s="8"/>
      <c r="B44" s="78" t="s">
        <v>216</v>
      </c>
      <c r="C44" s="79"/>
      <c r="D44" s="79"/>
      <c r="E44" s="7">
        <v>5</v>
      </c>
      <c r="F44" s="24">
        <v>3.75</v>
      </c>
      <c r="G44" s="28">
        <f t="shared" si="0"/>
        <v>0.75</v>
      </c>
      <c r="H44" s="29" t="str">
        <f t="shared" si="1"/>
        <v>جيد</v>
      </c>
      <c r="I44" s="38"/>
      <c r="J44" s="39"/>
    </row>
    <row r="45" spans="1:10" ht="30" customHeight="1" x14ac:dyDescent="0.3">
      <c r="A45" s="8"/>
      <c r="B45" s="78" t="s">
        <v>217</v>
      </c>
      <c r="C45" s="79"/>
      <c r="D45" s="79"/>
      <c r="E45" s="7">
        <v>5</v>
      </c>
      <c r="F45" s="24">
        <v>3.75</v>
      </c>
      <c r="G45" s="28">
        <f t="shared" si="0"/>
        <v>0.75</v>
      </c>
      <c r="H45" s="29" t="str">
        <f t="shared" si="1"/>
        <v>جيد</v>
      </c>
      <c r="I45" s="38"/>
      <c r="J45" s="39"/>
    </row>
    <row r="46" spans="1:10" ht="54.75" customHeight="1" x14ac:dyDescent="0.3">
      <c r="A46" s="8"/>
      <c r="B46" s="78" t="s">
        <v>218</v>
      </c>
      <c r="C46" s="79"/>
      <c r="D46" s="79"/>
      <c r="E46" s="7">
        <v>5</v>
      </c>
      <c r="F46" s="24">
        <v>4</v>
      </c>
      <c r="G46" s="28">
        <f t="shared" si="0"/>
        <v>0.8</v>
      </c>
      <c r="H46" s="29" t="str">
        <f t="shared" si="1"/>
        <v>جيد جداً</v>
      </c>
      <c r="I46" s="38"/>
      <c r="J46" s="39"/>
    </row>
    <row r="47" spans="1:10" ht="30" customHeight="1" x14ac:dyDescent="0.3">
      <c r="A47" s="8"/>
      <c r="B47" s="78" t="s">
        <v>219</v>
      </c>
      <c r="C47" s="79"/>
      <c r="D47" s="79"/>
      <c r="E47" s="7">
        <v>5</v>
      </c>
      <c r="F47" s="24">
        <v>3.75</v>
      </c>
      <c r="G47" s="28">
        <f t="shared" si="0"/>
        <v>0.75</v>
      </c>
      <c r="H47" s="29" t="str">
        <f t="shared" si="1"/>
        <v>جيد</v>
      </c>
      <c r="I47" s="38"/>
      <c r="J47" s="39"/>
    </row>
    <row r="48" spans="1:10" ht="30" customHeight="1" x14ac:dyDescent="0.3">
      <c r="A48" s="8"/>
      <c r="B48" s="78" t="s">
        <v>220</v>
      </c>
      <c r="C48" s="79"/>
      <c r="D48" s="79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38"/>
      <c r="J48" s="39"/>
    </row>
    <row r="49" spans="1:10" ht="30" customHeight="1" x14ac:dyDescent="0.3">
      <c r="A49" s="8"/>
      <c r="B49" s="78" t="s">
        <v>221</v>
      </c>
      <c r="C49" s="79"/>
      <c r="D49" s="79"/>
      <c r="E49" s="7">
        <v>5</v>
      </c>
      <c r="F49" s="24">
        <v>3.75</v>
      </c>
      <c r="G49" s="28">
        <f t="shared" si="0"/>
        <v>0.75</v>
      </c>
      <c r="H49" s="29" t="str">
        <f t="shared" si="1"/>
        <v>جيد</v>
      </c>
      <c r="I49" s="38"/>
      <c r="J49" s="39"/>
    </row>
    <row r="50" spans="1:10" ht="30" customHeight="1" x14ac:dyDescent="0.3">
      <c r="A50" s="8"/>
      <c r="B50" s="78" t="s">
        <v>222</v>
      </c>
      <c r="C50" s="79"/>
      <c r="D50" s="79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38"/>
      <c r="J50" s="39"/>
    </row>
    <row r="51" spans="1:10" ht="30" customHeight="1" x14ac:dyDescent="0.3">
      <c r="A51" s="8"/>
      <c r="B51" s="78" t="s">
        <v>223</v>
      </c>
      <c r="C51" s="79"/>
      <c r="D51" s="79"/>
      <c r="E51" s="7">
        <v>5</v>
      </c>
      <c r="F51" s="24">
        <v>3.5</v>
      </c>
      <c r="G51" s="28">
        <f t="shared" si="0"/>
        <v>0.7</v>
      </c>
      <c r="H51" s="29" t="str">
        <f t="shared" si="1"/>
        <v>جيد</v>
      </c>
      <c r="I51" s="38"/>
      <c r="J51" s="39"/>
    </row>
    <row r="52" spans="1:10" ht="30" customHeight="1" x14ac:dyDescent="0.3">
      <c r="A52" s="8"/>
      <c r="B52" s="78" t="s">
        <v>224</v>
      </c>
      <c r="C52" s="79"/>
      <c r="D52" s="79"/>
      <c r="E52" s="7">
        <v>5</v>
      </c>
      <c r="F52" s="24">
        <v>3.75</v>
      </c>
      <c r="G52" s="28">
        <f t="shared" si="0"/>
        <v>0.75</v>
      </c>
      <c r="H52" s="29" t="str">
        <f t="shared" si="1"/>
        <v>جيد</v>
      </c>
      <c r="I52" s="38"/>
      <c r="J52" s="39"/>
    </row>
    <row r="53" spans="1:10" ht="39.9" customHeight="1" x14ac:dyDescent="0.3">
      <c r="A53" s="8"/>
      <c r="B53" s="78" t="s">
        <v>225</v>
      </c>
      <c r="C53" s="79"/>
      <c r="D53" s="79"/>
      <c r="E53" s="7">
        <v>5</v>
      </c>
      <c r="F53" s="24">
        <v>3.5</v>
      </c>
      <c r="G53" s="28">
        <f t="shared" si="0"/>
        <v>0.7</v>
      </c>
      <c r="H53" s="29" t="str">
        <f t="shared" si="1"/>
        <v>جيد</v>
      </c>
      <c r="I53" s="38"/>
      <c r="J53" s="39"/>
    </row>
    <row r="54" spans="1:10" ht="39.9" customHeight="1" x14ac:dyDescent="0.3">
      <c r="A54" s="8"/>
      <c r="B54" s="78" t="s">
        <v>226</v>
      </c>
      <c r="C54" s="79"/>
      <c r="D54" s="79"/>
      <c r="E54" s="7">
        <v>5</v>
      </c>
      <c r="F54" s="24">
        <v>3.75</v>
      </c>
      <c r="G54" s="28">
        <f t="shared" si="0"/>
        <v>0.75</v>
      </c>
      <c r="H54" s="29" t="str">
        <f t="shared" si="1"/>
        <v>جيد</v>
      </c>
      <c r="I54" s="38"/>
      <c r="J54" s="39"/>
    </row>
    <row r="55" spans="1:10" ht="39.9" customHeight="1" x14ac:dyDescent="0.3">
      <c r="A55" s="8"/>
      <c r="B55" s="78" t="s">
        <v>227</v>
      </c>
      <c r="C55" s="79"/>
      <c r="D55" s="79"/>
      <c r="E55" s="7">
        <v>5</v>
      </c>
      <c r="F55" s="24">
        <v>3.5</v>
      </c>
      <c r="G55" s="28">
        <f t="shared" si="0"/>
        <v>0.7</v>
      </c>
      <c r="H55" s="29" t="str">
        <f t="shared" si="1"/>
        <v>جيد</v>
      </c>
      <c r="I55" s="38"/>
      <c r="J55" s="39"/>
    </row>
    <row r="56" spans="1:10" ht="30" customHeight="1" x14ac:dyDescent="0.3">
      <c r="A56" s="8"/>
      <c r="B56" s="78" t="s">
        <v>228</v>
      </c>
      <c r="C56" s="79"/>
      <c r="D56" s="79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38"/>
      <c r="J56" s="39"/>
    </row>
    <row r="57" spans="1:10" ht="30" customHeight="1" x14ac:dyDescent="0.3">
      <c r="A57" s="8"/>
      <c r="B57" s="78" t="s">
        <v>229</v>
      </c>
      <c r="C57" s="79"/>
      <c r="D57" s="79"/>
      <c r="E57" s="7">
        <v>5</v>
      </c>
      <c r="F57" s="24">
        <v>4</v>
      </c>
      <c r="G57" s="28">
        <f t="shared" si="0"/>
        <v>0.8</v>
      </c>
      <c r="H57" s="29" t="str">
        <f t="shared" si="1"/>
        <v>جيد جداً</v>
      </c>
      <c r="I57" s="38"/>
      <c r="J57" s="39"/>
    </row>
    <row r="58" spans="1:10" ht="30" customHeight="1" x14ac:dyDescent="0.3">
      <c r="A58" s="8"/>
      <c r="B58" s="78" t="s">
        <v>230</v>
      </c>
      <c r="C58" s="79"/>
      <c r="D58" s="79"/>
      <c r="E58" s="7">
        <v>5</v>
      </c>
      <c r="F58" s="24">
        <v>4</v>
      </c>
      <c r="G58" s="28">
        <f t="shared" si="0"/>
        <v>0.8</v>
      </c>
      <c r="H58" s="29" t="str">
        <f t="shared" si="1"/>
        <v>جيد جداً</v>
      </c>
      <c r="I58" s="38"/>
      <c r="J58" s="39"/>
    </row>
    <row r="59" spans="1:10" ht="30" customHeight="1" thickBot="1" x14ac:dyDescent="0.35">
      <c r="A59" s="8"/>
      <c r="B59" s="82" t="s">
        <v>231</v>
      </c>
      <c r="C59" s="83"/>
      <c r="D59" s="83"/>
      <c r="E59" s="34">
        <v>5</v>
      </c>
      <c r="F59" s="25">
        <v>3.75</v>
      </c>
      <c r="G59" s="35">
        <f t="shared" si="0"/>
        <v>0.75</v>
      </c>
      <c r="H59" s="36" t="str">
        <f t="shared" si="1"/>
        <v>جيد</v>
      </c>
      <c r="I59" s="46"/>
      <c r="J59" s="47"/>
    </row>
    <row r="60" spans="1:10" ht="30" customHeight="1" thickBot="1" x14ac:dyDescent="0.35">
      <c r="A60" s="4"/>
      <c r="B60" s="42" t="s">
        <v>5</v>
      </c>
      <c r="C60" s="43"/>
      <c r="D60" s="43"/>
      <c r="E60" s="27">
        <f>SUM(E8:E59)</f>
        <v>260</v>
      </c>
      <c r="F60" s="27">
        <f>SUM(F8:F59)</f>
        <v>192.5</v>
      </c>
      <c r="G60" s="52"/>
      <c r="H60" s="53"/>
      <c r="I60" s="53"/>
      <c r="J60" s="54"/>
    </row>
    <row r="61" spans="1:10" ht="30" customHeight="1" thickBot="1" x14ac:dyDescent="0.35">
      <c r="A61" s="4"/>
      <c r="B61" s="44" t="s">
        <v>54</v>
      </c>
      <c r="C61" s="45"/>
      <c r="D61" s="45"/>
      <c r="E61" s="62">
        <f>F60/E60/100*100</f>
        <v>0.74038461538461542</v>
      </c>
      <c r="F61" s="62"/>
      <c r="G61" s="62"/>
      <c r="H61" s="62"/>
      <c r="I61" s="62"/>
      <c r="J61" s="63"/>
    </row>
    <row r="62" spans="1:10" ht="30" customHeight="1" thickBot="1" x14ac:dyDescent="0.35">
      <c r="A62" s="4"/>
      <c r="B62" s="44" t="s">
        <v>55</v>
      </c>
      <c r="C62" s="45"/>
      <c r="D62" s="45"/>
      <c r="E62" s="48" t="str">
        <f>_xlfn.IFS(E61&gt;=90%,"ممتاز",E61&gt;=80%,"جيد جداً",E61&gt;=70%,"جيد",E61&gt;=60%,"مقبول",E61&lt;60%,"راسب")</f>
        <v>جيد</v>
      </c>
      <c r="F62" s="48"/>
      <c r="G62" s="48"/>
      <c r="H62" s="48"/>
      <c r="I62" s="48"/>
      <c r="J62" s="49"/>
    </row>
    <row r="63" spans="1:10" ht="42" customHeight="1" x14ac:dyDescent="0.3">
      <c r="B63" s="72" t="s">
        <v>174</v>
      </c>
      <c r="C63" s="72"/>
      <c r="D63" s="72"/>
      <c r="E63" s="50" t="s">
        <v>52</v>
      </c>
      <c r="F63" s="50"/>
      <c r="G63" s="74" t="s">
        <v>114</v>
      </c>
      <c r="H63" s="74"/>
      <c r="I63" s="74"/>
      <c r="J63" s="74"/>
    </row>
    <row r="64" spans="1:10" ht="51" customHeight="1" x14ac:dyDescent="0.3">
      <c r="A64" s="5"/>
      <c r="B64" s="73"/>
      <c r="C64" s="73"/>
      <c r="D64" s="73"/>
      <c r="E64" s="51" t="s">
        <v>53</v>
      </c>
      <c r="F64" s="51"/>
      <c r="G64" s="75"/>
      <c r="H64" s="75"/>
      <c r="I64" s="75"/>
      <c r="J64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7"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4"/>
    <mergeCell ref="G63:J63"/>
    <mergeCell ref="G64:J64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I56:J56"/>
    <mergeCell ref="I57:J57"/>
    <mergeCell ref="I58:J58"/>
    <mergeCell ref="I9:J9"/>
    <mergeCell ref="E63:F63"/>
    <mergeCell ref="E64:F64"/>
    <mergeCell ref="G60:J60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B61:D61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19:J19"/>
    <mergeCell ref="I20:J20"/>
    <mergeCell ref="I21:J21"/>
    <mergeCell ref="I22:J22"/>
    <mergeCell ref="I23:J23"/>
    <mergeCell ref="I24:J24"/>
    <mergeCell ref="I25:J25"/>
    <mergeCell ref="E62:J62"/>
    <mergeCell ref="I40:J40"/>
    <mergeCell ref="I41:J41"/>
    <mergeCell ref="I42:J42"/>
    <mergeCell ref="F4:J4"/>
    <mergeCell ref="C4:D4"/>
    <mergeCell ref="I32:J32"/>
    <mergeCell ref="I33:J33"/>
    <mergeCell ref="I34:J34"/>
    <mergeCell ref="I35:J35"/>
    <mergeCell ref="I36:J36"/>
    <mergeCell ref="I8:J8"/>
    <mergeCell ref="B60:D60"/>
    <mergeCell ref="I26:J26"/>
    <mergeCell ref="I27:J27"/>
    <mergeCell ref="I45:J45"/>
    <mergeCell ref="I46:J46"/>
    <mergeCell ref="I47:J47"/>
    <mergeCell ref="I48:J48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F8:F59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2025-10-25T05:02:36Z</dcterms:modified>
</cp:coreProperties>
</file>