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F39A3510-79A8-411E-8576-A3FD9BB2C52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التقييم'!$A$1:$J$31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2" i="2"/>
  <c r="H12" i="2"/>
  <c r="G13" i="2"/>
  <c r="H13" i="2"/>
  <c r="G14" i="2"/>
  <c r="H14" i="2"/>
  <c r="G15" i="2"/>
  <c r="H15" i="2"/>
  <c r="G16" i="2"/>
  <c r="H16" i="2"/>
  <c r="G17" i="2"/>
  <c r="H17" i="2"/>
  <c r="G18" i="2"/>
  <c r="H18" i="2"/>
  <c r="G19" i="2"/>
  <c r="H19" i="2"/>
  <c r="G20" i="2"/>
  <c r="H20" i="2"/>
  <c r="G21" i="2"/>
  <c r="H21" i="2"/>
  <c r="G22" i="2"/>
  <c r="H22" i="2"/>
  <c r="G23" i="2"/>
  <c r="H23" i="2"/>
  <c r="G24" i="2"/>
  <c r="H24" i="2"/>
  <c r="G25" i="2"/>
  <c r="H25" i="2"/>
  <c r="G26" i="2"/>
  <c r="H26" i="2"/>
  <c r="F27" i="2"/>
  <c r="E27" i="2"/>
  <c r="E28" i="2"/>
  <c r="E29" i="2"/>
</calcChain>
</file>

<file path=xl/sharedStrings.xml><?xml version="1.0" encoding="utf-8"?>
<sst xmlns="http://schemas.openxmlformats.org/spreadsheetml/2006/main" count="257" uniqueCount="201">
  <si>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</si>
  <si>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</si>
  <si>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</si>
  <si>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</si>
  <si>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</si>
  <si>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</si>
  <si>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</si>
  <si>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</si>
  <si>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</si>
  <si>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</si>
  <si>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</si>
  <si>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</si>
  <si>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</si>
  <si>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</si>
  <si>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</si>
  <si>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</si>
  <si>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</si>
  <si>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</si>
  <si>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</si>
  <si>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</si>
  <si>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</si>
  <si>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</si>
  <si>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</si>
  <si>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</si>
  <si>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</si>
  <si>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</si>
  <si>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</si>
  <si>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</si>
  <si>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</si>
  <si>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</si>
  <si>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</si>
  <si>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</si>
  <si>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</si>
  <si>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</si>
  <si>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</si>
  <si>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</si>
  <si>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</si>
  <si>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</si>
  <si>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</si>
  <si>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</si>
  <si>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</si>
  <si>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</si>
  <si>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</si>
  <si>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</si>
  <si>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</si>
  <si>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</si>
  <si>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</si>
  <si>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</si>
  <si>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</si>
  <si>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</si>
  <si>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</si>
  <si>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</si>
  <si>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</si>
  <si>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</si>
  <si>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</si>
  <si>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</si>
  <si>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</si>
  <si>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</si>
  <si>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</si>
  <si>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</si>
  <si>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</si>
  <si>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</si>
  <si>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</si>
  <si>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</si>
  <si>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</si>
  <si>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</si>
  <si>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</si>
  <si>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</si>
  <si>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</si>
  <si>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</si>
  <si>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</si>
  <si>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</si>
  <si>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</si>
  <si>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</si>
  <si>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</si>
  <si>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</si>
  <si>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</si>
  <si>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</si>
  <si>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</si>
  <si>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</si>
  <si>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</si>
  <si>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</si>
  <si>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</si>
  <si>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</si>
  <si>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</si>
  <si>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</si>
  <si>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</si>
  <si>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</si>
  <si>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</si>
  <si>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</si>
  <si>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</si>
  <si>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</si>
  <si>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</si>
  <si>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</si>
  <si>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</si>
  <si>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</si>
  <si>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</si>
  <si>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</si>
  <si>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</si>
  <si>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</si>
  <si>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</si>
  <si>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</si>
  <si>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</si>
  <si>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</si>
  <si>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</si>
  <si>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</si>
  <si>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</si>
  <si>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</si>
  <si>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</si>
  <si>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</si>
  <si>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</si>
  <si>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</si>
  <si>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</si>
  <si>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</si>
  <si>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</si>
  <si>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</si>
  <si>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</si>
  <si>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</si>
  <si>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</si>
  <si>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</si>
  <si>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</si>
  <si>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</si>
  <si>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</si>
  <si>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</si>
  <si>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</si>
  <si>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</si>
  <si>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</si>
  <si>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</si>
  <si>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</si>
  <si>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</si>
  <si>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</si>
  <si>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</si>
  <si>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</si>
  <si>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</si>
  <si>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</si>
  <si>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</si>
  <si>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</si>
  <si>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</si>
  <si>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</si>
  <si>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</si>
  <si>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</si>
  <si>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</si>
  <si>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</si>
  <si>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</si>
  <si>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</si>
  <si>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</si>
  <si>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</si>
  <si>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</si>
  <si>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</si>
  <si>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</si>
  <si>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</si>
  <si>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</si>
  <si>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</si>
  <si>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</si>
  <si>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</si>
  <si>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</si>
  <si>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</si>
  <si>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</si>
  <si>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</si>
  <si>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</si>
  <si>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</si>
  <si>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</si>
  <si>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</si>
  <si>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</si>
  <si>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</si>
  <si>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</si>
  <si>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</si>
  <si>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</si>
  <si>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</si>
  <si>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</si>
  <si>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</si>
  <si>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</si>
  <si>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</si>
  <si>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</si>
  <si>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</si>
  <si>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</si>
  <si>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</si>
  <si>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</si>
  <si>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</si>
  <si>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</si>
  <si>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r>
      <rPr>
        <b/>
        <sz val="14"/>
        <color rgb="FF000000"/>
        <rFont val="Arial"/>
        <family val="2"/>
      </rPr>
      <t>تقييــــم تخطيـــط سريـــــة التزويــــد والنقـــــل لإسنـــــاد العمليـــــــات التعرضيـــــــة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</si>
  <si>
    <t>تطبيق اعتبارات التزويد في العمليات التعرضية وكما يلي:</t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</si>
  <si>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الحمولة الأساسية للوحدة.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</si>
  <si>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استهلاك الذخيرة.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</si>
  <si>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وضع الذخيرة على مقربة من المستخدم.</t>
    </r>
  </si>
  <si>
    <r>
      <t>4.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تجهيز نقاط تزويد الذخيرة، ونقاط نقل الذخيرة؛ لتكون سريعة الحركة للإلمام بسرعة مع تقدم الهجوم.</t>
    </r>
  </si>
  <si>
    <r>
      <t>5.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تكديس ذخيرة المدفعية في مواقع النيران المحددة.</t>
    </r>
  </si>
  <si>
    <r>
      <t>6.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عمل الترتيبات لتحريك الذخيرة إلى الامام مع العناصر المتقدمة لضمان استعواض الحمولة الأساسية بسرعة.</t>
    </r>
  </si>
  <si>
    <r>
      <t>7.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الدفع بمواد الإمدادات.</t>
    </r>
  </si>
  <si>
    <r>
      <t>8.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نقل المواد إلى نقاط التزويد.</t>
    </r>
  </si>
  <si>
    <r>
      <t>9.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>التعامل مع الإصابات.</t>
    </r>
  </si>
  <si>
    <r>
      <t>10.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>تحديد عوامل الوقت والمسافة.</t>
    </r>
  </si>
  <si>
    <r>
      <t>11.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>طرق التزويد.</t>
    </r>
  </si>
  <si>
    <r>
      <t>12.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>متطلبات نقل الوقود.</t>
    </r>
  </si>
  <si>
    <r>
      <t>13.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>دور الإسناد للإصابات الجماعية.</t>
    </r>
  </si>
  <si>
    <r>
      <t>14.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>السيطرة على الحركة.</t>
    </r>
  </si>
  <si>
    <r>
      <t>15.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>إدارة التوزيع.</t>
    </r>
  </si>
  <si>
    <r>
      <t>16.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>نقطة توزيع الإمدادات.</t>
    </r>
  </si>
  <si>
    <r>
      <t>17.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>توزيع الوحدة.</t>
    </r>
  </si>
  <si>
    <r>
      <t>18.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>التوزيع العام للإمدادات في الهجوم.</t>
    </r>
  </si>
  <si>
    <t>الرائد/ محمد خليفة النعيمي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</si>
</sst>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4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7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1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63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2" fillId="0" borderId="8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1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6" fillId="4" borderId="7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6" fillId="0" borderId="17" xfId="0" applyFont="1" applyBorder="1" applyAlignment="1" applyProtection="1">
      <alignment horizontal="center" vertical="center" wrapText="1" readingOrder="2"/>
      <protection locked="0"/>
    </xf>
    <xf numFmtId="0" fontId="2" fillId="0" borderId="13" xfId="0" applyFont="1" applyBorder="1" applyAlignment="1">
      <alignment horizontal="center" vertical="center" wrapText="1" readingOrder="2"/>
    </xf>
    <xf numFmtId="0" fontId="2" fillId="0" borderId="14" xfId="0" applyFont="1" applyBorder="1" applyAlignment="1">
      <alignment horizontal="center" vertical="center" wrapText="1" readingOrder="2"/>
    </xf>
    <xf numFmtId="0" fontId="2" fillId="0" borderId="15" xfId="0" applyFont="1" applyBorder="1" applyAlignment="1">
      <alignment horizontal="center" vertical="center" wrapText="1" readingOrder="2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0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7" fillId="4" borderId="18" xfId="0" applyFont="1" applyFill="1" applyBorder="1" applyAlignment="1" applyProtection="1">
      <alignment horizontal="center" vertical="center" wrapText="1" readingOrder="2"/>
      <protection locked="0"/>
    </xf>
    <xf numFmtId="0" fontId="7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1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12" fillId="0" borderId="3" xfId="0" applyFont="1" applyBorder="1" applyAlignment="1">
      <alignment horizontal="right" vertical="center" wrapText="1" readingOrder="2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10" fontId="2" fillId="0" borderId="8" xfId="0" applyNumberFormat="1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8" xfId="0" applyFont="1" applyBorder="1" applyAlignment="1">
      <alignment horizontal="center" vertical="center" wrapText="1" readingOrder="1"/>
    </xf>
    <xf numFmtId="0" fontId="2" fillId="0" borderId="9" xfId="0" applyFont="1" applyBorder="1" applyAlignment="1">
      <alignment horizontal="center" vertical="center" wrapText="1" readingOrder="1"/>
    </xf>
    <xf numFmtId="0" fontId="1" fillId="0" borderId="3" xfId="0" applyFont="1" applyBorder="1" applyAlignment="1">
      <alignment horizontal="right" vertical="center" wrapText="1" readingOrder="2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229740</xdr:colOff>
      <xdr:row>30</xdr:row>
      <xdr:rowOff>223112</xdr:rowOff>
    </xdr:from>
    <xdr:to>
      <xdr:col>7</xdr:col>
      <xdr:colOff>511980</xdr:colOff>
      <xdr:row>30</xdr:row>
      <xdr:rowOff>384392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EE3A707B-E8F0-F182-B594-7582AB4DFDF6}"/>
                </a:ext>
              </a:extLst>
            </xdr14:cNvPr>
            <xdr14:cNvContentPartPr/>
          </xdr14:nvContentPartPr>
          <xdr14:nvPr macro=""/>
          <xdr14:xfrm>
            <a:off x="10425791992" y="12051720"/>
            <a:ext cx="282240" cy="16128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E3A707B-E8F0-F182-B594-7582AB4DFDF6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425785864" y="12045600"/>
              <a:ext cx="294496" cy="173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524757</xdr:colOff>
      <xdr:row>30</xdr:row>
      <xdr:rowOff>287192</xdr:rowOff>
    </xdr:from>
    <xdr:to>
      <xdr:col>8</xdr:col>
      <xdr:colOff>80162</xdr:colOff>
      <xdr:row>30</xdr:row>
      <xdr:rowOff>552152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DDA559EC-7280-9691-FDE4-837288856059}"/>
                </a:ext>
              </a:extLst>
            </xdr14:cNvPr>
            <xdr14:cNvContentPartPr/>
          </xdr14:nvContentPartPr>
          <xdr14:nvPr macro=""/>
          <xdr14:xfrm>
            <a:off x="10425565912" y="12115800"/>
            <a:ext cx="871200" cy="2649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DDA559EC-7280-9691-FDE4-837288856059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425559789" y="12109680"/>
              <a:ext cx="883445" cy="2772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4T16:47:43.28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664 140 5313,'0'0'0,"0"0"0,2 0 2616,-8 0-1896,-2 0-392,6 0-128,2 0-200,0 2 152,0-3-15,-2 0-1,0 1 0,2 0-136,2 3 112,-8-4 8,4 0-72,0 0 8,2 1-56,4-8 48,-10 6 8,4-5 64,-6 4 40,8 3-160,4 21 256,-8-25 144,-6-5 56,8 1 144,2 8-600,-2 6 600,0-14-64,-2 0-80,2-1-143,2 9-313,2 6 208,-4-15-104,0 0-40,0 2-64,2 7 0,0-1-16,0-6 16,0 4-16,0-5 0,0 8 16,-2-6-16,2-2 32,0 6 16,2-2-16,-2 4-16,-2 11 24,4-12-48,4-6-8,-2 4 24,-4 3 8,-6-7-32,8 4-8,8-3 24,0 3 0,-10 3 16,-12 13-24,24-16 16,0-4-8,2 4 8,-14 3 8,-14-8-8,30 1 8,2 5-16,-2 0 8,-16 2 8,-14 4 0,30-6 0,4 1 8,0 0-8,-20 1 0,-8-4 16,22 4 16,0 1-32,-2 2 8,-12-3-8,-2 6-8,10-4 8,-6 7 8,6-7 0,-8-2-8,0-8 32,0 17-16,2-1 0,-2 2 0,0-10-16,0-6-32,0 18 8,0 4-16,0 1 40,0-17 0,0-29 0,0 45 0,0 1 32,-2-2-48,2-15 16,4-4 0,-6 18 24,0 0-16,-6 1 16,8-15-24,10-3 8,-20 17 16,2-1 0,0 1 8,8-14-32,12-26 40,-24 41 16,-4 1 16,2-2 16,14-14-88,12 7 112,-28 5 16,-4-2-8,4 0 0,16-10-120,10-18 112,-26 25-16,4-5 24,0 7-32,12-9-88,10 16 88,-22-15 24,2 1 0,-2-2 24,12 0-136,8-7 176,-20 6 56,0-3-8,2-3 40,10 7-264,8 9 232,-18-17-24,2-1 40,2-3 8,6 12-256,2 27 272,-10-41 8,6-2-56,2 0-39,0 16-185,-2-2 144,2-11-48,2 0-32,0 3-56,-2 10-8,-4-1 0,6-6-8,8 3-8,-2-3 32,-8 7-16,-6 4-16,14-7-32,-2 2 16,4 1-16,-10 0 48,-6-11-40,12 11 32,6 3-48,-2 5-16,-10-8 72,-2-4-96,8 13-9,-2-6 41,2 8-40,-6-11 104,6-13-88,-6 22 56,-4 2-8,-2 1 56,6-12-16,12-2 24,-22 16-16,-4 0 16,0-2 0,14-12-24,14-11 64,-32 22-40,2-1 8,-4 0 8,20-10-40,16 1 24,-34 7 8,-4-6-16,6 6 16,16-8-32,16-3 48,-34 4 1,-2 1 63,0-2-16,20 0-96,12 10 88,-30-11 16,0-1 0,4-5 64,14 7-168,8 1 128,-22-8 8,2 3-40,2-5-8,10 9-88,4 13 72,-14-20 16,4 4 0,-2 0 0,8 3-88,8-16 104,-18 13 8,8 2 0,-6 1-24,8 0-88,10 2 64,-20 0-8,6 6-32,-6 0 0,10-8-24,10-19 24,-20 31 0,-2 0 32,-2 2-32,14-14-24,14-11 40,-32 27 0,2 0-8,-4 1 48,20-17-80,18-10 80,-38 27-16,2 0-32,-4-2-64,22-15 32,14-16-16,-34 29 0,2-2 16,-2 0 80,20-11-80,18-4 24,-40 12 32,2 0-16,-2-1-32,22-7-8,20-4 40,-42 11-40,-2 1 24,0 1-32,24-9 8,22-8-64,-48 17-56,-4 0-152,2 0-360,28-9 632,14-8-1192,-38 17-801,0 1-615,2-2-321,22-8 2929,2 15-3529,-16-12-256,4-2 673,10-1 3112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4T16:47:43.93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626 212 15971,'9'-2'0,"-12"4"1920,-7 8-1600,2-1-168,8-9-152,10-31 96,-16 44-104,-5 4 40,-5 3-64,16-20 32,35-22-216,-62 51 144,-7 4-24,-5 4 0,39-37 96,48-28 8,-101 68-32,-3 2-64,-3 0 96,59-42-8,53-48 40,-118 95 24,-2 1-64,0 2 184,67-50-184,41-20 320,-105 67-39,7-1 47,3-4-56,54-42-272,19-27 184,-57 61-24,4-5 48,7-7-128,27-22-80,-4-4-88,-7 16 64,9-4 24,0-5-40,2-3 40,-27 12 0,42-10 72,4 1 104,10-1 88,-29-2-264,-52-1 328,98 1-56,10-7-168,9-4 32,-65 11-136,-98 23 272,188-43-112,12-7 8,13-7-16,-115 34-152,-129 58 184,269-108 72,13-8 32,10-7-72,-163 65-216,-153 56 120,338-131 80,7-1-40,3-2 89,-195 78-249,-128 55 336,314-129-16,-7 3 24,-12 7-8,-167 64-336,-86 18 320,229-70-152,-12 8 0,-11 6-136,-120 38-32,-57 30-72,152-56 48,-7 2 104,-7 6-232,-81 18 152,-40 0-216,105-15-312,-6 2-576,-2 2-769,-57 11 1873,-38-1-3497,94-7-1432,-3 5-1192,-3-4 1104,-50 7 5017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31"/>
  <sheetViews>
    <sheetView rightToLeft="1" tabSelected="1" view="pageBreakPreview" zoomScale="130" zoomScaleNormal="100" zoomScaleSheetLayoutView="130" workbookViewId="0">
      <selection activeCell="F3" sqref="F3:J3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36" t="s">
        <v>180</v>
      </c>
      <c r="C1" s="36"/>
      <c r="D1" s="36"/>
      <c r="E1" s="36"/>
      <c r="F1" s="36"/>
      <c r="G1" s="36"/>
      <c r="H1" s="36"/>
      <c r="I1" s="36"/>
      <c r="J1" s="36"/>
    </row>
    <row r="2" spans="1:10" ht="30" customHeight="1" x14ac:dyDescent="0.3">
      <c r="B2" s="11" t="s">
        <v>8</v>
      </c>
      <c r="C2" s="42" t="s">
        <v>33</v>
      </c>
      <c r="D2" s="42"/>
      <c r="E2" s="11" t="s">
        <v>7</v>
      </c>
      <c r="F2" s="37">
        <v>45954</v>
      </c>
      <c r="G2" s="37"/>
      <c r="H2" s="37"/>
      <c r="I2" s="37"/>
      <c r="J2" s="37"/>
    </row>
    <row r="3" spans="1:10" ht="30" customHeight="1" x14ac:dyDescent="0.3">
      <c r="B3" s="11" t="s">
        <v>9</v>
      </c>
      <c r="C3" s="42" t="s">
        <v>60</v>
      </c>
      <c r="D3" s="42"/>
      <c r="E3" s="11" t="s">
        <v>6</v>
      </c>
      <c r="F3" s="42" t="s">
        <v>120</v>
      </c>
      <c r="G3" s="42"/>
      <c r="H3" s="42"/>
      <c r="I3" s="42"/>
      <c r="J3" s="42"/>
    </row>
    <row r="4" spans="1:10" ht="30" customHeight="1" thickBot="1" x14ac:dyDescent="0.35">
      <c r="B4" s="6"/>
      <c r="C4" s="32" t="s">
        <v>200</v>
      </c>
      <c r="D4" s="32"/>
      <c r="E4" s="6"/>
      <c r="F4" s="32"/>
      <c r="G4" s="32"/>
      <c r="H4" s="32"/>
      <c r="I4" s="32"/>
      <c r="J4" s="32"/>
    </row>
    <row r="5" spans="1:10" ht="24.9" customHeight="1" x14ac:dyDescent="0.3">
      <c r="A5" s="9"/>
      <c r="B5" s="38" t="s">
        <v>0</v>
      </c>
      <c r="C5" s="39"/>
      <c r="D5" s="39"/>
      <c r="E5" s="45" t="s">
        <v>1</v>
      </c>
      <c r="F5" s="45"/>
      <c r="G5" s="45"/>
      <c r="H5" s="45"/>
      <c r="I5" s="45" t="s">
        <v>2</v>
      </c>
      <c r="J5" s="46"/>
    </row>
    <row r="6" spans="1:10" ht="24.9" customHeight="1" thickBot="1" x14ac:dyDescent="0.35">
      <c r="A6" s="9"/>
      <c r="B6" s="40"/>
      <c r="C6" s="41"/>
      <c r="D6" s="41"/>
      <c r="E6" s="10" t="s">
        <v>3</v>
      </c>
      <c r="F6" s="10" t="s">
        <v>4</v>
      </c>
      <c r="G6" s="10" t="s">
        <v>23</v>
      </c>
      <c r="H6" s="10" t="s">
        <v>24</v>
      </c>
      <c r="I6" s="47"/>
      <c r="J6" s="48"/>
    </row>
    <row r="7" spans="1:10" ht="24.9" customHeight="1" x14ac:dyDescent="0.3">
      <c r="A7" s="9"/>
      <c r="B7" s="43" t="s">
        <v>21</v>
      </c>
      <c r="C7" s="44"/>
      <c r="D7" s="44"/>
      <c r="E7" s="26" t="s">
        <v>18</v>
      </c>
      <c r="F7" s="26" t="s">
        <v>19</v>
      </c>
      <c r="G7" s="26" t="s">
        <v>22</v>
      </c>
      <c r="H7" s="26" t="s">
        <v>20</v>
      </c>
      <c r="I7" s="49" t="s">
        <v>25</v>
      </c>
      <c r="J7" s="50"/>
    </row>
    <row r="8" spans="1:10" ht="30" customHeight="1" x14ac:dyDescent="0.3">
      <c r="A8" s="9"/>
      <c r="B8" s="62" t="s">
        <v>181</v>
      </c>
      <c r="C8" s="62"/>
      <c r="D8" s="62"/>
      <c r="E8" s="7"/>
      <c r="F8" s="25"/>
      <c r="G8" s="27"/>
      <c r="H8" s="28"/>
      <c r="I8" s="31"/>
      <c r="J8" s="31"/>
    </row>
    <row r="9" spans="1:10" ht="30" customHeight="1" x14ac:dyDescent="0.3">
      <c r="A9" s="9"/>
      <c r="B9" s="51" t="s">
        <v>182</v>
      </c>
      <c r="C9" s="51"/>
      <c r="D9" s="51"/>
      <c r="E9" s="7">
        <v>10</v>
      </c>
      <c r="F9" s="25">
        <v>7.5</v>
      </c>
      <c r="G9" s="27">
        <f t="shared" ref="G9:G26" si="0">IFERROR(F9/E9,"")</f>
        <v>0.75</v>
      </c>
      <c r="H9" s="28" t="str">
        <f t="shared" ref="H9:H26" si="1">_xlfn.IFS(F9="أدخل العلامة","",F9="لا ينطبق","تم الإلغاء",G9&gt;=90%,"ممتاز",G9&gt;=80%,"جيد جداً",G9&gt;=70%,"جيد",G9&gt;=60%,"مقبول",G9&lt;60%,"راسب")</f>
        <v>جيد</v>
      </c>
      <c r="I9" s="31"/>
      <c r="J9" s="31"/>
    </row>
    <row r="10" spans="1:10" ht="30" customHeight="1" x14ac:dyDescent="0.3">
      <c r="A10" s="9"/>
      <c r="B10" s="51" t="s">
        <v>183</v>
      </c>
      <c r="C10" s="51"/>
      <c r="D10" s="51"/>
      <c r="E10" s="7">
        <v>10</v>
      </c>
      <c r="F10" s="25">
        <v>7.25</v>
      </c>
      <c r="G10" s="27">
        <f t="shared" si="0"/>
        <v>0.72499999999999998</v>
      </c>
      <c r="H10" s="28" t="str">
        <f t="shared" si="1"/>
        <v>جيد</v>
      </c>
      <c r="I10" s="31"/>
      <c r="J10" s="31"/>
    </row>
    <row r="11" spans="1:10" ht="30" customHeight="1" x14ac:dyDescent="0.3">
      <c r="A11" s="9"/>
      <c r="B11" s="51" t="s">
        <v>184</v>
      </c>
      <c r="C11" s="51"/>
      <c r="D11" s="51"/>
      <c r="E11" s="7">
        <v>10</v>
      </c>
      <c r="F11" s="25">
        <v>7.75</v>
      </c>
      <c r="G11" s="27">
        <f t="shared" si="0"/>
        <v>0.77500000000000002</v>
      </c>
      <c r="H11" s="28" t="str">
        <f t="shared" si="1"/>
        <v>جيد</v>
      </c>
      <c r="I11" s="31"/>
      <c r="J11" s="31"/>
    </row>
    <row r="12" spans="1:10" ht="39.9" customHeight="1" x14ac:dyDescent="0.3">
      <c r="A12" s="9"/>
      <c r="B12" s="51" t="s">
        <v>185</v>
      </c>
      <c r="C12" s="51"/>
      <c r="D12" s="51"/>
      <c r="E12" s="7">
        <v>10</v>
      </c>
      <c r="F12" s="25">
        <v>7</v>
      </c>
      <c r="G12" s="27">
        <f t="shared" si="0"/>
        <v>0.7</v>
      </c>
      <c r="H12" s="28" t="str">
        <f t="shared" si="1"/>
        <v>جيد</v>
      </c>
      <c r="I12" s="31"/>
      <c r="J12" s="31"/>
    </row>
    <row r="13" spans="1:10" ht="30" customHeight="1" x14ac:dyDescent="0.3">
      <c r="A13" s="9"/>
      <c r="B13" s="51" t="s">
        <v>186</v>
      </c>
      <c r="C13" s="51"/>
      <c r="D13" s="51"/>
      <c r="E13" s="7">
        <v>10</v>
      </c>
      <c r="F13" s="25">
        <v>7.5</v>
      </c>
      <c r="G13" s="27">
        <f t="shared" si="0"/>
        <v>0.75</v>
      </c>
      <c r="H13" s="28" t="str">
        <f t="shared" si="1"/>
        <v>جيد</v>
      </c>
      <c r="I13" s="31"/>
      <c r="J13" s="31"/>
    </row>
    <row r="14" spans="1:10" ht="39.9" customHeight="1" x14ac:dyDescent="0.3">
      <c r="A14" s="9"/>
      <c r="B14" s="51" t="s">
        <v>187</v>
      </c>
      <c r="C14" s="51"/>
      <c r="D14" s="51"/>
      <c r="E14" s="7">
        <v>10</v>
      </c>
      <c r="F14" s="25">
        <v>8</v>
      </c>
      <c r="G14" s="27">
        <f t="shared" si="0"/>
        <v>0.8</v>
      </c>
      <c r="H14" s="28" t="str">
        <f t="shared" si="1"/>
        <v>جيد جداً</v>
      </c>
      <c r="I14" s="31"/>
      <c r="J14" s="31"/>
    </row>
    <row r="15" spans="1:10" ht="30" customHeight="1" x14ac:dyDescent="0.3">
      <c r="A15" s="9"/>
      <c r="B15" s="51" t="s">
        <v>188</v>
      </c>
      <c r="C15" s="51"/>
      <c r="D15" s="51"/>
      <c r="E15" s="7">
        <v>10</v>
      </c>
      <c r="F15" s="25">
        <v>7.25</v>
      </c>
      <c r="G15" s="27">
        <f t="shared" si="0"/>
        <v>0.72499999999999998</v>
      </c>
      <c r="H15" s="28" t="str">
        <f t="shared" si="1"/>
        <v>جيد</v>
      </c>
      <c r="I15" s="31"/>
      <c r="J15" s="31"/>
    </row>
    <row r="16" spans="1:10" ht="30" customHeight="1" x14ac:dyDescent="0.3">
      <c r="A16" s="9"/>
      <c r="B16" s="51" t="s">
        <v>189</v>
      </c>
      <c r="C16" s="51"/>
      <c r="D16" s="51"/>
      <c r="E16" s="7">
        <v>10</v>
      </c>
      <c r="F16" s="25">
        <v>8</v>
      </c>
      <c r="G16" s="27">
        <f t="shared" si="0"/>
        <v>0.8</v>
      </c>
      <c r="H16" s="28" t="str">
        <f t="shared" si="1"/>
        <v>جيد جداً</v>
      </c>
      <c r="I16" s="31"/>
      <c r="J16" s="31"/>
    </row>
    <row r="17" spans="1:10" ht="30" customHeight="1" x14ac:dyDescent="0.3">
      <c r="A17" s="9"/>
      <c r="B17" s="51" t="s">
        <v>190</v>
      </c>
      <c r="C17" s="51"/>
      <c r="D17" s="51"/>
      <c r="E17" s="7">
        <v>10</v>
      </c>
      <c r="F17" s="25">
        <v>7.75</v>
      </c>
      <c r="G17" s="27">
        <f t="shared" si="0"/>
        <v>0.77500000000000002</v>
      </c>
      <c r="H17" s="28" t="str">
        <f t="shared" si="1"/>
        <v>جيد</v>
      </c>
      <c r="I17" s="31"/>
      <c r="J17" s="31"/>
    </row>
    <row r="18" spans="1:10" ht="30" customHeight="1" x14ac:dyDescent="0.3">
      <c r="A18" s="9"/>
      <c r="B18" s="51" t="s">
        <v>191</v>
      </c>
      <c r="C18" s="51"/>
      <c r="D18" s="51"/>
      <c r="E18" s="7">
        <v>10</v>
      </c>
      <c r="F18" s="25">
        <v>7.25</v>
      </c>
      <c r="G18" s="27">
        <f t="shared" si="0"/>
        <v>0.72499999999999998</v>
      </c>
      <c r="H18" s="28" t="str">
        <f t="shared" si="1"/>
        <v>جيد</v>
      </c>
      <c r="I18" s="31"/>
      <c r="J18" s="31"/>
    </row>
    <row r="19" spans="1:10" ht="30" customHeight="1" x14ac:dyDescent="0.3">
      <c r="A19" s="9"/>
      <c r="B19" s="51" t="s">
        <v>192</v>
      </c>
      <c r="C19" s="51"/>
      <c r="D19" s="51"/>
      <c r="E19" s="7">
        <v>10</v>
      </c>
      <c r="F19" s="25">
        <v>7.75</v>
      </c>
      <c r="G19" s="27">
        <f t="shared" si="0"/>
        <v>0.77500000000000002</v>
      </c>
      <c r="H19" s="28" t="str">
        <f t="shared" si="1"/>
        <v>جيد</v>
      </c>
      <c r="I19" s="31"/>
      <c r="J19" s="31"/>
    </row>
    <row r="20" spans="1:10" ht="30" customHeight="1" x14ac:dyDescent="0.3">
      <c r="A20" s="9"/>
      <c r="B20" s="51" t="s">
        <v>193</v>
      </c>
      <c r="C20" s="51"/>
      <c r="D20" s="51"/>
      <c r="E20" s="7">
        <v>10</v>
      </c>
      <c r="F20" s="25">
        <v>7.5</v>
      </c>
      <c r="G20" s="27">
        <f t="shared" si="0"/>
        <v>0.75</v>
      </c>
      <c r="H20" s="28" t="str">
        <f t="shared" si="1"/>
        <v>جيد</v>
      </c>
      <c r="I20" s="31"/>
      <c r="J20" s="31"/>
    </row>
    <row r="21" spans="1:10" ht="30" customHeight="1" x14ac:dyDescent="0.3">
      <c r="A21" s="9"/>
      <c r="B21" s="51" t="s">
        <v>194</v>
      </c>
      <c r="C21" s="51"/>
      <c r="D21" s="51"/>
      <c r="E21" s="7">
        <v>10</v>
      </c>
      <c r="F21" s="25">
        <v>7</v>
      </c>
      <c r="G21" s="27">
        <f t="shared" si="0"/>
        <v>0.7</v>
      </c>
      <c r="H21" s="28" t="str">
        <f t="shared" si="1"/>
        <v>جيد</v>
      </c>
      <c r="I21" s="31"/>
      <c r="J21" s="31"/>
    </row>
    <row r="22" spans="1:10" ht="30" customHeight="1" x14ac:dyDescent="0.3">
      <c r="A22" s="9"/>
      <c r="B22" s="51" t="s">
        <v>195</v>
      </c>
      <c r="C22" s="51"/>
      <c r="D22" s="51"/>
      <c r="E22" s="7">
        <v>10</v>
      </c>
      <c r="F22" s="25">
        <v>7.25</v>
      </c>
      <c r="G22" s="27">
        <f t="shared" si="0"/>
        <v>0.72499999999999998</v>
      </c>
      <c r="H22" s="28" t="str">
        <f t="shared" si="1"/>
        <v>جيد</v>
      </c>
      <c r="I22" s="31"/>
      <c r="J22" s="31"/>
    </row>
    <row r="23" spans="1:10" ht="30" customHeight="1" x14ac:dyDescent="0.3">
      <c r="A23" s="9"/>
      <c r="B23" s="51" t="s">
        <v>196</v>
      </c>
      <c r="C23" s="51"/>
      <c r="D23" s="51"/>
      <c r="E23" s="7">
        <v>10</v>
      </c>
      <c r="F23" s="25">
        <v>7</v>
      </c>
      <c r="G23" s="27">
        <f t="shared" si="0"/>
        <v>0.7</v>
      </c>
      <c r="H23" s="28" t="str">
        <f t="shared" si="1"/>
        <v>جيد</v>
      </c>
      <c r="I23" s="31"/>
      <c r="J23" s="31"/>
    </row>
    <row r="24" spans="1:10" ht="30" customHeight="1" x14ac:dyDescent="0.3">
      <c r="A24" s="9"/>
      <c r="B24" s="51" t="s">
        <v>197</v>
      </c>
      <c r="C24" s="51"/>
      <c r="D24" s="51"/>
      <c r="E24" s="7">
        <v>10</v>
      </c>
      <c r="F24" s="25">
        <v>7.5</v>
      </c>
      <c r="G24" s="27">
        <f t="shared" si="0"/>
        <v>0.75</v>
      </c>
      <c r="H24" s="28" t="str">
        <f t="shared" si="1"/>
        <v>جيد</v>
      </c>
      <c r="I24" s="31"/>
      <c r="J24" s="31"/>
    </row>
    <row r="25" spans="1:10" ht="30" customHeight="1" x14ac:dyDescent="0.3">
      <c r="A25" s="9"/>
      <c r="B25" s="51" t="s">
        <v>198</v>
      </c>
      <c r="C25" s="51"/>
      <c r="D25" s="51"/>
      <c r="E25" s="7">
        <v>10</v>
      </c>
      <c r="F25" s="25">
        <v>7.5</v>
      </c>
      <c r="G25" s="27">
        <f t="shared" si="0"/>
        <v>0.75</v>
      </c>
      <c r="H25" s="28" t="str">
        <f t="shared" si="1"/>
        <v>جيد</v>
      </c>
      <c r="I25" s="31"/>
      <c r="J25" s="31"/>
    </row>
    <row r="26" spans="1:10" ht="30" customHeight="1" thickBot="1" x14ac:dyDescent="0.35">
      <c r="A26" s="9"/>
      <c r="B26" s="51" t="s">
        <v>199</v>
      </c>
      <c r="C26" s="51"/>
      <c r="D26" s="51"/>
      <c r="E26" s="7">
        <v>10</v>
      </c>
      <c r="F26" s="25">
        <v>7.5</v>
      </c>
      <c r="G26" s="27">
        <f t="shared" si="0"/>
        <v>0.75</v>
      </c>
      <c r="H26" s="28" t="str">
        <f t="shared" si="1"/>
        <v>جيد</v>
      </c>
      <c r="I26" s="31"/>
      <c r="J26" s="31"/>
    </row>
    <row r="27" spans="1:10" ht="30" customHeight="1" thickBot="1" x14ac:dyDescent="0.35">
      <c r="A27" s="4"/>
      <c r="B27" s="29" t="s">
        <v>5</v>
      </c>
      <c r="C27" s="30"/>
      <c r="D27" s="30"/>
      <c r="E27" s="8">
        <f>SUM(E8:E26)</f>
        <v>180</v>
      </c>
      <c r="F27" s="8">
        <f>SUM(F8:F26)</f>
        <v>134.25</v>
      </c>
      <c r="G27" s="33"/>
      <c r="H27" s="34"/>
      <c r="I27" s="34"/>
      <c r="J27" s="35"/>
    </row>
    <row r="28" spans="1:10" ht="30" customHeight="1" thickBot="1" x14ac:dyDescent="0.35">
      <c r="A28" s="4"/>
      <c r="B28" s="29" t="s">
        <v>54</v>
      </c>
      <c r="C28" s="30"/>
      <c r="D28" s="30"/>
      <c r="E28" s="54">
        <f>F27/E27/100*100</f>
        <v>0.74583333333333335</v>
      </c>
      <c r="F28" s="54"/>
      <c r="G28" s="54"/>
      <c r="H28" s="54"/>
      <c r="I28" s="54"/>
      <c r="J28" s="55"/>
    </row>
    <row r="29" spans="1:10" ht="30" customHeight="1" thickBot="1" x14ac:dyDescent="0.35">
      <c r="A29" s="4"/>
      <c r="B29" s="29" t="s">
        <v>55</v>
      </c>
      <c r="C29" s="30"/>
      <c r="D29" s="30"/>
      <c r="E29" s="60" t="str">
        <f>_xlfn.IFS(E28&gt;=90%,"ممتاز",E28&gt;=80%,"جيد جداً",E28&gt;=70%,"جيد",E28&gt;=60%,"مقبول",E28&lt;60%,"راسب")</f>
        <v>جيد</v>
      </c>
      <c r="F29" s="60"/>
      <c r="G29" s="60"/>
      <c r="H29" s="60"/>
      <c r="I29" s="60"/>
      <c r="J29" s="61"/>
    </row>
    <row r="30" spans="1:10" ht="42" customHeight="1" x14ac:dyDescent="0.3">
      <c r="B30" s="56" t="s">
        <v>174</v>
      </c>
      <c r="C30" s="56"/>
      <c r="D30" s="56"/>
      <c r="E30" s="52" t="s">
        <v>52</v>
      </c>
      <c r="F30" s="52"/>
      <c r="G30" s="58" t="s">
        <v>120</v>
      </c>
      <c r="H30" s="58"/>
      <c r="I30" s="58"/>
      <c r="J30" s="58"/>
    </row>
    <row r="31" spans="1:10" ht="51" customHeight="1" x14ac:dyDescent="0.3">
      <c r="A31" s="5"/>
      <c r="B31" s="57"/>
      <c r="C31" s="57"/>
      <c r="D31" s="57"/>
      <c r="E31" s="53" t="s">
        <v>53</v>
      </c>
      <c r="F31" s="53"/>
      <c r="G31" s="59"/>
      <c r="H31" s="59"/>
      <c r="I31" s="59"/>
      <c r="J31" s="59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61">
    <mergeCell ref="B9:D9"/>
    <mergeCell ref="B10:D10"/>
    <mergeCell ref="B11:D11"/>
    <mergeCell ref="B12:D12"/>
    <mergeCell ref="B25:D2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E30:F30"/>
    <mergeCell ref="E31:F31"/>
    <mergeCell ref="E28:J28"/>
    <mergeCell ref="B30:D31"/>
    <mergeCell ref="G30:J30"/>
    <mergeCell ref="G31:J31"/>
    <mergeCell ref="E29:J29"/>
    <mergeCell ref="B28:D28"/>
    <mergeCell ref="B29:D29"/>
    <mergeCell ref="I20:J20"/>
    <mergeCell ref="I21:J21"/>
    <mergeCell ref="I22:J22"/>
    <mergeCell ref="G27:J27"/>
    <mergeCell ref="B1:J1"/>
    <mergeCell ref="F2:J2"/>
    <mergeCell ref="B5:D6"/>
    <mergeCell ref="C2:D2"/>
    <mergeCell ref="C3:D3"/>
    <mergeCell ref="F3:J3"/>
    <mergeCell ref="B7:D7"/>
    <mergeCell ref="E5:H5"/>
    <mergeCell ref="I5:J6"/>
    <mergeCell ref="I7:J7"/>
    <mergeCell ref="I9:J9"/>
    <mergeCell ref="I10:J10"/>
    <mergeCell ref="F4:J4"/>
    <mergeCell ref="C4:D4"/>
    <mergeCell ref="I8:J8"/>
    <mergeCell ref="I18:J18"/>
    <mergeCell ref="I19:J19"/>
    <mergeCell ref="I11:J11"/>
    <mergeCell ref="I12:J12"/>
    <mergeCell ref="I13:J13"/>
    <mergeCell ref="B13:D13"/>
    <mergeCell ref="B14:D14"/>
    <mergeCell ref="B15:D15"/>
    <mergeCell ref="I14:J14"/>
    <mergeCell ref="I15:J15"/>
    <mergeCell ref="I16:J16"/>
    <mergeCell ref="I17:J17"/>
    <mergeCell ref="B8:D8"/>
    <mergeCell ref="B27:D27"/>
    <mergeCell ref="I25:J25"/>
    <mergeCell ref="I26:J26"/>
    <mergeCell ref="I23:J23"/>
    <mergeCell ref="I24:J24"/>
    <mergeCell ref="B26:D26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29">
    <cfRule type="expression" dxfId="14" priority="57">
      <formula>$E29="راسب"</formula>
    </cfRule>
  </conditionalFormatting>
  <conditionalFormatting sqref="E29:J29">
    <cfRule type="expression" dxfId="13" priority="58">
      <formula>$E29="مقبول"</formula>
    </cfRule>
    <cfRule type="expression" dxfId="12" priority="59">
      <formula>$E29="جيد"</formula>
    </cfRule>
    <cfRule type="expression" dxfId="11" priority="60">
      <formula>$E29="جيد جداً"</formula>
    </cfRule>
    <cfRule type="expression" dxfId="10" priority="61">
      <formula>$E29="ممتاز"</formula>
    </cfRule>
  </conditionalFormatting>
  <conditionalFormatting sqref="F8:F26">
    <cfRule type="containsText" dxfId="9" priority="1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30:J30">
    <cfRule type="containsText" dxfId="6" priority="15" operator="containsText" text="أدخل اسم المحكم">
      <formula>NOT(ISERROR(SEARCH("أدخل اسم المحكم",G30)))</formula>
    </cfRule>
  </conditionalFormatting>
  <conditionalFormatting sqref="H8:H26">
    <cfRule type="containsText" dxfId="5" priority="38" operator="containsText" text="أدخل العلامة">
      <formula>NOT(ISERROR(SEARCH("أدخل العلامة",H8)))</formula>
    </cfRule>
    <cfRule type="containsText" dxfId="4" priority="39" operator="containsText" text="ممتاز">
      <formula>NOT(ISERROR(SEARCH("ممتاز",H8)))</formula>
    </cfRule>
    <cfRule type="containsText" dxfId="3" priority="40" operator="containsText" text="جيد جداً">
      <formula>NOT(ISERROR(SEARCH("جيد جداً",H8)))</formula>
    </cfRule>
    <cfRule type="containsText" dxfId="2" priority="41" operator="containsText" text="جيد">
      <formula>NOT(ISERROR(SEARCH("جيد",H8)))</formula>
    </cfRule>
    <cfRule type="containsText" dxfId="1" priority="42" operator="containsText" text="مقبول">
      <formula>NOT(ISERROR(SEARCH("مقبول",H8)))</formula>
    </cfRule>
    <cfRule type="containsText" dxfId="0" priority="43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G30:J30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  <x14:dataValidation type="list" allowBlank="1" showInputMessage="1" showErrorMessage="1" xr:uid="{5A7ADC9F-6098-4415-8DD4-849A148D02E3}">
          <x14:formula1>
            <xm:f>'بيانات التقييم'!$A$111:$A$153</xm:f>
          </x14:formula1>
          <xm:sqref>F9:F26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134" workbookViewId="0">
      <selection activeCell="A64" sqref="A64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18" t="s">
        <v>62</v>
      </c>
    </row>
    <row r="3" spans="1:3" ht="20.100000000000001" customHeight="1" thickBot="1" x14ac:dyDescent="0.35">
      <c r="A3" s="2" t="s">
        <v>26</v>
      </c>
      <c r="C3" s="18" t="s">
        <v>63</v>
      </c>
    </row>
    <row r="4" spans="1:3" ht="20.100000000000001" customHeight="1" thickBot="1" x14ac:dyDescent="0.35">
      <c r="A4" s="2" t="s">
        <v>36</v>
      </c>
      <c r="C4" s="18" t="s">
        <v>64</v>
      </c>
    </row>
    <row r="5" spans="1:3" ht="20.100000000000001" customHeight="1" thickBot="1" x14ac:dyDescent="0.35">
      <c r="A5" s="2" t="s">
        <v>37</v>
      </c>
      <c r="C5" s="18" t="s">
        <v>65</v>
      </c>
    </row>
    <row r="6" spans="1:3" ht="20.100000000000001" customHeight="1" thickBot="1" x14ac:dyDescent="0.35">
      <c r="A6" s="2" t="s">
        <v>38</v>
      </c>
      <c r="C6" s="18" t="s">
        <v>66</v>
      </c>
    </row>
    <row r="7" spans="1:3" ht="20.100000000000001" customHeight="1" thickBot="1" x14ac:dyDescent="0.35">
      <c r="A7" s="2" t="s">
        <v>39</v>
      </c>
      <c r="C7" s="18" t="s">
        <v>67</v>
      </c>
    </row>
    <row r="8" spans="1:3" ht="20.100000000000001" customHeight="1" thickBot="1" x14ac:dyDescent="0.35">
      <c r="A8" s="2" t="s">
        <v>40</v>
      </c>
      <c r="C8" s="18" t="s">
        <v>68</v>
      </c>
    </row>
    <row r="9" spans="1:3" ht="20.100000000000001" customHeight="1" thickBot="1" x14ac:dyDescent="0.35">
      <c r="A9" s="2" t="s">
        <v>41</v>
      </c>
      <c r="C9" s="18" t="s">
        <v>69</v>
      </c>
    </row>
    <row r="10" spans="1:3" ht="20.100000000000001" customHeight="1" thickBot="1" x14ac:dyDescent="0.35">
      <c r="A10" s="2" t="s">
        <v>42</v>
      </c>
      <c r="C10" s="18" t="s">
        <v>70</v>
      </c>
    </row>
    <row r="11" spans="1:3" ht="20.100000000000001" customHeight="1" thickBot="1" x14ac:dyDescent="0.35">
      <c r="A11" s="2" t="s">
        <v>43</v>
      </c>
      <c r="C11" s="18" t="s">
        <v>71</v>
      </c>
    </row>
    <row r="12" spans="1:3" ht="20.100000000000001" customHeight="1" thickBot="1" x14ac:dyDescent="0.35">
      <c r="A12" s="2" t="s">
        <v>44</v>
      </c>
      <c r="C12" s="18" t="s">
        <v>72</v>
      </c>
    </row>
    <row r="13" spans="1:3" ht="20.100000000000001" customHeight="1" thickBot="1" x14ac:dyDescent="0.35">
      <c r="A13" s="2" t="s">
        <v>45</v>
      </c>
      <c r="C13" s="18" t="s">
        <v>73</v>
      </c>
    </row>
    <row r="14" spans="1:3" ht="20.100000000000001" customHeight="1" thickBot="1" x14ac:dyDescent="0.35">
      <c r="A14" s="2" t="s">
        <v>46</v>
      </c>
      <c r="C14" s="18" t="s">
        <v>74</v>
      </c>
    </row>
    <row r="15" spans="1:3" ht="20.100000000000001" customHeight="1" thickBot="1" x14ac:dyDescent="0.35">
      <c r="A15" s="2" t="s">
        <v>47</v>
      </c>
      <c r="C15" s="18" t="s">
        <v>75</v>
      </c>
    </row>
    <row r="16" spans="1:3" ht="20.100000000000001" customHeight="1" thickBot="1" x14ac:dyDescent="0.35">
      <c r="A16" s="2" t="s">
        <v>10</v>
      </c>
      <c r="C16" s="18" t="s">
        <v>76</v>
      </c>
    </row>
    <row r="17" spans="1:3" ht="20.100000000000001" customHeight="1" thickBot="1" x14ac:dyDescent="0.35">
      <c r="A17" s="2" t="s">
        <v>27</v>
      </c>
      <c r="C17" s="18" t="s">
        <v>77</v>
      </c>
    </row>
    <row r="18" spans="1:3" ht="20.100000000000001" customHeight="1" thickBot="1" x14ac:dyDescent="0.35">
      <c r="A18" s="2" t="s">
        <v>48</v>
      </c>
      <c r="C18" s="18" t="s">
        <v>78</v>
      </c>
    </row>
    <row r="19" spans="1:3" ht="20.100000000000001" customHeight="1" thickBot="1" x14ac:dyDescent="0.35">
      <c r="A19" s="2" t="s">
        <v>49</v>
      </c>
      <c r="C19" s="18" t="s">
        <v>79</v>
      </c>
    </row>
    <row r="20" spans="1:3" ht="20.100000000000001" customHeight="1" thickBot="1" x14ac:dyDescent="0.35">
      <c r="A20" s="2" t="s">
        <v>50</v>
      </c>
      <c r="C20" s="18" t="s">
        <v>80</v>
      </c>
    </row>
    <row r="21" spans="1:3" ht="20.100000000000001" customHeight="1" thickBot="1" x14ac:dyDescent="0.35">
      <c r="A21" s="2" t="s">
        <v>51</v>
      </c>
      <c r="C21" s="18" t="s">
        <v>81</v>
      </c>
    </row>
    <row r="22" spans="1:3" ht="20.100000000000001" customHeight="1" thickBot="1" x14ac:dyDescent="0.35">
      <c r="A22" s="2" t="s">
        <v>11</v>
      </c>
      <c r="C22" s="18" t="s">
        <v>82</v>
      </c>
    </row>
    <row r="23" spans="1:3" ht="20.100000000000001" customHeight="1" thickBot="1" x14ac:dyDescent="0.35">
      <c r="A23" s="2" t="s">
        <v>12</v>
      </c>
      <c r="C23" s="18" t="s">
        <v>83</v>
      </c>
    </row>
    <row r="24" spans="1:3" ht="20.100000000000001" customHeight="1" thickBot="1" x14ac:dyDescent="0.35">
      <c r="A24" s="2" t="s">
        <v>15</v>
      </c>
      <c r="C24" s="18" t="s">
        <v>84</v>
      </c>
    </row>
    <row r="25" spans="1:3" ht="20.100000000000001" customHeight="1" thickBot="1" x14ac:dyDescent="0.35">
      <c r="A25" s="2" t="s">
        <v>28</v>
      </c>
      <c r="C25" s="18" t="s">
        <v>85</v>
      </c>
    </row>
    <row r="26" spans="1:3" ht="20.100000000000001" customHeight="1" thickBot="1" x14ac:dyDescent="0.35">
      <c r="A26" s="2" t="s">
        <v>29</v>
      </c>
      <c r="C26" s="18" t="s">
        <v>86</v>
      </c>
    </row>
    <row r="27" spans="1:3" ht="20.100000000000001" customHeight="1" thickBot="1" x14ac:dyDescent="0.35">
      <c r="A27" s="2" t="s">
        <v>13</v>
      </c>
      <c r="C27" s="18" t="s">
        <v>87</v>
      </c>
    </row>
    <row r="28" spans="1:3" ht="20.100000000000001" customHeight="1" thickBot="1" x14ac:dyDescent="0.35">
      <c r="A28" s="2" t="s">
        <v>30</v>
      </c>
      <c r="C28" s="18" t="s">
        <v>88</v>
      </c>
    </row>
    <row r="29" spans="1:3" ht="20.100000000000001" customHeight="1" thickBot="1" x14ac:dyDescent="0.35">
      <c r="A29" s="2" t="s">
        <v>31</v>
      </c>
      <c r="C29" s="18" t="s">
        <v>177</v>
      </c>
    </row>
    <row r="30" spans="1:3" ht="20.100000000000001" customHeight="1" thickBot="1" x14ac:dyDescent="0.35">
      <c r="A30" s="2" t="s">
        <v>32</v>
      </c>
      <c r="C30" s="18" t="s">
        <v>178</v>
      </c>
    </row>
    <row r="31" spans="1:3" ht="20.100000000000001" customHeight="1" thickBot="1" x14ac:dyDescent="0.35">
      <c r="A31" s="2" t="s">
        <v>33</v>
      </c>
      <c r="C31" s="18" t="s">
        <v>179</v>
      </c>
    </row>
    <row r="32" spans="1:3" ht="20.100000000000001" customHeight="1" thickBot="1" x14ac:dyDescent="0.35">
      <c r="A32" s="2" t="s">
        <v>16</v>
      </c>
      <c r="C32" s="18"/>
    </row>
    <row r="33" spans="1:9" ht="20.100000000000001" customHeight="1" thickBot="1" x14ac:dyDescent="0.35">
      <c r="A33" s="2" t="s">
        <v>14</v>
      </c>
      <c r="C33" s="18"/>
    </row>
    <row r="34" spans="1:9" ht="20.100000000000001" customHeight="1" thickBot="1" x14ac:dyDescent="0.35">
      <c r="A34" s="2" t="s">
        <v>34</v>
      </c>
      <c r="C34" s="18"/>
    </row>
    <row r="35" spans="1:9" ht="20.100000000000001" customHeight="1" x14ac:dyDescent="0.3">
      <c r="A35" s="17"/>
    </row>
    <row r="36" spans="1:9" s="16" customFormat="1" ht="20.100000000000001" customHeight="1" x14ac:dyDescent="0.3">
      <c r="A36" s="14"/>
      <c r="B36" s="15"/>
      <c r="C36" s="15"/>
      <c r="D36" s="15"/>
      <c r="E36" s="15"/>
      <c r="F36" s="15"/>
      <c r="G36" s="15"/>
      <c r="H36" s="15"/>
      <c r="I36" s="15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2">
        <v>45931</v>
      </c>
    </row>
    <row r="40" spans="1:9" ht="20.100000000000001" customHeight="1" thickBot="1" x14ac:dyDescent="0.35">
      <c r="A40" s="12">
        <v>45932</v>
      </c>
    </row>
    <row r="41" spans="1:9" ht="20.100000000000001" customHeight="1" thickBot="1" x14ac:dyDescent="0.35">
      <c r="A41" s="12">
        <v>45933</v>
      </c>
    </row>
    <row r="42" spans="1:9" ht="20.100000000000001" customHeight="1" thickBot="1" x14ac:dyDescent="0.35">
      <c r="A42" s="12">
        <v>45934</v>
      </c>
    </row>
    <row r="43" spans="1:9" ht="20.100000000000001" customHeight="1" thickBot="1" x14ac:dyDescent="0.35">
      <c r="A43" s="12">
        <v>45935</v>
      </c>
    </row>
    <row r="44" spans="1:9" ht="20.100000000000001" customHeight="1" thickBot="1" x14ac:dyDescent="0.35">
      <c r="A44" s="12">
        <v>45936</v>
      </c>
    </row>
    <row r="45" spans="1:9" ht="20.100000000000001" customHeight="1" thickBot="1" x14ac:dyDescent="0.35">
      <c r="A45" s="12">
        <v>45937</v>
      </c>
    </row>
    <row r="46" spans="1:9" ht="20.100000000000001" customHeight="1" thickBot="1" x14ac:dyDescent="0.35">
      <c r="A46" s="12">
        <v>45938</v>
      </c>
    </row>
    <row r="47" spans="1:9" ht="20.100000000000001" customHeight="1" thickBot="1" x14ac:dyDescent="0.35">
      <c r="A47" s="12">
        <v>45939</v>
      </c>
    </row>
    <row r="48" spans="1:9" ht="20.100000000000001" customHeight="1" thickBot="1" x14ac:dyDescent="0.35">
      <c r="A48" s="12">
        <v>45940</v>
      </c>
    </row>
    <row r="49" spans="1:1" ht="20.100000000000001" customHeight="1" thickBot="1" x14ac:dyDescent="0.35">
      <c r="A49" s="12">
        <v>45941</v>
      </c>
    </row>
    <row r="50" spans="1:1" ht="20.100000000000001" customHeight="1" thickBot="1" x14ac:dyDescent="0.35">
      <c r="A50" s="12">
        <v>45942</v>
      </c>
    </row>
    <row r="51" spans="1:1" ht="20.100000000000001" customHeight="1" thickBot="1" x14ac:dyDescent="0.35">
      <c r="A51" s="12">
        <v>45943</v>
      </c>
    </row>
    <row r="52" spans="1:1" ht="20.100000000000001" customHeight="1" thickBot="1" x14ac:dyDescent="0.35">
      <c r="A52" s="12">
        <v>45944</v>
      </c>
    </row>
    <row r="53" spans="1:1" ht="20.100000000000001" customHeight="1" thickBot="1" x14ac:dyDescent="0.35">
      <c r="A53" s="12">
        <v>45945</v>
      </c>
    </row>
    <row r="54" spans="1:1" ht="20.100000000000001" customHeight="1" thickBot="1" x14ac:dyDescent="0.35">
      <c r="A54" s="12">
        <v>45946</v>
      </c>
    </row>
    <row r="55" spans="1:1" ht="20.100000000000001" customHeight="1" thickBot="1" x14ac:dyDescent="0.35">
      <c r="A55" s="12">
        <v>45947</v>
      </c>
    </row>
    <row r="56" spans="1:1" ht="20.100000000000001" customHeight="1" thickBot="1" x14ac:dyDescent="0.35">
      <c r="A56" s="12">
        <v>45948</v>
      </c>
    </row>
    <row r="57" spans="1:1" ht="20.100000000000001" customHeight="1" thickBot="1" x14ac:dyDescent="0.35">
      <c r="A57" s="12">
        <v>45949</v>
      </c>
    </row>
    <row r="58" spans="1:1" ht="20.100000000000001" customHeight="1" thickBot="1" x14ac:dyDescent="0.35">
      <c r="A58" s="12">
        <v>45950</v>
      </c>
    </row>
    <row r="59" spans="1:1" ht="20.100000000000001" customHeight="1" thickBot="1" x14ac:dyDescent="0.35">
      <c r="A59" s="12">
        <v>45951</v>
      </c>
    </row>
    <row r="60" spans="1:1" ht="20.100000000000001" customHeight="1" thickBot="1" x14ac:dyDescent="0.35">
      <c r="A60" s="12">
        <v>45952</v>
      </c>
    </row>
    <row r="61" spans="1:1" ht="20.100000000000001" customHeight="1" thickBot="1" x14ac:dyDescent="0.35">
      <c r="A61" s="12">
        <v>45953</v>
      </c>
    </row>
    <row r="62" spans="1:1" ht="20.100000000000001" customHeight="1" thickBot="1" x14ac:dyDescent="0.35">
      <c r="A62" s="12">
        <v>45954</v>
      </c>
    </row>
    <row r="63" spans="1:1" ht="20.100000000000001" customHeight="1" thickBot="1" x14ac:dyDescent="0.35">
      <c r="A63" s="12">
        <v>45955</v>
      </c>
    </row>
    <row r="64" spans="1:1" ht="20.100000000000001" customHeight="1" thickBot="1" x14ac:dyDescent="0.35">
      <c r="A64" s="12">
        <v>45956</v>
      </c>
    </row>
    <row r="65" spans="1:1" ht="20.100000000000001" customHeight="1" thickBot="1" x14ac:dyDescent="0.35">
      <c r="A65" s="12">
        <v>45957</v>
      </c>
    </row>
    <row r="66" spans="1:1" ht="20.100000000000001" customHeight="1" thickBot="1" x14ac:dyDescent="0.35">
      <c r="A66" s="12">
        <v>45958</v>
      </c>
    </row>
    <row r="67" spans="1:1" ht="20.100000000000001" customHeight="1" thickBot="1" x14ac:dyDescent="0.35">
      <c r="A67" s="12">
        <v>45959</v>
      </c>
    </row>
    <row r="68" spans="1:1" ht="20.100000000000001" customHeight="1" thickBot="1" x14ac:dyDescent="0.35">
      <c r="A68" s="12">
        <v>45960</v>
      </c>
    </row>
    <row r="69" spans="1:1" ht="20.100000000000001" customHeight="1" thickBot="1" x14ac:dyDescent="0.35">
      <c r="A69" s="12">
        <v>45961</v>
      </c>
    </row>
    <row r="70" spans="1:1" ht="20.100000000000001" customHeight="1" thickBot="1" x14ac:dyDescent="0.35">
      <c r="A70" s="12"/>
    </row>
    <row r="71" spans="1:1" ht="20.100000000000001" customHeight="1" thickBot="1" x14ac:dyDescent="0.35">
      <c r="A71" s="12"/>
    </row>
    <row r="72" spans="1:1" ht="20.100000000000001" customHeight="1" thickBot="1" x14ac:dyDescent="0.35">
      <c r="A72" s="12"/>
    </row>
    <row r="73" spans="1:1" ht="20.100000000000001" customHeight="1" thickBot="1" x14ac:dyDescent="0.35">
      <c r="A73" s="12"/>
    </row>
    <row r="74" spans="1:1" ht="20.100000000000001" customHeight="1" thickBot="1" x14ac:dyDescent="0.35">
      <c r="A74" s="12"/>
    </row>
    <row r="75" spans="1:1" ht="20.100000000000001" customHeight="1" thickBot="1" x14ac:dyDescent="0.35">
      <c r="A75" s="12"/>
    </row>
    <row r="76" spans="1:1" ht="20.100000000000001" customHeight="1" thickBot="1" x14ac:dyDescent="0.35">
      <c r="A76" s="12"/>
    </row>
    <row r="77" spans="1:1" ht="20.100000000000001" customHeight="1" thickBot="1" x14ac:dyDescent="0.35">
      <c r="A77" s="12"/>
    </row>
    <row r="78" spans="1:1" ht="20.100000000000001" customHeight="1" thickBot="1" x14ac:dyDescent="0.35">
      <c r="A78" s="12"/>
    </row>
    <row r="79" spans="1:1" ht="20.100000000000001" customHeight="1" thickBot="1" x14ac:dyDescent="0.35">
      <c r="A79" s="12"/>
    </row>
    <row r="80" spans="1:1" ht="20.100000000000001" customHeight="1" thickBot="1" x14ac:dyDescent="0.35">
      <c r="A80" s="12"/>
    </row>
    <row r="81" spans="1:1" ht="20.100000000000001" customHeight="1" thickBot="1" x14ac:dyDescent="0.35">
      <c r="A81" s="12"/>
    </row>
    <row r="82" spans="1:1" ht="20.100000000000001" customHeight="1" thickBot="1" x14ac:dyDescent="0.35">
      <c r="A82" s="12"/>
    </row>
    <row r="83" spans="1:1" ht="20.100000000000001" customHeight="1" thickBot="1" x14ac:dyDescent="0.35">
      <c r="A83" s="12"/>
    </row>
    <row r="84" spans="1:1" ht="20.100000000000001" customHeight="1" thickBot="1" x14ac:dyDescent="0.35">
      <c r="A84" s="12"/>
    </row>
    <row r="85" spans="1:1" ht="20.100000000000001" customHeight="1" thickBot="1" x14ac:dyDescent="0.35">
      <c r="A85" s="12"/>
    </row>
    <row r="86" spans="1:1" ht="20.100000000000001" customHeight="1" thickBot="1" x14ac:dyDescent="0.35">
      <c r="A86" s="12"/>
    </row>
    <row r="87" spans="1:1" ht="20.100000000000001" customHeight="1" thickBot="1" x14ac:dyDescent="0.35">
      <c r="A87" s="12"/>
    </row>
    <row r="88" spans="1:1" ht="20.100000000000001" customHeight="1" thickBot="1" x14ac:dyDescent="0.35">
      <c r="A88" s="12"/>
    </row>
    <row r="89" spans="1:1" ht="20.100000000000001" customHeight="1" thickBot="1" x14ac:dyDescent="0.35">
      <c r="A89" s="12"/>
    </row>
    <row r="90" spans="1:1" ht="20.100000000000001" customHeight="1" thickBot="1" x14ac:dyDescent="0.35">
      <c r="A90" s="12"/>
    </row>
    <row r="91" spans="1:1" ht="20.100000000000001" customHeight="1" thickBot="1" x14ac:dyDescent="0.35">
      <c r="A91" s="12"/>
    </row>
    <row r="92" spans="1:1" ht="20.100000000000001" customHeight="1" thickBot="1" x14ac:dyDescent="0.35">
      <c r="A92" s="12"/>
    </row>
    <row r="93" spans="1:1" ht="20.100000000000001" customHeight="1" thickBot="1" x14ac:dyDescent="0.35">
      <c r="A93" s="12"/>
    </row>
    <row r="94" spans="1:1" ht="20.100000000000001" customHeight="1" thickBot="1" x14ac:dyDescent="0.35">
      <c r="A94" s="12"/>
    </row>
    <row r="95" spans="1:1" ht="20.100000000000001" customHeight="1" thickBot="1" x14ac:dyDescent="0.35">
      <c r="A95" s="12"/>
    </row>
    <row r="96" spans="1:1" ht="20.100000000000001" customHeight="1" thickBot="1" x14ac:dyDescent="0.35">
      <c r="A96" s="12"/>
    </row>
    <row r="97" spans="1:9" ht="20.100000000000001" customHeight="1" thickBot="1" x14ac:dyDescent="0.35">
      <c r="A97" s="12"/>
    </row>
    <row r="98" spans="1:9" ht="20.100000000000001" customHeight="1" thickBot="1" x14ac:dyDescent="0.35">
      <c r="A98" s="12"/>
    </row>
    <row r="99" spans="1:9" ht="20.100000000000001" customHeight="1" thickBot="1" x14ac:dyDescent="0.35">
      <c r="A99" s="12"/>
    </row>
    <row r="100" spans="1:9" ht="20.100000000000001" customHeight="1" thickBot="1" x14ac:dyDescent="0.35">
      <c r="A100" s="12"/>
    </row>
    <row r="101" spans="1:9" ht="20.100000000000001" customHeight="1" thickBot="1" x14ac:dyDescent="0.35">
      <c r="A101" s="12"/>
    </row>
    <row r="102" spans="1:9" ht="20.100000000000001" customHeight="1" thickBot="1" x14ac:dyDescent="0.35">
      <c r="A102" s="12"/>
    </row>
    <row r="103" spans="1:9" ht="20.100000000000001" customHeight="1" thickBot="1" x14ac:dyDescent="0.35">
      <c r="A103" s="12"/>
    </row>
    <row r="104" spans="1:9" ht="20.100000000000001" customHeight="1" thickBot="1" x14ac:dyDescent="0.35">
      <c r="A104" s="12"/>
    </row>
    <row r="105" spans="1:9" ht="20.100000000000001" customHeight="1" thickBot="1" x14ac:dyDescent="0.35">
      <c r="A105" s="12"/>
    </row>
    <row r="106" spans="1:9" ht="20.100000000000001" customHeight="1" thickBot="1" x14ac:dyDescent="0.35">
      <c r="A106" s="12"/>
    </row>
    <row r="107" spans="1:9" ht="20.100000000000001" customHeight="1" x14ac:dyDescent="0.3">
      <c r="A107" s="13"/>
    </row>
    <row r="108" spans="1:9" ht="20.100000000000001" customHeight="1" x14ac:dyDescent="0.3">
      <c r="A108" s="13"/>
    </row>
    <row r="109" spans="1:9" s="16" customFormat="1" ht="20.100000000000001" customHeight="1" x14ac:dyDescent="0.3">
      <c r="A109" s="14"/>
      <c r="B109" s="15"/>
      <c r="C109" s="15"/>
      <c r="D109" s="15"/>
      <c r="E109" s="15"/>
      <c r="F109" s="15"/>
      <c r="G109" s="15"/>
      <c r="H109" s="15"/>
      <c r="I109" s="15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19" t="s">
        <v>89</v>
      </c>
    </row>
    <row r="200" spans="1:1" ht="20.100000000000001" customHeight="1" x14ac:dyDescent="0.3">
      <c r="A200" s="19" t="s">
        <v>90</v>
      </c>
    </row>
    <row r="201" spans="1:1" ht="20.100000000000001" customHeight="1" x14ac:dyDescent="0.3">
      <c r="A201" s="19" t="s">
        <v>91</v>
      </c>
    </row>
    <row r="202" spans="1:1" ht="20.100000000000001" customHeight="1" x14ac:dyDescent="0.3">
      <c r="A202" s="19" t="s">
        <v>92</v>
      </c>
    </row>
    <row r="203" spans="1:1" ht="20.100000000000001" customHeight="1" x14ac:dyDescent="0.3">
      <c r="A203" s="19" t="s">
        <v>93</v>
      </c>
    </row>
    <row r="204" spans="1:1" ht="20.100000000000001" customHeight="1" x14ac:dyDescent="0.3">
      <c r="A204" s="19" t="s">
        <v>94</v>
      </c>
    </row>
    <row r="205" spans="1:1" ht="20.100000000000001" customHeight="1" x14ac:dyDescent="0.3">
      <c r="A205" s="19" t="s">
        <v>95</v>
      </c>
    </row>
    <row r="206" spans="1:1" ht="20.100000000000001" customHeight="1" x14ac:dyDescent="0.3">
      <c r="A206" s="19" t="s">
        <v>96</v>
      </c>
    </row>
    <row r="207" spans="1:1" ht="20.100000000000001" customHeight="1" x14ac:dyDescent="0.3">
      <c r="A207" s="19" t="s">
        <v>97</v>
      </c>
    </row>
    <row r="208" spans="1:1" ht="20.100000000000001" customHeight="1" x14ac:dyDescent="0.3">
      <c r="A208" s="20" t="s">
        <v>98</v>
      </c>
    </row>
    <row r="209" spans="1:1" ht="20.100000000000001" customHeight="1" x14ac:dyDescent="0.3">
      <c r="A209" s="20" t="s">
        <v>99</v>
      </c>
    </row>
    <row r="210" spans="1:1" ht="20.100000000000001" customHeight="1" x14ac:dyDescent="0.3">
      <c r="A210" s="19" t="s">
        <v>100</v>
      </c>
    </row>
    <row r="211" spans="1:1" ht="20.100000000000001" customHeight="1" x14ac:dyDescent="0.3">
      <c r="A211" s="19" t="s">
        <v>101</v>
      </c>
    </row>
    <row r="212" spans="1:1" ht="20.100000000000001" customHeight="1" x14ac:dyDescent="0.3">
      <c r="A212" s="19" t="s">
        <v>175</v>
      </c>
    </row>
    <row r="213" spans="1:1" ht="20.100000000000001" customHeight="1" x14ac:dyDescent="0.3">
      <c r="A213" s="19" t="s">
        <v>102</v>
      </c>
    </row>
    <row r="214" spans="1:1" ht="20.100000000000001" customHeight="1" x14ac:dyDescent="0.3">
      <c r="A214" s="19" t="s">
        <v>103</v>
      </c>
    </row>
    <row r="215" spans="1:1" ht="20.100000000000001" customHeight="1" x14ac:dyDescent="0.3">
      <c r="A215" s="19" t="s">
        <v>104</v>
      </c>
    </row>
    <row r="216" spans="1:1" ht="20.100000000000001" customHeight="1" x14ac:dyDescent="0.3">
      <c r="A216" s="19" t="s">
        <v>105</v>
      </c>
    </row>
    <row r="217" spans="1:1" ht="20.100000000000001" customHeight="1" x14ac:dyDescent="0.3">
      <c r="A217" s="19" t="s">
        <v>106</v>
      </c>
    </row>
    <row r="218" spans="1:1" ht="20.100000000000001" customHeight="1" x14ac:dyDescent="0.3">
      <c r="A218" s="19" t="s">
        <v>107</v>
      </c>
    </row>
    <row r="219" spans="1:1" ht="20.100000000000001" customHeight="1" x14ac:dyDescent="0.3">
      <c r="A219" s="19" t="s">
        <v>108</v>
      </c>
    </row>
    <row r="220" spans="1:1" ht="20.100000000000001" customHeight="1" x14ac:dyDescent="0.3">
      <c r="A220" s="19" t="s">
        <v>109</v>
      </c>
    </row>
    <row r="221" spans="1:1" ht="20.100000000000001" customHeight="1" x14ac:dyDescent="0.3">
      <c r="A221" s="19" t="s">
        <v>110</v>
      </c>
    </row>
    <row r="222" spans="1:1" ht="20.100000000000001" customHeight="1" x14ac:dyDescent="0.3">
      <c r="A222" s="19" t="s">
        <v>111</v>
      </c>
    </row>
    <row r="223" spans="1:1" ht="20.100000000000001" customHeight="1" x14ac:dyDescent="0.3">
      <c r="A223" s="19" t="s">
        <v>112</v>
      </c>
    </row>
    <row r="224" spans="1:1" ht="20.100000000000001" customHeight="1" x14ac:dyDescent="0.3">
      <c r="A224" s="19" t="s">
        <v>176</v>
      </c>
    </row>
    <row r="225" spans="1:1" ht="20.100000000000001" customHeight="1" x14ac:dyDescent="0.3">
      <c r="A225" s="19" t="s">
        <v>113</v>
      </c>
    </row>
    <row r="226" spans="1:1" ht="20.100000000000001" customHeight="1" x14ac:dyDescent="0.3">
      <c r="A226" s="19" t="s">
        <v>114</v>
      </c>
    </row>
    <row r="227" spans="1:1" ht="20.100000000000001" customHeight="1" x14ac:dyDescent="0.3">
      <c r="A227" s="19" t="s">
        <v>115</v>
      </c>
    </row>
    <row r="228" spans="1:1" ht="20.100000000000001" customHeight="1" x14ac:dyDescent="0.3">
      <c r="A228" s="19" t="s">
        <v>116</v>
      </c>
    </row>
    <row r="229" spans="1:1" ht="20.100000000000001" customHeight="1" x14ac:dyDescent="0.3">
      <c r="A229" s="19" t="s">
        <v>117</v>
      </c>
    </row>
    <row r="230" spans="1:1" ht="20.100000000000001" customHeight="1" x14ac:dyDescent="0.3">
      <c r="A230" s="19" t="s">
        <v>118</v>
      </c>
    </row>
    <row r="231" spans="1:1" ht="20.100000000000001" customHeight="1" x14ac:dyDescent="0.3">
      <c r="A231" s="19" t="s">
        <v>119</v>
      </c>
    </row>
    <row r="232" spans="1:1" ht="20.100000000000001" customHeight="1" x14ac:dyDescent="0.3">
      <c r="A232" s="19" t="s">
        <v>120</v>
      </c>
    </row>
    <row r="233" spans="1:1" ht="20.100000000000001" customHeight="1" x14ac:dyDescent="0.3">
      <c r="A233" s="19" t="s">
        <v>121</v>
      </c>
    </row>
    <row r="234" spans="1:1" ht="20.100000000000001" customHeight="1" x14ac:dyDescent="0.3">
      <c r="A234" s="19" t="s">
        <v>122</v>
      </c>
    </row>
    <row r="235" spans="1:1" ht="20.100000000000001" customHeight="1" x14ac:dyDescent="0.3">
      <c r="A235" s="19" t="s">
        <v>123</v>
      </c>
    </row>
    <row r="236" spans="1:1" ht="20.100000000000001" customHeight="1" x14ac:dyDescent="0.3">
      <c r="A236" s="21" t="s">
        <v>124</v>
      </c>
    </row>
    <row r="237" spans="1:1" ht="20.100000000000001" customHeight="1" x14ac:dyDescent="0.3">
      <c r="A237" s="19" t="s">
        <v>125</v>
      </c>
    </row>
    <row r="238" spans="1:1" ht="20.100000000000001" customHeight="1" x14ac:dyDescent="0.3">
      <c r="A238" s="19" t="s">
        <v>126</v>
      </c>
    </row>
    <row r="239" spans="1:1" ht="20.100000000000001" customHeight="1" x14ac:dyDescent="0.3">
      <c r="A239" s="19" t="s">
        <v>127</v>
      </c>
    </row>
    <row r="240" spans="1:1" ht="20.100000000000001" customHeight="1" x14ac:dyDescent="0.3">
      <c r="A240" s="19" t="s">
        <v>128</v>
      </c>
    </row>
    <row r="241" spans="1:1" ht="20.100000000000001" customHeight="1" x14ac:dyDescent="0.3">
      <c r="A241" s="19" t="s">
        <v>129</v>
      </c>
    </row>
    <row r="242" spans="1:1" ht="20.100000000000001" customHeight="1" x14ac:dyDescent="0.3">
      <c r="A242" s="19" t="s">
        <v>130</v>
      </c>
    </row>
    <row r="243" spans="1:1" ht="20.100000000000001" customHeight="1" x14ac:dyDescent="0.3">
      <c r="A243" s="19" t="s">
        <v>131</v>
      </c>
    </row>
    <row r="244" spans="1:1" ht="20.100000000000001" customHeight="1" x14ac:dyDescent="0.3">
      <c r="A244" s="19" t="s">
        <v>132</v>
      </c>
    </row>
    <row r="245" spans="1:1" ht="20.100000000000001" customHeight="1" x14ac:dyDescent="0.3">
      <c r="A245" s="19" t="s">
        <v>133</v>
      </c>
    </row>
    <row r="246" spans="1:1" ht="20.100000000000001" customHeight="1" x14ac:dyDescent="0.3">
      <c r="A246" s="19" t="s">
        <v>134</v>
      </c>
    </row>
    <row r="247" spans="1:1" ht="20.100000000000001" customHeight="1" x14ac:dyDescent="0.3">
      <c r="A247" s="19" t="s">
        <v>135</v>
      </c>
    </row>
    <row r="248" spans="1:1" ht="20.100000000000001" customHeight="1" x14ac:dyDescent="0.3">
      <c r="A248" s="19" t="s">
        <v>126</v>
      </c>
    </row>
    <row r="249" spans="1:1" ht="20.100000000000001" customHeight="1" x14ac:dyDescent="0.3">
      <c r="A249" s="19" t="s">
        <v>136</v>
      </c>
    </row>
    <row r="250" spans="1:1" ht="20.100000000000001" customHeight="1" x14ac:dyDescent="0.3">
      <c r="A250" s="19" t="s">
        <v>137</v>
      </c>
    </row>
    <row r="251" spans="1:1" ht="20.100000000000001" customHeight="1" x14ac:dyDescent="0.3">
      <c r="A251" s="21" t="s">
        <v>138</v>
      </c>
    </row>
    <row r="252" spans="1:1" ht="20.100000000000001" customHeight="1" x14ac:dyDescent="0.3">
      <c r="A252" s="22" t="s">
        <v>139</v>
      </c>
    </row>
    <row r="253" spans="1:1" ht="20.100000000000001" customHeight="1" x14ac:dyDescent="0.3">
      <c r="A253" s="19" t="s">
        <v>140</v>
      </c>
    </row>
    <row r="254" spans="1:1" ht="20.100000000000001" customHeight="1" x14ac:dyDescent="0.3">
      <c r="A254" s="19" t="s">
        <v>141</v>
      </c>
    </row>
    <row r="255" spans="1:1" ht="20.100000000000001" customHeight="1" x14ac:dyDescent="0.3">
      <c r="A255" s="23" t="s">
        <v>142</v>
      </c>
    </row>
    <row r="256" spans="1:1" ht="20.100000000000001" customHeight="1" x14ac:dyDescent="0.3">
      <c r="A256" s="23" t="s">
        <v>143</v>
      </c>
    </row>
    <row r="257" spans="1:1" ht="20.100000000000001" customHeight="1" x14ac:dyDescent="0.3">
      <c r="A257" s="24" t="s">
        <v>144</v>
      </c>
    </row>
    <row r="258" spans="1:1" ht="20.100000000000001" customHeight="1" x14ac:dyDescent="0.3">
      <c r="A258" s="19" t="s">
        <v>145</v>
      </c>
    </row>
    <row r="259" spans="1:1" ht="20.100000000000001" customHeight="1" x14ac:dyDescent="0.3">
      <c r="A259" s="24" t="s">
        <v>146</v>
      </c>
    </row>
    <row r="260" spans="1:1" ht="20.100000000000001" customHeight="1" x14ac:dyDescent="0.3">
      <c r="A260" s="19" t="s">
        <v>147</v>
      </c>
    </row>
    <row r="261" spans="1:1" ht="20.100000000000001" customHeight="1" x14ac:dyDescent="0.3">
      <c r="A261" s="24" t="s">
        <v>148</v>
      </c>
    </row>
    <row r="262" spans="1:1" ht="20.100000000000001" customHeight="1" x14ac:dyDescent="0.3">
      <c r="A262" s="19" t="s">
        <v>149</v>
      </c>
    </row>
    <row r="263" spans="1:1" ht="20.100000000000001" customHeight="1" x14ac:dyDescent="0.3">
      <c r="A263" s="19" t="s">
        <v>150</v>
      </c>
    </row>
    <row r="264" spans="1:1" ht="20.100000000000001" customHeight="1" x14ac:dyDescent="0.3">
      <c r="A264" s="24" t="s">
        <v>151</v>
      </c>
    </row>
    <row r="265" spans="1:1" ht="20.100000000000001" customHeight="1" x14ac:dyDescent="0.3">
      <c r="A265" s="24" t="s">
        <v>152</v>
      </c>
    </row>
    <row r="266" spans="1:1" ht="20.100000000000001" customHeight="1" x14ac:dyDescent="0.3">
      <c r="A266" s="24" t="s">
        <v>153</v>
      </c>
    </row>
    <row r="267" spans="1:1" ht="20.100000000000001" customHeight="1" x14ac:dyDescent="0.3">
      <c r="A267" s="19" t="s">
        <v>154</v>
      </c>
    </row>
    <row r="268" spans="1:1" ht="20.100000000000001" customHeight="1" x14ac:dyDescent="0.3">
      <c r="A268" s="19" t="s">
        <v>155</v>
      </c>
    </row>
    <row r="269" spans="1:1" ht="20.100000000000001" customHeight="1" x14ac:dyDescent="0.3">
      <c r="A269" s="19" t="s">
        <v>156</v>
      </c>
    </row>
    <row r="270" spans="1:1" ht="20.100000000000001" customHeight="1" x14ac:dyDescent="0.3">
      <c r="A270" s="19" t="s">
        <v>157</v>
      </c>
    </row>
    <row r="271" spans="1:1" ht="20.100000000000001" customHeight="1" x14ac:dyDescent="0.3">
      <c r="A271" s="24" t="s">
        <v>158</v>
      </c>
    </row>
    <row r="272" spans="1:1" ht="20.100000000000001" customHeight="1" x14ac:dyDescent="0.3">
      <c r="A272" s="24" t="s">
        <v>159</v>
      </c>
    </row>
    <row r="273" spans="1:1" ht="20.100000000000001" customHeight="1" x14ac:dyDescent="0.3">
      <c r="A273" s="19" t="s">
        <v>160</v>
      </c>
    </row>
    <row r="274" spans="1:1" ht="20.100000000000001" customHeight="1" x14ac:dyDescent="0.3">
      <c r="A274" s="24" t="s">
        <v>161</v>
      </c>
    </row>
    <row r="275" spans="1:1" ht="20.100000000000001" customHeight="1" x14ac:dyDescent="0.3">
      <c r="A275" s="24" t="s">
        <v>162</v>
      </c>
    </row>
    <row r="276" spans="1:1" ht="20.100000000000001" customHeight="1" x14ac:dyDescent="0.3">
      <c r="A276" s="19" t="s">
        <v>163</v>
      </c>
    </row>
    <row r="277" spans="1:1" ht="20.100000000000001" customHeight="1" x14ac:dyDescent="0.3">
      <c r="A277" s="19" t="s">
        <v>164</v>
      </c>
    </row>
    <row r="278" spans="1:1" ht="20.100000000000001" customHeight="1" x14ac:dyDescent="0.3">
      <c r="A278" s="24" t="s">
        <v>165</v>
      </c>
    </row>
    <row r="279" spans="1:1" ht="20.100000000000001" customHeight="1" x14ac:dyDescent="0.3">
      <c r="A279" s="19" t="s">
        <v>166</v>
      </c>
    </row>
    <row r="280" spans="1:1" ht="20.100000000000001" customHeight="1" x14ac:dyDescent="0.3">
      <c r="A280" s="19" t="s">
        <v>167</v>
      </c>
    </row>
    <row r="281" spans="1:1" ht="20.100000000000001" customHeight="1" x14ac:dyDescent="0.3">
      <c r="A281" s="19" t="s">
        <v>168</v>
      </c>
    </row>
    <row r="282" spans="1:1" ht="20.100000000000001" customHeight="1" x14ac:dyDescent="0.3">
      <c r="A282" s="19" t="s">
        <v>169</v>
      </c>
    </row>
    <row r="283" spans="1:1" ht="20.100000000000001" customHeight="1" x14ac:dyDescent="0.3">
      <c r="A283" s="24" t="s">
        <v>170</v>
      </c>
    </row>
    <row r="284" spans="1:1" ht="20.100000000000001" customHeight="1" x14ac:dyDescent="0.3">
      <c r="A284" s="24" t="s">
        <v>171</v>
      </c>
    </row>
    <row r="285" spans="1:1" ht="20.100000000000001" customHeight="1" x14ac:dyDescent="0.3">
      <c r="A285" s="24" t="s">
        <v>172</v>
      </c>
    </row>
    <row r="286" spans="1:1" ht="20.100000000000001" customHeight="1" thickBot="1" x14ac:dyDescent="0.35">
      <c r="A286" s="19" t="s">
        <v>173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  <row r="338" spans="1:1" ht="20.100000000000001" customHeight="1" thickBot="1" x14ac:dyDescent="0.35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2025-10-25T05:01:24Z</dcterms:modified>
</cp:coreProperties>
</file>