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1777C18-4A14-4E1C-9A38-055BA049D9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/>
  <c r="G12" i="2"/>
  <c r="H12" i="2"/>
  <c r="G13" i="2"/>
  <c r="H13" i="2"/>
  <c r="G14" i="2"/>
  <c r="H14" i="2" s="1"/>
  <c r="G15" i="2"/>
  <c r="H15" i="2" s="1"/>
  <c r="G16" i="2"/>
  <c r="H16" i="2" s="1"/>
  <c r="G17" i="2"/>
  <c r="H17" i="2"/>
  <c r="G18" i="2"/>
  <c r="H18" i="2" s="1"/>
  <c r="G19" i="2"/>
  <c r="H19" i="2"/>
  <c r="G20" i="2"/>
  <c r="H20" i="2"/>
  <c r="G8" i="2"/>
  <c r="H8" i="2" s="1"/>
  <c r="F21" i="2"/>
  <c r="E22" i="2" s="1"/>
  <c r="E23" i="2" s="1"/>
  <c r="E21" i="2"/>
</calcChain>
</file>

<file path=xl/sharedStrings.xml><?xml version="1.0" encoding="utf-8"?>
<sst xmlns="http://schemas.openxmlformats.org/spreadsheetml/2006/main" count="251" uniqueCount="196">
  <si>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</si>
  <si>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</si>
  <si>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</si>
  <si>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</si>
  <si>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</si>
  <si>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</si>
  <si>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</si>
  <si>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</si>
  <si>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</si>
  <si>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</si>
  <si>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</si>
  <si>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</si>
  <si>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</si>
  <si>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</si>
  <si>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</si>
  <si>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</si>
  <si>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</si>
  <si>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</si>
  <si>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</si>
  <si>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</si>
  <si>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</si>
  <si>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</si>
  <si>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</si>
  <si>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</si>
  <si>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</si>
  <si>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</si>
  <si>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</si>
  <si>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</si>
  <si>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</si>
  <si>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</si>
  <si>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</si>
  <si>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</si>
  <si>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</si>
  <si>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</si>
  <si>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</si>
  <si>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</si>
  <si>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</si>
  <si>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</si>
  <si>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</si>
  <si>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</si>
  <si>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</si>
  <si>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</si>
  <si>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</si>
  <si>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</si>
  <si>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</si>
  <si>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</si>
  <si>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</si>
  <si>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</si>
  <si>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</si>
  <si>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</si>
  <si>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</si>
  <si>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</si>
  <si>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</si>
  <si>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</si>
  <si>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</si>
  <si>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</si>
  <si>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</si>
  <si>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</si>
  <si>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</si>
  <si>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</si>
  <si>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</si>
  <si>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</si>
  <si>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</si>
  <si>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</si>
  <si>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</si>
  <si>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</si>
  <si>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</si>
  <si>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</si>
  <si>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</si>
  <si>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</si>
  <si>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</si>
  <si>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</si>
  <si>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</si>
  <si>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</si>
  <si>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</si>
  <si>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</si>
  <si>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</si>
  <si>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</si>
  <si>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</si>
  <si>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</si>
  <si>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</si>
  <si>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</si>
  <si>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</si>
  <si>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</si>
  <si>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</si>
  <si>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</si>
  <si>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</si>
  <si>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</si>
  <si>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</si>
  <si>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</si>
  <si>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</si>
  <si>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</si>
  <si>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</si>
  <si>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</si>
  <si>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</si>
  <si>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</si>
  <si>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</si>
  <si>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</si>
  <si>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</si>
  <si>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</si>
  <si>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</si>
  <si>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</si>
  <si>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</si>
  <si>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</si>
  <si>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</si>
  <si>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</si>
  <si>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</si>
  <si>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</si>
  <si>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</si>
  <si>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</si>
  <si>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</si>
  <si>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</si>
  <si>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</si>
  <si>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</si>
  <si>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</si>
  <si>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</si>
  <si>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</si>
  <si>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</si>
  <si>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</si>
  <si>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</si>
  <si>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</si>
  <si>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</si>
  <si>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</si>
  <si>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</si>
  <si>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</si>
  <si>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</si>
  <si>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</si>
  <si>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</si>
  <si>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</si>
  <si>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</si>
  <si>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</si>
  <si>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</si>
  <si>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</si>
  <si>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</si>
  <si>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</si>
  <si>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</si>
  <si>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</si>
  <si>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</si>
  <si>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</si>
  <si>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</si>
  <si>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</si>
  <si>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</si>
  <si>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</si>
  <si>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</si>
  <si>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</si>
  <si>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</si>
  <si>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</si>
  <si>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</si>
  <si>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</si>
  <si>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</si>
  <si>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</si>
  <si>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</si>
  <si>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</si>
  <si>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</si>
  <si>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</si>
  <si>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</si>
  <si>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</si>
  <si>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</si>
  <si>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</si>
  <si>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</si>
  <si>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</si>
  <si>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</si>
  <si>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</si>
  <si>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</si>
  <si>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</si>
  <si>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</si>
  <si>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</si>
  <si>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</si>
  <si>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</si>
  <si>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</si>
  <si>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</si>
  <si>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</si>
  <si>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</si>
  <si>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</si>
  <si>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</si>
  <si>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</si>
  <si>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</si>
  <si>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</si>
  <si>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</si>
  <si>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</si>
  <si>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</si>
  <si>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</si>
  <si>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</si>
  <si>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</si>
  <si>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</si>
  <si>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</si>
  <si>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</si>
  <si>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</si>
  <si>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</si>
  <si>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</si>
  <si>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</si>
  <si>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</si>
  <si>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</si>
  <si>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r>
      <rPr>
        <b/>
        <sz val="14"/>
        <color rgb="FF000000"/>
        <rFont val="Arial"/>
        <family val="2"/>
      </rPr>
      <t>تقييم وكيل الكتيبة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</si>
  <si>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وكيل/١ سلطان علي الحبسي</t>
  </si>
  <si>
    <t>رقيب/1 إبراهيم جاسم الدرمكي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</si>
</sst>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29307</xdr:colOff>
      <xdr:row>24</xdr:row>
      <xdr:rowOff>64477</xdr:rowOff>
    </xdr:from>
    <xdr:to>
      <xdr:col>8</xdr:col>
      <xdr:colOff>391354</xdr:colOff>
      <xdr:row>24</xdr:row>
      <xdr:rowOff>521677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AE4ABE4-01F6-48EF-87B4-CE7DF3FEB5A1}"/>
                </a:ext>
              </a:extLst>
            </xdr14:cNvPr>
            <xdr14:cNvContentPartPr/>
          </xdr14:nvContentPartPr>
          <xdr14:nvPr macro=""/>
          <xdr14:xfrm>
            <a:off x="10078875723" y="8927123"/>
            <a:ext cx="1000954" cy="457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9B7EF8-7882-8060-B9E8-C2DC34B651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304327" y="11159640"/>
              <a:ext cx="1051560" cy="33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19:27:31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0 718,'0'0,"0"0,0 0,0 0,0 0,0 0,0 0,0 0,0 0,10 0,-10-14,4 14,0 0,6 0,-6 0,2 0,2 0,-3 0,0 0,13 0,-13 7,0 0,4 5,-4-5,-1 0,6 7,-2-3,2 5,-1 10,0-15,1 5,9 12,-15-17,0 4,16 12,-16-21,0 2,15 18,-15-26,0 0,15 14,-14-14,-1 0,6-14,-6 14,1 0,4-26,-4 19,0 0,4-20,-4 20,-1 0,5-19,-9 13,0-1,10 0,-6 7,-8 0,8 14,1 0,-5 3,0-6,9 9,-9-6,0 0,10 7,-10-9,0 2,9 20,-9-20,0 0,9 7,-9-8,0 1,10-7,-6 0,0 0,1 0,0 0,5-13,-10 6,0 0,8-20,-3 20,0 0,5-19,-6 19,0 0,-4-6,5 13,0 0,4-14,-9 21,0 0,9-7,-4 7,0-1,4 8,-4-7,-1 0,5 19,-4-19,0-1,4 8,-4-7,-1 0,6 6,-1-7,0 1,1 7,-6-14,0 0,6 0,-5-7,0 0,3-19,2 5,0 1,-2-47,2 32,-1 3,9-76,-13 66,-1 3,5-54,-4 51,0 2,4-27,-9 39,0 2,9-27,-9 39,0 0,0 1,0-1,0 1,9-15,-9 16,0-2,10-13,-10 20,0 0,9-5,-9 5,0 0,0-7,0 8,9-1,-6 3,-6 21,3-3,0-7,0 0,0 5,0 9,0-1,10 20,-10-5,0-2,8 74,-3-58,0-4,5 77,-6-73,0-5,6 38,-5-41,0-1,3 27,-8-46,0-2,10 8,-10-20,0 0,0 6,0-7,0 1,0 7,0-7,0-1,7-16,-5 7,-2-11,5 7,-1 1,-4-7,0 6,0 0,10 7,-10-7,0 0,9 7,-4 0,-1 0,-4 7,0 0,10 7,-5-7,-1-1,5 21,-4-20,-1-1,6 21,-5-20,-1 0,-4 7,5-7,-1-2,-4 9,5-7,0-1,-5 5,0-8,9-3,-5 0,1 0,5 0,-10-7,0 0,8-6,-3 13,0 0,5-26,-6 26,0 0,4-12,-6 10,8 2,-6 0,0 14,1 0,0-2,4 15,-9-13,0-2,9 2,-4 0,0-1,-5 27,5-26,-1-1,5 1,-4-7,-1 0,-4 6,6-13,-2 0,5-13,-5 6,0-27,1 13,0 2,4-115,1 62,-1 8,-1-83,2 98,0 3,8-62,-13 59,0 5,3-105,2 114,-1 3,-9-8,5 33,-1 0,-4-6,0 6,0 0,-9 7,9 7,0 0,0-21,0 28,0-1,0 1,0 14,0-2,-9 68,4-38,0-4,5 96,0-85,0-6,0 91,0-99,0-3,0 22,5-33,0-3,-15-20,10 2,0 0,-8-1,12-6,0 0,-12-21,12 14,0 0,6-27,-5 13,-1 2,5-29,-4 6,0 3,4-9,-4 14,-1 0,6-12,-10 16,0 5,9-36,-4 27,-10 41,10-21,-1 0,-4 21,0-7,0-1,0 48,0-33,0-1,9 33,-9-25,0-2,0 28,5-33,0-2,-5 8,0-20,0 0,9 19,-5-12,1-28,5 0,-2 2,2-2,4-7,0 1,14-47,-18 39,-2 3,11-30,-10 27,1 3,8-15,-18 33,0 0,0-3,0 7,9 3,-9 14,0-1,10-1,-1 4,0-4,19 15,-5-13,-1-2,62 2,-31-14,-3 0,61 0,-39-21,-6 2,74-8,-62 13,-8 0,51-25,-74 25,-2 0,29-26,-50 27,-2-1,16 1,-29 6,0 0,-2-2,-5 4,-20 5,-2 16,3-4,-77-12,27 14,6-1,-106 0,60 2,9-2,-133 27,101-26,10-1,-122 13,117-12,9-1,-115 15,118-21,13-2,-85 9,97 0,9-1,-14-13,58 7,5 0,-16-7,32 7,0-1,22-16,-6 7,-12 3,6 0,8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B18" zoomScale="130" zoomScaleNormal="100" zoomScaleSheetLayoutView="130" workbookViewId="0">
      <selection activeCell="F19" sqref="F19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193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1" t="s">
        <v>178</v>
      </c>
      <c r="C2" s="64" t="s">
        <v>34</v>
      </c>
      <c r="D2" s="64"/>
      <c r="E2" s="11" t="s">
        <v>7</v>
      </c>
      <c r="F2" s="59">
        <v>45953</v>
      </c>
      <c r="G2" s="59"/>
      <c r="H2" s="59"/>
      <c r="I2" s="59"/>
      <c r="J2" s="59"/>
    </row>
    <row r="3" spans="1:10" ht="30" customHeight="1" x14ac:dyDescent="0.3">
      <c r="B3" s="11" t="s">
        <v>179</v>
      </c>
      <c r="C3" s="64" t="s">
        <v>194</v>
      </c>
      <c r="D3" s="64"/>
      <c r="E3" s="11" t="s">
        <v>6</v>
      </c>
      <c r="F3" s="64" t="s">
        <v>57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82" t="s">
        <v>195</v>
      </c>
      <c r="G4" s="82"/>
      <c r="H4" s="82"/>
      <c r="I4" s="82"/>
      <c r="J4" s="82"/>
    </row>
    <row r="5" spans="1:10" ht="24.9" customHeight="1" x14ac:dyDescent="0.3">
      <c r="A5" s="9"/>
      <c r="B5" s="60" t="s">
        <v>0</v>
      </c>
      <c r="C5" s="61"/>
      <c r="D5" s="61"/>
      <c r="E5" s="48" t="s">
        <v>1</v>
      </c>
      <c r="F5" s="48"/>
      <c r="G5" s="48"/>
      <c r="H5" s="48"/>
      <c r="I5" s="48" t="s">
        <v>2</v>
      </c>
      <c r="J5" s="49"/>
    </row>
    <row r="6" spans="1:10" ht="24.9" customHeight="1" thickBot="1" x14ac:dyDescent="0.35">
      <c r="A6" s="9"/>
      <c r="B6" s="62"/>
      <c r="C6" s="63"/>
      <c r="D6" s="63"/>
      <c r="E6" s="10" t="s">
        <v>3</v>
      </c>
      <c r="F6" s="10" t="s">
        <v>4</v>
      </c>
      <c r="G6" s="10" t="s">
        <v>21</v>
      </c>
      <c r="H6" s="10" t="s">
        <v>22</v>
      </c>
      <c r="I6" s="50"/>
      <c r="J6" s="51"/>
    </row>
    <row r="7" spans="1:10" ht="24.9" customHeight="1" thickBot="1" x14ac:dyDescent="0.35">
      <c r="A7" s="9"/>
      <c r="B7" s="46" t="s">
        <v>19</v>
      </c>
      <c r="C7" s="47"/>
      <c r="D7" s="47"/>
      <c r="E7" s="27" t="s">
        <v>16</v>
      </c>
      <c r="F7" s="27" t="s">
        <v>17</v>
      </c>
      <c r="G7" s="27" t="s">
        <v>20</v>
      </c>
      <c r="H7" s="27" t="s">
        <v>18</v>
      </c>
      <c r="I7" s="52" t="s">
        <v>23</v>
      </c>
      <c r="J7" s="53"/>
    </row>
    <row r="8" spans="1:10" ht="39.9" customHeight="1" x14ac:dyDescent="0.3">
      <c r="A8" s="9"/>
      <c r="B8" s="56" t="s">
        <v>180</v>
      </c>
      <c r="C8" s="57"/>
      <c r="D8" s="57"/>
      <c r="E8" s="31">
        <v>5</v>
      </c>
      <c r="F8" s="32">
        <v>3.75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4"/>
      <c r="J8" s="55"/>
    </row>
    <row r="9" spans="1:10" ht="39.9" customHeight="1" x14ac:dyDescent="0.3">
      <c r="A9" s="9"/>
      <c r="B9" s="38" t="s">
        <v>181</v>
      </c>
      <c r="C9" s="39"/>
      <c r="D9" s="39"/>
      <c r="E9" s="8">
        <v>5</v>
      </c>
      <c r="F9" s="25">
        <v>3.5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9"/>
      <c r="B10" s="38" t="s">
        <v>182</v>
      </c>
      <c r="C10" s="39"/>
      <c r="D10" s="39"/>
      <c r="E10" s="8">
        <v>5</v>
      </c>
      <c r="F10" s="25">
        <v>3.5</v>
      </c>
      <c r="G10" s="29">
        <f t="shared" ref="G10:G20" si="0">IFERROR(F10/E10,"")</f>
        <v>0.7</v>
      </c>
      <c r="H10" s="30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9.9" customHeight="1" x14ac:dyDescent="0.3">
      <c r="A11" s="9"/>
      <c r="B11" s="38" t="s">
        <v>183</v>
      </c>
      <c r="C11" s="39"/>
      <c r="D11" s="39"/>
      <c r="E11" s="8">
        <v>5</v>
      </c>
      <c r="F11" s="25">
        <v>3.75</v>
      </c>
      <c r="G11" s="29">
        <f t="shared" si="0"/>
        <v>0.75</v>
      </c>
      <c r="H11" s="30" t="str">
        <f t="shared" si="1"/>
        <v>جيد</v>
      </c>
      <c r="I11" s="44"/>
      <c r="J11" s="45"/>
    </row>
    <row r="12" spans="1:10" ht="39.9" customHeight="1" x14ac:dyDescent="0.3">
      <c r="A12" s="9"/>
      <c r="B12" s="38" t="s">
        <v>184</v>
      </c>
      <c r="C12" s="39"/>
      <c r="D12" s="39"/>
      <c r="E12" s="8">
        <v>5</v>
      </c>
      <c r="F12" s="25">
        <v>3.75</v>
      </c>
      <c r="G12" s="29">
        <f t="shared" si="0"/>
        <v>0.75</v>
      </c>
      <c r="H12" s="30" t="str">
        <f t="shared" si="1"/>
        <v>جيد</v>
      </c>
      <c r="I12" s="44"/>
      <c r="J12" s="45"/>
    </row>
    <row r="13" spans="1:10" ht="39.9" customHeight="1" x14ac:dyDescent="0.3">
      <c r="A13" s="9"/>
      <c r="B13" s="38" t="s">
        <v>185</v>
      </c>
      <c r="C13" s="39"/>
      <c r="D13" s="39"/>
      <c r="E13" s="8">
        <v>5</v>
      </c>
      <c r="F13" s="25">
        <v>3.75</v>
      </c>
      <c r="G13" s="29">
        <f t="shared" si="0"/>
        <v>0.75</v>
      </c>
      <c r="H13" s="30" t="str">
        <f t="shared" si="1"/>
        <v>جيد</v>
      </c>
      <c r="I13" s="44"/>
      <c r="J13" s="45"/>
    </row>
    <row r="14" spans="1:10" ht="39.9" customHeight="1" x14ac:dyDescent="0.3">
      <c r="A14" s="9"/>
      <c r="B14" s="38" t="s">
        <v>186</v>
      </c>
      <c r="C14" s="39"/>
      <c r="D14" s="39"/>
      <c r="E14" s="8">
        <v>5</v>
      </c>
      <c r="F14" s="25">
        <v>3.5</v>
      </c>
      <c r="G14" s="29">
        <f t="shared" si="0"/>
        <v>0.7</v>
      </c>
      <c r="H14" s="30" t="str">
        <f t="shared" si="1"/>
        <v>جيد</v>
      </c>
      <c r="I14" s="44"/>
      <c r="J14" s="45"/>
    </row>
    <row r="15" spans="1:10" ht="39.9" customHeight="1" x14ac:dyDescent="0.3">
      <c r="A15" s="9"/>
      <c r="B15" s="38" t="s">
        <v>187</v>
      </c>
      <c r="C15" s="39"/>
      <c r="D15" s="39"/>
      <c r="E15" s="8">
        <v>5</v>
      </c>
      <c r="F15" s="25">
        <v>3.75</v>
      </c>
      <c r="G15" s="29">
        <f t="shared" si="0"/>
        <v>0.75</v>
      </c>
      <c r="H15" s="30" t="str">
        <f t="shared" si="1"/>
        <v>جيد</v>
      </c>
      <c r="I15" s="44"/>
      <c r="J15" s="45"/>
    </row>
    <row r="16" spans="1:10" ht="39.9" customHeight="1" x14ac:dyDescent="0.3">
      <c r="A16" s="9"/>
      <c r="B16" s="38" t="s">
        <v>188</v>
      </c>
      <c r="C16" s="39"/>
      <c r="D16" s="39"/>
      <c r="E16" s="8">
        <v>5</v>
      </c>
      <c r="F16" s="25">
        <v>3.5</v>
      </c>
      <c r="G16" s="29">
        <f t="shared" si="0"/>
        <v>0.7</v>
      </c>
      <c r="H16" s="30" t="str">
        <f t="shared" si="1"/>
        <v>جيد</v>
      </c>
      <c r="I16" s="44"/>
      <c r="J16" s="45"/>
    </row>
    <row r="17" spans="1:10" ht="39.9" customHeight="1" x14ac:dyDescent="0.3">
      <c r="A17" s="9"/>
      <c r="B17" s="38" t="s">
        <v>192</v>
      </c>
      <c r="C17" s="39"/>
      <c r="D17" s="39"/>
      <c r="E17" s="8">
        <v>5</v>
      </c>
      <c r="F17" s="25">
        <v>4</v>
      </c>
      <c r="G17" s="29">
        <f t="shared" si="0"/>
        <v>0.8</v>
      </c>
      <c r="H17" s="30" t="str">
        <f t="shared" si="1"/>
        <v>جيد جداً</v>
      </c>
      <c r="I17" s="44"/>
      <c r="J17" s="45"/>
    </row>
    <row r="18" spans="1:10" ht="39.9" customHeight="1" x14ac:dyDescent="0.3">
      <c r="A18" s="9"/>
      <c r="B18" s="38" t="s">
        <v>189</v>
      </c>
      <c r="C18" s="39"/>
      <c r="D18" s="39"/>
      <c r="E18" s="8">
        <v>5</v>
      </c>
      <c r="F18" s="25">
        <v>3.75</v>
      </c>
      <c r="G18" s="29">
        <f t="shared" si="0"/>
        <v>0.75</v>
      </c>
      <c r="H18" s="30" t="str">
        <f t="shared" si="1"/>
        <v>جيد</v>
      </c>
      <c r="I18" s="44"/>
      <c r="J18" s="45"/>
    </row>
    <row r="19" spans="1:10" ht="39.9" customHeight="1" x14ac:dyDescent="0.3">
      <c r="A19" s="9"/>
      <c r="B19" s="38" t="s">
        <v>190</v>
      </c>
      <c r="C19" s="39"/>
      <c r="D19" s="39"/>
      <c r="E19" s="8">
        <v>5</v>
      </c>
      <c r="F19" s="25">
        <v>3.75</v>
      </c>
      <c r="G19" s="29">
        <f t="shared" si="0"/>
        <v>0.75</v>
      </c>
      <c r="H19" s="30" t="str">
        <f t="shared" si="1"/>
        <v>جيد</v>
      </c>
      <c r="I19" s="44"/>
      <c r="J19" s="45"/>
    </row>
    <row r="20" spans="1:10" ht="39.9" customHeight="1" thickBot="1" x14ac:dyDescent="0.35">
      <c r="A20" s="9"/>
      <c r="B20" s="42" t="s">
        <v>191</v>
      </c>
      <c r="C20" s="43"/>
      <c r="D20" s="43"/>
      <c r="E20" s="35">
        <v>5</v>
      </c>
      <c r="F20" s="26">
        <v>3.5</v>
      </c>
      <c r="G20" s="36">
        <f t="shared" si="0"/>
        <v>0.7</v>
      </c>
      <c r="H20" s="37" t="str">
        <f t="shared" si="1"/>
        <v>جيد</v>
      </c>
      <c r="I20" s="40"/>
      <c r="J20" s="41"/>
    </row>
    <row r="21" spans="1:10" ht="30" customHeight="1" thickBot="1" x14ac:dyDescent="0.35">
      <c r="A21" s="4"/>
      <c r="B21" s="78" t="s">
        <v>5</v>
      </c>
      <c r="C21" s="79"/>
      <c r="D21" s="79"/>
      <c r="E21" s="28">
        <f>SUM(E8:E20)</f>
        <v>65</v>
      </c>
      <c r="F21" s="28">
        <f>SUM(F8:F20)</f>
        <v>47.75</v>
      </c>
      <c r="G21" s="67"/>
      <c r="H21" s="68"/>
      <c r="I21" s="68"/>
      <c r="J21" s="69"/>
    </row>
    <row r="22" spans="1:10" ht="30" customHeight="1" thickBot="1" x14ac:dyDescent="0.35">
      <c r="A22" s="4"/>
      <c r="B22" s="80" t="s">
        <v>52</v>
      </c>
      <c r="C22" s="81"/>
      <c r="D22" s="81"/>
      <c r="E22" s="76">
        <f>F21/E21/100*100</f>
        <v>0.73461538461538467</v>
      </c>
      <c r="F22" s="76"/>
      <c r="G22" s="76"/>
      <c r="H22" s="76"/>
      <c r="I22" s="76"/>
      <c r="J22" s="77"/>
    </row>
    <row r="23" spans="1:10" ht="30" customHeight="1" thickBot="1" x14ac:dyDescent="0.35">
      <c r="A23" s="4"/>
      <c r="B23" s="80" t="s">
        <v>53</v>
      </c>
      <c r="C23" s="81"/>
      <c r="D23" s="81"/>
      <c r="E23" s="74" t="str">
        <f>_xlfn.IFS(E22&gt;=90%,"ممتاز",E22&gt;=80%,"جيد جداً",E22&gt;=70%,"جيد",E22&gt;=60%,"مقبول",E22&lt;60%,"راسب")</f>
        <v>جيد</v>
      </c>
      <c r="F23" s="74"/>
      <c r="G23" s="74"/>
      <c r="H23" s="74"/>
      <c r="I23" s="74"/>
      <c r="J23" s="75"/>
    </row>
    <row r="24" spans="1:10" ht="42" customHeight="1" x14ac:dyDescent="0.3">
      <c r="B24" s="70" t="s">
        <v>172</v>
      </c>
      <c r="C24" s="70"/>
      <c r="D24" s="70"/>
      <c r="E24" s="65" t="s">
        <v>50</v>
      </c>
      <c r="F24" s="65"/>
      <c r="G24" s="72" t="s">
        <v>57</v>
      </c>
      <c r="H24" s="72"/>
      <c r="I24" s="72"/>
      <c r="J24" s="72"/>
    </row>
    <row r="25" spans="1:10" ht="51" customHeight="1" x14ac:dyDescent="0.3">
      <c r="A25" s="5"/>
      <c r="B25" s="71"/>
      <c r="C25" s="71"/>
      <c r="D25" s="71"/>
      <c r="E25" s="66" t="s">
        <v>51</v>
      </c>
      <c r="F25" s="66"/>
      <c r="G25" s="73"/>
      <c r="H25" s="73"/>
      <c r="I25" s="73"/>
      <c r="J25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8"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F4:J4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I15:J15"/>
    <mergeCell ref="I16:J16"/>
    <mergeCell ref="I17:J17"/>
    <mergeCell ref="I18:J18"/>
    <mergeCell ref="I19:J19"/>
    <mergeCell ref="I20:J20"/>
    <mergeCell ref="B17:D17"/>
    <mergeCell ref="B18:D18"/>
    <mergeCell ref="B19:D19"/>
    <mergeCell ref="B20:D20"/>
    <mergeCell ref="B16:D16"/>
    <mergeCell ref="B11:D11"/>
    <mergeCell ref="B12:D12"/>
    <mergeCell ref="B13:D13"/>
    <mergeCell ref="B14:D14"/>
    <mergeCell ref="B15:D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8" t="s">
        <v>60</v>
      </c>
    </row>
    <row r="3" spans="1:3" ht="20.100000000000001" customHeight="1" thickBot="1" x14ac:dyDescent="0.35">
      <c r="A3" s="2" t="s">
        <v>24</v>
      </c>
      <c r="C3" s="18" t="s">
        <v>61</v>
      </c>
    </row>
    <row r="4" spans="1:3" ht="20.100000000000001" customHeight="1" thickBot="1" x14ac:dyDescent="0.35">
      <c r="A4" s="2" t="s">
        <v>34</v>
      </c>
      <c r="C4" s="18" t="s">
        <v>62</v>
      </c>
    </row>
    <row r="5" spans="1:3" ht="20.100000000000001" customHeight="1" thickBot="1" x14ac:dyDescent="0.35">
      <c r="A5" s="2" t="s">
        <v>35</v>
      </c>
      <c r="C5" s="18" t="s">
        <v>63</v>
      </c>
    </row>
    <row r="6" spans="1:3" ht="20.100000000000001" customHeight="1" thickBot="1" x14ac:dyDescent="0.35">
      <c r="A6" s="2" t="s">
        <v>36</v>
      </c>
      <c r="C6" s="18" t="s">
        <v>64</v>
      </c>
    </row>
    <row r="7" spans="1:3" ht="20.100000000000001" customHeight="1" thickBot="1" x14ac:dyDescent="0.35">
      <c r="A7" s="2" t="s">
        <v>37</v>
      </c>
      <c r="C7" s="18" t="s">
        <v>65</v>
      </c>
    </row>
    <row r="8" spans="1:3" ht="20.100000000000001" customHeight="1" thickBot="1" x14ac:dyDescent="0.35">
      <c r="A8" s="2" t="s">
        <v>38</v>
      </c>
      <c r="C8" s="18" t="s">
        <v>66</v>
      </c>
    </row>
    <row r="9" spans="1:3" ht="20.100000000000001" customHeight="1" thickBot="1" x14ac:dyDescent="0.35">
      <c r="A9" s="2" t="s">
        <v>39</v>
      </c>
      <c r="C9" s="18" t="s">
        <v>67</v>
      </c>
    </row>
    <row r="10" spans="1:3" ht="20.100000000000001" customHeight="1" thickBot="1" x14ac:dyDescent="0.35">
      <c r="A10" s="2" t="s">
        <v>40</v>
      </c>
      <c r="C10" s="18" t="s">
        <v>68</v>
      </c>
    </row>
    <row r="11" spans="1:3" ht="20.100000000000001" customHeight="1" thickBot="1" x14ac:dyDescent="0.35">
      <c r="A11" s="2" t="s">
        <v>41</v>
      </c>
      <c r="C11" s="18" t="s">
        <v>69</v>
      </c>
    </row>
    <row r="12" spans="1:3" ht="20.100000000000001" customHeight="1" thickBot="1" x14ac:dyDescent="0.35">
      <c r="A12" s="2" t="s">
        <v>42</v>
      </c>
      <c r="C12" s="18" t="s">
        <v>70</v>
      </c>
    </row>
    <row r="13" spans="1:3" ht="20.100000000000001" customHeight="1" thickBot="1" x14ac:dyDescent="0.35">
      <c r="A13" s="2" t="s">
        <v>43</v>
      </c>
      <c r="C13" s="18" t="s">
        <v>71</v>
      </c>
    </row>
    <row r="14" spans="1:3" ht="20.100000000000001" customHeight="1" thickBot="1" x14ac:dyDescent="0.35">
      <c r="A14" s="2" t="s">
        <v>44</v>
      </c>
      <c r="C14" s="18" t="s">
        <v>72</v>
      </c>
    </row>
    <row r="15" spans="1:3" ht="20.100000000000001" customHeight="1" thickBot="1" x14ac:dyDescent="0.35">
      <c r="A15" s="2" t="s">
        <v>45</v>
      </c>
      <c r="C15" s="18" t="s">
        <v>73</v>
      </c>
    </row>
    <row r="16" spans="1:3" ht="20.100000000000001" customHeight="1" thickBot="1" x14ac:dyDescent="0.35">
      <c r="A16" s="2" t="s">
        <v>8</v>
      </c>
      <c r="C16" s="18" t="s">
        <v>74</v>
      </c>
    </row>
    <row r="17" spans="1:3" ht="20.100000000000001" customHeight="1" thickBot="1" x14ac:dyDescent="0.35">
      <c r="A17" s="2" t="s">
        <v>25</v>
      </c>
      <c r="C17" s="18" t="s">
        <v>75</v>
      </c>
    </row>
    <row r="18" spans="1:3" ht="20.100000000000001" customHeight="1" thickBot="1" x14ac:dyDescent="0.35">
      <c r="A18" s="2" t="s">
        <v>46</v>
      </c>
      <c r="C18" s="18" t="s">
        <v>76</v>
      </c>
    </row>
    <row r="19" spans="1:3" ht="20.100000000000001" customHeight="1" thickBot="1" x14ac:dyDescent="0.35">
      <c r="A19" s="2" t="s">
        <v>47</v>
      </c>
      <c r="C19" s="18" t="s">
        <v>77</v>
      </c>
    </row>
    <row r="20" spans="1:3" ht="20.100000000000001" customHeight="1" thickBot="1" x14ac:dyDescent="0.35">
      <c r="A20" s="2" t="s">
        <v>48</v>
      </c>
      <c r="C20" s="18" t="s">
        <v>78</v>
      </c>
    </row>
    <row r="21" spans="1:3" ht="20.100000000000001" customHeight="1" thickBot="1" x14ac:dyDescent="0.35">
      <c r="A21" s="2" t="s">
        <v>49</v>
      </c>
      <c r="C21" s="18" t="s">
        <v>79</v>
      </c>
    </row>
    <row r="22" spans="1:3" ht="20.100000000000001" customHeight="1" thickBot="1" x14ac:dyDescent="0.35">
      <c r="A22" s="2" t="s">
        <v>9</v>
      </c>
      <c r="C22" s="18" t="s">
        <v>80</v>
      </c>
    </row>
    <row r="23" spans="1:3" ht="20.100000000000001" customHeight="1" thickBot="1" x14ac:dyDescent="0.35">
      <c r="A23" s="2" t="s">
        <v>10</v>
      </c>
      <c r="C23" s="18" t="s">
        <v>81</v>
      </c>
    </row>
    <row r="24" spans="1:3" ht="20.100000000000001" customHeight="1" thickBot="1" x14ac:dyDescent="0.35">
      <c r="A24" s="2" t="s">
        <v>13</v>
      </c>
      <c r="C24" s="18" t="s">
        <v>82</v>
      </c>
    </row>
    <row r="25" spans="1:3" ht="20.100000000000001" customHeight="1" thickBot="1" x14ac:dyDescent="0.35">
      <c r="A25" s="2" t="s">
        <v>26</v>
      </c>
      <c r="C25" s="18" t="s">
        <v>83</v>
      </c>
    </row>
    <row r="26" spans="1:3" ht="20.100000000000001" customHeight="1" thickBot="1" x14ac:dyDescent="0.35">
      <c r="A26" s="2" t="s">
        <v>27</v>
      </c>
      <c r="C26" s="18" t="s">
        <v>84</v>
      </c>
    </row>
    <row r="27" spans="1:3" ht="20.100000000000001" customHeight="1" thickBot="1" x14ac:dyDescent="0.35">
      <c r="A27" s="2" t="s">
        <v>11</v>
      </c>
      <c r="C27" s="18" t="s">
        <v>85</v>
      </c>
    </row>
    <row r="28" spans="1:3" ht="20.100000000000001" customHeight="1" thickBot="1" x14ac:dyDescent="0.35">
      <c r="A28" s="2" t="s">
        <v>28</v>
      </c>
      <c r="C28" s="18" t="s">
        <v>86</v>
      </c>
    </row>
    <row r="29" spans="1:3" ht="20.100000000000001" customHeight="1" thickBot="1" x14ac:dyDescent="0.35">
      <c r="A29" s="2" t="s">
        <v>29</v>
      </c>
      <c r="C29" s="18" t="s">
        <v>175</v>
      </c>
    </row>
    <row r="30" spans="1:3" ht="20.100000000000001" customHeight="1" thickBot="1" x14ac:dyDescent="0.35">
      <c r="A30" s="2" t="s">
        <v>30</v>
      </c>
      <c r="C30" s="18" t="s">
        <v>176</v>
      </c>
    </row>
    <row r="31" spans="1:3" ht="20.100000000000001" customHeight="1" thickBot="1" x14ac:dyDescent="0.35">
      <c r="A31" s="2" t="s">
        <v>31</v>
      </c>
      <c r="C31" s="18" t="s">
        <v>177</v>
      </c>
    </row>
    <row r="32" spans="1:3" ht="20.100000000000001" customHeight="1" thickBot="1" x14ac:dyDescent="0.35">
      <c r="A32" s="2" t="s">
        <v>14</v>
      </c>
      <c r="C32" s="18"/>
    </row>
    <row r="33" spans="1:9" ht="20.100000000000001" customHeight="1" thickBot="1" x14ac:dyDescent="0.35">
      <c r="A33" s="2" t="s">
        <v>12</v>
      </c>
      <c r="C33" s="18"/>
    </row>
    <row r="34" spans="1:9" ht="20.100000000000001" customHeight="1" thickBot="1" x14ac:dyDescent="0.35">
      <c r="A34" s="2" t="s">
        <v>32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19" t="s">
        <v>87</v>
      </c>
    </row>
    <row r="200" spans="1:1" ht="20.100000000000001" customHeight="1" x14ac:dyDescent="0.3">
      <c r="A200" s="19" t="s">
        <v>88</v>
      </c>
    </row>
    <row r="201" spans="1:1" ht="20.100000000000001" customHeight="1" x14ac:dyDescent="0.3">
      <c r="A201" s="19" t="s">
        <v>89</v>
      </c>
    </row>
    <row r="202" spans="1:1" ht="20.100000000000001" customHeight="1" x14ac:dyDescent="0.3">
      <c r="A202" s="19" t="s">
        <v>90</v>
      </c>
    </row>
    <row r="203" spans="1:1" ht="20.100000000000001" customHeight="1" x14ac:dyDescent="0.3">
      <c r="A203" s="19" t="s">
        <v>91</v>
      </c>
    </row>
    <row r="204" spans="1:1" ht="20.100000000000001" customHeight="1" x14ac:dyDescent="0.3">
      <c r="A204" s="19" t="s">
        <v>92</v>
      </c>
    </row>
    <row r="205" spans="1:1" ht="20.100000000000001" customHeight="1" x14ac:dyDescent="0.3">
      <c r="A205" s="19" t="s">
        <v>93</v>
      </c>
    </row>
    <row r="206" spans="1:1" ht="20.100000000000001" customHeight="1" x14ac:dyDescent="0.3">
      <c r="A206" s="19" t="s">
        <v>94</v>
      </c>
    </row>
    <row r="207" spans="1:1" ht="20.100000000000001" customHeight="1" x14ac:dyDescent="0.3">
      <c r="A207" s="19" t="s">
        <v>95</v>
      </c>
    </row>
    <row r="208" spans="1:1" ht="20.100000000000001" customHeight="1" x14ac:dyDescent="0.3">
      <c r="A208" s="20" t="s">
        <v>96</v>
      </c>
    </row>
    <row r="209" spans="1:1" ht="20.100000000000001" customHeight="1" x14ac:dyDescent="0.3">
      <c r="A209" s="20" t="s">
        <v>97</v>
      </c>
    </row>
    <row r="210" spans="1:1" ht="20.100000000000001" customHeight="1" x14ac:dyDescent="0.3">
      <c r="A210" s="19" t="s">
        <v>98</v>
      </c>
    </row>
    <row r="211" spans="1:1" ht="20.100000000000001" customHeight="1" x14ac:dyDescent="0.3">
      <c r="A211" s="19" t="s">
        <v>99</v>
      </c>
    </row>
    <row r="212" spans="1:1" ht="20.100000000000001" customHeight="1" x14ac:dyDescent="0.3">
      <c r="A212" s="19" t="s">
        <v>173</v>
      </c>
    </row>
    <row r="213" spans="1:1" ht="20.100000000000001" customHeight="1" x14ac:dyDescent="0.3">
      <c r="A213" s="19" t="s">
        <v>100</v>
      </c>
    </row>
    <row r="214" spans="1:1" ht="20.100000000000001" customHeight="1" x14ac:dyDescent="0.3">
      <c r="A214" s="19" t="s">
        <v>101</v>
      </c>
    </row>
    <row r="215" spans="1:1" ht="20.100000000000001" customHeight="1" x14ac:dyDescent="0.3">
      <c r="A215" s="19" t="s">
        <v>102</v>
      </c>
    </row>
    <row r="216" spans="1:1" ht="20.100000000000001" customHeight="1" x14ac:dyDescent="0.3">
      <c r="A216" s="19" t="s">
        <v>103</v>
      </c>
    </row>
    <row r="217" spans="1:1" ht="20.100000000000001" customHeight="1" x14ac:dyDescent="0.3">
      <c r="A217" s="19" t="s">
        <v>104</v>
      </c>
    </row>
    <row r="218" spans="1:1" ht="20.100000000000001" customHeight="1" x14ac:dyDescent="0.3">
      <c r="A218" s="19" t="s">
        <v>105</v>
      </c>
    </row>
    <row r="219" spans="1:1" ht="20.100000000000001" customHeight="1" x14ac:dyDescent="0.3">
      <c r="A219" s="19" t="s">
        <v>106</v>
      </c>
    </row>
    <row r="220" spans="1:1" ht="20.100000000000001" customHeight="1" x14ac:dyDescent="0.3">
      <c r="A220" s="19" t="s">
        <v>107</v>
      </c>
    </row>
    <row r="221" spans="1:1" ht="20.100000000000001" customHeight="1" x14ac:dyDescent="0.3">
      <c r="A221" s="19" t="s">
        <v>108</v>
      </c>
    </row>
    <row r="222" spans="1:1" ht="20.100000000000001" customHeight="1" x14ac:dyDescent="0.3">
      <c r="A222" s="19" t="s">
        <v>109</v>
      </c>
    </row>
    <row r="223" spans="1:1" ht="20.100000000000001" customHeight="1" x14ac:dyDescent="0.3">
      <c r="A223" s="19" t="s">
        <v>110</v>
      </c>
    </row>
    <row r="224" spans="1:1" ht="20.100000000000001" customHeight="1" x14ac:dyDescent="0.3">
      <c r="A224" s="19" t="s">
        <v>174</v>
      </c>
    </row>
    <row r="225" spans="1:1" ht="20.100000000000001" customHeight="1" x14ac:dyDescent="0.3">
      <c r="A225" s="19" t="s">
        <v>111</v>
      </c>
    </row>
    <row r="226" spans="1:1" ht="20.100000000000001" customHeight="1" x14ac:dyDescent="0.3">
      <c r="A226" s="19" t="s">
        <v>112</v>
      </c>
    </row>
    <row r="227" spans="1:1" ht="20.100000000000001" customHeight="1" x14ac:dyDescent="0.3">
      <c r="A227" s="19" t="s">
        <v>113</v>
      </c>
    </row>
    <row r="228" spans="1:1" ht="20.100000000000001" customHeight="1" x14ac:dyDescent="0.3">
      <c r="A228" s="19" t="s">
        <v>114</v>
      </c>
    </row>
    <row r="229" spans="1:1" ht="20.100000000000001" customHeight="1" x14ac:dyDescent="0.3">
      <c r="A229" s="19" t="s">
        <v>115</v>
      </c>
    </row>
    <row r="230" spans="1:1" ht="20.100000000000001" customHeight="1" x14ac:dyDescent="0.3">
      <c r="A230" s="19" t="s">
        <v>116</v>
      </c>
    </row>
    <row r="231" spans="1:1" ht="20.100000000000001" customHeight="1" x14ac:dyDescent="0.3">
      <c r="A231" s="19" t="s">
        <v>117</v>
      </c>
    </row>
    <row r="232" spans="1:1" ht="20.100000000000001" customHeight="1" x14ac:dyDescent="0.3">
      <c r="A232" s="19" t="s">
        <v>118</v>
      </c>
    </row>
    <row r="233" spans="1:1" ht="20.100000000000001" customHeight="1" x14ac:dyDescent="0.3">
      <c r="A233" s="19" t="s">
        <v>119</v>
      </c>
    </row>
    <row r="234" spans="1:1" ht="20.100000000000001" customHeight="1" x14ac:dyDescent="0.3">
      <c r="A234" s="19" t="s">
        <v>120</v>
      </c>
    </row>
    <row r="235" spans="1:1" ht="20.100000000000001" customHeight="1" x14ac:dyDescent="0.3">
      <c r="A235" s="19" t="s">
        <v>121</v>
      </c>
    </row>
    <row r="236" spans="1:1" ht="20.100000000000001" customHeight="1" x14ac:dyDescent="0.3">
      <c r="A236" s="21" t="s">
        <v>122</v>
      </c>
    </row>
    <row r="237" spans="1:1" ht="20.100000000000001" customHeight="1" x14ac:dyDescent="0.3">
      <c r="A237" s="19" t="s">
        <v>123</v>
      </c>
    </row>
    <row r="238" spans="1:1" ht="20.100000000000001" customHeight="1" x14ac:dyDescent="0.3">
      <c r="A238" s="19" t="s">
        <v>124</v>
      </c>
    </row>
    <row r="239" spans="1:1" ht="20.100000000000001" customHeight="1" x14ac:dyDescent="0.3">
      <c r="A239" s="19" t="s">
        <v>125</v>
      </c>
    </row>
    <row r="240" spans="1:1" ht="20.100000000000001" customHeight="1" x14ac:dyDescent="0.3">
      <c r="A240" s="19" t="s">
        <v>126</v>
      </c>
    </row>
    <row r="241" spans="1:1" ht="20.100000000000001" customHeight="1" x14ac:dyDescent="0.3">
      <c r="A241" s="19" t="s">
        <v>127</v>
      </c>
    </row>
    <row r="242" spans="1:1" ht="20.100000000000001" customHeight="1" x14ac:dyDescent="0.3">
      <c r="A242" s="19" t="s">
        <v>128</v>
      </c>
    </row>
    <row r="243" spans="1:1" ht="20.100000000000001" customHeight="1" x14ac:dyDescent="0.3">
      <c r="A243" s="19" t="s">
        <v>129</v>
      </c>
    </row>
    <row r="244" spans="1:1" ht="20.100000000000001" customHeight="1" x14ac:dyDescent="0.3">
      <c r="A244" s="19" t="s">
        <v>130</v>
      </c>
    </row>
    <row r="245" spans="1:1" ht="20.100000000000001" customHeight="1" x14ac:dyDescent="0.3">
      <c r="A245" s="19" t="s">
        <v>131</v>
      </c>
    </row>
    <row r="246" spans="1:1" ht="20.100000000000001" customHeight="1" x14ac:dyDescent="0.3">
      <c r="A246" s="19" t="s">
        <v>132</v>
      </c>
    </row>
    <row r="247" spans="1:1" ht="20.100000000000001" customHeight="1" x14ac:dyDescent="0.3">
      <c r="A247" s="19" t="s">
        <v>133</v>
      </c>
    </row>
    <row r="248" spans="1:1" ht="20.100000000000001" customHeight="1" x14ac:dyDescent="0.3">
      <c r="A248" s="19" t="s">
        <v>124</v>
      </c>
    </row>
    <row r="249" spans="1:1" ht="20.100000000000001" customHeight="1" x14ac:dyDescent="0.3">
      <c r="A249" s="19" t="s">
        <v>134</v>
      </c>
    </row>
    <row r="250" spans="1:1" ht="20.100000000000001" customHeight="1" x14ac:dyDescent="0.3">
      <c r="A250" s="19" t="s">
        <v>135</v>
      </c>
    </row>
    <row r="251" spans="1:1" ht="20.100000000000001" customHeight="1" x14ac:dyDescent="0.3">
      <c r="A251" s="21" t="s">
        <v>136</v>
      </c>
    </row>
    <row r="252" spans="1:1" ht="20.100000000000001" customHeight="1" x14ac:dyDescent="0.3">
      <c r="A252" s="22" t="s">
        <v>137</v>
      </c>
    </row>
    <row r="253" spans="1:1" ht="20.100000000000001" customHeight="1" x14ac:dyDescent="0.3">
      <c r="A253" s="19" t="s">
        <v>138</v>
      </c>
    </row>
    <row r="254" spans="1:1" ht="20.100000000000001" customHeight="1" x14ac:dyDescent="0.3">
      <c r="A254" s="19" t="s">
        <v>139</v>
      </c>
    </row>
    <row r="255" spans="1:1" ht="20.100000000000001" customHeight="1" x14ac:dyDescent="0.3">
      <c r="A255" s="23" t="s">
        <v>140</v>
      </c>
    </row>
    <row r="256" spans="1:1" ht="20.100000000000001" customHeight="1" x14ac:dyDescent="0.3">
      <c r="A256" s="23" t="s">
        <v>141</v>
      </c>
    </row>
    <row r="257" spans="1:1" ht="20.100000000000001" customHeight="1" x14ac:dyDescent="0.3">
      <c r="A257" s="24" t="s">
        <v>142</v>
      </c>
    </row>
    <row r="258" spans="1:1" ht="20.100000000000001" customHeight="1" x14ac:dyDescent="0.3">
      <c r="A258" s="19" t="s">
        <v>143</v>
      </c>
    </row>
    <row r="259" spans="1:1" ht="20.100000000000001" customHeight="1" x14ac:dyDescent="0.3">
      <c r="A259" s="24" t="s">
        <v>144</v>
      </c>
    </row>
    <row r="260" spans="1:1" ht="20.100000000000001" customHeight="1" x14ac:dyDescent="0.3">
      <c r="A260" s="19" t="s">
        <v>145</v>
      </c>
    </row>
    <row r="261" spans="1:1" ht="20.100000000000001" customHeight="1" x14ac:dyDescent="0.3">
      <c r="A261" s="24" t="s">
        <v>146</v>
      </c>
    </row>
    <row r="262" spans="1:1" ht="20.100000000000001" customHeight="1" x14ac:dyDescent="0.3">
      <c r="A262" s="19" t="s">
        <v>147</v>
      </c>
    </row>
    <row r="263" spans="1:1" ht="20.100000000000001" customHeight="1" x14ac:dyDescent="0.3">
      <c r="A263" s="19" t="s">
        <v>148</v>
      </c>
    </row>
    <row r="264" spans="1:1" ht="20.100000000000001" customHeight="1" x14ac:dyDescent="0.3">
      <c r="A264" s="24" t="s">
        <v>149</v>
      </c>
    </row>
    <row r="265" spans="1:1" ht="20.100000000000001" customHeight="1" x14ac:dyDescent="0.3">
      <c r="A265" s="24" t="s">
        <v>150</v>
      </c>
    </row>
    <row r="266" spans="1:1" ht="20.100000000000001" customHeight="1" x14ac:dyDescent="0.3">
      <c r="A266" s="24" t="s">
        <v>151</v>
      </c>
    </row>
    <row r="267" spans="1:1" ht="20.100000000000001" customHeight="1" x14ac:dyDescent="0.3">
      <c r="A267" s="19" t="s">
        <v>152</v>
      </c>
    </row>
    <row r="268" spans="1:1" ht="20.100000000000001" customHeight="1" x14ac:dyDescent="0.3">
      <c r="A268" s="19" t="s">
        <v>153</v>
      </c>
    </row>
    <row r="269" spans="1:1" ht="20.100000000000001" customHeight="1" x14ac:dyDescent="0.3">
      <c r="A269" s="19" t="s">
        <v>154</v>
      </c>
    </row>
    <row r="270" spans="1:1" ht="20.100000000000001" customHeight="1" x14ac:dyDescent="0.3">
      <c r="A270" s="19" t="s">
        <v>155</v>
      </c>
    </row>
    <row r="271" spans="1:1" ht="20.100000000000001" customHeight="1" x14ac:dyDescent="0.3">
      <c r="A271" s="24" t="s">
        <v>156</v>
      </c>
    </row>
    <row r="272" spans="1:1" ht="20.100000000000001" customHeight="1" x14ac:dyDescent="0.3">
      <c r="A272" s="24" t="s">
        <v>157</v>
      </c>
    </row>
    <row r="273" spans="1:1" ht="20.100000000000001" customHeight="1" x14ac:dyDescent="0.3">
      <c r="A273" s="19" t="s">
        <v>158</v>
      </c>
    </row>
    <row r="274" spans="1:1" ht="20.100000000000001" customHeight="1" x14ac:dyDescent="0.3">
      <c r="A274" s="24" t="s">
        <v>159</v>
      </c>
    </row>
    <row r="275" spans="1:1" ht="20.100000000000001" customHeight="1" x14ac:dyDescent="0.3">
      <c r="A275" s="24" t="s">
        <v>160</v>
      </c>
    </row>
    <row r="276" spans="1:1" ht="20.100000000000001" customHeight="1" x14ac:dyDescent="0.3">
      <c r="A276" s="19" t="s">
        <v>161</v>
      </c>
    </row>
    <row r="277" spans="1:1" ht="20.100000000000001" customHeight="1" x14ac:dyDescent="0.3">
      <c r="A277" s="19" t="s">
        <v>162</v>
      </c>
    </row>
    <row r="278" spans="1:1" ht="20.100000000000001" customHeight="1" x14ac:dyDescent="0.3">
      <c r="A278" s="24" t="s">
        <v>163</v>
      </c>
    </row>
    <row r="279" spans="1:1" ht="20.100000000000001" customHeight="1" x14ac:dyDescent="0.3">
      <c r="A279" s="19" t="s">
        <v>164</v>
      </c>
    </row>
    <row r="280" spans="1:1" ht="20.100000000000001" customHeight="1" x14ac:dyDescent="0.3">
      <c r="A280" s="19" t="s">
        <v>165</v>
      </c>
    </row>
    <row r="281" spans="1:1" ht="20.100000000000001" customHeight="1" x14ac:dyDescent="0.3">
      <c r="A281" s="19" t="s">
        <v>166</v>
      </c>
    </row>
    <row r="282" spans="1:1" ht="20.100000000000001" customHeight="1" x14ac:dyDescent="0.3">
      <c r="A282" s="19" t="s">
        <v>167</v>
      </c>
    </row>
    <row r="283" spans="1:1" ht="20.100000000000001" customHeight="1" x14ac:dyDescent="0.3">
      <c r="A283" s="24" t="s">
        <v>168</v>
      </c>
    </row>
    <row r="284" spans="1:1" ht="20.100000000000001" customHeight="1" x14ac:dyDescent="0.3">
      <c r="A284" s="24" t="s">
        <v>169</v>
      </c>
    </row>
    <row r="285" spans="1:1" ht="20.100000000000001" customHeight="1" x14ac:dyDescent="0.3">
      <c r="A285" s="24" t="s">
        <v>170</v>
      </c>
    </row>
    <row r="286" spans="1:1" ht="20.100000000000001" customHeight="1" thickBot="1" x14ac:dyDescent="0.35">
      <c r="A286" s="19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2025-10-23T19:28:59Z</dcterms:modified>
</cp:coreProperties>
</file>