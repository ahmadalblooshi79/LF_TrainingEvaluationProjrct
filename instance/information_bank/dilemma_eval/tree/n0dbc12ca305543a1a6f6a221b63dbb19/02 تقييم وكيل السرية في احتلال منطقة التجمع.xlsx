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3773037A-8377-433E-872B-A79BB304E59E}"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s="1"/>
  <c r="G10" i="2"/>
  <c r="H10" i="2"/>
  <c r="G11" i="2"/>
  <c r="H11" i="2"/>
  <c r="G12" i="2"/>
  <c r="H12" i="2"/>
  <c r="G13" i="2"/>
  <c r="H13" i="2"/>
  <c r="G14" i="2"/>
  <c r="H14" i="2" s="1"/>
  <c r="G15" i="2"/>
  <c r="H15" i="2"/>
  <c r="G16" i="2"/>
  <c r="H16" i="2"/>
  <c r="G17" i="2"/>
  <c r="H17" i="2" s="1"/>
  <c r="G19" i="2"/>
  <c r="H19" i="2"/>
  <c r="G20" i="2"/>
  <c r="H20" i="2"/>
  <c r="G21" i="2"/>
  <c r="H21" i="2"/>
  <c r="G22" i="2"/>
  <c r="H22" i="2"/>
  <c r="G23" i="2"/>
  <c r="H23" i="2"/>
  <c r="G25" i="2"/>
  <c r="H25" i="2" s="1"/>
  <c r="G26" i="2"/>
  <c r="H26" i="2"/>
  <c r="G27" i="2"/>
  <c r="H27" i="2"/>
  <c r="G28" i="2"/>
  <c r="H28" i="2"/>
  <c r="G29" i="2"/>
  <c r="H29" i="2" s="1"/>
  <c r="G30" i="2"/>
  <c r="H30" i="2"/>
  <c r="G31" i="2"/>
  <c r="H31" i="2" s="1"/>
  <c r="G32" i="2"/>
  <c r="H32" i="2"/>
  <c r="G33" i="2"/>
  <c r="H33" i="2" s="1"/>
  <c r="G34" i="2"/>
  <c r="H34" i="2" s="1"/>
  <c r="G35" i="2"/>
  <c r="H35" i="2" s="1"/>
  <c r="F36" i="2"/>
  <c r="E37" i="2" s="1"/>
  <c r="E38" i="2" s="1"/>
  <c r="E36" i="2"/>
</calcChain>
</file>

<file path=xl/sharedStrings.xml><?xml version="1.0" encoding="utf-8"?>
<sst xmlns="http://schemas.openxmlformats.org/spreadsheetml/2006/main" count="265" uniqueCount="210">
  <si>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</si>
  <si>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</si>
  <si>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</si>
  <si>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</si>
  <si>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</si>
  <si>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</si>
  <si>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</si>
  <si>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</si>
  <si>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</si>
  <si>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</si>
  <si>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</si>
  <si>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</si>
  <si>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</si>
  <si>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</si>
  <si>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</si>
  <si>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</si>
  <si>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</si>
  <si>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</si>
  <si>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</si>
  <si>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</si>
  <si>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</si>
  <si>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</si>
  <si>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</si>
  <si>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</si>
  <si>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</si>
  <si>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</si>
  <si>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</si>
  <si>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</si>
  <si>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</si>
  <si>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</si>
  <si>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</si>
  <si>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</si>
  <si>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</si>
  <si>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</si>
  <si>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</si>
  <si>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</si>
  <si>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</si>
  <si>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</si>
  <si>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</si>
  <si>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</si>
  <si>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</si>
  <si>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</si>
  <si>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</si>
  <si>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</si>
  <si>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</si>
  <si>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</si>
  <si>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</si>
  <si>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</si>
  <si>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</si>
  <si>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</si>
  <si>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</si>
  <si>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</si>
  <si>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</si>
  <si>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</si>
  <si>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</si>
  <si>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</si>
  <si>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</si>
  <si>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</si>
  <si>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</si>
  <si>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</si>
  <si>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</si>
  <si>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</si>
  <si>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</si>
  <si>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</si>
  <si>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</si>
  <si>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</si>
  <si>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</si>
  <si>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</si>
  <si>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</si>
  <si>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</si>
  <si>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</si>
  <si>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</si>
  <si>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</si>
  <si>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</si>
  <si>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</si>
  <si>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</si>
  <si>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</si>
  <si>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</si>
  <si>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</si>
  <si>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</si>
  <si>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</si>
  <si>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</si>
  <si>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</si>
  <si>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</si>
  <si>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</si>
  <si>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</si>
  <si>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</si>
  <si>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</si>
  <si>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</si>
  <si>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</si>
  <si>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</si>
  <si>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</si>
  <si>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</si>
  <si>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</si>
  <si>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</si>
  <si>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</si>
  <si>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</si>
  <si>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</si>
  <si>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</si>
  <si>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</si>
  <si>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</si>
  <si>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</si>
  <si>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</si>
  <si>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</si>
  <si>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</si>
  <si>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</si>
  <si>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</si>
  <si>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</si>
  <si>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</si>
  <si>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</si>
  <si>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</si>
  <si>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</si>
  <si>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</si>
  <si>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</si>
  <si>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</si>
  <si>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</si>
  <si>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</si>
  <si>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</si>
  <si>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</si>
  <si>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</si>
  <si>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</si>
  <si>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</si>
  <si>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</si>
  <si>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</si>
  <si>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</si>
  <si>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</si>
  <si>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</si>
  <si>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</si>
  <si>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</si>
  <si>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</si>
  <si>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</si>
  <si>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</si>
  <si>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</si>
  <si>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</si>
  <si>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</si>
  <si>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</si>
  <si>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</si>
  <si>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</si>
  <si>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</si>
  <si>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</si>
  <si>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</si>
  <si>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</si>
  <si>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</si>
  <si>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</si>
  <si>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</si>
  <si>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</si>
  <si>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</si>
  <si>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</si>
  <si>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</si>
  <si>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</si>
  <si>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</si>
  <si>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</si>
  <si>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</si>
  <si>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</si>
  <si>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</si>
  <si>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</si>
  <si>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</si>
  <si>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</si>
  <si>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</si>
  <si>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</si>
  <si>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</si>
  <si>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</si>
  <si>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</si>
  <si>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</si>
  <si>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</si>
  <si>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</si>
  <si>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</si>
  <si>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</si>
  <si>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</si>
  <si>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</si>
  <si>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</si>
  <si>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</si>
  <si>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</si>
  <si>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</si>
  <si>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</si>
  <si>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</si>
  <si>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</si>
  <si>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</si>
  <si>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</si>
  <si>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</si>
  <si>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احتلال منطقة التجمع</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</si>
  <si>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</si>
  <si>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</si>
  <si>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</si>
  <si>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</si>
  <si>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</si>
  <si>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</si>
  <si>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</si>
  <si>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</si>
  <si>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</si>
  <si>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</si>
  <si>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</si>
  <si>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</si>
  <si>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</si>
  <si>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</si>
  <si>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</si>
  <si>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</si>
  <si>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</si>
  <si>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</si>
  <si>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</si>
  <si>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</si>
  <si>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</si>
  <si>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</si>
  <si>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</si>
  <si>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</si>
  <si>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</si>
  <si>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</si>
  <si>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</si>
  <si>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</si>
  <si>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t>وكيل/ راشد حميد راشد المرشدي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</si>
</sst>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306659</xdr:colOff>
      <xdr:row>39</xdr:row>
      <xdr:rowOff>222087</xdr:rowOff>
    </xdr:from>
    <xdr:to>
      <xdr:col>7</xdr:col>
      <xdr:colOff>305207</xdr:colOff>
      <xdr:row>39</xdr:row>
      <xdr:rowOff>482367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2A0F591-C87D-8315-A3CA-BB8B36FAFD95}"/>
                </a:ext>
              </a:extLst>
            </xdr14:cNvPr>
            <xdr14:cNvContentPartPr/>
          </xdr14:nvContentPartPr>
          <xdr14:nvPr macro=""/>
          <xdr14:xfrm>
            <a:off x="10399597793" y="17055360"/>
            <a:ext cx="656640" cy="260280"/>
          </xdr14:xfrm>
        </xdr:contentPart>
      </mc:Choice>
      <mc:Fallback xmlns="">
        <xdr:pic>
          <xdr:nvPicPr>
            <xdr:cNvPr id="2" name="Ink 1">
              <a:extLst>
                <a:ext uri="{FF2B5EF4-FFF2-40B4-BE49-F238E27FC236}">
                  <a16:creationId xmlns:a16="http://schemas.microsoft.com/office/drawing/2014/main" id="{72A0F591-C87D-8315-A3CA-BB8B36FAFD95}"/>
                </a:ext>
              </a:extLst>
            </xdr:cNvPr>
            <xdr:cNvPicPr/>
          </xdr:nvPicPr>
          <xdr:blipFill>
            <a:blip xmlns:r="http://schemas.openxmlformats.org/officeDocument/2006/relationships" r:embed="rId2"/>
            <a:stretch>
              <a:fillRect/>
            </a:stretch>
          </xdr:blipFill>
          <xdr:spPr>
            <a:xfrm>
              <a:off x="10399591673" y="17049240"/>
              <a:ext cx="668880" cy="272520"/>
            </a:xfrm>
            <a:prstGeom prst="rect">
              <a:avLst/>
            </a:prstGeom>
          </xdr:spPr>
        </xdr:pic>
      </mc:Fallback>
    </mc:AlternateContent>
    <xdr:clientData/>
  </xdr:twoCellAnchor>
  <xdr:twoCellAnchor editAs="oneCell">
    <xdr:from>
      <xdr:col>7</xdr:col>
      <xdr:colOff>138527</xdr:colOff>
      <xdr:row>39</xdr:row>
      <xdr:rowOff>10047</xdr:rowOff>
    </xdr:from>
    <xdr:to>
      <xdr:col>9</xdr:col>
      <xdr:colOff>441265</xdr:colOff>
      <xdr:row>39</xdr:row>
      <xdr:rowOff>610527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5D6D0284-C734-5B17-BB8B-B5CA3C2A3842}"/>
                </a:ext>
              </a:extLst>
            </xdr14:cNvPr>
            <xdr14:cNvContentPartPr/>
          </xdr14:nvContentPartPr>
          <xdr14:nvPr macro=""/>
          <xdr14:xfrm>
            <a:off x="10398145553" y="16843320"/>
            <a:ext cx="1618920" cy="600480"/>
          </xdr14:xfrm>
        </xdr:contentPart>
      </mc:Choice>
      <mc:Fallback xmlns="">
        <xdr:pic>
          <xdr:nvPicPr>
            <xdr:cNvPr id="3" name="Ink 2">
              <a:extLst>
                <a:ext uri="{FF2B5EF4-FFF2-40B4-BE49-F238E27FC236}">
                  <a16:creationId xmlns:a16="http://schemas.microsoft.com/office/drawing/2014/main" id="{5D6D0284-C734-5B17-BB8B-B5CA3C2A3842}"/>
                </a:ext>
              </a:extLst>
            </xdr:cNvPr>
            <xdr:cNvPicPr/>
          </xdr:nvPicPr>
          <xdr:blipFill>
            <a:blip xmlns:r="http://schemas.openxmlformats.org/officeDocument/2006/relationships" r:embed="rId4"/>
            <a:stretch>
              <a:fillRect/>
            </a:stretch>
          </xdr:blipFill>
          <xdr:spPr>
            <a:xfrm>
              <a:off x="10398139433" y="16837200"/>
              <a:ext cx="1631160" cy="6127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7:55:32.730"/>
    </inkml:context>
    <inkml:brush xml:id="br0">
      <inkml:brushProperty name="width" value="0.035" units="cm"/>
      <inkml:brushProperty name="height" value="0.035" units="cm"/>
    </inkml:brush>
  </inkml:definitions>
  <inkml:trace contextRef="#ctx0" brushRef="#br0">1754 254 16,'0'0'0,"0"0"48,0 3 48,1-3 88,-1 0-184,7 0 400,-2-2 248,-5-2 64,3 3-56,-3 1-656,0-2 344,0 1-288,0-1-72,-3 2-56,3 0 72,-2-1-40,-9 0 16,6 1 8,0-2 32,5 2-16,-12-1 0,7-1 0,-11 1 16,4 0 16,12 1-32,-13-2 80,-1-1 32,-7 0 16,2-1 72,19 4-200,-23-3 240,2 0 48,-3-1 32,-2 1-72,26 3-248,-23-4 193,-4 0-65,-2 0-24,1-1 24,28 5-128,-28-4 80,-2-2-16,4-5 8,1 7-32,25 4-40,-24-6 56,1-7-8,2 10-40,9-2 24,12 5-32,-12-6 88,8-5 152,-1 8 144,3-1-16,2 4-368,0-12 440,2 8-56,9-2-104,6-5-40,-17 11-240,16-4 112,11-2-56,-4-5-56,7 8 16,-30 3-16,28-6 8,0-5-8,-1 8 16,2-1-16,-29 4 0,21-12 32,0 11-16,3-4-8,-6 0-16,-18 5 8,17-4-40,1 1 40,-2 0 8,-4 1-56,-12 2 48,17-1-24,-4 1 8,-1 0-40,-7 0 48,-5 0 8,11 3-16,-6 0-32,7 1-24,-12 0 32,0-4 40,5 12-72,-3-10 32,2 13 8,-2-4 16,-2-11 16,0 11 16,0 4-16,0 0-16,0 4 24,0-19-8,-2 20 16,-2 1-24,-1 3 88,0 2-72,5-26-8,-9 28 8,4 2 32,0 0-16,-8 1 16,13-31-40,-5 31 8,-10 1 56,4-1-24,-3-3 48,14-28-88,-16 26 112,-5-2 0,-3-1 48,1-5 24,23-18-184,-32 20 208,-6-4-24,-2-1 8,-4 0-47,44-15-145,-44 12 112,-1-7-104,2 12 24,-7-13-64,50-4 32,-48 16-40,-2-12 64,2 10-80,-2-11 0,50-3 56,-48 11-177,0-8-135,-1 9-80,0-12-32,49 0 424,-49 4-448,3 0-32,-1 0-88,3-1-72,44-3 640,-50 3-648,0-3-129,-10 0-511,2 0-48,58 0 1336,-63-3-1040,3-8 416,-3-2 416,-2-3 136,65 16 72,-66-19-40,-2-3 32,68 22 8</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7:55:35.772"/>
    </inkml:context>
    <inkml:brush xml:id="br0">
      <inkml:brushProperty name="width" value="0.035" units="cm"/>
      <inkml:brushProperty name="height" value="0.035" units="cm"/>
    </inkml:brush>
  </inkml:definitions>
  <inkml:trace contextRef="#ctx0" brushRef="#br0">3948 610 40,'0'0'0,"4"0"312,-4 0-312,2 0 832,0-2 568,3-10 496,0 7-799,-5 5-1097,5-4 520,-1 0-224,1-2-104,5 0-40,-10 6-152,2-5 32,9-1-24,-6 0 0,14-5-24,-19 11 16,14-4 112,5-8 48,-4 7 160,3-9 232,-18 14-552,17-12 584,1-2 232,-1 0-71,0-2-145,-17 16-600,18-16 728,3 2-208,-5-1-72,6 0-240,-22 15-208,13-15 192,2-1-136,4-1-24,-6 0 88,-13 17-120,15-18-64,-1-2 48,-5-2 32,3-2 64,-12 24-80,5-24 48,7 0-96,-10 1 8,1 0-136,-3 23 176,11-22 16,-11 0 40,4 2-96,-1 2 128,-3 18-88,0-16-32,2 3 40,-2 2 96,0 5-96,0 6-8,0-11 96,0 8-88,0 0 0,0 2 24,0 1-32,0-2-120,0 1 56,0 1-88,0 0 64,0 0 88,0 0-80,0 3-8,-2 0 48,-1 0-64,3-3 104,-7 4-56,5 0 48,-3 0-40,1 8 0,4-12 48,-2 3 16,-5 8-48,-5-8-32,9 8 40,3-11 24,-12 3-56,8 8 80,-10-6 56,9 12-80,5-17 0,-5 11-16,-4 2-32,6 0 8,-2 2 80,5-15-40,-3 16 32,-2 0-40,2 2-32,1 1 32,2-19 8,0 19 0,0 3 8,0 1-16,0-2 24,0-21-16,0 24-32,0-1-16,0 1 136,2 1-144,-2-25 56,5 26 32,-2 0 64,-1-1-128,-1 1 96,-1-26-64,0 24-16,5 0-40,0-1 40,-3 1 24,-2-24-8,3 23 24,-1 0 48,-2-2-64,0 3-32,0-24 24,0 23-56,0 0 24,0-2 48,0-1-32,0-20 16,0 18 56,-2 1-16,-3-4-104,3 2 216,2-17-152,-5 15-64,1-3 96,-1 1 16,0-1-112,5-12 64,-4 11-24,-6-7-24,5 12 80,-6-12 32,11-4-64,-14 14 64,-1-9-40,2 7 16,-4-7-96,17-5 56,-17 11 80,-1-8-56,-1 1-40,-2 8 88,21-12-72,-19 0-56,-2 4 40,-3-1-24,3 1 40,21-4 0,-24 3 0,1 0-32,-1 1 120,1-1-64,23-3-24,-23 3 32,-6-1 96,4 3-104,1-3-32,24-2 8,-31 3 0,4 0-40,-6 0-16,2-3 24,31 0 32,-31 3 0,1-3-32,-1 0 56,1 0-32,30 0 8,-31 0 80,3 0-64,-3 0-8,8 0-8,23 0 0,-25 0-80,1 0 16,3 0 80,4 0 16,17 0-32,-9 0-8,-3 0 64,0 0-64,8 3-24,4-3 32,-17 0 32,14 0-24,-3 0-40,4 0 104,2 0-72,0 0 48,-3 0-48,1 0 32,2 0 16,0 0-48,0 0 48,0 0 16,0 0 56,0 0-32,0 0-408,0-2 752,0 1-328,5-3-40,-5-1-64,0 5 0,2-4-24,4 0 32,-3-2 8,2 0 32,-5 6-48,2-5-24,3-7 72,-3 8-8,3-2-56,-5 6 16,5-11 72,-5 7-56,5-8 24,-3 8 0,-2 4-40,4-6 16,-4-5 0,5 7-72,-3-2 48,-2 6 8,0-11 0,3 6 64,-1 0-64,3-7 48,-5 12-48,5-2 72,-3-4-88,0 0 64,1 1-120,-3 5 72,5-6-72,-3 2 48,0-1 88,0 2-104,-2 3 40,0-1-8,2 0-24,-2-2-40,0 1 80,0 2-8,0-1-32,0 1-8,0 0 8,0 0 32,5 0-80,-5 0-48,0 0 0,0 0-32,0 0 160,-2 0-8,-1 0 16,-1 3-40,2 1 64,2-4-32,-7 4-112,2 1 24,-9 6 72,9-8 24,5-3-8,-14 4 32,2 7-24,-2-8-40,3 9-16,11-12 48,-12 2-48,0 3 16,0 8-16,1-11 48,11-2 0,-12 12-8,-3-9-8,2 1 16,-4 7 0,3-8-16,-2 1-16,-1 1 40,1-1-16,-1 0 16,3 0-16,3-1 16,6 0-48,5-3 40,-17 0 0,12 0 24,-7 0-24,11 0 32,1 0-32,-5 0 40,5-1 16,-5-2 16,5-1-8,0 4-64,0-6 72,0-5-8,5 6-16,0-8 0,-5 13-48,1-5 24,11-9-8,-7 9 8,10-8 16,-15 13-40,4-5 16,7-8 8,-11 9-24,5-8-8,-5 12 8,12-2 0,-9-3 8,1 1-8,-1 0-8,-3 4 8,7-5-16,-5 3 0,-2 0-24,4 1 40,-4 1 0,7-2-40,-7 1-16,0 1-8,0 0-48,0 0 112,0 0-80,0 0-8,0 0 24,0 3-16,0-3 80,0 4-48,0 0 8,0 8 16,0-9 24,0-3 0,-7 11-24,3-8 8,2 10 24,-5-9-40,7-4 32,-10 14-16,5-10-8,-9 12 16,3-12 0,11-4 8,-12 16-16,-3-5 0,0-7-24,0 12 8,15-16 32,-23 4-24,-1 12-8,-1-12 32,-6 9 24,31-13-24,-33 4 32,0 8-16,-7-9 16,0 8-8,40-11-24,-42 3 0,-8 1 16,-1 7-16,-12-8-32,63-3 32,-64 5 16,-4-1 16,-5 7 8,1-8-24,72-3-16,-79 4-24,-3 8 8,-5-10 16,1 3 0,86-5 0,-89 13 0,-5-11-24,-5 3 32,-2-1-8,101-4 0,-109 4 8,4 0 24,-6-1-88,1-3 24,110 0 32,-103 0 0,-3 0-88,5-3 64,52 1 64,49 2-40,-59-5 24,-2 1 32,-7-2-8,0 1-72,68 5 24,-73-13-32,2 9 8,-6-8-40,12 7-16,65 5 80,-64-12-88,12 8 32,6-7 48,9 8 16,37 3-8,-30-5 32,12 1 64,4-2-40,9 2 16,5 4-72,0-5 48,5-7-72,20 8 48,1-7 16,-26 11-40,40-5 72,11-9-32,11 3 32,8-1-24,-70 12-48,94-14-80,78-10 40,-3 3 0,-17 1-8,-152 20 48,130-16 112,6-1-56,12 0-104,15-2-112,-163 19 160,166-18-248,7 0-64,6-1 72,7-1-16,-186 20 256,190-20-128,1-1 80,1 1 0,0 2 104,-192 18-56,189-18 48,-8 6 88,-14 0 232,-22 7 144,-145 5-512,124-12 632,-17 9-32,-21 1-264,-18 0-128,-68 2-208,58-1 16,-13 1-32,-7 3-40,-10-1-16,-28-2 72,19 5-224,-14-2-232,-1-1-112,-4 1 0,0-3 568,-14 3-432,-7 0 232,-11-3 152,-16 0 8,48 0 40,-61 0 64,-14-2 24,-12 1-16,-7-2 32,94 3-104,-110-3 88,-8 2 8,-13 1 64,-14 0-40,145 0-120,-154 0 128,-8 4-40,-2 0-32,2 12-56,162-16 0,-160 4 16,-2 13-8,7-4-8,-2 3-8,157-16 8,-158 15-32,5 1-8,3 1-24,0 0 8,150-17 56,-144 19-88,10-1 40,7 1 24,15 1-32,112-20 56,-54 4 40,-12 11-24,5-3-16,-5-1 48,66-11-48,-64 12-64,2 0 8,7-7 16,-3 12 48,58-17-8,-42 4-40,13 9 88,11-10 64,15-1 48,3-2-160,12 5 184,16-2-16,19-3-40,28 0-200,-75 0 72,150 0-16,17-5-32,-6-9 8,-28 8 88,-133 6-48,141-14-8,11 3-152,15-1-152,-5 1-160,-162 11 472,172-13-704,-1-1-144,3-2-289,0 1-95,-174 15 1232,169-16-1104,-7 1 280,-2 0 360,-14 3 280,-146 12 184,134-13 16,-17 7 168,-21-10 96,-18 11 40,-78 5-320,61-15 304,-19 11-88,-16-7-80,-12 8-8,-14 3-128,5-4-128,-7-2-144,-15 0-40,-14-5-24,31 11 336,-49-4-136,-14-10 168,-19 2 120,-17-1 168,99 13-320,-118-12 480,-11-1 96,-10 1 48,-6 1 32,145 11-656,-152-6 736,-6-6-15,-4 7-41,0 1-64,162 4-616,-157-4 376,-1-1-168,10 3-72,3 0-80,145 2-56,-139-1 32,12-1 24,12 2 8,11 0-72,104 0 8,-87 3 72,15 0 72,39 0 120,-4 0 48,37-3-312,-32 3 272,0-1-88,6 3-160,0-1 0,26-4-24,-16 3 0,-1 1 48,12-1 16,0 0 112,5-3-176,5 3 152,22-3-152,28 0-104,14 0-160,-69 0 264,82-5-344,-12-6 64,5 0 56,3-2 48,-78 13 176,84-14-120,3-2 0,8-3-96,4 0-264,-99 19 480,98-22-760,6-1-473,1 2-127,-1-2 280,-104 23 1080,101-24-768,-10 2 528,-11-1 368,-9 1 80,-71 22-208,55-21 256,-5 1-72,-13 2-80,-12 5 16,-25 13-120,23-11 104,-21 6 80,10 1-8,-12 1-216,0 3 40,-2-1-136,-1-1-96,-18 2-8,-2 0 192,23 0 48,-28 0 8,-7 0 48,-2 5 112,-2 9 8,39-14-176,-38 11 224,1 5-16,-3 4 48,0 3-8,40-23-248,-35 25 288,4 5 72,3 5-16,9 5 0,19-40-344,-16 46 353,4 2 23,9 2-96,2 0 16,1-50-296,4 55 192,10 2-120,10 4 8,1 4-96,-25-65 16,31 66 8,1 2-40,2 0-112,1 3-144,-35-71 288,40 74-432,-5-1-120,0-4-177,-7-5-359,-28-64 1088,24 59-2200,4-8-241,-2-4 729,-2-7 768,-24-40 944,23 34-264,-9-10 200,-2-9 48,-12-15 16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topLeftCell="A32" zoomScale="130" zoomScaleNormal="100" zoomScaleSheetLayoutView="130" workbookViewId="0">
      <selection activeCell="F33" sqref="F33"/>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180</v>
      </c>
      <c r="C1" s="66"/>
      <c r="D1" s="66"/>
      <c r="E1" s="66"/>
      <c r="F1" s="66"/>
      <c r="G1" s="66"/>
      <c r="H1" s="66"/>
      <c r="I1" s="66"/>
      <c r="J1" s="66"/>
    </row>
    <row r="2" spans="1:10" ht="30" customHeight="1" x14ac:dyDescent="0.3">
      <c r="B2" s="13" t="s">
        <v>178</v>
      </c>
      <c r="C2" s="72" t="s">
        <v>39</v>
      </c>
      <c r="D2" s="72"/>
      <c r="E2" s="13" t="s">
        <v>7</v>
      </c>
      <c r="F2" s="67">
        <v>45945</v>
      </c>
      <c r="G2" s="67"/>
      <c r="H2" s="67"/>
      <c r="I2" s="67"/>
      <c r="J2" s="67"/>
    </row>
    <row r="3" spans="1:10" ht="30" customHeight="1" x14ac:dyDescent="0.3">
      <c r="B3" s="13" t="s">
        <v>179</v>
      </c>
      <c r="C3" s="72" t="s">
        <v>209</v>
      </c>
      <c r="D3" s="72"/>
      <c r="E3" s="13" t="s">
        <v>6</v>
      </c>
      <c r="F3" s="72" t="s">
        <v>160</v>
      </c>
      <c r="G3" s="72"/>
      <c r="H3" s="72"/>
      <c r="I3" s="72"/>
      <c r="J3" s="72"/>
    </row>
    <row r="4" spans="1:10" ht="30" customHeight="1" thickBot="1" x14ac:dyDescent="0.35">
      <c r="B4" s="6"/>
      <c r="C4" s="7"/>
      <c r="D4" s="7"/>
      <c r="E4" s="6"/>
      <c r="F4" s="7"/>
      <c r="G4" s="7"/>
      <c r="H4" s="8"/>
      <c r="I4" s="7"/>
      <c r="J4" s="7"/>
    </row>
    <row r="5" spans="1:10" ht="24.9" customHeight="1" x14ac:dyDescent="0.3">
      <c r="A5" s="11"/>
      <c r="B5" s="68" t="s">
        <v>0</v>
      </c>
      <c r="C5" s="69"/>
      <c r="D5" s="69"/>
      <c r="E5" s="77" t="s">
        <v>1</v>
      </c>
      <c r="F5" s="77"/>
      <c r="G5" s="77"/>
      <c r="H5" s="77"/>
      <c r="I5" s="77" t="s">
        <v>2</v>
      </c>
      <c r="J5" s="78"/>
    </row>
    <row r="6" spans="1:10" ht="24.9" customHeight="1" thickBot="1" x14ac:dyDescent="0.35">
      <c r="A6" s="11"/>
      <c r="B6" s="70"/>
      <c r="C6" s="71"/>
      <c r="D6" s="71"/>
      <c r="E6" s="12" t="s">
        <v>3</v>
      </c>
      <c r="F6" s="12" t="s">
        <v>4</v>
      </c>
      <c r="G6" s="12" t="s">
        <v>21</v>
      </c>
      <c r="H6" s="12" t="s">
        <v>22</v>
      </c>
      <c r="I6" s="79"/>
      <c r="J6" s="80"/>
    </row>
    <row r="7" spans="1:10" ht="24.9" customHeight="1" thickBot="1" x14ac:dyDescent="0.35">
      <c r="A7" s="11"/>
      <c r="B7" s="75" t="s">
        <v>19</v>
      </c>
      <c r="C7" s="76"/>
      <c r="D7" s="76"/>
      <c r="E7" s="30" t="s">
        <v>16</v>
      </c>
      <c r="F7" s="30" t="s">
        <v>17</v>
      </c>
      <c r="G7" s="30" t="s">
        <v>20</v>
      </c>
      <c r="H7" s="30" t="s">
        <v>18</v>
      </c>
      <c r="I7" s="86" t="s">
        <v>23</v>
      </c>
      <c r="J7" s="87"/>
    </row>
    <row r="8" spans="1:10" ht="30" customHeight="1" x14ac:dyDescent="0.3">
      <c r="A8" s="11"/>
      <c r="B8" s="42" t="s">
        <v>181</v>
      </c>
      <c r="C8" s="43"/>
      <c r="D8" s="43"/>
      <c r="E8" s="33"/>
      <c r="F8" s="34"/>
      <c r="G8" s="35"/>
      <c r="H8" s="36"/>
      <c r="I8" s="58"/>
      <c r="J8" s="59"/>
    </row>
    <row r="9" spans="1:10" ht="30" customHeight="1" x14ac:dyDescent="0.3">
      <c r="A9" s="11"/>
      <c r="B9" s="44" t="s">
        <v>182</v>
      </c>
      <c r="C9" s="45"/>
      <c r="D9" s="45"/>
      <c r="E9" s="9">
        <v>5</v>
      </c>
      <c r="F9" s="27">
        <v>3.75</v>
      </c>
      <c r="G9" s="31">
        <f>IFERROR(F9/E9,"")</f>
        <v>0.75</v>
      </c>
      <c r="H9" s="32" t="str">
        <f>_xlfn.IFS(F9="أدخل العلامة","",F9="لا ينطبق","تم الإلغاء",G9&gt;=90%,"ممتاز",G9&gt;=80%,"جيد جداً",G9&gt;=70%,"جيد",G9&gt;=60%,"مقبول",G9&lt;60%,"راسب")</f>
        <v>جيد</v>
      </c>
      <c r="I9" s="50"/>
      <c r="J9" s="51"/>
    </row>
    <row r="10" spans="1:10" ht="39.9" customHeight="1" x14ac:dyDescent="0.3">
      <c r="A10" s="11"/>
      <c r="B10" s="44" t="s">
        <v>183</v>
      </c>
      <c r="C10" s="45"/>
      <c r="D10" s="45"/>
      <c r="E10" s="9">
        <v>5</v>
      </c>
      <c r="F10" s="27">
        <v>4</v>
      </c>
      <c r="G10" s="31">
        <f t="shared" ref="G10:G35" si="0">IFERROR(F10/E10,"")</f>
        <v>0.8</v>
      </c>
      <c r="H10" s="32" t="str">
        <f t="shared" ref="H10:H35" si="1">_xlfn.IFS(F10="أدخل العلامة","",F10="لا ينطبق","تم الإلغاء",G10&gt;=90%,"ممتاز",G10&gt;=80%,"جيد جداً",G10&gt;=70%,"جيد",G10&gt;=60%,"مقبول",G10&lt;60%,"راسب")</f>
        <v>جيد جداً</v>
      </c>
      <c r="I10" s="50"/>
      <c r="J10" s="51"/>
    </row>
    <row r="11" spans="1:10" ht="65.25" customHeight="1" x14ac:dyDescent="0.3">
      <c r="A11" s="11"/>
      <c r="B11" s="44" t="s">
        <v>184</v>
      </c>
      <c r="C11" s="45"/>
      <c r="D11" s="45"/>
      <c r="E11" s="9">
        <v>5</v>
      </c>
      <c r="F11" s="27">
        <v>3.75</v>
      </c>
      <c r="G11" s="31">
        <f t="shared" si="0"/>
        <v>0.75</v>
      </c>
      <c r="H11" s="32" t="str">
        <f t="shared" si="1"/>
        <v>جيد</v>
      </c>
      <c r="I11" s="50"/>
      <c r="J11" s="51"/>
    </row>
    <row r="12" spans="1:10" ht="39.9" customHeight="1" x14ac:dyDescent="0.3">
      <c r="A12" s="11"/>
      <c r="B12" s="44" t="s">
        <v>185</v>
      </c>
      <c r="C12" s="45"/>
      <c r="D12" s="45"/>
      <c r="E12" s="9">
        <v>5</v>
      </c>
      <c r="F12" s="27">
        <v>3.75</v>
      </c>
      <c r="G12" s="31">
        <f t="shared" si="0"/>
        <v>0.75</v>
      </c>
      <c r="H12" s="32" t="str">
        <f t="shared" si="1"/>
        <v>جيد</v>
      </c>
      <c r="I12" s="50"/>
      <c r="J12" s="51"/>
    </row>
    <row r="13" spans="1:10" ht="58.5" customHeight="1" x14ac:dyDescent="0.3">
      <c r="A13" s="11"/>
      <c r="B13" s="44" t="s">
        <v>186</v>
      </c>
      <c r="C13" s="45"/>
      <c r="D13" s="45"/>
      <c r="E13" s="9">
        <v>5</v>
      </c>
      <c r="F13" s="27">
        <v>3.75</v>
      </c>
      <c r="G13" s="31">
        <f t="shared" si="0"/>
        <v>0.75</v>
      </c>
      <c r="H13" s="32" t="str">
        <f t="shared" si="1"/>
        <v>جيد</v>
      </c>
      <c r="I13" s="50"/>
      <c r="J13" s="51"/>
    </row>
    <row r="14" spans="1:10" ht="30" customHeight="1" x14ac:dyDescent="0.3">
      <c r="A14" s="11"/>
      <c r="B14" s="44" t="s">
        <v>187</v>
      </c>
      <c r="C14" s="45"/>
      <c r="D14" s="45"/>
      <c r="E14" s="9">
        <v>5</v>
      </c>
      <c r="F14" s="27">
        <v>3.5</v>
      </c>
      <c r="G14" s="31">
        <f t="shared" si="0"/>
        <v>0.7</v>
      </c>
      <c r="H14" s="32" t="str">
        <f t="shared" si="1"/>
        <v>جيد</v>
      </c>
      <c r="I14" s="50"/>
      <c r="J14" s="51"/>
    </row>
    <row r="15" spans="1:10" ht="30" customHeight="1" x14ac:dyDescent="0.3">
      <c r="A15" s="11"/>
      <c r="B15" s="44" t="s">
        <v>188</v>
      </c>
      <c r="C15" s="45"/>
      <c r="D15" s="45"/>
      <c r="E15" s="9">
        <v>5</v>
      </c>
      <c r="F15" s="27">
        <v>3.75</v>
      </c>
      <c r="G15" s="31">
        <f t="shared" si="0"/>
        <v>0.75</v>
      </c>
      <c r="H15" s="32" t="str">
        <f t="shared" si="1"/>
        <v>جيد</v>
      </c>
      <c r="I15" s="50"/>
      <c r="J15" s="51"/>
    </row>
    <row r="16" spans="1:10" ht="30" customHeight="1" thickBot="1" x14ac:dyDescent="0.35">
      <c r="A16" s="11"/>
      <c r="B16" s="46" t="s">
        <v>189</v>
      </c>
      <c r="C16" s="47"/>
      <c r="D16" s="47"/>
      <c r="E16" s="37">
        <v>5</v>
      </c>
      <c r="F16" s="29">
        <v>3.75</v>
      </c>
      <c r="G16" s="38">
        <f t="shared" si="0"/>
        <v>0.75</v>
      </c>
      <c r="H16" s="39" t="str">
        <f t="shared" si="1"/>
        <v>جيد</v>
      </c>
      <c r="I16" s="54"/>
      <c r="J16" s="55"/>
    </row>
    <row r="17" spans="1:10" ht="39.9" customHeight="1" thickBot="1" x14ac:dyDescent="0.35">
      <c r="A17" s="11"/>
      <c r="B17" s="48" t="s">
        <v>190</v>
      </c>
      <c r="C17" s="49"/>
      <c r="D17" s="49"/>
      <c r="E17" s="10">
        <v>5</v>
      </c>
      <c r="F17" s="40">
        <v>3.5</v>
      </c>
      <c r="G17" s="41">
        <f t="shared" si="0"/>
        <v>0.7</v>
      </c>
      <c r="H17" s="28" t="str">
        <f t="shared" si="1"/>
        <v>جيد</v>
      </c>
      <c r="I17" s="56"/>
      <c r="J17" s="57"/>
    </row>
    <row r="18" spans="1:10" ht="39.9" customHeight="1" x14ac:dyDescent="0.3">
      <c r="A18" s="11"/>
      <c r="B18" s="42" t="s">
        <v>191</v>
      </c>
      <c r="C18" s="43"/>
      <c r="D18" s="43"/>
      <c r="E18" s="33"/>
      <c r="F18" s="34"/>
      <c r="G18" s="35"/>
      <c r="H18" s="36"/>
      <c r="I18" s="58"/>
      <c r="J18" s="59"/>
    </row>
    <row r="19" spans="1:10" ht="30" customHeight="1" x14ac:dyDescent="0.3">
      <c r="A19" s="11"/>
      <c r="B19" s="44" t="s">
        <v>192</v>
      </c>
      <c r="C19" s="45"/>
      <c r="D19" s="45"/>
      <c r="E19" s="9">
        <v>5</v>
      </c>
      <c r="F19" s="27">
        <v>3.75</v>
      </c>
      <c r="G19" s="31">
        <f t="shared" si="0"/>
        <v>0.75</v>
      </c>
      <c r="H19" s="32" t="str">
        <f t="shared" si="1"/>
        <v>جيد</v>
      </c>
      <c r="I19" s="50"/>
      <c r="J19" s="51"/>
    </row>
    <row r="20" spans="1:10" ht="30" customHeight="1" x14ac:dyDescent="0.3">
      <c r="A20" s="11"/>
      <c r="B20" s="44" t="s">
        <v>193</v>
      </c>
      <c r="C20" s="45"/>
      <c r="D20" s="45"/>
      <c r="E20" s="9">
        <v>5</v>
      </c>
      <c r="F20" s="27">
        <v>3.5</v>
      </c>
      <c r="G20" s="31">
        <f t="shared" si="0"/>
        <v>0.7</v>
      </c>
      <c r="H20" s="32" t="str">
        <f t="shared" si="1"/>
        <v>جيد</v>
      </c>
      <c r="I20" s="50"/>
      <c r="J20" s="51"/>
    </row>
    <row r="21" spans="1:10" ht="30" customHeight="1" x14ac:dyDescent="0.3">
      <c r="A21" s="11"/>
      <c r="B21" s="44" t="s">
        <v>194</v>
      </c>
      <c r="C21" s="45"/>
      <c r="D21" s="45"/>
      <c r="E21" s="9">
        <v>5</v>
      </c>
      <c r="F21" s="27">
        <v>3.75</v>
      </c>
      <c r="G21" s="31">
        <f t="shared" si="0"/>
        <v>0.75</v>
      </c>
      <c r="H21" s="32" t="str">
        <f t="shared" si="1"/>
        <v>جيد</v>
      </c>
      <c r="I21" s="50"/>
      <c r="J21" s="51"/>
    </row>
    <row r="22" spans="1:10" ht="39.9" customHeight="1" thickBot="1" x14ac:dyDescent="0.35">
      <c r="A22" s="11"/>
      <c r="B22" s="46" t="s">
        <v>195</v>
      </c>
      <c r="C22" s="47"/>
      <c r="D22" s="47"/>
      <c r="E22" s="37">
        <v>5</v>
      </c>
      <c r="F22" s="29">
        <v>4</v>
      </c>
      <c r="G22" s="38">
        <f t="shared" si="0"/>
        <v>0.8</v>
      </c>
      <c r="H22" s="39" t="str">
        <f t="shared" si="1"/>
        <v>جيد جداً</v>
      </c>
      <c r="I22" s="54"/>
      <c r="J22" s="55"/>
    </row>
    <row r="23" spans="1:10" ht="39.9" customHeight="1" thickBot="1" x14ac:dyDescent="0.35">
      <c r="A23" s="11"/>
      <c r="B23" s="48" t="s">
        <v>196</v>
      </c>
      <c r="C23" s="49"/>
      <c r="D23" s="49"/>
      <c r="E23" s="10">
        <v>5</v>
      </c>
      <c r="F23" s="40">
        <v>3.75</v>
      </c>
      <c r="G23" s="41">
        <f t="shared" si="0"/>
        <v>0.75</v>
      </c>
      <c r="H23" s="28" t="str">
        <f t="shared" si="1"/>
        <v>جيد</v>
      </c>
      <c r="I23" s="56"/>
      <c r="J23" s="57"/>
    </row>
    <row r="24" spans="1:10" ht="30" customHeight="1" x14ac:dyDescent="0.3">
      <c r="A24" s="11"/>
      <c r="B24" s="42" t="s">
        <v>197</v>
      </c>
      <c r="C24" s="43"/>
      <c r="D24" s="43"/>
      <c r="E24" s="33"/>
      <c r="F24" s="34"/>
      <c r="G24" s="35"/>
      <c r="H24" s="36"/>
      <c r="I24" s="58"/>
      <c r="J24" s="59"/>
    </row>
    <row r="25" spans="1:10" ht="30" customHeight="1" x14ac:dyDescent="0.3">
      <c r="A25" s="11"/>
      <c r="B25" s="44" t="s">
        <v>198</v>
      </c>
      <c r="C25" s="45"/>
      <c r="D25" s="45"/>
      <c r="E25" s="9">
        <v>5</v>
      </c>
      <c r="F25" s="27">
        <v>3.75</v>
      </c>
      <c r="G25" s="31">
        <f t="shared" si="0"/>
        <v>0.75</v>
      </c>
      <c r="H25" s="32" t="str">
        <f t="shared" si="1"/>
        <v>جيد</v>
      </c>
      <c r="I25" s="50"/>
      <c r="J25" s="51"/>
    </row>
    <row r="26" spans="1:10" ht="30" customHeight="1" x14ac:dyDescent="0.3">
      <c r="A26" s="11"/>
      <c r="B26" s="44" t="s">
        <v>199</v>
      </c>
      <c r="C26" s="45"/>
      <c r="D26" s="45"/>
      <c r="E26" s="9">
        <v>5</v>
      </c>
      <c r="F26" s="27">
        <v>4</v>
      </c>
      <c r="G26" s="31">
        <f t="shared" si="0"/>
        <v>0.8</v>
      </c>
      <c r="H26" s="32" t="str">
        <f t="shared" si="1"/>
        <v>جيد جداً</v>
      </c>
      <c r="I26" s="50"/>
      <c r="J26" s="51"/>
    </row>
    <row r="27" spans="1:10" ht="39.9" customHeight="1" x14ac:dyDescent="0.3">
      <c r="A27" s="11"/>
      <c r="B27" s="44" t="s">
        <v>200</v>
      </c>
      <c r="C27" s="45"/>
      <c r="D27" s="45"/>
      <c r="E27" s="9">
        <v>5</v>
      </c>
      <c r="F27" s="27">
        <v>3.75</v>
      </c>
      <c r="G27" s="31">
        <f t="shared" si="0"/>
        <v>0.75</v>
      </c>
      <c r="H27" s="32" t="str">
        <f t="shared" si="1"/>
        <v>جيد</v>
      </c>
      <c r="I27" s="50"/>
      <c r="J27" s="51"/>
    </row>
    <row r="28" spans="1:10" ht="30" customHeight="1" x14ac:dyDescent="0.3">
      <c r="A28" s="11"/>
      <c r="B28" s="44" t="s">
        <v>201</v>
      </c>
      <c r="C28" s="45"/>
      <c r="D28" s="45"/>
      <c r="E28" s="9">
        <v>5</v>
      </c>
      <c r="F28" s="27">
        <v>3.75</v>
      </c>
      <c r="G28" s="31">
        <f t="shared" si="0"/>
        <v>0.75</v>
      </c>
      <c r="H28" s="32" t="str">
        <f t="shared" si="1"/>
        <v>جيد</v>
      </c>
      <c r="I28" s="50"/>
      <c r="J28" s="51"/>
    </row>
    <row r="29" spans="1:10" ht="30" customHeight="1" x14ac:dyDescent="0.3">
      <c r="A29" s="11"/>
      <c r="B29" s="44" t="s">
        <v>202</v>
      </c>
      <c r="C29" s="45"/>
      <c r="D29" s="45"/>
      <c r="E29" s="9">
        <v>5</v>
      </c>
      <c r="F29" s="27">
        <v>3.75</v>
      </c>
      <c r="G29" s="31">
        <f t="shared" si="0"/>
        <v>0.75</v>
      </c>
      <c r="H29" s="32" t="str">
        <f t="shared" si="1"/>
        <v>جيد</v>
      </c>
      <c r="I29" s="50"/>
      <c r="J29" s="51"/>
    </row>
    <row r="30" spans="1:10" ht="30" customHeight="1" x14ac:dyDescent="0.3">
      <c r="A30" s="11"/>
      <c r="B30" s="44" t="s">
        <v>203</v>
      </c>
      <c r="C30" s="45"/>
      <c r="D30" s="45"/>
      <c r="E30" s="9">
        <v>5</v>
      </c>
      <c r="F30" s="27">
        <v>4</v>
      </c>
      <c r="G30" s="31">
        <f t="shared" si="0"/>
        <v>0.8</v>
      </c>
      <c r="H30" s="32" t="str">
        <f t="shared" si="1"/>
        <v>جيد جداً</v>
      </c>
      <c r="I30" s="50"/>
      <c r="J30" s="51"/>
    </row>
    <row r="31" spans="1:10" ht="30" customHeight="1" x14ac:dyDescent="0.3">
      <c r="A31" s="11"/>
      <c r="B31" s="44" t="s">
        <v>204</v>
      </c>
      <c r="C31" s="45"/>
      <c r="D31" s="45"/>
      <c r="E31" s="9">
        <v>5</v>
      </c>
      <c r="F31" s="27">
        <v>3.5</v>
      </c>
      <c r="G31" s="31">
        <f t="shared" si="0"/>
        <v>0.7</v>
      </c>
      <c r="H31" s="32" t="str">
        <f t="shared" si="1"/>
        <v>جيد</v>
      </c>
      <c r="I31" s="50"/>
      <c r="J31" s="51"/>
    </row>
    <row r="32" spans="1:10" ht="39.9" customHeight="1" x14ac:dyDescent="0.3">
      <c r="A32" s="11"/>
      <c r="B32" s="44" t="s">
        <v>205</v>
      </c>
      <c r="C32" s="45"/>
      <c r="D32" s="45"/>
      <c r="E32" s="9">
        <v>5</v>
      </c>
      <c r="F32" s="27">
        <v>3.5</v>
      </c>
      <c r="G32" s="31">
        <f t="shared" si="0"/>
        <v>0.7</v>
      </c>
      <c r="H32" s="32" t="str">
        <f t="shared" si="1"/>
        <v>جيد</v>
      </c>
      <c r="I32" s="50"/>
      <c r="J32" s="51"/>
    </row>
    <row r="33" spans="1:10" ht="30" customHeight="1" x14ac:dyDescent="0.3">
      <c r="A33" s="11"/>
      <c r="B33" s="44" t="s">
        <v>206</v>
      </c>
      <c r="C33" s="45"/>
      <c r="D33" s="45"/>
      <c r="E33" s="9">
        <v>5</v>
      </c>
      <c r="F33" s="27">
        <v>3.75</v>
      </c>
      <c r="G33" s="31">
        <f t="shared" si="0"/>
        <v>0.75</v>
      </c>
      <c r="H33" s="32" t="str">
        <f t="shared" si="1"/>
        <v>جيد</v>
      </c>
      <c r="I33" s="50"/>
      <c r="J33" s="51"/>
    </row>
    <row r="34" spans="1:10" ht="30" customHeight="1" x14ac:dyDescent="0.3">
      <c r="A34" s="11"/>
      <c r="B34" s="44" t="s">
        <v>207</v>
      </c>
      <c r="C34" s="45"/>
      <c r="D34" s="45"/>
      <c r="E34" s="9">
        <v>5</v>
      </c>
      <c r="F34" s="27">
        <v>3.75</v>
      </c>
      <c r="G34" s="31">
        <f t="shared" si="0"/>
        <v>0.75</v>
      </c>
      <c r="H34" s="32" t="str">
        <f t="shared" si="1"/>
        <v>جيد</v>
      </c>
      <c r="I34" s="50"/>
      <c r="J34" s="51"/>
    </row>
    <row r="35" spans="1:10" ht="30" customHeight="1" thickBot="1" x14ac:dyDescent="0.35">
      <c r="A35" s="11"/>
      <c r="B35" s="46" t="s">
        <v>208</v>
      </c>
      <c r="C35" s="47"/>
      <c r="D35" s="47"/>
      <c r="E35" s="37">
        <v>5</v>
      </c>
      <c r="F35" s="29">
        <v>3.5</v>
      </c>
      <c r="G35" s="38">
        <f t="shared" si="0"/>
        <v>0.7</v>
      </c>
      <c r="H35" s="39" t="str">
        <f t="shared" si="1"/>
        <v>جيد</v>
      </c>
      <c r="I35" s="54"/>
      <c r="J35" s="55"/>
    </row>
    <row r="36" spans="1:10" ht="30" customHeight="1" thickBot="1" x14ac:dyDescent="0.35">
      <c r="A36" s="4"/>
      <c r="B36" s="52" t="s">
        <v>5</v>
      </c>
      <c r="C36" s="53"/>
      <c r="D36" s="53"/>
      <c r="E36" s="10">
        <f>SUM(E8:E35)</f>
        <v>125</v>
      </c>
      <c r="F36" s="10">
        <f>SUM(F8:F35)</f>
        <v>93.25</v>
      </c>
      <c r="G36" s="83"/>
      <c r="H36" s="84"/>
      <c r="I36" s="84"/>
      <c r="J36" s="85"/>
    </row>
    <row r="37" spans="1:10" ht="30" customHeight="1" thickBot="1" x14ac:dyDescent="0.35">
      <c r="A37" s="4"/>
      <c r="B37" s="52" t="s">
        <v>52</v>
      </c>
      <c r="C37" s="53"/>
      <c r="D37" s="53"/>
      <c r="E37" s="73">
        <f>F36/E36/100*100</f>
        <v>0.746</v>
      </c>
      <c r="F37" s="73"/>
      <c r="G37" s="73"/>
      <c r="H37" s="73"/>
      <c r="I37" s="73"/>
      <c r="J37" s="74"/>
    </row>
    <row r="38" spans="1:10" ht="30" customHeight="1" thickBot="1" x14ac:dyDescent="0.35">
      <c r="A38" s="4"/>
      <c r="B38" s="52" t="s">
        <v>53</v>
      </c>
      <c r="C38" s="53"/>
      <c r="D38" s="53"/>
      <c r="E38" s="64" t="str">
        <f>_xlfn.IFS(E37&gt;=90%,"ممتاز",E37&gt;=80%,"جيد جداً",E37&gt;=70%,"جيد",E37&gt;=60%,"مقبول",E37&lt;60%,"راسب")</f>
        <v>جيد</v>
      </c>
      <c r="F38" s="64"/>
      <c r="G38" s="64"/>
      <c r="H38" s="64"/>
      <c r="I38" s="64"/>
      <c r="J38" s="65"/>
    </row>
    <row r="39" spans="1:10" ht="42" customHeight="1" x14ac:dyDescent="0.3">
      <c r="B39" s="60" t="s">
        <v>172</v>
      </c>
      <c r="C39" s="60"/>
      <c r="D39" s="60"/>
      <c r="E39" s="81" t="s">
        <v>50</v>
      </c>
      <c r="F39" s="81"/>
      <c r="G39" s="62" t="s">
        <v>160</v>
      </c>
      <c r="H39" s="62"/>
      <c r="I39" s="62"/>
      <c r="J39" s="62"/>
    </row>
    <row r="40" spans="1:10" ht="51" customHeight="1" x14ac:dyDescent="0.3">
      <c r="A40" s="5"/>
      <c r="B40" s="61"/>
      <c r="C40" s="61"/>
      <c r="D40" s="61"/>
      <c r="E40" s="82" t="s">
        <v>51</v>
      </c>
      <c r="F40" s="82"/>
      <c r="G40" s="63"/>
      <c r="H40" s="63"/>
      <c r="I40" s="63"/>
      <c r="J40" s="63"/>
    </row>
  </sheetData>
  <sheetProtection sheet="1" formatCells="0" formatColumns="0" formatRows="0" insertColumns="0" insertRows="0" insertHyperlinks="0" deleteColumns="0" deleteRows="0" selectLockedCells="1" sort="0" autoFilter="0" pivotTables="0"/>
  <mergeCells count="77">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I27:J27"/>
    <mergeCell ref="B22:D22"/>
    <mergeCell ref="B23:D23"/>
    <mergeCell ref="B24:D24"/>
    <mergeCell ref="B25:D2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2025-10-15T21:34:56Z</dcterms:modified>
</cp:coreProperties>
</file>