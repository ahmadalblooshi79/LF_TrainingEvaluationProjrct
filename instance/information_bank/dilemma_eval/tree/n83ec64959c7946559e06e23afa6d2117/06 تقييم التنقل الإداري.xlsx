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97E75CEB-CA50-E242-9EA0-C8B4C101E314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3" i="2"/>
  <c r="H23" i="2"/>
  <c r="G24" i="2"/>
  <c r="H24" i="2"/>
  <c r="G25" i="2"/>
  <c r="H25" i="2"/>
  <c r="G27" i="2"/>
  <c r="H27" i="2"/>
  <c r="G28" i="2"/>
  <c r="H28" i="2"/>
  <c r="G30" i="2"/>
  <c r="H30" i="2"/>
  <c r="G31" i="2"/>
  <c r="H31" i="2"/>
  <c r="G32" i="2"/>
  <c r="H32" i="2"/>
  <c r="G33" i="2"/>
  <c r="H33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<sst xmlns="http://schemas.openxmlformats.org/spreadsheetml/2006/main" count="263" uniqueCount="207">
  <si>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</si>
  <si>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</si>
  <si>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</si>
  <si>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</si>
  <si>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</si>
  <si>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</si>
  <si>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</si>
  <si>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</si>
  <si>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</si>
  <si>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</si>
  <si>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</si>
  <si>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</si>
  <si>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</si>
  <si>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</si>
  <si>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</si>
  <si>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</si>
  <si>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</si>
  <si>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</si>
  <si>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</si>
  <si>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</si>
  <si>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</si>
  <si>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</si>
  <si>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</si>
  <si>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</si>
  <si>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</si>
  <si>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</si>
  <si>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</si>
  <si>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</si>
  <si>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</si>
  <si>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</si>
  <si>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</si>
  <si>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</si>
  <si>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</si>
  <si>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</si>
  <si>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</si>
  <si>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</si>
  <si>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</si>
  <si>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</si>
  <si>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</si>
  <si>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</si>
  <si>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</si>
  <si>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</si>
  <si>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</si>
  <si>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</si>
  <si>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</si>
  <si>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</si>
  <si>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</si>
  <si>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</si>
  <si>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</si>
  <si>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</si>
  <si>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</si>
  <si>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</si>
  <si>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</si>
  <si>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</si>
  <si>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</si>
  <si>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</si>
  <si>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</si>
  <si>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</si>
  <si>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</si>
  <si>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</si>
  <si>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</si>
  <si>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</si>
  <si>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</si>
  <si>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</si>
  <si>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</si>
  <si>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</si>
  <si>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</si>
  <si>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</si>
  <si>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</si>
  <si>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</si>
  <si>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</si>
  <si>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</si>
  <si>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</si>
  <si>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</si>
  <si>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</si>
  <si>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</si>
  <si>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</si>
  <si>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</si>
  <si>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</si>
  <si>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</si>
  <si>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</si>
  <si>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</si>
  <si>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</si>
  <si>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</si>
  <si>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</si>
  <si>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</si>
  <si>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</si>
  <si>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</si>
  <si>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</si>
  <si>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</si>
  <si>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</si>
  <si>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</si>
  <si>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</si>
  <si>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</si>
  <si>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</si>
  <si>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</si>
  <si>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</si>
  <si>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</si>
  <si>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</si>
  <si>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</si>
  <si>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</si>
  <si>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</si>
  <si>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</si>
  <si>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</si>
  <si>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</si>
  <si>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</si>
  <si>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</si>
  <si>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</si>
  <si>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</si>
  <si>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</si>
  <si>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</si>
  <si>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</si>
  <si>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</si>
  <si>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</si>
  <si>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</si>
  <si>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</si>
  <si>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</si>
  <si>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</si>
  <si>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</si>
  <si>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</si>
  <si>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</si>
  <si>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</si>
  <si>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</si>
  <si>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</si>
  <si>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</si>
  <si>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</si>
  <si>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</si>
  <si>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</si>
  <si>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</si>
  <si>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</si>
  <si>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</si>
  <si>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</si>
  <si>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</si>
  <si>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</si>
  <si>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</si>
  <si>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</si>
  <si>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</si>
  <si>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</si>
  <si>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</si>
  <si>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</si>
  <si>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</si>
  <si>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</si>
  <si>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</si>
  <si>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</si>
  <si>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</si>
  <si>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</si>
  <si>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</si>
  <si>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</si>
  <si>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</si>
  <si>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</si>
  <si>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</si>
  <si>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</si>
  <si>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</si>
  <si>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</si>
  <si>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</si>
  <si>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</si>
  <si>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</si>
  <si>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</si>
  <si>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</si>
  <si>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</si>
  <si>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</si>
  <si>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</si>
  <si>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</si>
  <si>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</si>
  <si>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</si>
  <si>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</si>
  <si>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</si>
  <si>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</si>
  <si>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</si>
  <si>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</si>
  <si>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</si>
  <si>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</si>
  <si>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</si>
  <si>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</si>
  <si>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</si>
  <si>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</si>
  <si>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</si>
  <si>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</si>
  <si>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</si>
  <si>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</si>
  <si>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التنقل الإداري لوحدات المناورة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</si>
  <si>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توفر التعليمات والأوامر الضرورية للتنقـل مع قائـد القافلة</t>
    </r>
    <r>
      <rPr>
        <b/>
        <sz val="12"/>
        <color rgb="FF000000"/>
        <rFont val="Arial"/>
        <family val="2"/>
      </rPr>
      <t>، وتشمل:</t>
    </r>
  </si>
  <si>
    <t>أ.   أمر / برقية الحركة من المستوى الأعلـى.</t>
  </si>
  <si>
    <t>ب. وجود أمـر التنقل ودقة البيانات الواردة به.</t>
  </si>
  <si>
    <t>جـ. وجود جدول التنقل ودقة البيانات الواردة به.</t>
  </si>
  <si>
    <t>د.  وجود يومية التنقل ودقة البيانات الواردة بها.</t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</si>
  <si>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التقيد بالتوقيتات، الوقفات، السرعة، الكثافة، الطرق ونقاط السيطرة.</t>
    </r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</si>
  <si>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إلمام قائد القافلة (بالأوامر الصادرة في أمر / جدول / يومية مخطط / التنقل، المواقف الطارئة مثل إلغاء أو تأخير حركة القافلة).</t>
    </r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</si>
  <si>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جاهزيـة الضباط والأفــراد من حيث (الأسلحـة الشخصيـة، اللبـاس، البطاقة والرخـص العسكرية، بطاقة الطريق لكل قائد آلية، وسيلة إضاءة مع كل سائق، القلادة المعدنيـة).</t>
    </r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</si>
  <si>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تعيين أفراد حراسة مع القافلة حسب التعليمات.</t>
    </r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</si>
  <si>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التنسيـق مـع الشرطـة العسكرية.</t>
    </r>
  </si>
  <si>
    <r>
      <t>7.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جاهزية آليات القافلة</t>
    </r>
    <r>
      <rPr>
        <b/>
        <sz val="12"/>
        <color theme="1"/>
        <rFont val="Arial"/>
        <family val="2"/>
      </rPr>
      <t>، من حيـث:</t>
    </r>
  </si>
  <si>
    <t>أ.  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</si>
  <si>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ب. وجود عدة / جدول التحميل والركوب لكل آلية.</t>
  </si>
  <si>
    <t>جـ. مدى صلاحية وجاهزية الآليات من حيث (الوقود، المياه، الإطار الاحتياطي، شباك التمويه مع أعمدة التثبيت).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</si>
  <si>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حمولة آليات القافلة</t>
    </r>
    <r>
      <rPr>
        <b/>
        <sz val="12"/>
        <color theme="1"/>
        <rFont val="Arial"/>
        <family val="2"/>
      </rPr>
      <t>، من حيـث:</t>
    </r>
  </si>
  <si>
    <t>أ.   التأكد من عدم تحميل الآليات أكثر من حمولتها أو وضع حمولة غير مرتبة بحيث توحي بأنها محملة أكثر من حمولتها.</t>
  </si>
  <si>
    <t>ب. التأكد من تحميل ثلث ذخيرة الخط الأول لجميع الأصناف في صناديق (أثناء التنقل لتنفيذ التمارين الخارجية) مع وجود سند صرف لاستلام الذخائر.</t>
  </si>
  <si>
    <t>جـ. التأكد من تغطية حمولة الآليات (الأسلحة، الذخائر، معدات عسكرية) ومدى صلاحية الأغطية وتثبيتها.</t>
  </si>
  <si>
    <r>
      <t>9.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عند تحميل أي ذخيرة في القافلة</t>
    </r>
    <r>
      <rPr>
        <b/>
        <sz val="12"/>
        <color theme="1"/>
        <rFont val="Arial"/>
        <family val="2"/>
      </rPr>
      <t>، يتم توفير الآتي:</t>
    </r>
  </si>
  <si>
    <t>أ. سيارة إطفاء والتأكد من جاهزيتها وصلاحيتها وكفاءة طاقمها.</t>
  </si>
  <si>
    <t>ب. أفراد حراسة مع السلاح الشخصي والذخيرة المقررة للحراسة وملمين بواجباتهم وموزعين على القافلة.</t>
  </si>
  <si>
    <r>
      <t>10.</t>
    </r>
    <r>
      <rPr>
        <b/>
        <sz val="7"/>
        <color rgb="FF000000"/>
        <rFont val="Times New Roman"/>
        <family val="1"/>
      </rPr>
      <t xml:space="preserve">    </t>
    </r>
    <r>
      <rPr>
        <b/>
        <sz val="12"/>
        <color rgb="FF000000"/>
        <rFont val="Arial"/>
        <family val="2"/>
      </rPr>
      <t>الشؤون الإدارية.</t>
    </r>
  </si>
  <si>
    <t>أ.   توفر الإعاشة أثناء التنقـل.</t>
  </si>
  <si>
    <t>ب. سيارة إسعاف مع طبيب / ممرضة أو ممرض قانوني بكامل التجهيزات.</t>
  </si>
  <si>
    <t>جـ. وجود آلية إنقاذ مع فريق (ميكانيكي، كهربائي حسب نوع الآليات المتنقلة) وإلمام الفريق بتشغيل وسيلة الإنقـاذ.</t>
  </si>
  <si>
    <t>د.  وجود آلية إنقاذ مركبات احتياط لآليات النقل الثقيلة.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</si>
</sst>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b/>
      <sz val="7"/>
      <color theme="1"/>
      <name val="Times New Roman"/>
      <family val="1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6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182487</xdr:colOff>
      <xdr:row>37</xdr:row>
      <xdr:rowOff>302947</xdr:rowOff>
    </xdr:from>
    <xdr:to>
      <xdr:col>7</xdr:col>
      <xdr:colOff>219927</xdr:colOff>
      <xdr:row>37</xdr:row>
      <xdr:rowOff>315547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580464D-D0D0-F262-35B2-D299458A921A}"/>
                </a:ext>
              </a:extLst>
            </xdr14:cNvPr>
            <xdr14:cNvContentPartPr/>
          </xdr14:nvContentPartPr>
          <xdr14:nvPr macro=""/>
          <xdr14:xfrm>
            <a:off x="10399683073" y="18342720"/>
            <a:ext cx="37440" cy="126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580464D-D0D0-F262-35B2-D299458A921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674073" y="18334080"/>
              <a:ext cx="55080" cy="3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93207</xdr:colOff>
      <xdr:row>37</xdr:row>
      <xdr:rowOff>99187</xdr:rowOff>
    </xdr:from>
    <xdr:to>
      <xdr:col>9</xdr:col>
      <xdr:colOff>409626</xdr:colOff>
      <xdr:row>37</xdr:row>
      <xdr:rowOff>497707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7E1E1D3-ABE6-E435-FF88-443259AC2CDD}"/>
                </a:ext>
              </a:extLst>
            </xdr14:cNvPr>
            <xdr14:cNvContentPartPr/>
          </xdr14:nvContentPartPr>
          <xdr14:nvPr macro=""/>
          <xdr14:xfrm>
            <a:off x="10398177193" y="18138960"/>
            <a:ext cx="1632600" cy="3985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7E1E1D3-ABE6-E435-FF88-443259AC2CD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168193" y="18130320"/>
              <a:ext cx="1650240" cy="416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25:35.3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35 19468,'0'0'0,"0"0"0,-2-12 488,2 8-728,0-11-400,5 12-561,-5 3 1201,19 0-2040,5 1-1241,0 3 337,7 1-3754,-31-5 6698,0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25:37.3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3375 764 16883,'0'0'0,"-17"-34"1544,-2 3-695,2-9-81,17 40-768,-14-31 696,11 4-224,1 0-112,-13 1-24,15 26-336,-5-25 296,-4-2-64,4-2 24,3 2-112,2 27-144,-12-25 144,9-1-48,-2 3-56,1-1 16,4 24-56,-3-21 16,-2-1-16,1 1-72,4 1-88,0 20 160,0-21-216,-5 2-8,5 2-16,0 0-8,0 17 248,0-15-272,0-1 8,0 2 88,0-2 32,0 16 144,0-13-80,0 1 8,2 0-56,1 8 8,-3 4 120,4-16-112,1 12-24,5-12-16,-5 12-24,-5 4 176,14-14-176,-4 10-16,4-1 24,-2-6-24,-12 11 192,17 0-256,0-4 48,-5 1-24,7 3 31,-19 0 201,17 0-184,2 0 8,-2 0 8,2 3 48,-19-3 120,17 4-128,7 0 8,-2 1 24,2 0 32,-24-5 64,24 12-72,0-8 0,-2 9 0,-1-8 16,-21-5 56,27 16-8,-3-10-32,0 8 80,0-8-64,-24-6 24,26 14 8,1-10-8,4 7-8,-2-6 8,-29-5 0,34 5-24,-6 1 24,6-2-16,-5 2 16,-29-6 0,26 6 24,3-1-32,-7 1-16,0 0-48,-22-6 72,19 5-56,-2 7 32,-1-9 0,-4 2 64,-12-5-40,3 12 32,4-8-24,-4 7 56,-1-6-56,-2-5-8,2 11 24,-2-5 56,-4 8-32,-9-3 24,13-11-72,-12 12 32,-4 0-24,-4-6 56,-8 10 0,28-16-64,-34 4 120,-2 7-40,-10-6-8,-2-1 40,48-4-112,-51 4 64,-6-1 72,-3 0 16,-3-2 32,63-1-184,-72 2 168,-5 1 33,-2-1-41,-10 1-64,89-3-96,-89 3 48,-8 0-96,-1 0 88,-3 0-32,101-3-8,-101 2 16,-5 1 48,-5-1-80,3 1 80,108-3-64,-111 2 112,-2 0-32,0 2-64,5 2-40,108-6 24,-108 11-104,0-5 24,-1 8 56,3-8-16,106-6 40,-110 18 16,2-5-176,-5 4-209,4 0 49,109-17 320,-103 14-288,7 2 120,7-2 160,-3 2-88,92-16 96,-86 15-104,4 1 64,10-2 80,12-2-80,60-12 40,-56 12-128,6-6-72,11 8 8,10-9 72,29-5 120,-19 4-48,7 0-96,10-1-192,2 0-120,0-3 456,2 4-456,13 0 112,1 1 216,6-1 128,-22-4 0,31 4 128,8-2 72,6-1 32,11-1 32,-56 0-264,62 0 256,8-3-96,9-1-24,10-9-24,-89 13-112,94-4 48,2-12 8,8 5 0,4-5 48,-108 16-104,113-15 80,7-4 32,3 1 16,2-1-64,-125 19-64,125-18 80,0 1 48,-2 1 32,0 2 16,-123 14-176,122-16 176,3 5 40,1-1 16,-6 8 16,-120 4-248,118-4 281,-5 1-137,-7 3-8,2 0-40,-108 0-96,98 4 88,-1 2 24,-6 8-88,-7-2 0,-84-12-24,75 11-8,-8 2 32,-12-8 8,1 10-16,-56-15-16,38 5 8,-2 8 8,-7-7 0,-12 7 16,-17-13-32,14 4 64,-6 0 24,-6 0 296,-2 1 416,0-5-800,0 2 1040,-12 0 64,-7-1-247,-10 1-433,29-2-424,-39 1 208,-6 1-176,-13-1 8,-5-1-24,63 0-16,-72 0-16,-7 0 56,-8 0-24,-6 0-48,93 0 32,-101 0-24,-8 0-16,1 0 8,-3 1-48,111-1 80,-117 2-16,-1 2 16,-5 0-16,-4 1 72,127-5-56,-130 5 16,2 0-72,1 0 0,2 1-24,125-6 80,-125 4 64,-5 0-16,-3 1-288,1-4-8,132-1 248,-127 2-512,4-2 159,10 0 257,-3 0-64,116 0 160,-110-5 80,2-6-80,2 8 24,9-10 88,97 13-112,-86-4-80,4-13 40,10 4-32,9 0 88,63 13-16,-50-14 24,7-1 48,11-1-48,6 0-64,26 16 40,-19-17-152,4 0-192,15 3-248,0-3-200,0 17 792,5-13-816,14-1-48,5 0 240,5 1 135,-29 13 489,36-11-384,5-1 160,5 8 32,4-7 104,-50 11 88,58-3-88,0 3 152,7 0-16,2 0-32,-67 0-16,67 0 144,1 4-16,4 9-16,0-8 16,-72-5-128,65 17 80,-5-1-8,-4 3 16,-8 2-16,-48-21-72,45 25 128,-6 1-104,-6 3 24,-1-1 113,-32-28-161,26 28 104,-7 2 128,-2 1 64,-5 2-88,-12-33-208,5 33 296,2 2 8,-2 1 0,-5-1-56,0-35-248,3 36 248,-1-2-120,-2 0-24,2-2 96,-2-32-200,0 28 32,3-1 0,-1-4-200,1-2 56,-3-21 112,4 17-48,1-4 56,0-2 72,0-6-96,-5-5 16,9 11 16,-4-8-56,10 0 352,-6-1 24,-9-2-336,15 2 304,2-2 40,-1 0-200,8-4 16,-24 4-160,25-15 144,-1 11 32,7-10-16,-2 1-64,-29 13-96,36-13 193,7-4 63,3 0 0,4-3 64,-50 20-320,56-21 328,-1 0-48,7-4 56,6-2 48,-68 27-384,74-28 368,3 0-64,5-2 8,12-2-176,-94 32-136,99-32 112,9-2 48,2 0-128,8-2-48,-118 36 16,123-37 56,4 0 48,8-1-16,5-4 56,-140 42-144,139-41 64,8-1-64,2 0-16,-2 4-72,-147 38 88,149-37-616,0 3-1080,0 3-1697,3 4-2304,-152 27 5697,151-40-9474,-151 40 9474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D24" zoomScale="130" zoomScaleNormal="100" zoomScaleSheetLayoutView="130" workbookViewId="0">
      <selection activeCell="G37" sqref="G37:J37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9" t="s">
        <v>180</v>
      </c>
      <c r="C1" s="79"/>
      <c r="D1" s="79"/>
      <c r="E1" s="79"/>
      <c r="F1" s="79"/>
      <c r="G1" s="79"/>
      <c r="H1" s="79"/>
      <c r="I1" s="79"/>
      <c r="J1" s="79"/>
    </row>
    <row r="2" spans="1:10" ht="30" customHeight="1" x14ac:dyDescent="0.2">
      <c r="B2" s="13" t="s">
        <v>8</v>
      </c>
      <c r="C2" s="85" t="s">
        <v>40</v>
      </c>
      <c r="D2" s="85"/>
      <c r="E2" s="13" t="s">
        <v>7</v>
      </c>
      <c r="F2" s="80">
        <v>45903</v>
      </c>
      <c r="G2" s="80"/>
      <c r="H2" s="80"/>
      <c r="I2" s="80"/>
      <c r="J2" s="80"/>
    </row>
    <row r="3" spans="1:10" ht="30" customHeight="1" x14ac:dyDescent="0.2">
      <c r="B3" s="13" t="s">
        <v>9</v>
      </c>
      <c r="C3" s="85" t="s">
        <v>81</v>
      </c>
      <c r="D3" s="85"/>
      <c r="E3" s="13" t="s">
        <v>6</v>
      </c>
      <c r="F3" s="85" t="s">
        <v>105</v>
      </c>
      <c r="G3" s="85"/>
      <c r="H3" s="85"/>
      <c r="I3" s="85"/>
      <c r="J3" s="85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1"/>
      <c r="B5" s="81" t="s">
        <v>0</v>
      </c>
      <c r="C5" s="82"/>
      <c r="D5" s="82"/>
      <c r="E5" s="90" t="s">
        <v>1</v>
      </c>
      <c r="F5" s="90"/>
      <c r="G5" s="90"/>
      <c r="H5" s="90"/>
      <c r="I5" s="90" t="s">
        <v>2</v>
      </c>
      <c r="J5" s="91"/>
    </row>
    <row r="6" spans="1:10" ht="24.95" customHeight="1" thickBot="1" x14ac:dyDescent="0.25">
      <c r="A6" s="11"/>
      <c r="B6" s="83"/>
      <c r="C6" s="84"/>
      <c r="D6" s="84"/>
      <c r="E6" s="12" t="s">
        <v>3</v>
      </c>
      <c r="F6" s="12" t="s">
        <v>4</v>
      </c>
      <c r="G6" s="12" t="s">
        <v>23</v>
      </c>
      <c r="H6" s="12" t="s">
        <v>24</v>
      </c>
      <c r="I6" s="92"/>
      <c r="J6" s="93"/>
    </row>
    <row r="7" spans="1:10" ht="24.95" customHeight="1" thickBot="1" x14ac:dyDescent="0.25">
      <c r="A7" s="11"/>
      <c r="B7" s="88" t="s">
        <v>21</v>
      </c>
      <c r="C7" s="89"/>
      <c r="D7" s="89"/>
      <c r="E7" s="36" t="s">
        <v>18</v>
      </c>
      <c r="F7" s="36" t="s">
        <v>19</v>
      </c>
      <c r="G7" s="36" t="s">
        <v>22</v>
      </c>
      <c r="H7" s="36" t="s">
        <v>20</v>
      </c>
      <c r="I7" s="99" t="s">
        <v>25</v>
      </c>
      <c r="J7" s="100"/>
    </row>
    <row r="8" spans="1:10" ht="39.950000000000003" customHeight="1" x14ac:dyDescent="0.2">
      <c r="A8" s="11"/>
      <c r="B8" s="57" t="s">
        <v>181</v>
      </c>
      <c r="C8" s="58"/>
      <c r="D8" s="58"/>
      <c r="E8" s="30"/>
      <c r="F8" s="40"/>
      <c r="G8" s="41"/>
      <c r="H8" s="42"/>
      <c r="I8" s="65"/>
      <c r="J8" s="66"/>
    </row>
    <row r="9" spans="1:10" ht="39.950000000000003" customHeight="1" x14ac:dyDescent="0.2">
      <c r="A9" s="11"/>
      <c r="B9" s="53" t="s">
        <v>182</v>
      </c>
      <c r="C9" s="54"/>
      <c r="D9" s="54"/>
      <c r="E9" s="31">
        <v>5</v>
      </c>
      <c r="F9" s="27">
        <v>4</v>
      </c>
      <c r="G9" s="38">
        <f>IFERROR(F9/E9,"")</f>
        <v>0.8</v>
      </c>
      <c r="H9" s="39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61"/>
      <c r="J9" s="62"/>
    </row>
    <row r="10" spans="1:10" ht="39.950000000000003" customHeight="1" x14ac:dyDescent="0.2">
      <c r="A10" s="11"/>
      <c r="B10" s="53" t="s">
        <v>183</v>
      </c>
      <c r="C10" s="54"/>
      <c r="D10" s="54"/>
      <c r="E10" s="31">
        <v>8</v>
      </c>
      <c r="F10" s="27">
        <v>5.75</v>
      </c>
      <c r="G10" s="38">
        <f t="shared" ref="G10:G33" si="0">IFERROR(F10/E10,"")</f>
        <v>0.71875</v>
      </c>
      <c r="H10" s="39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61"/>
      <c r="J10" s="62"/>
    </row>
    <row r="11" spans="1:10" ht="39.950000000000003" customHeight="1" x14ac:dyDescent="0.2">
      <c r="A11" s="11"/>
      <c r="B11" s="53" t="s">
        <v>184</v>
      </c>
      <c r="C11" s="54"/>
      <c r="D11" s="54"/>
      <c r="E11" s="31">
        <v>5</v>
      </c>
      <c r="F11" s="27">
        <v>3.75</v>
      </c>
      <c r="G11" s="38">
        <f t="shared" si="0"/>
        <v>0.75</v>
      </c>
      <c r="H11" s="39" t="str">
        <f t="shared" si="1"/>
        <v>جيد</v>
      </c>
      <c r="I11" s="61"/>
      <c r="J11" s="62"/>
    </row>
    <row r="12" spans="1:10" ht="39.950000000000003" customHeight="1" thickBot="1" x14ac:dyDescent="0.25">
      <c r="A12" s="11"/>
      <c r="B12" s="55" t="s">
        <v>185</v>
      </c>
      <c r="C12" s="56"/>
      <c r="D12" s="56"/>
      <c r="E12" s="32">
        <v>5</v>
      </c>
      <c r="F12" s="29">
        <v>3.75</v>
      </c>
      <c r="G12" s="43">
        <f t="shared" si="0"/>
        <v>0.75</v>
      </c>
      <c r="H12" s="44" t="str">
        <f t="shared" si="1"/>
        <v>جيد</v>
      </c>
      <c r="I12" s="63"/>
      <c r="J12" s="64"/>
    </row>
    <row r="13" spans="1:10" ht="39.950000000000003" customHeight="1" thickBot="1" x14ac:dyDescent="0.25">
      <c r="A13" s="11"/>
      <c r="B13" s="49" t="s">
        <v>186</v>
      </c>
      <c r="C13" s="50"/>
      <c r="D13" s="50"/>
      <c r="E13" s="33">
        <v>10</v>
      </c>
      <c r="F13" s="45">
        <v>7</v>
      </c>
      <c r="G13" s="46">
        <f t="shared" si="0"/>
        <v>0.7</v>
      </c>
      <c r="H13" s="28" t="str">
        <f t="shared" si="1"/>
        <v>جيد</v>
      </c>
      <c r="I13" s="71"/>
      <c r="J13" s="72"/>
    </row>
    <row r="14" spans="1:10" ht="39.950000000000003" customHeight="1" thickBot="1" x14ac:dyDescent="0.25">
      <c r="A14" s="11"/>
      <c r="B14" s="49" t="s">
        <v>187</v>
      </c>
      <c r="C14" s="50"/>
      <c r="D14" s="50"/>
      <c r="E14" s="10">
        <v>10</v>
      </c>
      <c r="F14" s="45">
        <v>7.75</v>
      </c>
      <c r="G14" s="46">
        <f t="shared" si="0"/>
        <v>0.77500000000000002</v>
      </c>
      <c r="H14" s="28" t="str">
        <f t="shared" si="1"/>
        <v>جيد</v>
      </c>
      <c r="I14" s="71"/>
      <c r="J14" s="72"/>
    </row>
    <row r="15" spans="1:10" ht="57" customHeight="1" thickBot="1" x14ac:dyDescent="0.25">
      <c r="A15" s="11"/>
      <c r="B15" s="49" t="s">
        <v>188</v>
      </c>
      <c r="C15" s="50"/>
      <c r="D15" s="50"/>
      <c r="E15" s="10">
        <v>10</v>
      </c>
      <c r="F15" s="45">
        <v>7.75</v>
      </c>
      <c r="G15" s="46">
        <f t="shared" si="0"/>
        <v>0.77500000000000002</v>
      </c>
      <c r="H15" s="28" t="str">
        <f t="shared" si="1"/>
        <v>جيد</v>
      </c>
      <c r="I15" s="71"/>
      <c r="J15" s="72"/>
    </row>
    <row r="16" spans="1:10" ht="39.950000000000003" customHeight="1" thickBot="1" x14ac:dyDescent="0.25">
      <c r="A16" s="11"/>
      <c r="B16" s="49" t="s">
        <v>189</v>
      </c>
      <c r="C16" s="50"/>
      <c r="D16" s="50"/>
      <c r="E16" s="10">
        <v>10</v>
      </c>
      <c r="F16" s="45">
        <v>7</v>
      </c>
      <c r="G16" s="46">
        <f t="shared" si="0"/>
        <v>0.7</v>
      </c>
      <c r="H16" s="28" t="str">
        <f t="shared" si="1"/>
        <v>جيد</v>
      </c>
      <c r="I16" s="71"/>
      <c r="J16" s="72"/>
    </row>
    <row r="17" spans="1:10" ht="39.950000000000003" customHeight="1" thickBot="1" x14ac:dyDescent="0.25">
      <c r="A17" s="11"/>
      <c r="B17" s="49" t="s">
        <v>190</v>
      </c>
      <c r="C17" s="50"/>
      <c r="D17" s="50"/>
      <c r="E17" s="10">
        <v>5</v>
      </c>
      <c r="F17" s="45">
        <v>4.25</v>
      </c>
      <c r="G17" s="46">
        <f t="shared" si="0"/>
        <v>0.85</v>
      </c>
      <c r="H17" s="28" t="str">
        <f t="shared" si="1"/>
        <v>جيد جداً</v>
      </c>
      <c r="I17" s="71"/>
      <c r="J17" s="72"/>
    </row>
    <row r="18" spans="1:10" ht="39.950000000000003" customHeight="1" x14ac:dyDescent="0.2">
      <c r="A18" s="11"/>
      <c r="B18" s="51" t="s">
        <v>191</v>
      </c>
      <c r="C18" s="52"/>
      <c r="D18" s="52"/>
      <c r="E18" s="30"/>
      <c r="F18" s="40"/>
      <c r="G18" s="41"/>
      <c r="H18" s="42"/>
      <c r="I18" s="65"/>
      <c r="J18" s="66"/>
    </row>
    <row r="19" spans="1:10" ht="51" customHeight="1" x14ac:dyDescent="0.2">
      <c r="A19" s="11"/>
      <c r="B19" s="53" t="s">
        <v>192</v>
      </c>
      <c r="C19" s="54"/>
      <c r="D19" s="54"/>
      <c r="E19" s="9">
        <v>6</v>
      </c>
      <c r="F19" s="27">
        <v>5</v>
      </c>
      <c r="G19" s="38">
        <f t="shared" si="0"/>
        <v>0.83333333333333337</v>
      </c>
      <c r="H19" s="39" t="str">
        <f t="shared" si="1"/>
        <v>جيد جداً</v>
      </c>
      <c r="I19" s="61"/>
      <c r="J19" s="62"/>
    </row>
    <row r="20" spans="1:10" ht="39.950000000000003" customHeight="1" x14ac:dyDescent="0.2">
      <c r="A20" s="11"/>
      <c r="B20" s="53" t="s">
        <v>193</v>
      </c>
      <c r="C20" s="54"/>
      <c r="D20" s="54"/>
      <c r="E20" s="9">
        <v>6</v>
      </c>
      <c r="F20" s="27">
        <v>4.75</v>
      </c>
      <c r="G20" s="38">
        <f t="shared" si="0"/>
        <v>0.79166666666666663</v>
      </c>
      <c r="H20" s="39" t="str">
        <f t="shared" si="1"/>
        <v>جيد</v>
      </c>
      <c r="I20" s="61"/>
      <c r="J20" s="62"/>
    </row>
    <row r="21" spans="1:10" ht="39.950000000000003" customHeight="1" thickBot="1" x14ac:dyDescent="0.25">
      <c r="A21" s="11"/>
      <c r="B21" s="55" t="s">
        <v>194</v>
      </c>
      <c r="C21" s="56"/>
      <c r="D21" s="56"/>
      <c r="E21" s="34">
        <v>6</v>
      </c>
      <c r="F21" s="29">
        <v>5</v>
      </c>
      <c r="G21" s="43">
        <f t="shared" si="0"/>
        <v>0.83333333333333337</v>
      </c>
      <c r="H21" s="44" t="str">
        <f t="shared" si="1"/>
        <v>جيد جداً</v>
      </c>
      <c r="I21" s="63"/>
      <c r="J21" s="64"/>
    </row>
    <row r="22" spans="1:10" ht="39.950000000000003" customHeight="1" x14ac:dyDescent="0.2">
      <c r="A22" s="11"/>
      <c r="B22" s="57" t="s">
        <v>195</v>
      </c>
      <c r="C22" s="58"/>
      <c r="D22" s="58"/>
      <c r="E22" s="35"/>
      <c r="F22" s="40"/>
      <c r="G22" s="41"/>
      <c r="H22" s="42"/>
      <c r="I22" s="65"/>
      <c r="J22" s="66"/>
    </row>
    <row r="23" spans="1:10" ht="39.950000000000003" customHeight="1" x14ac:dyDescent="0.2">
      <c r="A23" s="11"/>
      <c r="B23" s="53" t="s">
        <v>196</v>
      </c>
      <c r="C23" s="54"/>
      <c r="D23" s="54"/>
      <c r="E23" s="31">
        <v>6</v>
      </c>
      <c r="F23" s="27">
        <v>4.75</v>
      </c>
      <c r="G23" s="38">
        <f t="shared" si="0"/>
        <v>0.79166666666666663</v>
      </c>
      <c r="H23" s="39" t="str">
        <f t="shared" si="1"/>
        <v>جيد</v>
      </c>
      <c r="I23" s="61"/>
      <c r="J23" s="62"/>
    </row>
    <row r="24" spans="1:10" ht="51" customHeight="1" x14ac:dyDescent="0.2">
      <c r="A24" s="11"/>
      <c r="B24" s="53" t="s">
        <v>197</v>
      </c>
      <c r="C24" s="54"/>
      <c r="D24" s="54"/>
      <c r="E24" s="31">
        <v>10</v>
      </c>
      <c r="F24" s="27">
        <v>7</v>
      </c>
      <c r="G24" s="38">
        <f t="shared" si="0"/>
        <v>0.7</v>
      </c>
      <c r="H24" s="39" t="str">
        <f t="shared" si="1"/>
        <v>جيد</v>
      </c>
      <c r="I24" s="61"/>
      <c r="J24" s="62"/>
    </row>
    <row r="25" spans="1:10" ht="39.950000000000003" customHeight="1" thickBot="1" x14ac:dyDescent="0.25">
      <c r="A25" s="11"/>
      <c r="B25" s="55" t="s">
        <v>198</v>
      </c>
      <c r="C25" s="56"/>
      <c r="D25" s="56"/>
      <c r="E25" s="32">
        <v>5</v>
      </c>
      <c r="F25" s="29">
        <v>3.75</v>
      </c>
      <c r="G25" s="43">
        <f t="shared" si="0"/>
        <v>0.75</v>
      </c>
      <c r="H25" s="44" t="str">
        <f t="shared" si="1"/>
        <v>جيد</v>
      </c>
      <c r="I25" s="63"/>
      <c r="J25" s="64"/>
    </row>
    <row r="26" spans="1:10" ht="39.950000000000003" customHeight="1" x14ac:dyDescent="0.2">
      <c r="A26" s="11"/>
      <c r="B26" s="51" t="s">
        <v>199</v>
      </c>
      <c r="C26" s="52"/>
      <c r="D26" s="52"/>
      <c r="E26" s="30"/>
      <c r="F26" s="40"/>
      <c r="G26" s="41"/>
      <c r="H26" s="42"/>
      <c r="I26" s="65"/>
      <c r="J26" s="66"/>
    </row>
    <row r="27" spans="1:10" ht="39.950000000000003" customHeight="1" x14ac:dyDescent="0.2">
      <c r="A27" s="11"/>
      <c r="B27" s="53" t="s">
        <v>200</v>
      </c>
      <c r="C27" s="54"/>
      <c r="D27" s="54"/>
      <c r="E27" s="9">
        <v>10</v>
      </c>
      <c r="F27" s="27">
        <v>8</v>
      </c>
      <c r="G27" s="38">
        <f t="shared" si="0"/>
        <v>0.8</v>
      </c>
      <c r="H27" s="39" t="str">
        <f t="shared" si="1"/>
        <v>جيد جداً</v>
      </c>
      <c r="I27" s="61"/>
      <c r="J27" s="62"/>
    </row>
    <row r="28" spans="1:10" ht="39.950000000000003" customHeight="1" thickBot="1" x14ac:dyDescent="0.25">
      <c r="A28" s="11"/>
      <c r="B28" s="55" t="s">
        <v>201</v>
      </c>
      <c r="C28" s="56"/>
      <c r="D28" s="56"/>
      <c r="E28" s="34">
        <v>10</v>
      </c>
      <c r="F28" s="29">
        <v>7.5</v>
      </c>
      <c r="G28" s="43">
        <f t="shared" si="0"/>
        <v>0.75</v>
      </c>
      <c r="H28" s="44" t="str">
        <f t="shared" si="1"/>
        <v>جيد</v>
      </c>
      <c r="I28" s="63"/>
      <c r="J28" s="64"/>
    </row>
    <row r="29" spans="1:10" ht="39.950000000000003" customHeight="1" x14ac:dyDescent="0.2">
      <c r="A29" s="11"/>
      <c r="B29" s="57" t="s">
        <v>202</v>
      </c>
      <c r="C29" s="58"/>
      <c r="D29" s="58"/>
      <c r="E29" s="30"/>
      <c r="F29" s="40"/>
      <c r="G29" s="41"/>
      <c r="H29" s="42"/>
      <c r="I29" s="65"/>
      <c r="J29" s="66"/>
    </row>
    <row r="30" spans="1:10" ht="39.950000000000003" customHeight="1" x14ac:dyDescent="0.2">
      <c r="A30" s="11"/>
      <c r="B30" s="59" t="s">
        <v>203</v>
      </c>
      <c r="C30" s="60"/>
      <c r="D30" s="60"/>
      <c r="E30" s="9">
        <v>5</v>
      </c>
      <c r="F30" s="27">
        <v>4</v>
      </c>
      <c r="G30" s="38">
        <f t="shared" si="0"/>
        <v>0.8</v>
      </c>
      <c r="H30" s="39" t="str">
        <f t="shared" si="1"/>
        <v>جيد جداً</v>
      </c>
      <c r="I30" s="61"/>
      <c r="J30" s="62"/>
    </row>
    <row r="31" spans="1:10" ht="39.950000000000003" customHeight="1" x14ac:dyDescent="0.2">
      <c r="A31" s="11"/>
      <c r="B31" s="59" t="s">
        <v>204</v>
      </c>
      <c r="C31" s="60"/>
      <c r="D31" s="60"/>
      <c r="E31" s="9">
        <v>6</v>
      </c>
      <c r="F31" s="27">
        <v>5</v>
      </c>
      <c r="G31" s="38">
        <f t="shared" si="0"/>
        <v>0.83333333333333337</v>
      </c>
      <c r="H31" s="39" t="str">
        <f t="shared" si="1"/>
        <v>جيد جداً</v>
      </c>
      <c r="I31" s="61"/>
      <c r="J31" s="62"/>
    </row>
    <row r="32" spans="1:10" ht="39.950000000000003" customHeight="1" x14ac:dyDescent="0.2">
      <c r="A32" s="11"/>
      <c r="B32" s="59" t="s">
        <v>205</v>
      </c>
      <c r="C32" s="60"/>
      <c r="D32" s="60"/>
      <c r="E32" s="9">
        <v>6</v>
      </c>
      <c r="F32" s="27">
        <v>4.5</v>
      </c>
      <c r="G32" s="38">
        <f t="shared" si="0"/>
        <v>0.75</v>
      </c>
      <c r="H32" s="39" t="str">
        <f t="shared" si="1"/>
        <v>جيد</v>
      </c>
      <c r="I32" s="61"/>
      <c r="J32" s="62"/>
    </row>
    <row r="33" spans="1:10" ht="39.950000000000003" customHeight="1" thickBot="1" x14ac:dyDescent="0.25">
      <c r="A33" s="11"/>
      <c r="B33" s="47" t="s">
        <v>206</v>
      </c>
      <c r="C33" s="48"/>
      <c r="D33" s="48"/>
      <c r="E33" s="32">
        <v>6</v>
      </c>
      <c r="F33" s="29">
        <v>5.25</v>
      </c>
      <c r="G33" s="43">
        <f t="shared" si="0"/>
        <v>0.875</v>
      </c>
      <c r="H33" s="44" t="str">
        <f t="shared" si="1"/>
        <v>جيد جداً</v>
      </c>
      <c r="I33" s="63"/>
      <c r="J33" s="64"/>
    </row>
    <row r="34" spans="1:10" ht="30" customHeight="1" thickBot="1" x14ac:dyDescent="0.25">
      <c r="A34" s="4"/>
      <c r="B34" s="67" t="s">
        <v>5</v>
      </c>
      <c r="C34" s="68"/>
      <c r="D34" s="68"/>
      <c r="E34" s="37">
        <f>SUM(E8:E33)</f>
        <v>150</v>
      </c>
      <c r="F34" s="37">
        <f>SUM(F8:F33)</f>
        <v>115.5</v>
      </c>
      <c r="G34" s="96"/>
      <c r="H34" s="97"/>
      <c r="I34" s="97"/>
      <c r="J34" s="98"/>
    </row>
    <row r="35" spans="1:10" ht="30" customHeight="1" thickBot="1" x14ac:dyDescent="0.25">
      <c r="A35" s="4"/>
      <c r="B35" s="69" t="s">
        <v>54</v>
      </c>
      <c r="C35" s="70"/>
      <c r="D35" s="70"/>
      <c r="E35" s="86">
        <f>F34/E34/100*100</f>
        <v>0.77</v>
      </c>
      <c r="F35" s="86"/>
      <c r="G35" s="86"/>
      <c r="H35" s="86"/>
      <c r="I35" s="86"/>
      <c r="J35" s="87"/>
    </row>
    <row r="36" spans="1:10" ht="30" customHeight="1" thickBot="1" x14ac:dyDescent="0.25">
      <c r="A36" s="4"/>
      <c r="B36" s="69" t="s">
        <v>55</v>
      </c>
      <c r="C36" s="70"/>
      <c r="D36" s="70"/>
      <c r="E36" s="77" t="str">
        <f>_xlfn.IFS(E35&gt;=90%,"ممتاز",E35&gt;=80%,"جيد جداً",E35&gt;=70%,"جيد",E35&gt;=60%,"مقبول",E35&lt;60%,"راسب")</f>
        <v>جيد</v>
      </c>
      <c r="F36" s="77"/>
      <c r="G36" s="77"/>
      <c r="H36" s="77"/>
      <c r="I36" s="77"/>
      <c r="J36" s="78"/>
    </row>
    <row r="37" spans="1:10" ht="42" customHeight="1" x14ac:dyDescent="0.2">
      <c r="B37" s="73" t="s">
        <v>174</v>
      </c>
      <c r="C37" s="73"/>
      <c r="D37" s="73"/>
      <c r="E37" s="94" t="s">
        <v>52</v>
      </c>
      <c r="F37" s="94"/>
      <c r="G37" s="75" t="s">
        <v>105</v>
      </c>
      <c r="H37" s="75"/>
      <c r="I37" s="75"/>
      <c r="J37" s="75"/>
    </row>
    <row r="38" spans="1:10" ht="51" customHeight="1" x14ac:dyDescent="0.2">
      <c r="A38" s="5"/>
      <c r="B38" s="74"/>
      <c r="C38" s="74"/>
      <c r="D38" s="74"/>
      <c r="E38" s="95" t="s">
        <v>53</v>
      </c>
      <c r="F38" s="95"/>
      <c r="G38" s="76"/>
      <c r="H38" s="76"/>
      <c r="I38" s="76"/>
      <c r="J38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E37:F37"/>
    <mergeCell ref="E38:F38"/>
    <mergeCell ref="G34:J34"/>
    <mergeCell ref="I9:J9"/>
    <mergeCell ref="I7:J7"/>
    <mergeCell ref="I10:J10"/>
    <mergeCell ref="I19:J19"/>
    <mergeCell ref="I20:J20"/>
    <mergeCell ref="I21:J21"/>
    <mergeCell ref="I33:J33"/>
    <mergeCell ref="I8:J8"/>
    <mergeCell ref="B37:D38"/>
    <mergeCell ref="G37:J37"/>
    <mergeCell ref="G38:J38"/>
    <mergeCell ref="E36:J36"/>
    <mergeCell ref="B1:J1"/>
    <mergeCell ref="F2:J2"/>
    <mergeCell ref="B5:D6"/>
    <mergeCell ref="C2:D2"/>
    <mergeCell ref="C3:D3"/>
    <mergeCell ref="F3:J3"/>
    <mergeCell ref="E35:J35"/>
    <mergeCell ref="B7:D7"/>
    <mergeCell ref="I30:J30"/>
    <mergeCell ref="I31:J31"/>
    <mergeCell ref="E5:H5"/>
    <mergeCell ref="I5:J6"/>
    <mergeCell ref="B34:D34"/>
    <mergeCell ref="B35:D35"/>
    <mergeCell ref="B36:D3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2:J22"/>
    <mergeCell ref="B13:D13"/>
    <mergeCell ref="B14:D14"/>
    <mergeCell ref="B15:D15"/>
    <mergeCell ref="B16:D16"/>
    <mergeCell ref="I32:J32"/>
    <mergeCell ref="I23:J23"/>
    <mergeCell ref="I24:J24"/>
    <mergeCell ref="I25:J25"/>
    <mergeCell ref="I26:J26"/>
    <mergeCell ref="I27:J27"/>
    <mergeCell ref="B31:D31"/>
    <mergeCell ref="B32:D32"/>
    <mergeCell ref="B8:D8"/>
    <mergeCell ref="B9:D9"/>
    <mergeCell ref="B10:D10"/>
    <mergeCell ref="B11:D11"/>
    <mergeCell ref="B12:D12"/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F17 F25 F9 F11:F12 F30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E57C85F-CD35-45D5-8B1B-7469709ED2C1}">
          <x14:formula1>
            <xm:f>'بيانات التقييم'!$A$111:$A$145</xm:f>
          </x14:formula1>
          <xm:sqref>F10</xm:sqref>
        </x14:dataValidation>
        <x14:dataValidation type="list" allowBlank="1" showInputMessage="1" showErrorMessage="1" xr:uid="{F486ED15-E659-4472-AFB1-6D20FDE27AA0}">
          <x14:formula1>
            <xm:f>'بيانات التقييم'!$A$111:$A$153</xm:f>
          </x14:formula1>
          <xm:sqref>F13:F16 F24 F27 F28</xm:sqref>
        </x14:dataValidation>
        <x14:dataValidation type="list" allowBlank="1" showInputMessage="1" showErrorMessage="1" xr:uid="{69B34E0D-46B7-419B-A848-76314E7C967B}">
          <x14:formula1>
            <xm:f>'بيانات التقييم'!$A$111:$A$137</xm:f>
          </x14:formula1>
          <xm:sqref>F19 F20 F21 F23 F31 F32 F33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6" zoomScaleNormal="100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0" t="s">
        <v>177</v>
      </c>
    </row>
    <row r="30" spans="1:3" ht="20.100000000000001" customHeight="1" thickBot="1" x14ac:dyDescent="0.3">
      <c r="A30" s="2" t="s">
        <v>32</v>
      </c>
      <c r="C30" s="20" t="s">
        <v>178</v>
      </c>
    </row>
    <row r="31" spans="1:3" ht="20.100000000000001" customHeight="1" thickBot="1" x14ac:dyDescent="0.3">
      <c r="A31" s="2" t="s">
        <v>33</v>
      </c>
      <c r="C31" s="20" t="s">
        <v>179</v>
      </c>
    </row>
    <row r="32" spans="1:3" ht="20.100000000000001" customHeight="1" thickBot="1" x14ac:dyDescent="0.3">
      <c r="A32" s="2" t="s">
        <v>16</v>
      </c>
      <c r="C32" s="20"/>
    </row>
    <row r="33" spans="1:9" ht="20.100000000000001" customHeight="1" thickBot="1" x14ac:dyDescent="0.3">
      <c r="A33" s="2" t="s">
        <v>14</v>
      </c>
      <c r="C33" s="20"/>
    </row>
    <row r="34" spans="1:9" ht="20.100000000000001" customHeight="1" thickBot="1" x14ac:dyDescent="0.3">
      <c r="A34" s="2" t="s">
        <v>34</v>
      </c>
      <c r="C34" s="20"/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89</v>
      </c>
    </row>
    <row r="200" spans="1:1" ht="20.100000000000001" customHeight="1" x14ac:dyDescent="0.2">
      <c r="A200" s="21" t="s">
        <v>90</v>
      </c>
    </row>
    <row r="201" spans="1:1" ht="20.100000000000001" customHeight="1" x14ac:dyDescent="0.2">
      <c r="A201" s="21" t="s">
        <v>91</v>
      </c>
    </row>
    <row r="202" spans="1:1" ht="20.100000000000001" customHeight="1" x14ac:dyDescent="0.2">
      <c r="A202" s="21" t="s">
        <v>92</v>
      </c>
    </row>
    <row r="203" spans="1:1" ht="20.100000000000001" customHeight="1" x14ac:dyDescent="0.2">
      <c r="A203" s="21" t="s">
        <v>93</v>
      </c>
    </row>
    <row r="204" spans="1:1" ht="20.100000000000001" customHeight="1" x14ac:dyDescent="0.2">
      <c r="A204" s="21" t="s">
        <v>94</v>
      </c>
    </row>
    <row r="205" spans="1:1" ht="20.100000000000001" customHeight="1" x14ac:dyDescent="0.2">
      <c r="A205" s="21" t="s">
        <v>95</v>
      </c>
    </row>
    <row r="206" spans="1:1" ht="20.100000000000001" customHeight="1" x14ac:dyDescent="0.2">
      <c r="A206" s="21" t="s">
        <v>96</v>
      </c>
    </row>
    <row r="207" spans="1:1" ht="20.100000000000001" customHeight="1" x14ac:dyDescent="0.2">
      <c r="A207" s="21" t="s">
        <v>97</v>
      </c>
    </row>
    <row r="208" spans="1:1" ht="20.100000000000001" customHeight="1" x14ac:dyDescent="0.2">
      <c r="A208" s="22" t="s">
        <v>98</v>
      </c>
    </row>
    <row r="209" spans="1:1" ht="20.100000000000001" customHeight="1" x14ac:dyDescent="0.2">
      <c r="A209" s="22" t="s">
        <v>99</v>
      </c>
    </row>
    <row r="210" spans="1:1" ht="20.100000000000001" customHeight="1" x14ac:dyDescent="0.2">
      <c r="A210" s="21" t="s">
        <v>100</v>
      </c>
    </row>
    <row r="211" spans="1:1" ht="20.100000000000001" customHeight="1" x14ac:dyDescent="0.2">
      <c r="A211" s="21" t="s">
        <v>101</v>
      </c>
    </row>
    <row r="212" spans="1:1" ht="20.100000000000001" customHeight="1" x14ac:dyDescent="0.2">
      <c r="A212" s="21" t="s">
        <v>175</v>
      </c>
    </row>
    <row r="213" spans="1:1" ht="20.100000000000001" customHeight="1" x14ac:dyDescent="0.2">
      <c r="A213" s="21" t="s">
        <v>102</v>
      </c>
    </row>
    <row r="214" spans="1:1" ht="20.100000000000001" customHeight="1" x14ac:dyDescent="0.2">
      <c r="A214" s="21" t="s">
        <v>103</v>
      </c>
    </row>
    <row r="215" spans="1:1" ht="20.100000000000001" customHeight="1" x14ac:dyDescent="0.2">
      <c r="A215" s="21" t="s">
        <v>104</v>
      </c>
    </row>
    <row r="216" spans="1:1" ht="20.100000000000001" customHeight="1" x14ac:dyDescent="0.2">
      <c r="A216" s="21" t="s">
        <v>105</v>
      </c>
    </row>
    <row r="217" spans="1:1" ht="20.100000000000001" customHeight="1" x14ac:dyDescent="0.2">
      <c r="A217" s="21" t="s">
        <v>106</v>
      </c>
    </row>
    <row r="218" spans="1:1" ht="20.100000000000001" customHeight="1" x14ac:dyDescent="0.2">
      <c r="A218" s="21" t="s">
        <v>107</v>
      </c>
    </row>
    <row r="219" spans="1:1" ht="20.100000000000001" customHeight="1" x14ac:dyDescent="0.2">
      <c r="A219" s="21" t="s">
        <v>108</v>
      </c>
    </row>
    <row r="220" spans="1:1" ht="20.100000000000001" customHeight="1" x14ac:dyDescent="0.2">
      <c r="A220" s="21" t="s">
        <v>109</v>
      </c>
    </row>
    <row r="221" spans="1:1" ht="20.100000000000001" customHeight="1" x14ac:dyDescent="0.2">
      <c r="A221" s="21" t="s">
        <v>110</v>
      </c>
    </row>
    <row r="222" spans="1:1" ht="20.100000000000001" customHeight="1" x14ac:dyDescent="0.2">
      <c r="A222" s="21" t="s">
        <v>111</v>
      </c>
    </row>
    <row r="223" spans="1:1" ht="20.100000000000001" customHeight="1" x14ac:dyDescent="0.2">
      <c r="A223" s="21" t="s">
        <v>112</v>
      </c>
    </row>
    <row r="224" spans="1:1" ht="20.100000000000001" customHeight="1" x14ac:dyDescent="0.2">
      <c r="A224" s="21" t="s">
        <v>176</v>
      </c>
    </row>
    <row r="225" spans="1:1" ht="20.100000000000001" customHeight="1" x14ac:dyDescent="0.2">
      <c r="A225" s="21" t="s">
        <v>113</v>
      </c>
    </row>
    <row r="226" spans="1:1" ht="20.100000000000001" customHeight="1" x14ac:dyDescent="0.2">
      <c r="A226" s="21" t="s">
        <v>114</v>
      </c>
    </row>
    <row r="227" spans="1:1" ht="20.100000000000001" customHeight="1" x14ac:dyDescent="0.2">
      <c r="A227" s="21" t="s">
        <v>115</v>
      </c>
    </row>
    <row r="228" spans="1:1" ht="20.100000000000001" customHeight="1" x14ac:dyDescent="0.2">
      <c r="A228" s="21" t="s">
        <v>116</v>
      </c>
    </row>
    <row r="229" spans="1:1" ht="20.100000000000001" customHeight="1" x14ac:dyDescent="0.2">
      <c r="A229" s="21" t="s">
        <v>117</v>
      </c>
    </row>
    <row r="230" spans="1:1" ht="20.100000000000001" customHeight="1" x14ac:dyDescent="0.2">
      <c r="A230" s="21" t="s">
        <v>118</v>
      </c>
    </row>
    <row r="231" spans="1:1" ht="20.100000000000001" customHeight="1" x14ac:dyDescent="0.2">
      <c r="A231" s="21" t="s">
        <v>119</v>
      </c>
    </row>
    <row r="232" spans="1:1" ht="20.100000000000001" customHeight="1" x14ac:dyDescent="0.2">
      <c r="A232" s="21" t="s">
        <v>120</v>
      </c>
    </row>
    <row r="233" spans="1:1" ht="20.100000000000001" customHeight="1" x14ac:dyDescent="0.2">
      <c r="A233" s="21" t="s">
        <v>121</v>
      </c>
    </row>
    <row r="234" spans="1:1" ht="20.100000000000001" customHeight="1" x14ac:dyDescent="0.2">
      <c r="A234" s="21" t="s">
        <v>122</v>
      </c>
    </row>
    <row r="235" spans="1:1" ht="20.100000000000001" customHeight="1" x14ac:dyDescent="0.2">
      <c r="A235" s="21" t="s">
        <v>123</v>
      </c>
    </row>
    <row r="236" spans="1:1" ht="20.100000000000001" customHeight="1" x14ac:dyDescent="0.2">
      <c r="A236" s="23" t="s">
        <v>124</v>
      </c>
    </row>
    <row r="237" spans="1:1" ht="20.100000000000001" customHeight="1" x14ac:dyDescent="0.2">
      <c r="A237" s="21" t="s">
        <v>125</v>
      </c>
    </row>
    <row r="238" spans="1:1" ht="20.100000000000001" customHeight="1" x14ac:dyDescent="0.2">
      <c r="A238" s="21" t="s">
        <v>126</v>
      </c>
    </row>
    <row r="239" spans="1:1" ht="20.100000000000001" customHeight="1" x14ac:dyDescent="0.2">
      <c r="A239" s="21" t="s">
        <v>127</v>
      </c>
    </row>
    <row r="240" spans="1:1" ht="20.100000000000001" customHeight="1" x14ac:dyDescent="0.2">
      <c r="A240" s="21" t="s">
        <v>128</v>
      </c>
    </row>
    <row r="241" spans="1:1" ht="20.100000000000001" customHeight="1" x14ac:dyDescent="0.2">
      <c r="A241" s="21" t="s">
        <v>129</v>
      </c>
    </row>
    <row r="242" spans="1:1" ht="20.100000000000001" customHeight="1" x14ac:dyDescent="0.2">
      <c r="A242" s="21" t="s">
        <v>130</v>
      </c>
    </row>
    <row r="243" spans="1:1" ht="20.100000000000001" customHeight="1" x14ac:dyDescent="0.2">
      <c r="A243" s="21" t="s">
        <v>131</v>
      </c>
    </row>
    <row r="244" spans="1:1" ht="20.100000000000001" customHeight="1" x14ac:dyDescent="0.2">
      <c r="A244" s="21" t="s">
        <v>132</v>
      </c>
    </row>
    <row r="245" spans="1:1" ht="20.100000000000001" customHeight="1" x14ac:dyDescent="0.2">
      <c r="A245" s="21" t="s">
        <v>133</v>
      </c>
    </row>
    <row r="246" spans="1:1" ht="20.100000000000001" customHeight="1" x14ac:dyDescent="0.2">
      <c r="A246" s="21" t="s">
        <v>134</v>
      </c>
    </row>
    <row r="247" spans="1:1" ht="20.100000000000001" customHeight="1" x14ac:dyDescent="0.2">
      <c r="A247" s="21" t="s">
        <v>135</v>
      </c>
    </row>
    <row r="248" spans="1:1" ht="20.100000000000001" customHeight="1" x14ac:dyDescent="0.2">
      <c r="A248" s="21" t="s">
        <v>126</v>
      </c>
    </row>
    <row r="249" spans="1:1" ht="20.100000000000001" customHeight="1" x14ac:dyDescent="0.2">
      <c r="A249" s="21" t="s">
        <v>136</v>
      </c>
    </row>
    <row r="250" spans="1:1" ht="20.100000000000001" customHeight="1" x14ac:dyDescent="0.2">
      <c r="A250" s="21" t="s">
        <v>137</v>
      </c>
    </row>
    <row r="251" spans="1:1" ht="20.100000000000001" customHeight="1" x14ac:dyDescent="0.2">
      <c r="A251" s="23" t="s">
        <v>138</v>
      </c>
    </row>
    <row r="252" spans="1:1" ht="20.100000000000001" customHeight="1" x14ac:dyDescent="0.2">
      <c r="A252" s="24" t="s">
        <v>139</v>
      </c>
    </row>
    <row r="253" spans="1:1" ht="20.100000000000001" customHeight="1" x14ac:dyDescent="0.2">
      <c r="A253" s="21" t="s">
        <v>140</v>
      </c>
    </row>
    <row r="254" spans="1:1" ht="20.100000000000001" customHeight="1" x14ac:dyDescent="0.2">
      <c r="A254" s="21" t="s">
        <v>141</v>
      </c>
    </row>
    <row r="255" spans="1:1" ht="20.100000000000001" customHeight="1" x14ac:dyDescent="0.2">
      <c r="A255" s="25" t="s">
        <v>142</v>
      </c>
    </row>
    <row r="256" spans="1:1" ht="20.100000000000001" customHeight="1" x14ac:dyDescent="0.2">
      <c r="A256" s="25" t="s">
        <v>143</v>
      </c>
    </row>
    <row r="257" spans="1:1" ht="20.100000000000001" customHeight="1" x14ac:dyDescent="0.2">
      <c r="A257" s="26" t="s">
        <v>144</v>
      </c>
    </row>
    <row r="258" spans="1:1" ht="20.100000000000001" customHeight="1" x14ac:dyDescent="0.2">
      <c r="A258" s="21" t="s">
        <v>145</v>
      </c>
    </row>
    <row r="259" spans="1:1" ht="20.100000000000001" customHeight="1" x14ac:dyDescent="0.2">
      <c r="A259" s="26" t="s">
        <v>146</v>
      </c>
    </row>
    <row r="260" spans="1:1" ht="20.100000000000001" customHeight="1" x14ac:dyDescent="0.2">
      <c r="A260" s="21" t="s">
        <v>147</v>
      </c>
    </row>
    <row r="261" spans="1:1" ht="20.100000000000001" customHeight="1" x14ac:dyDescent="0.2">
      <c r="A261" s="26" t="s">
        <v>148</v>
      </c>
    </row>
    <row r="262" spans="1:1" ht="20.100000000000001" customHeight="1" x14ac:dyDescent="0.2">
      <c r="A262" s="21" t="s">
        <v>149</v>
      </c>
    </row>
    <row r="263" spans="1:1" ht="20.100000000000001" customHeight="1" x14ac:dyDescent="0.2">
      <c r="A263" s="21" t="s">
        <v>150</v>
      </c>
    </row>
    <row r="264" spans="1:1" ht="20.100000000000001" customHeight="1" x14ac:dyDescent="0.2">
      <c r="A264" s="26" t="s">
        <v>151</v>
      </c>
    </row>
    <row r="265" spans="1:1" ht="20.100000000000001" customHeight="1" x14ac:dyDescent="0.2">
      <c r="A265" s="26" t="s">
        <v>152</v>
      </c>
    </row>
    <row r="266" spans="1:1" ht="20.100000000000001" customHeight="1" x14ac:dyDescent="0.2">
      <c r="A266" s="26" t="s">
        <v>153</v>
      </c>
    </row>
    <row r="267" spans="1:1" ht="20.100000000000001" customHeight="1" x14ac:dyDescent="0.2">
      <c r="A267" s="21" t="s">
        <v>154</v>
      </c>
    </row>
    <row r="268" spans="1:1" ht="20.100000000000001" customHeight="1" x14ac:dyDescent="0.2">
      <c r="A268" s="21" t="s">
        <v>155</v>
      </c>
    </row>
    <row r="269" spans="1:1" ht="20.100000000000001" customHeight="1" x14ac:dyDescent="0.2">
      <c r="A269" s="21" t="s">
        <v>156</v>
      </c>
    </row>
    <row r="270" spans="1:1" ht="20.100000000000001" customHeight="1" x14ac:dyDescent="0.2">
      <c r="A270" s="21" t="s">
        <v>157</v>
      </c>
    </row>
    <row r="271" spans="1:1" ht="20.100000000000001" customHeight="1" x14ac:dyDescent="0.2">
      <c r="A271" s="26" t="s">
        <v>158</v>
      </c>
    </row>
    <row r="272" spans="1:1" ht="20.100000000000001" customHeight="1" x14ac:dyDescent="0.2">
      <c r="A272" s="26" t="s">
        <v>159</v>
      </c>
    </row>
    <row r="273" spans="1:1" ht="20.100000000000001" customHeight="1" x14ac:dyDescent="0.2">
      <c r="A273" s="21" t="s">
        <v>160</v>
      </c>
    </row>
    <row r="274" spans="1:1" ht="20.100000000000001" customHeight="1" x14ac:dyDescent="0.2">
      <c r="A274" s="26" t="s">
        <v>161</v>
      </c>
    </row>
    <row r="275" spans="1:1" ht="20.100000000000001" customHeight="1" x14ac:dyDescent="0.2">
      <c r="A275" s="26" t="s">
        <v>162</v>
      </c>
    </row>
    <row r="276" spans="1:1" ht="20.100000000000001" customHeight="1" x14ac:dyDescent="0.2">
      <c r="A276" s="21" t="s">
        <v>163</v>
      </c>
    </row>
    <row r="277" spans="1:1" ht="20.100000000000001" customHeight="1" x14ac:dyDescent="0.2">
      <c r="A277" s="21" t="s">
        <v>164</v>
      </c>
    </row>
    <row r="278" spans="1:1" ht="20.100000000000001" customHeight="1" x14ac:dyDescent="0.2">
      <c r="A278" s="26" t="s">
        <v>165</v>
      </c>
    </row>
    <row r="279" spans="1:1" ht="20.100000000000001" customHeight="1" x14ac:dyDescent="0.2">
      <c r="A279" s="21" t="s">
        <v>166</v>
      </c>
    </row>
    <row r="280" spans="1:1" ht="20.100000000000001" customHeight="1" x14ac:dyDescent="0.2">
      <c r="A280" s="21" t="s">
        <v>167</v>
      </c>
    </row>
    <row r="281" spans="1:1" ht="20.100000000000001" customHeight="1" x14ac:dyDescent="0.2">
      <c r="A281" s="21" t="s">
        <v>168</v>
      </c>
    </row>
    <row r="282" spans="1:1" ht="20.100000000000001" customHeight="1" x14ac:dyDescent="0.2">
      <c r="A282" s="21" t="s">
        <v>169</v>
      </c>
    </row>
    <row r="283" spans="1:1" ht="20.100000000000001" customHeight="1" x14ac:dyDescent="0.2">
      <c r="A283" s="26" t="s">
        <v>170</v>
      </c>
    </row>
    <row r="284" spans="1:1" ht="20.100000000000001" customHeight="1" x14ac:dyDescent="0.2">
      <c r="A284" s="26" t="s">
        <v>171</v>
      </c>
    </row>
    <row r="285" spans="1:1" ht="20.100000000000001" customHeight="1" x14ac:dyDescent="0.2">
      <c r="A285" s="26" t="s">
        <v>172</v>
      </c>
    </row>
    <row r="286" spans="1:1" ht="20.100000000000001" customHeight="1" thickBot="1" x14ac:dyDescent="0.25">
      <c r="A286" s="21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2025-09-22T05:44:47Z</dcterms:modified>
</cp:coreProperties>
</file>