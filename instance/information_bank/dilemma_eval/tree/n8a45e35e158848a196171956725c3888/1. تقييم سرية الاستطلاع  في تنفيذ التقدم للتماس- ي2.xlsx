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التقييم'!$A$1:$J$31</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2" i="2"/>
  <c r="H12" i="2" s="1"/>
  <c r="G13" i="2"/>
  <c r="H13" i="2" s="1"/>
  <c r="G14" i="2"/>
  <c r="H14" i="2" s="1"/>
  <c r="G15" i="2"/>
  <c r="H15" i="2" s="1"/>
  <c r="G16" i="2"/>
  <c r="H16" i="2" s="1"/>
  <c r="G17" i="2"/>
  <c r="H17" i="2" s="1"/>
  <c r="G18" i="2"/>
  <c r="H18" i="2" s="1"/>
  <c r="G20" i="2"/>
  <c r="H20" i="2" s="1"/>
  <c r="G21" i="2"/>
  <c r="H21" i="2" s="1"/>
  <c r="G22" i="2"/>
  <c r="H22" i="2" s="1"/>
  <c r="G23" i="2"/>
  <c r="H23" i="2" s="1"/>
  <c r="G24" i="2"/>
  <c r="H24" i="2" s="1"/>
  <c r="G25" i="2"/>
  <c r="H25" i="2" s="1"/>
  <c r="G26" i="2"/>
  <c r="H26" i="2" s="1"/>
  <c r="F27" i="2" l="1"/>
  <c r="E27" i="2" l="1"/>
  <c r="E28" i="2" l="1"/>
  <c r="E29" i="2" s="1"/>
</calcChain>
</file>

<file path=xl/sharedStrings.xml><?xml version="1.0" encoding="utf-8"?>
<sst xmlns="http://schemas.openxmlformats.org/spreadsheetml/2006/main" count="64" uniqueCount="48">
  <si>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</si>
  <si>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</si>
  <si>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</si>
  <si>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</si>
  <si>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</si>
  <si>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</si>
  <si>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</si>
  <si>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</si>
  <si>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</si>
  <si>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</si>
  <si>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</si>
  <si>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</si>
  <si>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</si>
  <si>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</si>
  <si>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</si>
  <si>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</si>
  <si>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</si>
  <si>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</si>
  <si>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</si>
  <si>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</si>
  <si>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</si>
  <si>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</si>
  <si>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</si>
  <si>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</si>
  <si>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</si>
  <si>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</si>
  <si>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</si>
  <si>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</si>
  <si>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</si>
  <si>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r>
      <t>1.</t>
    </r>
    <r>
      <rPr>
        <sz val="7"/>
        <color rgb="FF000000"/>
        <rFont val="Times New Roman"/>
        <family val="1"/>
      </rPr>
      <t xml:space="preserve">        </t>
    </r>
    <r>
      <rPr>
        <sz val="12"/>
        <color rgb="FF000000"/>
        <rFont val="Arial"/>
        <family val="2"/>
      </rPr>
      <t>يعمل قائد سرية الاستطلاع على فهم الموقف باستخدام معدات الاتصال المتوفرة، والخرائط .</t>
    </r>
  </si>
  <si>
    <r>
      <t>2.</t>
    </r>
    <r>
      <rPr>
        <sz val="7"/>
        <color rgb="FF000000"/>
        <rFont val="Times New Roman"/>
        <family val="1"/>
      </rPr>
      <t xml:space="preserve">        </t>
    </r>
    <r>
      <rPr>
        <sz val="12"/>
        <color rgb="FF000000"/>
        <rFont val="Arial"/>
        <family val="2"/>
      </rPr>
      <t>يقوم قائد السرية بدراسة الارض على ضوء خطة سرية الاستطلاع وخطة جمع المعلومات الصادرة من ركن استخبارات اللواء بوضع خطته ويقوم بتوزيع مجموعات سرية الاستطلاع وبحيث تغطي محور التقدم على أن تكون أقواس المراقبة متقاطعة بين المجموعات مع الاحتفاظ بعناصر أو مجموعات استطلاع كاحتياط لتبديل أو تعويض مجموعات سرية الاستطلاع أو دفعها في اتجاه آخر.</t>
    </r>
  </si>
  <si>
    <t>إجراءات التحضير.</t>
  </si>
  <si>
    <r>
      <t>1.</t>
    </r>
    <r>
      <rPr>
        <sz val="7"/>
        <color rgb="FF000000"/>
        <rFont val="Times New Roman"/>
        <family val="1"/>
      </rPr>
      <t xml:space="preserve">        </t>
    </r>
    <r>
      <rPr>
        <sz val="12"/>
        <color rgb="FF000000"/>
        <rFont val="Arial"/>
        <family val="2"/>
      </rPr>
      <t>يقوم قائد سرية الاستطلاع بالإشراف على الفصائل أثناء تحضيرها للتقدم للتماس.</t>
    </r>
  </si>
  <si>
    <r>
      <t>2.</t>
    </r>
    <r>
      <rPr>
        <sz val="7"/>
        <color rgb="FF000000"/>
        <rFont val="Times New Roman"/>
        <family val="1"/>
      </rPr>
      <t xml:space="preserve">        </t>
    </r>
    <r>
      <rPr>
        <sz val="12"/>
        <color rgb="FF000000"/>
        <rFont val="Arial"/>
        <family val="2"/>
      </rPr>
      <t>تنفذ قيادة سرية الاستطلاع الإجراءات التالية:</t>
    </r>
  </si>
  <si>
    <t>أ. تنقيح الخطة بناءً على التحديث المستمر للمعلومات الاستخبارية.</t>
  </si>
  <si>
    <t>ب. تنفيذ الاستطلاع الواسع.</t>
  </si>
  <si>
    <t>جـ. تنفيذ تفقدات وتفتيشات ما قبل القتال.</t>
  </si>
  <si>
    <t>د. التنسيق مع قيادة اللواء.</t>
  </si>
  <si>
    <t>هـ. الإشراف على عملية التخطيط والتحضير للوحدات المرؤوسة لضمان أن التخطيط والتحضير يتماشى مع قصد قائد مجموعة اللواء.</t>
  </si>
  <si>
    <r>
      <t xml:space="preserve">2.       </t>
    </r>
    <r>
      <rPr>
        <u/>
        <sz val="12"/>
        <color rgb="FF000000"/>
        <rFont val="Arial"/>
        <family val="2"/>
      </rPr>
      <t>مجموعات الاستطلاع</t>
    </r>
    <r>
      <rPr>
        <sz val="12"/>
        <color rgb="FF000000"/>
        <rFont val="Arial"/>
        <family val="2"/>
      </rPr>
      <t>. تندفع مجاميع الاستطلاع أمام التشكيل المتقدم، أو على الأجنحة المكشوفة لمجموعة اللواء المتقدم.</t>
    </r>
  </si>
  <si>
    <r>
      <t xml:space="preserve">3.       </t>
    </r>
    <r>
      <rPr>
        <b/>
        <u/>
        <sz val="12"/>
        <color rgb="FF000000"/>
        <rFont val="Arial"/>
        <family val="2"/>
      </rPr>
      <t>الطائرات المسيرة.</t>
    </r>
    <r>
      <rPr>
        <sz val="12"/>
        <color rgb="FF000000"/>
        <rFont val="Arial"/>
        <family val="2"/>
      </rPr>
      <t xml:space="preserve"> تقوم بتأكيد معلومات المتحصل عليها من قبل عناصر الاستطلاع الاخرى.</t>
    </r>
  </si>
  <si>
    <t xml:space="preserve">4.       يقوم قائد سرية الاستطلاع بعمل استطلاع المنطقة للحصول على معلومات تفصيلية تخص طبيعة الأرض أو نشاط العدو. </t>
  </si>
  <si>
    <t>5.       يقوم قائد سرية الاستطلاع بتنفيذ استطلاع الممر لتطهير الممرات من الموانع وقوات العدو والحصول على معلومات مفصلة عن ممر معين.</t>
  </si>
  <si>
    <t>6.       إبلاغ المستوى الأعلى بحصول التماس.</t>
  </si>
  <si>
    <t>7.       التقيد بقواعد الاشتباك.</t>
  </si>
  <si>
    <r>
      <t xml:space="preserve">1.       </t>
    </r>
    <r>
      <rPr>
        <u/>
        <sz val="12"/>
        <color rgb="FF000000"/>
        <rFont val="Arial"/>
        <family val="2"/>
      </rPr>
      <t>نقاط المراقبة الرادارية</t>
    </r>
    <r>
      <rPr>
        <sz val="12"/>
        <color rgb="FF000000"/>
        <rFont val="Arial"/>
        <family val="2"/>
      </rPr>
      <t>. يندفع الرادار بالقفزات وطبقاً للتوقيتات المحددة في خطة الاستطلاع خلف سرية مقدمة الحرس.</t>
    </r>
  </si>
  <si>
    <r>
      <t>إجراءات التنفيذ</t>
    </r>
    <r>
      <rPr>
        <sz val="12"/>
        <color rgb="FF000000"/>
        <rFont val="Arial"/>
        <family val="2"/>
      </rPr>
      <t>. نفذ  مهام الاستطلاع التالية:</t>
    </r>
  </si>
  <si>
    <t>تقييم سرية الاستطلاع في تنفيذ التقدم للتماس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</si>
</sst>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11"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2"/>
      <color rgb="FF000000"/>
      <name val="Arial"/>
      <family val="2"/>
    </font>
    <font>
      <sz val="10"/>
      <color theme="1"/>
      <name val="Calibri Light"/>
      <family val="2"/>
    </font>
    <font>
      <sz val="7"/>
      <color rgb="FF000000"/>
      <name val="Times New Roman"/>
      <family val="1"/>
    </font>
    <font>
      <u/>
      <sz val="12"/>
      <color rgb="FF000000"/>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20">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72">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2" fillId="0" borderId="8"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8" fillId="0" borderId="2" xfId="0" applyFont="1" applyBorder="1" applyAlignment="1">
      <alignment vertical="center" wrapText="1"/>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8" fillId="0" borderId="3" xfId="0" applyFont="1" applyBorder="1" applyAlignment="1">
      <alignment vertical="center" wrapText="1"/>
    </xf>
    <xf numFmtId="0" fontId="3" fillId="0" borderId="3" xfId="0" applyFont="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7" fillId="0" borderId="19" xfId="0" applyFont="1" applyBorder="1" applyAlignment="1">
      <alignment horizontal="right" vertical="center" wrapText="1" readingOrder="2"/>
    </xf>
    <xf numFmtId="0" fontId="7" fillId="0" borderId="2" xfId="0" applyFont="1" applyBorder="1" applyAlignment="1">
      <alignment horizontal="right" vertical="center" wrapText="1" readingOrder="2"/>
    </xf>
    <xf numFmtId="0" fontId="7" fillId="0" borderId="10" xfId="0" applyFont="1" applyBorder="1" applyAlignment="1">
      <alignment horizontal="right" vertical="center" wrapText="1" readingOrder="2"/>
    </xf>
    <xf numFmtId="0" fontId="7" fillId="0" borderId="11" xfId="0" applyFont="1" applyBorder="1" applyAlignment="1">
      <alignment horizontal="right" vertical="center" wrapText="1" readingOrder="2"/>
    </xf>
    <xf numFmtId="0" fontId="7" fillId="0" borderId="19" xfId="0" applyFont="1" applyBorder="1" applyAlignment="1">
      <alignment horizontal="right" vertical="center" wrapText="1" indent="2" readingOrder="2"/>
    </xf>
    <xf numFmtId="0" fontId="7" fillId="0" borderId="2" xfId="0" applyFont="1" applyBorder="1" applyAlignment="1">
      <alignment horizontal="right" vertical="center" wrapText="1" indent="2" readingOrder="2"/>
    </xf>
    <xf numFmtId="0" fontId="7" fillId="0" borderId="10" xfId="0" applyFont="1" applyBorder="1" applyAlignment="1">
      <alignment horizontal="right" vertical="center" wrapText="1" indent="2" readingOrder="2"/>
    </xf>
    <xf numFmtId="0" fontId="7" fillId="0" borderId="11" xfId="0" applyFont="1" applyBorder="1" applyAlignment="1">
      <alignment horizontal="right" vertical="center" wrapText="1" indent="2" readingOrder="2"/>
    </xf>
    <xf numFmtId="0" fontId="1" fillId="0" borderId="4" xfId="0" applyFont="1" applyBorder="1" applyAlignment="1">
      <alignment horizontal="right" vertical="center" wrapText="1" readingOrder="2"/>
    </xf>
    <xf numFmtId="0" fontId="1" fillId="0" borderId="3" xfId="0" applyFont="1" applyBorder="1" applyAlignment="1">
      <alignment horizontal="right" vertical="center" wrapText="1" readingOrder="2"/>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3" xfId="0" applyFont="1" applyBorder="1" applyAlignment="1">
      <alignment horizontal="center" vertical="center" wrapText="1" readingOrder="2"/>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5"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6" xfId="0" applyFont="1" applyFill="1" applyBorder="1" applyAlignment="1" applyProtection="1">
      <alignment horizontal="center" vertical="center" wrapText="1" readingOrder="2"/>
      <protection locked="0"/>
    </xf>
    <xf numFmtId="0" fontId="6" fillId="3" borderId="17" xfId="0" applyFont="1" applyFill="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5" fillId="3" borderId="18"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31"/>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71" t="s">
        <v>47</v>
      </c>
      <c r="C1" s="71"/>
      <c r="D1" s="71"/>
      <c r="E1" s="71"/>
      <c r="F1" s="71"/>
      <c r="G1" s="71"/>
      <c r="H1" s="71"/>
      <c r="I1" s="71"/>
      <c r="J1" s="71"/>
    </row>
    <row r="2" spans="1:10" ht="30" customHeight="1" x14ac:dyDescent="0.25">
      <c r="B2" s="12" t="s">
        <v>8</v>
      </c>
      <c r="C2" s="52" t="s">
        <v>23</v>
      </c>
      <c r="D2" s="52"/>
      <c r="E2" s="12" t="s">
        <v>7</v>
      </c>
      <c r="F2" s="47" t="s">
        <v>22</v>
      </c>
      <c r="G2" s="47"/>
      <c r="H2" s="47"/>
      <c r="I2" s="47"/>
      <c r="J2" s="47"/>
    </row>
    <row r="3" spans="1:10" ht="30" customHeight="1" x14ac:dyDescent="0.25">
      <c r="B3" s="12" t="s">
        <v>9</v>
      </c>
      <c r="C3" s="52" t="s">
        <v>25</v>
      </c>
      <c r="D3" s="52"/>
      <c r="E3" s="12" t="s">
        <v>6</v>
      </c>
      <c r="F3" s="52" t="s">
        <v>24</v>
      </c>
      <c r="G3" s="52"/>
      <c r="H3" s="52"/>
      <c r="I3" s="52"/>
      <c r="J3" s="52"/>
    </row>
    <row r="4" spans="1:10" ht="30" customHeight="1" thickBot="1" x14ac:dyDescent="0.3">
      <c r="B4" s="5"/>
      <c r="C4" s="6"/>
      <c r="D4" s="6"/>
      <c r="E4" s="5"/>
      <c r="F4" s="6"/>
      <c r="G4" s="6"/>
      <c r="H4" s="7"/>
      <c r="I4" s="6"/>
      <c r="J4" s="6"/>
    </row>
    <row r="5" spans="1:10" ht="24.95" customHeight="1" x14ac:dyDescent="0.25">
      <c r="A5" s="10"/>
      <c r="B5" s="48" t="s">
        <v>0</v>
      </c>
      <c r="C5" s="49"/>
      <c r="D5" s="49"/>
      <c r="E5" s="57" t="s">
        <v>1</v>
      </c>
      <c r="F5" s="57"/>
      <c r="G5" s="57"/>
      <c r="H5" s="57"/>
      <c r="I5" s="57" t="s">
        <v>2</v>
      </c>
      <c r="J5" s="58"/>
    </row>
    <row r="6" spans="1:10" ht="24.95" customHeight="1" thickBot="1" x14ac:dyDescent="0.3">
      <c r="A6" s="10"/>
      <c r="B6" s="50"/>
      <c r="C6" s="51"/>
      <c r="D6" s="51"/>
      <c r="E6" s="11" t="s">
        <v>3</v>
      </c>
      <c r="F6" s="11" t="s">
        <v>4</v>
      </c>
      <c r="G6" s="11" t="s">
        <v>15</v>
      </c>
      <c r="H6" s="11" t="s">
        <v>16</v>
      </c>
      <c r="I6" s="59"/>
      <c r="J6" s="60"/>
    </row>
    <row r="7" spans="1:10" ht="24.95" customHeight="1" thickBot="1" x14ac:dyDescent="0.3">
      <c r="A7" s="10"/>
      <c r="B7" s="55" t="s">
        <v>13</v>
      </c>
      <c r="C7" s="56"/>
      <c r="D7" s="56"/>
      <c r="E7" s="15" t="s">
        <v>10</v>
      </c>
      <c r="F7" s="15" t="s">
        <v>11</v>
      </c>
      <c r="G7" s="15" t="s">
        <v>14</v>
      </c>
      <c r="H7" s="15" t="s">
        <v>12</v>
      </c>
      <c r="I7" s="61" t="s">
        <v>17</v>
      </c>
      <c r="J7" s="62"/>
    </row>
    <row r="8" spans="1:10" ht="30" customHeight="1" x14ac:dyDescent="0.25">
      <c r="A8" s="10"/>
      <c r="B8" s="34" t="s">
        <v>28</v>
      </c>
      <c r="C8" s="35"/>
      <c r="D8" s="35"/>
      <c r="E8" s="19"/>
      <c r="F8" s="20"/>
      <c r="G8" s="21"/>
      <c r="H8" s="22"/>
      <c r="I8" s="43"/>
      <c r="J8" s="44"/>
    </row>
    <row r="9" spans="1:10" ht="39.950000000000003" customHeight="1" x14ac:dyDescent="0.25">
      <c r="A9" s="10"/>
      <c r="B9" s="26" t="s">
        <v>29</v>
      </c>
      <c r="C9" s="27"/>
      <c r="D9" s="27"/>
      <c r="E9" s="8">
        <v>5</v>
      </c>
      <c r="F9" s="13" t="s">
        <v>26</v>
      </c>
      <c r="G9" s="17" t="str">
        <f>IFERROR(F9/E9,"")</f>
        <v/>
      </c>
      <c r="H9" s="18" t="str">
        <f>_xlfn.IFS(F9="أدخل العلامة","",F9="لا ينطبق","تم الإلغاء",G9&gt;=90%,"ممتاز",G9&gt;=80%,"جيد جداً",G9&gt;=70%,"جيد",G9&gt;=60%,"مقبول",G9&lt;60%,"راسب")</f>
        <v/>
      </c>
      <c r="I9" s="36"/>
      <c r="J9" s="37"/>
    </row>
    <row r="10" spans="1:10" ht="96" customHeight="1" thickBot="1" x14ac:dyDescent="0.3">
      <c r="A10" s="10"/>
      <c r="B10" s="28" t="s">
        <v>30</v>
      </c>
      <c r="C10" s="29"/>
      <c r="D10" s="29"/>
      <c r="E10" s="23">
        <v>5</v>
      </c>
      <c r="F10" s="14" t="s">
        <v>26</v>
      </c>
      <c r="G10" s="24" t="str">
        <f t="shared" ref="G10:G26" si="0">IFERROR(F10/E10,"")</f>
        <v/>
      </c>
      <c r="H10" s="25" t="str">
        <f t="shared" ref="H10:H26" si="1">_xlfn.IFS(F10="أدخل العلامة","",F10="لا ينطبق","تم الإلغاء",G10&gt;=90%,"ممتاز",G10&gt;=80%,"جيد جداً",G10&gt;=70%,"جيد",G10&gt;=60%,"مقبول",G10&lt;60%,"راسب")</f>
        <v/>
      </c>
      <c r="I10" s="45"/>
      <c r="J10" s="46"/>
    </row>
    <row r="11" spans="1:10" ht="30" customHeight="1" x14ac:dyDescent="0.25">
      <c r="A11" s="10"/>
      <c r="B11" s="34" t="s">
        <v>31</v>
      </c>
      <c r="C11" s="35"/>
      <c r="D11" s="35"/>
      <c r="E11" s="19"/>
      <c r="F11" s="20"/>
      <c r="G11" s="21"/>
      <c r="H11" s="22"/>
      <c r="I11" s="43"/>
      <c r="J11" s="44"/>
    </row>
    <row r="12" spans="1:10" ht="39.950000000000003" customHeight="1" x14ac:dyDescent="0.25">
      <c r="A12" s="10"/>
      <c r="B12" s="26" t="s">
        <v>32</v>
      </c>
      <c r="C12" s="27"/>
      <c r="D12" s="27"/>
      <c r="E12" s="8">
        <v>5</v>
      </c>
      <c r="F12" s="13" t="s">
        <v>26</v>
      </c>
      <c r="G12" s="17" t="str">
        <f t="shared" si="0"/>
        <v/>
      </c>
      <c r="H12" s="18" t="str">
        <f t="shared" si="1"/>
        <v/>
      </c>
      <c r="I12" s="36"/>
      <c r="J12" s="37"/>
    </row>
    <row r="13" spans="1:10" ht="30" customHeight="1" x14ac:dyDescent="0.25">
      <c r="A13" s="10"/>
      <c r="B13" s="26" t="s">
        <v>33</v>
      </c>
      <c r="C13" s="27"/>
      <c r="D13" s="27"/>
      <c r="E13" s="16"/>
      <c r="F13" s="13" t="s">
        <v>26</v>
      </c>
      <c r="G13" s="17" t="str">
        <f t="shared" si="0"/>
        <v/>
      </c>
      <c r="H13" s="18" t="str">
        <f t="shared" si="1"/>
        <v/>
      </c>
      <c r="I13" s="36"/>
      <c r="J13" s="37"/>
    </row>
    <row r="14" spans="1:10" ht="30" customHeight="1" x14ac:dyDescent="0.25">
      <c r="A14" s="10"/>
      <c r="B14" s="30" t="s">
        <v>34</v>
      </c>
      <c r="C14" s="31"/>
      <c r="D14" s="31"/>
      <c r="E14" s="8">
        <v>5</v>
      </c>
      <c r="F14" s="13" t="s">
        <v>26</v>
      </c>
      <c r="G14" s="17" t="str">
        <f t="shared" si="0"/>
        <v/>
      </c>
      <c r="H14" s="18" t="str">
        <f t="shared" si="1"/>
        <v/>
      </c>
      <c r="I14" s="36"/>
      <c r="J14" s="37"/>
    </row>
    <row r="15" spans="1:10" ht="30" customHeight="1" x14ac:dyDescent="0.25">
      <c r="A15" s="10"/>
      <c r="B15" s="30" t="s">
        <v>35</v>
      </c>
      <c r="C15" s="31"/>
      <c r="D15" s="31"/>
      <c r="E15" s="8">
        <v>5</v>
      </c>
      <c r="F15" s="13" t="s">
        <v>26</v>
      </c>
      <c r="G15" s="17" t="str">
        <f t="shared" si="0"/>
        <v/>
      </c>
      <c r="H15" s="18" t="str">
        <f t="shared" si="1"/>
        <v/>
      </c>
      <c r="I15" s="36"/>
      <c r="J15" s="37"/>
    </row>
    <row r="16" spans="1:10" ht="30" customHeight="1" x14ac:dyDescent="0.25">
      <c r="A16" s="10"/>
      <c r="B16" s="30" t="s">
        <v>36</v>
      </c>
      <c r="C16" s="31"/>
      <c r="D16" s="31"/>
      <c r="E16" s="8">
        <v>5</v>
      </c>
      <c r="F16" s="13" t="s">
        <v>26</v>
      </c>
      <c r="G16" s="17" t="str">
        <f t="shared" si="0"/>
        <v/>
      </c>
      <c r="H16" s="18" t="str">
        <f t="shared" si="1"/>
        <v/>
      </c>
      <c r="I16" s="36"/>
      <c r="J16" s="37"/>
    </row>
    <row r="17" spans="1:10" ht="30" customHeight="1" x14ac:dyDescent="0.25">
      <c r="A17" s="10"/>
      <c r="B17" s="30" t="s">
        <v>37</v>
      </c>
      <c r="C17" s="31"/>
      <c r="D17" s="31"/>
      <c r="E17" s="8">
        <v>5</v>
      </c>
      <c r="F17" s="13" t="s">
        <v>26</v>
      </c>
      <c r="G17" s="17" t="str">
        <f t="shared" si="0"/>
        <v/>
      </c>
      <c r="H17" s="18" t="str">
        <f t="shared" si="1"/>
        <v/>
      </c>
      <c r="I17" s="36"/>
      <c r="J17" s="37"/>
    </row>
    <row r="18" spans="1:10" ht="39.950000000000003" customHeight="1" thickBot="1" x14ac:dyDescent="0.3">
      <c r="A18" s="10"/>
      <c r="B18" s="32" t="s">
        <v>38</v>
      </c>
      <c r="C18" s="33"/>
      <c r="D18" s="33"/>
      <c r="E18" s="23">
        <v>5</v>
      </c>
      <c r="F18" s="14" t="s">
        <v>26</v>
      </c>
      <c r="G18" s="24" t="str">
        <f t="shared" si="0"/>
        <v/>
      </c>
      <c r="H18" s="25" t="str">
        <f t="shared" si="1"/>
        <v/>
      </c>
      <c r="I18" s="45"/>
      <c r="J18" s="46"/>
    </row>
    <row r="19" spans="1:10" ht="30" customHeight="1" x14ac:dyDescent="0.25">
      <c r="A19" s="10"/>
      <c r="B19" s="34" t="s">
        <v>46</v>
      </c>
      <c r="C19" s="35"/>
      <c r="D19" s="35"/>
      <c r="E19" s="19"/>
      <c r="F19" s="20"/>
      <c r="G19" s="21"/>
      <c r="H19" s="22"/>
      <c r="I19" s="43"/>
      <c r="J19" s="44"/>
    </row>
    <row r="20" spans="1:10" ht="39.950000000000003" customHeight="1" x14ac:dyDescent="0.25">
      <c r="A20" s="10"/>
      <c r="B20" s="26" t="s">
        <v>45</v>
      </c>
      <c r="C20" s="27"/>
      <c r="D20" s="27"/>
      <c r="E20" s="8">
        <v>5</v>
      </c>
      <c r="F20" s="13" t="s">
        <v>26</v>
      </c>
      <c r="G20" s="17" t="str">
        <f t="shared" si="0"/>
        <v/>
      </c>
      <c r="H20" s="18" t="str">
        <f t="shared" si="1"/>
        <v/>
      </c>
      <c r="I20" s="36"/>
      <c r="J20" s="37"/>
    </row>
    <row r="21" spans="1:10" ht="39.950000000000003" customHeight="1" x14ac:dyDescent="0.25">
      <c r="A21" s="10"/>
      <c r="B21" s="26" t="s">
        <v>39</v>
      </c>
      <c r="C21" s="27"/>
      <c r="D21" s="27"/>
      <c r="E21" s="8">
        <v>5</v>
      </c>
      <c r="F21" s="13" t="s">
        <v>26</v>
      </c>
      <c r="G21" s="17" t="str">
        <f t="shared" si="0"/>
        <v/>
      </c>
      <c r="H21" s="18" t="str">
        <f t="shared" si="1"/>
        <v/>
      </c>
      <c r="I21" s="36"/>
      <c r="J21" s="37"/>
    </row>
    <row r="22" spans="1:10" ht="39.950000000000003" customHeight="1" x14ac:dyDescent="0.25">
      <c r="A22" s="10"/>
      <c r="B22" s="26" t="s">
        <v>40</v>
      </c>
      <c r="C22" s="27"/>
      <c r="D22" s="27"/>
      <c r="E22" s="8">
        <v>5</v>
      </c>
      <c r="F22" s="13" t="s">
        <v>26</v>
      </c>
      <c r="G22" s="17" t="str">
        <f t="shared" si="0"/>
        <v/>
      </c>
      <c r="H22" s="18" t="str">
        <f t="shared" si="1"/>
        <v/>
      </c>
      <c r="I22" s="36"/>
      <c r="J22" s="37"/>
    </row>
    <row r="23" spans="1:10" ht="39.950000000000003" customHeight="1" x14ac:dyDescent="0.25">
      <c r="A23" s="10"/>
      <c r="B23" s="26" t="s">
        <v>41</v>
      </c>
      <c r="C23" s="27"/>
      <c r="D23" s="27"/>
      <c r="E23" s="8">
        <v>5</v>
      </c>
      <c r="F23" s="13" t="s">
        <v>26</v>
      </c>
      <c r="G23" s="17" t="str">
        <f t="shared" si="0"/>
        <v/>
      </c>
      <c r="H23" s="18" t="str">
        <f t="shared" si="1"/>
        <v/>
      </c>
      <c r="I23" s="36"/>
      <c r="J23" s="37"/>
    </row>
    <row r="24" spans="1:10" ht="39.950000000000003" customHeight="1" x14ac:dyDescent="0.25">
      <c r="A24" s="10"/>
      <c r="B24" s="26" t="s">
        <v>42</v>
      </c>
      <c r="C24" s="27"/>
      <c r="D24" s="27"/>
      <c r="E24" s="8">
        <v>5</v>
      </c>
      <c r="F24" s="13" t="s">
        <v>26</v>
      </c>
      <c r="G24" s="17" t="str">
        <f t="shared" si="0"/>
        <v/>
      </c>
      <c r="H24" s="18" t="str">
        <f t="shared" si="1"/>
        <v/>
      </c>
      <c r="I24" s="36"/>
      <c r="J24" s="37"/>
    </row>
    <row r="25" spans="1:10" ht="30" customHeight="1" x14ac:dyDescent="0.25">
      <c r="A25" s="10"/>
      <c r="B25" s="26" t="s">
        <v>43</v>
      </c>
      <c r="C25" s="27"/>
      <c r="D25" s="27"/>
      <c r="E25" s="8">
        <v>5</v>
      </c>
      <c r="F25" s="13" t="s">
        <v>26</v>
      </c>
      <c r="G25" s="17" t="str">
        <f t="shared" si="0"/>
        <v/>
      </c>
      <c r="H25" s="18" t="str">
        <f t="shared" si="1"/>
        <v/>
      </c>
      <c r="I25" s="36"/>
      <c r="J25" s="37"/>
    </row>
    <row r="26" spans="1:10" ht="30" customHeight="1" thickBot="1" x14ac:dyDescent="0.3">
      <c r="A26" s="10"/>
      <c r="B26" s="28" t="s">
        <v>44</v>
      </c>
      <c r="C26" s="29"/>
      <c r="D26" s="29"/>
      <c r="E26" s="23">
        <v>5</v>
      </c>
      <c r="F26" s="14" t="s">
        <v>26</v>
      </c>
      <c r="G26" s="24" t="str">
        <f t="shared" si="0"/>
        <v/>
      </c>
      <c r="H26" s="25" t="str">
        <f t="shared" si="1"/>
        <v/>
      </c>
      <c r="I26" s="45"/>
      <c r="J26" s="46"/>
    </row>
    <row r="27" spans="1:10" ht="30" customHeight="1" thickBot="1" x14ac:dyDescent="0.3">
      <c r="A27" s="3"/>
      <c r="B27" s="69" t="s">
        <v>5</v>
      </c>
      <c r="C27" s="70"/>
      <c r="D27" s="70"/>
      <c r="E27" s="9">
        <f>SUM(E8:E26)</f>
        <v>75</v>
      </c>
      <c r="F27" s="9">
        <f>SUM(F8:F26)</f>
        <v>0</v>
      </c>
      <c r="G27" s="40"/>
      <c r="H27" s="41"/>
      <c r="I27" s="41"/>
      <c r="J27" s="42"/>
    </row>
    <row r="28" spans="1:10" ht="30" customHeight="1" thickBot="1" x14ac:dyDescent="0.3">
      <c r="A28" s="3"/>
      <c r="B28" s="69" t="s">
        <v>20</v>
      </c>
      <c r="C28" s="70"/>
      <c r="D28" s="70"/>
      <c r="E28" s="53">
        <f>F27/E27/100*100</f>
        <v>0</v>
      </c>
      <c r="F28" s="53"/>
      <c r="G28" s="53"/>
      <c r="H28" s="53"/>
      <c r="I28" s="53"/>
      <c r="J28" s="54"/>
    </row>
    <row r="29" spans="1:10" ht="30" customHeight="1" thickBot="1" x14ac:dyDescent="0.3">
      <c r="A29" s="3"/>
      <c r="B29" s="69" t="s">
        <v>21</v>
      </c>
      <c r="C29" s="70"/>
      <c r="D29" s="70"/>
      <c r="E29" s="67" t="str">
        <f>_xlfn.IFS(E28&gt;=90%,"ممتاز",E28&gt;=80%,"جيد جداً",E28&gt;=70%,"جيد",E28&gt;=60%,"مقبول",E28&lt;60%,"راسب")</f>
        <v>راسب</v>
      </c>
      <c r="F29" s="67"/>
      <c r="G29" s="67"/>
      <c r="H29" s="67"/>
      <c r="I29" s="67"/>
      <c r="J29" s="68"/>
    </row>
    <row r="30" spans="1:10" ht="42" customHeight="1" x14ac:dyDescent="0.25">
      <c r="B30" s="63" t="s">
        <v>27</v>
      </c>
      <c r="C30" s="63"/>
      <c r="D30" s="63"/>
      <c r="E30" s="38" t="s">
        <v>18</v>
      </c>
      <c r="F30" s="38"/>
      <c r="G30" s="65" t="s">
        <v>24</v>
      </c>
      <c r="H30" s="65"/>
      <c r="I30" s="65"/>
      <c r="J30" s="65"/>
    </row>
    <row r="31" spans="1:10" ht="51" customHeight="1" x14ac:dyDescent="0.25">
      <c r="A31" s="4"/>
      <c r="B31" s="64"/>
      <c r="C31" s="64"/>
      <c r="D31" s="64"/>
      <c r="E31" s="39" t="s">
        <v>19</v>
      </c>
      <c r="F31" s="39"/>
      <c r="G31" s="66"/>
      <c r="H31" s="66"/>
      <c r="I31" s="66"/>
      <c r="J31" s="66"/>
    </row>
  </sheetData>
  <sheetProtection sheet="1" formatCells="0" formatColumns="0" formatRows="0" insertColumns="0" insertRows="0" insertHyperlinks="0" deleteColumns="0" deleteRows="0" selectLockedCells="1" sort="0" autoFilter="0" pivotTables="0"/>
  <mergeCells count="59">
    <mergeCell ref="B30:D31"/>
    <mergeCell ref="G30:J30"/>
    <mergeCell ref="G31:J31"/>
    <mergeCell ref="E29:J29"/>
    <mergeCell ref="I8:J8"/>
    <mergeCell ref="B27:D27"/>
    <mergeCell ref="B28:D28"/>
    <mergeCell ref="B29:D29"/>
    <mergeCell ref="I11:J11"/>
    <mergeCell ref="I12:J12"/>
    <mergeCell ref="I13:J13"/>
    <mergeCell ref="I14:J14"/>
    <mergeCell ref="I15:J15"/>
    <mergeCell ref="I16:J16"/>
    <mergeCell ref="I17:J17"/>
    <mergeCell ref="I18:J18"/>
    <mergeCell ref="B7:D7"/>
    <mergeCell ref="E5:H5"/>
    <mergeCell ref="I5:J6"/>
    <mergeCell ref="I7:J7"/>
    <mergeCell ref="I10:J10"/>
    <mergeCell ref="B1:J1"/>
    <mergeCell ref="F2:J2"/>
    <mergeCell ref="B5:D6"/>
    <mergeCell ref="C2:D2"/>
    <mergeCell ref="C3:D3"/>
    <mergeCell ref="F3:J3"/>
    <mergeCell ref="E30:F30"/>
    <mergeCell ref="E31:F31"/>
    <mergeCell ref="G27:J27"/>
    <mergeCell ref="I19:J19"/>
    <mergeCell ref="I20:J20"/>
    <mergeCell ref="I21:J21"/>
    <mergeCell ref="I22:J22"/>
    <mergeCell ref="I23:J23"/>
    <mergeCell ref="I24:J24"/>
    <mergeCell ref="I25:J25"/>
    <mergeCell ref="I26:J26"/>
    <mergeCell ref="E28:J28"/>
    <mergeCell ref="B13:D13"/>
    <mergeCell ref="B14:D14"/>
    <mergeCell ref="B15:D15"/>
    <mergeCell ref="B16:D16"/>
    <mergeCell ref="I9:J9"/>
    <mergeCell ref="B8:D8"/>
    <mergeCell ref="B9:D9"/>
    <mergeCell ref="B10:D10"/>
    <mergeCell ref="B11:D11"/>
    <mergeCell ref="B12:D12"/>
    <mergeCell ref="B25:D25"/>
    <mergeCell ref="B26:D26"/>
    <mergeCell ref="B17:D17"/>
    <mergeCell ref="B18:D18"/>
    <mergeCell ref="B19:D19"/>
    <mergeCell ref="B20:D20"/>
    <mergeCell ref="B21:D21"/>
    <mergeCell ref="B22:D22"/>
    <mergeCell ref="B23:D23"/>
    <mergeCell ref="B24:D24"/>
  </mergeCells>
  <conditionalFormatting sqref="E29">
    <cfRule type="expression" dxfId="23" priority="57">
      <formula>$E29="راسب"</formula>
    </cfRule>
  </conditionalFormatting>
  <conditionalFormatting sqref="E29:J29">
    <cfRule type="expression" dxfId="22" priority="58">
      <formula>$E29="مقبول"</formula>
    </cfRule>
    <cfRule type="expression" dxfId="21" priority="59">
      <formula>$E29="جيد"</formula>
    </cfRule>
    <cfRule type="expression" dxfId="20" priority="60">
      <formula>$E29="جيد جداً"</formula>
    </cfRule>
    <cfRule type="expression" dxfId="19" priority="61">
      <formula>$E29="ممتاز"</formula>
    </cfRule>
  </conditionalFormatting>
  <conditionalFormatting sqref="H8 H10:H26">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26 F10:F26">
    <cfRule type="containsText" dxfId="13" priority="38" operator="containsText" text="أدخل العلامة">
      <formula>NOT(ISERROR(SEARCH("أدخل العلامة",F8)))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30:J30">
    <cfRule type="containsText" dxfId="8" priority="15" operator="containsText" text="أدخل اسم المحكم">
      <formula>NOT(ISERROR(SEARCH("أدخل اسم المحكم",G30)))</formula>
    </cfRule>
  </conditionalFormatting>
  <conditionalFormatting sqref="F8">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F20:F26 F12:F18 F9:F10</xm:sqref>
        </x14:dataValidation>
        <x14:dataValidation type="list" allowBlank="1" showInputMessage="1" showErrorMessage="1">
          <x14:formula1>
            <xm:f>#REF!</xm:f>
          </x14:formula1>
          <xm:sqref>G30:J30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2026-08-30T05:14:11Z</dcterms:modified>
</cp:coreProperties>
</file>