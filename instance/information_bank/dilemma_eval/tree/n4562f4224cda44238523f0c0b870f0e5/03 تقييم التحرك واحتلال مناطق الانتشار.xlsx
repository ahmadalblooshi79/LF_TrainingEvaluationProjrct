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BB45D41-95BF-47DD-A260-37F464A51F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 s="1"/>
  <c r="G12" i="2"/>
  <c r="H12" i="2"/>
  <c r="G13" i="2"/>
  <c r="H13" i="2"/>
  <c r="G14" i="2"/>
  <c r="H14" i="2"/>
  <c r="G16" i="2"/>
  <c r="H16" i="2"/>
  <c r="G18" i="2"/>
  <c r="H18" i="2" s="1"/>
  <c r="G19" i="2"/>
  <c r="H19" i="2"/>
  <c r="G20" i="2"/>
  <c r="H20" i="2"/>
  <c r="G21" i="2"/>
  <c r="H21" i="2"/>
  <c r="G23" i="2"/>
  <c r="H23" i="2" s="1"/>
  <c r="G24" i="2"/>
  <c r="H24" i="2"/>
  <c r="G25" i="2"/>
  <c r="H25" i="2" s="1"/>
  <c r="G26" i="2"/>
  <c r="H26" i="2"/>
  <c r="F27" i="2"/>
  <c r="E27" i="2"/>
  <c r="E28" i="2" s="1"/>
  <c r="E29" i="2" s="1"/>
</calcChain>
</file>

<file path=xl/sharedStrings.xml><?xml version="1.0" encoding="utf-8"?>
<sst xmlns="http://schemas.openxmlformats.org/spreadsheetml/2006/main" count="263" uniqueCount="202">
  <si>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</si>
  <si>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</si>
  <si>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</si>
  <si>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</si>
  <si>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</si>
  <si>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</si>
  <si>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</si>
  <si>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</si>
  <si>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</si>
  <si>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</si>
  <si>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</si>
  <si>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</si>
  <si>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</si>
  <si>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</si>
  <si>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</si>
  <si>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</si>
  <si>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</si>
  <si>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</si>
  <si>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</si>
  <si>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</si>
  <si>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</si>
  <si>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</si>
  <si>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</si>
  <si>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</si>
  <si>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</si>
  <si>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</si>
  <si>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</si>
  <si>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</si>
  <si>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</si>
  <si>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</si>
  <si>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</si>
  <si>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</si>
  <si>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</si>
  <si>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</si>
  <si>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</si>
  <si>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</si>
  <si>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</si>
  <si>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</si>
  <si>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</si>
  <si>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</si>
  <si>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</si>
  <si>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</si>
  <si>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</si>
  <si>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</si>
  <si>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</si>
  <si>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</si>
  <si>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</si>
  <si>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</si>
  <si>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</si>
  <si>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</si>
  <si>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</si>
  <si>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</si>
  <si>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</si>
  <si>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</si>
  <si>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</si>
  <si>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</si>
  <si>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</si>
  <si>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</si>
  <si>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</si>
  <si>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</si>
  <si>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</si>
  <si>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</si>
  <si>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</si>
  <si>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</si>
  <si>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</si>
  <si>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</si>
  <si>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</si>
  <si>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</si>
  <si>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</si>
  <si>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</si>
  <si>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</si>
  <si>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</si>
  <si>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</si>
  <si>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</si>
  <si>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</si>
  <si>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</si>
  <si>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</si>
  <si>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</si>
  <si>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</si>
  <si>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</si>
  <si>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</si>
  <si>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</si>
  <si>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</si>
  <si>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</si>
  <si>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</si>
  <si>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</si>
  <si>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</si>
  <si>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</si>
  <si>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</si>
  <si>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</si>
  <si>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</si>
  <si>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</si>
  <si>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</si>
  <si>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</si>
  <si>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</si>
  <si>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</si>
  <si>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</si>
  <si>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</si>
  <si>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</si>
  <si>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</si>
  <si>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</si>
  <si>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</si>
  <si>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</si>
  <si>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</si>
  <si>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</si>
  <si>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</si>
  <si>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</si>
  <si>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</si>
  <si>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</si>
  <si>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</si>
  <si>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</si>
  <si>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</si>
  <si>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</si>
  <si>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</si>
  <si>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</si>
  <si>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</si>
  <si>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</si>
  <si>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</si>
  <si>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</si>
  <si>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</si>
  <si>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</si>
  <si>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</si>
  <si>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</si>
  <si>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</si>
  <si>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</si>
  <si>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</si>
  <si>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</si>
  <si>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</si>
  <si>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</si>
  <si>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</si>
  <si>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</si>
  <si>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</si>
  <si>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</si>
  <si>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</si>
  <si>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</si>
  <si>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</si>
  <si>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</si>
  <si>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</si>
  <si>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</si>
  <si>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</si>
  <si>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</si>
  <si>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</si>
  <si>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</si>
  <si>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</si>
  <si>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</si>
  <si>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</si>
  <si>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</si>
  <si>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</si>
  <si>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</si>
  <si>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</si>
  <si>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</si>
  <si>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</si>
  <si>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</si>
  <si>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</si>
  <si>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</si>
  <si>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</si>
  <si>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</si>
  <si>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</si>
  <si>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</si>
  <si>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</si>
  <si>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</si>
  <si>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</si>
  <si>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</si>
  <si>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</si>
  <si>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</si>
  <si>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</si>
  <si>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</si>
  <si>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</si>
  <si>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</si>
  <si>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</si>
  <si>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</si>
  <si>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</si>
  <si>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</si>
  <si>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</si>
  <si>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</si>
  <si>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</si>
  <si>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</si>
  <si>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</si>
  <si>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</si>
  <si>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</si>
  <si>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فصيل الشرطة العسكرية في التحرك واحتلال مناطق الانتشار</t>
    </r>
    <r>
      <rPr>
        <b/>
        <u/>
        <sz val="14"/>
        <color rgb="FF000000"/>
        <rFont val="Arial"/>
        <family val="2"/>
      </rPr>
      <t xml:space="preserve">
 تمرين جاهزية مجموعة لواء الإمارات/1 (جندي الصحراء 2025/20)</t>
    </r>
  </si>
  <si>
    <t>إجراءات القائد قبل بدء التحرك إلى مناطق الانتشار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</si>
  <si>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المرؤوسين بالبدء بتنفيذ خطة التحرك لمناطق الانتشار.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</si>
  <si>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تحميل وثائق العمليات.</t>
    </r>
  </si>
  <si>
    <t>إجراءات سيطرة قائد فصيل الشرطة العسكرية على الحركة.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</si>
  <si>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التقيد بتنفيذ إجراءات التحرك حسب أمر / جدول التنقل.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</si>
  <si>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سيطرة القائد على الفصيل أثناء التحرك.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</si>
  <si>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تحقيـق الاتصال بالمستـوى الأعلى والادنى.</t>
    </r>
  </si>
  <si>
    <t>إجراءات دخول مناطق الانتشار وتأمينها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</si>
  <si>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تسلسل الدخول لمناطق الانتشار حسب جدول التنقل.</t>
    </r>
  </si>
  <si>
    <t>تجهيز وإعداد مناطق الانتشار والإجراءات المتخذة فيها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</si>
  <si>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التوزيع الصحيح في منطقة الانتشار.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</si>
  <si>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جاهزية القوة للقيام بحراسة منطقة الانتشار حسب خطة الدفاع والحراسة.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</si>
  <si>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الإخفاء والتمويه.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</si>
  <si>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تعليمات الإنـــذار.</t>
    </r>
  </si>
  <si>
    <t>إجراءات الإسناد الإداري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</si>
  <si>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التزويد (الوقود / الأرزاق / المياه، الخ..).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</si>
  <si>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الإخـلاء.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</si>
  <si>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الإنقـاذ.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</si>
  <si>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السيطرة على الطرق الرئيسة والتبادلية المؤديـة إلى ومن مناطق الانتشــار.</t>
    </r>
  </si>
  <si>
    <t>ملازم/ علي ابراهيم النعيمي</t>
  </si>
  <si>
    <t>مقدم/ سلطان سعيد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</si>
</sst>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14" fillId="0" borderId="4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21" xfId="0" applyFont="1" applyBorder="1" applyAlignment="1" applyProtection="1">
      <alignment horizontal="center" vertical="center" wrapText="1" readingOrder="2"/>
      <protection locked="0"/>
    </xf>
    <xf numFmtId="9" fontId="3" fillId="0" borderId="21" xfId="0" applyNumberFormat="1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1"/>
    </xf>
    <xf numFmtId="0" fontId="12" fillId="0" borderId="12" xfId="0" applyFont="1" applyBorder="1" applyAlignment="1">
      <alignment horizontal="right" vertical="center" wrapText="1" readingOrder="2"/>
    </xf>
    <xf numFmtId="0" fontId="12" fillId="0" borderId="13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0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5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7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10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6" fillId="0" borderId="22" xfId="0" applyFont="1" applyBorder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352246</xdr:colOff>
      <xdr:row>30</xdr:row>
      <xdr:rowOff>230428</xdr:rowOff>
    </xdr:from>
    <xdr:to>
      <xdr:col>7</xdr:col>
      <xdr:colOff>563196</xdr:colOff>
      <xdr:row>30</xdr:row>
      <xdr:rowOff>495028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CE84789-092F-46F4-845F-032EDC8BEDB1}"/>
                </a:ext>
              </a:extLst>
            </xdr14:cNvPr>
            <xdr14:cNvContentPartPr/>
          </xdr14:nvContentPartPr>
          <xdr14:nvPr macro=""/>
          <xdr14:xfrm>
            <a:off x="10399339804" y="11810520"/>
            <a:ext cx="869040" cy="2646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CE84789-092F-46F4-845F-032EDC8BEDB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333684" y="11804400"/>
              <a:ext cx="88128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458796</xdr:colOff>
      <xdr:row>30</xdr:row>
      <xdr:rowOff>84628</xdr:rowOff>
    </xdr:from>
    <xdr:to>
      <xdr:col>8</xdr:col>
      <xdr:colOff>327745</xdr:colOff>
      <xdr:row>30</xdr:row>
      <xdr:rowOff>495028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1F20AC9-04A1-CBB7-913C-DD18E30554CA}"/>
                </a:ext>
              </a:extLst>
            </xdr14:cNvPr>
            <xdr14:cNvContentPartPr/>
          </xdr14:nvContentPartPr>
          <xdr14:nvPr macro=""/>
          <xdr14:xfrm>
            <a:off x="10398917164" y="11664720"/>
            <a:ext cx="527040" cy="4104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1F20AC9-04A1-CBB7-913C-DD18E30554C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911044" y="11658600"/>
              <a:ext cx="539280" cy="42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528286</xdr:colOff>
      <xdr:row>29</xdr:row>
      <xdr:rowOff>482520</xdr:rowOff>
    </xdr:from>
    <xdr:to>
      <xdr:col>9</xdr:col>
      <xdr:colOff>322695</xdr:colOff>
      <xdr:row>30</xdr:row>
      <xdr:rowOff>565948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3CA418B-6D16-388F-0BEF-F916C883B75E}"/>
                </a:ext>
              </a:extLst>
            </xdr14:cNvPr>
            <xdr14:cNvContentPartPr/>
          </xdr14:nvContentPartPr>
          <xdr14:nvPr macro=""/>
          <xdr14:xfrm>
            <a:off x="10398264124" y="11531520"/>
            <a:ext cx="1768680" cy="6145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3CA418B-6D16-388F-0BEF-F916C883B75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258004" y="11525400"/>
              <a:ext cx="1780920" cy="626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31:48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2250 171 7737,'0'0'0,"0"0"4809,0 0-4809,0 3 936,0-3-680,1 0-104,4 3 9,-5-3-161,2 0 200,6 0 0,-4 0 16,-4 0 40,0 0-256,5 0 248,0 3 24,-3-3 0,3 0-8,-5 0-264,5 3 344,-3-3 72,12 4 40,-12-1 24,-2-3-480,5 3 464,7 1-48,-9 0-55,-1 0-49,-2-4-312,11 13 208,-9-10-16,3 11-40,-2-10-48,-3-4-104,2 16 112,3-12-88,-5 12 48,0-5 0,0-11-72,0 13 64,0-2 24,0 2-8,0 1 8,0-14-88,0 13 64,-3 2 32,-1-2-16,1 0 24,3-13-104,-5 13 104,-6-2 24,7 2-32,-9-2 24,13-11-120,-12 12 80,1 2-16,-3 0 24,0-1-8,14-13-80,-15 13 88,4-2-8,-6-7 24,5 9 16,12-13-120,-11 3 128,-6 8 32,3-8-32,1 2-32,13-5-96,-15 4 128,1 0-16,0-1 8,2 0 0,12-3-120,-14 0 144,-1 0 8,2 0 33,1 0-17,12 0-168,-15 0 136,4 0 64,-3-3 48,2-1-64,12 4-184,-12-5 192,1 0-56,-1-7-80,7 8 128,5 4-184,-14-14 168,11 2-72,-13 1-8,12-3-32,4 14-56,-12-16 56,9 1 8,-4-1-32,3 3-16,4 13-16,-5-14-16,1 1 48,1 2 136,-2-2-152,5 13-16,-2-12-16,2 0-32,-3 1-8,3 0 32,0 11 24,0-5-16,0-9 48,0 11-120,-2-2 128,2 5-40,-2-6 32,-1 2-32,3-1 24,-2 1-32,2 4 8,0-3 0,-3 2-32,3-1 48,0 1-48,0 1 32,0-1-8,0 1 32,0 0-80,0 0-16,0 0 72,0 0-72,0 0 8,0 0-48,0 4 56,0-4 56,0 4-48,-4 9-16,-1-9 48,1 10 40,4-14-24,-5 5-24,-4 12 8,4-6 56,-7 0-120,12-11 80,-3 5-16,-10 13 0,8-14 48,0 10-8,5-14-24,-12 3 16,7 1-16,-2 8-80,-4-9 64,11-3 16,-2 2 24,-5 3 8,-5-3 8,9 1-8,3-3-32,-5 3 0,1-3 8,-1 3 24,1-3-64,4 0 32,-5 0 32,0 0-16,0 0 8,3-1 104,2 1-128,-2-2 80,2-2 8,-3 0-48,1-1 16,2 5-56,0-5-16,0-7 16,0 9 0,0-1 0,0 4 0,0-4 32,-3 0-16,1-1-48,2 4 16,0 1 16,0-1-24,-5-1 24,0 2 24,-8 0-80,13 0 56,-12 3 0,-5 1-80,-1 12 40,-6-5 64,24-11-24,-23 5-24,1 12 32,1-13-16,5 10 8,16-14 0,-19 3 0,7 8 0,0-11 0,8 5-32,4-5 32,-14 2 40,7-2 32,4 0 0,-4-2 16,7 2-88,-14-5 40,11-6-16,-8 5 48,7-11-40,4 17-32,-10-17 40,-2-1-56,7-4 8,0-3-8,5 25 16,-6-24 24,1-2 64,0-1-72,-7-1-32,12 28 16,-4-30 16,1-1 0,-9 2 24,12 1 0,0 28-40,-4-26 48,0 2-64,1 4 40,-4 5 64,7 15-88,-2-16 16,-1 5 8,3 6 104,-2 0-80,2 5-48,-3-5 72,3 4 0,0 0-120,0 1 8,0 0 40,0 0-40,0 0 64,0 0-136,5 4 152,-5-4-40,0 14-72,0-1-56,5 5 232,-5 2-152,0-20 48,0 23 72,0 1 16,0 5-176,0 2 104,0-31-16,0 33-40,-5-1-64,0 1 160,-4-2-96,9-31 40,-5 29 0,-8-2 32,-2 1-24,10-4 48,5-24-56,-18 23 32,4-1 8,-1-2 24,-3 0-64,18-20 0,-22 19 184,3-4-40,-4 1-32,0-2 64,23-14-176,-27 11 128,0 2-360,-8-1 384,1-1-72,34-11-80,-33 4 88,-2 10 336,5-11-360,-9 2 40,39-5-104,-37 11 24,-3-11 64,2 4-56,1-1 56,37-3-88,-33 3-40,2-3 64,3 3 40,-1-3-96,29 0 32,-25 0 89,-1-2 47,2-3-136,4-1 40,20 6-40,-17-13 32,2 7-16,2-8 56,1 3-40,12 11-32,-12-13 0,7-1-16,-6-2-16,9-1 216,2 17-184,-5-18-64,2-2-72,3-2 128,0 3-232,0 19 240,0-22-73,5 5 41,9-1-144,-12 1-72,-2 17 248,17-16-152,-3-2 40,-3 1-40,6 0 64,-17 17 88,21-19-144,5 2-128,5 2 184,-2-2 48,-29 17 40,35-15-16,-8 3-24,2 6 8,-3-7 120,-26 13-88,23-3-56,1 2 136,-1 1-88,-1 0-112,-22 0 120,20 3 32,-3 1-104,0 10 16,1-10-16,-18-4 72,12 19-72,0-5 16,-1-1 112,-8 0-16,-3-13-40,9 14 88,-9 0-72,0 3-80,0 0 136,0-17-72,-2 23 144,-16-3 16,3-1 104,-4 1-80,19-20-184,-21 20 120,-3 0 112,-6 1-56,0 1 48,30-22-224,-33 20 216,-1-2 57,-3-1-9,-3 2-96,40-19-168,-38 17 136,1-2-120,3 1-32,4 0-240,30-16 256,-28 12-224,-7 1-16,1-1 7,7-1 169,27-11 64,-33 11-56,6-6-368,2 7 376,-1-9-80,26-3 128,-19 0-88,-2 0 288,2 3-400,3-3 240,16 0-40,-21-1-176,6-4 152,3-6-24,0 5-312,12 6 360,-11-14-312,-1 0 40,0-3-328,0-3-288,12 20 888,-1-26-960,-14-1-865,11-2-1520,1-10-2072,3 39 5417,0-44-9194,0 44 9194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31:50.3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1398 5 20492,'0'0'0,"0"-2"1080,-6 1-520,-6-1 48,12 2-608,0 0 496,-3 0-55,3 5-113,0 9-72,0-14-256,3 16 376,4 3-56,-7 7 56,5 2-192,-5-28-184,4 32 216,-4 0-120,2 1-64,-2-2 64,0-31-96,0 33 40,0-2 8,0 2 48,0 0-24,0-33-72,0 32 16,5 1-64,-3-3-8,3 3 72,-5-33-16,0 31-152,0 3-320,0 3-744,0 0-1057,0-37 2273,0 37-4961,0-4-464,0-2-3097,0-31 8522</inkml:trace>
  <inkml:trace contextRef="#ctx0" brushRef="#br0" timeOffset="1">1169 994 8937,'0'0'0,"-3"-1"2761,3-2-1089,0 3-1672,-2-4 1273,0-2 143,-2-5-24,-8 5-176,12 6-1216,-3-14 953,-9 1-193,8 0-176,-3 0-184,7 13-400,-12-14 336,12 0-216,-6 0 368,-6 1-200,12 13-288,-5-13 224,-6-1 224,6 0-55,-7-3 127,12 17-520,-5-19 360,-6-2 96,9-2-88,-10-4-88,12 27-280,-4-31 224,-8-3 32,10-6-240,-3-3 112,5 43-128,-5-43 288,1-3-168,2-3-24,2 1-64,0 48-32,-2-48 88,-1 1-712,1 1 840,2 5-240,0 41 24,-3-38 40,3 3 600,0 7-728,-2 4 144,2 24-56,0-17-216,0 4 112,0 9-184,-2-1-352,2 5 640,-3-4-1104,-3 3-681,3 1-767,-1 3-1825,4-3 4377,-12 14-4817,7 1 1112,-11 10-2216,16-25 5921</inkml:trace>
  <inkml:trace contextRef="#ctx0" brushRef="#br0" timeOffset="2">413 880 14291,'0'0'0,"0"0"0,4 0 2312,-1 0-2152,2 0-128,-3 0 80,-2 0-112,2 5 200,3 7 40,-2-7 80,-3 7 128,0-12-448,2 5 625,2 13 119,-4-6 88,0 0 88,0-12-920,-3 15 928,-8-3-16,7 4-15,-8 0-289,12-16-608,-11 15 568,-4 1-256,-1 0-72,0-2 0,16-14-240,-16 11-112,-3-7 328,1 12-64,-1-12 24,19-4-176,-21 13 344,1-10-288,-1 1 16,-2-1-8,23-3-64,-17 0 56,-1 0 32,1-1 8,1-4 40,16 5-136,-18-15 128,6 2-24,-2-5 16,2-2-168,12 20 48,-11-26 32,4-1-16,-7-3-32,10-3-56,4 33 72,-12-35-264,7-3-248,0 1-336,1-3-304,4 40 1152,-4-37-1817,-1 0-2247,2-14-1762,3-5-3520,0 56 9346</inkml:trace>
  <inkml:trace contextRef="#ctx0" brushRef="#br0" timeOffset="3">56 462 22820,'0'0'0,"3"0"721,-3 0-425,0 0-296,4 0 360,-4 0-48,0 0 8,0 3-176,0-3-144,0 0 40,0 0-24,0 0 24,0 0-136,0 0 176,0 0-232,0 0-304,0 0-448,0 0 2336,-2 3-4401,2 0 377,0 0-2834,0 0 962,0-3 4464,2 11-7242,-2-11 7242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31:51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1658 1270 10706,'0'0'0,"-19"-5"2960,-1 1-2207,20 4-753,-28-4 712,8 0 160,-3 2 112,-2 2-200,25 0-784,-26 0 488,-4 0-216,-2 4-7,-1 8-89,33-12-176,-40 3 192,-1 1-80,-6 0-40,-2 7 112,49-11-184,-53 3 208,-1 2 104,-2 7 16,0-9-24,56-3-304,-53 5 232,-5-1-16,-1 7-72,-4-11-56,63 0-88,-63 4 88,1-1-8,1 2 16,3-3 80,58-2-176,-56 4 176,5-1 72,4-3 40,-1 0-104,48 0-184,-42 0 192,-2 0-104,4 0 8,1 0 0,39 0-96,-38 0 64,10 0 88,3 0-71,1 3-25,24-3-56,-18 0 152,6 0-144,1 0 32,11 0 88,0 0-128,0 0 80,-3 0 56,1 0 40,2 0 8,0 0-184,5 0 40,6-2 88,1 0-184,0-4 0,-12 6 56,23-4 56,0-2-104,12-6 136,5 0-32,-40 12-56,51-13 24,4 2-80,8-3 48,10-2-40,-73 16 48,79-15-40,12-2 56,13 2 80,8 3-112,-112 12 16,121-13-24,9 1 40,6 1-72,12 0 152,-148 11-96,163-6 56,3-8 56,6 9-88,2 0 16,-174 5-40,177-5 56,4 1 32,3 0 8,-7 1 16,-177 3-112,177-4 152,-7 0-80,0 0 96,-3-1-80,-167 5-88,161-4 184,-4 1 16,-16 2-112,-10 1 56,-131 0-144,120 0-48,-12 0-48,-8 0 104,-11 0-8,-89 0 0,76 0 32,-11 0 24,-11 0-56,-10 0 32,-44 0-32,34 0 96,-3-1-64,-12 1-72,-6 0 64,-13 0-24,3 0-56,2 0 160,-5 0 24,0 0-112,0 0-16,0 0 128,-5 0-128,0 0 88,1 0 72,4 0-160,-7-2 72,4 1 24,-1 1-96,-1-2 48,5 2-48,-5 0-232,-4 0 184,7-1 120,-3 1-112,5 0 40,-2 0 264,-1 0-264,1 0 24,-3 0-64,5 0 40,-5 0-16,-8 0 16,8 0-16,-11 0 88,16 0-72,-19 0 0,3 0 64,-7 0-152,-1 0 40,24 0 48,-28 0-72,-2 0 16,-8 3-16,-5-3-88,43 0 160,-49 3 0,-7-1-16,-9 1 16,-3 0 88,68-3-88,-72 0-128,-7 3 40,-5 0 176,-6-3-136,90 0 48,-94 0 144,-6 0-24,-4-2-224,-4-1 32,108 3 72,-109-2-56,2-1 0,5 0 8,6-1 80,96 4-32,-88-6 0,2-5-48,2 6 280,7-6-216,77 11-16,-72-6 16,9-11-16,7 2-144,9-2 304,47 17-160,-34-17 96,5-1-32,9-1-56,1-3-80,19 22 72,-14-24 32,14-3-144,0-7-40,12-3 8,-12 37 144,16-42-384,8-9 96,4-6 104,8-8-144,-36 65 328,50-70-320,6-1 208,-6 6 88,-1 5-24,-49 60 48,42-49 32,-2 7-128,-2 5-88,-4 3 184,-34 34 0,37-31 96,-4 3 0,0 4-120,-6 4 152,-27 20-128,23-16 24,1 4 144,0 6 88,-9 0-144,-15 6-112,19-4 280,-7 4-224,0 3 192,-1 14-184,-11-17-64,12 23 48,-10 12 184,1 12 56,-3 11 112,0-58-400,-5 67 368,-7 8-56,1 10-504,-9 2 248,20-87-56,-15 88-216,5-1 128,8-6 440,2-1-312,0-80-40,0 81 505,4-6-233,11-3-168,-4-4 120,-11-68-224,14 60 0,0-3-104,3-3 160,1-3-216,-18-51 160,14 44-272,2-3 168,1-3-625,-1-4 529,-16-34 200,16 33-336,-2-3 144,0-2 544,-3-2-512,-11-26 160,5 22-144,10 0-720,-14-2-1160,2-1-3858,-3-19 5882,12 5-12018,-12-5 12018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1"/>
  <sheetViews>
    <sheetView rightToLeft="1" tabSelected="1" view="pageBreakPreview" zoomScale="130" zoomScaleNormal="100" zoomScaleSheetLayoutView="130" workbookViewId="0">
      <selection activeCell="F4" sqref="F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0" t="s">
        <v>180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3">
      <c r="B2" s="15" t="s">
        <v>8</v>
      </c>
      <c r="C2" s="66" t="s">
        <v>16</v>
      </c>
      <c r="D2" s="66"/>
      <c r="E2" s="15" t="s">
        <v>7</v>
      </c>
      <c r="F2" s="61">
        <v>45929</v>
      </c>
      <c r="G2" s="61"/>
      <c r="H2" s="61"/>
      <c r="I2" s="61"/>
      <c r="J2" s="61"/>
    </row>
    <row r="3" spans="1:10" ht="30" customHeight="1" x14ac:dyDescent="0.3">
      <c r="B3" s="15" t="s">
        <v>9</v>
      </c>
      <c r="C3" s="66" t="s">
        <v>60</v>
      </c>
      <c r="D3" s="66"/>
      <c r="E3" s="15" t="s">
        <v>6</v>
      </c>
      <c r="F3" s="66" t="s">
        <v>59</v>
      </c>
      <c r="G3" s="66"/>
      <c r="H3" s="66"/>
      <c r="I3" s="66"/>
      <c r="J3" s="66"/>
    </row>
    <row r="4" spans="1:10" ht="30" customHeight="1" thickBot="1" x14ac:dyDescent="0.35">
      <c r="B4" s="6"/>
      <c r="C4" s="7"/>
      <c r="D4" s="7" t="s">
        <v>200</v>
      </c>
      <c r="E4" s="6"/>
      <c r="F4" s="7"/>
      <c r="G4" s="81" t="s">
        <v>201</v>
      </c>
      <c r="H4" s="81"/>
      <c r="I4" s="81"/>
      <c r="J4" s="81"/>
    </row>
    <row r="5" spans="1:10" ht="24.9" customHeight="1" x14ac:dyDescent="0.3">
      <c r="A5" s="12"/>
      <c r="B5" s="62" t="s">
        <v>0</v>
      </c>
      <c r="C5" s="63"/>
      <c r="D5" s="63"/>
      <c r="E5" s="71" t="s">
        <v>1</v>
      </c>
      <c r="F5" s="71"/>
      <c r="G5" s="71"/>
      <c r="H5" s="71"/>
      <c r="I5" s="71" t="s">
        <v>2</v>
      </c>
      <c r="J5" s="72"/>
    </row>
    <row r="6" spans="1:10" ht="24.9" customHeight="1" thickBot="1" x14ac:dyDescent="0.35">
      <c r="A6" s="12"/>
      <c r="B6" s="64"/>
      <c r="C6" s="65"/>
      <c r="D6" s="65"/>
      <c r="E6" s="13" t="s">
        <v>3</v>
      </c>
      <c r="F6" s="13" t="s">
        <v>4</v>
      </c>
      <c r="G6" s="13" t="s">
        <v>23</v>
      </c>
      <c r="H6" s="13" t="s">
        <v>24</v>
      </c>
      <c r="I6" s="73"/>
      <c r="J6" s="74"/>
    </row>
    <row r="7" spans="1:10" ht="24.9" customHeight="1" thickBot="1" x14ac:dyDescent="0.35">
      <c r="A7" s="12"/>
      <c r="B7" s="69" t="s">
        <v>21</v>
      </c>
      <c r="C7" s="70"/>
      <c r="D7" s="70"/>
      <c r="E7" s="14" t="s">
        <v>18</v>
      </c>
      <c r="F7" s="14" t="s">
        <v>19</v>
      </c>
      <c r="G7" s="14" t="s">
        <v>22</v>
      </c>
      <c r="H7" s="14" t="s">
        <v>20</v>
      </c>
      <c r="I7" s="49" t="s">
        <v>25</v>
      </c>
      <c r="J7" s="75"/>
    </row>
    <row r="8" spans="1:10" ht="30" customHeight="1" x14ac:dyDescent="0.3">
      <c r="A8" s="12"/>
      <c r="B8" s="40" t="s">
        <v>181</v>
      </c>
      <c r="C8" s="41"/>
      <c r="D8" s="41"/>
      <c r="E8" s="30"/>
      <c r="F8" s="32"/>
      <c r="G8" s="33"/>
      <c r="H8" s="34"/>
      <c r="I8" s="44"/>
      <c r="J8" s="45"/>
    </row>
    <row r="9" spans="1:10" ht="30" customHeight="1" x14ac:dyDescent="0.3">
      <c r="A9" s="12"/>
      <c r="B9" s="42" t="s">
        <v>182</v>
      </c>
      <c r="C9" s="43"/>
      <c r="D9" s="43"/>
      <c r="E9" s="10">
        <v>5</v>
      </c>
      <c r="F9" s="29">
        <v>3.75</v>
      </c>
      <c r="G9" s="9">
        <f>IFERROR(F9/E9,"")</f>
        <v>0.75</v>
      </c>
      <c r="H9" s="8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6"/>
      <c r="J9" s="47"/>
    </row>
    <row r="10" spans="1:10" ht="30" customHeight="1" thickBot="1" x14ac:dyDescent="0.35">
      <c r="A10" s="12"/>
      <c r="B10" s="38" t="s">
        <v>183</v>
      </c>
      <c r="C10" s="39"/>
      <c r="D10" s="39"/>
      <c r="E10" s="31">
        <v>0</v>
      </c>
      <c r="F10" s="35" t="s">
        <v>17</v>
      </c>
      <c r="G10" s="36" t="str">
        <f t="shared" ref="G10:G26" si="0">IFERROR(F10/E10,"")</f>
        <v/>
      </c>
      <c r="H10" s="37" t="str">
        <f t="shared" ref="H10:H26" si="1">_xlfn.IFS(F10="أدخل العلامة","",F10="لا ينطبق","تم الإلغاء",G10&gt;=90%,"ممتاز",G10&gt;=80%,"جيد جداً",G10&gt;=70%,"جيد",G10&gt;=60%,"مقبول",G10&lt;60%,"راسب")</f>
        <v>تم الإلغاء</v>
      </c>
      <c r="I10" s="52"/>
      <c r="J10" s="53"/>
    </row>
    <row r="11" spans="1:10" ht="30" customHeight="1" x14ac:dyDescent="0.3">
      <c r="A11" s="12"/>
      <c r="B11" s="40" t="s">
        <v>184</v>
      </c>
      <c r="C11" s="41"/>
      <c r="D11" s="41"/>
      <c r="E11" s="30"/>
      <c r="F11" s="32"/>
      <c r="G11" s="33"/>
      <c r="H11" s="34"/>
      <c r="I11" s="44"/>
      <c r="J11" s="45"/>
    </row>
    <row r="12" spans="1:10" ht="30" customHeight="1" x14ac:dyDescent="0.3">
      <c r="A12" s="12"/>
      <c r="B12" s="42" t="s">
        <v>185</v>
      </c>
      <c r="C12" s="43"/>
      <c r="D12" s="43"/>
      <c r="E12" s="10">
        <v>8</v>
      </c>
      <c r="F12" s="29">
        <v>5.75</v>
      </c>
      <c r="G12" s="9">
        <f t="shared" si="0"/>
        <v>0.71875</v>
      </c>
      <c r="H12" s="8" t="str">
        <f t="shared" si="1"/>
        <v>جيد</v>
      </c>
      <c r="I12" s="50"/>
      <c r="J12" s="51"/>
    </row>
    <row r="13" spans="1:10" ht="30" customHeight="1" x14ac:dyDescent="0.3">
      <c r="A13" s="12"/>
      <c r="B13" s="42" t="s">
        <v>186</v>
      </c>
      <c r="C13" s="43"/>
      <c r="D13" s="43"/>
      <c r="E13" s="10">
        <v>8</v>
      </c>
      <c r="F13" s="29">
        <v>5.75</v>
      </c>
      <c r="G13" s="9">
        <f t="shared" si="0"/>
        <v>0.71875</v>
      </c>
      <c r="H13" s="8" t="str">
        <f t="shared" si="1"/>
        <v>جيد</v>
      </c>
      <c r="I13" s="50"/>
      <c r="J13" s="51"/>
    </row>
    <row r="14" spans="1:10" ht="30" customHeight="1" thickBot="1" x14ac:dyDescent="0.35">
      <c r="A14" s="12"/>
      <c r="B14" s="38" t="s">
        <v>187</v>
      </c>
      <c r="C14" s="39"/>
      <c r="D14" s="39"/>
      <c r="E14" s="31">
        <v>8</v>
      </c>
      <c r="F14" s="35">
        <v>5.75</v>
      </c>
      <c r="G14" s="36">
        <f t="shared" si="0"/>
        <v>0.71875</v>
      </c>
      <c r="H14" s="37" t="str">
        <f t="shared" si="1"/>
        <v>جيد</v>
      </c>
      <c r="I14" s="52"/>
      <c r="J14" s="53"/>
    </row>
    <row r="15" spans="1:10" ht="30" customHeight="1" x14ac:dyDescent="0.3">
      <c r="A15" s="12"/>
      <c r="B15" s="40" t="s">
        <v>188</v>
      </c>
      <c r="C15" s="41"/>
      <c r="D15" s="41"/>
      <c r="E15" s="30"/>
      <c r="F15" s="32"/>
      <c r="G15" s="33"/>
      <c r="H15" s="34"/>
      <c r="I15" s="44"/>
      <c r="J15" s="45"/>
    </row>
    <row r="16" spans="1:10" ht="30" customHeight="1" thickBot="1" x14ac:dyDescent="0.35">
      <c r="A16" s="12"/>
      <c r="B16" s="38" t="s">
        <v>189</v>
      </c>
      <c r="C16" s="39"/>
      <c r="D16" s="39"/>
      <c r="E16" s="31">
        <v>8</v>
      </c>
      <c r="F16" s="35">
        <v>6.25</v>
      </c>
      <c r="G16" s="36">
        <f t="shared" si="0"/>
        <v>0.78125</v>
      </c>
      <c r="H16" s="37" t="str">
        <f t="shared" si="1"/>
        <v>جيد</v>
      </c>
      <c r="I16" s="52"/>
      <c r="J16" s="53"/>
    </row>
    <row r="17" spans="1:10" ht="30" customHeight="1" x14ac:dyDescent="0.3">
      <c r="A17" s="12"/>
      <c r="B17" s="40" t="s">
        <v>190</v>
      </c>
      <c r="C17" s="41"/>
      <c r="D17" s="41"/>
      <c r="E17" s="30"/>
      <c r="F17" s="32"/>
      <c r="G17" s="33"/>
      <c r="H17" s="34"/>
      <c r="I17" s="44"/>
      <c r="J17" s="45"/>
    </row>
    <row r="18" spans="1:10" ht="30" customHeight="1" x14ac:dyDescent="0.3">
      <c r="A18" s="12"/>
      <c r="B18" s="42" t="s">
        <v>191</v>
      </c>
      <c r="C18" s="43"/>
      <c r="D18" s="43"/>
      <c r="E18" s="10">
        <v>0</v>
      </c>
      <c r="F18" s="29" t="s">
        <v>17</v>
      </c>
      <c r="G18" s="9" t="str">
        <f t="shared" si="0"/>
        <v/>
      </c>
      <c r="H18" s="8" t="str">
        <f t="shared" si="1"/>
        <v>تم الإلغاء</v>
      </c>
      <c r="I18" s="50"/>
      <c r="J18" s="51"/>
    </row>
    <row r="19" spans="1:10" ht="30" customHeight="1" x14ac:dyDescent="0.3">
      <c r="A19" s="12"/>
      <c r="B19" s="42" t="s">
        <v>192</v>
      </c>
      <c r="C19" s="43"/>
      <c r="D19" s="43"/>
      <c r="E19" s="10">
        <v>8</v>
      </c>
      <c r="F19" s="29">
        <v>5.75</v>
      </c>
      <c r="G19" s="9">
        <f t="shared" si="0"/>
        <v>0.71875</v>
      </c>
      <c r="H19" s="8" t="str">
        <f t="shared" si="1"/>
        <v>جيد</v>
      </c>
      <c r="I19" s="50"/>
      <c r="J19" s="51"/>
    </row>
    <row r="20" spans="1:10" ht="30" customHeight="1" x14ac:dyDescent="0.3">
      <c r="A20" s="12"/>
      <c r="B20" s="42" t="s">
        <v>193</v>
      </c>
      <c r="C20" s="43"/>
      <c r="D20" s="43"/>
      <c r="E20" s="10">
        <v>8</v>
      </c>
      <c r="F20" s="29">
        <v>5.75</v>
      </c>
      <c r="G20" s="9">
        <f t="shared" si="0"/>
        <v>0.71875</v>
      </c>
      <c r="H20" s="8" t="str">
        <f t="shared" si="1"/>
        <v>جيد</v>
      </c>
      <c r="I20" s="50"/>
      <c r="J20" s="51"/>
    </row>
    <row r="21" spans="1:10" ht="30" customHeight="1" thickBot="1" x14ac:dyDescent="0.35">
      <c r="A21" s="12"/>
      <c r="B21" s="38" t="s">
        <v>194</v>
      </c>
      <c r="C21" s="39"/>
      <c r="D21" s="39"/>
      <c r="E21" s="31">
        <v>8</v>
      </c>
      <c r="F21" s="35">
        <v>5.75</v>
      </c>
      <c r="G21" s="36">
        <f t="shared" si="0"/>
        <v>0.71875</v>
      </c>
      <c r="H21" s="37" t="str">
        <f t="shared" si="1"/>
        <v>جيد</v>
      </c>
      <c r="I21" s="52"/>
      <c r="J21" s="53"/>
    </row>
    <row r="22" spans="1:10" ht="30" customHeight="1" x14ac:dyDescent="0.3">
      <c r="A22" s="12"/>
      <c r="B22" s="40" t="s">
        <v>195</v>
      </c>
      <c r="C22" s="41"/>
      <c r="D22" s="41"/>
      <c r="E22" s="30"/>
      <c r="F22" s="32"/>
      <c r="G22" s="33"/>
      <c r="H22" s="34"/>
      <c r="I22" s="44"/>
      <c r="J22" s="45"/>
    </row>
    <row r="23" spans="1:10" ht="30" customHeight="1" x14ac:dyDescent="0.3">
      <c r="A23" s="12"/>
      <c r="B23" s="42" t="s">
        <v>196</v>
      </c>
      <c r="C23" s="43"/>
      <c r="D23" s="43"/>
      <c r="E23" s="10">
        <v>0</v>
      </c>
      <c r="F23" s="29" t="s">
        <v>17</v>
      </c>
      <c r="G23" s="9" t="str">
        <f t="shared" si="0"/>
        <v/>
      </c>
      <c r="H23" s="8" t="str">
        <f t="shared" si="1"/>
        <v>تم الإلغاء</v>
      </c>
      <c r="I23" s="50"/>
      <c r="J23" s="51"/>
    </row>
    <row r="24" spans="1:10" ht="30" customHeight="1" x14ac:dyDescent="0.3">
      <c r="A24" s="12"/>
      <c r="B24" s="42" t="s">
        <v>197</v>
      </c>
      <c r="C24" s="43"/>
      <c r="D24" s="43"/>
      <c r="E24" s="10">
        <v>0</v>
      </c>
      <c r="F24" s="29" t="s">
        <v>17</v>
      </c>
      <c r="G24" s="9" t="str">
        <f t="shared" si="0"/>
        <v/>
      </c>
      <c r="H24" s="8" t="str">
        <f t="shared" si="1"/>
        <v>تم الإلغاء</v>
      </c>
      <c r="I24" s="50"/>
      <c r="J24" s="51"/>
    </row>
    <row r="25" spans="1:10" ht="30" customHeight="1" x14ac:dyDescent="0.3">
      <c r="A25" s="12"/>
      <c r="B25" s="42" t="s">
        <v>198</v>
      </c>
      <c r="C25" s="43"/>
      <c r="D25" s="43"/>
      <c r="E25" s="10">
        <v>0</v>
      </c>
      <c r="F25" s="29" t="s">
        <v>17</v>
      </c>
      <c r="G25" s="9" t="str">
        <f t="shared" si="0"/>
        <v/>
      </c>
      <c r="H25" s="8" t="str">
        <f t="shared" si="1"/>
        <v>تم الإلغاء</v>
      </c>
      <c r="I25" s="50"/>
      <c r="J25" s="51"/>
    </row>
    <row r="26" spans="1:10" ht="30" customHeight="1" thickBot="1" x14ac:dyDescent="0.35">
      <c r="A26" s="12"/>
      <c r="B26" s="38" t="s">
        <v>199</v>
      </c>
      <c r="C26" s="39"/>
      <c r="D26" s="39"/>
      <c r="E26" s="31">
        <v>6</v>
      </c>
      <c r="F26" s="35">
        <v>4.75</v>
      </c>
      <c r="G26" s="36">
        <f t="shared" si="0"/>
        <v>0.79166666666666663</v>
      </c>
      <c r="H26" s="37" t="str">
        <f t="shared" si="1"/>
        <v>جيد</v>
      </c>
      <c r="I26" s="52"/>
      <c r="J26" s="53"/>
    </row>
    <row r="27" spans="1:10" ht="30" customHeight="1" thickBot="1" x14ac:dyDescent="0.35">
      <c r="A27" s="4"/>
      <c r="B27" s="48" t="s">
        <v>5</v>
      </c>
      <c r="C27" s="49"/>
      <c r="D27" s="49"/>
      <c r="E27" s="11">
        <f>SUM(E8:E26)</f>
        <v>67</v>
      </c>
      <c r="F27" s="11">
        <f>SUM(F8:F26)</f>
        <v>49.25</v>
      </c>
      <c r="G27" s="78"/>
      <c r="H27" s="79"/>
      <c r="I27" s="79"/>
      <c r="J27" s="80"/>
    </row>
    <row r="28" spans="1:10" ht="30" customHeight="1" thickBot="1" x14ac:dyDescent="0.35">
      <c r="A28" s="4"/>
      <c r="B28" s="48" t="s">
        <v>54</v>
      </c>
      <c r="C28" s="49"/>
      <c r="D28" s="49"/>
      <c r="E28" s="67">
        <f>F27/E27/100*100</f>
        <v>0.7350746268656716</v>
      </c>
      <c r="F28" s="67"/>
      <c r="G28" s="67"/>
      <c r="H28" s="67"/>
      <c r="I28" s="67"/>
      <c r="J28" s="68"/>
    </row>
    <row r="29" spans="1:10" ht="30" customHeight="1" thickBot="1" x14ac:dyDescent="0.35">
      <c r="A29" s="4"/>
      <c r="B29" s="48" t="s">
        <v>55</v>
      </c>
      <c r="C29" s="49"/>
      <c r="D29" s="49"/>
      <c r="E29" s="58" t="str">
        <f>_xlfn.IFS(E28&gt;=90%,"ممتاز",E28&gt;=80%,"جيد جداً",E28&gt;=70%,"جيد",E28&gt;=60%,"مقبول",E28&lt;60%,"راسب")</f>
        <v>جيد</v>
      </c>
      <c r="F29" s="58"/>
      <c r="G29" s="58"/>
      <c r="H29" s="58"/>
      <c r="I29" s="58"/>
      <c r="J29" s="59"/>
    </row>
    <row r="30" spans="1:10" ht="42" customHeight="1" x14ac:dyDescent="0.3">
      <c r="B30" s="54" t="s">
        <v>174</v>
      </c>
      <c r="C30" s="54"/>
      <c r="D30" s="54"/>
      <c r="E30" s="76" t="s">
        <v>52</v>
      </c>
      <c r="F30" s="76"/>
      <c r="G30" s="56" t="s">
        <v>59</v>
      </c>
      <c r="H30" s="56"/>
      <c r="I30" s="56"/>
      <c r="J30" s="56"/>
    </row>
    <row r="31" spans="1:10" ht="51" customHeight="1" x14ac:dyDescent="0.3">
      <c r="A31" s="5"/>
      <c r="B31" s="55"/>
      <c r="C31" s="55"/>
      <c r="D31" s="55"/>
      <c r="E31" s="77" t="s">
        <v>53</v>
      </c>
      <c r="F31" s="77"/>
      <c r="G31" s="57"/>
      <c r="H31" s="57"/>
      <c r="I31" s="57"/>
      <c r="J31" s="57"/>
    </row>
  </sheetData>
  <sheetProtection formatCells="0" formatColumns="0" formatRows="0" insertColumns="0" insertRows="0" insertHyperlinks="0" deleteColumns="0" deleteRows="0" selectLockedCells="1" sort="0" autoFilter="0" pivotTables="0"/>
  <mergeCells count="60">
    <mergeCell ref="G4:J4"/>
    <mergeCell ref="I24:J24"/>
    <mergeCell ref="I25:J25"/>
    <mergeCell ref="I26:J26"/>
    <mergeCell ref="E30:F30"/>
    <mergeCell ref="E31:F31"/>
    <mergeCell ref="G27:J27"/>
    <mergeCell ref="B30:D31"/>
    <mergeCell ref="G30:J30"/>
    <mergeCell ref="G31:J31"/>
    <mergeCell ref="E29:J29"/>
    <mergeCell ref="B1:J1"/>
    <mergeCell ref="F2:J2"/>
    <mergeCell ref="B5:D6"/>
    <mergeCell ref="C2:D2"/>
    <mergeCell ref="C3:D3"/>
    <mergeCell ref="F3:J3"/>
    <mergeCell ref="E28:J28"/>
    <mergeCell ref="B7:D7"/>
    <mergeCell ref="E5:H5"/>
    <mergeCell ref="I5:J6"/>
    <mergeCell ref="I7:J7"/>
    <mergeCell ref="I10:J10"/>
    <mergeCell ref="B27:D27"/>
    <mergeCell ref="B28:D28"/>
    <mergeCell ref="B29:D29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B13:D13"/>
    <mergeCell ref="B14:D14"/>
    <mergeCell ref="B15:D15"/>
    <mergeCell ref="B16:D16"/>
    <mergeCell ref="I8:J8"/>
    <mergeCell ref="I9:J9"/>
    <mergeCell ref="B8:D8"/>
    <mergeCell ref="B9:D9"/>
    <mergeCell ref="B10:D10"/>
    <mergeCell ref="B11:D11"/>
    <mergeCell ref="B12:D12"/>
    <mergeCell ref="B26:D2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9">
    <cfRule type="expression" dxfId="14" priority="57">
      <formula>$E29="راسب"</formula>
    </cfRule>
  </conditionalFormatting>
  <conditionalFormatting sqref="E29:J29">
    <cfRule type="expression" dxfId="13" priority="58">
      <formula>$E29="مقبول"</formula>
    </cfRule>
    <cfRule type="expression" dxfId="12" priority="59">
      <formula>$E29="جيد"</formula>
    </cfRule>
    <cfRule type="expression" dxfId="11" priority="60">
      <formula>$E29="جيد جداً"</formula>
    </cfRule>
    <cfRule type="expression" dxfId="10" priority="61">
      <formula>$E29="ممتاز"</formula>
    </cfRule>
  </conditionalFormatting>
  <conditionalFormatting sqref="F8:F2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0:J30">
    <cfRule type="containsText" dxfId="6" priority="15" operator="containsText" text="أدخل اسم المحكم">
      <formula>NOT(ISERROR(SEARCH("أدخل اسم المحكم",G30)))</formula>
    </cfRule>
  </conditionalFormatting>
  <conditionalFormatting sqref="H8:H2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G30:J30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E2A4B655-0D81-4B34-9B97-18435419BDCF}">
          <x14:formula1>
            <xm:f>'بيانات التقييم'!$A$111:$A$145</xm:f>
          </x14:formula1>
          <xm:sqref>F12 F13 F14 F16 F18 F19 F20 F21 F23</xm:sqref>
        </x14:dataValidation>
        <x14:dataValidation type="list" allowBlank="1" showInputMessage="1" showErrorMessage="1" xr:uid="{726C3266-E064-4F7B-B5E8-691E1E9CEFCF}">
          <x14:formula1>
            <xm:f>'بيانات التقييم'!$A$111:$A$137</xm:f>
          </x14:formula1>
          <xm:sqref>F24:F26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7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2" t="s">
        <v>62</v>
      </c>
    </row>
    <row r="3" spans="1:3" ht="20.100000000000001" customHeight="1" thickBot="1" x14ac:dyDescent="0.35">
      <c r="A3" s="2" t="s">
        <v>26</v>
      </c>
      <c r="C3" s="22" t="s">
        <v>63</v>
      </c>
    </row>
    <row r="4" spans="1:3" ht="20.100000000000001" customHeight="1" thickBot="1" x14ac:dyDescent="0.35">
      <c r="A4" s="2" t="s">
        <v>36</v>
      </c>
      <c r="C4" s="22" t="s">
        <v>64</v>
      </c>
    </row>
    <row r="5" spans="1:3" ht="20.100000000000001" customHeight="1" thickBot="1" x14ac:dyDescent="0.35">
      <c r="A5" s="2" t="s">
        <v>37</v>
      </c>
      <c r="C5" s="22" t="s">
        <v>65</v>
      </c>
    </row>
    <row r="6" spans="1:3" ht="20.100000000000001" customHeight="1" thickBot="1" x14ac:dyDescent="0.35">
      <c r="A6" s="2" t="s">
        <v>38</v>
      </c>
      <c r="C6" s="22" t="s">
        <v>66</v>
      </c>
    </row>
    <row r="7" spans="1:3" ht="20.100000000000001" customHeight="1" thickBot="1" x14ac:dyDescent="0.35">
      <c r="A7" s="2" t="s">
        <v>39</v>
      </c>
      <c r="C7" s="22" t="s">
        <v>67</v>
      </c>
    </row>
    <row r="8" spans="1:3" ht="20.100000000000001" customHeight="1" thickBot="1" x14ac:dyDescent="0.35">
      <c r="A8" s="2" t="s">
        <v>40</v>
      </c>
      <c r="C8" s="22" t="s">
        <v>68</v>
      </c>
    </row>
    <row r="9" spans="1:3" ht="20.100000000000001" customHeight="1" thickBot="1" x14ac:dyDescent="0.35">
      <c r="A9" s="2" t="s">
        <v>41</v>
      </c>
      <c r="C9" s="22" t="s">
        <v>69</v>
      </c>
    </row>
    <row r="10" spans="1:3" ht="20.100000000000001" customHeight="1" thickBot="1" x14ac:dyDescent="0.35">
      <c r="A10" s="2" t="s">
        <v>42</v>
      </c>
      <c r="C10" s="22" t="s">
        <v>70</v>
      </c>
    </row>
    <row r="11" spans="1:3" ht="20.100000000000001" customHeight="1" thickBot="1" x14ac:dyDescent="0.35">
      <c r="A11" s="2" t="s">
        <v>43</v>
      </c>
      <c r="C11" s="22" t="s">
        <v>71</v>
      </c>
    </row>
    <row r="12" spans="1:3" ht="20.100000000000001" customHeight="1" thickBot="1" x14ac:dyDescent="0.35">
      <c r="A12" s="2" t="s">
        <v>44</v>
      </c>
      <c r="C12" s="22" t="s">
        <v>72</v>
      </c>
    </row>
    <row r="13" spans="1:3" ht="20.100000000000001" customHeight="1" thickBot="1" x14ac:dyDescent="0.35">
      <c r="A13" s="2" t="s">
        <v>45</v>
      </c>
      <c r="C13" s="22" t="s">
        <v>73</v>
      </c>
    </row>
    <row r="14" spans="1:3" ht="20.100000000000001" customHeight="1" thickBot="1" x14ac:dyDescent="0.35">
      <c r="A14" s="2" t="s">
        <v>46</v>
      </c>
      <c r="C14" s="22" t="s">
        <v>74</v>
      </c>
    </row>
    <row r="15" spans="1:3" ht="20.100000000000001" customHeight="1" thickBot="1" x14ac:dyDescent="0.35">
      <c r="A15" s="2" t="s">
        <v>47</v>
      </c>
      <c r="C15" s="22" t="s">
        <v>75</v>
      </c>
    </row>
    <row r="16" spans="1:3" ht="20.100000000000001" customHeight="1" thickBot="1" x14ac:dyDescent="0.35">
      <c r="A16" s="2" t="s">
        <v>10</v>
      </c>
      <c r="C16" s="22" t="s">
        <v>76</v>
      </c>
    </row>
    <row r="17" spans="1:3" ht="20.100000000000001" customHeight="1" thickBot="1" x14ac:dyDescent="0.35">
      <c r="A17" s="2" t="s">
        <v>27</v>
      </c>
      <c r="C17" s="22" t="s">
        <v>77</v>
      </c>
    </row>
    <row r="18" spans="1:3" ht="20.100000000000001" customHeight="1" thickBot="1" x14ac:dyDescent="0.35">
      <c r="A18" s="2" t="s">
        <v>48</v>
      </c>
      <c r="C18" s="22" t="s">
        <v>78</v>
      </c>
    </row>
    <row r="19" spans="1:3" ht="20.100000000000001" customHeight="1" thickBot="1" x14ac:dyDescent="0.35">
      <c r="A19" s="2" t="s">
        <v>49</v>
      </c>
      <c r="C19" s="22" t="s">
        <v>79</v>
      </c>
    </row>
    <row r="20" spans="1:3" ht="20.100000000000001" customHeight="1" thickBot="1" x14ac:dyDescent="0.35">
      <c r="A20" s="2" t="s">
        <v>50</v>
      </c>
      <c r="C20" s="22" t="s">
        <v>80</v>
      </c>
    </row>
    <row r="21" spans="1:3" ht="20.100000000000001" customHeight="1" thickBot="1" x14ac:dyDescent="0.35">
      <c r="A21" s="2" t="s">
        <v>51</v>
      </c>
      <c r="C21" s="22" t="s">
        <v>81</v>
      </c>
    </row>
    <row r="22" spans="1:3" ht="20.100000000000001" customHeight="1" thickBot="1" x14ac:dyDescent="0.35">
      <c r="A22" s="2" t="s">
        <v>11</v>
      </c>
      <c r="C22" s="22" t="s">
        <v>82</v>
      </c>
    </row>
    <row r="23" spans="1:3" ht="20.100000000000001" customHeight="1" thickBot="1" x14ac:dyDescent="0.35">
      <c r="A23" s="2" t="s">
        <v>12</v>
      </c>
      <c r="C23" s="22" t="s">
        <v>83</v>
      </c>
    </row>
    <row r="24" spans="1:3" ht="20.100000000000001" customHeight="1" thickBot="1" x14ac:dyDescent="0.35">
      <c r="A24" s="2" t="s">
        <v>15</v>
      </c>
      <c r="C24" s="22" t="s">
        <v>84</v>
      </c>
    </row>
    <row r="25" spans="1:3" ht="20.100000000000001" customHeight="1" thickBot="1" x14ac:dyDescent="0.35">
      <c r="A25" s="2" t="s">
        <v>28</v>
      </c>
      <c r="C25" s="22" t="s">
        <v>85</v>
      </c>
    </row>
    <row r="26" spans="1:3" ht="20.100000000000001" customHeight="1" thickBot="1" x14ac:dyDescent="0.35">
      <c r="A26" s="2" t="s">
        <v>29</v>
      </c>
      <c r="C26" s="22" t="s">
        <v>86</v>
      </c>
    </row>
    <row r="27" spans="1:3" ht="20.100000000000001" customHeight="1" thickBot="1" x14ac:dyDescent="0.35">
      <c r="A27" s="2" t="s">
        <v>13</v>
      </c>
      <c r="C27" s="22" t="s">
        <v>87</v>
      </c>
    </row>
    <row r="28" spans="1:3" ht="20.100000000000001" customHeight="1" thickBot="1" x14ac:dyDescent="0.35">
      <c r="A28" s="2" t="s">
        <v>30</v>
      </c>
      <c r="C28" s="22" t="s">
        <v>88</v>
      </c>
    </row>
    <row r="29" spans="1:3" ht="20.100000000000001" customHeight="1" thickBot="1" x14ac:dyDescent="0.35">
      <c r="A29" s="2" t="s">
        <v>31</v>
      </c>
      <c r="C29" s="22" t="s">
        <v>177</v>
      </c>
    </row>
    <row r="30" spans="1:3" ht="20.100000000000001" customHeight="1" thickBot="1" x14ac:dyDescent="0.35">
      <c r="A30" s="2" t="s">
        <v>32</v>
      </c>
      <c r="C30" s="22" t="s">
        <v>178</v>
      </c>
    </row>
    <row r="31" spans="1:3" ht="20.100000000000001" customHeight="1" thickBot="1" x14ac:dyDescent="0.35">
      <c r="A31" s="2" t="s">
        <v>33</v>
      </c>
      <c r="C31" s="22" t="s">
        <v>179</v>
      </c>
    </row>
    <row r="32" spans="1:3" ht="20.100000000000001" customHeight="1" thickBot="1" x14ac:dyDescent="0.35">
      <c r="A32" s="2" t="s">
        <v>16</v>
      </c>
      <c r="C32" s="22"/>
    </row>
    <row r="33" spans="1:9" ht="20.100000000000001" customHeight="1" thickBot="1" x14ac:dyDescent="0.35">
      <c r="A33" s="2" t="s">
        <v>14</v>
      </c>
      <c r="C33" s="22"/>
    </row>
    <row r="34" spans="1:9" ht="20.100000000000001" customHeight="1" thickBot="1" x14ac:dyDescent="0.35">
      <c r="A34" s="2" t="s">
        <v>34</v>
      </c>
      <c r="C34" s="22"/>
    </row>
    <row r="35" spans="1:9" ht="20.100000000000001" customHeight="1" x14ac:dyDescent="0.3">
      <c r="A35" s="21"/>
    </row>
    <row r="36" spans="1:9" s="20" customFormat="1" ht="20.100000000000001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6">
        <v>45901</v>
      </c>
    </row>
    <row r="40" spans="1:9" ht="20.100000000000001" customHeight="1" thickBot="1" x14ac:dyDescent="0.35">
      <c r="A40" s="16">
        <v>45902</v>
      </c>
    </row>
    <row r="41" spans="1:9" ht="20.100000000000001" customHeight="1" thickBot="1" x14ac:dyDescent="0.35">
      <c r="A41" s="16">
        <v>45903</v>
      </c>
    </row>
    <row r="42" spans="1:9" ht="20.100000000000001" customHeight="1" thickBot="1" x14ac:dyDescent="0.35">
      <c r="A42" s="16">
        <v>45904</v>
      </c>
    </row>
    <row r="43" spans="1:9" ht="20.100000000000001" customHeight="1" thickBot="1" x14ac:dyDescent="0.35">
      <c r="A43" s="16">
        <v>45905</v>
      </c>
    </row>
    <row r="44" spans="1:9" ht="20.100000000000001" customHeight="1" thickBot="1" x14ac:dyDescent="0.35">
      <c r="A44" s="16">
        <v>45906</v>
      </c>
    </row>
    <row r="45" spans="1:9" ht="20.100000000000001" customHeight="1" thickBot="1" x14ac:dyDescent="0.35">
      <c r="A45" s="16">
        <v>45907</v>
      </c>
    </row>
    <row r="46" spans="1:9" ht="20.100000000000001" customHeight="1" thickBot="1" x14ac:dyDescent="0.35">
      <c r="A46" s="16">
        <v>45908</v>
      </c>
    </row>
    <row r="47" spans="1:9" ht="20.100000000000001" customHeight="1" thickBot="1" x14ac:dyDescent="0.35">
      <c r="A47" s="16">
        <v>45909</v>
      </c>
    </row>
    <row r="48" spans="1:9" ht="20.100000000000001" customHeight="1" thickBot="1" x14ac:dyDescent="0.35">
      <c r="A48" s="16">
        <v>45910</v>
      </c>
    </row>
    <row r="49" spans="1:1" ht="20.100000000000001" customHeight="1" thickBot="1" x14ac:dyDescent="0.35">
      <c r="A49" s="16">
        <v>45911</v>
      </c>
    </row>
    <row r="50" spans="1:1" ht="20.100000000000001" customHeight="1" thickBot="1" x14ac:dyDescent="0.35">
      <c r="A50" s="16">
        <v>45912</v>
      </c>
    </row>
    <row r="51" spans="1:1" ht="20.100000000000001" customHeight="1" thickBot="1" x14ac:dyDescent="0.35">
      <c r="A51" s="16">
        <v>45913</v>
      </c>
    </row>
    <row r="52" spans="1:1" ht="20.100000000000001" customHeight="1" thickBot="1" x14ac:dyDescent="0.35">
      <c r="A52" s="16">
        <v>45914</v>
      </c>
    </row>
    <row r="53" spans="1:1" ht="20.100000000000001" customHeight="1" thickBot="1" x14ac:dyDescent="0.35">
      <c r="A53" s="16">
        <v>45915</v>
      </c>
    </row>
    <row r="54" spans="1:1" ht="20.100000000000001" customHeight="1" thickBot="1" x14ac:dyDescent="0.35">
      <c r="A54" s="16">
        <v>45916</v>
      </c>
    </row>
    <row r="55" spans="1:1" ht="20.100000000000001" customHeight="1" thickBot="1" x14ac:dyDescent="0.35">
      <c r="A55" s="16">
        <v>45917</v>
      </c>
    </row>
    <row r="56" spans="1:1" ht="20.100000000000001" customHeight="1" thickBot="1" x14ac:dyDescent="0.35">
      <c r="A56" s="16">
        <v>45918</v>
      </c>
    </row>
    <row r="57" spans="1:1" ht="20.100000000000001" customHeight="1" thickBot="1" x14ac:dyDescent="0.35">
      <c r="A57" s="16">
        <v>45919</v>
      </c>
    </row>
    <row r="58" spans="1:1" ht="20.100000000000001" customHeight="1" thickBot="1" x14ac:dyDescent="0.35">
      <c r="A58" s="16">
        <v>45920</v>
      </c>
    </row>
    <row r="59" spans="1:1" ht="20.100000000000001" customHeight="1" thickBot="1" x14ac:dyDescent="0.35">
      <c r="A59" s="16">
        <v>45921</v>
      </c>
    </row>
    <row r="60" spans="1:1" ht="20.100000000000001" customHeight="1" thickBot="1" x14ac:dyDescent="0.35">
      <c r="A60" s="16">
        <v>45922</v>
      </c>
    </row>
    <row r="61" spans="1:1" ht="20.100000000000001" customHeight="1" thickBot="1" x14ac:dyDescent="0.35">
      <c r="A61" s="16">
        <v>45923</v>
      </c>
    </row>
    <row r="62" spans="1:1" ht="20.100000000000001" customHeight="1" thickBot="1" x14ac:dyDescent="0.35">
      <c r="A62" s="16">
        <v>45924</v>
      </c>
    </row>
    <row r="63" spans="1:1" ht="20.100000000000001" customHeight="1" thickBot="1" x14ac:dyDescent="0.35">
      <c r="A63" s="16">
        <v>45925</v>
      </c>
    </row>
    <row r="64" spans="1:1" ht="20.100000000000001" customHeight="1" thickBot="1" x14ac:dyDescent="0.35">
      <c r="A64" s="16">
        <v>45926</v>
      </c>
    </row>
    <row r="65" spans="1:1" ht="20.100000000000001" customHeight="1" thickBot="1" x14ac:dyDescent="0.35">
      <c r="A65" s="16">
        <v>45927</v>
      </c>
    </row>
    <row r="66" spans="1:1" ht="20.100000000000001" customHeight="1" thickBot="1" x14ac:dyDescent="0.35">
      <c r="A66" s="16">
        <v>45928</v>
      </c>
    </row>
    <row r="67" spans="1:1" ht="20.100000000000001" customHeight="1" thickBot="1" x14ac:dyDescent="0.35">
      <c r="A67" s="16">
        <v>45929</v>
      </c>
    </row>
    <row r="68" spans="1:1" ht="20.100000000000001" customHeight="1" thickBot="1" x14ac:dyDescent="0.35">
      <c r="A68" s="16">
        <v>45930</v>
      </c>
    </row>
    <row r="69" spans="1:1" ht="20.100000000000001" customHeight="1" thickBot="1" x14ac:dyDescent="0.35">
      <c r="A69" s="16">
        <v>45931</v>
      </c>
    </row>
    <row r="70" spans="1:1" ht="20.100000000000001" customHeight="1" thickBot="1" x14ac:dyDescent="0.35">
      <c r="A70" s="16">
        <v>45932</v>
      </c>
    </row>
    <row r="71" spans="1:1" ht="20.100000000000001" customHeight="1" thickBot="1" x14ac:dyDescent="0.35">
      <c r="A71" s="16">
        <v>45933</v>
      </c>
    </row>
    <row r="72" spans="1:1" ht="20.100000000000001" customHeight="1" thickBot="1" x14ac:dyDescent="0.35">
      <c r="A72" s="16">
        <v>45934</v>
      </c>
    </row>
    <row r="73" spans="1:1" ht="20.100000000000001" customHeight="1" thickBot="1" x14ac:dyDescent="0.35">
      <c r="A73" s="16">
        <v>45935</v>
      </c>
    </row>
    <row r="74" spans="1:1" ht="20.100000000000001" customHeight="1" thickBot="1" x14ac:dyDescent="0.35">
      <c r="A74" s="16">
        <v>45936</v>
      </c>
    </row>
    <row r="75" spans="1:1" ht="20.100000000000001" customHeight="1" thickBot="1" x14ac:dyDescent="0.35">
      <c r="A75" s="16">
        <v>45937</v>
      </c>
    </row>
    <row r="76" spans="1:1" ht="20.100000000000001" customHeight="1" thickBot="1" x14ac:dyDescent="0.35">
      <c r="A76" s="16">
        <v>45938</v>
      </c>
    </row>
    <row r="77" spans="1:1" ht="20.100000000000001" customHeight="1" thickBot="1" x14ac:dyDescent="0.35">
      <c r="A77" s="16">
        <v>45939</v>
      </c>
    </row>
    <row r="78" spans="1:1" ht="20.100000000000001" customHeight="1" thickBot="1" x14ac:dyDescent="0.35">
      <c r="A78" s="16">
        <v>45940</v>
      </c>
    </row>
    <row r="79" spans="1:1" ht="20.100000000000001" customHeight="1" thickBot="1" x14ac:dyDescent="0.35">
      <c r="A79" s="16">
        <v>45941</v>
      </c>
    </row>
    <row r="80" spans="1:1" ht="20.100000000000001" customHeight="1" thickBot="1" x14ac:dyDescent="0.35">
      <c r="A80" s="16">
        <v>45942</v>
      </c>
    </row>
    <row r="81" spans="1:1" ht="20.100000000000001" customHeight="1" thickBot="1" x14ac:dyDescent="0.35">
      <c r="A81" s="16">
        <v>45943</v>
      </c>
    </row>
    <row r="82" spans="1:1" ht="20.100000000000001" customHeight="1" thickBot="1" x14ac:dyDescent="0.35">
      <c r="A82" s="16">
        <v>45944</v>
      </c>
    </row>
    <row r="83" spans="1:1" ht="20.100000000000001" customHeight="1" thickBot="1" x14ac:dyDescent="0.35">
      <c r="A83" s="16">
        <v>45945</v>
      </c>
    </row>
    <row r="84" spans="1:1" ht="20.100000000000001" customHeight="1" thickBot="1" x14ac:dyDescent="0.35">
      <c r="A84" s="16">
        <v>45946</v>
      </c>
    </row>
    <row r="85" spans="1:1" ht="20.100000000000001" customHeight="1" thickBot="1" x14ac:dyDescent="0.35">
      <c r="A85" s="16">
        <v>45947</v>
      </c>
    </row>
    <row r="86" spans="1:1" ht="20.100000000000001" customHeight="1" thickBot="1" x14ac:dyDescent="0.35">
      <c r="A86" s="16">
        <v>45948</v>
      </c>
    </row>
    <row r="87" spans="1:1" ht="20.100000000000001" customHeight="1" thickBot="1" x14ac:dyDescent="0.35">
      <c r="A87" s="16">
        <v>45949</v>
      </c>
    </row>
    <row r="88" spans="1:1" ht="20.100000000000001" customHeight="1" thickBot="1" x14ac:dyDescent="0.35">
      <c r="A88" s="16">
        <v>45950</v>
      </c>
    </row>
    <row r="89" spans="1:1" ht="20.100000000000001" customHeight="1" thickBot="1" x14ac:dyDescent="0.35">
      <c r="A89" s="16">
        <v>45951</v>
      </c>
    </row>
    <row r="90" spans="1:1" ht="20.100000000000001" customHeight="1" thickBot="1" x14ac:dyDescent="0.35">
      <c r="A90" s="16">
        <v>45952</v>
      </c>
    </row>
    <row r="91" spans="1:1" ht="20.100000000000001" customHeight="1" thickBot="1" x14ac:dyDescent="0.35">
      <c r="A91" s="16">
        <v>45953</v>
      </c>
    </row>
    <row r="92" spans="1:1" ht="20.100000000000001" customHeight="1" thickBot="1" x14ac:dyDescent="0.35">
      <c r="A92" s="16">
        <v>45954</v>
      </c>
    </row>
    <row r="93" spans="1:1" ht="20.100000000000001" customHeight="1" thickBot="1" x14ac:dyDescent="0.35">
      <c r="A93" s="16">
        <v>45955</v>
      </c>
    </row>
    <row r="94" spans="1:1" ht="20.100000000000001" customHeight="1" thickBot="1" x14ac:dyDescent="0.35">
      <c r="A94" s="16">
        <v>45956</v>
      </c>
    </row>
    <row r="95" spans="1:1" ht="20.100000000000001" customHeight="1" thickBot="1" x14ac:dyDescent="0.35">
      <c r="A95" s="16">
        <v>45957</v>
      </c>
    </row>
    <row r="96" spans="1:1" ht="20.100000000000001" customHeight="1" thickBot="1" x14ac:dyDescent="0.35">
      <c r="A96" s="16">
        <v>45958</v>
      </c>
    </row>
    <row r="97" spans="1:9" ht="20.100000000000001" customHeight="1" thickBot="1" x14ac:dyDescent="0.35">
      <c r="A97" s="16">
        <v>45959</v>
      </c>
    </row>
    <row r="98" spans="1:9" ht="20.100000000000001" customHeight="1" thickBot="1" x14ac:dyDescent="0.35">
      <c r="A98" s="16">
        <v>45960</v>
      </c>
    </row>
    <row r="99" spans="1:9" ht="20.100000000000001" customHeight="1" thickBot="1" x14ac:dyDescent="0.35">
      <c r="A99" s="16">
        <v>45961</v>
      </c>
    </row>
    <row r="100" spans="1:9" ht="20.100000000000001" customHeight="1" thickBot="1" x14ac:dyDescent="0.35">
      <c r="A100" s="16">
        <v>45962</v>
      </c>
    </row>
    <row r="101" spans="1:9" ht="20.100000000000001" customHeight="1" thickBot="1" x14ac:dyDescent="0.35">
      <c r="A101" s="16">
        <v>45963</v>
      </c>
    </row>
    <row r="102" spans="1:9" ht="20.100000000000001" customHeight="1" thickBot="1" x14ac:dyDescent="0.35">
      <c r="A102" s="16">
        <v>45964</v>
      </c>
    </row>
    <row r="103" spans="1:9" ht="20.100000000000001" customHeight="1" thickBot="1" x14ac:dyDescent="0.35">
      <c r="A103" s="16">
        <v>45965</v>
      </c>
    </row>
    <row r="104" spans="1:9" ht="20.100000000000001" customHeight="1" thickBot="1" x14ac:dyDescent="0.35">
      <c r="A104" s="16">
        <v>45966</v>
      </c>
    </row>
    <row r="105" spans="1:9" ht="20.100000000000001" customHeight="1" thickBot="1" x14ac:dyDescent="0.35">
      <c r="A105" s="16">
        <v>45967</v>
      </c>
    </row>
    <row r="106" spans="1:9" ht="20.100000000000001" customHeight="1" thickBot="1" x14ac:dyDescent="0.35">
      <c r="A106" s="16">
        <v>45968</v>
      </c>
    </row>
    <row r="107" spans="1:9" ht="20.100000000000001" customHeight="1" x14ac:dyDescent="0.3">
      <c r="A107" s="17"/>
    </row>
    <row r="108" spans="1:9" ht="20.100000000000001" customHeight="1" x14ac:dyDescent="0.3">
      <c r="A108" s="17"/>
    </row>
    <row r="109" spans="1:9" s="20" customFormat="1" ht="20.100000000000001" customHeight="1" x14ac:dyDescent="0.3">
      <c r="A109" s="18"/>
      <c r="B109" s="19"/>
      <c r="C109" s="19"/>
      <c r="D109" s="19"/>
      <c r="E109" s="19"/>
      <c r="F109" s="19"/>
      <c r="G109" s="19"/>
      <c r="H109" s="19"/>
      <c r="I109" s="19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3" t="s">
        <v>89</v>
      </c>
    </row>
    <row r="200" spans="1:1" ht="20.100000000000001" customHeight="1" x14ac:dyDescent="0.3">
      <c r="A200" s="23" t="s">
        <v>90</v>
      </c>
    </row>
    <row r="201" spans="1:1" ht="20.100000000000001" customHeight="1" x14ac:dyDescent="0.3">
      <c r="A201" s="23" t="s">
        <v>91</v>
      </c>
    </row>
    <row r="202" spans="1:1" ht="20.100000000000001" customHeight="1" x14ac:dyDescent="0.3">
      <c r="A202" s="23" t="s">
        <v>92</v>
      </c>
    </row>
    <row r="203" spans="1:1" ht="20.100000000000001" customHeight="1" x14ac:dyDescent="0.3">
      <c r="A203" s="23" t="s">
        <v>93</v>
      </c>
    </row>
    <row r="204" spans="1:1" ht="20.100000000000001" customHeight="1" x14ac:dyDescent="0.3">
      <c r="A204" s="23" t="s">
        <v>94</v>
      </c>
    </row>
    <row r="205" spans="1:1" ht="20.100000000000001" customHeight="1" x14ac:dyDescent="0.3">
      <c r="A205" s="23" t="s">
        <v>95</v>
      </c>
    </row>
    <row r="206" spans="1:1" ht="20.100000000000001" customHeight="1" x14ac:dyDescent="0.3">
      <c r="A206" s="23" t="s">
        <v>96</v>
      </c>
    </row>
    <row r="207" spans="1:1" ht="20.100000000000001" customHeight="1" x14ac:dyDescent="0.3">
      <c r="A207" s="23" t="s">
        <v>97</v>
      </c>
    </row>
    <row r="208" spans="1:1" ht="20.100000000000001" customHeight="1" x14ac:dyDescent="0.3">
      <c r="A208" s="24" t="s">
        <v>98</v>
      </c>
    </row>
    <row r="209" spans="1:1" ht="20.100000000000001" customHeight="1" x14ac:dyDescent="0.3">
      <c r="A209" s="24" t="s">
        <v>99</v>
      </c>
    </row>
    <row r="210" spans="1:1" ht="20.100000000000001" customHeight="1" x14ac:dyDescent="0.3">
      <c r="A210" s="23" t="s">
        <v>100</v>
      </c>
    </row>
    <row r="211" spans="1:1" ht="20.100000000000001" customHeight="1" x14ac:dyDescent="0.3">
      <c r="A211" s="23" t="s">
        <v>101</v>
      </c>
    </row>
    <row r="212" spans="1:1" ht="20.100000000000001" customHeight="1" x14ac:dyDescent="0.3">
      <c r="A212" s="23" t="s">
        <v>175</v>
      </c>
    </row>
    <row r="213" spans="1:1" ht="20.100000000000001" customHeight="1" x14ac:dyDescent="0.3">
      <c r="A213" s="23" t="s">
        <v>102</v>
      </c>
    </row>
    <row r="214" spans="1:1" ht="20.100000000000001" customHeight="1" x14ac:dyDescent="0.3">
      <c r="A214" s="23" t="s">
        <v>103</v>
      </c>
    </row>
    <row r="215" spans="1:1" ht="20.100000000000001" customHeight="1" x14ac:dyDescent="0.3">
      <c r="A215" s="23" t="s">
        <v>104</v>
      </c>
    </row>
    <row r="216" spans="1:1" ht="20.100000000000001" customHeight="1" x14ac:dyDescent="0.3">
      <c r="A216" s="23" t="s">
        <v>105</v>
      </c>
    </row>
    <row r="217" spans="1:1" ht="20.100000000000001" customHeight="1" x14ac:dyDescent="0.3">
      <c r="A217" s="23" t="s">
        <v>106</v>
      </c>
    </row>
    <row r="218" spans="1:1" ht="20.100000000000001" customHeight="1" x14ac:dyDescent="0.3">
      <c r="A218" s="23" t="s">
        <v>107</v>
      </c>
    </row>
    <row r="219" spans="1:1" ht="20.100000000000001" customHeight="1" x14ac:dyDescent="0.3">
      <c r="A219" s="23" t="s">
        <v>108</v>
      </c>
    </row>
    <row r="220" spans="1:1" ht="20.100000000000001" customHeight="1" x14ac:dyDescent="0.3">
      <c r="A220" s="23" t="s">
        <v>109</v>
      </c>
    </row>
    <row r="221" spans="1:1" ht="20.100000000000001" customHeight="1" x14ac:dyDescent="0.3">
      <c r="A221" s="23" t="s">
        <v>110</v>
      </c>
    </row>
    <row r="222" spans="1:1" ht="20.100000000000001" customHeight="1" x14ac:dyDescent="0.3">
      <c r="A222" s="23" t="s">
        <v>111</v>
      </c>
    </row>
    <row r="223" spans="1:1" ht="20.100000000000001" customHeight="1" x14ac:dyDescent="0.3">
      <c r="A223" s="23" t="s">
        <v>112</v>
      </c>
    </row>
    <row r="224" spans="1:1" ht="20.100000000000001" customHeight="1" x14ac:dyDescent="0.3">
      <c r="A224" s="23" t="s">
        <v>176</v>
      </c>
    </row>
    <row r="225" spans="1:1" ht="20.100000000000001" customHeight="1" x14ac:dyDescent="0.3">
      <c r="A225" s="23" t="s">
        <v>113</v>
      </c>
    </row>
    <row r="226" spans="1:1" ht="20.100000000000001" customHeight="1" x14ac:dyDescent="0.3">
      <c r="A226" s="23" t="s">
        <v>114</v>
      </c>
    </row>
    <row r="227" spans="1:1" ht="20.100000000000001" customHeight="1" x14ac:dyDescent="0.3">
      <c r="A227" s="23" t="s">
        <v>115</v>
      </c>
    </row>
    <row r="228" spans="1:1" ht="20.100000000000001" customHeight="1" x14ac:dyDescent="0.3">
      <c r="A228" s="23" t="s">
        <v>116</v>
      </c>
    </row>
    <row r="229" spans="1:1" ht="20.100000000000001" customHeight="1" x14ac:dyDescent="0.3">
      <c r="A229" s="23" t="s">
        <v>117</v>
      </c>
    </row>
    <row r="230" spans="1:1" ht="20.100000000000001" customHeight="1" x14ac:dyDescent="0.3">
      <c r="A230" s="23" t="s">
        <v>118</v>
      </c>
    </row>
    <row r="231" spans="1:1" ht="20.100000000000001" customHeight="1" x14ac:dyDescent="0.3">
      <c r="A231" s="23" t="s">
        <v>119</v>
      </c>
    </row>
    <row r="232" spans="1:1" ht="20.100000000000001" customHeight="1" x14ac:dyDescent="0.3">
      <c r="A232" s="23" t="s">
        <v>120</v>
      </c>
    </row>
    <row r="233" spans="1:1" ht="20.100000000000001" customHeight="1" x14ac:dyDescent="0.3">
      <c r="A233" s="23" t="s">
        <v>121</v>
      </c>
    </row>
    <row r="234" spans="1:1" ht="20.100000000000001" customHeight="1" x14ac:dyDescent="0.3">
      <c r="A234" s="23" t="s">
        <v>122</v>
      </c>
    </row>
    <row r="235" spans="1:1" ht="20.100000000000001" customHeight="1" x14ac:dyDescent="0.3">
      <c r="A235" s="23" t="s">
        <v>123</v>
      </c>
    </row>
    <row r="236" spans="1:1" ht="20.100000000000001" customHeight="1" x14ac:dyDescent="0.3">
      <c r="A236" s="25" t="s">
        <v>124</v>
      </c>
    </row>
    <row r="237" spans="1:1" ht="20.100000000000001" customHeight="1" x14ac:dyDescent="0.3">
      <c r="A237" s="23" t="s">
        <v>125</v>
      </c>
    </row>
    <row r="238" spans="1:1" ht="20.100000000000001" customHeight="1" x14ac:dyDescent="0.3">
      <c r="A238" s="23" t="s">
        <v>126</v>
      </c>
    </row>
    <row r="239" spans="1:1" ht="20.100000000000001" customHeight="1" x14ac:dyDescent="0.3">
      <c r="A239" s="23" t="s">
        <v>127</v>
      </c>
    </row>
    <row r="240" spans="1:1" ht="20.100000000000001" customHeight="1" x14ac:dyDescent="0.3">
      <c r="A240" s="23" t="s">
        <v>128</v>
      </c>
    </row>
    <row r="241" spans="1:1" ht="20.100000000000001" customHeight="1" x14ac:dyDescent="0.3">
      <c r="A241" s="23" t="s">
        <v>129</v>
      </c>
    </row>
    <row r="242" spans="1:1" ht="20.100000000000001" customHeight="1" x14ac:dyDescent="0.3">
      <c r="A242" s="23" t="s">
        <v>130</v>
      </c>
    </row>
    <row r="243" spans="1:1" ht="20.100000000000001" customHeight="1" x14ac:dyDescent="0.3">
      <c r="A243" s="23" t="s">
        <v>131</v>
      </c>
    </row>
    <row r="244" spans="1:1" ht="20.100000000000001" customHeight="1" x14ac:dyDescent="0.3">
      <c r="A244" s="23" t="s">
        <v>132</v>
      </c>
    </row>
    <row r="245" spans="1:1" ht="20.100000000000001" customHeight="1" x14ac:dyDescent="0.3">
      <c r="A245" s="23" t="s">
        <v>133</v>
      </c>
    </row>
    <row r="246" spans="1:1" ht="20.100000000000001" customHeight="1" x14ac:dyDescent="0.3">
      <c r="A246" s="23" t="s">
        <v>134</v>
      </c>
    </row>
    <row r="247" spans="1:1" ht="20.100000000000001" customHeight="1" x14ac:dyDescent="0.3">
      <c r="A247" s="23" t="s">
        <v>135</v>
      </c>
    </row>
    <row r="248" spans="1:1" ht="20.100000000000001" customHeight="1" x14ac:dyDescent="0.3">
      <c r="A248" s="23" t="s">
        <v>126</v>
      </c>
    </row>
    <row r="249" spans="1:1" ht="20.100000000000001" customHeight="1" x14ac:dyDescent="0.3">
      <c r="A249" s="23" t="s">
        <v>136</v>
      </c>
    </row>
    <row r="250" spans="1:1" ht="20.100000000000001" customHeight="1" x14ac:dyDescent="0.3">
      <c r="A250" s="23" t="s">
        <v>137</v>
      </c>
    </row>
    <row r="251" spans="1:1" ht="20.100000000000001" customHeight="1" x14ac:dyDescent="0.3">
      <c r="A251" s="25" t="s">
        <v>138</v>
      </c>
    </row>
    <row r="252" spans="1:1" ht="20.100000000000001" customHeight="1" x14ac:dyDescent="0.3">
      <c r="A252" s="26" t="s">
        <v>139</v>
      </c>
    </row>
    <row r="253" spans="1:1" ht="20.100000000000001" customHeight="1" x14ac:dyDescent="0.3">
      <c r="A253" s="23" t="s">
        <v>140</v>
      </c>
    </row>
    <row r="254" spans="1:1" ht="20.100000000000001" customHeight="1" x14ac:dyDescent="0.3">
      <c r="A254" s="23" t="s">
        <v>141</v>
      </c>
    </row>
    <row r="255" spans="1:1" ht="20.100000000000001" customHeight="1" x14ac:dyDescent="0.3">
      <c r="A255" s="27" t="s">
        <v>142</v>
      </c>
    </row>
    <row r="256" spans="1:1" ht="20.100000000000001" customHeight="1" x14ac:dyDescent="0.3">
      <c r="A256" s="27" t="s">
        <v>143</v>
      </c>
    </row>
    <row r="257" spans="1:1" ht="20.100000000000001" customHeight="1" x14ac:dyDescent="0.3">
      <c r="A257" s="28" t="s">
        <v>144</v>
      </c>
    </row>
    <row r="258" spans="1:1" ht="20.100000000000001" customHeight="1" x14ac:dyDescent="0.3">
      <c r="A258" s="23" t="s">
        <v>145</v>
      </c>
    </row>
    <row r="259" spans="1:1" ht="20.100000000000001" customHeight="1" x14ac:dyDescent="0.3">
      <c r="A259" s="28" t="s">
        <v>146</v>
      </c>
    </row>
    <row r="260" spans="1:1" ht="20.100000000000001" customHeight="1" x14ac:dyDescent="0.3">
      <c r="A260" s="23" t="s">
        <v>147</v>
      </c>
    </row>
    <row r="261" spans="1:1" ht="20.100000000000001" customHeight="1" x14ac:dyDescent="0.3">
      <c r="A261" s="28" t="s">
        <v>148</v>
      </c>
    </row>
    <row r="262" spans="1:1" ht="20.100000000000001" customHeight="1" x14ac:dyDescent="0.3">
      <c r="A262" s="23" t="s">
        <v>149</v>
      </c>
    </row>
    <row r="263" spans="1:1" ht="20.100000000000001" customHeight="1" x14ac:dyDescent="0.3">
      <c r="A263" s="23" t="s">
        <v>150</v>
      </c>
    </row>
    <row r="264" spans="1:1" ht="20.100000000000001" customHeight="1" x14ac:dyDescent="0.3">
      <c r="A264" s="28" t="s">
        <v>151</v>
      </c>
    </row>
    <row r="265" spans="1:1" ht="20.100000000000001" customHeight="1" x14ac:dyDescent="0.3">
      <c r="A265" s="28" t="s">
        <v>152</v>
      </c>
    </row>
    <row r="266" spans="1:1" ht="20.100000000000001" customHeight="1" x14ac:dyDescent="0.3">
      <c r="A266" s="28" t="s">
        <v>153</v>
      </c>
    </row>
    <row r="267" spans="1:1" ht="20.100000000000001" customHeight="1" x14ac:dyDescent="0.3">
      <c r="A267" s="23" t="s">
        <v>154</v>
      </c>
    </row>
    <row r="268" spans="1:1" ht="20.100000000000001" customHeight="1" x14ac:dyDescent="0.3">
      <c r="A268" s="23" t="s">
        <v>155</v>
      </c>
    </row>
    <row r="269" spans="1:1" ht="20.100000000000001" customHeight="1" x14ac:dyDescent="0.3">
      <c r="A269" s="23" t="s">
        <v>156</v>
      </c>
    </row>
    <row r="270" spans="1:1" ht="20.100000000000001" customHeight="1" x14ac:dyDescent="0.3">
      <c r="A270" s="23" t="s">
        <v>157</v>
      </c>
    </row>
    <row r="271" spans="1:1" ht="20.100000000000001" customHeight="1" x14ac:dyDescent="0.3">
      <c r="A271" s="28" t="s">
        <v>158</v>
      </c>
    </row>
    <row r="272" spans="1:1" ht="20.100000000000001" customHeight="1" x14ac:dyDescent="0.3">
      <c r="A272" s="28" t="s">
        <v>159</v>
      </c>
    </row>
    <row r="273" spans="1:1" ht="20.100000000000001" customHeight="1" x14ac:dyDescent="0.3">
      <c r="A273" s="23" t="s">
        <v>160</v>
      </c>
    </row>
    <row r="274" spans="1:1" ht="20.100000000000001" customHeight="1" x14ac:dyDescent="0.3">
      <c r="A274" s="28" t="s">
        <v>161</v>
      </c>
    </row>
    <row r="275" spans="1:1" ht="20.100000000000001" customHeight="1" x14ac:dyDescent="0.3">
      <c r="A275" s="28" t="s">
        <v>162</v>
      </c>
    </row>
    <row r="276" spans="1:1" ht="20.100000000000001" customHeight="1" x14ac:dyDescent="0.3">
      <c r="A276" s="23" t="s">
        <v>163</v>
      </c>
    </row>
    <row r="277" spans="1:1" ht="20.100000000000001" customHeight="1" x14ac:dyDescent="0.3">
      <c r="A277" s="23" t="s">
        <v>164</v>
      </c>
    </row>
    <row r="278" spans="1:1" ht="20.100000000000001" customHeight="1" x14ac:dyDescent="0.3">
      <c r="A278" s="28" t="s">
        <v>165</v>
      </c>
    </row>
    <row r="279" spans="1:1" ht="20.100000000000001" customHeight="1" x14ac:dyDescent="0.3">
      <c r="A279" s="23" t="s">
        <v>166</v>
      </c>
    </row>
    <row r="280" spans="1:1" ht="20.100000000000001" customHeight="1" x14ac:dyDescent="0.3">
      <c r="A280" s="23" t="s">
        <v>167</v>
      </c>
    </row>
    <row r="281" spans="1:1" ht="20.100000000000001" customHeight="1" x14ac:dyDescent="0.3">
      <c r="A281" s="23" t="s">
        <v>168</v>
      </c>
    </row>
    <row r="282" spans="1:1" ht="20.100000000000001" customHeight="1" x14ac:dyDescent="0.3">
      <c r="A282" s="23" t="s">
        <v>169</v>
      </c>
    </row>
    <row r="283" spans="1:1" ht="20.100000000000001" customHeight="1" x14ac:dyDescent="0.3">
      <c r="A283" s="28" t="s">
        <v>170</v>
      </c>
    </row>
    <row r="284" spans="1:1" ht="20.100000000000001" customHeight="1" x14ac:dyDescent="0.3">
      <c r="A284" s="28" t="s">
        <v>171</v>
      </c>
    </row>
    <row r="285" spans="1:1" ht="20.100000000000001" customHeight="1" x14ac:dyDescent="0.3">
      <c r="A285" s="28" t="s">
        <v>172</v>
      </c>
    </row>
    <row r="286" spans="1:1" ht="20.100000000000001" customHeight="1" thickBot="1" x14ac:dyDescent="0.35">
      <c r="A286" s="23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2025-10-09T19:54:10Z</dcterms:modified>
</cp:coreProperties>
</file>