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DD15F996-4D88-A64A-B10C-0AD80641E1EE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F38" i="2"/>
  <c r="E38" i="2"/>
  <c r="E39" i="2"/>
  <c r="E40" i="2"/>
</calcChain>
</file>

<file path=xl/sharedStrings.xml><?xml version="1.0" encoding="utf-8"?>
<sst xmlns="http://schemas.openxmlformats.org/spreadsheetml/2006/main" count="267" uniqueCount="211">
  <si>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</si>
  <si>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</si>
  <si>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</si>
  <si>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</si>
  <si>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</si>
  <si>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</si>
  <si>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</si>
  <si>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</si>
  <si>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</si>
  <si>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</si>
  <si>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</si>
  <si>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</si>
  <si>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</si>
  <si>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</si>
  <si>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</si>
  <si>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</si>
  <si>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</si>
  <si>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</si>
  <si>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</si>
  <si>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</si>
  <si>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</si>
  <si>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</si>
  <si>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</si>
  <si>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</si>
  <si>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</si>
  <si>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</si>
  <si>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</si>
  <si>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</si>
  <si>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</si>
  <si>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</si>
  <si>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</si>
  <si>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</si>
  <si>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</si>
  <si>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</si>
  <si>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</si>
  <si>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</si>
  <si>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</si>
  <si>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</si>
  <si>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</si>
  <si>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</si>
  <si>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</si>
  <si>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</si>
  <si>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</si>
  <si>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</si>
  <si>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</si>
  <si>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</si>
  <si>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</si>
  <si>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</si>
  <si>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</si>
  <si>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</si>
  <si>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</si>
  <si>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</si>
  <si>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</si>
  <si>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</si>
  <si>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</si>
  <si>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</si>
  <si>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</si>
  <si>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</si>
  <si>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</si>
  <si>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</si>
  <si>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</si>
  <si>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</si>
  <si>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</si>
  <si>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</si>
  <si>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</si>
  <si>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</si>
  <si>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</si>
  <si>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</si>
  <si>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</si>
  <si>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</si>
  <si>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</si>
  <si>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</si>
  <si>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</si>
  <si>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</si>
  <si>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</si>
  <si>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</si>
  <si>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</si>
  <si>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</si>
  <si>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</si>
  <si>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</si>
  <si>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</si>
  <si>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</si>
  <si>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</si>
  <si>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</si>
  <si>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</si>
  <si>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</si>
  <si>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</si>
  <si>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</si>
  <si>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</si>
  <si>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</si>
  <si>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</si>
  <si>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</si>
  <si>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</si>
  <si>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</si>
  <si>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</si>
  <si>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</si>
  <si>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</si>
  <si>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</si>
  <si>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</si>
  <si>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</si>
  <si>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</si>
  <si>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</si>
  <si>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</si>
  <si>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</si>
  <si>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</si>
  <si>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</si>
  <si>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</si>
  <si>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</si>
  <si>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</si>
  <si>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</si>
  <si>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</si>
  <si>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</si>
  <si>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</si>
  <si>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</si>
  <si>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</si>
  <si>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</si>
  <si>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</si>
  <si>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</si>
  <si>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</si>
  <si>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</si>
  <si>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</si>
  <si>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</si>
  <si>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</si>
  <si>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</si>
  <si>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</si>
  <si>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</si>
  <si>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</si>
  <si>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</si>
  <si>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</si>
  <si>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</si>
  <si>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</si>
  <si>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</si>
  <si>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</si>
  <si>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</si>
  <si>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</si>
  <si>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</si>
  <si>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</si>
  <si>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</si>
  <si>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</si>
  <si>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</si>
  <si>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</si>
  <si>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</si>
  <si>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</si>
  <si>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</si>
  <si>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</si>
  <si>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</si>
  <si>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</si>
  <si>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</si>
  <si>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</si>
  <si>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</si>
  <si>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</si>
  <si>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</si>
  <si>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</si>
  <si>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</si>
  <si>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</si>
  <si>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</si>
  <si>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</si>
  <si>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</si>
  <si>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</si>
  <si>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</si>
  <si>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</si>
  <si>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</si>
  <si>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</si>
  <si>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</si>
  <si>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</si>
  <si>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</si>
  <si>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</si>
  <si>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</si>
  <si>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</si>
  <si>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</si>
  <si>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</si>
  <si>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</si>
  <si>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</si>
  <si>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</si>
  <si>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</si>
  <si>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</si>
  <si>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</si>
  <si>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</si>
  <si>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</si>
  <si>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</si>
  <si>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الإشراف على عمليات إدامة كتيبة المدفعية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</si>
  <si>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مرحلتي التحضير</t>
    </r>
    <r>
      <rPr>
        <sz val="12"/>
        <color rgb="FF000000"/>
        <rFont val="Arial"/>
        <family val="2"/>
      </rPr>
      <t xml:space="preserve">. </t>
    </r>
    <r>
      <rPr>
        <sz val="12"/>
        <color theme="1"/>
        <rFont val="Arial"/>
        <family val="2"/>
      </rPr>
      <t>يقوم نائب قائد الكتيبة خلال مرحلة التحضير بتنفيذ الأعمال التالية: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</si>
  <si>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مزامنة الإمداد مع غيرها من وظائف الحرب القتالية خلال اجراء التجارب، وتعديل الخطط بما يتناسب مع ذلك. 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</si>
  <si>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هيئة ركن الإمداد بالترتيبات اللازمة لمواقع المدافع أو اعادة التوضيع (التكديس) لجميع صنوف الإمداد والتموين لإسناد العمليات.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</si>
  <si>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أن هيئة ركن مراكز الإمداد تديم الصورة العامة عن الموقف بما يمكنهم من التوقع والتنبؤ بالمتطلبات الحالية والمستقبلية.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</si>
  <si>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أن مركز عمليات الإمداد يُديم الاتصالات، وأن هيئة ركن الإمداد تقوم بالتنسيق مع هيئات الركن الاخرى ومع وحدات الكتيبة.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</si>
  <si>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مدى توفر القدرات الطبية، والتحضير للعمليات الطبية لإسناد الكتيبة، وأن خطة الانقاذ قد تم مزامنتها مع تحركات الوحدة.</t>
    </r>
  </si>
  <si>
    <t>مرحلة التخطيط.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</si>
  <si>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يحدد نائب قائد الكتيبة أفضل تنظيم لنقليات الوحدات لإسناد العمليات حيث يعتمد ذلك على المعلومات المتوفرة وتشمل:</t>
    </r>
  </si>
  <si>
    <t>أ. دليل تخطيط القائد المُفصّل (يتضمن أولويات الإمداد).</t>
  </si>
  <si>
    <t>ب. المهمة، العدو، الأرض، القوات المتوفرة، الوقت المتوفر، واعتبارات المدنيين.</t>
  </si>
  <si>
    <t>جـ. إمكانية القيادة والسيطرة والاتصالات على عمليات الإمداد.</t>
  </si>
  <si>
    <t>د. أمن وحماية النقليات.</t>
  </si>
  <si>
    <t>هـ. مواقع عناصر الإسناد من خارج الوحدة.</t>
  </si>
  <si>
    <t>و. قابلية الاستجابة لطلبات الامداد واعادة التزويد.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</si>
  <si>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يشرف نائب قائد الكتيبة على هيئة ركن الإمداد ويعطي توجيهاته لهم والمتعلقة بتطوير خطط/وثائق الإسناد مع الأخذ بالاعتبار الوثائق الصادرة والمتعلقة بالإمداد وتشمل:</t>
    </r>
  </si>
  <si>
    <t>أ. تقدير موقف القوى البشرية.</t>
  </si>
  <si>
    <t>ب. تقدير موقف الخدمات الطبية.</t>
  </si>
  <si>
    <t>جـ. ملحق الإمداد.</t>
  </si>
  <si>
    <t>د. الفقرة/4 (إسناد الخدمات) واللازمة لخطة الإسناد المدفعي.</t>
  </si>
  <si>
    <t>هـ. شفافات الإمداد.</t>
  </si>
  <si>
    <t>و. خطط الحركة والنقل.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</si>
  <si>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مراجعة والمصادقة على وثائق خطط هيئة ركن الإمداد واللازمة لخطة الإسناد المدفعي.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</si>
  <si>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تأكد نائب قائد الكتيبة من قيام هيئة ركن الإمداد بتأسيس وادامة الارتباط مع عناصر الإمداد خارج الوحدة.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</si>
  <si>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تأكد نائب قائد الكتيبة من الإلمام بالموقف وإدامته في مركز الادارة والإمداد للوحدات (الصورة العامة عن الموقف).</t>
    </r>
  </si>
  <si>
    <t>مرحلة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</si>
  <si>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تأكد نائب قائد الكتيبة من أن نقليات الكتيبة، وقيادات المواقع قد انفتحت في مواقعها لتقديم الإسناد المستمر طيلة العمليات. 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</si>
  <si>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تأكد نائب قائد الكتيبة من الطرق المخصصة للتزويد لضمان أن قدرات الإمداد تستطيع الاستجابة لطلبات الإمداد في الوقت المناسب بدون التدخل بتحركات وحدات الإسناد الناري أو وحدات المناورة. 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</si>
  <si>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تأكد نائب قائد الكتيبة من أن الآليات والمعدّات تم انقاذها، وتصليحها، وأنها أُعيدت إلى المستخدمين أو أنها سُلّمت إلى وحدات الصيانة التابعة للتشكيل الأعلى إذا لزم. 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</si>
  <si>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تأكد نائب قائد الكتيبة من أن رُزم التزويد التي تم دفعها للأمام لغايات الحالات الطارئة قد تم اعدادها وأنها جاهزة لإسناد عمليات الرماية المُستمرة. 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</si>
  <si>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تأكد نائب قائد الكتيبة من أن هيئة ركن الإمداد يُرسلون التقارير الدقيقة إلى القائد بحيث تتضمن أخر تحديث لجاهزية الإمداد.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</si>
</sst>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" fillId="5" borderId="26" xfId="0" applyFont="1" applyFill="1" applyBorder="1" applyAlignment="1">
      <alignment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16665</xdr:colOff>
      <xdr:row>41</xdr:row>
      <xdr:rowOff>138552</xdr:rowOff>
    </xdr:from>
    <xdr:to>
      <xdr:col>9</xdr:col>
      <xdr:colOff>444674</xdr:colOff>
      <xdr:row>41</xdr:row>
      <xdr:rowOff>636072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54999D3-CD5B-D5B6-AFFE-2914E3DD14BA}"/>
                </a:ext>
              </a:extLst>
            </xdr14:cNvPr>
            <xdr14:cNvContentPartPr/>
          </xdr14:nvContentPartPr>
          <xdr14:nvPr macro=""/>
          <xdr14:xfrm>
            <a:off x="10398142145" y="20244960"/>
            <a:ext cx="2402280" cy="4975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54999D3-CD5B-D5B6-AFFE-2914E3DD14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33505" y="20236320"/>
              <a:ext cx="2419920" cy="515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20: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5934 516,'0'0,"-33"0,17 4,-32 8,-80 20,102-25,-92-14,-27 23,117-12,-216 25,-109-13,280-13,-223 10,-57 3,282-13,-194 10,-24-13,258 0,-227 32,82-16,159-15,-463 30,-17 49,448-72,-239 64,-33 24,291-86,-228 61,-15 25,248-87,-190 62,38-23,159-43,-92 22,14-11,86-14,-44 12,22-14,28 0,-8 0,11 0,-14-16,31 16,-15 0,46-32,65 0,-100 28,152-56,61-20,-197 69,216-42,77-44,-280 85,303-56,41-28,-336 84,271-40,81-28,-352 70,286-44,66-27,-350 71,283-44,51-10,-338 56,275-48,47-8,-319 55,236-30,19-25,-261 54,201-29,-5 7,-204 28,105-8,-29-4,-95 14,62-12,-15 14,-55 0,-2 0,9 0,-14 0,12 0,-13 0,-18 0,-31 0,41 0,-114 0,-88-16,181 14,-200 4,-109-18,289 14,-305 4,-128 14,419-14,-341 44,-78 18,409-54,-353 77,-56 25,406-95,-315 94,-11 18,340-110,-231 74,4 3,244-82,-73 20,-11-2,109-27,-26-10,13 5,27 0,26-32,27 0,-41 28,98-24,40-20,-123 40,180-48,71-24,-233 68,256-73,89 5,-325 68,233-56,76 4,-312 54,222-44,58 6,-284 40,183-33,-12 9,-191 28,95-8,-16-4,-96 14,32 4,-16-2,-27 0,-42 0,35 0,-28 0,-82-16,96 14,-161 20,-63-18,203 0,-215 16,-20 0,229-13,-187 10,54 3,150-13,-61-6,23 19,55-13,-14-22,7 11,48 16,-48-8,14 0,20 0,30 0,-40 0,81 16,39 17,-110-29,124 40,51 20,-166-55,154 78,27 25,-176-94,145 77,31 17,-174-94,77 76,-111-94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topLeftCell="C27" zoomScale="130" zoomScaleNormal="100" zoomScaleSheetLayoutView="130" workbookViewId="0">
      <selection activeCell="G41" sqref="G41:J4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8" t="s">
        <v>180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2">
      <c r="B2" s="12" t="s">
        <v>8</v>
      </c>
      <c r="C2" s="64" t="s">
        <v>48</v>
      </c>
      <c r="D2" s="64"/>
      <c r="E2" s="12" t="s">
        <v>7</v>
      </c>
      <c r="F2" s="59">
        <v>45955</v>
      </c>
      <c r="G2" s="59"/>
      <c r="H2" s="59"/>
      <c r="I2" s="59"/>
      <c r="J2" s="59"/>
    </row>
    <row r="3" spans="1:10" ht="30" customHeight="1" x14ac:dyDescent="0.2">
      <c r="B3" s="12" t="s">
        <v>9</v>
      </c>
      <c r="C3" s="64" t="s">
        <v>68</v>
      </c>
      <c r="D3" s="64"/>
      <c r="E3" s="12" t="s">
        <v>6</v>
      </c>
      <c r="F3" s="64" t="s">
        <v>97</v>
      </c>
      <c r="G3" s="64"/>
      <c r="H3" s="64"/>
      <c r="I3" s="64"/>
      <c r="J3" s="6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0" t="s">
        <v>0</v>
      </c>
      <c r="C5" s="61"/>
      <c r="D5" s="61"/>
      <c r="E5" s="52" t="s">
        <v>1</v>
      </c>
      <c r="F5" s="52"/>
      <c r="G5" s="52"/>
      <c r="H5" s="52"/>
      <c r="I5" s="52" t="s">
        <v>2</v>
      </c>
      <c r="J5" s="53"/>
    </row>
    <row r="6" spans="1:10" ht="24.95" customHeight="1" thickBot="1" x14ac:dyDescent="0.25">
      <c r="A6" s="10"/>
      <c r="B6" s="62"/>
      <c r="C6" s="63"/>
      <c r="D6" s="63"/>
      <c r="E6" s="11" t="s">
        <v>3</v>
      </c>
      <c r="F6" s="11" t="s">
        <v>4</v>
      </c>
      <c r="G6" s="11" t="s">
        <v>23</v>
      </c>
      <c r="H6" s="11" t="s">
        <v>24</v>
      </c>
      <c r="I6" s="54"/>
      <c r="J6" s="55"/>
    </row>
    <row r="7" spans="1:10" ht="24.95" customHeight="1" thickBot="1" x14ac:dyDescent="0.25">
      <c r="A7" s="10"/>
      <c r="B7" s="48" t="s">
        <v>21</v>
      </c>
      <c r="C7" s="49"/>
      <c r="D7" s="49"/>
      <c r="E7" s="28" t="s">
        <v>18</v>
      </c>
      <c r="F7" s="28" t="s">
        <v>19</v>
      </c>
      <c r="G7" s="28" t="s">
        <v>22</v>
      </c>
      <c r="H7" s="28" t="s">
        <v>20</v>
      </c>
      <c r="I7" s="56" t="s">
        <v>25</v>
      </c>
      <c r="J7" s="57"/>
    </row>
    <row r="8" spans="1:10" ht="39.950000000000003" customHeight="1" x14ac:dyDescent="0.2">
      <c r="A8" s="10"/>
      <c r="B8" s="78" t="s">
        <v>181</v>
      </c>
      <c r="C8" s="79"/>
      <c r="D8" s="79"/>
      <c r="E8" s="79"/>
      <c r="F8" s="79"/>
      <c r="G8" s="79"/>
      <c r="H8" s="79"/>
      <c r="I8" s="79"/>
      <c r="J8" s="80"/>
    </row>
    <row r="9" spans="1:10" ht="39.950000000000003" customHeight="1" x14ac:dyDescent="0.2">
      <c r="A9" s="10"/>
      <c r="B9" s="72" t="s">
        <v>182</v>
      </c>
      <c r="C9" s="73"/>
      <c r="D9" s="73"/>
      <c r="E9" s="9">
        <v>5</v>
      </c>
      <c r="F9" s="26">
        <v>3.25</v>
      </c>
      <c r="G9" s="30">
        <f>IFERROR(F9/E9,"")</f>
        <v>0.65</v>
      </c>
      <c r="H9" s="31" t="str">
        <f>_xlfn.IFS(F9="أدخل العلامة","",F9="لا ينطبق","تم الإلغاء",G9&gt;=90%,"ممتاز",G9&gt;=80%,"جيد جداً",G9&gt;=70%,"جيد",G9&gt;=60%,"مقبول",G9&lt;60%,"راسب")</f>
        <v>مقبول</v>
      </c>
      <c r="I9" s="42"/>
      <c r="J9" s="43"/>
    </row>
    <row r="10" spans="1:10" ht="39.950000000000003" customHeight="1" x14ac:dyDescent="0.2">
      <c r="A10" s="10"/>
      <c r="B10" s="72" t="s">
        <v>183</v>
      </c>
      <c r="C10" s="73"/>
      <c r="D10" s="73"/>
      <c r="E10" s="9">
        <v>5</v>
      </c>
      <c r="F10" s="26">
        <v>3.25</v>
      </c>
      <c r="G10" s="30">
        <f t="shared" ref="G10:G37" si="0">IFERROR(F10/E10,"")</f>
        <v>0.65</v>
      </c>
      <c r="H10" s="31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42"/>
      <c r="J10" s="43"/>
    </row>
    <row r="11" spans="1:10" ht="39.950000000000003" customHeight="1" x14ac:dyDescent="0.2">
      <c r="A11" s="10"/>
      <c r="B11" s="72" t="s">
        <v>184</v>
      </c>
      <c r="C11" s="73"/>
      <c r="D11" s="73"/>
      <c r="E11" s="9">
        <v>5</v>
      </c>
      <c r="F11" s="35">
        <v>3.25</v>
      </c>
      <c r="G11" s="30">
        <f t="shared" si="0"/>
        <v>0.65</v>
      </c>
      <c r="H11" s="31" t="str">
        <f t="shared" si="1"/>
        <v>مقبول</v>
      </c>
      <c r="I11" s="42"/>
      <c r="J11" s="43"/>
    </row>
    <row r="12" spans="1:10" ht="39.950000000000003" customHeight="1" x14ac:dyDescent="0.2">
      <c r="A12" s="10"/>
      <c r="B12" s="72" t="s">
        <v>185</v>
      </c>
      <c r="C12" s="73"/>
      <c r="D12" s="73"/>
      <c r="E12" s="9">
        <v>5</v>
      </c>
      <c r="F12" s="35">
        <v>3.25</v>
      </c>
      <c r="G12" s="30">
        <f t="shared" si="0"/>
        <v>0.65</v>
      </c>
      <c r="H12" s="31" t="str">
        <f t="shared" si="1"/>
        <v>مقبول</v>
      </c>
      <c r="I12" s="42"/>
      <c r="J12" s="43"/>
    </row>
    <row r="13" spans="1:10" ht="39.950000000000003" customHeight="1" thickBot="1" x14ac:dyDescent="0.25">
      <c r="A13" s="10"/>
      <c r="B13" s="74" t="s">
        <v>186</v>
      </c>
      <c r="C13" s="75"/>
      <c r="D13" s="75"/>
      <c r="E13" s="32">
        <v>5</v>
      </c>
      <c r="F13" s="27">
        <v>3.75</v>
      </c>
      <c r="G13" s="33">
        <f t="shared" si="0"/>
        <v>0.75</v>
      </c>
      <c r="H13" s="34" t="str">
        <f t="shared" si="1"/>
        <v>جيد</v>
      </c>
      <c r="I13" s="50"/>
      <c r="J13" s="51"/>
    </row>
    <row r="14" spans="1:10" ht="39.950000000000003" customHeight="1" x14ac:dyDescent="0.2">
      <c r="A14" s="10"/>
      <c r="B14" s="78" t="s">
        <v>187</v>
      </c>
      <c r="C14" s="79"/>
      <c r="D14" s="79"/>
      <c r="E14" s="79"/>
      <c r="F14" s="79"/>
      <c r="G14" s="79"/>
      <c r="H14" s="79"/>
      <c r="I14" s="79"/>
      <c r="J14" s="80"/>
    </row>
    <row r="15" spans="1:10" ht="39.950000000000003" customHeight="1" x14ac:dyDescent="0.2">
      <c r="A15" s="10"/>
      <c r="B15" s="72" t="s">
        <v>188</v>
      </c>
      <c r="C15" s="73"/>
      <c r="D15" s="73"/>
      <c r="E15" s="9"/>
      <c r="F15" s="26"/>
      <c r="G15" s="30"/>
      <c r="H15" s="31"/>
      <c r="I15" s="42"/>
      <c r="J15" s="43"/>
    </row>
    <row r="16" spans="1:10" ht="39.950000000000003" customHeight="1" x14ac:dyDescent="0.2">
      <c r="A16" s="10"/>
      <c r="B16" s="76" t="s">
        <v>189</v>
      </c>
      <c r="C16" s="77"/>
      <c r="D16" s="77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2"/>
      <c r="J16" s="43"/>
    </row>
    <row r="17" spans="1:10" ht="39.950000000000003" customHeight="1" x14ac:dyDescent="0.2">
      <c r="A17" s="10"/>
      <c r="B17" s="76" t="s">
        <v>190</v>
      </c>
      <c r="C17" s="77"/>
      <c r="D17" s="77"/>
      <c r="E17" s="9">
        <v>5</v>
      </c>
      <c r="F17" s="35">
        <v>3.5</v>
      </c>
      <c r="G17" s="30">
        <f t="shared" si="0"/>
        <v>0.7</v>
      </c>
      <c r="H17" s="31" t="str">
        <f t="shared" si="1"/>
        <v>جيد</v>
      </c>
      <c r="I17" s="42"/>
      <c r="J17" s="43"/>
    </row>
    <row r="18" spans="1:10" ht="39.950000000000003" customHeight="1" x14ac:dyDescent="0.2">
      <c r="A18" s="10"/>
      <c r="B18" s="76" t="s">
        <v>191</v>
      </c>
      <c r="C18" s="77"/>
      <c r="D18" s="77"/>
      <c r="E18" s="9">
        <v>5</v>
      </c>
      <c r="F18" s="35">
        <v>3.5</v>
      </c>
      <c r="G18" s="30">
        <f t="shared" si="0"/>
        <v>0.7</v>
      </c>
      <c r="H18" s="31" t="str">
        <f t="shared" si="1"/>
        <v>جيد</v>
      </c>
      <c r="I18" s="42"/>
      <c r="J18" s="43"/>
    </row>
    <row r="19" spans="1:10" ht="39.950000000000003" customHeight="1" x14ac:dyDescent="0.2">
      <c r="A19" s="10"/>
      <c r="B19" s="76" t="s">
        <v>192</v>
      </c>
      <c r="C19" s="77"/>
      <c r="D19" s="77"/>
      <c r="E19" s="9">
        <v>5</v>
      </c>
      <c r="F19" s="35">
        <v>3.5</v>
      </c>
      <c r="G19" s="30">
        <f t="shared" si="0"/>
        <v>0.7</v>
      </c>
      <c r="H19" s="31" t="str">
        <f t="shared" si="1"/>
        <v>جيد</v>
      </c>
      <c r="I19" s="42"/>
      <c r="J19" s="43"/>
    </row>
    <row r="20" spans="1:10" ht="39.950000000000003" customHeight="1" x14ac:dyDescent="0.2">
      <c r="A20" s="10"/>
      <c r="B20" s="76" t="s">
        <v>193</v>
      </c>
      <c r="C20" s="77"/>
      <c r="D20" s="77"/>
      <c r="E20" s="9">
        <v>5</v>
      </c>
      <c r="F20" s="35">
        <v>3.5</v>
      </c>
      <c r="G20" s="30">
        <f t="shared" si="0"/>
        <v>0.7</v>
      </c>
      <c r="H20" s="31" t="str">
        <f t="shared" si="1"/>
        <v>جيد</v>
      </c>
      <c r="I20" s="42"/>
      <c r="J20" s="43"/>
    </row>
    <row r="21" spans="1:10" ht="39.950000000000003" customHeight="1" x14ac:dyDescent="0.2">
      <c r="A21" s="10"/>
      <c r="B21" s="76" t="s">
        <v>194</v>
      </c>
      <c r="C21" s="77"/>
      <c r="D21" s="77"/>
      <c r="E21" s="9">
        <v>5</v>
      </c>
      <c r="F21" s="35">
        <v>3.5</v>
      </c>
      <c r="G21" s="30">
        <f t="shared" si="0"/>
        <v>0.7</v>
      </c>
      <c r="H21" s="31" t="str">
        <f t="shared" si="1"/>
        <v>جيد</v>
      </c>
      <c r="I21" s="42"/>
      <c r="J21" s="43"/>
    </row>
    <row r="22" spans="1:10" ht="53.25" customHeight="1" x14ac:dyDescent="0.2">
      <c r="A22" s="10"/>
      <c r="B22" s="72" t="s">
        <v>195</v>
      </c>
      <c r="C22" s="73"/>
      <c r="D22" s="73"/>
      <c r="E22" s="9"/>
      <c r="F22" s="26"/>
      <c r="G22" s="30"/>
      <c r="H22" s="31"/>
      <c r="I22" s="42"/>
      <c r="J22" s="43"/>
    </row>
    <row r="23" spans="1:10" ht="39.950000000000003" customHeight="1" x14ac:dyDescent="0.2">
      <c r="A23" s="10"/>
      <c r="B23" s="76" t="s">
        <v>196</v>
      </c>
      <c r="C23" s="77"/>
      <c r="D23" s="77"/>
      <c r="E23" s="9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42"/>
      <c r="J23" s="43"/>
    </row>
    <row r="24" spans="1:10" ht="39.950000000000003" customHeight="1" x14ac:dyDescent="0.2">
      <c r="A24" s="10"/>
      <c r="B24" s="76" t="s">
        <v>197</v>
      </c>
      <c r="C24" s="77"/>
      <c r="D24" s="77"/>
      <c r="E24" s="9">
        <v>5</v>
      </c>
      <c r="F24" s="35">
        <v>3.5</v>
      </c>
      <c r="G24" s="30">
        <f t="shared" si="0"/>
        <v>0.7</v>
      </c>
      <c r="H24" s="31" t="str">
        <f t="shared" si="1"/>
        <v>جيد</v>
      </c>
      <c r="I24" s="42"/>
      <c r="J24" s="43"/>
    </row>
    <row r="25" spans="1:10" ht="39.950000000000003" customHeight="1" x14ac:dyDescent="0.2">
      <c r="A25" s="10"/>
      <c r="B25" s="76" t="s">
        <v>198</v>
      </c>
      <c r="C25" s="77"/>
      <c r="D25" s="77"/>
      <c r="E25" s="9">
        <v>5</v>
      </c>
      <c r="F25" s="35">
        <v>3</v>
      </c>
      <c r="G25" s="30">
        <f t="shared" si="0"/>
        <v>0.6</v>
      </c>
      <c r="H25" s="31" t="str">
        <f t="shared" si="1"/>
        <v>مقبول</v>
      </c>
      <c r="I25" s="42"/>
      <c r="J25" s="43"/>
    </row>
    <row r="26" spans="1:10" ht="39.950000000000003" customHeight="1" x14ac:dyDescent="0.2">
      <c r="A26" s="10"/>
      <c r="B26" s="76" t="s">
        <v>199</v>
      </c>
      <c r="C26" s="77"/>
      <c r="D26" s="77"/>
      <c r="E26" s="9">
        <v>5</v>
      </c>
      <c r="F26" s="35">
        <v>3.5</v>
      </c>
      <c r="G26" s="30">
        <f t="shared" si="0"/>
        <v>0.7</v>
      </c>
      <c r="H26" s="31" t="str">
        <f t="shared" si="1"/>
        <v>جيد</v>
      </c>
      <c r="I26" s="42"/>
      <c r="J26" s="43"/>
    </row>
    <row r="27" spans="1:10" ht="39.950000000000003" customHeight="1" x14ac:dyDescent="0.2">
      <c r="A27" s="10"/>
      <c r="B27" s="76" t="s">
        <v>200</v>
      </c>
      <c r="C27" s="77"/>
      <c r="D27" s="77"/>
      <c r="E27" s="9">
        <v>5</v>
      </c>
      <c r="F27" s="35">
        <v>3</v>
      </c>
      <c r="G27" s="30">
        <f t="shared" si="0"/>
        <v>0.6</v>
      </c>
      <c r="H27" s="31" t="str">
        <f t="shared" si="1"/>
        <v>مقبول</v>
      </c>
      <c r="I27" s="42"/>
      <c r="J27" s="43"/>
    </row>
    <row r="28" spans="1:10" ht="39.950000000000003" customHeight="1" x14ac:dyDescent="0.2">
      <c r="A28" s="10"/>
      <c r="B28" s="76" t="s">
        <v>201</v>
      </c>
      <c r="C28" s="77"/>
      <c r="D28" s="77"/>
      <c r="E28" s="9">
        <v>5</v>
      </c>
      <c r="F28" s="35">
        <v>3.5</v>
      </c>
      <c r="G28" s="30">
        <f t="shared" si="0"/>
        <v>0.7</v>
      </c>
      <c r="H28" s="31" t="str">
        <f t="shared" si="1"/>
        <v>جيد</v>
      </c>
      <c r="I28" s="42"/>
      <c r="J28" s="43"/>
    </row>
    <row r="29" spans="1:10" ht="39.950000000000003" customHeight="1" x14ac:dyDescent="0.2">
      <c r="A29" s="10"/>
      <c r="B29" s="72" t="s">
        <v>202</v>
      </c>
      <c r="C29" s="73"/>
      <c r="D29" s="73"/>
      <c r="E29" s="9">
        <v>5</v>
      </c>
      <c r="F29" s="35">
        <v>3.5</v>
      </c>
      <c r="G29" s="30">
        <f t="shared" si="0"/>
        <v>0.7</v>
      </c>
      <c r="H29" s="31" t="str">
        <f t="shared" si="1"/>
        <v>جيد</v>
      </c>
      <c r="I29" s="42"/>
      <c r="J29" s="43"/>
    </row>
    <row r="30" spans="1:10" ht="39.950000000000003" customHeight="1" x14ac:dyDescent="0.2">
      <c r="A30" s="10"/>
      <c r="B30" s="72" t="s">
        <v>203</v>
      </c>
      <c r="C30" s="73"/>
      <c r="D30" s="73"/>
      <c r="E30" s="9">
        <v>5</v>
      </c>
      <c r="F30" s="35">
        <v>3.5</v>
      </c>
      <c r="G30" s="30">
        <f t="shared" si="0"/>
        <v>0.7</v>
      </c>
      <c r="H30" s="31" t="str">
        <f t="shared" si="1"/>
        <v>جيد</v>
      </c>
      <c r="I30" s="42"/>
      <c r="J30" s="43"/>
    </row>
    <row r="31" spans="1:10" ht="39.950000000000003" customHeight="1" thickBot="1" x14ac:dyDescent="0.25">
      <c r="A31" s="10"/>
      <c r="B31" s="74" t="s">
        <v>204</v>
      </c>
      <c r="C31" s="75"/>
      <c r="D31" s="75"/>
      <c r="E31" s="32">
        <v>5</v>
      </c>
      <c r="F31" s="35">
        <v>4.25</v>
      </c>
      <c r="G31" s="33">
        <f t="shared" si="0"/>
        <v>0.85</v>
      </c>
      <c r="H31" s="34" t="str">
        <f t="shared" si="1"/>
        <v>جيد جداً</v>
      </c>
      <c r="I31" s="50"/>
      <c r="J31" s="51"/>
    </row>
    <row r="32" spans="1:10" ht="39.950000000000003" customHeight="1" x14ac:dyDescent="0.2">
      <c r="A32" s="10"/>
      <c r="B32" s="78" t="s">
        <v>205</v>
      </c>
      <c r="C32" s="79"/>
      <c r="D32" s="79"/>
      <c r="E32" s="79"/>
      <c r="F32" s="79"/>
      <c r="G32" s="79"/>
      <c r="H32" s="79"/>
      <c r="I32" s="79"/>
      <c r="J32" s="80"/>
    </row>
    <row r="33" spans="1:10" ht="39.950000000000003" customHeight="1" x14ac:dyDescent="0.2">
      <c r="A33" s="10"/>
      <c r="B33" s="81" t="s">
        <v>206</v>
      </c>
      <c r="C33" s="82"/>
      <c r="D33" s="82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42"/>
      <c r="J33" s="43"/>
    </row>
    <row r="34" spans="1:10" ht="54" customHeight="1" x14ac:dyDescent="0.2">
      <c r="A34" s="10"/>
      <c r="B34" s="81" t="s">
        <v>207</v>
      </c>
      <c r="C34" s="82"/>
      <c r="D34" s="82"/>
      <c r="E34" s="9">
        <v>5</v>
      </c>
      <c r="F34" s="35">
        <v>3.75</v>
      </c>
      <c r="G34" s="30">
        <f t="shared" si="0"/>
        <v>0.75</v>
      </c>
      <c r="H34" s="31" t="str">
        <f t="shared" si="1"/>
        <v>جيد</v>
      </c>
      <c r="I34" s="42"/>
      <c r="J34" s="43"/>
    </row>
    <row r="35" spans="1:10" ht="54" customHeight="1" x14ac:dyDescent="0.2">
      <c r="A35" s="10"/>
      <c r="B35" s="81" t="s">
        <v>208</v>
      </c>
      <c r="C35" s="82"/>
      <c r="D35" s="82"/>
      <c r="E35" s="9">
        <v>5</v>
      </c>
      <c r="F35" s="35">
        <v>4.25</v>
      </c>
      <c r="G35" s="30">
        <f t="shared" si="0"/>
        <v>0.85</v>
      </c>
      <c r="H35" s="31" t="str">
        <f t="shared" si="1"/>
        <v>جيد جداً</v>
      </c>
      <c r="I35" s="42"/>
      <c r="J35" s="43"/>
    </row>
    <row r="36" spans="1:10" ht="39.950000000000003" customHeight="1" x14ac:dyDescent="0.2">
      <c r="A36" s="10"/>
      <c r="B36" s="81" t="s">
        <v>209</v>
      </c>
      <c r="C36" s="82"/>
      <c r="D36" s="82"/>
      <c r="E36" s="9">
        <v>5</v>
      </c>
      <c r="F36" s="35">
        <v>3.75</v>
      </c>
      <c r="G36" s="30">
        <f t="shared" si="0"/>
        <v>0.75</v>
      </c>
      <c r="H36" s="31" t="str">
        <f t="shared" si="1"/>
        <v>جيد</v>
      </c>
      <c r="I36" s="42"/>
      <c r="J36" s="43"/>
    </row>
    <row r="37" spans="1:10" ht="39.950000000000003" customHeight="1" thickBot="1" x14ac:dyDescent="0.25">
      <c r="A37" s="10"/>
      <c r="B37" s="83" t="s">
        <v>210</v>
      </c>
      <c r="C37" s="84"/>
      <c r="D37" s="84"/>
      <c r="E37" s="32">
        <v>5</v>
      </c>
      <c r="F37" s="35">
        <v>4.25</v>
      </c>
      <c r="G37" s="33">
        <f t="shared" si="0"/>
        <v>0.85</v>
      </c>
      <c r="H37" s="34" t="str">
        <f t="shared" si="1"/>
        <v>جيد جداً</v>
      </c>
      <c r="I37" s="50"/>
      <c r="J37" s="51"/>
    </row>
    <row r="38" spans="1:10" ht="30" customHeight="1" thickBot="1" x14ac:dyDescent="0.25">
      <c r="A38" s="4"/>
      <c r="B38" s="44" t="s">
        <v>5</v>
      </c>
      <c r="C38" s="45"/>
      <c r="D38" s="45"/>
      <c r="E38" s="29">
        <f>SUM(E8:E37)</f>
        <v>125</v>
      </c>
      <c r="F38" s="29">
        <f>SUM(F8:F37)</f>
        <v>88.75</v>
      </c>
      <c r="G38" s="67"/>
      <c r="H38" s="68"/>
      <c r="I38" s="68"/>
      <c r="J38" s="69"/>
    </row>
    <row r="39" spans="1:10" ht="30" customHeight="1" thickBot="1" x14ac:dyDescent="0.25">
      <c r="A39" s="4"/>
      <c r="B39" s="46" t="s">
        <v>54</v>
      </c>
      <c r="C39" s="47"/>
      <c r="D39" s="47"/>
      <c r="E39" s="70">
        <f>F38/E38/100*100</f>
        <v>0.71</v>
      </c>
      <c r="F39" s="70"/>
      <c r="G39" s="70"/>
      <c r="H39" s="70"/>
      <c r="I39" s="70"/>
      <c r="J39" s="71"/>
    </row>
    <row r="40" spans="1:10" ht="30" customHeight="1" thickBot="1" x14ac:dyDescent="0.25">
      <c r="A40" s="4"/>
      <c r="B40" s="46" t="s">
        <v>55</v>
      </c>
      <c r="C40" s="47"/>
      <c r="D40" s="47"/>
      <c r="E40" s="40" t="str">
        <f>_xlfn.IFS(E39&gt;=90%,"ممتاز",E39&gt;=80%,"جيد جداً",E39&gt;=70%,"جيد",E39&gt;=60%,"مقبول",E39&lt;60%,"راسب")</f>
        <v>جيد</v>
      </c>
      <c r="F40" s="40"/>
      <c r="G40" s="40"/>
      <c r="H40" s="40"/>
      <c r="I40" s="40"/>
      <c r="J40" s="41"/>
    </row>
    <row r="41" spans="1:10" ht="42" customHeight="1" x14ac:dyDescent="0.2">
      <c r="B41" s="36" t="s">
        <v>174</v>
      </c>
      <c r="C41" s="36"/>
      <c r="D41" s="36"/>
      <c r="E41" s="65" t="s">
        <v>52</v>
      </c>
      <c r="F41" s="65"/>
      <c r="G41" s="38" t="s">
        <v>97</v>
      </c>
      <c r="H41" s="38"/>
      <c r="I41" s="38"/>
      <c r="J41" s="38"/>
    </row>
    <row r="42" spans="1:10" ht="51" customHeight="1" x14ac:dyDescent="0.2">
      <c r="A42" s="5"/>
      <c r="B42" s="37"/>
      <c r="C42" s="37"/>
      <c r="D42" s="37"/>
      <c r="E42" s="66" t="s">
        <v>53</v>
      </c>
      <c r="F42" s="66"/>
      <c r="G42" s="39"/>
      <c r="H42" s="39"/>
      <c r="I42" s="39"/>
      <c r="J42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8">
    <mergeCell ref="B30:D30"/>
    <mergeCell ref="B31:D31"/>
    <mergeCell ref="B33:D33"/>
    <mergeCell ref="B34:D34"/>
    <mergeCell ref="B8:J8"/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9:D9"/>
    <mergeCell ref="B10:D10"/>
    <mergeCell ref="B11:D11"/>
    <mergeCell ref="B12:D12"/>
    <mergeCell ref="B13:D13"/>
    <mergeCell ref="B15:D15"/>
    <mergeCell ref="B16:D16"/>
    <mergeCell ref="B14:J14"/>
    <mergeCell ref="I9:J9"/>
    <mergeCell ref="E41:F41"/>
    <mergeCell ref="E42:F42"/>
    <mergeCell ref="G38:J3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9:J39"/>
    <mergeCell ref="I29:J29"/>
    <mergeCell ref="B32:J32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37:J37"/>
    <mergeCell ref="I5:J6"/>
    <mergeCell ref="I7:J7"/>
    <mergeCell ref="I10:J10"/>
    <mergeCell ref="I11:J11"/>
    <mergeCell ref="I12:J12"/>
    <mergeCell ref="I13:J13"/>
    <mergeCell ref="I15:J15"/>
    <mergeCell ref="I16:J16"/>
    <mergeCell ref="I17:J17"/>
    <mergeCell ref="I18:J18"/>
    <mergeCell ref="I28:J28"/>
    <mergeCell ref="B41:D42"/>
    <mergeCell ref="G41:J41"/>
    <mergeCell ref="G42:J42"/>
    <mergeCell ref="E40:J40"/>
    <mergeCell ref="I33:J33"/>
    <mergeCell ref="I34:J34"/>
    <mergeCell ref="I35:J35"/>
    <mergeCell ref="I36:J36"/>
    <mergeCell ref="B38:D38"/>
    <mergeCell ref="B39:D39"/>
    <mergeCell ref="B40:D40"/>
    <mergeCell ref="B35:D35"/>
    <mergeCell ref="B36:D36"/>
    <mergeCell ref="B37:D3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21" priority="57">
      <formula>$E40="راسب"</formula>
    </cfRule>
  </conditionalFormatting>
  <conditionalFormatting sqref="E40:J40">
    <cfRule type="expression" dxfId="20" priority="60">
      <formula>$E40="جيد جداً"</formula>
    </cfRule>
    <cfRule type="expression" dxfId="19" priority="59">
      <formula>$E40="جيد"</formula>
    </cfRule>
    <cfRule type="expression" dxfId="18" priority="58">
      <formula>$E40="مقبول"</formula>
    </cfRule>
    <cfRule type="expression" dxfId="17" priority="61">
      <formula>$E40="ممتاز"</formula>
    </cfRule>
  </conditionalFormatting>
  <conditionalFormatting sqref="F9:F13">
    <cfRule type="containsText" dxfId="16" priority="4" operator="containsText" text="أدخل العلامة">
      <formula>NOT(ISERROR(SEARCH("أدخل العلامة",F9)))</formula>
    </cfRule>
  </conditionalFormatting>
  <conditionalFormatting sqref="F15:F31 F33:F37">
    <cfRule type="containsText" dxfId="15" priority="14" operator="containsText" text="أدخل العلامة">
      <formula>NOT(ISERROR(SEARCH("أدخل العلامة",F15)))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12" priority="15" operator="containsText" text="أدخل اسم المحكم">
      <formula>NOT(ISERROR(SEARCH("أدخل اسم المحكم",G41)))</formula>
    </cfRule>
  </conditionalFormatting>
  <conditionalFormatting sqref="H9:H1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5:H31 H33:H37">
    <cfRule type="containsText" dxfId="5" priority="38" operator="containsText" text="أدخل العلامة">
      <formula>NOT(ISERROR(SEARCH("أدخل العلامة",H15)))</formula>
    </cfRule>
    <cfRule type="containsText" dxfId="4" priority="39" operator="containsText" text="ممتاز">
      <formula>NOT(ISERROR(SEARCH("ممتاز",H15)))</formula>
    </cfRule>
    <cfRule type="containsText" dxfId="3" priority="40" operator="containsText" text="جيد جداً">
      <formula>NOT(ISERROR(SEARCH("جيد جداً",H15)))</formula>
    </cfRule>
    <cfRule type="containsText" dxfId="2" priority="41" operator="containsText" text="جيد">
      <formula>NOT(ISERROR(SEARCH("جيد",H15)))</formula>
    </cfRule>
    <cfRule type="containsText" dxfId="1" priority="42" operator="containsText" text="مقبول">
      <formula>NOT(ISERROR(SEARCH("مقبول",H15)))</formula>
    </cfRule>
    <cfRule type="containsText" dxfId="0" priority="43" operator="containsText" text="راسب">
      <formula>NOT(ISERROR(SEARCH("راسب",H15)))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F33:F37 F23:F31 F16:F21 F9:F13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2025-10-22T08:10:52Z</dcterms:modified>
</cp:coreProperties>
</file>