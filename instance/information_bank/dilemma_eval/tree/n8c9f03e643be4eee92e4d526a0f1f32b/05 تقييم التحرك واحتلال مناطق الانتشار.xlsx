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87917AB0-A8FC-C541-9BDD-65747AB86836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6" i="2"/>
  <c r="H36" i="2"/>
  <c r="G37" i="2"/>
  <c r="H37" i="2"/>
  <c r="G38" i="2"/>
  <c r="H38" i="2"/>
  <c r="G39" i="2"/>
  <c r="H39" i="2"/>
  <c r="F40" i="2"/>
  <c r="E40" i="2"/>
  <c r="E41" i="2"/>
  <c r="E42" i="2"/>
</calcChain>
</file>

<file path=xl/sharedStrings.xml><?xml version="1.0" encoding="utf-8"?>
<sst xmlns="http://schemas.openxmlformats.org/spreadsheetml/2006/main" count="269" uniqueCount="213">
  <si>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</si>
  <si>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</si>
  <si>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</si>
  <si>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</si>
  <si>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</si>
  <si>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</si>
  <si>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</si>
  <si>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</si>
  <si>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</si>
  <si>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</si>
  <si>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</si>
  <si>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</si>
  <si>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</si>
  <si>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</si>
  <si>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</si>
  <si>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</si>
  <si>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</si>
  <si>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</si>
  <si>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</si>
  <si>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</si>
  <si>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</si>
  <si>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</si>
  <si>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</si>
  <si>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</si>
  <si>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</si>
  <si>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</si>
  <si>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</si>
  <si>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</si>
  <si>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</si>
  <si>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</si>
  <si>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</si>
  <si>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</si>
  <si>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</si>
  <si>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</si>
  <si>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</si>
  <si>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</si>
  <si>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</si>
  <si>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</si>
  <si>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</si>
  <si>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</si>
  <si>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</si>
  <si>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</si>
  <si>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</si>
  <si>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</si>
  <si>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</si>
  <si>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</si>
  <si>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</si>
  <si>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</si>
  <si>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</si>
  <si>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</si>
  <si>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</si>
  <si>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</si>
  <si>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</si>
  <si>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</si>
  <si>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</si>
  <si>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</si>
  <si>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</si>
  <si>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</si>
  <si>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</si>
  <si>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</si>
  <si>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</si>
  <si>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</si>
  <si>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</si>
  <si>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</si>
  <si>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</si>
  <si>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</si>
  <si>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</si>
  <si>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</si>
  <si>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</si>
  <si>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</si>
  <si>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</si>
  <si>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</si>
  <si>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</si>
  <si>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</si>
  <si>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</si>
  <si>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</si>
  <si>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</si>
  <si>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</si>
  <si>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</si>
  <si>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</si>
  <si>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</si>
  <si>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</si>
  <si>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</si>
  <si>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</si>
  <si>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</si>
  <si>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</si>
  <si>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</si>
  <si>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</si>
  <si>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</si>
  <si>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</si>
  <si>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</si>
  <si>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</si>
  <si>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</si>
  <si>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</si>
  <si>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</si>
  <si>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</si>
  <si>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</si>
  <si>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</si>
  <si>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</si>
  <si>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</si>
  <si>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</si>
  <si>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</si>
  <si>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</si>
  <si>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</si>
  <si>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</si>
  <si>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</si>
  <si>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</si>
  <si>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</si>
  <si>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</si>
  <si>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</si>
  <si>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</si>
  <si>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</si>
  <si>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</si>
  <si>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</si>
  <si>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</si>
  <si>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</si>
  <si>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</si>
  <si>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</si>
  <si>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</si>
  <si>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</si>
  <si>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</si>
  <si>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</si>
  <si>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</si>
  <si>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</si>
  <si>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</si>
  <si>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</si>
  <si>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</si>
  <si>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</si>
  <si>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</si>
  <si>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</si>
  <si>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</si>
  <si>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</si>
  <si>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</si>
  <si>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</si>
  <si>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</si>
  <si>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</si>
  <si>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</si>
  <si>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</si>
  <si>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</si>
  <si>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</si>
  <si>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</si>
  <si>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</si>
  <si>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</si>
  <si>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</si>
  <si>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</si>
  <si>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</si>
  <si>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</si>
  <si>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</si>
  <si>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</si>
  <si>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</si>
  <si>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</si>
  <si>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</si>
  <si>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</si>
  <si>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</si>
  <si>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</si>
  <si>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</si>
  <si>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</si>
  <si>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</si>
  <si>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</si>
  <si>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</si>
  <si>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</si>
  <si>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</si>
  <si>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</si>
  <si>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</si>
  <si>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</si>
  <si>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</si>
  <si>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</si>
  <si>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</si>
  <si>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</si>
  <si>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</si>
  <si>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</si>
  <si>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</si>
  <si>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</si>
  <si>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</si>
  <si>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</si>
  <si>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</si>
  <si>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</si>
  <si>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</si>
  <si>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</si>
  <si>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</si>
  <si>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إجراءات القائد قبل بدء التحرك إلى مناطق الانتشار.</t>
  </si>
  <si>
    <t>1.   إبلاغ المرؤوسين بالبدء بتنفيذ خطة التحرك لمناطق الانتشار.</t>
  </si>
  <si>
    <t>2.   إرسال مجموعات الحماية والاستطلاع والأدلاء إلى مناطق الانتشار.</t>
  </si>
  <si>
    <t>3.   تحميل وثائق العمليات.</t>
  </si>
  <si>
    <t>4.   يبدأ الضابط المسؤول عن مجموعة المؤخرة في تنفيذ تعليمات التحرك.</t>
  </si>
  <si>
    <t>إجراءات القادة والقوات أثناء التحرك لمناطق الانتشار.</t>
  </si>
  <si>
    <t>1.   التقيد بتنفيذ إجراءات التحرك حسب أمر / جدول التحرك.</t>
  </si>
  <si>
    <t>2.   سيطرة القادة على قواتهم أثناء التحرك.</t>
  </si>
  <si>
    <t>3.   توفر الحماية للقوات أثناء التحرك.</t>
  </si>
  <si>
    <t>4.   تحقيـق الاتصال بالمستـوى الأعلى والادنى.</t>
  </si>
  <si>
    <t>إجراءات دخول القوات في مناطق الانتشار وتأمينها.</t>
  </si>
  <si>
    <t>1.   فتح نقاط ضبط وسيطرة من قبل الشرطة العسكرية / شرطة الوحدة.</t>
  </si>
  <si>
    <t>2.   وجود جماعة الإرشاد (الإدلاء) والقيام بأداء المهام والواجبات المطلوبة.</t>
  </si>
  <si>
    <t>3.   وجود عناصر من الوحدات لتأمين المواقع.</t>
  </si>
  <si>
    <t>4.   قيام الوحدات باحتلال مواقعها وقيام الأسلحة العضوية والمساندة باحتلال مواقع النيران المخصصة.</t>
  </si>
  <si>
    <t>5.   تسلسل الدخول لمناطق الانتشار حسب جدول التنقل.</t>
  </si>
  <si>
    <t>تجهيز وإعداد مناطق الانتشار والإجراءات المتخذة فيها.</t>
  </si>
  <si>
    <t>1.   التأكد من توزيع المعدات بالطريقة الصحيحة مع تقسيم منطقة الانتشار إلى قطاعات.</t>
  </si>
  <si>
    <t>2.   جاهزية القوة للقيام بالدفاع عن منطقة الانتشار حسب خطة الدفاع والحراسة.</t>
  </si>
  <si>
    <t>3.   وجود خطة / تعليمات التجهيز الهندسي.</t>
  </si>
  <si>
    <t>4.   وجود خطة النيـــران.</t>
  </si>
  <si>
    <t>5.   التأكد من التخفية والتمويه.</t>
  </si>
  <si>
    <t>6.   التأكد من فتح وإدامة مراكز القيادة والسيطرة والاتصالات.</t>
  </si>
  <si>
    <t>7.   وجود خطة التأمين الكيميائي.</t>
  </si>
  <si>
    <t>8.   التأكد من تأمين مناطق الانتشار بالاتصالات.</t>
  </si>
  <si>
    <t>9.   التأكد من تجهيز نقاط المراقبة الجوية والاستطلاع.</t>
  </si>
  <si>
    <t>10.   وجود تعليمات الإنـــذار.</t>
  </si>
  <si>
    <t>إجراءات الإسناد الإداري.</t>
  </si>
  <si>
    <t>1.   التزويد ( الوقود / الأرزاق / المياه، الخ..).</t>
  </si>
  <si>
    <t>2.   تنفيذ إجراءات الإخـلاء الطبي.</t>
  </si>
  <si>
    <t>3.   تنفيذ إجراءات إنقـاذ الآليات.</t>
  </si>
  <si>
    <t>4.   تحديد الطرق الرئيسة والتبادلية المؤديـة من وإلى مناطق الانتشــار.</t>
  </si>
  <si>
    <r>
      <rPr>
        <b/>
        <sz val="14"/>
        <color rgb="FF000000"/>
        <rFont val="Arial"/>
        <family val="2"/>
      </rPr>
      <t>تقييم تحرك وحدات المناورة من معسكرات السلم واحتلال مناطق الانتشار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</si>
</sst>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>
      <alignment horizontal="center" vertical="center" wrapText="1" readingOrder="2"/>
    </xf>
    <xf numFmtId="0" fontId="3" fillId="0" borderId="12" xfId="0" applyFont="1" applyBorder="1" applyAlignment="1">
      <alignment horizontal="center" vertical="center" wrapText="1" readingOrder="2"/>
    </xf>
    <xf numFmtId="0" fontId="15" fillId="0" borderId="4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4" fillId="0" borderId="11" xfId="0" applyFont="1" applyBorder="1" applyAlignment="1">
      <alignment horizontal="right" vertical="center" wrapText="1" readingOrder="2"/>
    </xf>
    <xf numFmtId="0" fontId="14" fillId="0" borderId="12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14" fillId="0" borderId="23" xfId="0" applyFont="1" applyBorder="1" applyAlignment="1">
      <alignment horizontal="right" vertical="center" wrapText="1" readingOrder="2"/>
    </xf>
    <xf numFmtId="0" fontId="14" fillId="0" borderId="3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623065</xdr:colOff>
      <xdr:row>42</xdr:row>
      <xdr:rowOff>458237</xdr:rowOff>
    </xdr:from>
    <xdr:to>
      <xdr:col>8</xdr:col>
      <xdr:colOff>368163</xdr:colOff>
      <xdr:row>43</xdr:row>
      <xdr:rowOff>526532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D0F5657-1558-D9E0-963B-F4C3EB4D8EF5}"/>
                </a:ext>
              </a:extLst>
            </xdr14:cNvPr>
            <xdr14:cNvContentPartPr/>
          </xdr14:nvContentPartPr>
          <xdr14:nvPr macro=""/>
          <xdr14:xfrm>
            <a:off x="10493393610" y="16806600"/>
            <a:ext cx="1061280" cy="605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D0F5657-1558-D9E0-963B-F4C3EB4D8EF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93384970" y="16797960"/>
              <a:ext cx="1078920" cy="6228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8T08:33:56.94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1937 1681,'0'0,"0"0,0 0,0 0,0 0,0 0,0 0,0 0,0 0,0 0,0 0,0-24,24 0,-24 0,0 0,24-49,-14 45,4-40,10-52,-22 105,20-66,2 9,-24 71,24-95,-9 66,-6 12,15-30,-14 28,4-8,-14 4,0 16,24-32,1 16,-25 23,24-22,0-1,-24 24,48-24,-19-7,-10 14,53-7,-43 14,14-4,29-11,-50 18,28 14,23-31,-71 23,44 2,-1-1,-42 0,21-24,-10 24,-4 0,2 0,0 0,0 0,-48 24,12 0,-43-1,62-21,-212 94,97-41,-24 10,-193 55,231-83,-173 47,-106 60,361-135,-361 78,121-15,264-72,-217 24,140-8,34-8,-29 16,43-13,-14-22,7 11,48 0,-24 0,96-24,132-72,-28 34,-87 28,260-86,-205 68,73-17,155-51,-251 79,23-14,-12 7,-134 44,53-16,-39 20,-24 0,-24 0,-5 15,9-6,-28-33,-2 13,-20-2,-171 13,157 0,-120-24,-109 0,289 22,-240-20,23-27,241 49,-168 0,139-15,10 6,-6 9,16 0,18-24,-9 12,25-24,-1-12,-22 45,116-90,26-3,-144 96,144-97,-35 51,-49 20,108-22,-96 28,49 40,47 52,-110-47,28 22,107 74,-181-113,144 128,3 0,-149-128,182 209,-101-114,10 10,92 80,-131-129,20-8,-82-56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4"/>
  <sheetViews>
    <sheetView rightToLeft="1" tabSelected="1" view="pageBreakPreview" topLeftCell="A37" zoomScale="130" zoomScaleNormal="100" zoomScaleSheetLayoutView="130" workbookViewId="0">
      <selection activeCell="F2" sqref="F2:J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1" t="s">
        <v>212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2">
      <c r="B2" s="12" t="s">
        <v>8</v>
      </c>
      <c r="C2" s="67" t="s">
        <v>38</v>
      </c>
      <c r="D2" s="67"/>
      <c r="E2" s="12" t="s">
        <v>7</v>
      </c>
      <c r="F2" s="62">
        <v>45932</v>
      </c>
      <c r="G2" s="62"/>
      <c r="H2" s="62"/>
      <c r="I2" s="62"/>
      <c r="J2" s="62"/>
    </row>
    <row r="3" spans="1:10" ht="30" customHeight="1" x14ac:dyDescent="0.2">
      <c r="B3" s="12" t="s">
        <v>9</v>
      </c>
      <c r="C3" s="67" t="s">
        <v>177</v>
      </c>
      <c r="D3" s="67"/>
      <c r="E3" s="12" t="s">
        <v>6</v>
      </c>
      <c r="F3" s="67" t="s">
        <v>129</v>
      </c>
      <c r="G3" s="67"/>
      <c r="H3" s="67"/>
      <c r="I3" s="67"/>
      <c r="J3" s="67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63" t="s">
        <v>0</v>
      </c>
      <c r="C5" s="64"/>
      <c r="D5" s="64"/>
      <c r="E5" s="85" t="s">
        <v>1</v>
      </c>
      <c r="F5" s="85"/>
      <c r="G5" s="85"/>
      <c r="H5" s="85"/>
      <c r="I5" s="85" t="s">
        <v>2</v>
      </c>
      <c r="J5" s="86"/>
    </row>
    <row r="6" spans="1:10" ht="24.95" customHeight="1" thickBot="1" x14ac:dyDescent="0.2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87"/>
      <c r="J6" s="88"/>
    </row>
    <row r="7" spans="1:10" ht="24.95" customHeight="1" thickBot="1" x14ac:dyDescent="0.25">
      <c r="A7" s="10"/>
      <c r="B7" s="55" t="s">
        <v>21</v>
      </c>
      <c r="C7" s="56"/>
      <c r="D7" s="56"/>
      <c r="E7" s="32" t="s">
        <v>18</v>
      </c>
      <c r="F7" s="32" t="s">
        <v>19</v>
      </c>
      <c r="G7" s="32" t="s">
        <v>22</v>
      </c>
      <c r="H7" s="32" t="s">
        <v>20</v>
      </c>
      <c r="I7" s="89" t="s">
        <v>25</v>
      </c>
      <c r="J7" s="90"/>
    </row>
    <row r="8" spans="1:10" ht="30" customHeight="1" x14ac:dyDescent="0.2">
      <c r="A8" s="10"/>
      <c r="B8" s="49" t="s">
        <v>180</v>
      </c>
      <c r="C8" s="50"/>
      <c r="D8" s="50"/>
      <c r="E8" s="30"/>
      <c r="F8" s="36"/>
      <c r="G8" s="37"/>
      <c r="H8" s="38"/>
      <c r="I8" s="53"/>
      <c r="J8" s="54"/>
    </row>
    <row r="9" spans="1:10" ht="30" customHeight="1" x14ac:dyDescent="0.2">
      <c r="A9" s="10"/>
      <c r="B9" s="51" t="s">
        <v>181</v>
      </c>
      <c r="C9" s="52"/>
      <c r="D9" s="52"/>
      <c r="E9" s="28">
        <v>5</v>
      </c>
      <c r="F9" s="26">
        <v>3.75</v>
      </c>
      <c r="G9" s="34">
        <f>IFERROR(F9/E9,"")</f>
        <v>0.75</v>
      </c>
      <c r="H9" s="35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7"/>
      <c r="J9" s="58"/>
    </row>
    <row r="10" spans="1:10" ht="30" customHeight="1" x14ac:dyDescent="0.2">
      <c r="A10" s="10"/>
      <c r="B10" s="51" t="s">
        <v>182</v>
      </c>
      <c r="C10" s="52"/>
      <c r="D10" s="52"/>
      <c r="E10" s="28">
        <v>6</v>
      </c>
      <c r="F10" s="26">
        <v>5.25</v>
      </c>
      <c r="G10" s="34">
        <f t="shared" ref="G10:G39" si="0">IFERROR(F10/E10,"")</f>
        <v>0.875</v>
      </c>
      <c r="H10" s="35" t="str">
        <f t="shared" ref="H10:H3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7"/>
      <c r="J10" s="58"/>
    </row>
    <row r="11" spans="1:10" ht="30" customHeight="1" x14ac:dyDescent="0.2">
      <c r="A11" s="10"/>
      <c r="B11" s="51" t="s">
        <v>183</v>
      </c>
      <c r="C11" s="52"/>
      <c r="D11" s="52"/>
      <c r="E11" s="28">
        <v>6</v>
      </c>
      <c r="F11" s="26">
        <v>4.75</v>
      </c>
      <c r="G11" s="34">
        <f t="shared" si="0"/>
        <v>0.79166666666666663</v>
      </c>
      <c r="H11" s="35" t="str">
        <f t="shared" si="1"/>
        <v>جيد</v>
      </c>
      <c r="I11" s="57"/>
      <c r="J11" s="58"/>
    </row>
    <row r="12" spans="1:10" ht="30" customHeight="1" thickBot="1" x14ac:dyDescent="0.25">
      <c r="A12" s="10"/>
      <c r="B12" s="47" t="s">
        <v>184</v>
      </c>
      <c r="C12" s="48"/>
      <c r="D12" s="48"/>
      <c r="E12" s="29">
        <v>5</v>
      </c>
      <c r="F12" s="27">
        <v>3.75</v>
      </c>
      <c r="G12" s="39">
        <f t="shared" si="0"/>
        <v>0.75</v>
      </c>
      <c r="H12" s="40" t="str">
        <f t="shared" si="1"/>
        <v>جيد</v>
      </c>
      <c r="I12" s="59"/>
      <c r="J12" s="60"/>
    </row>
    <row r="13" spans="1:10" ht="30" customHeight="1" x14ac:dyDescent="0.2">
      <c r="A13" s="10"/>
      <c r="B13" s="49" t="s">
        <v>185</v>
      </c>
      <c r="C13" s="50"/>
      <c r="D13" s="50"/>
      <c r="E13" s="30"/>
      <c r="F13" s="36"/>
      <c r="G13" s="37"/>
      <c r="H13" s="38"/>
      <c r="I13" s="53"/>
      <c r="J13" s="54"/>
    </row>
    <row r="14" spans="1:10" ht="30" customHeight="1" x14ac:dyDescent="0.2">
      <c r="A14" s="10"/>
      <c r="B14" s="51" t="s">
        <v>186</v>
      </c>
      <c r="C14" s="52"/>
      <c r="D14" s="52"/>
      <c r="E14" s="9">
        <v>8</v>
      </c>
      <c r="F14" s="26">
        <v>5.75</v>
      </c>
      <c r="G14" s="34">
        <f t="shared" si="0"/>
        <v>0.71875</v>
      </c>
      <c r="H14" s="35" t="str">
        <f t="shared" si="1"/>
        <v>جيد</v>
      </c>
      <c r="I14" s="57"/>
      <c r="J14" s="58"/>
    </row>
    <row r="15" spans="1:10" ht="30" customHeight="1" x14ac:dyDescent="0.2">
      <c r="A15" s="10"/>
      <c r="B15" s="51" t="s">
        <v>187</v>
      </c>
      <c r="C15" s="52"/>
      <c r="D15" s="52"/>
      <c r="E15" s="9">
        <v>8</v>
      </c>
      <c r="F15" s="26">
        <v>6.75</v>
      </c>
      <c r="G15" s="34">
        <f t="shared" si="0"/>
        <v>0.84375</v>
      </c>
      <c r="H15" s="35" t="str">
        <f t="shared" si="1"/>
        <v>جيد جداً</v>
      </c>
      <c r="I15" s="57"/>
      <c r="J15" s="58"/>
    </row>
    <row r="16" spans="1:10" ht="30" customHeight="1" x14ac:dyDescent="0.2">
      <c r="A16" s="10"/>
      <c r="B16" s="51" t="s">
        <v>188</v>
      </c>
      <c r="C16" s="52"/>
      <c r="D16" s="52"/>
      <c r="E16" s="9">
        <v>5</v>
      </c>
      <c r="F16" s="26">
        <v>4</v>
      </c>
      <c r="G16" s="34">
        <f t="shared" si="0"/>
        <v>0.8</v>
      </c>
      <c r="H16" s="35" t="str">
        <f t="shared" si="1"/>
        <v>جيد جداً</v>
      </c>
      <c r="I16" s="57"/>
      <c r="J16" s="58"/>
    </row>
    <row r="17" spans="1:10" ht="30" customHeight="1" thickBot="1" x14ac:dyDescent="0.25">
      <c r="A17" s="10"/>
      <c r="B17" s="47" t="s">
        <v>189</v>
      </c>
      <c r="C17" s="48"/>
      <c r="D17" s="48"/>
      <c r="E17" s="31">
        <v>6</v>
      </c>
      <c r="F17" s="27">
        <v>4.25</v>
      </c>
      <c r="G17" s="39">
        <f t="shared" si="0"/>
        <v>0.70833333333333337</v>
      </c>
      <c r="H17" s="40" t="str">
        <f t="shared" si="1"/>
        <v>جيد</v>
      </c>
      <c r="I17" s="59"/>
      <c r="J17" s="60"/>
    </row>
    <row r="18" spans="1:10" ht="30" customHeight="1" x14ac:dyDescent="0.2">
      <c r="A18" s="10"/>
      <c r="B18" s="49" t="s">
        <v>190</v>
      </c>
      <c r="C18" s="50"/>
      <c r="D18" s="50"/>
      <c r="E18" s="30"/>
      <c r="F18" s="36"/>
      <c r="G18" s="37"/>
      <c r="H18" s="38"/>
      <c r="I18" s="53"/>
      <c r="J18" s="54"/>
    </row>
    <row r="19" spans="1:10" ht="30" customHeight="1" x14ac:dyDescent="0.2">
      <c r="A19" s="10"/>
      <c r="B19" s="51" t="s">
        <v>191</v>
      </c>
      <c r="C19" s="52"/>
      <c r="D19" s="52"/>
      <c r="E19" s="28">
        <v>6</v>
      </c>
      <c r="F19" s="26">
        <v>5.25</v>
      </c>
      <c r="G19" s="34">
        <f t="shared" si="0"/>
        <v>0.875</v>
      </c>
      <c r="H19" s="35" t="str">
        <f t="shared" si="1"/>
        <v>جيد جداً</v>
      </c>
      <c r="I19" s="57"/>
      <c r="J19" s="58"/>
    </row>
    <row r="20" spans="1:10" ht="30" customHeight="1" x14ac:dyDescent="0.2">
      <c r="A20" s="10"/>
      <c r="B20" s="51" t="s">
        <v>192</v>
      </c>
      <c r="C20" s="52"/>
      <c r="D20" s="52"/>
      <c r="E20" s="28">
        <v>6</v>
      </c>
      <c r="F20" s="26">
        <v>4.75</v>
      </c>
      <c r="G20" s="34">
        <f t="shared" si="0"/>
        <v>0.79166666666666663</v>
      </c>
      <c r="H20" s="35" t="str">
        <f t="shared" si="1"/>
        <v>جيد</v>
      </c>
      <c r="I20" s="57"/>
      <c r="J20" s="58"/>
    </row>
    <row r="21" spans="1:10" ht="30" customHeight="1" x14ac:dyDescent="0.2">
      <c r="A21" s="10"/>
      <c r="B21" s="51" t="s">
        <v>193</v>
      </c>
      <c r="C21" s="52"/>
      <c r="D21" s="52"/>
      <c r="E21" s="28">
        <v>6</v>
      </c>
      <c r="F21" s="26">
        <v>4.5</v>
      </c>
      <c r="G21" s="34">
        <f t="shared" si="0"/>
        <v>0.75</v>
      </c>
      <c r="H21" s="35" t="str">
        <f t="shared" si="1"/>
        <v>جيد</v>
      </c>
      <c r="I21" s="57"/>
      <c r="J21" s="58"/>
    </row>
    <row r="22" spans="1:10" ht="39.950000000000003" customHeight="1" x14ac:dyDescent="0.2">
      <c r="A22" s="10"/>
      <c r="B22" s="51" t="s">
        <v>194</v>
      </c>
      <c r="C22" s="52"/>
      <c r="D22" s="52"/>
      <c r="E22" s="28">
        <v>6</v>
      </c>
      <c r="F22" s="26">
        <v>5.25</v>
      </c>
      <c r="G22" s="34">
        <f t="shared" si="0"/>
        <v>0.875</v>
      </c>
      <c r="H22" s="35" t="str">
        <f t="shared" si="1"/>
        <v>جيد جداً</v>
      </c>
      <c r="I22" s="57"/>
      <c r="J22" s="58"/>
    </row>
    <row r="23" spans="1:10" ht="30" customHeight="1" thickBot="1" x14ac:dyDescent="0.25">
      <c r="A23" s="10"/>
      <c r="B23" s="47" t="s">
        <v>195</v>
      </c>
      <c r="C23" s="48"/>
      <c r="D23" s="48"/>
      <c r="E23" s="29">
        <v>6</v>
      </c>
      <c r="F23" s="27">
        <v>4.75</v>
      </c>
      <c r="G23" s="39">
        <f t="shared" si="0"/>
        <v>0.79166666666666663</v>
      </c>
      <c r="H23" s="40" t="str">
        <f t="shared" si="1"/>
        <v>جيد</v>
      </c>
      <c r="I23" s="59"/>
      <c r="J23" s="60"/>
    </row>
    <row r="24" spans="1:10" ht="30" customHeight="1" x14ac:dyDescent="0.2">
      <c r="A24" s="10"/>
      <c r="B24" s="49" t="s">
        <v>196</v>
      </c>
      <c r="C24" s="50"/>
      <c r="D24" s="50"/>
      <c r="E24" s="30"/>
      <c r="F24" s="36"/>
      <c r="G24" s="37"/>
      <c r="H24" s="38"/>
      <c r="I24" s="53"/>
      <c r="J24" s="54"/>
    </row>
    <row r="25" spans="1:10" ht="39.950000000000003" customHeight="1" x14ac:dyDescent="0.2">
      <c r="A25" s="10"/>
      <c r="B25" s="43" t="s">
        <v>197</v>
      </c>
      <c r="C25" s="44"/>
      <c r="D25" s="44"/>
      <c r="E25" s="28">
        <v>5</v>
      </c>
      <c r="F25" s="26">
        <v>3.75</v>
      </c>
      <c r="G25" s="34">
        <f t="shared" si="0"/>
        <v>0.75</v>
      </c>
      <c r="H25" s="35" t="str">
        <f t="shared" si="1"/>
        <v>جيد</v>
      </c>
      <c r="I25" s="57"/>
      <c r="J25" s="58"/>
    </row>
    <row r="26" spans="1:10" ht="39.950000000000003" customHeight="1" x14ac:dyDescent="0.2">
      <c r="A26" s="10"/>
      <c r="B26" s="43" t="s">
        <v>198</v>
      </c>
      <c r="C26" s="44"/>
      <c r="D26" s="44"/>
      <c r="E26" s="28">
        <v>5</v>
      </c>
      <c r="F26" s="26">
        <v>3.75</v>
      </c>
      <c r="G26" s="34">
        <f t="shared" si="0"/>
        <v>0.75</v>
      </c>
      <c r="H26" s="35" t="str">
        <f t="shared" si="1"/>
        <v>جيد</v>
      </c>
      <c r="I26" s="57"/>
      <c r="J26" s="58"/>
    </row>
    <row r="27" spans="1:10" ht="30" customHeight="1" x14ac:dyDescent="0.2">
      <c r="A27" s="10"/>
      <c r="B27" s="43" t="s">
        <v>199</v>
      </c>
      <c r="C27" s="44"/>
      <c r="D27" s="44"/>
      <c r="E27" s="28">
        <v>5</v>
      </c>
      <c r="F27" s="26">
        <v>3.75</v>
      </c>
      <c r="G27" s="34">
        <f t="shared" si="0"/>
        <v>0.75</v>
      </c>
      <c r="H27" s="35" t="str">
        <f t="shared" si="1"/>
        <v>جيد</v>
      </c>
      <c r="I27" s="57"/>
      <c r="J27" s="58"/>
    </row>
    <row r="28" spans="1:10" ht="30" customHeight="1" x14ac:dyDescent="0.2">
      <c r="A28" s="10"/>
      <c r="B28" s="43" t="s">
        <v>200</v>
      </c>
      <c r="C28" s="44"/>
      <c r="D28" s="44"/>
      <c r="E28" s="28">
        <v>5</v>
      </c>
      <c r="F28" s="26">
        <v>3.75</v>
      </c>
      <c r="G28" s="34">
        <f t="shared" si="0"/>
        <v>0.75</v>
      </c>
      <c r="H28" s="35" t="str">
        <f t="shared" si="1"/>
        <v>جيد</v>
      </c>
      <c r="I28" s="57"/>
      <c r="J28" s="58"/>
    </row>
    <row r="29" spans="1:10" ht="30" customHeight="1" x14ac:dyDescent="0.2">
      <c r="A29" s="10"/>
      <c r="B29" s="43" t="s">
        <v>201</v>
      </c>
      <c r="C29" s="44"/>
      <c r="D29" s="44"/>
      <c r="E29" s="28">
        <v>5</v>
      </c>
      <c r="F29" s="26">
        <v>3.75</v>
      </c>
      <c r="G29" s="34">
        <f t="shared" si="0"/>
        <v>0.75</v>
      </c>
      <c r="H29" s="35" t="str">
        <f t="shared" si="1"/>
        <v>جيد</v>
      </c>
      <c r="I29" s="57"/>
      <c r="J29" s="58"/>
    </row>
    <row r="30" spans="1:10" ht="30" customHeight="1" x14ac:dyDescent="0.2">
      <c r="A30" s="10"/>
      <c r="B30" s="43" t="s">
        <v>202</v>
      </c>
      <c r="C30" s="44"/>
      <c r="D30" s="44"/>
      <c r="E30" s="28">
        <v>5</v>
      </c>
      <c r="F30" s="26">
        <v>3.5</v>
      </c>
      <c r="G30" s="34">
        <f t="shared" si="0"/>
        <v>0.7</v>
      </c>
      <c r="H30" s="35" t="str">
        <f t="shared" si="1"/>
        <v>جيد</v>
      </c>
      <c r="I30" s="57"/>
      <c r="J30" s="58"/>
    </row>
    <row r="31" spans="1:10" ht="30" customHeight="1" x14ac:dyDescent="0.2">
      <c r="A31" s="10"/>
      <c r="B31" s="43" t="s">
        <v>203</v>
      </c>
      <c r="C31" s="44"/>
      <c r="D31" s="44"/>
      <c r="E31" s="28">
        <v>5</v>
      </c>
      <c r="F31" s="26">
        <v>3.75</v>
      </c>
      <c r="G31" s="34">
        <f t="shared" si="0"/>
        <v>0.75</v>
      </c>
      <c r="H31" s="35" t="str">
        <f t="shared" si="1"/>
        <v>جيد</v>
      </c>
      <c r="I31" s="57"/>
      <c r="J31" s="58"/>
    </row>
    <row r="32" spans="1:10" ht="30" customHeight="1" x14ac:dyDescent="0.2">
      <c r="A32" s="10"/>
      <c r="B32" s="43" t="s">
        <v>204</v>
      </c>
      <c r="C32" s="44"/>
      <c r="D32" s="44"/>
      <c r="E32" s="28">
        <v>5</v>
      </c>
      <c r="F32" s="26">
        <v>3.75</v>
      </c>
      <c r="G32" s="34">
        <f t="shared" si="0"/>
        <v>0.75</v>
      </c>
      <c r="H32" s="35" t="str">
        <f t="shared" si="1"/>
        <v>جيد</v>
      </c>
      <c r="I32" s="57"/>
      <c r="J32" s="58"/>
    </row>
    <row r="33" spans="1:10" ht="30" customHeight="1" x14ac:dyDescent="0.2">
      <c r="A33" s="10"/>
      <c r="B33" s="43" t="s">
        <v>205</v>
      </c>
      <c r="C33" s="44"/>
      <c r="D33" s="44"/>
      <c r="E33" s="28">
        <v>5</v>
      </c>
      <c r="F33" s="26">
        <v>3.5</v>
      </c>
      <c r="G33" s="34">
        <f t="shared" si="0"/>
        <v>0.7</v>
      </c>
      <c r="H33" s="35" t="str">
        <f t="shared" si="1"/>
        <v>جيد</v>
      </c>
      <c r="I33" s="57"/>
      <c r="J33" s="58"/>
    </row>
    <row r="34" spans="1:10" ht="30" customHeight="1" thickBot="1" x14ac:dyDescent="0.25">
      <c r="A34" s="10"/>
      <c r="B34" s="47" t="s">
        <v>206</v>
      </c>
      <c r="C34" s="48"/>
      <c r="D34" s="48"/>
      <c r="E34" s="29">
        <v>5</v>
      </c>
      <c r="F34" s="27">
        <v>3.5</v>
      </c>
      <c r="G34" s="39">
        <f t="shared" si="0"/>
        <v>0.7</v>
      </c>
      <c r="H34" s="40" t="str">
        <f t="shared" si="1"/>
        <v>جيد</v>
      </c>
      <c r="I34" s="59"/>
      <c r="J34" s="60"/>
    </row>
    <row r="35" spans="1:10" ht="30" customHeight="1" x14ac:dyDescent="0.2">
      <c r="A35" s="10"/>
      <c r="B35" s="41" t="s">
        <v>207</v>
      </c>
      <c r="C35" s="42"/>
      <c r="D35" s="42"/>
      <c r="E35" s="30"/>
      <c r="F35" s="36"/>
      <c r="G35" s="37"/>
      <c r="H35" s="38"/>
      <c r="I35" s="53"/>
      <c r="J35" s="54"/>
    </row>
    <row r="36" spans="1:10" ht="30" customHeight="1" x14ac:dyDescent="0.2">
      <c r="A36" s="10"/>
      <c r="B36" s="43" t="s">
        <v>208</v>
      </c>
      <c r="C36" s="44"/>
      <c r="D36" s="44"/>
      <c r="E36" s="9">
        <v>6</v>
      </c>
      <c r="F36" s="26">
        <v>5.25</v>
      </c>
      <c r="G36" s="34">
        <f t="shared" si="0"/>
        <v>0.875</v>
      </c>
      <c r="H36" s="35" t="str">
        <f t="shared" si="1"/>
        <v>جيد جداً</v>
      </c>
      <c r="I36" s="57"/>
      <c r="J36" s="58"/>
    </row>
    <row r="37" spans="1:10" ht="30" customHeight="1" x14ac:dyDescent="0.2">
      <c r="A37" s="10"/>
      <c r="B37" s="43" t="s">
        <v>209</v>
      </c>
      <c r="C37" s="44"/>
      <c r="D37" s="44"/>
      <c r="E37" s="9">
        <v>5</v>
      </c>
      <c r="F37" s="26">
        <v>3.75</v>
      </c>
      <c r="G37" s="34">
        <f t="shared" si="0"/>
        <v>0.75</v>
      </c>
      <c r="H37" s="35" t="str">
        <f t="shared" si="1"/>
        <v>جيد</v>
      </c>
      <c r="I37" s="57"/>
      <c r="J37" s="58"/>
    </row>
    <row r="38" spans="1:10" ht="30" customHeight="1" x14ac:dyDescent="0.2">
      <c r="A38" s="10"/>
      <c r="B38" s="43" t="s">
        <v>210</v>
      </c>
      <c r="C38" s="44"/>
      <c r="D38" s="44"/>
      <c r="E38" s="9">
        <v>5</v>
      </c>
      <c r="F38" s="26">
        <v>3.75</v>
      </c>
      <c r="G38" s="34">
        <f t="shared" si="0"/>
        <v>0.75</v>
      </c>
      <c r="H38" s="35" t="str">
        <f t="shared" si="1"/>
        <v>جيد</v>
      </c>
      <c r="I38" s="57"/>
      <c r="J38" s="58"/>
    </row>
    <row r="39" spans="1:10" ht="30" customHeight="1" thickBot="1" x14ac:dyDescent="0.25">
      <c r="A39" s="10"/>
      <c r="B39" s="45" t="s">
        <v>211</v>
      </c>
      <c r="C39" s="46"/>
      <c r="D39" s="46"/>
      <c r="E39" s="31">
        <v>5</v>
      </c>
      <c r="F39" s="27">
        <v>4.25</v>
      </c>
      <c r="G39" s="39">
        <f t="shared" si="0"/>
        <v>0.85</v>
      </c>
      <c r="H39" s="40" t="str">
        <f t="shared" si="1"/>
        <v>جيد جداً</v>
      </c>
      <c r="I39" s="59"/>
      <c r="J39" s="60"/>
    </row>
    <row r="40" spans="1:10" ht="30" customHeight="1" thickBot="1" x14ac:dyDescent="0.25">
      <c r="A40" s="4"/>
      <c r="B40" s="76" t="s">
        <v>5</v>
      </c>
      <c r="C40" s="77"/>
      <c r="D40" s="77"/>
      <c r="E40" s="33">
        <f>SUM(E8:E39)</f>
        <v>150</v>
      </c>
      <c r="F40" s="33">
        <f>SUM(F8:F39)</f>
        <v>116.5</v>
      </c>
      <c r="G40" s="82"/>
      <c r="H40" s="83"/>
      <c r="I40" s="83"/>
      <c r="J40" s="84"/>
    </row>
    <row r="41" spans="1:10" ht="30" customHeight="1" thickBot="1" x14ac:dyDescent="0.25">
      <c r="A41" s="4"/>
      <c r="B41" s="78" t="s">
        <v>54</v>
      </c>
      <c r="C41" s="79"/>
      <c r="D41" s="79"/>
      <c r="E41" s="74">
        <f>F40/E40/100*100</f>
        <v>0.77666666666666662</v>
      </c>
      <c r="F41" s="74"/>
      <c r="G41" s="74"/>
      <c r="H41" s="74"/>
      <c r="I41" s="74"/>
      <c r="J41" s="75"/>
    </row>
    <row r="42" spans="1:10" ht="30" customHeight="1" thickBot="1" x14ac:dyDescent="0.25">
      <c r="A42" s="4"/>
      <c r="B42" s="78" t="s">
        <v>55</v>
      </c>
      <c r="C42" s="79"/>
      <c r="D42" s="79"/>
      <c r="E42" s="72" t="str">
        <f>_xlfn.IFS(E41&gt;=90%,"ممتاز",E41&gt;=80%,"جيد جداً",E41&gt;=70%,"جيد",E41&gt;=60%,"مقبول",E41&lt;60%,"راسب")</f>
        <v>جيد</v>
      </c>
      <c r="F42" s="72"/>
      <c r="G42" s="72"/>
      <c r="H42" s="72"/>
      <c r="I42" s="72"/>
      <c r="J42" s="73"/>
    </row>
    <row r="43" spans="1:10" ht="42" customHeight="1" x14ac:dyDescent="0.2">
      <c r="B43" s="68" t="s">
        <v>174</v>
      </c>
      <c r="C43" s="68"/>
      <c r="D43" s="68"/>
      <c r="E43" s="80" t="s">
        <v>52</v>
      </c>
      <c r="F43" s="80"/>
      <c r="G43" s="70" t="s">
        <v>129</v>
      </c>
      <c r="H43" s="70"/>
      <c r="I43" s="70"/>
      <c r="J43" s="70"/>
    </row>
    <row r="44" spans="1:10" ht="51" customHeight="1" x14ac:dyDescent="0.2">
      <c r="A44" s="5"/>
      <c r="B44" s="69"/>
      <c r="C44" s="69"/>
      <c r="D44" s="69"/>
      <c r="E44" s="81" t="s">
        <v>53</v>
      </c>
      <c r="F44" s="81"/>
      <c r="G44" s="71"/>
      <c r="H44" s="71"/>
      <c r="I44" s="71"/>
      <c r="J44" s="7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5">
    <mergeCell ref="E43:F43"/>
    <mergeCell ref="E44:F44"/>
    <mergeCell ref="G40:J40"/>
    <mergeCell ref="I9:J9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B43:D44"/>
    <mergeCell ref="G43:J43"/>
    <mergeCell ref="G44:J44"/>
    <mergeCell ref="E42:J42"/>
    <mergeCell ref="E41:J41"/>
    <mergeCell ref="B40:D40"/>
    <mergeCell ref="B41:D41"/>
    <mergeCell ref="B42:D42"/>
    <mergeCell ref="I34:J34"/>
    <mergeCell ref="I35:J35"/>
    <mergeCell ref="I36:J36"/>
    <mergeCell ref="I32:J32"/>
    <mergeCell ref="B31:D31"/>
    <mergeCell ref="B32:D32"/>
    <mergeCell ref="B1:J1"/>
    <mergeCell ref="F2:J2"/>
    <mergeCell ref="B5:D6"/>
    <mergeCell ref="C2:D2"/>
    <mergeCell ref="C3:D3"/>
    <mergeCell ref="F3:J3"/>
    <mergeCell ref="B7:D7"/>
    <mergeCell ref="I38:J38"/>
    <mergeCell ref="I39:J39"/>
    <mergeCell ref="I30:J30"/>
    <mergeCell ref="I31:J3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33:J33"/>
    <mergeCell ref="I8:J8"/>
    <mergeCell ref="B13:D13"/>
    <mergeCell ref="B14:D14"/>
    <mergeCell ref="B15:D15"/>
    <mergeCell ref="B16:D16"/>
    <mergeCell ref="B8:D8"/>
    <mergeCell ref="B9:D9"/>
    <mergeCell ref="B10:D10"/>
    <mergeCell ref="B11:D11"/>
    <mergeCell ref="B12:D12"/>
    <mergeCell ref="B33:D33"/>
    <mergeCell ref="B34:D34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5:D35"/>
    <mergeCell ref="B36:D36"/>
    <mergeCell ref="B37:D37"/>
    <mergeCell ref="B38:D38"/>
    <mergeCell ref="B39:D39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2">
    <cfRule type="expression" dxfId="14" priority="57">
      <formula>$E42="راسب"</formula>
    </cfRule>
  </conditionalFormatting>
  <conditionalFormatting sqref="E42:J42">
    <cfRule type="expression" dxfId="13" priority="58">
      <formula>$E42="مقبول"</formula>
    </cfRule>
    <cfRule type="expression" dxfId="12" priority="59">
      <formula>$E42="جيد"</formula>
    </cfRule>
    <cfRule type="expression" dxfId="11" priority="60">
      <formula>$E42="جيد جداً"</formula>
    </cfRule>
    <cfRule type="expression" dxfId="10" priority="61">
      <formula>$E42="ممتاز"</formula>
    </cfRule>
  </conditionalFormatting>
  <conditionalFormatting sqref="F8:F3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3:J43">
    <cfRule type="containsText" dxfId="6" priority="15" operator="containsText" text="أدخل اسم المحكم">
      <formula>NOT(ISERROR(SEARCH("أدخل اسم المحكم",G43)))</formula>
    </cfRule>
  </conditionalFormatting>
  <conditionalFormatting sqref="H8:H3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F9 F25:F34 F37:F39 F12 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G43:J43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3CD11486-4F82-4DA5-A759-F95A1043CEF6}">
          <x14:formula1>
            <xm:f>'بيانات التقييم'!$A$111:$A$137</xm:f>
          </x14:formula1>
          <xm:sqref>F10 F11 F17 F19 F20 F21 F22 F23 F36</xm:sqref>
        </x14:dataValidation>
        <x14:dataValidation type="list" allowBlank="1" showInputMessage="1" showErrorMessage="1" xr:uid="{A2279BC6-5414-436A-83B1-5F1184DCF6A6}">
          <x14:formula1>
            <xm:f>'بيانات التقييم'!$A$111:$A$145</xm:f>
          </x14:formula1>
          <xm:sqref>F14 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2025-09-22T05:40:14Z</dcterms:modified>
</cp:coreProperties>
</file>