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7B412C19-C987-4042-842A-20F16682E6A6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4" i="2"/>
  <c r="H24" i="2"/>
  <c r="F25" i="2"/>
  <c r="E25" i="2"/>
  <c r="E26" i="2"/>
  <c r="E27" i="2"/>
</calcChain>
</file>

<file path=xl/sharedStrings.xml><?xml version="1.0" encoding="utf-8"?>
<sst xmlns="http://schemas.openxmlformats.org/spreadsheetml/2006/main" count="254" uniqueCount="198">
  <si>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</si>
  <si>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</si>
  <si>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</si>
  <si>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</si>
  <si>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</si>
  <si>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</si>
  <si>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</si>
  <si>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</si>
  <si>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</si>
  <si>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</si>
  <si>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</si>
  <si>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</si>
  <si>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</si>
  <si>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</si>
  <si>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</si>
  <si>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</si>
  <si>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</si>
  <si>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</si>
  <si>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</si>
  <si>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</si>
  <si>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</si>
  <si>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</si>
  <si>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</si>
  <si>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</si>
  <si>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</si>
  <si>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</si>
  <si>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</si>
  <si>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</si>
  <si>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</si>
  <si>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</si>
  <si>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</si>
  <si>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</si>
  <si>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</si>
  <si>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</si>
  <si>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</si>
  <si>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</si>
  <si>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</si>
  <si>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</si>
  <si>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</si>
  <si>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</si>
  <si>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</si>
  <si>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</si>
  <si>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</si>
  <si>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</si>
  <si>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</si>
  <si>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</si>
  <si>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</si>
  <si>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</si>
  <si>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</si>
  <si>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</si>
  <si>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</si>
  <si>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</si>
  <si>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</si>
  <si>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</si>
  <si>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</si>
  <si>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</si>
  <si>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</si>
  <si>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</si>
  <si>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</si>
  <si>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</si>
  <si>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</si>
  <si>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</si>
  <si>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</si>
  <si>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</si>
  <si>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</si>
  <si>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</si>
  <si>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</si>
  <si>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</si>
  <si>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</si>
  <si>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</si>
  <si>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</si>
  <si>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</si>
  <si>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</si>
  <si>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</si>
  <si>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</si>
  <si>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</si>
  <si>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</si>
  <si>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</si>
  <si>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</si>
  <si>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</si>
  <si>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</si>
  <si>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</si>
  <si>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</si>
  <si>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</si>
  <si>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</si>
  <si>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</si>
  <si>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</si>
  <si>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</si>
  <si>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</si>
  <si>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</si>
  <si>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</si>
  <si>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</si>
  <si>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</si>
  <si>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</si>
  <si>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</si>
  <si>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</si>
  <si>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</si>
  <si>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</si>
  <si>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</si>
  <si>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</si>
  <si>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</si>
  <si>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</si>
  <si>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</si>
  <si>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</si>
  <si>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</si>
  <si>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</si>
  <si>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</si>
  <si>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</si>
  <si>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</si>
  <si>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</si>
  <si>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</si>
  <si>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</si>
  <si>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</si>
  <si>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</si>
  <si>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</si>
  <si>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</si>
  <si>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</si>
  <si>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</si>
  <si>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</si>
  <si>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</si>
  <si>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</si>
  <si>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</si>
  <si>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</si>
  <si>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</si>
  <si>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</si>
  <si>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</si>
  <si>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</si>
  <si>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</si>
  <si>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</si>
  <si>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</si>
  <si>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</si>
  <si>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</si>
  <si>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</si>
  <si>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</si>
  <si>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</si>
  <si>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</si>
  <si>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</si>
  <si>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</si>
  <si>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</si>
  <si>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</si>
  <si>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</si>
  <si>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</si>
  <si>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</si>
  <si>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</si>
  <si>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</si>
  <si>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</si>
  <si>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</si>
  <si>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</si>
  <si>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</si>
  <si>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</si>
  <si>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</si>
  <si>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</si>
  <si>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</si>
  <si>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</si>
  <si>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</si>
  <si>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</si>
  <si>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</si>
  <si>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</si>
  <si>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</si>
  <si>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</si>
  <si>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</si>
  <si>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</si>
  <si>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</si>
  <si>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</si>
  <si>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</si>
  <si>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</si>
  <si>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</si>
  <si>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</si>
  <si>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</si>
  <si>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</si>
  <si>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</si>
  <si>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</si>
  <si>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</si>
  <si>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</si>
  <si>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</si>
  <si>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</si>
  <si>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</si>
  <si>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</si>
  <si>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</si>
  <si>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</si>
  <si>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   أ. الفواصل بين الاليات وتأمين الحماية عند دخول المنطقة.</t>
  </si>
  <si>
    <t xml:space="preserve">   ب. قيام الاليات باحتلال مساطبها حسب خطة احتلال الموقع.</t>
  </si>
  <si>
    <t xml:space="preserve">   جـ. توضيع الآليات في موقع يسمح بسرعة الدخول والخروج.</t>
  </si>
  <si>
    <t xml:space="preserve">   د. تنسيق الدفاع  المحلي مع الوحدات المجاورة.</t>
  </si>
  <si>
    <t xml:space="preserve">   هـ. المحافظة على القدرة العملياتية في جميع الأوقات.</t>
  </si>
  <si>
    <t xml:space="preserve">   و. تم تأسيس الاتصالات وادامتها.</t>
  </si>
  <si>
    <t>أ.  تركيب شباك التستر ومهمات التمويه .</t>
  </si>
  <si>
    <t>1.      يتأكد قائد السرية مما يلي:</t>
  </si>
  <si>
    <t>2.      تقوم السرية بعمل تحسينات على الموقع وكما يلي:</t>
  </si>
  <si>
    <t>3.      تراقب السرية أمن العملية لتفادي كشف العدو للموقع ومعرفتة لقصد الوحدة.</t>
  </si>
  <si>
    <t>ب. انتخاب وتحضير المواقع البديلة.</t>
  </si>
  <si>
    <t>د.  انتخاب، وتحضير وتأشير منطقة هبوط  الطائرات العمودية والتأكد من:</t>
  </si>
  <si>
    <t>(1)  أن منطقة الهبوط مستوية نسبياً.</t>
  </si>
  <si>
    <t>(2)  أن منطقة الهبوط دائرية وقطرها من 25 الى 80 متر.</t>
  </si>
  <si>
    <t>(3) أن اتجاه الهبوط  والاقلاع خالي من الموانع.</t>
  </si>
  <si>
    <t>(4) أن منطقة الهبوط مؤشرة للعمليات النهارية والليلية.</t>
  </si>
  <si>
    <t>جـ. انتخاب منطقة مخبأ الاليات لاصطفاف ودخول وخروج الاليات وذلك لتسهيل العمليات.</t>
  </si>
  <si>
    <r>
      <rPr>
        <b/>
        <sz val="14"/>
        <color rgb="FF000000"/>
        <rFont val="Arial"/>
        <family val="2"/>
      </rPr>
      <t>تقييم قسم المدفعية في احتلال مواقع الرماية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</si>
</sst>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3" fillId="5" borderId="23" xfId="0" applyFont="1" applyFill="1" applyBorder="1" applyAlignment="1">
      <alignment horizontal="right" vertical="center" wrapText="1" indent="2" readingOrder="2"/>
    </xf>
    <xf numFmtId="0" fontId="13" fillId="5" borderId="3" xfId="0" applyFont="1" applyFill="1" applyBorder="1" applyAlignment="1">
      <alignment horizontal="right" vertical="center" wrapText="1" indent="2" readingOrder="2"/>
    </xf>
    <xf numFmtId="0" fontId="13" fillId="5" borderId="23" xfId="0" applyFont="1" applyFill="1" applyBorder="1" applyAlignment="1">
      <alignment horizontal="right" vertical="center" wrapText="1" indent="4" readingOrder="2"/>
    </xf>
    <xf numFmtId="0" fontId="13" fillId="5" borderId="3" xfId="0" applyFont="1" applyFill="1" applyBorder="1" applyAlignment="1">
      <alignment horizontal="right" vertical="center" wrapText="1" indent="4" readingOrder="2"/>
    </xf>
    <xf numFmtId="0" fontId="13" fillId="5" borderId="24" xfId="0" applyFont="1" applyFill="1" applyBorder="1" applyAlignment="1">
      <alignment horizontal="right" vertical="center" wrapText="1" readingOrder="2"/>
    </xf>
    <xf numFmtId="0" fontId="13" fillId="5" borderId="25" xfId="0" applyFont="1" applyFill="1" applyBorder="1" applyAlignment="1">
      <alignment horizontal="right" vertical="center" wrapText="1" readingOrder="2"/>
    </xf>
    <xf numFmtId="0" fontId="13" fillId="5" borderId="26" xfId="0" applyFont="1" applyFill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indent="2" readingOrder="2"/>
    </xf>
    <xf numFmtId="0" fontId="13" fillId="5" borderId="12" xfId="0" applyFont="1" applyFill="1" applyBorder="1" applyAlignment="1">
      <alignment horizontal="right" vertical="center" wrapText="1" indent="2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3" fillId="5" borderId="11" xfId="0" applyFont="1" applyFill="1" applyBorder="1" applyAlignment="1">
      <alignment horizontal="right" vertical="center" wrapText="1" indent="4" readingOrder="2"/>
    </xf>
    <xf numFmtId="0" fontId="13" fillId="5" borderId="12" xfId="0" applyFont="1" applyFill="1" applyBorder="1" applyAlignment="1">
      <alignment horizontal="right" vertical="center" wrapText="1" indent="4" readingOrder="2"/>
    </xf>
    <xf numFmtId="0" fontId="13" fillId="5" borderId="8" xfId="0" applyFont="1" applyFill="1" applyBorder="1" applyAlignment="1">
      <alignment horizontal="right" vertical="center" wrapText="1" readingOrder="2"/>
    </xf>
    <xf numFmtId="0" fontId="13" fillId="5" borderId="9" xfId="0" applyFont="1" applyFill="1" applyBorder="1" applyAlignment="1">
      <alignment horizontal="right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 /><Relationship Id="rId3" Type="http://schemas.openxmlformats.org/officeDocument/2006/relationships/customXml" Target="../ink/ink2.xml" /><Relationship Id="rId7" Type="http://schemas.openxmlformats.org/officeDocument/2006/relationships/customXml" Target="../ink/ink4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6" Type="http://schemas.openxmlformats.org/officeDocument/2006/relationships/image" Target="../media/image3.png" /><Relationship Id="rId5" Type="http://schemas.openxmlformats.org/officeDocument/2006/relationships/customXml" Target="../ink/ink3.xml" /><Relationship Id="rId10" Type="http://schemas.openxmlformats.org/officeDocument/2006/relationships/image" Target="../media/image5.png" /><Relationship Id="rId4" Type="http://schemas.openxmlformats.org/officeDocument/2006/relationships/image" Target="../media/image2.png" /><Relationship Id="rId9" Type="http://schemas.openxmlformats.org/officeDocument/2006/relationships/customXml" Target="../ink/ink5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242438</xdr:colOff>
      <xdr:row>28</xdr:row>
      <xdr:rowOff>329908</xdr:rowOff>
    </xdr:from>
    <xdr:to>
      <xdr:col>7</xdr:col>
      <xdr:colOff>450518</xdr:colOff>
      <xdr:row>28</xdr:row>
      <xdr:rowOff>607468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34D6343-58B9-AE53-5462-8CCFAEF37969}"/>
                </a:ext>
              </a:extLst>
            </xdr14:cNvPr>
            <xdr14:cNvContentPartPr/>
          </xdr14:nvContentPartPr>
          <xdr14:nvPr macro=""/>
          <xdr14:xfrm>
            <a:off x="10399452482" y="11529000"/>
            <a:ext cx="208080" cy="2775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34D6343-58B9-AE53-5462-8CCFAEF3796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446362" y="11522880"/>
              <a:ext cx="220320" cy="28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582638</xdr:colOff>
      <xdr:row>28</xdr:row>
      <xdr:rowOff>156748</xdr:rowOff>
    </xdr:from>
    <xdr:to>
      <xdr:col>8</xdr:col>
      <xdr:colOff>147</xdr:colOff>
      <xdr:row>28</xdr:row>
      <xdr:rowOff>293548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3CAFA25-7613-D286-D7AD-2F61F759698B}"/>
                </a:ext>
              </a:extLst>
            </xdr14:cNvPr>
            <xdr14:cNvContentPartPr/>
          </xdr14:nvContentPartPr>
          <xdr14:nvPr macro=""/>
          <xdr14:xfrm>
            <a:off x="10399244762" y="11355840"/>
            <a:ext cx="75600" cy="13680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3CAFA25-7613-D286-D7AD-2F61F759698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238642" y="11349720"/>
              <a:ext cx="87840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28587</xdr:colOff>
      <xdr:row>28</xdr:row>
      <xdr:rowOff>260788</xdr:rowOff>
    </xdr:from>
    <xdr:to>
      <xdr:col>8</xdr:col>
      <xdr:colOff>569667</xdr:colOff>
      <xdr:row>28</xdr:row>
      <xdr:rowOff>532588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F5AD003-4AB2-EE28-9948-64BE273BCA94}"/>
                </a:ext>
              </a:extLst>
            </xdr14:cNvPr>
            <xdr14:cNvContentPartPr/>
          </xdr14:nvContentPartPr>
          <xdr14:nvPr macro=""/>
          <xdr14:xfrm>
            <a:off x="10398675242" y="11459880"/>
            <a:ext cx="541080" cy="27180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DF5AD003-4AB2-EE28-9948-64BE273BCA9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669122" y="11453760"/>
              <a:ext cx="553320" cy="28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507038</xdr:colOff>
      <xdr:row>27</xdr:row>
      <xdr:rowOff>480120</xdr:rowOff>
    </xdr:from>
    <xdr:to>
      <xdr:col>8</xdr:col>
      <xdr:colOff>640947</xdr:colOff>
      <xdr:row>28</xdr:row>
      <xdr:rowOff>608188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0B69E3A-FA9F-0A45-4507-3945B9A1A402}"/>
                </a:ext>
              </a:extLst>
            </xdr14:cNvPr>
            <xdr14:cNvContentPartPr/>
          </xdr14:nvContentPartPr>
          <xdr14:nvPr macro=""/>
          <xdr14:xfrm>
            <a:off x="10398603962" y="11148120"/>
            <a:ext cx="792000" cy="65916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0B69E3A-FA9F-0A45-4507-3945B9A1A402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8597842" y="11142000"/>
              <a:ext cx="804240" cy="67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531158</xdr:colOff>
      <xdr:row>28</xdr:row>
      <xdr:rowOff>468508</xdr:rowOff>
    </xdr:from>
    <xdr:to>
      <xdr:col>8</xdr:col>
      <xdr:colOff>227307</xdr:colOff>
      <xdr:row>28</xdr:row>
      <xdr:rowOff>630508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8DFA3D95-DC75-E9D6-9BA3-A269020C234A}"/>
                </a:ext>
              </a:extLst>
            </xdr14:cNvPr>
            <xdr14:cNvContentPartPr/>
          </xdr14:nvContentPartPr>
          <xdr14:nvPr macro=""/>
          <xdr14:xfrm>
            <a:off x="10399017602" y="11667600"/>
            <a:ext cx="354240" cy="16200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8DFA3D95-DC75-E9D6-9BA3-A269020C234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399011482" y="11661480"/>
              <a:ext cx="366480" cy="174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24:04.2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322 1,'0'0,"0"0,0 0,0 0,0 0,0 0,0 0,0 0,0 0,15 0,1 16,-6-16,-3 0,9 16,-1-8,2 0,15 8,-17-1,2 2,15 15,-18-17,4 2,-2 15,-8-17,0 2,-8 15,-7-9,-2 2,-23 24,17-26,-2 2,-47 55,24-41,-1 2,-55 39,41-40,-2 0,-39-8,48-15,96-34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24:04.7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209 209,'0'0,"0"0,0 0,-16-16,0 0,10 10,-4-4,-6-6,9 10,-2-4,-23-22,19 26,-6-4,3-22,9 25,-2-2,-8-7,11 16,-4 0,10-16,0 16,0 0,0 0,0 0,0 16,16-16,-9 6,3 4,6 6,-16-9,0 2,16 7,-10-3,4 6,6 13,-10-19,4 6,6 29,-10-21,4 10,22 28,-19-39,-26-52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24:06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1422 0,'0'0,"0"0,0 0,0 0,0 0,0 0,0 0,0 0,0 0,0 0,0 0,0 16,0-11,16 6,-16 5,0-11,0 23,16 4,-11-23,6 14,-11 9,0-23,16 30,-16-7,0-22,16 12,-16 10,0-22,0 12,0 10,0-22,-16-4,16 10,0-11,0 6,-16 5,12-11,-8-10,-4 5,11 0,-6 0,3 0,0-16,-8 16,11 0,-6-16,3 8,16 32,-24-8,11-11,10 6,-5-8,-16 10,16 3,0-11,-16-10,16 22,0-13,-16-8,16-13,0 13,-16 8,0-4,14 0,4 17,-34-17,22 0,4 16,-26 0,22-12,-13 8,-8 4,21-11,-29 6,7 5,23-11,-30 6,-9-11,33 0,-2 16,-31-16,33 0,-2 0,-15 0,22 0,-12 0,-10 0,22 0,-12-16,-11 0,23 11,-11 10,4-21,12 11,-6-6,-5-5,11 11,-6-6,-5-21,11 21,-6-11,-5 6,11 12,10-24,-21 12,11 11,10-6,-21-5,11 11,10-6,-5-5,0 11,0 26,-16-21,11 0,10 16,-5 16,0-22,-16 12,-16-6,22-11,-12 22,-10 6,22-24,-12-2,-10 25,22-23,4-2,-58 25,44-22,-25 28,13-22,23-11,-30 22,7-11,22-11,4 6,-26-11,22 0,20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24:07.3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1091 818,'0'0,"0"0,0 0,0 0,0 0,0 0,0 0,0 0,0 0,0 0,0 0,0 0,0 0,0 0,0 0,0 0,0 0,0 0,16 16,-14-13,28-6,-30 3,0 0,16 0,16 16,-27-13,38-6,-27 3,-13 0,10-16,3 16,-13 0,10 0,3 0,-13 0,11-16,-14 16</inkml:trace>
  <inkml:trace contextRef="#ctx0" brushRef="#br0" timeOffset="1">257 1700,'0'0,"0"0,0 0,0 0,0 0,0 0,0-16,0 14,0 2,16-14,-13 12,-6-12,3-2,0 14,0-12,16-18,-13 27,-6-6,3-5,0 14,0-12,0-18,0 27,0-6,-16-21,14 27,4-22,-2-21,0 41,-16-19,16-38,0 55,0-46,16-25,-13 68,26-104,35-29,-54 124,77-102,41-21,-108 121,104-83,37-22,-138 109,114-58,39-19,-151 82,175-36,8 2,-176 40,81-1,-1 9,-95 0,30 0,33 17,-68-15,40 28,-36-14,-13-14,26 44,-12 2,-15-41,-4 50,-15 7,15-54,-92 92,-50 43,121-123,-82 36,24 22,69-68,-296 184,-93 77,335-228,-109 54,-49 30,190-110,-141 90,47-29,108-67,-56 38,12-3,54-40,-13 16,8-7,63-34,-32 34,-14-15,60-4,82-15,-122 15,149-44,37-18,-178 55,197-62,29-9,-215 67,191-70,-56 19,-150 54,92-29,-21 7,-83 28,52-8,-18 12,-41 0,2 16,-9 0,0-13,0 26,-16 4,14-29,-76 56,-34 4,95-55,-127 62,-32 9,149-67,-123 22,6 13,122-40,-68 16,10-24,67 0,-22 0,19 0,13 0,6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24:08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984 1,'0'0,"-16"0,14 0,-12 16,-2-16,14 0,-28 16,-18 0,43-14,-22 12,-37 18,54-27,-60 22,6 5,54-27,-45 22,7 5,41-27,-50 22,9-11,41-13,-34 26,9-29,27 0,-22 16,27-16,0 0,0 0,0-16,0 14,16 4,32-18,-41 14,18-12,23-2,-41 14,34-12,7-18,-41 28,18 8,23-20,-41 14,18-12,-9 14,-13 0,11 0,-7 0,-14 16,-26 0,29-14,-24 12,-36 18,55-27,-62 22,-25 5,82-27,-52 22,1 6,56-29,-46 8,-9 20,55-28,-30 8,7-12,27 0,10 0</inkml:trace>
  <inkml:trace contextRef="#ctx0" brushRef="#br0" timeOffset="1">824 434,'0'0,"0"0,0 0,0 0,0 0,0 0,0 0,0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D13" zoomScale="130" zoomScaleNormal="100" zoomScaleSheetLayoutView="130" workbookViewId="0">
      <selection activeCell="G28" sqref="G28:J28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5" t="s">
        <v>197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2">
      <c r="B2" s="13" t="s">
        <v>8</v>
      </c>
      <c r="C2" s="71" t="s">
        <v>48</v>
      </c>
      <c r="D2" s="71"/>
      <c r="E2" s="13" t="s">
        <v>7</v>
      </c>
      <c r="F2" s="66">
        <v>45939</v>
      </c>
      <c r="G2" s="66"/>
      <c r="H2" s="66"/>
      <c r="I2" s="66"/>
      <c r="J2" s="66"/>
    </row>
    <row r="3" spans="1:10" ht="30" customHeight="1" x14ac:dyDescent="0.2">
      <c r="B3" s="13" t="s">
        <v>9</v>
      </c>
      <c r="C3" s="71" t="s">
        <v>68</v>
      </c>
      <c r="D3" s="71"/>
      <c r="E3" s="13" t="s">
        <v>6</v>
      </c>
      <c r="F3" s="71" t="s">
        <v>176</v>
      </c>
      <c r="G3" s="71"/>
      <c r="H3" s="71"/>
      <c r="I3" s="71"/>
      <c r="J3" s="7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1"/>
      <c r="B5" s="67" t="s">
        <v>0</v>
      </c>
      <c r="C5" s="68"/>
      <c r="D5" s="68"/>
      <c r="E5" s="59" t="s">
        <v>1</v>
      </c>
      <c r="F5" s="59"/>
      <c r="G5" s="59"/>
      <c r="H5" s="59"/>
      <c r="I5" s="59" t="s">
        <v>2</v>
      </c>
      <c r="J5" s="60"/>
    </row>
    <row r="6" spans="1:10" ht="24.95" customHeight="1" thickBot="1" x14ac:dyDescent="0.25">
      <c r="A6" s="11"/>
      <c r="B6" s="69"/>
      <c r="C6" s="70"/>
      <c r="D6" s="70"/>
      <c r="E6" s="12" t="s">
        <v>3</v>
      </c>
      <c r="F6" s="12" t="s">
        <v>4</v>
      </c>
      <c r="G6" s="12" t="s">
        <v>23</v>
      </c>
      <c r="H6" s="12" t="s">
        <v>24</v>
      </c>
      <c r="I6" s="61"/>
      <c r="J6" s="62"/>
    </row>
    <row r="7" spans="1:10" ht="24.95" customHeight="1" thickBot="1" x14ac:dyDescent="0.25">
      <c r="A7" s="11"/>
      <c r="B7" s="57" t="s">
        <v>21</v>
      </c>
      <c r="C7" s="58"/>
      <c r="D7" s="58"/>
      <c r="E7" s="29" t="s">
        <v>18</v>
      </c>
      <c r="F7" s="29" t="s">
        <v>19</v>
      </c>
      <c r="G7" s="29" t="s">
        <v>22</v>
      </c>
      <c r="H7" s="29" t="s">
        <v>20</v>
      </c>
      <c r="I7" s="63" t="s">
        <v>25</v>
      </c>
      <c r="J7" s="64"/>
    </row>
    <row r="8" spans="1:10" ht="30" customHeight="1" x14ac:dyDescent="0.2">
      <c r="A8" s="11"/>
      <c r="B8" s="42" t="s">
        <v>187</v>
      </c>
      <c r="C8" s="43"/>
      <c r="D8" s="43"/>
      <c r="E8" s="43"/>
      <c r="F8" s="43"/>
      <c r="G8" s="43"/>
      <c r="H8" s="43"/>
      <c r="I8" s="43"/>
      <c r="J8" s="44"/>
    </row>
    <row r="9" spans="1:10" ht="30" customHeight="1" x14ac:dyDescent="0.2">
      <c r="A9" s="11"/>
      <c r="B9" s="38" t="s">
        <v>180</v>
      </c>
      <c r="C9" s="39"/>
      <c r="D9" s="39"/>
      <c r="E9" s="9">
        <v>5</v>
      </c>
      <c r="F9" s="27">
        <v>3.75</v>
      </c>
      <c r="G9" s="31">
        <f>IFERROR(F9/E9,"")</f>
        <v>0.75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7"/>
      <c r="J9" s="48"/>
    </row>
    <row r="10" spans="1:10" ht="30" customHeight="1" x14ac:dyDescent="0.2">
      <c r="A10" s="11"/>
      <c r="B10" s="38" t="s">
        <v>181</v>
      </c>
      <c r="C10" s="39"/>
      <c r="D10" s="39"/>
      <c r="E10" s="9">
        <v>5</v>
      </c>
      <c r="F10" s="37">
        <v>4</v>
      </c>
      <c r="G10" s="31">
        <f t="shared" ref="G10:G24" si="0">IFERROR(F10/E10,"")</f>
        <v>0.8</v>
      </c>
      <c r="H10" s="32" t="str">
        <f t="shared" ref="H10:H24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7"/>
      <c r="J10" s="48"/>
    </row>
    <row r="11" spans="1:10" ht="30" customHeight="1" x14ac:dyDescent="0.2">
      <c r="A11" s="11"/>
      <c r="B11" s="38" t="s">
        <v>182</v>
      </c>
      <c r="C11" s="39"/>
      <c r="D11" s="39"/>
      <c r="E11" s="9">
        <v>5</v>
      </c>
      <c r="F11" s="37">
        <v>4</v>
      </c>
      <c r="G11" s="31">
        <f t="shared" si="0"/>
        <v>0.8</v>
      </c>
      <c r="H11" s="32" t="str">
        <f t="shared" si="1"/>
        <v>جيد جداً</v>
      </c>
      <c r="I11" s="47"/>
      <c r="J11" s="48"/>
    </row>
    <row r="12" spans="1:10" ht="30" customHeight="1" x14ac:dyDescent="0.2">
      <c r="A12" s="11"/>
      <c r="B12" s="38" t="s">
        <v>183</v>
      </c>
      <c r="C12" s="39"/>
      <c r="D12" s="39"/>
      <c r="E12" s="9">
        <v>5</v>
      </c>
      <c r="F12" s="37">
        <v>3.75</v>
      </c>
      <c r="G12" s="31">
        <f t="shared" si="0"/>
        <v>0.75</v>
      </c>
      <c r="H12" s="32" t="str">
        <f t="shared" si="1"/>
        <v>جيد</v>
      </c>
      <c r="I12" s="47"/>
      <c r="J12" s="48"/>
    </row>
    <row r="13" spans="1:10" ht="30" customHeight="1" x14ac:dyDescent="0.2">
      <c r="A13" s="11"/>
      <c r="B13" s="38" t="s">
        <v>184</v>
      </c>
      <c r="C13" s="39"/>
      <c r="D13" s="39"/>
      <c r="E13" s="9">
        <v>5</v>
      </c>
      <c r="F13" s="37">
        <v>3.75</v>
      </c>
      <c r="G13" s="31">
        <f t="shared" si="0"/>
        <v>0.75</v>
      </c>
      <c r="H13" s="32" t="str">
        <f t="shared" si="1"/>
        <v>جيد</v>
      </c>
      <c r="I13" s="47"/>
      <c r="J13" s="48"/>
    </row>
    <row r="14" spans="1:10" ht="30" customHeight="1" thickBot="1" x14ac:dyDescent="0.25">
      <c r="A14" s="11"/>
      <c r="B14" s="45" t="s">
        <v>185</v>
      </c>
      <c r="C14" s="46"/>
      <c r="D14" s="46"/>
      <c r="E14" s="33">
        <v>5</v>
      </c>
      <c r="F14" s="37">
        <v>3.75</v>
      </c>
      <c r="G14" s="34">
        <f t="shared" si="0"/>
        <v>0.75</v>
      </c>
      <c r="H14" s="35" t="str">
        <f t="shared" si="1"/>
        <v>جيد</v>
      </c>
      <c r="I14" s="49"/>
      <c r="J14" s="50"/>
    </row>
    <row r="15" spans="1:10" ht="30" customHeight="1" x14ac:dyDescent="0.2">
      <c r="A15" s="11"/>
      <c r="B15" s="42" t="s">
        <v>188</v>
      </c>
      <c r="C15" s="43"/>
      <c r="D15" s="43"/>
      <c r="E15" s="43"/>
      <c r="F15" s="43"/>
      <c r="G15" s="43"/>
      <c r="H15" s="43"/>
      <c r="I15" s="43"/>
      <c r="J15" s="44"/>
    </row>
    <row r="16" spans="1:10" ht="30" customHeight="1" x14ac:dyDescent="0.2">
      <c r="A16" s="11"/>
      <c r="B16" s="38" t="s">
        <v>186</v>
      </c>
      <c r="C16" s="39"/>
      <c r="D16" s="39"/>
      <c r="E16" s="9">
        <v>5</v>
      </c>
      <c r="F16" s="27">
        <v>3.75</v>
      </c>
      <c r="G16" s="31">
        <f t="shared" si="0"/>
        <v>0.75</v>
      </c>
      <c r="H16" s="32" t="str">
        <f t="shared" si="1"/>
        <v>جيد</v>
      </c>
      <c r="I16" s="47"/>
      <c r="J16" s="48"/>
    </row>
    <row r="17" spans="1:10" ht="30" customHeight="1" x14ac:dyDescent="0.2">
      <c r="A17" s="11"/>
      <c r="B17" s="38" t="s">
        <v>190</v>
      </c>
      <c r="C17" s="39"/>
      <c r="D17" s="39"/>
      <c r="E17" s="9">
        <v>5</v>
      </c>
      <c r="F17" s="37">
        <v>3.75</v>
      </c>
      <c r="G17" s="31">
        <f t="shared" si="0"/>
        <v>0.75</v>
      </c>
      <c r="H17" s="32" t="str">
        <f t="shared" si="1"/>
        <v>جيد</v>
      </c>
      <c r="I17" s="47"/>
      <c r="J17" s="48"/>
    </row>
    <row r="18" spans="1:10" ht="39.950000000000003" customHeight="1" x14ac:dyDescent="0.2">
      <c r="A18" s="11"/>
      <c r="B18" s="38" t="s">
        <v>196</v>
      </c>
      <c r="C18" s="39"/>
      <c r="D18" s="39"/>
      <c r="E18" s="9">
        <v>5</v>
      </c>
      <c r="F18" s="37">
        <v>3.75</v>
      </c>
      <c r="G18" s="31">
        <f t="shared" si="0"/>
        <v>0.75</v>
      </c>
      <c r="H18" s="32" t="str">
        <f t="shared" si="1"/>
        <v>جيد</v>
      </c>
      <c r="I18" s="47"/>
      <c r="J18" s="48"/>
    </row>
    <row r="19" spans="1:10" ht="39.950000000000003" customHeight="1" x14ac:dyDescent="0.2">
      <c r="A19" s="11"/>
      <c r="B19" s="38" t="s">
        <v>191</v>
      </c>
      <c r="C19" s="39"/>
      <c r="D19" s="39"/>
      <c r="E19" s="9"/>
      <c r="F19" s="27"/>
      <c r="G19" s="31"/>
      <c r="H19" s="32"/>
      <c r="I19" s="47"/>
      <c r="J19" s="48"/>
    </row>
    <row r="20" spans="1:10" ht="30" customHeight="1" x14ac:dyDescent="0.2">
      <c r="A20" s="11"/>
      <c r="B20" s="40" t="s">
        <v>192</v>
      </c>
      <c r="C20" s="41"/>
      <c r="D20" s="41"/>
      <c r="E20" s="9">
        <v>5</v>
      </c>
      <c r="F20" s="27">
        <v>3.5</v>
      </c>
      <c r="G20" s="31">
        <f t="shared" si="0"/>
        <v>0.7</v>
      </c>
      <c r="H20" s="32" t="str">
        <f t="shared" si="1"/>
        <v>جيد</v>
      </c>
      <c r="I20" s="47"/>
      <c r="J20" s="48"/>
    </row>
    <row r="21" spans="1:10" ht="30" customHeight="1" x14ac:dyDescent="0.2">
      <c r="A21" s="11"/>
      <c r="B21" s="40" t="s">
        <v>193</v>
      </c>
      <c r="C21" s="41"/>
      <c r="D21" s="41"/>
      <c r="E21" s="9">
        <v>5</v>
      </c>
      <c r="F21" s="37">
        <v>3.5</v>
      </c>
      <c r="G21" s="31">
        <f t="shared" si="0"/>
        <v>0.7</v>
      </c>
      <c r="H21" s="32" t="str">
        <f t="shared" si="1"/>
        <v>جيد</v>
      </c>
      <c r="I21" s="47"/>
      <c r="J21" s="48"/>
    </row>
    <row r="22" spans="1:10" ht="30" customHeight="1" x14ac:dyDescent="0.2">
      <c r="A22" s="11"/>
      <c r="B22" s="40" t="s">
        <v>194</v>
      </c>
      <c r="C22" s="41"/>
      <c r="D22" s="41"/>
      <c r="E22" s="9">
        <v>5</v>
      </c>
      <c r="F22" s="37">
        <v>3.5</v>
      </c>
      <c r="G22" s="31">
        <f t="shared" si="0"/>
        <v>0.7</v>
      </c>
      <c r="H22" s="32" t="str">
        <f t="shared" si="1"/>
        <v>جيد</v>
      </c>
      <c r="I22" s="47"/>
      <c r="J22" s="48"/>
    </row>
    <row r="23" spans="1:10" ht="30" customHeight="1" thickBot="1" x14ac:dyDescent="0.25">
      <c r="A23" s="11"/>
      <c r="B23" s="53" t="s">
        <v>195</v>
      </c>
      <c r="C23" s="54"/>
      <c r="D23" s="54"/>
      <c r="E23" s="33">
        <v>5</v>
      </c>
      <c r="F23" s="37">
        <v>3.5</v>
      </c>
      <c r="G23" s="34">
        <f t="shared" si="0"/>
        <v>0.7</v>
      </c>
      <c r="H23" s="35" t="str">
        <f t="shared" si="1"/>
        <v>جيد</v>
      </c>
      <c r="I23" s="49"/>
      <c r="J23" s="50"/>
    </row>
    <row r="24" spans="1:10" ht="39.950000000000003" customHeight="1" thickBot="1" x14ac:dyDescent="0.25">
      <c r="A24" s="11"/>
      <c r="B24" s="55" t="s">
        <v>189</v>
      </c>
      <c r="C24" s="56"/>
      <c r="D24" s="56"/>
      <c r="E24" s="10">
        <v>5</v>
      </c>
      <c r="F24" s="37">
        <v>3.75</v>
      </c>
      <c r="G24" s="36">
        <f t="shared" si="0"/>
        <v>0.75</v>
      </c>
      <c r="H24" s="28" t="str">
        <f t="shared" si="1"/>
        <v>جيد</v>
      </c>
      <c r="I24" s="51"/>
      <c r="J24" s="52"/>
    </row>
    <row r="25" spans="1:10" ht="30" customHeight="1" thickBot="1" x14ac:dyDescent="0.25">
      <c r="A25" s="4"/>
      <c r="B25" s="85" t="s">
        <v>5</v>
      </c>
      <c r="C25" s="86"/>
      <c r="D25" s="86"/>
      <c r="E25" s="30">
        <f>SUM(E8:E24)</f>
        <v>70</v>
      </c>
      <c r="F25" s="30">
        <f>SUM(F8:F24)</f>
        <v>52</v>
      </c>
      <c r="G25" s="74"/>
      <c r="H25" s="75"/>
      <c r="I25" s="75"/>
      <c r="J25" s="76"/>
    </row>
    <row r="26" spans="1:10" ht="30" customHeight="1" thickBot="1" x14ac:dyDescent="0.25">
      <c r="A26" s="4"/>
      <c r="B26" s="87" t="s">
        <v>54</v>
      </c>
      <c r="C26" s="88"/>
      <c r="D26" s="88"/>
      <c r="E26" s="83">
        <f>F25/E25/100*100</f>
        <v>0.74285714285714288</v>
      </c>
      <c r="F26" s="83"/>
      <c r="G26" s="83"/>
      <c r="H26" s="83"/>
      <c r="I26" s="83"/>
      <c r="J26" s="84"/>
    </row>
    <row r="27" spans="1:10" ht="30" customHeight="1" thickBot="1" x14ac:dyDescent="0.25">
      <c r="A27" s="4"/>
      <c r="B27" s="87" t="s">
        <v>55</v>
      </c>
      <c r="C27" s="88"/>
      <c r="D27" s="88"/>
      <c r="E27" s="81" t="str">
        <f>_xlfn.IFS(E26&gt;=90%,"ممتاز",E26&gt;=80%,"جيد جداً",E26&gt;=70%,"جيد",E26&gt;=60%,"مقبول",E26&lt;60%,"راسب")</f>
        <v>جيد</v>
      </c>
      <c r="F27" s="81"/>
      <c r="G27" s="81"/>
      <c r="H27" s="81"/>
      <c r="I27" s="81"/>
      <c r="J27" s="82"/>
    </row>
    <row r="28" spans="1:10" ht="42" customHeight="1" x14ac:dyDescent="0.2">
      <c r="B28" s="77" t="s">
        <v>174</v>
      </c>
      <c r="C28" s="77"/>
      <c r="D28" s="77"/>
      <c r="E28" s="72" t="s">
        <v>52</v>
      </c>
      <c r="F28" s="72"/>
      <c r="G28" s="79" t="s">
        <v>176</v>
      </c>
      <c r="H28" s="79"/>
      <c r="I28" s="79"/>
      <c r="J28" s="79"/>
    </row>
    <row r="29" spans="1:10" ht="51" customHeight="1" x14ac:dyDescent="0.2">
      <c r="A29" s="5"/>
      <c r="B29" s="78"/>
      <c r="C29" s="78"/>
      <c r="D29" s="78"/>
      <c r="E29" s="73" t="s">
        <v>53</v>
      </c>
      <c r="F29" s="73"/>
      <c r="G29" s="80"/>
      <c r="H29" s="80"/>
      <c r="I29" s="80"/>
      <c r="J29" s="8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3">
    <mergeCell ref="E28:F28"/>
    <mergeCell ref="E29:F29"/>
    <mergeCell ref="G25:J25"/>
    <mergeCell ref="I9:J9"/>
    <mergeCell ref="B28:D29"/>
    <mergeCell ref="G28:J28"/>
    <mergeCell ref="G29:J29"/>
    <mergeCell ref="E27:J27"/>
    <mergeCell ref="E26:J26"/>
    <mergeCell ref="B25:D25"/>
    <mergeCell ref="B26:D26"/>
    <mergeCell ref="B27:D27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B8:J8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B22:D22"/>
    <mergeCell ref="B23:D23"/>
    <mergeCell ref="B24:D24"/>
    <mergeCell ref="B21:D21"/>
    <mergeCell ref="B15:J15"/>
    <mergeCell ref="B9:D9"/>
    <mergeCell ref="B10:D10"/>
    <mergeCell ref="B11:D11"/>
    <mergeCell ref="B12:D12"/>
    <mergeCell ref="B13:D13"/>
    <mergeCell ref="B14:D14"/>
    <mergeCell ref="B16:D16"/>
    <mergeCell ref="B17:D17"/>
    <mergeCell ref="B18:D18"/>
    <mergeCell ref="B19:D19"/>
    <mergeCell ref="B20:D20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7">
    <cfRule type="expression" dxfId="21" priority="57">
      <formula>$E27="راسب"</formula>
    </cfRule>
  </conditionalFormatting>
  <conditionalFormatting sqref="E27:J27">
    <cfRule type="expression" dxfId="20" priority="60">
      <formula>$E27="جيد جداً"</formula>
    </cfRule>
    <cfRule type="expression" dxfId="19" priority="59">
      <formula>$E27="جيد"</formula>
    </cfRule>
    <cfRule type="expression" dxfId="18" priority="58">
      <formula>$E27="مقبول"</formula>
    </cfRule>
    <cfRule type="expression" dxfId="17" priority="61">
      <formula>$E27="ممتاز"</formula>
    </cfRule>
  </conditionalFormatting>
  <conditionalFormatting sqref="F9:F14">
    <cfRule type="containsText" dxfId="16" priority="4" operator="containsText" text="أدخل العلامة">
      <formula>NOT(ISERROR(SEARCH("أدخل العلامة",F9)))</formula>
    </cfRule>
  </conditionalFormatting>
  <conditionalFormatting sqref="F16:F24">
    <cfRule type="containsText" dxfId="15" priority="14" operator="containsText" text="أدخل العلامة">
      <formula>NOT(ISERROR(SEARCH("أدخل العلامة",F16)))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28:J28">
    <cfRule type="containsText" dxfId="12" priority="15" operator="containsText" text="أدخل اسم المحكم">
      <formula>NOT(ISERROR(SEARCH("أدخل اسم المحكم",G28)))</formula>
    </cfRule>
  </conditionalFormatting>
  <conditionalFormatting sqref="H9:H14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6:H24">
    <cfRule type="containsText" dxfId="5" priority="38" operator="containsText" text="أدخل العلامة">
      <formula>NOT(ISERROR(SEARCH("أدخل العلامة",H16)))</formula>
    </cfRule>
    <cfRule type="containsText" dxfId="4" priority="39" operator="containsText" text="ممتاز">
      <formula>NOT(ISERROR(SEARCH("ممتاز",H16)))</formula>
    </cfRule>
    <cfRule type="containsText" dxfId="3" priority="40" operator="containsText" text="جيد جداً">
      <formula>NOT(ISERROR(SEARCH("جيد جداً",H16)))</formula>
    </cfRule>
    <cfRule type="containsText" dxfId="2" priority="41" operator="containsText" text="جيد">
      <formula>NOT(ISERROR(SEARCH("جيد",H16)))</formula>
    </cfRule>
    <cfRule type="containsText" dxfId="1" priority="42" operator="containsText" text="مقبول">
      <formula>NOT(ISERROR(SEARCH("مقبول",H16)))</formula>
    </cfRule>
    <cfRule type="containsText" dxfId="0" priority="43" operator="containsText" text="راسب">
      <formula>NOT(ISERROR(SEARCH("راسب",H16)))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F20:F24 F16:F18 F9:F14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G28:J28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0" t="s">
        <v>62</v>
      </c>
    </row>
    <row r="3" spans="1:3" ht="20.100000000000001" customHeight="1" thickBot="1" x14ac:dyDescent="0.3">
      <c r="A3" s="2" t="s">
        <v>26</v>
      </c>
      <c r="C3" s="20" t="s">
        <v>63</v>
      </c>
    </row>
    <row r="4" spans="1:3" ht="20.100000000000001" customHeight="1" thickBot="1" x14ac:dyDescent="0.3">
      <c r="A4" s="2" t="s">
        <v>36</v>
      </c>
      <c r="C4" s="20" t="s">
        <v>64</v>
      </c>
    </row>
    <row r="5" spans="1:3" ht="20.100000000000001" customHeight="1" thickBot="1" x14ac:dyDescent="0.3">
      <c r="A5" s="2" t="s">
        <v>37</v>
      </c>
      <c r="C5" s="20" t="s">
        <v>65</v>
      </c>
    </row>
    <row r="6" spans="1:3" ht="20.100000000000001" customHeight="1" thickBot="1" x14ac:dyDescent="0.3">
      <c r="A6" s="2" t="s">
        <v>38</v>
      </c>
      <c r="C6" s="20" t="s">
        <v>66</v>
      </c>
    </row>
    <row r="7" spans="1:3" ht="20.100000000000001" customHeight="1" thickBot="1" x14ac:dyDescent="0.3">
      <c r="A7" s="2" t="s">
        <v>39</v>
      </c>
      <c r="C7" s="20" t="s">
        <v>67</v>
      </c>
    </row>
    <row r="8" spans="1:3" ht="20.100000000000001" customHeight="1" thickBot="1" x14ac:dyDescent="0.3">
      <c r="A8" s="2" t="s">
        <v>40</v>
      </c>
      <c r="C8" s="20" t="s">
        <v>68</v>
      </c>
    </row>
    <row r="9" spans="1:3" ht="20.100000000000001" customHeight="1" thickBot="1" x14ac:dyDescent="0.3">
      <c r="A9" s="2" t="s">
        <v>41</v>
      </c>
      <c r="C9" s="20" t="s">
        <v>69</v>
      </c>
    </row>
    <row r="10" spans="1:3" ht="20.100000000000001" customHeight="1" thickBot="1" x14ac:dyDescent="0.3">
      <c r="A10" s="2" t="s">
        <v>42</v>
      </c>
      <c r="C10" s="20" t="s">
        <v>70</v>
      </c>
    </row>
    <row r="11" spans="1:3" ht="20.100000000000001" customHeight="1" thickBot="1" x14ac:dyDescent="0.3">
      <c r="A11" s="2" t="s">
        <v>43</v>
      </c>
      <c r="C11" s="20" t="s">
        <v>71</v>
      </c>
    </row>
    <row r="12" spans="1:3" ht="20.100000000000001" customHeight="1" thickBot="1" x14ac:dyDescent="0.3">
      <c r="A12" s="2" t="s">
        <v>44</v>
      </c>
      <c r="C12" s="20" t="s">
        <v>72</v>
      </c>
    </row>
    <row r="13" spans="1:3" ht="20.100000000000001" customHeight="1" thickBot="1" x14ac:dyDescent="0.3">
      <c r="A13" s="2" t="s">
        <v>45</v>
      </c>
      <c r="C13" s="20" t="s">
        <v>73</v>
      </c>
    </row>
    <row r="14" spans="1:3" ht="20.100000000000001" customHeight="1" thickBot="1" x14ac:dyDescent="0.3">
      <c r="A14" s="2" t="s">
        <v>46</v>
      </c>
      <c r="C14" s="20" t="s">
        <v>74</v>
      </c>
    </row>
    <row r="15" spans="1:3" ht="20.100000000000001" customHeight="1" thickBot="1" x14ac:dyDescent="0.3">
      <c r="A15" s="2" t="s">
        <v>47</v>
      </c>
      <c r="C15" s="20" t="s">
        <v>75</v>
      </c>
    </row>
    <row r="16" spans="1:3" ht="20.100000000000001" customHeight="1" thickBot="1" x14ac:dyDescent="0.3">
      <c r="A16" s="2" t="s">
        <v>10</v>
      </c>
      <c r="C16" s="20" t="s">
        <v>76</v>
      </c>
    </row>
    <row r="17" spans="1:3" ht="20.100000000000001" customHeight="1" thickBot="1" x14ac:dyDescent="0.3">
      <c r="A17" s="2" t="s">
        <v>27</v>
      </c>
      <c r="C17" s="20" t="s">
        <v>77</v>
      </c>
    </row>
    <row r="18" spans="1:3" ht="20.100000000000001" customHeight="1" thickBot="1" x14ac:dyDescent="0.3">
      <c r="A18" s="2" t="s">
        <v>48</v>
      </c>
      <c r="C18" s="20" t="s">
        <v>78</v>
      </c>
    </row>
    <row r="19" spans="1:3" ht="20.100000000000001" customHeight="1" thickBot="1" x14ac:dyDescent="0.3">
      <c r="A19" s="2" t="s">
        <v>49</v>
      </c>
      <c r="C19" s="20" t="s">
        <v>79</v>
      </c>
    </row>
    <row r="20" spans="1:3" ht="20.100000000000001" customHeight="1" thickBot="1" x14ac:dyDescent="0.3">
      <c r="A20" s="2" t="s">
        <v>50</v>
      </c>
      <c r="C20" s="20" t="s">
        <v>80</v>
      </c>
    </row>
    <row r="21" spans="1:3" ht="20.100000000000001" customHeight="1" thickBot="1" x14ac:dyDescent="0.3">
      <c r="A21" s="2" t="s">
        <v>51</v>
      </c>
      <c r="C21" s="20" t="s">
        <v>81</v>
      </c>
    </row>
    <row r="22" spans="1:3" ht="20.100000000000001" customHeight="1" thickBot="1" x14ac:dyDescent="0.3">
      <c r="A22" s="2" t="s">
        <v>11</v>
      </c>
      <c r="C22" s="20" t="s">
        <v>82</v>
      </c>
    </row>
    <row r="23" spans="1:3" ht="20.100000000000001" customHeight="1" thickBot="1" x14ac:dyDescent="0.3">
      <c r="A23" s="2" t="s">
        <v>12</v>
      </c>
      <c r="C23" s="20" t="s">
        <v>83</v>
      </c>
    </row>
    <row r="24" spans="1:3" ht="20.100000000000001" customHeight="1" thickBot="1" x14ac:dyDescent="0.3">
      <c r="A24" s="2" t="s">
        <v>15</v>
      </c>
      <c r="C24" s="20" t="s">
        <v>84</v>
      </c>
    </row>
    <row r="25" spans="1:3" ht="20.100000000000001" customHeight="1" thickBot="1" x14ac:dyDescent="0.3">
      <c r="A25" s="2" t="s">
        <v>28</v>
      </c>
      <c r="C25" s="20" t="s">
        <v>85</v>
      </c>
    </row>
    <row r="26" spans="1:3" ht="20.100000000000001" customHeight="1" thickBot="1" x14ac:dyDescent="0.3">
      <c r="A26" s="2" t="s">
        <v>29</v>
      </c>
      <c r="C26" s="20" t="s">
        <v>86</v>
      </c>
    </row>
    <row r="27" spans="1:3" ht="20.100000000000001" customHeight="1" thickBot="1" x14ac:dyDescent="0.3">
      <c r="A27" s="2" t="s">
        <v>13</v>
      </c>
      <c r="C27" s="20" t="s">
        <v>87</v>
      </c>
    </row>
    <row r="28" spans="1:3" ht="20.100000000000001" customHeight="1" thickBot="1" x14ac:dyDescent="0.3">
      <c r="A28" s="2" t="s">
        <v>30</v>
      </c>
      <c r="C28" s="20" t="s">
        <v>88</v>
      </c>
    </row>
    <row r="29" spans="1:3" ht="20.100000000000001" customHeight="1" thickBot="1" x14ac:dyDescent="0.3">
      <c r="A29" s="2" t="s">
        <v>31</v>
      </c>
      <c r="C29" s="20" t="s">
        <v>177</v>
      </c>
    </row>
    <row r="30" spans="1:3" ht="20.100000000000001" customHeight="1" thickBot="1" x14ac:dyDescent="0.3">
      <c r="A30" s="2" t="s">
        <v>32</v>
      </c>
      <c r="C30" s="20" t="s">
        <v>178</v>
      </c>
    </row>
    <row r="31" spans="1:3" ht="20.100000000000001" customHeight="1" thickBot="1" x14ac:dyDescent="0.3">
      <c r="A31" s="2" t="s">
        <v>33</v>
      </c>
      <c r="C31" s="20" t="s">
        <v>179</v>
      </c>
    </row>
    <row r="32" spans="1:3" ht="20.100000000000001" customHeight="1" thickBot="1" x14ac:dyDescent="0.3">
      <c r="A32" s="2" t="s">
        <v>16</v>
      </c>
      <c r="C32" s="20"/>
    </row>
    <row r="33" spans="1:9" ht="20.100000000000001" customHeight="1" thickBot="1" x14ac:dyDescent="0.3">
      <c r="A33" s="2" t="s">
        <v>14</v>
      </c>
      <c r="C33" s="20"/>
    </row>
    <row r="34" spans="1:9" ht="20.100000000000001" customHeight="1" thickBot="1" x14ac:dyDescent="0.3">
      <c r="A34" s="2" t="s">
        <v>34</v>
      </c>
      <c r="C34" s="20"/>
    </row>
    <row r="35" spans="1:9" ht="20.100000000000001" customHeight="1" x14ac:dyDescent="0.2">
      <c r="A35" s="19"/>
    </row>
    <row r="36" spans="1:9" s="18" customFormat="1" ht="20.100000000000001" customHeight="1" x14ac:dyDescent="0.2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">
      <c r="A107" s="15"/>
    </row>
    <row r="108" spans="1:9" ht="20.100000000000001" customHeight="1" x14ac:dyDescent="0.2">
      <c r="A108" s="15"/>
    </row>
    <row r="109" spans="1:9" s="18" customFormat="1" ht="20.100000000000001" customHeight="1" x14ac:dyDescent="0.2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1" t="s">
        <v>89</v>
      </c>
    </row>
    <row r="200" spans="1:1" ht="20.100000000000001" customHeight="1" x14ac:dyDescent="0.2">
      <c r="A200" s="21" t="s">
        <v>90</v>
      </c>
    </row>
    <row r="201" spans="1:1" ht="20.100000000000001" customHeight="1" x14ac:dyDescent="0.2">
      <c r="A201" s="21" t="s">
        <v>91</v>
      </c>
    </row>
    <row r="202" spans="1:1" ht="20.100000000000001" customHeight="1" x14ac:dyDescent="0.2">
      <c r="A202" s="21" t="s">
        <v>92</v>
      </c>
    </row>
    <row r="203" spans="1:1" ht="20.100000000000001" customHeight="1" x14ac:dyDescent="0.2">
      <c r="A203" s="21" t="s">
        <v>93</v>
      </c>
    </row>
    <row r="204" spans="1:1" ht="20.100000000000001" customHeight="1" x14ac:dyDescent="0.2">
      <c r="A204" s="21" t="s">
        <v>94</v>
      </c>
    </row>
    <row r="205" spans="1:1" ht="20.100000000000001" customHeight="1" x14ac:dyDescent="0.2">
      <c r="A205" s="21" t="s">
        <v>95</v>
      </c>
    </row>
    <row r="206" spans="1:1" ht="20.100000000000001" customHeight="1" x14ac:dyDescent="0.2">
      <c r="A206" s="21" t="s">
        <v>96</v>
      </c>
    </row>
    <row r="207" spans="1:1" ht="20.100000000000001" customHeight="1" x14ac:dyDescent="0.2">
      <c r="A207" s="21" t="s">
        <v>97</v>
      </c>
    </row>
    <row r="208" spans="1:1" ht="20.100000000000001" customHeight="1" x14ac:dyDescent="0.2">
      <c r="A208" s="22" t="s">
        <v>98</v>
      </c>
    </row>
    <row r="209" spans="1:1" ht="20.100000000000001" customHeight="1" x14ac:dyDescent="0.2">
      <c r="A209" s="22" t="s">
        <v>99</v>
      </c>
    </row>
    <row r="210" spans="1:1" ht="20.100000000000001" customHeight="1" x14ac:dyDescent="0.2">
      <c r="A210" s="21" t="s">
        <v>100</v>
      </c>
    </row>
    <row r="211" spans="1:1" ht="20.100000000000001" customHeight="1" x14ac:dyDescent="0.2">
      <c r="A211" s="21" t="s">
        <v>101</v>
      </c>
    </row>
    <row r="212" spans="1:1" ht="20.100000000000001" customHeight="1" x14ac:dyDescent="0.2">
      <c r="A212" s="21" t="s">
        <v>175</v>
      </c>
    </row>
    <row r="213" spans="1:1" ht="20.100000000000001" customHeight="1" x14ac:dyDescent="0.2">
      <c r="A213" s="21" t="s">
        <v>102</v>
      </c>
    </row>
    <row r="214" spans="1:1" ht="20.100000000000001" customHeight="1" x14ac:dyDescent="0.2">
      <c r="A214" s="21" t="s">
        <v>103</v>
      </c>
    </row>
    <row r="215" spans="1:1" ht="20.100000000000001" customHeight="1" x14ac:dyDescent="0.2">
      <c r="A215" s="21" t="s">
        <v>104</v>
      </c>
    </row>
    <row r="216" spans="1:1" ht="20.100000000000001" customHeight="1" x14ac:dyDescent="0.2">
      <c r="A216" s="21" t="s">
        <v>105</v>
      </c>
    </row>
    <row r="217" spans="1:1" ht="20.100000000000001" customHeight="1" x14ac:dyDescent="0.2">
      <c r="A217" s="21" t="s">
        <v>106</v>
      </c>
    </row>
    <row r="218" spans="1:1" ht="20.100000000000001" customHeight="1" x14ac:dyDescent="0.2">
      <c r="A218" s="21" t="s">
        <v>107</v>
      </c>
    </row>
    <row r="219" spans="1:1" ht="20.100000000000001" customHeight="1" x14ac:dyDescent="0.2">
      <c r="A219" s="21" t="s">
        <v>108</v>
      </c>
    </row>
    <row r="220" spans="1:1" ht="20.100000000000001" customHeight="1" x14ac:dyDescent="0.2">
      <c r="A220" s="21" t="s">
        <v>109</v>
      </c>
    </row>
    <row r="221" spans="1:1" ht="20.100000000000001" customHeight="1" x14ac:dyDescent="0.2">
      <c r="A221" s="21" t="s">
        <v>110</v>
      </c>
    </row>
    <row r="222" spans="1:1" ht="20.100000000000001" customHeight="1" x14ac:dyDescent="0.2">
      <c r="A222" s="21" t="s">
        <v>111</v>
      </c>
    </row>
    <row r="223" spans="1:1" ht="20.100000000000001" customHeight="1" x14ac:dyDescent="0.2">
      <c r="A223" s="21" t="s">
        <v>112</v>
      </c>
    </row>
    <row r="224" spans="1:1" ht="20.100000000000001" customHeight="1" x14ac:dyDescent="0.2">
      <c r="A224" s="21" t="s">
        <v>176</v>
      </c>
    </row>
    <row r="225" spans="1:1" ht="20.100000000000001" customHeight="1" x14ac:dyDescent="0.2">
      <c r="A225" s="21" t="s">
        <v>113</v>
      </c>
    </row>
    <row r="226" spans="1:1" ht="20.100000000000001" customHeight="1" x14ac:dyDescent="0.2">
      <c r="A226" s="21" t="s">
        <v>114</v>
      </c>
    </row>
    <row r="227" spans="1:1" ht="20.100000000000001" customHeight="1" x14ac:dyDescent="0.2">
      <c r="A227" s="21" t="s">
        <v>115</v>
      </c>
    </row>
    <row r="228" spans="1:1" ht="20.100000000000001" customHeight="1" x14ac:dyDescent="0.2">
      <c r="A228" s="21" t="s">
        <v>116</v>
      </c>
    </row>
    <row r="229" spans="1:1" ht="20.100000000000001" customHeight="1" x14ac:dyDescent="0.2">
      <c r="A229" s="21" t="s">
        <v>117</v>
      </c>
    </row>
    <row r="230" spans="1:1" ht="20.100000000000001" customHeight="1" x14ac:dyDescent="0.2">
      <c r="A230" s="21" t="s">
        <v>118</v>
      </c>
    </row>
    <row r="231" spans="1:1" ht="20.100000000000001" customHeight="1" x14ac:dyDescent="0.2">
      <c r="A231" s="21" t="s">
        <v>119</v>
      </c>
    </row>
    <row r="232" spans="1:1" ht="20.100000000000001" customHeight="1" x14ac:dyDescent="0.2">
      <c r="A232" s="21" t="s">
        <v>120</v>
      </c>
    </row>
    <row r="233" spans="1:1" ht="20.100000000000001" customHeight="1" x14ac:dyDescent="0.2">
      <c r="A233" s="21" t="s">
        <v>121</v>
      </c>
    </row>
    <row r="234" spans="1:1" ht="20.100000000000001" customHeight="1" x14ac:dyDescent="0.2">
      <c r="A234" s="21" t="s">
        <v>122</v>
      </c>
    </row>
    <row r="235" spans="1:1" ht="20.100000000000001" customHeight="1" x14ac:dyDescent="0.2">
      <c r="A235" s="21" t="s">
        <v>123</v>
      </c>
    </row>
    <row r="236" spans="1:1" ht="20.100000000000001" customHeight="1" x14ac:dyDescent="0.2">
      <c r="A236" s="23" t="s">
        <v>124</v>
      </c>
    </row>
    <row r="237" spans="1:1" ht="20.100000000000001" customHeight="1" x14ac:dyDescent="0.2">
      <c r="A237" s="21" t="s">
        <v>125</v>
      </c>
    </row>
    <row r="238" spans="1:1" ht="20.100000000000001" customHeight="1" x14ac:dyDescent="0.2">
      <c r="A238" s="21" t="s">
        <v>126</v>
      </c>
    </row>
    <row r="239" spans="1:1" ht="20.100000000000001" customHeight="1" x14ac:dyDescent="0.2">
      <c r="A239" s="21" t="s">
        <v>127</v>
      </c>
    </row>
    <row r="240" spans="1:1" ht="20.100000000000001" customHeight="1" x14ac:dyDescent="0.2">
      <c r="A240" s="21" t="s">
        <v>128</v>
      </c>
    </row>
    <row r="241" spans="1:1" ht="20.100000000000001" customHeight="1" x14ac:dyDescent="0.2">
      <c r="A241" s="21" t="s">
        <v>129</v>
      </c>
    </row>
    <row r="242" spans="1:1" ht="20.100000000000001" customHeight="1" x14ac:dyDescent="0.2">
      <c r="A242" s="21" t="s">
        <v>130</v>
      </c>
    </row>
    <row r="243" spans="1:1" ht="20.100000000000001" customHeight="1" x14ac:dyDescent="0.2">
      <c r="A243" s="21" t="s">
        <v>131</v>
      </c>
    </row>
    <row r="244" spans="1:1" ht="20.100000000000001" customHeight="1" x14ac:dyDescent="0.2">
      <c r="A244" s="21" t="s">
        <v>132</v>
      </c>
    </row>
    <row r="245" spans="1:1" ht="20.100000000000001" customHeight="1" x14ac:dyDescent="0.2">
      <c r="A245" s="21" t="s">
        <v>133</v>
      </c>
    </row>
    <row r="246" spans="1:1" ht="20.100000000000001" customHeight="1" x14ac:dyDescent="0.2">
      <c r="A246" s="21" t="s">
        <v>134</v>
      </c>
    </row>
    <row r="247" spans="1:1" ht="20.100000000000001" customHeight="1" x14ac:dyDescent="0.2">
      <c r="A247" s="21" t="s">
        <v>135</v>
      </c>
    </row>
    <row r="248" spans="1:1" ht="20.100000000000001" customHeight="1" x14ac:dyDescent="0.2">
      <c r="A248" s="21" t="s">
        <v>126</v>
      </c>
    </row>
    <row r="249" spans="1:1" ht="20.100000000000001" customHeight="1" x14ac:dyDescent="0.2">
      <c r="A249" s="21" t="s">
        <v>136</v>
      </c>
    </row>
    <row r="250" spans="1:1" ht="20.100000000000001" customHeight="1" x14ac:dyDescent="0.2">
      <c r="A250" s="21" t="s">
        <v>137</v>
      </c>
    </row>
    <row r="251" spans="1:1" ht="20.100000000000001" customHeight="1" x14ac:dyDescent="0.2">
      <c r="A251" s="23" t="s">
        <v>138</v>
      </c>
    </row>
    <row r="252" spans="1:1" ht="20.100000000000001" customHeight="1" x14ac:dyDescent="0.2">
      <c r="A252" s="24" t="s">
        <v>139</v>
      </c>
    </row>
    <row r="253" spans="1:1" ht="20.100000000000001" customHeight="1" x14ac:dyDescent="0.2">
      <c r="A253" s="21" t="s">
        <v>140</v>
      </c>
    </row>
    <row r="254" spans="1:1" ht="20.100000000000001" customHeight="1" x14ac:dyDescent="0.2">
      <c r="A254" s="21" t="s">
        <v>141</v>
      </c>
    </row>
    <row r="255" spans="1:1" ht="20.100000000000001" customHeight="1" x14ac:dyDescent="0.2">
      <c r="A255" s="25" t="s">
        <v>142</v>
      </c>
    </row>
    <row r="256" spans="1:1" ht="20.100000000000001" customHeight="1" x14ac:dyDescent="0.2">
      <c r="A256" s="25" t="s">
        <v>143</v>
      </c>
    </row>
    <row r="257" spans="1:1" ht="20.100000000000001" customHeight="1" x14ac:dyDescent="0.2">
      <c r="A257" s="26" t="s">
        <v>144</v>
      </c>
    </row>
    <row r="258" spans="1:1" ht="20.100000000000001" customHeight="1" x14ac:dyDescent="0.2">
      <c r="A258" s="21" t="s">
        <v>145</v>
      </c>
    </row>
    <row r="259" spans="1:1" ht="20.100000000000001" customHeight="1" x14ac:dyDescent="0.2">
      <c r="A259" s="26" t="s">
        <v>146</v>
      </c>
    </row>
    <row r="260" spans="1:1" ht="20.100000000000001" customHeight="1" x14ac:dyDescent="0.2">
      <c r="A260" s="21" t="s">
        <v>147</v>
      </c>
    </row>
    <row r="261" spans="1:1" ht="20.100000000000001" customHeight="1" x14ac:dyDescent="0.2">
      <c r="A261" s="26" t="s">
        <v>148</v>
      </c>
    </row>
    <row r="262" spans="1:1" ht="20.100000000000001" customHeight="1" x14ac:dyDescent="0.2">
      <c r="A262" s="21" t="s">
        <v>149</v>
      </c>
    </row>
    <row r="263" spans="1:1" ht="20.100000000000001" customHeight="1" x14ac:dyDescent="0.2">
      <c r="A263" s="21" t="s">
        <v>150</v>
      </c>
    </row>
    <row r="264" spans="1:1" ht="20.100000000000001" customHeight="1" x14ac:dyDescent="0.2">
      <c r="A264" s="26" t="s">
        <v>151</v>
      </c>
    </row>
    <row r="265" spans="1:1" ht="20.100000000000001" customHeight="1" x14ac:dyDescent="0.2">
      <c r="A265" s="26" t="s">
        <v>152</v>
      </c>
    </row>
    <row r="266" spans="1:1" ht="20.100000000000001" customHeight="1" x14ac:dyDescent="0.2">
      <c r="A266" s="26" t="s">
        <v>153</v>
      </c>
    </row>
    <row r="267" spans="1:1" ht="20.100000000000001" customHeight="1" x14ac:dyDescent="0.2">
      <c r="A267" s="21" t="s">
        <v>154</v>
      </c>
    </row>
    <row r="268" spans="1:1" ht="20.100000000000001" customHeight="1" x14ac:dyDescent="0.2">
      <c r="A268" s="21" t="s">
        <v>155</v>
      </c>
    </row>
    <row r="269" spans="1:1" ht="20.100000000000001" customHeight="1" x14ac:dyDescent="0.2">
      <c r="A269" s="21" t="s">
        <v>156</v>
      </c>
    </row>
    <row r="270" spans="1:1" ht="20.100000000000001" customHeight="1" x14ac:dyDescent="0.2">
      <c r="A270" s="21" t="s">
        <v>157</v>
      </c>
    </row>
    <row r="271" spans="1:1" ht="20.100000000000001" customHeight="1" x14ac:dyDescent="0.2">
      <c r="A271" s="26" t="s">
        <v>158</v>
      </c>
    </row>
    <row r="272" spans="1:1" ht="20.100000000000001" customHeight="1" x14ac:dyDescent="0.2">
      <c r="A272" s="26" t="s">
        <v>159</v>
      </c>
    </row>
    <row r="273" spans="1:1" ht="20.100000000000001" customHeight="1" x14ac:dyDescent="0.2">
      <c r="A273" s="21" t="s">
        <v>160</v>
      </c>
    </row>
    <row r="274" spans="1:1" ht="20.100000000000001" customHeight="1" x14ac:dyDescent="0.2">
      <c r="A274" s="26" t="s">
        <v>161</v>
      </c>
    </row>
    <row r="275" spans="1:1" ht="20.100000000000001" customHeight="1" x14ac:dyDescent="0.2">
      <c r="A275" s="26" t="s">
        <v>162</v>
      </c>
    </row>
    <row r="276" spans="1:1" ht="20.100000000000001" customHeight="1" x14ac:dyDescent="0.2">
      <c r="A276" s="21" t="s">
        <v>163</v>
      </c>
    </row>
    <row r="277" spans="1:1" ht="20.100000000000001" customHeight="1" x14ac:dyDescent="0.2">
      <c r="A277" s="21" t="s">
        <v>164</v>
      </c>
    </row>
    <row r="278" spans="1:1" ht="20.100000000000001" customHeight="1" x14ac:dyDescent="0.2">
      <c r="A278" s="26" t="s">
        <v>165</v>
      </c>
    </row>
    <row r="279" spans="1:1" ht="20.100000000000001" customHeight="1" x14ac:dyDescent="0.2">
      <c r="A279" s="21" t="s">
        <v>166</v>
      </c>
    </row>
    <row r="280" spans="1:1" ht="20.100000000000001" customHeight="1" x14ac:dyDescent="0.2">
      <c r="A280" s="21" t="s">
        <v>167</v>
      </c>
    </row>
    <row r="281" spans="1:1" ht="20.100000000000001" customHeight="1" x14ac:dyDescent="0.2">
      <c r="A281" s="21" t="s">
        <v>168</v>
      </c>
    </row>
    <row r="282" spans="1:1" ht="20.100000000000001" customHeight="1" x14ac:dyDescent="0.2">
      <c r="A282" s="21" t="s">
        <v>169</v>
      </c>
    </row>
    <row r="283" spans="1:1" ht="20.100000000000001" customHeight="1" x14ac:dyDescent="0.2">
      <c r="A283" s="26" t="s">
        <v>170</v>
      </c>
    </row>
    <row r="284" spans="1:1" ht="20.100000000000001" customHeight="1" x14ac:dyDescent="0.2">
      <c r="A284" s="26" t="s">
        <v>171</v>
      </c>
    </row>
    <row r="285" spans="1:1" ht="20.100000000000001" customHeight="1" x14ac:dyDescent="0.2">
      <c r="A285" s="26" t="s">
        <v>172</v>
      </c>
    </row>
    <row r="286" spans="1:1" ht="20.100000000000001" customHeight="1" thickBot="1" x14ac:dyDescent="0.25">
      <c r="A286" s="21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2025-10-06T08:28:56Z</dcterms:modified>
</cp:coreProperties>
</file>