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DCB2404-898E-4AB0-AD70-4A2F45F515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4" i="2"/>
  <c r="H24" i="2" s="1"/>
  <c r="G25" i="2"/>
  <c r="H25" i="2"/>
  <c r="G26" i="2"/>
  <c r="H26" i="2"/>
  <c r="G27" i="2"/>
  <c r="H27" i="2"/>
  <c r="F28" i="2"/>
  <c r="E28" i="2"/>
  <c r="E29" i="2" s="1"/>
  <c r="E30" i="2" s="1"/>
</calcChain>
</file>

<file path=xl/sharedStrings.xml><?xml version="1.0" encoding="utf-8"?>
<sst xmlns="http://schemas.openxmlformats.org/spreadsheetml/2006/main" count="260" uniqueCount="201">
  <si>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</si>
  <si>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</si>
  <si>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</si>
  <si>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</si>
  <si>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</si>
  <si>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</si>
  <si>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</si>
  <si>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</si>
  <si>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</si>
  <si>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</si>
  <si>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</si>
  <si>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</si>
  <si>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</si>
  <si>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</si>
  <si>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</si>
  <si>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</si>
  <si>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</si>
  <si>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</si>
  <si>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</si>
  <si>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</si>
  <si>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</si>
  <si>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</si>
  <si>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</si>
  <si>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</si>
  <si>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</si>
  <si>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</si>
  <si>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</si>
  <si>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</si>
  <si>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</si>
  <si>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</si>
  <si>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</si>
  <si>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</si>
  <si>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</si>
  <si>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</si>
  <si>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</si>
  <si>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</si>
  <si>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</si>
  <si>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</si>
  <si>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</si>
  <si>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</si>
  <si>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</si>
  <si>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</si>
  <si>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</si>
  <si>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</si>
  <si>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</si>
  <si>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</si>
  <si>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</si>
  <si>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</si>
  <si>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</si>
  <si>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</si>
  <si>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</si>
  <si>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</si>
  <si>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</si>
  <si>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</si>
  <si>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</si>
  <si>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</si>
  <si>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</si>
  <si>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</si>
  <si>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</si>
  <si>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</si>
  <si>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</si>
  <si>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</si>
  <si>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</si>
  <si>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</si>
  <si>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</si>
  <si>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</si>
  <si>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</si>
  <si>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</si>
  <si>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</si>
  <si>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</si>
  <si>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</si>
  <si>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</si>
  <si>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</si>
  <si>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</si>
  <si>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</si>
  <si>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</si>
  <si>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</si>
  <si>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</si>
  <si>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</si>
  <si>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</si>
  <si>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</si>
  <si>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</si>
  <si>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</si>
  <si>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</si>
  <si>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</si>
  <si>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</si>
  <si>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</si>
  <si>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</si>
  <si>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</si>
  <si>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</si>
  <si>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</si>
  <si>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</si>
  <si>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</si>
  <si>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</si>
  <si>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</si>
  <si>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</si>
  <si>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</si>
  <si>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</si>
  <si>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</si>
  <si>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</si>
  <si>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</si>
  <si>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</si>
  <si>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</si>
  <si>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</si>
  <si>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</si>
  <si>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</si>
  <si>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</si>
  <si>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</si>
  <si>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</si>
  <si>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</si>
  <si>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</si>
  <si>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</si>
  <si>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</si>
  <si>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</si>
  <si>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</si>
  <si>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</si>
  <si>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</si>
  <si>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</si>
  <si>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</si>
  <si>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</si>
  <si>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</si>
  <si>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</si>
  <si>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</si>
  <si>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</si>
  <si>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</si>
  <si>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</si>
  <si>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</si>
  <si>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</si>
  <si>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</si>
  <si>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</si>
  <si>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</si>
  <si>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</si>
  <si>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</si>
  <si>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</si>
  <si>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</si>
  <si>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</si>
  <si>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</si>
  <si>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</si>
  <si>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</si>
  <si>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</si>
  <si>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</si>
  <si>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</si>
  <si>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</si>
  <si>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</si>
  <si>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</si>
  <si>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</si>
  <si>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</si>
  <si>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</si>
  <si>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</si>
  <si>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</si>
  <si>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</si>
  <si>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</si>
  <si>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</si>
  <si>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</si>
  <si>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</si>
  <si>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</si>
  <si>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</si>
  <si>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</si>
  <si>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</si>
  <si>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</si>
  <si>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</si>
  <si>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</si>
  <si>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</si>
  <si>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</si>
  <si>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</si>
  <si>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</si>
  <si>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</si>
  <si>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</si>
  <si>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</si>
  <si>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</si>
  <si>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</si>
  <si>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</si>
  <si>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</si>
  <si>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</si>
  <si>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</si>
  <si>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</si>
  <si>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</si>
  <si>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</si>
  <si>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</si>
  <si>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</si>
  <si>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التحرك واحتلال مناطق الانتشار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</si>
  <si>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القائد قبل بدء التحرك إلى مناطق الانتشار</t>
    </r>
  </si>
  <si>
    <t>أ. إبلاغ المرؤوسين بالبدء بتنفيذ خطة التحرك لمناطق الانتشار.</t>
  </si>
  <si>
    <t>ب. إرسال مجموعات الحماية والاستطلاع والأدلاء إلى مناطق الانتشار.</t>
  </si>
  <si>
    <t>جـ. تحميل وثائق العمليات.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</si>
  <si>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القادة والقوات أثناء التحرك لمناطق الانتشار</t>
    </r>
  </si>
  <si>
    <t>أ. التقيد بتنفيذ إجراءات التحرك حسب أمر / جدول التنقل.</t>
  </si>
  <si>
    <t>ب. سيطرة القادة على قواتهم أثناء التحرك.</t>
  </si>
  <si>
    <t>جـ. توفر الحماية للقوات أثناء التحرك.</t>
  </si>
  <si>
    <t>د. تحقيـق الاتصال بالمستـوى الأعلى والادنى.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</si>
  <si>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تجهيز وإعداد مناطق الانتشار والإجراءات المتخذة فيها.</t>
    </r>
  </si>
  <si>
    <t>أ. التأكد من توزيع عناصر الإشارة بالطريقة الصحيحة مع تقسيم منطقة الانتشار إلى قطاعات.</t>
  </si>
  <si>
    <t>ب. التأكد من الإخفاء والتمويه.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</si>
  <si>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فتح وإدامة مراكز القيادة والاتصالات والسيطرة.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</si>
  <si>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تأمين مناطق الانتشار بالاتصالات.</t>
    </r>
  </si>
  <si>
    <r>
      <t>6.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Arial"/>
        <family val="2"/>
      </rPr>
      <t>وجود تعليمات الإنـــذار.</t>
    </r>
  </si>
  <si>
    <r>
      <t>7.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الإسناد الإداري.</t>
    </r>
  </si>
  <si>
    <t>أ. التزويد (الوقود / الأرزاق / المياه، الخ..).</t>
  </si>
  <si>
    <t>ب. الإخـلاء.</t>
  </si>
  <si>
    <t>جـ. الإنقـاذ.</t>
  </si>
  <si>
    <t>د. الطرق الرئيسة والتبادلية المؤديـة إلى ومن مناطق الانتشــار.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</si>
</sst>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1" xfId="0" applyFont="1" applyBorder="1" applyAlignment="1">
      <alignment horizontal="right" vertical="center" wrapText="1" indent="2"/>
    </xf>
    <xf numFmtId="0" fontId="12" fillId="0" borderId="3" xfId="0" applyFont="1" applyBorder="1" applyAlignment="1">
      <alignment horizontal="right" vertical="center" wrapText="1" indent="2"/>
    </xf>
    <xf numFmtId="0" fontId="12" fillId="0" borderId="11" xfId="0" applyFont="1" applyBorder="1" applyAlignment="1">
      <alignment horizontal="right" vertical="center" wrapText="1" indent="2"/>
    </xf>
    <xf numFmtId="0" fontId="12" fillId="0" borderId="12" xfId="0" applyFont="1" applyBorder="1" applyAlignment="1">
      <alignment horizontal="right" vertical="center" wrapText="1" indent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167174</xdr:colOff>
      <xdr:row>31</xdr:row>
      <xdr:rowOff>145518</xdr:rowOff>
    </xdr:from>
    <xdr:to>
      <xdr:col>6</xdr:col>
      <xdr:colOff>301814</xdr:colOff>
      <xdr:row>31</xdr:row>
      <xdr:rowOff>432438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8649E4A-D445-97DB-5A3F-E26C23BB0545}"/>
                </a:ext>
              </a:extLst>
            </xdr14:cNvPr>
            <xdr14:cNvContentPartPr/>
          </xdr14:nvContentPartPr>
          <xdr14:nvPr macro=""/>
          <xdr14:xfrm>
            <a:off x="10400259276" y="12193200"/>
            <a:ext cx="134640" cy="2869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8649E4A-D445-97DB-5A3F-E26C23BB054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253156" y="12187080"/>
              <a:ext cx="146880" cy="29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219014</xdr:colOff>
      <xdr:row>31</xdr:row>
      <xdr:rowOff>45078</xdr:rowOff>
    </xdr:from>
    <xdr:to>
      <xdr:col>6</xdr:col>
      <xdr:colOff>274094</xdr:colOff>
      <xdr:row>31</xdr:row>
      <xdr:rowOff>115638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38C1DC7-FF34-A082-F164-2320341C5F4C}"/>
                </a:ext>
              </a:extLst>
            </xdr14:cNvPr>
            <xdr14:cNvContentPartPr/>
          </xdr14:nvContentPartPr>
          <xdr14:nvPr macro=""/>
          <xdr14:xfrm>
            <a:off x="10400286996" y="12092760"/>
            <a:ext cx="55080" cy="705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38C1DC7-FF34-A082-F164-2320341C5F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280876" y="12086640"/>
              <a:ext cx="673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273734</xdr:colOff>
      <xdr:row>31</xdr:row>
      <xdr:rowOff>214638</xdr:rowOff>
    </xdr:from>
    <xdr:to>
      <xdr:col>7</xdr:col>
      <xdr:colOff>284524</xdr:colOff>
      <xdr:row>31</xdr:row>
      <xdr:rowOff>457638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84077D1-7392-5B64-EBEB-9A29D113D699}"/>
                </a:ext>
              </a:extLst>
            </xdr14:cNvPr>
            <xdr14:cNvContentPartPr/>
          </xdr14:nvContentPartPr>
          <xdr14:nvPr macro=""/>
          <xdr14:xfrm>
            <a:off x="10399618476" y="12262320"/>
            <a:ext cx="668880" cy="2430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84077D1-7392-5B64-EBEB-9A29D113D69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12356" y="12256200"/>
              <a:ext cx="68112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369844</xdr:colOff>
      <xdr:row>31</xdr:row>
      <xdr:rowOff>249918</xdr:rowOff>
    </xdr:from>
    <xdr:to>
      <xdr:col>7</xdr:col>
      <xdr:colOff>433564</xdr:colOff>
      <xdr:row>31</xdr:row>
      <xdr:rowOff>493278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86950D0-F51D-6397-7411-382AF0575E1D}"/>
                </a:ext>
              </a:extLst>
            </xdr14:cNvPr>
            <xdr14:cNvContentPartPr/>
          </xdr14:nvContentPartPr>
          <xdr14:nvPr macro=""/>
          <xdr14:xfrm>
            <a:off x="10399469436" y="12297600"/>
            <a:ext cx="63720" cy="243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86950D0-F51D-6397-7411-382AF0575E1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463316" y="12291480"/>
              <a:ext cx="75960" cy="25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148094</xdr:colOff>
      <xdr:row>30</xdr:row>
      <xdr:rowOff>525048</xdr:rowOff>
    </xdr:from>
    <xdr:to>
      <xdr:col>8</xdr:col>
      <xdr:colOff>370913</xdr:colOff>
      <xdr:row>31</xdr:row>
      <xdr:rowOff>461958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8DCA22C-02D8-9F2C-92A8-829F585897FB}"/>
                </a:ext>
              </a:extLst>
            </xdr14:cNvPr>
            <xdr14:cNvContentPartPr/>
          </xdr14:nvContentPartPr>
          <xdr14:nvPr macro=""/>
          <xdr14:xfrm>
            <a:off x="10398873996" y="12041640"/>
            <a:ext cx="1539000" cy="4680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8DCA22C-02D8-9F2C-92A8-829F585897F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867876" y="12035520"/>
              <a:ext cx="1551240" cy="48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2:0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236 121 5089,'0'0'0,"0"-14"584,-4 2 32,4 12-616,-13-14 840,6 3 336,5 5 17,-10-7 63,12 13-1256,-5-4 1256,0-2-80,-2-5-39,-5 7-17,12 4-1120,-2-6 1112,-1 0-40,-2 2-32,-2 0-103,7 4-937,-2-4 776,-1 2-64,1 2-216,2 0-216,0 0-280,0 0 184,0 0-216,0 3-8,5 1 24,-5-4 16,2 14-64,1 1 88,11 2 16,-9 6-24,-5-23-16,14 25 72,5 5 40,-2 5 112,7 5 48,-24-40-272,24 40 416,0 1-120,-2-2 33,-5-2-25,-17-37-304,19 35 160,-16-1 16,13 0-88,-16-2 8,0-32-96,0 31 112,-4-3-72,-8 1-64,-5-2 24,17-27 0,-19 25-72,-6-2 40,-1-2 120,-3-2-184,29-19 96,-36 17-152,7-1-152,-7-1-513,2-2-399,34-13 1216,-33 13-2208,1-10-3065,-8 15-2345,40-18 7618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2:09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38 1488,'0'0'0,"0"-2"1592,0-2-24,0 0-935,0 4-633,0-3 184,0 0-48,0 0-56,0 0-8,0 3-72,-2-1 104,-1-2-32,-2 1 40,-2 0 48,7 2-160,-2-2 232,-3 1 128,0-1 112,0 1 72,5 1-544,-4 0 576,1-1 40,-2 1 25,1 0 31,4 0-672,-3 0 624,-4 0-136,5 0-160,-1 0-152,3 0-176,-5 0 112,1 0-80,-8 0 40,9 2-48,3-2-24,-12 3 40,10 0-24,-10 1 8,7 8 0,5-12-24,-12 3 24,7 1 24,0 9-8,0-11-24,5-2-16,-2 5 72,2 8 24,0-11 32,0 3 96,0-5-224,0 11 200,2-8 32,3 1-16,5 7 24,-10-11-240,5 3 168,11 0-87,-1 1 55,-1 1-80,-14-5-56,12 3 96,0-3-40,-7 2-16,5-2 16,-10 0-56,2 0 0,5 0 40,-4 0-40,-1 3-32,-2-3 32,0 0-32,0 0-32,0 0 8,0 3 112,0-3-56,-5 3 72,-7 0 80,5 0 8,-5 1-32,12-4-128,-12 4 120,5 0-24,-5 1-16,7-1-16,5-4-64,-12 4 96,7 8 24,-7-12-152,10 4 0,2-4 32,-5 4-160,0 0-760,0 1-1713,1-3-40,4-2 2673,0 3-6481,0-3 6481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2:11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1697 26 3736,'0'0'0,"2"-3"1761,-2 3-1761,3-4 520,2-8 192,-3 11 312,-2-1 304,0 2-1328,0-3 1361,0 2-113,0 1-248,0 0-352,0 0-648,-2 0 400,-1 0-192,1 0 25,-3 0 7,5 0-240,-7 0 368,3 3 64,-6 1-16,5 0 16,5-4-432,-4 13 280,-8-9 8,10 9-72,-10-1 40,12-12-256,-2 4 264,-3 12-88,3-12-56,-3 13-64,5-17-56,-3 4 72,3 13 24,0-13-56,5 14 0,-5-18-40,10 4 48,-5 10-72,6-11 128,3 1-40,-14-4-64,12 11-40,2-11 64,2 3 0,-2-3-24,-14 0 0,14 0 16,1 0-16,-2 0-40,-1 0 8,-12 0 32,11 0-40,-6 0 32,5 0-56,-10 0 8,0 0 56,0 0-80,0 0-16,0 0 24,-5 3 16,5-3 56,-5 4 32,-8 8 24,0-9 32,-1 8 8,14-11-96,-18 3 8,2 10 16,-3-9 32,-2 7 16,21-11-72,-17 5 120,1 6-56,0-8-16,2 1-16,14-4-32,-12 11-8,0-11 56,-1 3 56,8-3-88,5 0-16,-15 3 56,11-3 32,-10 0-208,9 0 128,5 0-8,-4 0 16,-6-1-32,5-1 80,1-1-40,4 3-24,0-4-120,-2 0-16,0 0 16,2-8 0,0 12 120,0-3-200,0-1 72,0 0 32,0 0 16,0 4 80,0-3-88,-3 1-72,-2 2-16,0 0 24,5 0 152,-16 3 0,2 1 88,0 8 16,-7-1 0,21-11-104,-23 4 176,1 15 32,-3-8-32,2 2-24,23-13-152,-22 11 136,-1-6-16,5 10 48,-1-10 32,19-5-200,-21 11 193,4-8-9,-1 0-24,4 0 0,14-3-160,-14 2 184,5-2-24,-4 0 16,6 0-24,7 0-152,-13 0 152,10-1-80,-4-2 32,-7-1-40,14 4-64,-2-4-32,-5-1 48,-5 0-40,7 0-32,5 5 56,-11-4 32,9-2-112,-10 2 56,7 1 0,5 3 24,-13-1-80,8 1 120,-14 0-112,5 4 32,14-4 40,-14 12-16,-5-1 8,-5 0-8,6 4 32,18-15-16,-23 15-24,-1 1-24,-1 1 80,6-2-56,19-15 24,-21 15 24,5-1-48,-3-3 16,5-6-8,14-5 16,-19 12-40,7-9 104,11 0 0,-14-3-24,15 0-40,-7 3-40,4-3 24,-4 0-16,3 0 80,4 0-48,-4-2 128,-1-2-104,2-2 8,1-5-16,2 11-16,-5-4-16,0-9 8,3 7 16,-3-6-56,5 12 48,-4-5-24,-3-6 48,2 10-96,-4-2 48,9 3 24,-5 0-40,-9 0 24,0 0 80,-2 4-72,16-4 8,-17 14-16,-1-2-32,-6 0 8,1 1 40,23-13 0,-23 14 0,-3-1 40,2 1-80,4-2 64,20-12-24,-19 13 88,3-9-96,-4 10 40,5-11-16,15-3-16,-15 4 96,2 0 48,6-1 16,-8 0 24,15-3-184,-11 0 96,-1 0 96,-2 0-72,-2-1 8,16 1-128,-15-2-16,4-1 16,-3 1 16,0-1-40,14 3 24,-16-3 24,1 1-80,-1 1 96,7 1-48,9 0 8,-16 0 32,11 3-80,-9 1-80,2 9 48,12-13 80,-11 4-64,-4 12-32,4-5-72,-1 1-96,12-12 264,-12 11-696,5 2-545,-7-1-1159,10-7-1737,4-5 4137,0 3-3921,0 1-2208,0-4 6129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2:11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80 137 4809,'0'0'0,"0"-16"1888,-4-1-464,4 17-1424,-5-20 1713,-7 6-25,9 1-336,-4 7-304,7 6-1048,-12-15 905,10 9-97,-13-5-96,13 6-120,2 5-592,-5-4 440,0 0-152,3 1-176,-1 2-48,3 1-64,-2-2 0,2 2-64,0 0 8,0 0-16,0 0 72,0 3-56,0 1 8,0 12-24,2-2 48,-2-14 24,3 16-32,9 4 80,-7 1 8,11 5-8,-16-26-48,12 27 176,1 4 24,1 3 48,3 1 40,-17-35-288,14 39 168,3 2 1,-7-1-105,2 1-40,-12-41-24,4 40-16,9-2-112,-9-1-161,-4-3-407,0-34 696,5 34-1552,-2-2-2113,-3-4 384,0-4-3440,0-24 6721,0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2:13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1278 850 9946,'0'0'0,"-16"-13"2144,16 13-2144,-12-5 1880,1-11-567,-1 12-441,5 0-384,7 4-488,-5-5 312,0 4-184,0-1-72,5 2-48,0 0-8,0 0-80,0 0 56,0 5 24,0 6-32,0-11 32,3 4 32,-1 12 8,3-2-8,7 2 88,-12-16-120,2 20 112,10 1 32,-8 3 96,13 0 8,-17-24-248,12 27 280,-1 0-8,1-1-87,0 1 31,-12-27-216,5 25 168,9 1 16,-10-2-32,-1-1-32,-3-23-120,5 22 48,-1 1 8,-4-3-8,5-2-24,-5-18-24,0 16 136,-2-2-24,-1-3 152,-11-6 0,14-5-264,-5 11 264,-11-11-32,-3 3-104,-2 0 16,21-3-144,-21 0 64,-7-2 80,0-2-16,-5-9-80,33 13-48,-36-11 56,4-3-80,-3-2 32,-1-1 8,36 17-16,-32-19 184,-1-1-144,0-2-56,0-1 72,33 23-56,-33-24-80,-2-3 160,-5 0 8,3-3-136,37 30 48,-40-31-56,2 0 0,8 0-88,2 1 96,28 30 48,-24-31-120,3 1-88,5-1 32,4-1-184,12 32 360,-14-32-448,7 0-152,-8-3-104,13-2-129,2 37 833,-2-37-920,-1 2-80,3 5-128,5 2-65,-5 28 1193,14-23-1176,1 2 0,6 0-144,2 1 79,-23 20 1241,26-22-1128,7 4 248,2 0 440,2 0 192,-37 18 248,45-18-112,5-2 32,5 1 32,4-1 40,-59 20 8,68-22-32,2 1 40,5-2-72,7 2 8,-82 21 56,92-23-64,2 0-32,4 1-112,4-2-216,-102 24 424,108-23-977,2 3-183,2 0 64,3 5 72,-115 15 1024,115-14-592,-3-1 264,-112 15 328</inkml:trace>
  <inkml:trace contextRef="#ctx0" brushRef="#br0" timeOffset="1">4168 199 840,'0'0'0,"0"0"0,-12 16 1000,8 1 168,-12 3-448,4-3-40,12-17-680,0 17 641,-5-2-257,-6 2-152,6 1-56,5-18-176,-2 16 96,-6 1-16,4-1-32,-1 1-8,5-17-40,-5 17 32,3-1 8,2-1 8,0-1 48,0-14-96,0 13 80,0 0 8,0-2-8,0-6-40,0-5-40,0 15 72,0-12 40,-5 1 104,-4 9 120,9-13-336,-12 3 448,-7 2 80,-4 7-56,0-10 16,23-2-488,-29 5 425,-4-1-33,-2 0-24,-7 9-72,42-13-296,-42 3 304,-3 8-16,-4-8-16,-3 8 16,52-11-288,-52 3 264,-3 10-24,3-9 64,-9 12-24,61-16-280,-59 4 280,-1 12 24,-4-5-40,-4-6 9,68-5-273,-70 15 288,-5-11-32,-7 12-72,-1-12 8,83-4-192,-91 15 128,-3-11-24,-9 9 48,-3-8-64,106-5-88,-110 13 64,-3-9-40,3 9 40,-5-9-64,115-4 0,-108 16 8,-4-5 16,-1 0-80,-6 2 80,119-13-24,-120 14 0,-2-1 0,0 1 8,2 1-8,120-15 0,-112 12 40,-1 1 0,7 0 48,3-2 0,103-11-88,-94 13 104,10-9 64,5 13-48,5-13 56,74-4-176,-63 12 168,7-9-16,0-1-72,11 1 0,45-3-80,-38 0 64,6 0 8,8 0 48,10-1-8,14 1-112,-2-2 48,-3 2-96,5-1-88,0 1-48,0 0 184,3 0-256,9-1-120,3 1-440,7 0-993,-22 0 1809,25 0-2856,8 2 295,0 1-3376,-33-3 5937</inkml:trace>
  <inkml:trace contextRef="#ctx0" brushRef="#br0" timeOffset="2">535 1264 6721,'0'0'0,"-3"-1"1720,2 0 481,1 1-2201,-8-2 1952,-1 1-255,6-1-401,1 1-200,2 1-1096,-7-2 968,-4 1-256,8 1 1,-13 0-169,16 0-544,-5 0 376,-7 0-88,8 0-136,-8 3-152,12-3 0,-5 0 24,-9 0 48,9 3-16,-13 0-48,18-3-8,-15 2 128,2 1-104,-4 0 0,2 0 184,15-3-208,-11 3-144,-1 1-616,3 0-1697,9-1-2168,0-3 4625,-3 0-8866,3 0 8866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2"/>
  <sheetViews>
    <sheetView rightToLeft="1" tabSelected="1" view="pageBreakPreview" topLeftCell="C23" zoomScale="130" zoomScaleNormal="100" zoomScaleSheetLayoutView="130" workbookViewId="0">
      <selection activeCell="E27" sqref="E27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3" t="s">
        <v>8</v>
      </c>
      <c r="C2" s="66" t="s">
        <v>44</v>
      </c>
      <c r="D2" s="66"/>
      <c r="E2" s="13" t="s">
        <v>7</v>
      </c>
      <c r="F2" s="61">
        <v>45929</v>
      </c>
      <c r="G2" s="61"/>
      <c r="H2" s="61"/>
      <c r="I2" s="61"/>
      <c r="J2" s="61"/>
    </row>
    <row r="3" spans="1:10" ht="30" customHeight="1" x14ac:dyDescent="0.3">
      <c r="B3" s="13" t="s">
        <v>9</v>
      </c>
      <c r="C3" s="66" t="s">
        <v>85</v>
      </c>
      <c r="D3" s="66"/>
      <c r="E3" s="13" t="s">
        <v>6</v>
      </c>
      <c r="F3" s="66" t="s">
        <v>122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1"/>
      <c r="B6" s="64"/>
      <c r="C6" s="65"/>
      <c r="D6" s="65"/>
      <c r="E6" s="12" t="s">
        <v>3</v>
      </c>
      <c r="F6" s="12" t="s">
        <v>4</v>
      </c>
      <c r="G6" s="12" t="s">
        <v>23</v>
      </c>
      <c r="H6" s="12" t="s">
        <v>24</v>
      </c>
      <c r="I6" s="73"/>
      <c r="J6" s="74"/>
    </row>
    <row r="7" spans="1:10" ht="24.9" customHeight="1" thickBot="1" x14ac:dyDescent="0.35">
      <c r="A7" s="11"/>
      <c r="B7" s="69" t="s">
        <v>21</v>
      </c>
      <c r="C7" s="70"/>
      <c r="D7" s="70"/>
      <c r="E7" s="30" t="s">
        <v>18</v>
      </c>
      <c r="F7" s="30" t="s">
        <v>19</v>
      </c>
      <c r="G7" s="30" t="s">
        <v>22</v>
      </c>
      <c r="H7" s="30" t="s">
        <v>20</v>
      </c>
      <c r="I7" s="75" t="s">
        <v>25</v>
      </c>
      <c r="J7" s="76"/>
    </row>
    <row r="8" spans="1:10" ht="30" customHeight="1" x14ac:dyDescent="0.3">
      <c r="A8" s="11"/>
      <c r="B8" s="87" t="s">
        <v>181</v>
      </c>
      <c r="C8" s="88"/>
      <c r="D8" s="88"/>
      <c r="E8" s="34"/>
      <c r="F8" s="35"/>
      <c r="G8" s="36"/>
      <c r="H8" s="37"/>
      <c r="I8" s="79"/>
      <c r="J8" s="80"/>
    </row>
    <row r="9" spans="1:10" ht="30" customHeight="1" x14ac:dyDescent="0.3">
      <c r="A9" s="11"/>
      <c r="B9" s="83" t="s">
        <v>182</v>
      </c>
      <c r="C9" s="84"/>
      <c r="D9" s="84"/>
      <c r="E9" s="33">
        <v>5</v>
      </c>
      <c r="F9" s="27">
        <v>4</v>
      </c>
      <c r="G9" s="31">
        <f>IFERROR(F9/E9,"")</f>
        <v>0.8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9"/>
      <c r="J9" s="50"/>
    </row>
    <row r="10" spans="1:10" ht="30" customHeight="1" x14ac:dyDescent="0.3">
      <c r="A10" s="11"/>
      <c r="B10" s="83" t="s">
        <v>183</v>
      </c>
      <c r="C10" s="84"/>
      <c r="D10" s="84"/>
      <c r="E10" s="33">
        <v>5</v>
      </c>
      <c r="F10" s="27">
        <v>3.75</v>
      </c>
      <c r="G10" s="31">
        <f t="shared" ref="G10:G27" si="0">IFERROR(F10/E10,"")</f>
        <v>0.75</v>
      </c>
      <c r="H10" s="32" t="str">
        <f t="shared" ref="H10:H2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0" customHeight="1" thickBot="1" x14ac:dyDescent="0.35">
      <c r="A11" s="11"/>
      <c r="B11" s="85" t="s">
        <v>184</v>
      </c>
      <c r="C11" s="86"/>
      <c r="D11" s="86"/>
      <c r="E11" s="41">
        <v>5</v>
      </c>
      <c r="F11" s="29">
        <v>3.75</v>
      </c>
      <c r="G11" s="39">
        <f t="shared" si="0"/>
        <v>0.75</v>
      </c>
      <c r="H11" s="40" t="str">
        <f t="shared" si="1"/>
        <v>جيد</v>
      </c>
      <c r="I11" s="51"/>
      <c r="J11" s="52"/>
    </row>
    <row r="12" spans="1:10" ht="30" customHeight="1" x14ac:dyDescent="0.3">
      <c r="A12" s="11"/>
      <c r="B12" s="87" t="s">
        <v>185</v>
      </c>
      <c r="C12" s="88"/>
      <c r="D12" s="88"/>
      <c r="E12" s="34"/>
      <c r="F12" s="35"/>
      <c r="G12" s="36"/>
      <c r="H12" s="37"/>
      <c r="I12" s="79"/>
      <c r="J12" s="80"/>
    </row>
    <row r="13" spans="1:10" ht="30" customHeight="1" x14ac:dyDescent="0.3">
      <c r="A13" s="11"/>
      <c r="B13" s="83" t="s">
        <v>186</v>
      </c>
      <c r="C13" s="84"/>
      <c r="D13" s="84"/>
      <c r="E13" s="9">
        <v>5</v>
      </c>
      <c r="F13" s="27">
        <v>3.75</v>
      </c>
      <c r="G13" s="31">
        <f t="shared" si="0"/>
        <v>0.75</v>
      </c>
      <c r="H13" s="32" t="str">
        <f t="shared" si="1"/>
        <v>جيد</v>
      </c>
      <c r="I13" s="49"/>
      <c r="J13" s="50"/>
    </row>
    <row r="14" spans="1:10" ht="30" customHeight="1" x14ac:dyDescent="0.3">
      <c r="A14" s="11"/>
      <c r="B14" s="83" t="s">
        <v>187</v>
      </c>
      <c r="C14" s="84"/>
      <c r="D14" s="84"/>
      <c r="E14" s="9">
        <v>5</v>
      </c>
      <c r="F14" s="27">
        <v>3.75</v>
      </c>
      <c r="G14" s="31">
        <f t="shared" si="0"/>
        <v>0.75</v>
      </c>
      <c r="H14" s="32" t="str">
        <f t="shared" si="1"/>
        <v>جيد</v>
      </c>
      <c r="I14" s="49"/>
      <c r="J14" s="50"/>
    </row>
    <row r="15" spans="1:10" ht="30" customHeight="1" x14ac:dyDescent="0.3">
      <c r="A15" s="11"/>
      <c r="B15" s="83" t="s">
        <v>188</v>
      </c>
      <c r="C15" s="84"/>
      <c r="D15" s="84"/>
      <c r="E15" s="9">
        <v>5</v>
      </c>
      <c r="F15" s="27">
        <v>3.75</v>
      </c>
      <c r="G15" s="31">
        <f t="shared" si="0"/>
        <v>0.75</v>
      </c>
      <c r="H15" s="32" t="str">
        <f t="shared" si="1"/>
        <v>جيد</v>
      </c>
      <c r="I15" s="49"/>
      <c r="J15" s="50"/>
    </row>
    <row r="16" spans="1:10" ht="30" customHeight="1" thickBot="1" x14ac:dyDescent="0.35">
      <c r="A16" s="11"/>
      <c r="B16" s="85" t="s">
        <v>189</v>
      </c>
      <c r="C16" s="86"/>
      <c r="D16" s="86"/>
      <c r="E16" s="38">
        <v>5</v>
      </c>
      <c r="F16" s="29">
        <v>4</v>
      </c>
      <c r="G16" s="39">
        <f t="shared" si="0"/>
        <v>0.8</v>
      </c>
      <c r="H16" s="40" t="str">
        <f t="shared" si="1"/>
        <v>جيد جداً</v>
      </c>
      <c r="I16" s="51"/>
      <c r="J16" s="52"/>
    </row>
    <row r="17" spans="1:10" ht="30" customHeight="1" x14ac:dyDescent="0.3">
      <c r="A17" s="11"/>
      <c r="B17" s="87" t="s">
        <v>190</v>
      </c>
      <c r="C17" s="88"/>
      <c r="D17" s="88"/>
      <c r="E17" s="34"/>
      <c r="F17" s="35"/>
      <c r="G17" s="36"/>
      <c r="H17" s="37"/>
      <c r="I17" s="79"/>
      <c r="J17" s="80"/>
    </row>
    <row r="18" spans="1:10" ht="36.75" customHeight="1" x14ac:dyDescent="0.3">
      <c r="A18" s="11"/>
      <c r="B18" s="83" t="s">
        <v>191</v>
      </c>
      <c r="C18" s="84"/>
      <c r="D18" s="84"/>
      <c r="E18" s="33">
        <v>5</v>
      </c>
      <c r="F18" s="27">
        <v>4</v>
      </c>
      <c r="G18" s="31">
        <f t="shared" si="0"/>
        <v>0.8</v>
      </c>
      <c r="H18" s="32" t="str">
        <f t="shared" si="1"/>
        <v>جيد جداً</v>
      </c>
      <c r="I18" s="49"/>
      <c r="J18" s="50"/>
    </row>
    <row r="19" spans="1:10" ht="30" customHeight="1" thickBot="1" x14ac:dyDescent="0.35">
      <c r="A19" s="11"/>
      <c r="B19" s="85" t="s">
        <v>192</v>
      </c>
      <c r="C19" s="86"/>
      <c r="D19" s="86"/>
      <c r="E19" s="41">
        <v>5</v>
      </c>
      <c r="F19" s="29">
        <v>3.75</v>
      </c>
      <c r="G19" s="39">
        <f t="shared" si="0"/>
        <v>0.75</v>
      </c>
      <c r="H19" s="40" t="str">
        <f t="shared" si="1"/>
        <v>جيد</v>
      </c>
      <c r="I19" s="51"/>
      <c r="J19" s="52"/>
    </row>
    <row r="20" spans="1:10" ht="30" customHeight="1" thickBot="1" x14ac:dyDescent="0.35">
      <c r="A20" s="11"/>
      <c r="B20" s="89" t="s">
        <v>193</v>
      </c>
      <c r="C20" s="90"/>
      <c r="D20" s="90"/>
      <c r="E20" s="42">
        <v>5</v>
      </c>
      <c r="F20" s="43">
        <v>3.75</v>
      </c>
      <c r="G20" s="44">
        <f t="shared" si="0"/>
        <v>0.75</v>
      </c>
      <c r="H20" s="28" t="str">
        <f t="shared" si="1"/>
        <v>جيد</v>
      </c>
      <c r="I20" s="81"/>
      <c r="J20" s="82"/>
    </row>
    <row r="21" spans="1:10" ht="30" customHeight="1" thickBot="1" x14ac:dyDescent="0.35">
      <c r="A21" s="11"/>
      <c r="B21" s="89" t="s">
        <v>194</v>
      </c>
      <c r="C21" s="90"/>
      <c r="D21" s="90"/>
      <c r="E21" s="42">
        <v>5</v>
      </c>
      <c r="F21" s="43">
        <v>3.75</v>
      </c>
      <c r="G21" s="44">
        <f t="shared" si="0"/>
        <v>0.75</v>
      </c>
      <c r="H21" s="28" t="str">
        <f t="shared" si="1"/>
        <v>جيد</v>
      </c>
      <c r="I21" s="81"/>
      <c r="J21" s="82"/>
    </row>
    <row r="22" spans="1:10" ht="30" customHeight="1" thickBot="1" x14ac:dyDescent="0.35">
      <c r="A22" s="11"/>
      <c r="B22" s="91" t="s">
        <v>195</v>
      </c>
      <c r="C22" s="92"/>
      <c r="D22" s="92"/>
      <c r="E22" s="42">
        <v>5</v>
      </c>
      <c r="F22" s="43">
        <v>3.75</v>
      </c>
      <c r="G22" s="44">
        <f t="shared" si="0"/>
        <v>0.75</v>
      </c>
      <c r="H22" s="28" t="str">
        <f t="shared" si="1"/>
        <v>جيد</v>
      </c>
      <c r="I22" s="81"/>
      <c r="J22" s="82"/>
    </row>
    <row r="23" spans="1:10" ht="30" customHeight="1" x14ac:dyDescent="0.3">
      <c r="A23" s="11"/>
      <c r="B23" s="87" t="s">
        <v>196</v>
      </c>
      <c r="C23" s="88"/>
      <c r="D23" s="88"/>
      <c r="E23" s="34"/>
      <c r="F23" s="35"/>
      <c r="G23" s="36"/>
      <c r="H23" s="37"/>
      <c r="I23" s="79"/>
      <c r="J23" s="80"/>
    </row>
    <row r="24" spans="1:10" ht="30" customHeight="1" x14ac:dyDescent="0.3">
      <c r="A24" s="11"/>
      <c r="B24" s="83" t="s">
        <v>197</v>
      </c>
      <c r="C24" s="84"/>
      <c r="D24" s="84"/>
      <c r="E24" s="9">
        <v>0</v>
      </c>
      <c r="F24" s="27" t="s">
        <v>17</v>
      </c>
      <c r="G24" s="31" t="str">
        <f t="shared" si="0"/>
        <v/>
      </c>
      <c r="H24" s="32" t="str">
        <f t="shared" si="1"/>
        <v>تم الإلغاء</v>
      </c>
      <c r="I24" s="49"/>
      <c r="J24" s="50"/>
    </row>
    <row r="25" spans="1:10" ht="30" customHeight="1" x14ac:dyDescent="0.3">
      <c r="A25" s="11"/>
      <c r="B25" s="83" t="s">
        <v>198</v>
      </c>
      <c r="C25" s="84"/>
      <c r="D25" s="84"/>
      <c r="E25" s="9">
        <v>0</v>
      </c>
      <c r="F25" s="27" t="s">
        <v>17</v>
      </c>
      <c r="G25" s="31" t="str">
        <f t="shared" si="0"/>
        <v/>
      </c>
      <c r="H25" s="32" t="str">
        <f t="shared" si="1"/>
        <v>تم الإلغاء</v>
      </c>
      <c r="I25" s="49"/>
      <c r="J25" s="50"/>
    </row>
    <row r="26" spans="1:10" ht="30" customHeight="1" x14ac:dyDescent="0.3">
      <c r="A26" s="11"/>
      <c r="B26" s="83" t="s">
        <v>199</v>
      </c>
      <c r="C26" s="84"/>
      <c r="D26" s="84"/>
      <c r="E26" s="9">
        <v>0</v>
      </c>
      <c r="F26" s="27" t="s">
        <v>17</v>
      </c>
      <c r="G26" s="31" t="str">
        <f t="shared" si="0"/>
        <v/>
      </c>
      <c r="H26" s="32" t="str">
        <f t="shared" si="1"/>
        <v>تم الإلغاء</v>
      </c>
      <c r="I26" s="49"/>
      <c r="J26" s="50"/>
    </row>
    <row r="27" spans="1:10" ht="30" customHeight="1" thickBot="1" x14ac:dyDescent="0.35">
      <c r="A27" s="11"/>
      <c r="B27" s="85" t="s">
        <v>200</v>
      </c>
      <c r="C27" s="86"/>
      <c r="D27" s="86"/>
      <c r="E27" s="38">
        <v>5</v>
      </c>
      <c r="F27" s="29">
        <v>3.75</v>
      </c>
      <c r="G27" s="39">
        <f t="shared" si="0"/>
        <v>0.75</v>
      </c>
      <c r="H27" s="40" t="str">
        <f t="shared" si="1"/>
        <v>جيد</v>
      </c>
      <c r="I27" s="51"/>
      <c r="J27" s="52"/>
    </row>
    <row r="28" spans="1:10" ht="30" customHeight="1" thickBot="1" x14ac:dyDescent="0.35">
      <c r="A28" s="4"/>
      <c r="B28" s="77" t="s">
        <v>5</v>
      </c>
      <c r="C28" s="78"/>
      <c r="D28" s="78"/>
      <c r="E28" s="10">
        <f>SUM(E8:E27)</f>
        <v>65</v>
      </c>
      <c r="F28" s="10">
        <f>SUM(F8:F27)</f>
        <v>49.5</v>
      </c>
      <c r="G28" s="46"/>
      <c r="H28" s="47"/>
      <c r="I28" s="47"/>
      <c r="J28" s="48"/>
    </row>
    <row r="29" spans="1:10" ht="30" customHeight="1" thickBot="1" x14ac:dyDescent="0.35">
      <c r="A29" s="4"/>
      <c r="B29" s="77" t="s">
        <v>54</v>
      </c>
      <c r="C29" s="78"/>
      <c r="D29" s="78"/>
      <c r="E29" s="67">
        <f>F28/E28/100*100</f>
        <v>0.7615384615384615</v>
      </c>
      <c r="F29" s="67"/>
      <c r="G29" s="67"/>
      <c r="H29" s="67"/>
      <c r="I29" s="67"/>
      <c r="J29" s="68"/>
    </row>
    <row r="30" spans="1:10" ht="30" customHeight="1" thickBot="1" x14ac:dyDescent="0.35">
      <c r="A30" s="4"/>
      <c r="B30" s="77" t="s">
        <v>55</v>
      </c>
      <c r="C30" s="78"/>
      <c r="D30" s="78"/>
      <c r="E30" s="58" t="str">
        <f>_xlfn.IFS(E29&gt;=90%,"ممتاز",E29&gt;=80%,"جيد جداً",E29&gt;=70%,"جيد",E29&gt;=60%,"مقبول",E29&lt;60%,"راسب")</f>
        <v>جيد</v>
      </c>
      <c r="F30" s="58"/>
      <c r="G30" s="58"/>
      <c r="H30" s="58"/>
      <c r="I30" s="58"/>
      <c r="J30" s="59"/>
    </row>
    <row r="31" spans="1:10" ht="42" customHeight="1" x14ac:dyDescent="0.3">
      <c r="B31" s="54" t="s">
        <v>174</v>
      </c>
      <c r="C31" s="54"/>
      <c r="D31" s="54"/>
      <c r="E31" s="53" t="s">
        <v>52</v>
      </c>
      <c r="F31" s="53"/>
      <c r="G31" s="56" t="s">
        <v>122</v>
      </c>
      <c r="H31" s="56"/>
      <c r="I31" s="56"/>
      <c r="J31" s="56"/>
    </row>
    <row r="32" spans="1:10" ht="51" customHeight="1" x14ac:dyDescent="0.3">
      <c r="A32" s="5"/>
      <c r="B32" s="55"/>
      <c r="C32" s="55"/>
      <c r="D32" s="55"/>
      <c r="E32" s="45" t="s">
        <v>53</v>
      </c>
      <c r="F32" s="45"/>
      <c r="G32" s="57"/>
      <c r="H32" s="57"/>
      <c r="I32" s="57"/>
      <c r="J32" s="57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8:D28"/>
    <mergeCell ref="B29:D29"/>
    <mergeCell ref="B30:D3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31:D32"/>
    <mergeCell ref="G31:J31"/>
    <mergeCell ref="G32:J32"/>
    <mergeCell ref="E30:J30"/>
    <mergeCell ref="B1:J1"/>
    <mergeCell ref="F2:J2"/>
    <mergeCell ref="B5:D6"/>
    <mergeCell ref="C2:D2"/>
    <mergeCell ref="C3:D3"/>
    <mergeCell ref="F3:J3"/>
    <mergeCell ref="E29:J29"/>
    <mergeCell ref="B7:D7"/>
    <mergeCell ref="E5:H5"/>
    <mergeCell ref="I5:J6"/>
    <mergeCell ref="I7:J7"/>
    <mergeCell ref="I10:J10"/>
    <mergeCell ref="E32:F32"/>
    <mergeCell ref="G28:J28"/>
    <mergeCell ref="I9:J9"/>
    <mergeCell ref="I24:J24"/>
    <mergeCell ref="I25:J25"/>
    <mergeCell ref="I26:J26"/>
    <mergeCell ref="I27:J27"/>
    <mergeCell ref="E31:F3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0">
    <cfRule type="expression" dxfId="14" priority="57">
      <formula>$E30="راسب"</formula>
    </cfRule>
  </conditionalFormatting>
  <conditionalFormatting sqref="E30:J30">
    <cfRule type="expression" dxfId="13" priority="58">
      <formula>$E30="مقبول"</formula>
    </cfRule>
    <cfRule type="expression" dxfId="12" priority="59">
      <formula>$E30="جيد"</formula>
    </cfRule>
    <cfRule type="expression" dxfId="11" priority="60">
      <formula>$E30="جيد جداً"</formula>
    </cfRule>
    <cfRule type="expression" dxfId="10" priority="61">
      <formula>$E30="ممتاز"</formula>
    </cfRule>
  </conditionalFormatting>
  <conditionalFormatting sqref="F8:F2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1:J31">
    <cfRule type="containsText" dxfId="6" priority="15" operator="containsText" text="أدخل اسم المحكم">
      <formula>NOT(ISERROR(SEARCH("أدخل اسم المحكم",G31)))</formula>
    </cfRule>
  </conditionalFormatting>
  <conditionalFormatting sqref="H8:H2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F24:F27 F18:F22 F13:F16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G31:J31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2025-10-08T17:34:47Z</dcterms:modified>
</cp:coreProperties>
</file>