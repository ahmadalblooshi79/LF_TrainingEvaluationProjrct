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DFBBD49A-D6EF-F646-A0EF-D498A8ED1D99}"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<sst xmlns="http://schemas.openxmlformats.org/spreadsheetml/2006/main" count="258" uniqueCount="202">
  <si>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</si>
  <si>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</si>
  <si>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</si>
  <si>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</si>
  <si>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</si>
  <si>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</si>
  <si>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</si>
  <si>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</si>
  <si>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</si>
  <si>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</si>
  <si>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</si>
  <si>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</si>
  <si>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</si>
  <si>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</si>
  <si>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</si>
  <si>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</si>
  <si>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</si>
  <si>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</si>
  <si>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</si>
  <si>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</si>
  <si>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</si>
  <si>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</si>
  <si>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</si>
  <si>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</si>
  <si>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</si>
  <si>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</si>
  <si>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</si>
  <si>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</si>
  <si>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</si>
  <si>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</si>
  <si>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</si>
  <si>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</si>
  <si>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</si>
  <si>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</si>
  <si>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</si>
  <si>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</si>
  <si>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</si>
  <si>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</si>
  <si>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</si>
  <si>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</si>
  <si>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</si>
  <si>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</si>
  <si>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</si>
  <si>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</si>
  <si>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</si>
  <si>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</si>
  <si>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</si>
  <si>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</si>
  <si>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</si>
  <si>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</si>
  <si>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</si>
  <si>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</si>
  <si>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</si>
  <si>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</si>
  <si>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</si>
  <si>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</si>
  <si>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</si>
  <si>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</si>
  <si>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</si>
  <si>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</si>
  <si>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</si>
  <si>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</si>
  <si>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</si>
  <si>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</si>
  <si>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</si>
  <si>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</si>
  <si>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</si>
  <si>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</si>
  <si>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</si>
  <si>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</si>
  <si>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</si>
  <si>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</si>
  <si>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</si>
  <si>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</si>
  <si>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</si>
  <si>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</si>
  <si>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</si>
  <si>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</si>
  <si>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</si>
  <si>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</si>
  <si>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</si>
  <si>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</si>
  <si>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</si>
  <si>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</si>
  <si>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</si>
  <si>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</si>
  <si>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</si>
  <si>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</si>
  <si>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</si>
  <si>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</si>
  <si>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</si>
  <si>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</si>
  <si>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</si>
  <si>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</si>
  <si>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</si>
  <si>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</si>
  <si>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</si>
  <si>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</si>
  <si>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</si>
  <si>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</si>
  <si>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</si>
  <si>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</si>
  <si>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</si>
  <si>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</si>
  <si>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</si>
  <si>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</si>
  <si>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</si>
  <si>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</si>
  <si>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</si>
  <si>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</si>
  <si>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</si>
  <si>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</si>
  <si>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</si>
  <si>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</si>
  <si>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</si>
  <si>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</si>
  <si>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</si>
  <si>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</si>
  <si>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</si>
  <si>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</si>
  <si>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</si>
  <si>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</si>
  <si>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</si>
  <si>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</si>
  <si>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</si>
  <si>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</si>
  <si>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</si>
  <si>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</si>
  <si>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</si>
  <si>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</si>
  <si>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</si>
  <si>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</si>
  <si>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</si>
  <si>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</si>
  <si>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</si>
  <si>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</si>
  <si>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</si>
  <si>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</si>
  <si>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</si>
  <si>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</si>
  <si>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</si>
  <si>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</si>
  <si>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</si>
  <si>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</si>
  <si>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</si>
  <si>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</si>
  <si>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</si>
  <si>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</si>
  <si>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</si>
  <si>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</si>
  <si>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</si>
  <si>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</si>
  <si>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</si>
  <si>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</si>
  <si>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</si>
  <si>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</si>
  <si>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</si>
  <si>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</si>
  <si>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</si>
  <si>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</si>
  <si>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</si>
  <si>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</si>
  <si>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</si>
  <si>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</si>
  <si>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</si>
  <si>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</si>
  <si>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</si>
  <si>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</si>
  <si>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</si>
  <si>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</si>
  <si>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</si>
  <si>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</si>
  <si>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</si>
  <si>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</si>
  <si>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</si>
  <si>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</si>
  <si>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</si>
  <si>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</si>
  <si>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</si>
  <si>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</si>
  <si>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</si>
  <si>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</si>
  <si>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</si>
  <si>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</si>
  <si>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</si>
  <si>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</si>
  <si>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</si>
  <si>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</si>
  <si>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</si>
  <si>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</si>
  <si>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</si>
  <si>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</si>
  <si>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</si>
  <si>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</si>
  <si>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</si>
  <si>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</si>
  <si>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</si>
  <si>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</si>
  <si>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</si>
  <si>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</si>
  <si>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t>1.</t>
    </r>
    <r>
      <rPr>
        <sz val="7"/>
        <color theme="1"/>
        <rFont val="Arial"/>
        <family val="2"/>
      </rPr>
      <t xml:space="preserve">      </t>
    </r>
    <r>
      <rPr>
        <sz val="12"/>
        <color rgb="FF000000"/>
        <rFont val="Arial"/>
        <family val="2"/>
      </rPr>
      <t xml:space="preserve"> يقوم قائد الكتيبة بإرسال التقارير باستخدام وسائل الاتصال المتوفرة.</t>
    </r>
  </si>
  <si>
    <r>
      <rPr>
        <b/>
        <sz val="14"/>
        <color rgb="FF000000"/>
        <rFont val="Arial"/>
        <family val="2"/>
      </rPr>
      <t>تقييم الكتيبة/مجموعة القتال في تمرير تقارير المعلومات</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</si>
</sst>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5">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cellXfs>
  <cellStyles count="1">
    <cellStyle name="Normal" xfId="0" builtinId="0"/>
  </cellStyles>
  <dxfs count="17">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3" Type="http://schemas.openxmlformats.org/officeDocument/2006/relationships/customXml" Target="../ink/ink2.xml" /><Relationship Id="rId2" Type="http://schemas.openxmlformats.org/officeDocument/2006/relationships/image" Target="../media/image1.png" /><Relationship Id="rId1" Type="http://schemas.openxmlformats.org/officeDocument/2006/relationships/customXml" Target="../ink/ink1.xml" /><Relationship Id="rId4"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dr:twoCellAnchor editAs="oneCell">
    <xdr:from>
      <xdr:col>7</xdr:col>
      <xdr:colOff>76750</xdr:colOff>
      <xdr:row>36</xdr:row>
      <xdr:rowOff>47577</xdr:rowOff>
    </xdr:from>
    <xdr:to>
      <xdr:col>8</xdr:col>
      <xdr:colOff>202807</xdr:colOff>
      <xdr:row>36</xdr:row>
      <xdr:rowOff>406857</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3303D68D-ED2E-E950-D8C1-D49BFC265379}"/>
                </a:ext>
              </a:extLst>
            </xdr14:cNvPr>
            <xdr14:cNvContentPartPr/>
          </xdr14:nvContentPartPr>
          <xdr14:nvPr macro=""/>
          <xdr14:xfrm>
            <a:off x="10423499993" y="18304200"/>
            <a:ext cx="780480" cy="359280"/>
          </xdr14:xfrm>
        </xdr:contentPart>
      </mc:Choice>
      <mc:Fallback>
        <xdr:pic>
          <xdr:nvPicPr>
            <xdr:cNvPr id="2" name="Ink 1">
              <a:extLst>
                <a:ext uri="{FF2B5EF4-FFF2-40B4-BE49-F238E27FC236}">
                  <a16:creationId xmlns:a16="http://schemas.microsoft.com/office/drawing/2014/main" id="{3303D68D-ED2E-E950-D8C1-D49BFC265379}"/>
                </a:ext>
              </a:extLst>
            </xdr:cNvPr>
            <xdr:cNvPicPr/>
          </xdr:nvPicPr>
          <xdr:blipFill>
            <a:blip xmlns:r="http://schemas.openxmlformats.org/officeDocument/2006/relationships" r:embed="rId2"/>
            <a:stretch>
              <a:fillRect/>
            </a:stretch>
          </xdr:blipFill>
          <xdr:spPr>
            <a:xfrm>
              <a:off x="10423490993" y="18295200"/>
              <a:ext cx="798120" cy="376920"/>
            </a:xfrm>
            <a:prstGeom prst="rect">
              <a:avLst/>
            </a:prstGeom>
          </xdr:spPr>
        </xdr:pic>
      </mc:Fallback>
    </mc:AlternateContent>
    <xdr:clientData/>
  </xdr:twoCellAnchor>
  <xdr:twoCellAnchor editAs="oneCell">
    <xdr:from>
      <xdr:col>7</xdr:col>
      <xdr:colOff>613870</xdr:colOff>
      <xdr:row>36</xdr:row>
      <xdr:rowOff>237657</xdr:rowOff>
    </xdr:from>
    <xdr:to>
      <xdr:col>8</xdr:col>
      <xdr:colOff>603127</xdr:colOff>
      <xdr:row>36</xdr:row>
      <xdr:rowOff>573177</xdr:rowOff>
    </xdr:to>
    <mc:AlternateContent xmlns:mc="http://schemas.openxmlformats.org/markup-compatibility/2006">
      <mc:Choice xmlns:xdr14="http://schemas.microsoft.com/office/excel/2010/spreadsheetDrawing" Requires="xdr14">
        <xdr:contentPart xmlns:r="http://schemas.openxmlformats.org/officeDocument/2006/relationships" r:id="rId3">
          <xdr14:nvContentPartPr>
            <xdr14:cNvPr id="3" name="Ink 2">
              <a:extLst>
                <a:ext uri="{FF2B5EF4-FFF2-40B4-BE49-F238E27FC236}">
                  <a16:creationId xmlns:a16="http://schemas.microsoft.com/office/drawing/2014/main" id="{61A191C6-0BB2-8DED-0AD3-BC4BAAACFABE}"/>
                </a:ext>
              </a:extLst>
            </xdr14:cNvPr>
            <xdr14:cNvContentPartPr/>
          </xdr14:nvContentPartPr>
          <xdr14:nvPr macro=""/>
          <xdr14:xfrm>
            <a:off x="10423099673" y="18494280"/>
            <a:ext cx="643680" cy="335520"/>
          </xdr14:xfrm>
        </xdr:contentPart>
      </mc:Choice>
      <mc:Fallback>
        <xdr:pic>
          <xdr:nvPicPr>
            <xdr:cNvPr id="3" name="Ink 2">
              <a:extLst>
                <a:ext uri="{FF2B5EF4-FFF2-40B4-BE49-F238E27FC236}">
                  <a16:creationId xmlns:a16="http://schemas.microsoft.com/office/drawing/2014/main" id="{61A191C6-0BB2-8DED-0AD3-BC4BAAACFABE}"/>
                </a:ext>
              </a:extLst>
            </xdr:cNvPr>
            <xdr:cNvPicPr/>
          </xdr:nvPicPr>
          <xdr:blipFill>
            <a:blip xmlns:r="http://schemas.openxmlformats.org/officeDocument/2006/relationships" r:embed="rId4"/>
            <a:stretch>
              <a:fillRect/>
            </a:stretch>
          </xdr:blipFill>
          <xdr:spPr>
            <a:xfrm>
              <a:off x="10423090673" y="18485640"/>
              <a:ext cx="661320" cy="35316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3T15:11:16.627"/>
    </inkml:context>
    <inkml:brush xml:id="br0">
      <inkml:brushProperty name="width" value="0.05" units="cm"/>
      <inkml:brushProperty name="height" value="0.05" units="cm"/>
    </inkml:brush>
  </inkml:definitions>
  <inkml:trace contextRef="#ctx0" brushRef="#br0">1500 995 4408,'0'0'0,"-2"-12"2953,-2-3-1057,-6-4-1159,6 3-329,1 2-240,0 1 0,1 1-64,2 12-104,-1-11 104,0-1-64,-3 2-40,4-1 0,-1 0 144,1 1-40,0 10-104,0-10 112,0-1-8,0 1-144,0 0 104,2 5 8,-2-7-16,0 12-56,3-10 8,-1 5-48,-2-7-24,4 8-16,-1-10 80,0 10-64,-3 4 64,2-12-16,2 7 24,-1-6-64,1 6 112,5-8-48,-6 8-48,-3 5 40,3-13-16,8 3-80,-7 0-56,5-2 128,-5 0-48,12-1-32,-16 13 104,10-15-72,2 1-64,4-2 8,-3 1 8,1-2 104,2 1-88,-16 16 104,17-18-112,4 2 88,1-2-184,-2 1 152,2 0-32,-2 1-40,-20 16 128,23-15-40,1 0-48,-2 1 40,-1 2-80,-2 0 15,1 3 9,-20 9 104,20-5-112,-2-6 112,1 7-96,-1 1-72,0-1-16,0 3-56,-18 1 240,17-1-144,-2 1-64,0 0-8,-2 2 152,0 8 0,0-7 96,-13-3-32,12 14 112,1-4-104,-1 2 120,-1 3-72,-1 1-8,-7 1 24,-3-17-72,12 18 24,-9 1 112,0 2-16,0 0 0,-1 2-16,-2 0-48,0-23-56,-1 24 40,-3-3-40,-6 1-24,0 0-16,-2-4 0,-1-1 32,13-17 8,-16 16 32,-1 0 112,-2-2-88,0 0 72,0-2-16,-5 0-56,24-12-56,-22 12 160,-2-1-15,3-1-33,-1-7-8,1 9-32,-1-9-56,22-3-16,-23 3 32,-1 1 8,0-1-48,-2 0-24,0-3 0,-2 0-64,28 0 96,-29 0-72,-1-1-16,-1-3-8,0-1-9,0-4-7,0 5 48,31 4 64,-34-5-48,2-7 24,-2 9 0,2-8 16,-2 0-8,1 6 8,33 5 8,-34-13 0,-2 4-8,-2-1-8,0 0 8,-2 1 16,2 4-8,38 5 0,-37-13 0,-3 8-8,2-8 8,-3 3 8,1 6-24,1-10 56,39 14-40,-40-4 40,1-10 16,0 5 40,2 4-24,0-8 40,2 3-7,35 10-105,-32-11 104,1 2-16,2-1-16,1-1 0,2 1 16,1-1 16,25 11-104,-25-11 128,2 0 16,3 1 0,2-2 40,2 0 8,3 1-8,13 11-184,-12-12 136,2-1-56,7-1-104,-2 0-32,1-2-16,1 1-32,3 15 104,-2-16-120,2 2-8,3-4-32,1 0-24,6 0 24,1-2-8,-11 20 168,11-18-160,3-2-16,3 2 0,0 2-9,4-1 9,1 0 32,-22 17 144,23-15-120,1 0 24,-1 1 24,3 1 40,0-1-8,2 2 24,-28 12 16,30-12-8,1 2-8,1 0 32,3 7-24,0-7-8,-35 10 16,36-1-56,-1-2-16,1 2 8,-1 1 0,1 0 32,-1 4 0,-35-4 32,35 9-40,-2-5 32,1 10 0,-3-2 8,0 0 8,2 0-8,-33-12 0,31 12 16,-1 1 8,-3-1-8,0 3 0,-2-2-16,-1 1-8,-24-14 8,21 14-16,0-1-16,-2 0 16,-2 0 8,-2 3 0,-2-2 32,-13-14-24,10 14 80,-6 2 16,6-2 56,-10 2 56,0 0 32,0-1 88,0-15-328,-1 17 329,-11 0 23,0-1-16,-5 4-40,-3-2-40,-1 1-24,21-19-232,-27 19 184,0 0 8,-2 2 8,-2-1-24,-4 0 0,-2 2-56,37-22-120,-41 21 184,0 1-80,-1 0 8,-3-1 24,-1 1-112,-3-1 24,49-21-48,-49 23 128,-2-1-48,-2 0 24,-1 2 0,-3 0-128,2 0-16,55-24 40,-52 23 0,-4-1 32,3-2 16,0-1 16,1-2-88,4-1-96,48-16 120,-44 14-168,3-1-24,4-2-80,2-8-104,3 11-120,6-12-344,26-2 840,-24 4-1040,4-1-297,6-3-231,0 0 64,4-1 127,7-10 409,3 11 968,-5-11-584,2-2-1576,3 13 2160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3T15:11:17.461"/>
    </inkml:context>
    <inkml:brush xml:id="br0">
      <inkml:brushProperty name="width" value="0.05" units="cm"/>
      <inkml:brushProperty name="height" value="0.05" units="cm"/>
    </inkml:brush>
  </inkml:definitions>
  <inkml:trace contextRef="#ctx0" brushRef="#br0">1529 62 2320,'0'0'0,"4"-3"3025,6 0-2057,-7-2-496,7 1-288,-10 4-184,0-1 40,2 1-48,-2 0 40,0 0 96,0 0 56,0 3 136,0-3-320,0 3 424,-2 1-24,-2 7 48,-8-8-72,7 10-127,-8-3-89,13-10-160,-13 12 88,-1 0-64,-4 1 48,-2 1 32,1 2-48,-3 0-16,22-16-40,-23 16 16,-1 1-16,-2 0 16,-2 1-16,2 0-8,-3 0-40,29-18 48,-28 17-40,3-3 40,-1-1 16,2-1-88,0-2 56,1-7-48,23-3 64,-23 12-72,2-8 64,0 6 0,0-8 0,0 0 0,0 1-8,21-3 16,-21 2-8,1 1 32,-2 0-32,2 0 8,0-1-8,-1 0-16,21-2 24,-20 3 16,-3-1 56,1 1-48,0-3-16,0 2 8,2 0-56,20-2 40,-21 0 16,0 3 24,0-1 16,2-2 16,0 2 48,2-2-32,17 0-88,-16 0 128,-1 0 16,3 0 0,0 0 40,5-1 24,-1-2-8,10 3-200,-3-4 264,-9 1 24,8-2-40,0 1-16,0 1-80,-1-1-64,5 4-88,-10-5 88,8 2-32,-3-2-16,-5 0-40,7 1 0,-9 1 8,12 3-8,-11-4 0,0 2 16,-1-1-16,-1 2 16,-1 0-32,-2 0 16,16 1 0,-17 0 0,-1 0 16,0 0-16,-2 0-16,1 2 40,0 1-32,19-3 8,-18 0 16,0 2-8,0-2 24,1 2 0,1-2 8,2 0 8,14 0-48,-14 0 72,2 0 40,0 0 16,1-2 32,1-2-8,6 1-40,4 3-112,-11-5 64,7-5-56,1 7-72,-1-8-56,0 0-48,1 0-56,3 11 224,-2-13-264,1-1 16,1-3 24,0-1 8,4-1 88,-1 0-16,-3 19 144,11-22-120,-7 3 48,8 0-32,-9 0 32,10 1 24,-10 1 0,-3 17 48,13-16 24,-9 2 8,5 2 8,-5 2 16,7 6-16,-9-7-16,-2 11-24,11-4 16,-9-1-8,2 2-48,6-1-8,-8 2-48,0 1-16,-2 1 112,3 0-104,-1 0 16,-2 2 16,2 2 72,-2 5 32,0-5 48,0-4-80,0 12 120,0 0-8,-1 1 0,-2 4-48,-7 2 0,7 2-16,3-21-48,-14 24 24,4 3 16,-1 3-8,0 1-24,-1 5 0,-2 1-8,14-37 0,-16 37 32,2 3-16,-1-2 24,1 3 24,0 1 0,-2 1 80,16-43-144,-14 42 160,4-1 40,6-2 40,3-3 8,1-4 32,4 0 72,-4-32-352,16 26 441,1-1 87,4-2 80,5-3-32,3-2-40,4-1-120,-33-17-416,41 13 352,4-2-48,5-7-80,9 6-16,1-10-72,5 3-8,-65-3-128,72 0 96,4 0-24,5-4-56,7 1-176,-1-8-216,4 6-424,-91 5 800,94-13-1176,2 2-376,6 0-377,-1-1-439,5-1-513,2 0 400,-108 13 2481,108-14-1680,3-3-1072,-111 17 2752</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C23" zoomScale="130" zoomScaleNormal="100" zoomScaleSheetLayoutView="130" workbookViewId="0">
      <selection activeCell="G37" sqref="G37:J37"/>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71" t="s">
        <v>201</v>
      </c>
      <c r="C1" s="71"/>
      <c r="D1" s="71"/>
      <c r="E1" s="71"/>
      <c r="F1" s="71"/>
      <c r="G1" s="71"/>
      <c r="H1" s="71"/>
      <c r="I1" s="71"/>
      <c r="J1" s="71"/>
    </row>
    <row r="2" spans="1:10" ht="30" customHeight="1" x14ac:dyDescent="0.2">
      <c r="B2" s="13" t="s">
        <v>8</v>
      </c>
      <c r="C2" s="77" t="s">
        <v>40</v>
      </c>
      <c r="D2" s="77"/>
      <c r="E2" s="13" t="s">
        <v>7</v>
      </c>
      <c r="F2" s="72">
        <v>45953</v>
      </c>
      <c r="G2" s="72"/>
      <c r="H2" s="72"/>
      <c r="I2" s="72"/>
      <c r="J2" s="72"/>
    </row>
    <row r="3" spans="1:10" ht="30" customHeight="1" x14ac:dyDescent="0.2">
      <c r="B3" s="13" t="s">
        <v>9</v>
      </c>
      <c r="C3" s="77" t="s">
        <v>81</v>
      </c>
      <c r="D3" s="77"/>
      <c r="E3" s="13" t="s">
        <v>6</v>
      </c>
      <c r="F3" s="77" t="s">
        <v>92</v>
      </c>
      <c r="G3" s="77"/>
      <c r="H3" s="77"/>
      <c r="I3" s="77"/>
      <c r="J3" s="77"/>
    </row>
    <row r="4" spans="1:10" ht="30" customHeight="1" thickBot="1" x14ac:dyDescent="0.25">
      <c r="B4" s="6"/>
      <c r="C4" s="7"/>
      <c r="D4" s="7"/>
      <c r="E4" s="6"/>
      <c r="F4" s="7"/>
      <c r="G4" s="7"/>
      <c r="H4" s="8"/>
      <c r="I4" s="7"/>
      <c r="J4" s="7"/>
    </row>
    <row r="5" spans="1:10" ht="24.95" customHeight="1" x14ac:dyDescent="0.2">
      <c r="A5" s="11"/>
      <c r="B5" s="73" t="s">
        <v>0</v>
      </c>
      <c r="C5" s="74"/>
      <c r="D5" s="74"/>
      <c r="E5" s="82" t="s">
        <v>1</v>
      </c>
      <c r="F5" s="82"/>
      <c r="G5" s="82"/>
      <c r="H5" s="82"/>
      <c r="I5" s="82" t="s">
        <v>2</v>
      </c>
      <c r="J5" s="83"/>
    </row>
    <row r="6" spans="1:10" ht="24.95" customHeight="1" thickBot="1" x14ac:dyDescent="0.25">
      <c r="A6" s="11"/>
      <c r="B6" s="75"/>
      <c r="C6" s="76"/>
      <c r="D6" s="76"/>
      <c r="E6" s="12" t="s">
        <v>3</v>
      </c>
      <c r="F6" s="12" t="s">
        <v>4</v>
      </c>
      <c r="G6" s="12" t="s">
        <v>23</v>
      </c>
      <c r="H6" s="12" t="s">
        <v>24</v>
      </c>
      <c r="I6" s="84"/>
      <c r="J6" s="85"/>
    </row>
    <row r="7" spans="1:10" ht="24.95" customHeight="1" thickBot="1" x14ac:dyDescent="0.25">
      <c r="A7" s="11"/>
      <c r="B7" s="80" t="s">
        <v>21</v>
      </c>
      <c r="C7" s="81"/>
      <c r="D7" s="81"/>
      <c r="E7" s="30" t="s">
        <v>18</v>
      </c>
      <c r="F7" s="30" t="s">
        <v>19</v>
      </c>
      <c r="G7" s="30" t="s">
        <v>22</v>
      </c>
      <c r="H7" s="30" t="s">
        <v>20</v>
      </c>
      <c r="I7" s="93" t="s">
        <v>25</v>
      </c>
      <c r="J7" s="94"/>
    </row>
    <row r="8" spans="1:10" ht="39.950000000000003" customHeight="1" thickBot="1" x14ac:dyDescent="0.25">
      <c r="A8" s="11"/>
      <c r="B8" s="49" t="s">
        <v>200</v>
      </c>
      <c r="C8" s="50"/>
      <c r="D8" s="50"/>
      <c r="E8" s="10">
        <v>5</v>
      </c>
      <c r="F8" s="41">
        <v>4</v>
      </c>
      <c r="G8" s="42">
        <f>IFERROR(F8/E8,"")</f>
        <v>0.8</v>
      </c>
      <c r="H8" s="28" t="str">
        <f>_xlfn.IFS(F8="أدخل العلامة","",F8="لا ينطبق","تم الإلغاء",G8&gt;=90%,"ممتاز",G8&gt;=80%,"جيد جداً",G8&gt;=70%,"جيد",G8&gt;=60%,"مقبول",G8&lt;60%,"راسب")</f>
        <v>جيد جداً</v>
      </c>
      <c r="I8" s="91"/>
      <c r="J8" s="92"/>
    </row>
    <row r="9" spans="1:10" ht="39.950000000000003" customHeight="1" thickBot="1" x14ac:dyDescent="0.25">
      <c r="A9" s="11"/>
      <c r="B9" s="51" t="s">
        <v>195</v>
      </c>
      <c r="C9" s="52"/>
      <c r="D9" s="52"/>
      <c r="E9" s="10">
        <v>5</v>
      </c>
      <c r="F9" s="41">
        <v>3.75</v>
      </c>
      <c r="G9" s="42">
        <f>IFERROR(F9/E9,"")</f>
        <v>0.75</v>
      </c>
      <c r="H9" s="28" t="str">
        <f>_xlfn.IFS(F9="أدخل العلامة","",F9="لا ينطبق","تم الإلغاء",G9&gt;=90%,"ممتاز",G9&gt;=80%,"جيد جداً",G9&gt;=70%,"جيد",G9&gt;=60%,"مقبول",G9&lt;60%,"راسب")</f>
        <v>جيد</v>
      </c>
      <c r="I9" s="91"/>
      <c r="J9" s="92"/>
    </row>
    <row r="10" spans="1:10" ht="39.950000000000003" customHeight="1" thickBot="1" x14ac:dyDescent="0.25">
      <c r="A10" s="11"/>
      <c r="B10" s="51" t="s">
        <v>196</v>
      </c>
      <c r="C10" s="52"/>
      <c r="D10" s="52"/>
      <c r="E10" s="10">
        <v>5</v>
      </c>
      <c r="F10" s="41">
        <v>3.75</v>
      </c>
      <c r="G10" s="42">
        <f t="shared" ref="G10:G32" si="0">IFERROR(F10/E10,"")</f>
        <v>0.75</v>
      </c>
      <c r="H10" s="28" t="str">
        <f t="shared" ref="H10:H32" si="1">_xlfn.IFS(F10="أدخل العلامة","",F10="لا ينطبق","تم الإلغاء",G10&gt;=90%,"ممتاز",G10&gt;=80%,"جيد جداً",G10&gt;=70%,"جيد",G10&gt;=60%,"مقبول",G10&lt;60%,"راسب")</f>
        <v>جيد</v>
      </c>
      <c r="I10" s="91"/>
      <c r="J10" s="92"/>
    </row>
    <row r="11" spans="1:10" ht="39.950000000000003" customHeight="1" x14ac:dyDescent="0.2">
      <c r="A11" s="11"/>
      <c r="B11" s="47" t="s">
        <v>197</v>
      </c>
      <c r="C11" s="48"/>
      <c r="D11" s="48"/>
      <c r="E11" s="40"/>
      <c r="F11" s="34"/>
      <c r="G11" s="35"/>
      <c r="H11" s="36"/>
      <c r="I11" s="57"/>
      <c r="J11" s="58"/>
    </row>
    <row r="12" spans="1:10" ht="39.950000000000003" customHeight="1" x14ac:dyDescent="0.2">
      <c r="A12" s="11"/>
      <c r="B12" s="43" t="s">
        <v>176</v>
      </c>
      <c r="C12" s="44"/>
      <c r="D12" s="44"/>
      <c r="E12" s="9">
        <v>5</v>
      </c>
      <c r="F12" s="27">
        <v>3.75</v>
      </c>
      <c r="G12" s="32">
        <f t="shared" si="0"/>
        <v>0.75</v>
      </c>
      <c r="H12" s="33" t="str">
        <f t="shared" si="1"/>
        <v>جيد</v>
      </c>
      <c r="I12" s="55"/>
      <c r="J12" s="56"/>
    </row>
    <row r="13" spans="1:10" ht="54.95" customHeight="1" x14ac:dyDescent="0.2">
      <c r="A13" s="11"/>
      <c r="B13" s="43" t="s">
        <v>177</v>
      </c>
      <c r="C13" s="44"/>
      <c r="D13" s="44"/>
      <c r="E13" s="9">
        <v>5</v>
      </c>
      <c r="F13" s="27">
        <v>3.75</v>
      </c>
      <c r="G13" s="32">
        <f t="shared" si="0"/>
        <v>0.75</v>
      </c>
      <c r="H13" s="33" t="str">
        <f t="shared" si="1"/>
        <v>جيد</v>
      </c>
      <c r="I13" s="55"/>
      <c r="J13" s="56"/>
    </row>
    <row r="14" spans="1:10" ht="71.25" customHeight="1" x14ac:dyDescent="0.2">
      <c r="A14" s="11"/>
      <c r="B14" s="43" t="s">
        <v>178</v>
      </c>
      <c r="C14" s="44"/>
      <c r="D14" s="44"/>
      <c r="E14" s="9">
        <v>5</v>
      </c>
      <c r="F14" s="27">
        <v>3.75</v>
      </c>
      <c r="G14" s="32">
        <f t="shared" si="0"/>
        <v>0.75</v>
      </c>
      <c r="H14" s="33" t="str">
        <f t="shared" si="1"/>
        <v>جيد</v>
      </c>
      <c r="I14" s="55"/>
      <c r="J14" s="56"/>
    </row>
    <row r="15" spans="1:10" ht="39.950000000000003" customHeight="1" x14ac:dyDescent="0.2">
      <c r="A15" s="11"/>
      <c r="B15" s="43" t="s">
        <v>179</v>
      </c>
      <c r="C15" s="44"/>
      <c r="D15" s="44"/>
      <c r="E15" s="9">
        <v>5</v>
      </c>
      <c r="F15" s="27">
        <v>3.75</v>
      </c>
      <c r="G15" s="32">
        <f t="shared" si="0"/>
        <v>0.75</v>
      </c>
      <c r="H15" s="33" t="str">
        <f t="shared" si="1"/>
        <v>جيد</v>
      </c>
      <c r="I15" s="55"/>
      <c r="J15" s="56"/>
    </row>
    <row r="16" spans="1:10" ht="68.25" customHeight="1" x14ac:dyDescent="0.2">
      <c r="A16" s="11"/>
      <c r="B16" s="43" t="s">
        <v>180</v>
      </c>
      <c r="C16" s="44"/>
      <c r="D16" s="44"/>
      <c r="E16" s="9">
        <v>5</v>
      </c>
      <c r="F16" s="27">
        <v>3.75</v>
      </c>
      <c r="G16" s="32">
        <f t="shared" si="0"/>
        <v>0.75</v>
      </c>
      <c r="H16" s="33" t="str">
        <f t="shared" si="1"/>
        <v>جيد</v>
      </c>
      <c r="I16" s="55"/>
      <c r="J16" s="56"/>
    </row>
    <row r="17" spans="1:10" ht="65.099999999999994" customHeight="1" thickBot="1" x14ac:dyDescent="0.25">
      <c r="A17" s="11"/>
      <c r="B17" s="45" t="s">
        <v>181</v>
      </c>
      <c r="C17" s="46"/>
      <c r="D17" s="46"/>
      <c r="E17" s="37">
        <v>5</v>
      </c>
      <c r="F17" s="29">
        <v>3.75</v>
      </c>
      <c r="G17" s="38">
        <f t="shared" si="0"/>
        <v>0.75</v>
      </c>
      <c r="H17" s="39" t="str">
        <f t="shared" si="1"/>
        <v>جيد</v>
      </c>
      <c r="I17" s="53"/>
      <c r="J17" s="54"/>
    </row>
    <row r="18" spans="1:10" ht="39.950000000000003" customHeight="1" x14ac:dyDescent="0.2">
      <c r="A18" s="11"/>
      <c r="B18" s="59" t="s">
        <v>198</v>
      </c>
      <c r="C18" s="60"/>
      <c r="D18" s="60"/>
      <c r="E18" s="40"/>
      <c r="F18" s="34"/>
      <c r="G18" s="35"/>
      <c r="H18" s="36"/>
      <c r="I18" s="57"/>
      <c r="J18" s="58"/>
    </row>
    <row r="19" spans="1:10" ht="39.950000000000003" customHeight="1" x14ac:dyDescent="0.2">
      <c r="A19" s="11"/>
      <c r="B19" s="43" t="s">
        <v>182</v>
      </c>
      <c r="C19" s="44"/>
      <c r="D19" s="44"/>
      <c r="E19" s="9">
        <v>5</v>
      </c>
      <c r="F19" s="27">
        <v>3.75</v>
      </c>
      <c r="G19" s="32">
        <f t="shared" si="0"/>
        <v>0.75</v>
      </c>
      <c r="H19" s="33" t="str">
        <f t="shared" si="1"/>
        <v>جيد</v>
      </c>
      <c r="I19" s="55"/>
      <c r="J19" s="56"/>
    </row>
    <row r="20" spans="1:10" ht="39.950000000000003" customHeight="1" x14ac:dyDescent="0.2">
      <c r="A20" s="11"/>
      <c r="B20" s="43" t="s">
        <v>183</v>
      </c>
      <c r="C20" s="44"/>
      <c r="D20" s="44"/>
      <c r="E20" s="9">
        <v>5</v>
      </c>
      <c r="F20" s="27">
        <v>3.75</v>
      </c>
      <c r="G20" s="32">
        <f t="shared" si="0"/>
        <v>0.75</v>
      </c>
      <c r="H20" s="33" t="str">
        <f t="shared" si="1"/>
        <v>جيد</v>
      </c>
      <c r="I20" s="55"/>
      <c r="J20" s="56"/>
    </row>
    <row r="21" spans="1:10" ht="39.950000000000003" customHeight="1" x14ac:dyDescent="0.2">
      <c r="A21" s="11"/>
      <c r="B21" s="43" t="s">
        <v>184</v>
      </c>
      <c r="C21" s="44"/>
      <c r="D21" s="44"/>
      <c r="E21" s="9">
        <v>5</v>
      </c>
      <c r="F21" s="27">
        <v>3.75</v>
      </c>
      <c r="G21" s="32">
        <f t="shared" si="0"/>
        <v>0.75</v>
      </c>
      <c r="H21" s="33" t="str">
        <f t="shared" si="1"/>
        <v>جيد</v>
      </c>
      <c r="I21" s="55"/>
      <c r="J21" s="56"/>
    </row>
    <row r="22" spans="1:10" ht="39.950000000000003" customHeight="1" x14ac:dyDescent="0.2">
      <c r="A22" s="11"/>
      <c r="B22" s="43" t="s">
        <v>185</v>
      </c>
      <c r="C22" s="44"/>
      <c r="D22" s="44"/>
      <c r="E22" s="9">
        <v>5</v>
      </c>
      <c r="F22" s="27">
        <v>3.75</v>
      </c>
      <c r="G22" s="32">
        <f t="shared" si="0"/>
        <v>0.75</v>
      </c>
      <c r="H22" s="33" t="str">
        <f t="shared" si="1"/>
        <v>جيد</v>
      </c>
      <c r="I22" s="55"/>
      <c r="J22" s="56"/>
    </row>
    <row r="23" spans="1:10" ht="39.950000000000003" customHeight="1" x14ac:dyDescent="0.2">
      <c r="A23" s="11"/>
      <c r="B23" s="43" t="s">
        <v>186</v>
      </c>
      <c r="C23" s="44"/>
      <c r="D23" s="44"/>
      <c r="E23" s="9">
        <v>5</v>
      </c>
      <c r="F23" s="27">
        <v>3.75</v>
      </c>
      <c r="G23" s="32">
        <f t="shared" si="0"/>
        <v>0.75</v>
      </c>
      <c r="H23" s="33" t="str">
        <f t="shared" si="1"/>
        <v>جيد</v>
      </c>
      <c r="I23" s="55"/>
      <c r="J23" s="56"/>
    </row>
    <row r="24" spans="1:10" ht="39.950000000000003" customHeight="1" x14ac:dyDescent="0.2">
      <c r="A24" s="11"/>
      <c r="B24" s="43" t="s">
        <v>187</v>
      </c>
      <c r="C24" s="44"/>
      <c r="D24" s="44"/>
      <c r="E24" s="9">
        <v>5</v>
      </c>
      <c r="F24" s="27">
        <v>3.75</v>
      </c>
      <c r="G24" s="32">
        <f t="shared" si="0"/>
        <v>0.75</v>
      </c>
      <c r="H24" s="33" t="str">
        <f t="shared" si="1"/>
        <v>جيد</v>
      </c>
      <c r="I24" s="55"/>
      <c r="J24" s="56"/>
    </row>
    <row r="25" spans="1:10" ht="39.950000000000003" customHeight="1" x14ac:dyDescent="0.2">
      <c r="A25" s="11"/>
      <c r="B25" s="43" t="s">
        <v>188</v>
      </c>
      <c r="C25" s="44"/>
      <c r="D25" s="44"/>
      <c r="E25" s="9">
        <v>5</v>
      </c>
      <c r="F25" s="27">
        <v>3.75</v>
      </c>
      <c r="G25" s="32">
        <f t="shared" si="0"/>
        <v>0.75</v>
      </c>
      <c r="H25" s="33" t="str">
        <f t="shared" si="1"/>
        <v>جيد</v>
      </c>
      <c r="I25" s="55"/>
      <c r="J25" s="56"/>
    </row>
    <row r="26" spans="1:10" ht="39.950000000000003" customHeight="1" thickBot="1" x14ac:dyDescent="0.25">
      <c r="A26" s="11"/>
      <c r="B26" s="45" t="s">
        <v>189</v>
      </c>
      <c r="C26" s="46"/>
      <c r="D26" s="46"/>
      <c r="E26" s="37">
        <v>5</v>
      </c>
      <c r="F26" s="29">
        <v>3.75</v>
      </c>
      <c r="G26" s="38">
        <f t="shared" si="0"/>
        <v>0.75</v>
      </c>
      <c r="H26" s="39" t="str">
        <f t="shared" si="1"/>
        <v>جيد</v>
      </c>
      <c r="I26" s="53"/>
      <c r="J26" s="54"/>
    </row>
    <row r="27" spans="1:10" ht="39.950000000000003" customHeight="1" x14ac:dyDescent="0.2">
      <c r="A27" s="11"/>
      <c r="B27" s="47" t="s">
        <v>199</v>
      </c>
      <c r="C27" s="48"/>
      <c r="D27" s="48"/>
      <c r="E27" s="40"/>
      <c r="F27" s="34"/>
      <c r="G27" s="35"/>
      <c r="H27" s="36"/>
      <c r="I27" s="57"/>
      <c r="J27" s="58"/>
    </row>
    <row r="28" spans="1:10" ht="39.950000000000003" customHeight="1" x14ac:dyDescent="0.2">
      <c r="A28" s="11"/>
      <c r="B28" s="43" t="s">
        <v>190</v>
      </c>
      <c r="C28" s="44"/>
      <c r="D28" s="44"/>
      <c r="E28" s="9">
        <v>5</v>
      </c>
      <c r="F28" s="27">
        <v>3.75</v>
      </c>
      <c r="G28" s="32">
        <f t="shared" si="0"/>
        <v>0.75</v>
      </c>
      <c r="H28" s="33" t="str">
        <f t="shared" si="1"/>
        <v>جيد</v>
      </c>
      <c r="I28" s="55"/>
      <c r="J28" s="56"/>
    </row>
    <row r="29" spans="1:10" ht="39.950000000000003" customHeight="1" x14ac:dyDescent="0.2">
      <c r="A29" s="11"/>
      <c r="B29" s="43" t="s">
        <v>191</v>
      </c>
      <c r="C29" s="44"/>
      <c r="D29" s="44"/>
      <c r="E29" s="9">
        <v>5</v>
      </c>
      <c r="F29" s="27">
        <v>3.75</v>
      </c>
      <c r="G29" s="32">
        <f t="shared" si="0"/>
        <v>0.75</v>
      </c>
      <c r="H29" s="33" t="str">
        <f t="shared" si="1"/>
        <v>جيد</v>
      </c>
      <c r="I29" s="55"/>
      <c r="J29" s="56"/>
    </row>
    <row r="30" spans="1:10" ht="39.950000000000003" customHeight="1" x14ac:dyDescent="0.2">
      <c r="A30" s="11"/>
      <c r="B30" s="43" t="s">
        <v>192</v>
      </c>
      <c r="C30" s="44"/>
      <c r="D30" s="44"/>
      <c r="E30" s="9">
        <v>5</v>
      </c>
      <c r="F30" s="27">
        <v>3.75</v>
      </c>
      <c r="G30" s="32">
        <f t="shared" si="0"/>
        <v>0.75</v>
      </c>
      <c r="H30" s="33" t="str">
        <f t="shared" si="1"/>
        <v>جيد</v>
      </c>
      <c r="I30" s="55"/>
      <c r="J30" s="56"/>
    </row>
    <row r="31" spans="1:10" ht="39.950000000000003" customHeight="1" x14ac:dyDescent="0.2">
      <c r="A31" s="11"/>
      <c r="B31" s="43" t="s">
        <v>193</v>
      </c>
      <c r="C31" s="44"/>
      <c r="D31" s="44"/>
      <c r="E31" s="9">
        <v>5</v>
      </c>
      <c r="F31" s="27">
        <v>3.75</v>
      </c>
      <c r="G31" s="32">
        <f t="shared" si="0"/>
        <v>0.75</v>
      </c>
      <c r="H31" s="33" t="str">
        <f t="shared" si="1"/>
        <v>جيد</v>
      </c>
      <c r="I31" s="55"/>
      <c r="J31" s="56"/>
    </row>
    <row r="32" spans="1:10" ht="39.950000000000003" customHeight="1" thickBot="1" x14ac:dyDescent="0.25">
      <c r="A32" s="11"/>
      <c r="B32" s="45" t="s">
        <v>194</v>
      </c>
      <c r="C32" s="46"/>
      <c r="D32" s="46"/>
      <c r="E32" s="37">
        <v>5</v>
      </c>
      <c r="F32" s="29">
        <v>3.75</v>
      </c>
      <c r="G32" s="38">
        <f t="shared" si="0"/>
        <v>0.75</v>
      </c>
      <c r="H32" s="39" t="str">
        <f t="shared" si="1"/>
        <v>جيد</v>
      </c>
      <c r="I32" s="53"/>
      <c r="J32" s="54"/>
    </row>
    <row r="33" spans="1:10" ht="30" customHeight="1" thickBot="1" x14ac:dyDescent="0.25">
      <c r="A33" s="4"/>
      <c r="B33" s="61" t="s">
        <v>5</v>
      </c>
      <c r="C33" s="62"/>
      <c r="D33" s="62"/>
      <c r="E33" s="31">
        <f>SUM(E8:E32)</f>
        <v>110</v>
      </c>
      <c r="F33" s="31">
        <f>SUM(F8:F32)</f>
        <v>82.75</v>
      </c>
      <c r="G33" s="88"/>
      <c r="H33" s="89"/>
      <c r="I33" s="89"/>
      <c r="J33" s="90"/>
    </row>
    <row r="34" spans="1:10" ht="30" customHeight="1" thickBot="1" x14ac:dyDescent="0.25">
      <c r="A34" s="4"/>
      <c r="B34" s="63" t="s">
        <v>54</v>
      </c>
      <c r="C34" s="64"/>
      <c r="D34" s="64"/>
      <c r="E34" s="78">
        <f>F33/E33/100*100</f>
        <v>0.75227272727272732</v>
      </c>
      <c r="F34" s="78"/>
      <c r="G34" s="78"/>
      <c r="H34" s="78"/>
      <c r="I34" s="78"/>
      <c r="J34" s="79"/>
    </row>
    <row r="35" spans="1:10" ht="30" customHeight="1" thickBot="1" x14ac:dyDescent="0.25">
      <c r="A35" s="4"/>
      <c r="B35" s="63" t="s">
        <v>55</v>
      </c>
      <c r="C35" s="64"/>
      <c r="D35" s="64"/>
      <c r="E35" s="69" t="str">
        <f>_xlfn.IFS(E34&gt;=90%,"ممتاز",E34&gt;=80%,"جيد جداً",E34&gt;=70%,"جيد",E34&gt;=60%,"مقبول",E34&lt;60%,"راسب")</f>
        <v>جيد</v>
      </c>
      <c r="F35" s="69"/>
      <c r="G35" s="69"/>
      <c r="H35" s="69"/>
      <c r="I35" s="69"/>
      <c r="J35" s="70"/>
    </row>
    <row r="36" spans="1:10" ht="42" customHeight="1" x14ac:dyDescent="0.2">
      <c r="B36" s="65" t="s">
        <v>175</v>
      </c>
      <c r="C36" s="65"/>
      <c r="D36" s="65"/>
      <c r="E36" s="86" t="s">
        <v>52</v>
      </c>
      <c r="F36" s="86"/>
      <c r="G36" s="67" t="s">
        <v>92</v>
      </c>
      <c r="H36" s="67"/>
      <c r="I36" s="67"/>
      <c r="J36" s="67"/>
    </row>
    <row r="37" spans="1:10" ht="51" customHeight="1" x14ac:dyDescent="0.2">
      <c r="A37" s="5"/>
      <c r="B37" s="66"/>
      <c r="C37" s="66"/>
      <c r="D37" s="66"/>
      <c r="E37" s="87" t="s">
        <v>53</v>
      </c>
      <c r="F37" s="87"/>
      <c r="G37" s="68"/>
      <c r="H37" s="68"/>
      <c r="I37" s="68"/>
      <c r="J37" s="68"/>
    </row>
  </sheetData>
  <sheetProtection sheet="1" formatCells="0" formatColumns="0" formatRows="0" insertColumns="0" insertRows="0" insertHyperlinks="0" deleteColumns="0" deleteRows="0" selectLockedCells="1" sort="0" autoFilter="0" pivotTables="0"/>
  <mergeCells count="71">
    <mergeCell ref="E36:F36"/>
    <mergeCell ref="E37:F37"/>
    <mergeCell ref="G33:J33"/>
    <mergeCell ref="I9:J9"/>
    <mergeCell ref="I7:J7"/>
    <mergeCell ref="I10:J10"/>
    <mergeCell ref="I19:J19"/>
    <mergeCell ref="I20:J20"/>
    <mergeCell ref="I21:J21"/>
    <mergeCell ref="I8:J8"/>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8:D8"/>
    <mergeCell ref="B9:D9"/>
    <mergeCell ref="B10:D10"/>
    <mergeCell ref="B11:D11"/>
    <mergeCell ref="B12:D12"/>
    <mergeCell ref="B28:D28"/>
    <mergeCell ref="B29:D29"/>
    <mergeCell ref="B30:D30"/>
    <mergeCell ref="B23:D23"/>
    <mergeCell ref="B24:D24"/>
    <mergeCell ref="B25:D25"/>
    <mergeCell ref="B26:D26"/>
    <mergeCell ref="B27:D27"/>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60">
      <formula>$E35="جيد جداً"</formula>
    </cfRule>
    <cfRule type="expression" dxfId="12" priority="59">
      <formula>$E35="جيد"</formula>
    </cfRule>
    <cfRule type="expression" dxfId="11" priority="58">
      <formula>$E35="مقبول"</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10" operator="containsText" text="راسب">
      <formula>NOT(ISERROR(SEARCH("راسب",H8)))</formula>
    </cfRule>
    <cfRule type="containsText" dxfId="4" priority="9" operator="containsText" text="مقبول">
      <formula>NOT(ISERROR(SEARCH("مقبول",H8)))</formula>
    </cfRule>
    <cfRule type="containsText" dxfId="3" priority="8" operator="containsText" text="جيد">
      <formula>NOT(ISERROR(SEARCH("جيد",H8)))</formula>
    </cfRule>
    <cfRule type="containsText" dxfId="2" priority="7" operator="containsText" text="جيد جداً">
      <formula>NOT(ISERROR(SEARCH("جيد جداً",H8)))</formula>
    </cfRule>
    <cfRule type="containsText" dxfId="1" priority="6" operator="containsText" text="ممتاز">
      <formula>NOT(ISERROR(SEARCH("ممتاز",H8)))</formula>
    </cfRule>
    <cfRule type="containsText" dxfId="0" priority="5" operator="containsText" text="أدخل العلامة">
      <formula>NOT(ISERROR(SEARCH("أدخل العلامة",H8)))</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20" t="s">
        <v>62</v>
      </c>
    </row>
    <row r="3" spans="1:3" ht="20.100000000000001" customHeight="1" thickBot="1" x14ac:dyDescent="0.3">
      <c r="A3" s="2" t="s">
        <v>26</v>
      </c>
      <c r="C3" s="20" t="s">
        <v>63</v>
      </c>
    </row>
    <row r="4" spans="1:3" ht="20.100000000000001" customHeight="1" thickBot="1" x14ac:dyDescent="0.3">
      <c r="A4" s="2" t="s">
        <v>36</v>
      </c>
      <c r="C4" s="20" t="s">
        <v>64</v>
      </c>
    </row>
    <row r="5" spans="1:3" ht="20.100000000000001" customHeight="1" thickBot="1" x14ac:dyDescent="0.3">
      <c r="A5" s="2" t="s">
        <v>37</v>
      </c>
      <c r="C5" s="20" t="s">
        <v>65</v>
      </c>
    </row>
    <row r="6" spans="1:3" ht="20.100000000000001" customHeight="1" thickBot="1" x14ac:dyDescent="0.3">
      <c r="A6" s="2" t="s">
        <v>38</v>
      </c>
      <c r="C6" s="20" t="s">
        <v>66</v>
      </c>
    </row>
    <row r="7" spans="1:3" ht="20.100000000000001" customHeight="1" thickBot="1" x14ac:dyDescent="0.3">
      <c r="A7" s="2" t="s">
        <v>39</v>
      </c>
      <c r="C7" s="20" t="s">
        <v>67</v>
      </c>
    </row>
    <row r="8" spans="1:3" ht="20.100000000000001" customHeight="1" thickBot="1" x14ac:dyDescent="0.3">
      <c r="A8" s="2" t="s">
        <v>40</v>
      </c>
      <c r="C8" s="20" t="s">
        <v>68</v>
      </c>
    </row>
    <row r="9" spans="1:3" ht="20.100000000000001" customHeight="1" thickBot="1" x14ac:dyDescent="0.3">
      <c r="A9" s="2" t="s">
        <v>41</v>
      </c>
      <c r="C9" s="20" t="s">
        <v>69</v>
      </c>
    </row>
    <row r="10" spans="1:3" ht="20.100000000000001" customHeight="1" thickBot="1" x14ac:dyDescent="0.3">
      <c r="A10" s="2" t="s">
        <v>42</v>
      </c>
      <c r="C10" s="20" t="s">
        <v>70</v>
      </c>
    </row>
    <row r="11" spans="1:3" ht="20.100000000000001" customHeight="1" thickBot="1" x14ac:dyDescent="0.3">
      <c r="A11" s="2" t="s">
        <v>43</v>
      </c>
      <c r="C11" s="20" t="s">
        <v>71</v>
      </c>
    </row>
    <row r="12" spans="1:3" ht="20.100000000000001" customHeight="1" thickBot="1" x14ac:dyDescent="0.3">
      <c r="A12" s="2" t="s">
        <v>44</v>
      </c>
      <c r="C12" s="20" t="s">
        <v>72</v>
      </c>
    </row>
    <row r="13" spans="1:3" ht="20.100000000000001" customHeight="1" thickBot="1" x14ac:dyDescent="0.3">
      <c r="A13" s="2" t="s">
        <v>45</v>
      </c>
      <c r="C13" s="20" t="s">
        <v>73</v>
      </c>
    </row>
    <row r="14" spans="1:3" ht="20.100000000000001" customHeight="1" thickBot="1" x14ac:dyDescent="0.3">
      <c r="A14" s="2" t="s">
        <v>46</v>
      </c>
      <c r="C14" s="20" t="s">
        <v>74</v>
      </c>
    </row>
    <row r="15" spans="1:3" ht="20.100000000000001" customHeight="1" thickBot="1" x14ac:dyDescent="0.3">
      <c r="A15" s="2" t="s">
        <v>47</v>
      </c>
      <c r="C15" s="20" t="s">
        <v>75</v>
      </c>
    </row>
    <row r="16" spans="1:3" ht="20.100000000000001" customHeight="1" thickBot="1" x14ac:dyDescent="0.3">
      <c r="A16" s="2" t="s">
        <v>10</v>
      </c>
      <c r="C16" s="20" t="s">
        <v>76</v>
      </c>
    </row>
    <row r="17" spans="1:3" ht="20.100000000000001" customHeight="1" thickBot="1" x14ac:dyDescent="0.3">
      <c r="A17" s="2" t="s">
        <v>27</v>
      </c>
      <c r="C17" s="20" t="s">
        <v>77</v>
      </c>
    </row>
    <row r="18" spans="1:3" ht="20.100000000000001" customHeight="1" thickBot="1" x14ac:dyDescent="0.3">
      <c r="A18" s="2" t="s">
        <v>48</v>
      </c>
      <c r="C18" s="20" t="s">
        <v>78</v>
      </c>
    </row>
    <row r="19" spans="1:3" ht="20.100000000000001" customHeight="1" thickBot="1" x14ac:dyDescent="0.3">
      <c r="A19" s="2" t="s">
        <v>49</v>
      </c>
      <c r="C19" s="20" t="s">
        <v>79</v>
      </c>
    </row>
    <row r="20" spans="1:3" ht="20.100000000000001" customHeight="1" thickBot="1" x14ac:dyDescent="0.3">
      <c r="A20" s="2" t="s">
        <v>50</v>
      </c>
      <c r="C20" s="20" t="s">
        <v>80</v>
      </c>
    </row>
    <row r="21" spans="1:3" ht="20.100000000000001" customHeight="1" thickBot="1" x14ac:dyDescent="0.3">
      <c r="A21" s="2" t="s">
        <v>51</v>
      </c>
      <c r="C21" s="20" t="s">
        <v>81</v>
      </c>
    </row>
    <row r="22" spans="1:3" ht="20.100000000000001" customHeight="1" thickBot="1" x14ac:dyDescent="0.3">
      <c r="A22" s="2" t="s">
        <v>11</v>
      </c>
      <c r="C22" s="20" t="s">
        <v>82</v>
      </c>
    </row>
    <row r="23" spans="1:3" ht="20.100000000000001" customHeight="1" thickBot="1" x14ac:dyDescent="0.3">
      <c r="A23" s="2" t="s">
        <v>12</v>
      </c>
      <c r="C23" s="20" t="s">
        <v>83</v>
      </c>
    </row>
    <row r="24" spans="1:3" ht="20.100000000000001" customHeight="1" thickBot="1" x14ac:dyDescent="0.3">
      <c r="A24" s="2" t="s">
        <v>15</v>
      </c>
      <c r="C24" s="20" t="s">
        <v>84</v>
      </c>
    </row>
    <row r="25" spans="1:3" ht="20.100000000000001" customHeight="1" thickBot="1" x14ac:dyDescent="0.3">
      <c r="A25" s="2" t="s">
        <v>28</v>
      </c>
      <c r="C25" s="20" t="s">
        <v>85</v>
      </c>
    </row>
    <row r="26" spans="1:3" ht="20.100000000000001" customHeight="1" thickBot="1" x14ac:dyDescent="0.3">
      <c r="A26" s="2" t="s">
        <v>29</v>
      </c>
      <c r="C26" s="20" t="s">
        <v>86</v>
      </c>
    </row>
    <row r="27" spans="1:3" ht="20.100000000000001" customHeight="1" thickBot="1" x14ac:dyDescent="0.3">
      <c r="A27" s="2" t="s">
        <v>13</v>
      </c>
      <c r="C27" s="20" t="s">
        <v>87</v>
      </c>
    </row>
    <row r="28" spans="1:3" ht="20.100000000000001" customHeight="1" thickBot="1" x14ac:dyDescent="0.3">
      <c r="A28" s="2" t="s">
        <v>30</v>
      </c>
      <c r="C28" s="20" t="s">
        <v>88</v>
      </c>
    </row>
    <row r="29" spans="1:3" ht="20.100000000000001" customHeight="1" thickBot="1" x14ac:dyDescent="0.3">
      <c r="A29" s="2" t="s">
        <v>31</v>
      </c>
      <c r="C29" s="2"/>
    </row>
    <row r="30" spans="1:3" ht="20.100000000000001" customHeight="1" thickBot="1" x14ac:dyDescent="0.3">
      <c r="A30" s="2" t="s">
        <v>32</v>
      </c>
      <c r="C30" s="2"/>
    </row>
    <row r="31" spans="1:3" ht="20.100000000000001" customHeight="1" thickBot="1" x14ac:dyDescent="0.3">
      <c r="A31" s="2" t="s">
        <v>33</v>
      </c>
      <c r="C31" s="2"/>
    </row>
    <row r="32" spans="1:3" ht="20.100000000000001" customHeight="1" thickBot="1" x14ac:dyDescent="0.3">
      <c r="A32" s="2" t="s">
        <v>16</v>
      </c>
      <c r="C32" s="2"/>
    </row>
    <row r="33" spans="1:9" ht="20.100000000000001" customHeight="1" thickBot="1" x14ac:dyDescent="0.3">
      <c r="A33" s="2" t="s">
        <v>14</v>
      </c>
      <c r="C33" s="2"/>
    </row>
    <row r="34" spans="1:9" ht="20.100000000000001" customHeight="1" thickBot="1" x14ac:dyDescent="0.3">
      <c r="A34" s="2" t="s">
        <v>34</v>
      </c>
      <c r="C34" s="2"/>
    </row>
    <row r="35" spans="1:9" ht="20.100000000000001" customHeight="1" x14ac:dyDescent="0.2">
      <c r="A35" s="19"/>
    </row>
    <row r="36" spans="1:9" s="18" customFormat="1" ht="20.100000000000001" customHeight="1" x14ac:dyDescent="0.2">
      <c r="A36" s="16"/>
      <c r="B36" s="17"/>
      <c r="C36" s="17"/>
      <c r="D36" s="17"/>
      <c r="E36" s="17"/>
      <c r="F36" s="17"/>
      <c r="G36" s="17"/>
      <c r="H36" s="17"/>
      <c r="I36" s="17"/>
    </row>
    <row r="37" spans="1:9" ht="20.100000000000001" customHeight="1" thickBot="1" x14ac:dyDescent="0.25"/>
    <row r="38" spans="1:9" ht="20.100000000000001" customHeight="1" thickBot="1" x14ac:dyDescent="0.3">
      <c r="A38" s="2" t="s">
        <v>56</v>
      </c>
    </row>
    <row r="39" spans="1:9" ht="20.100000000000001" customHeight="1" thickBot="1" x14ac:dyDescent="0.3">
      <c r="A39" s="14">
        <v>45901</v>
      </c>
    </row>
    <row r="40" spans="1:9" ht="20.100000000000001" customHeight="1" thickBot="1" x14ac:dyDescent="0.3">
      <c r="A40" s="14">
        <v>45902</v>
      </c>
    </row>
    <row r="41" spans="1:9" ht="20.100000000000001" customHeight="1" thickBot="1" x14ac:dyDescent="0.3">
      <c r="A41" s="14">
        <v>45903</v>
      </c>
    </row>
    <row r="42" spans="1:9" ht="20.100000000000001" customHeight="1" thickBot="1" x14ac:dyDescent="0.3">
      <c r="A42" s="14">
        <v>45904</v>
      </c>
    </row>
    <row r="43" spans="1:9" ht="20.100000000000001" customHeight="1" thickBot="1" x14ac:dyDescent="0.3">
      <c r="A43" s="14">
        <v>45905</v>
      </c>
    </row>
    <row r="44" spans="1:9" ht="20.100000000000001" customHeight="1" thickBot="1" x14ac:dyDescent="0.3">
      <c r="A44" s="14">
        <v>45906</v>
      </c>
    </row>
    <row r="45" spans="1:9" ht="20.100000000000001" customHeight="1" thickBot="1" x14ac:dyDescent="0.3">
      <c r="A45" s="14">
        <v>45907</v>
      </c>
    </row>
    <row r="46" spans="1:9" ht="20.100000000000001" customHeight="1" thickBot="1" x14ac:dyDescent="0.3">
      <c r="A46" s="14">
        <v>45908</v>
      </c>
    </row>
    <row r="47" spans="1:9" ht="20.100000000000001" customHeight="1" thickBot="1" x14ac:dyDescent="0.3">
      <c r="A47" s="14">
        <v>45909</v>
      </c>
    </row>
    <row r="48" spans="1:9" ht="20.100000000000001" customHeight="1" thickBot="1" x14ac:dyDescent="0.3">
      <c r="A48" s="14">
        <v>45910</v>
      </c>
    </row>
    <row r="49" spans="1:1" ht="20.100000000000001" customHeight="1" thickBot="1" x14ac:dyDescent="0.3">
      <c r="A49" s="14">
        <v>45911</v>
      </c>
    </row>
    <row r="50" spans="1:1" ht="20.100000000000001" customHeight="1" thickBot="1" x14ac:dyDescent="0.3">
      <c r="A50" s="14">
        <v>45912</v>
      </c>
    </row>
    <row r="51" spans="1:1" ht="20.100000000000001" customHeight="1" thickBot="1" x14ac:dyDescent="0.3">
      <c r="A51" s="14">
        <v>45913</v>
      </c>
    </row>
    <row r="52" spans="1:1" ht="20.100000000000001" customHeight="1" thickBot="1" x14ac:dyDescent="0.3">
      <c r="A52" s="14">
        <v>45914</v>
      </c>
    </row>
    <row r="53" spans="1:1" ht="20.100000000000001" customHeight="1" thickBot="1" x14ac:dyDescent="0.3">
      <c r="A53" s="14">
        <v>45915</v>
      </c>
    </row>
    <row r="54" spans="1:1" ht="20.100000000000001" customHeight="1" thickBot="1" x14ac:dyDescent="0.3">
      <c r="A54" s="14">
        <v>45916</v>
      </c>
    </row>
    <row r="55" spans="1:1" ht="20.100000000000001" customHeight="1" thickBot="1" x14ac:dyDescent="0.3">
      <c r="A55" s="14">
        <v>45917</v>
      </c>
    </row>
    <row r="56" spans="1:1" ht="20.100000000000001" customHeight="1" thickBot="1" x14ac:dyDescent="0.3">
      <c r="A56" s="14">
        <v>45918</v>
      </c>
    </row>
    <row r="57" spans="1:1" ht="20.100000000000001" customHeight="1" thickBot="1" x14ac:dyDescent="0.3">
      <c r="A57" s="14">
        <v>45919</v>
      </c>
    </row>
    <row r="58" spans="1:1" ht="20.100000000000001" customHeight="1" thickBot="1" x14ac:dyDescent="0.3">
      <c r="A58" s="14">
        <v>45920</v>
      </c>
    </row>
    <row r="59" spans="1:1" ht="20.100000000000001" customHeight="1" thickBot="1" x14ac:dyDescent="0.3">
      <c r="A59" s="14">
        <v>45921</v>
      </c>
    </row>
    <row r="60" spans="1:1" ht="20.100000000000001" customHeight="1" thickBot="1" x14ac:dyDescent="0.3">
      <c r="A60" s="14">
        <v>45922</v>
      </c>
    </row>
    <row r="61" spans="1:1" ht="20.100000000000001" customHeight="1" thickBot="1" x14ac:dyDescent="0.3">
      <c r="A61" s="14">
        <v>45923</v>
      </c>
    </row>
    <row r="62" spans="1:1" ht="20.100000000000001" customHeight="1" thickBot="1" x14ac:dyDescent="0.3">
      <c r="A62" s="14">
        <v>45924</v>
      </c>
    </row>
    <row r="63" spans="1:1" ht="20.100000000000001" customHeight="1" thickBot="1" x14ac:dyDescent="0.3">
      <c r="A63" s="14">
        <v>45925</v>
      </c>
    </row>
    <row r="64" spans="1:1" ht="20.100000000000001" customHeight="1" thickBot="1" x14ac:dyDescent="0.3">
      <c r="A64" s="14">
        <v>45926</v>
      </c>
    </row>
    <row r="65" spans="1:1" ht="20.100000000000001" customHeight="1" thickBot="1" x14ac:dyDescent="0.3">
      <c r="A65" s="14">
        <v>45927</v>
      </c>
    </row>
    <row r="66" spans="1:1" ht="20.100000000000001" customHeight="1" thickBot="1" x14ac:dyDescent="0.3">
      <c r="A66" s="14">
        <v>45928</v>
      </c>
    </row>
    <row r="67" spans="1:1" ht="20.100000000000001" customHeight="1" thickBot="1" x14ac:dyDescent="0.3">
      <c r="A67" s="14">
        <v>45929</v>
      </c>
    </row>
    <row r="68" spans="1:1" ht="20.100000000000001" customHeight="1" thickBot="1" x14ac:dyDescent="0.3">
      <c r="A68" s="14">
        <v>45930</v>
      </c>
    </row>
    <row r="69" spans="1:1" ht="20.100000000000001" customHeight="1" thickBot="1" x14ac:dyDescent="0.3">
      <c r="A69" s="14">
        <v>45931</v>
      </c>
    </row>
    <row r="70" spans="1:1" ht="20.100000000000001" customHeight="1" thickBot="1" x14ac:dyDescent="0.3">
      <c r="A70" s="14">
        <v>45932</v>
      </c>
    </row>
    <row r="71" spans="1:1" ht="20.100000000000001" customHeight="1" thickBot="1" x14ac:dyDescent="0.3">
      <c r="A71" s="14">
        <v>45933</v>
      </c>
    </row>
    <row r="72" spans="1:1" ht="20.100000000000001" customHeight="1" thickBot="1" x14ac:dyDescent="0.3">
      <c r="A72" s="14">
        <v>45934</v>
      </c>
    </row>
    <row r="73" spans="1:1" ht="20.100000000000001" customHeight="1" thickBot="1" x14ac:dyDescent="0.3">
      <c r="A73" s="14">
        <v>45935</v>
      </c>
    </row>
    <row r="74" spans="1:1" ht="20.100000000000001" customHeight="1" thickBot="1" x14ac:dyDescent="0.3">
      <c r="A74" s="14">
        <v>45936</v>
      </c>
    </row>
    <row r="75" spans="1:1" ht="20.100000000000001" customHeight="1" thickBot="1" x14ac:dyDescent="0.3">
      <c r="A75" s="14">
        <v>45937</v>
      </c>
    </row>
    <row r="76" spans="1:1" ht="20.100000000000001" customHeight="1" thickBot="1" x14ac:dyDescent="0.3">
      <c r="A76" s="14">
        <v>45938</v>
      </c>
    </row>
    <row r="77" spans="1:1" ht="20.100000000000001" customHeight="1" thickBot="1" x14ac:dyDescent="0.3">
      <c r="A77" s="14">
        <v>45939</v>
      </c>
    </row>
    <row r="78" spans="1:1" ht="20.100000000000001" customHeight="1" thickBot="1" x14ac:dyDescent="0.3">
      <c r="A78" s="14">
        <v>45940</v>
      </c>
    </row>
    <row r="79" spans="1:1" ht="20.100000000000001" customHeight="1" thickBot="1" x14ac:dyDescent="0.3">
      <c r="A79" s="14">
        <v>45941</v>
      </c>
    </row>
    <row r="80" spans="1:1" ht="20.100000000000001" customHeight="1" thickBot="1" x14ac:dyDescent="0.3">
      <c r="A80" s="14">
        <v>45942</v>
      </c>
    </row>
    <row r="81" spans="1:1" ht="20.100000000000001" customHeight="1" thickBot="1" x14ac:dyDescent="0.3">
      <c r="A81" s="14">
        <v>45943</v>
      </c>
    </row>
    <row r="82" spans="1:1" ht="20.100000000000001" customHeight="1" thickBot="1" x14ac:dyDescent="0.3">
      <c r="A82" s="14">
        <v>45944</v>
      </c>
    </row>
    <row r="83" spans="1:1" ht="20.100000000000001" customHeight="1" thickBot="1" x14ac:dyDescent="0.3">
      <c r="A83" s="14">
        <v>45945</v>
      </c>
    </row>
    <row r="84" spans="1:1" ht="20.100000000000001" customHeight="1" thickBot="1" x14ac:dyDescent="0.3">
      <c r="A84" s="14">
        <v>45946</v>
      </c>
    </row>
    <row r="85" spans="1:1" ht="20.100000000000001" customHeight="1" thickBot="1" x14ac:dyDescent="0.3">
      <c r="A85" s="14">
        <v>45947</v>
      </c>
    </row>
    <row r="86" spans="1:1" ht="20.100000000000001" customHeight="1" thickBot="1" x14ac:dyDescent="0.3">
      <c r="A86" s="14">
        <v>45948</v>
      </c>
    </row>
    <row r="87" spans="1:1" ht="20.100000000000001" customHeight="1" thickBot="1" x14ac:dyDescent="0.3">
      <c r="A87" s="14">
        <v>45949</v>
      </c>
    </row>
    <row r="88" spans="1:1" ht="20.100000000000001" customHeight="1" thickBot="1" x14ac:dyDescent="0.3">
      <c r="A88" s="14">
        <v>45950</v>
      </c>
    </row>
    <row r="89" spans="1:1" ht="20.100000000000001" customHeight="1" thickBot="1" x14ac:dyDescent="0.3">
      <c r="A89" s="14">
        <v>45951</v>
      </c>
    </row>
    <row r="90" spans="1:1" ht="20.100000000000001" customHeight="1" thickBot="1" x14ac:dyDescent="0.3">
      <c r="A90" s="14">
        <v>45952</v>
      </c>
    </row>
    <row r="91" spans="1:1" ht="20.100000000000001" customHeight="1" thickBot="1" x14ac:dyDescent="0.3">
      <c r="A91" s="14">
        <v>45953</v>
      </c>
    </row>
    <row r="92" spans="1:1" ht="20.100000000000001" customHeight="1" thickBot="1" x14ac:dyDescent="0.3">
      <c r="A92" s="14">
        <v>45954</v>
      </c>
    </row>
    <row r="93" spans="1:1" ht="20.100000000000001" customHeight="1" thickBot="1" x14ac:dyDescent="0.3">
      <c r="A93" s="14">
        <v>45955</v>
      </c>
    </row>
    <row r="94" spans="1:1" ht="20.100000000000001" customHeight="1" thickBot="1" x14ac:dyDescent="0.3">
      <c r="A94" s="14">
        <v>45956</v>
      </c>
    </row>
    <row r="95" spans="1:1" ht="20.100000000000001" customHeight="1" thickBot="1" x14ac:dyDescent="0.3">
      <c r="A95" s="14">
        <v>45957</v>
      </c>
    </row>
    <row r="96" spans="1:1" ht="20.100000000000001" customHeight="1" thickBot="1" x14ac:dyDescent="0.3">
      <c r="A96" s="14">
        <v>45958</v>
      </c>
    </row>
    <row r="97" spans="1:9" ht="20.100000000000001" customHeight="1" thickBot="1" x14ac:dyDescent="0.3">
      <c r="A97" s="14">
        <v>45959</v>
      </c>
    </row>
    <row r="98" spans="1:9" ht="20.100000000000001" customHeight="1" thickBot="1" x14ac:dyDescent="0.3">
      <c r="A98" s="14">
        <v>45960</v>
      </c>
    </row>
    <row r="99" spans="1:9" ht="20.100000000000001" customHeight="1" thickBot="1" x14ac:dyDescent="0.3">
      <c r="A99" s="14">
        <v>45961</v>
      </c>
    </row>
    <row r="100" spans="1:9" ht="20.100000000000001" customHeight="1" thickBot="1" x14ac:dyDescent="0.3">
      <c r="A100" s="14">
        <v>45962</v>
      </c>
    </row>
    <row r="101" spans="1:9" ht="20.100000000000001" customHeight="1" thickBot="1" x14ac:dyDescent="0.3">
      <c r="A101" s="14">
        <v>45963</v>
      </c>
    </row>
    <row r="102" spans="1:9" ht="20.100000000000001" customHeight="1" thickBot="1" x14ac:dyDescent="0.3">
      <c r="A102" s="14">
        <v>45964</v>
      </c>
    </row>
    <row r="103" spans="1:9" ht="20.100000000000001" customHeight="1" thickBot="1" x14ac:dyDescent="0.3">
      <c r="A103" s="14">
        <v>45965</v>
      </c>
    </row>
    <row r="104" spans="1:9" ht="20.100000000000001" customHeight="1" thickBot="1" x14ac:dyDescent="0.3">
      <c r="A104" s="14">
        <v>45966</v>
      </c>
    </row>
    <row r="105" spans="1:9" ht="20.100000000000001" customHeight="1" thickBot="1" x14ac:dyDescent="0.3">
      <c r="A105" s="14">
        <v>45967</v>
      </c>
    </row>
    <row r="106" spans="1:9" ht="20.100000000000001" customHeight="1" thickBot="1" x14ac:dyDescent="0.3">
      <c r="A106" s="14">
        <v>45968</v>
      </c>
    </row>
    <row r="107" spans="1:9" ht="20.100000000000001" customHeight="1" x14ac:dyDescent="0.2">
      <c r="A107" s="15"/>
    </row>
    <row r="108" spans="1:9" ht="20.100000000000001" customHeight="1" x14ac:dyDescent="0.2">
      <c r="A108" s="15"/>
    </row>
    <row r="109" spans="1:9" s="18" customFormat="1" ht="20.100000000000001" customHeight="1" x14ac:dyDescent="0.2">
      <c r="A109" s="16"/>
      <c r="B109" s="17"/>
      <c r="C109" s="17"/>
      <c r="D109" s="17"/>
      <c r="E109" s="17"/>
      <c r="F109" s="17"/>
      <c r="G109" s="17"/>
      <c r="H109" s="17"/>
      <c r="I109" s="17"/>
    </row>
    <row r="110" spans="1:9" ht="20.100000000000001" customHeight="1" thickBot="1" x14ac:dyDescent="0.25"/>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21" t="s">
        <v>89</v>
      </c>
    </row>
    <row r="200" spans="1:1" ht="20.100000000000001" customHeight="1" x14ac:dyDescent="0.2">
      <c r="A200" s="21" t="s">
        <v>90</v>
      </c>
    </row>
    <row r="201" spans="1:1" ht="20.100000000000001" customHeight="1" x14ac:dyDescent="0.2">
      <c r="A201" s="21" t="s">
        <v>91</v>
      </c>
    </row>
    <row r="202" spans="1:1" ht="20.100000000000001" customHeight="1" x14ac:dyDescent="0.2">
      <c r="A202" s="21" t="s">
        <v>92</v>
      </c>
    </row>
    <row r="203" spans="1:1" ht="20.100000000000001" customHeight="1" x14ac:dyDescent="0.2">
      <c r="A203" s="21" t="s">
        <v>93</v>
      </c>
    </row>
    <row r="204" spans="1:1" ht="20.100000000000001" customHeight="1" x14ac:dyDescent="0.2">
      <c r="A204" s="21" t="s">
        <v>94</v>
      </c>
    </row>
    <row r="205" spans="1:1" ht="20.100000000000001" customHeight="1" x14ac:dyDescent="0.2">
      <c r="A205" s="21" t="s">
        <v>95</v>
      </c>
    </row>
    <row r="206" spans="1:1" ht="20.100000000000001" customHeight="1" x14ac:dyDescent="0.2">
      <c r="A206" s="21" t="s">
        <v>96</v>
      </c>
    </row>
    <row r="207" spans="1:1" ht="20.100000000000001" customHeight="1" x14ac:dyDescent="0.2">
      <c r="A207" s="21" t="s">
        <v>97</v>
      </c>
    </row>
    <row r="208" spans="1:1" ht="20.100000000000001" customHeight="1" x14ac:dyDescent="0.2">
      <c r="A208" s="22" t="s">
        <v>98</v>
      </c>
    </row>
    <row r="209" spans="1:1" ht="20.100000000000001" customHeight="1" x14ac:dyDescent="0.2">
      <c r="A209" s="22" t="s">
        <v>99</v>
      </c>
    </row>
    <row r="210" spans="1:1" ht="20.100000000000001" customHeight="1" x14ac:dyDescent="0.2">
      <c r="A210" s="21" t="s">
        <v>100</v>
      </c>
    </row>
    <row r="211" spans="1:1" ht="20.100000000000001" customHeight="1" x14ac:dyDescent="0.2">
      <c r="A211" s="21" t="s">
        <v>101</v>
      </c>
    </row>
    <row r="212" spans="1:1" ht="20.100000000000001" customHeight="1" x14ac:dyDescent="0.2">
      <c r="A212" s="21" t="s">
        <v>102</v>
      </c>
    </row>
    <row r="213" spans="1:1" ht="20.100000000000001" customHeight="1" x14ac:dyDescent="0.2">
      <c r="A213" s="21" t="s">
        <v>103</v>
      </c>
    </row>
    <row r="214" spans="1:1" ht="20.100000000000001" customHeight="1" x14ac:dyDescent="0.2">
      <c r="A214" s="21" t="s">
        <v>104</v>
      </c>
    </row>
    <row r="215" spans="1:1" ht="20.100000000000001" customHeight="1" x14ac:dyDescent="0.2">
      <c r="A215" s="21" t="s">
        <v>105</v>
      </c>
    </row>
    <row r="216" spans="1:1" ht="20.100000000000001" customHeight="1" x14ac:dyDescent="0.2">
      <c r="A216" s="21" t="s">
        <v>106</v>
      </c>
    </row>
    <row r="217" spans="1:1" ht="20.100000000000001" customHeight="1" x14ac:dyDescent="0.2">
      <c r="A217" s="21" t="s">
        <v>107</v>
      </c>
    </row>
    <row r="218" spans="1:1" ht="20.100000000000001" customHeight="1" x14ac:dyDescent="0.2">
      <c r="A218" s="21" t="s">
        <v>108</v>
      </c>
    </row>
    <row r="219" spans="1:1" ht="20.100000000000001" customHeight="1" x14ac:dyDescent="0.2">
      <c r="A219" s="21" t="s">
        <v>109</v>
      </c>
    </row>
    <row r="220" spans="1:1" ht="20.100000000000001" customHeight="1" x14ac:dyDescent="0.2">
      <c r="A220" s="21" t="s">
        <v>110</v>
      </c>
    </row>
    <row r="221" spans="1:1" ht="20.100000000000001" customHeight="1" x14ac:dyDescent="0.2">
      <c r="A221" s="21" t="s">
        <v>111</v>
      </c>
    </row>
    <row r="222" spans="1:1" ht="20.100000000000001" customHeight="1" x14ac:dyDescent="0.2">
      <c r="A222" s="21" t="s">
        <v>112</v>
      </c>
    </row>
    <row r="223" spans="1:1" ht="20.100000000000001" customHeight="1" x14ac:dyDescent="0.2">
      <c r="A223" s="21" t="s">
        <v>113</v>
      </c>
    </row>
    <row r="224" spans="1:1" ht="20.100000000000001" customHeight="1" x14ac:dyDescent="0.2">
      <c r="A224" s="21" t="s">
        <v>114</v>
      </c>
    </row>
    <row r="225" spans="1:1" ht="20.100000000000001" customHeight="1" x14ac:dyDescent="0.2">
      <c r="A225" s="21" t="s">
        <v>115</v>
      </c>
    </row>
    <row r="226" spans="1:1" ht="20.100000000000001" customHeight="1" x14ac:dyDescent="0.2">
      <c r="A226" s="21" t="s">
        <v>116</v>
      </c>
    </row>
    <row r="227" spans="1:1" ht="20.100000000000001" customHeight="1" x14ac:dyDescent="0.2">
      <c r="A227" s="21" t="s">
        <v>117</v>
      </c>
    </row>
    <row r="228" spans="1:1" ht="20.100000000000001" customHeight="1" x14ac:dyDescent="0.2">
      <c r="A228" s="21" t="s">
        <v>118</v>
      </c>
    </row>
    <row r="229" spans="1:1" ht="20.100000000000001" customHeight="1" x14ac:dyDescent="0.2">
      <c r="A229" s="21" t="s">
        <v>119</v>
      </c>
    </row>
    <row r="230" spans="1:1" ht="20.100000000000001" customHeight="1" x14ac:dyDescent="0.2">
      <c r="A230" s="21" t="s">
        <v>120</v>
      </c>
    </row>
    <row r="231" spans="1:1" ht="20.100000000000001" customHeight="1" x14ac:dyDescent="0.2">
      <c r="A231" s="21" t="s">
        <v>121</v>
      </c>
    </row>
    <row r="232" spans="1:1" ht="20.100000000000001" customHeight="1" x14ac:dyDescent="0.2">
      <c r="A232" s="21" t="s">
        <v>122</v>
      </c>
    </row>
    <row r="233" spans="1:1" ht="20.100000000000001" customHeight="1" x14ac:dyDescent="0.2">
      <c r="A233" s="21" t="s">
        <v>123</v>
      </c>
    </row>
    <row r="234" spans="1:1" ht="20.100000000000001" customHeight="1" x14ac:dyDescent="0.2">
      <c r="A234" s="21" t="s">
        <v>124</v>
      </c>
    </row>
    <row r="235" spans="1:1" ht="20.100000000000001" customHeight="1" x14ac:dyDescent="0.2">
      <c r="A235" s="23" t="s">
        <v>125</v>
      </c>
    </row>
    <row r="236" spans="1:1" ht="20.100000000000001" customHeight="1" x14ac:dyDescent="0.2">
      <c r="A236" s="21" t="s">
        <v>126</v>
      </c>
    </row>
    <row r="237" spans="1:1" ht="20.100000000000001" customHeight="1" x14ac:dyDescent="0.2">
      <c r="A237" s="21" t="s">
        <v>127</v>
      </c>
    </row>
    <row r="238" spans="1:1" ht="20.100000000000001" customHeight="1" x14ac:dyDescent="0.2">
      <c r="A238" s="21" t="s">
        <v>128</v>
      </c>
    </row>
    <row r="239" spans="1:1" ht="20.100000000000001" customHeight="1" x14ac:dyDescent="0.2">
      <c r="A239" s="21" t="s">
        <v>129</v>
      </c>
    </row>
    <row r="240" spans="1:1" ht="20.100000000000001" customHeight="1" x14ac:dyDescent="0.2">
      <c r="A240" s="21" t="s">
        <v>130</v>
      </c>
    </row>
    <row r="241" spans="1:1" ht="20.100000000000001" customHeight="1" x14ac:dyDescent="0.2">
      <c r="A241" s="21" t="s">
        <v>131</v>
      </c>
    </row>
    <row r="242" spans="1:1" ht="20.100000000000001" customHeight="1" x14ac:dyDescent="0.2">
      <c r="A242" s="21" t="s">
        <v>132</v>
      </c>
    </row>
    <row r="243" spans="1:1" ht="20.100000000000001" customHeight="1" x14ac:dyDescent="0.2">
      <c r="A243" s="21" t="s">
        <v>133</v>
      </c>
    </row>
    <row r="244" spans="1:1" ht="20.100000000000001" customHeight="1" x14ac:dyDescent="0.2">
      <c r="A244" s="21" t="s">
        <v>134</v>
      </c>
    </row>
    <row r="245" spans="1:1" ht="20.100000000000001" customHeight="1" x14ac:dyDescent="0.2">
      <c r="A245" s="21" t="s">
        <v>135</v>
      </c>
    </row>
    <row r="246" spans="1:1" ht="20.100000000000001" customHeight="1" x14ac:dyDescent="0.2">
      <c r="A246" s="21" t="s">
        <v>136</v>
      </c>
    </row>
    <row r="247" spans="1:1" ht="20.100000000000001" customHeight="1" x14ac:dyDescent="0.2">
      <c r="A247" s="21" t="s">
        <v>127</v>
      </c>
    </row>
    <row r="248" spans="1:1" ht="20.100000000000001" customHeight="1" x14ac:dyDescent="0.2">
      <c r="A248" s="21" t="s">
        <v>137</v>
      </c>
    </row>
    <row r="249" spans="1:1" ht="20.100000000000001" customHeight="1" x14ac:dyDescent="0.2">
      <c r="A249" s="21" t="s">
        <v>138</v>
      </c>
    </row>
    <row r="250" spans="1:1" ht="20.100000000000001" customHeight="1" x14ac:dyDescent="0.2">
      <c r="A250" s="23" t="s">
        <v>139</v>
      </c>
    </row>
    <row r="251" spans="1:1" ht="20.100000000000001" customHeight="1" x14ac:dyDescent="0.2">
      <c r="A251" s="24" t="s">
        <v>140</v>
      </c>
    </row>
    <row r="252" spans="1:1" ht="20.100000000000001" customHeight="1" x14ac:dyDescent="0.2">
      <c r="A252" s="21" t="s">
        <v>141</v>
      </c>
    </row>
    <row r="253" spans="1:1" ht="20.100000000000001" customHeight="1" x14ac:dyDescent="0.2">
      <c r="A253" s="21" t="s">
        <v>142</v>
      </c>
    </row>
    <row r="254" spans="1:1" ht="20.100000000000001" customHeight="1" x14ac:dyDescent="0.2">
      <c r="A254" s="25" t="s">
        <v>143</v>
      </c>
    </row>
    <row r="255" spans="1:1" ht="20.100000000000001" customHeight="1" x14ac:dyDescent="0.2">
      <c r="A255" s="25" t="s">
        <v>144</v>
      </c>
    </row>
    <row r="256" spans="1:1" ht="20.100000000000001" customHeight="1" x14ac:dyDescent="0.2">
      <c r="A256" s="26" t="s">
        <v>145</v>
      </c>
    </row>
    <row r="257" spans="1:1" ht="20.100000000000001" customHeight="1" x14ac:dyDescent="0.2">
      <c r="A257" s="21" t="s">
        <v>146</v>
      </c>
    </row>
    <row r="258" spans="1:1" ht="20.100000000000001" customHeight="1" x14ac:dyDescent="0.2">
      <c r="A258" s="26" t="s">
        <v>147</v>
      </c>
    </row>
    <row r="259" spans="1:1" ht="20.100000000000001" customHeight="1" x14ac:dyDescent="0.2">
      <c r="A259" s="21" t="s">
        <v>148</v>
      </c>
    </row>
    <row r="260" spans="1:1" ht="20.100000000000001" customHeight="1" x14ac:dyDescent="0.2">
      <c r="A260" s="26" t="s">
        <v>149</v>
      </c>
    </row>
    <row r="261" spans="1:1" ht="20.100000000000001" customHeight="1" x14ac:dyDescent="0.2">
      <c r="A261" s="21" t="s">
        <v>150</v>
      </c>
    </row>
    <row r="262" spans="1:1" ht="20.100000000000001" customHeight="1" x14ac:dyDescent="0.2">
      <c r="A262" s="21" t="s">
        <v>151</v>
      </c>
    </row>
    <row r="263" spans="1:1" ht="20.100000000000001" customHeight="1" x14ac:dyDescent="0.2">
      <c r="A263" s="26" t="s">
        <v>152</v>
      </c>
    </row>
    <row r="264" spans="1:1" ht="20.100000000000001" customHeight="1" x14ac:dyDescent="0.2">
      <c r="A264" s="26" t="s">
        <v>153</v>
      </c>
    </row>
    <row r="265" spans="1:1" ht="20.100000000000001" customHeight="1" x14ac:dyDescent="0.2">
      <c r="A265" s="26" t="s">
        <v>154</v>
      </c>
    </row>
    <row r="266" spans="1:1" ht="20.100000000000001" customHeight="1" x14ac:dyDescent="0.2">
      <c r="A266" s="21" t="s">
        <v>155</v>
      </c>
    </row>
    <row r="267" spans="1:1" ht="20.100000000000001" customHeight="1" x14ac:dyDescent="0.2">
      <c r="A267" s="21" t="s">
        <v>156</v>
      </c>
    </row>
    <row r="268" spans="1:1" ht="20.100000000000001" customHeight="1" x14ac:dyDescent="0.2">
      <c r="A268" s="21" t="s">
        <v>157</v>
      </c>
    </row>
    <row r="269" spans="1:1" ht="20.100000000000001" customHeight="1" x14ac:dyDescent="0.2">
      <c r="A269" s="21" t="s">
        <v>158</v>
      </c>
    </row>
    <row r="270" spans="1:1" ht="20.100000000000001" customHeight="1" x14ac:dyDescent="0.2">
      <c r="A270" s="26" t="s">
        <v>159</v>
      </c>
    </row>
    <row r="271" spans="1:1" ht="20.100000000000001" customHeight="1" x14ac:dyDescent="0.2">
      <c r="A271" s="26" t="s">
        <v>160</v>
      </c>
    </row>
    <row r="272" spans="1:1" ht="20.100000000000001" customHeight="1" x14ac:dyDescent="0.2">
      <c r="A272" s="21" t="s">
        <v>161</v>
      </c>
    </row>
    <row r="273" spans="1:1" ht="20.100000000000001" customHeight="1" x14ac:dyDescent="0.2">
      <c r="A273" s="26" t="s">
        <v>162</v>
      </c>
    </row>
    <row r="274" spans="1:1" ht="20.100000000000001" customHeight="1" x14ac:dyDescent="0.2">
      <c r="A274" s="26" t="s">
        <v>163</v>
      </c>
    </row>
    <row r="275" spans="1:1" ht="20.100000000000001" customHeight="1" x14ac:dyDescent="0.2">
      <c r="A275" s="21" t="s">
        <v>164</v>
      </c>
    </row>
    <row r="276" spans="1:1" ht="20.100000000000001" customHeight="1" x14ac:dyDescent="0.2">
      <c r="A276" s="21" t="s">
        <v>165</v>
      </c>
    </row>
    <row r="277" spans="1:1" ht="20.100000000000001" customHeight="1" x14ac:dyDescent="0.2">
      <c r="A277" s="26" t="s">
        <v>166</v>
      </c>
    </row>
    <row r="278" spans="1:1" ht="20.100000000000001" customHeight="1" x14ac:dyDescent="0.2">
      <c r="A278" s="21" t="s">
        <v>167</v>
      </c>
    </row>
    <row r="279" spans="1:1" ht="20.100000000000001" customHeight="1" x14ac:dyDescent="0.2">
      <c r="A279" s="21" t="s">
        <v>168</v>
      </c>
    </row>
    <row r="280" spans="1:1" ht="20.100000000000001" customHeight="1" x14ac:dyDescent="0.2">
      <c r="A280" s="21" t="s">
        <v>169</v>
      </c>
    </row>
    <row r="281" spans="1:1" ht="20.100000000000001" customHeight="1" x14ac:dyDescent="0.2">
      <c r="A281" s="21" t="s">
        <v>170</v>
      </c>
    </row>
    <row r="282" spans="1:1" ht="20.100000000000001" customHeight="1" x14ac:dyDescent="0.2">
      <c r="A282" s="26" t="s">
        <v>171</v>
      </c>
    </row>
    <row r="283" spans="1:1" ht="20.100000000000001" customHeight="1" x14ac:dyDescent="0.2">
      <c r="A283" s="26" t="s">
        <v>172</v>
      </c>
    </row>
    <row r="284" spans="1:1" ht="20.100000000000001" customHeight="1" x14ac:dyDescent="0.2">
      <c r="A284" s="26" t="s">
        <v>173</v>
      </c>
    </row>
    <row r="285" spans="1:1" ht="20.100000000000001" customHeight="1" thickBot="1" x14ac:dyDescent="0.25">
      <c r="A285" s="21" t="s">
        <v>174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2025-10-22T04:13:12Z</dcterms:modified>
</cp:coreProperties>
</file>