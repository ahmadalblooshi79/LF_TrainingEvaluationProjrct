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82D172AB-ED92-4A62-85FA-975F09673A2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التقييم'!$A$1:$J$38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8" i="2"/>
  <c r="H18" i="2"/>
  <c r="G19" i="2"/>
  <c r="H19" i="2"/>
  <c r="G20" i="2"/>
  <c r="H20" i="2"/>
  <c r="G21" i="2"/>
  <c r="H21" i="2"/>
  <c r="G22" i="2"/>
  <c r="H22" i="2"/>
  <c r="G23" i="2"/>
  <c r="H23" i="2"/>
  <c r="G24" i="2"/>
  <c r="H24" i="2"/>
  <c r="G25" i="2"/>
  <c r="H25" i="2"/>
  <c r="G26" i="2"/>
  <c r="H26" i="2"/>
  <c r="G27" i="2"/>
  <c r="H27" i="2"/>
  <c r="G29" i="2"/>
  <c r="H29" i="2"/>
  <c r="G30" i="2"/>
  <c r="H30" i="2"/>
  <c r="G31" i="2"/>
  <c r="H31" i="2"/>
  <c r="G32" i="2"/>
  <c r="H32" i="2"/>
  <c r="G33" i="2"/>
  <c r="H33" i="2"/>
  <c r="F34" i="2"/>
  <c r="E34" i="2"/>
  <c r="E35" i="2"/>
  <c r="E36" i="2"/>
</calcChain>
</file>

<file path=xl/sharedStrings.xml><?xml version="1.0" encoding="utf-8"?>
<sst xmlns="http://schemas.openxmlformats.org/spreadsheetml/2006/main" count="264" uniqueCount="208">
  <si>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</si>
  <si>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</si>
  <si>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</si>
  <si>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</si>
  <si>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</si>
  <si>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</si>
  <si>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</si>
  <si>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</si>
  <si>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</si>
  <si>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</si>
  <si>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</si>
  <si>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</si>
  <si>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</si>
  <si>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</si>
  <si>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</si>
  <si>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</si>
  <si>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</si>
  <si>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</si>
  <si>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</si>
  <si>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</si>
  <si>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</si>
  <si>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</si>
  <si>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</si>
  <si>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</si>
  <si>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</si>
  <si>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</si>
  <si>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</si>
  <si>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</si>
  <si>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</si>
  <si>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</si>
  <si>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</si>
  <si>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</si>
  <si>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</si>
  <si>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</si>
  <si>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</si>
  <si>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</si>
  <si>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</si>
  <si>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</si>
  <si>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</si>
  <si>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</si>
  <si>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</si>
  <si>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</si>
  <si>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</si>
  <si>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</si>
  <si>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</si>
  <si>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</si>
  <si>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</si>
  <si>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</si>
  <si>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</si>
  <si>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</si>
  <si>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</si>
  <si>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</si>
  <si>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</si>
  <si>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</si>
  <si>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</si>
  <si>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</si>
  <si>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</si>
  <si>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</si>
  <si>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</si>
  <si>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</si>
  <si>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</si>
  <si>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</si>
  <si>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</si>
  <si>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</si>
  <si>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</si>
  <si>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</si>
  <si>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</si>
  <si>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</si>
  <si>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</si>
  <si>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</si>
  <si>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</si>
  <si>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</si>
  <si>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</si>
  <si>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</si>
  <si>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</si>
  <si>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</si>
  <si>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</si>
  <si>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</si>
  <si>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</si>
  <si>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</si>
  <si>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</si>
  <si>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</si>
  <si>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</si>
  <si>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</si>
  <si>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</si>
  <si>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</si>
  <si>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</si>
  <si>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</si>
  <si>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</si>
  <si>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</si>
  <si>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</si>
  <si>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</si>
  <si>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</si>
  <si>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</si>
  <si>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</si>
  <si>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</si>
  <si>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</si>
  <si>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</si>
  <si>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</si>
  <si>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</si>
  <si>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</si>
  <si>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</si>
  <si>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</si>
  <si>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</si>
  <si>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</si>
  <si>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</si>
  <si>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</si>
  <si>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</si>
  <si>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</si>
  <si>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</si>
  <si>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</si>
  <si>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</si>
  <si>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</si>
  <si>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</si>
  <si>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</si>
  <si>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</si>
  <si>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</si>
  <si>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</si>
  <si>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</si>
  <si>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</si>
  <si>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</si>
  <si>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</si>
  <si>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</si>
  <si>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</si>
  <si>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</si>
  <si>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</si>
  <si>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</si>
  <si>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</si>
  <si>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</si>
  <si>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</si>
  <si>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</si>
  <si>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</si>
  <si>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</si>
  <si>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</si>
  <si>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</si>
  <si>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</si>
  <si>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</si>
  <si>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</si>
  <si>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</si>
  <si>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</si>
  <si>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</si>
  <si>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</si>
  <si>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</si>
  <si>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</si>
  <si>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</si>
  <si>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</si>
  <si>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</si>
  <si>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</si>
  <si>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</si>
  <si>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</si>
  <si>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</si>
  <si>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</si>
  <si>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</si>
  <si>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</si>
  <si>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</si>
  <si>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</si>
  <si>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</si>
  <si>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</si>
  <si>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</si>
  <si>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</si>
  <si>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</si>
  <si>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</si>
  <si>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</si>
  <si>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</si>
  <si>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</si>
  <si>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</si>
  <si>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</si>
  <si>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</si>
  <si>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</si>
  <si>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</si>
  <si>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</si>
  <si>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</si>
  <si>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</si>
  <si>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</si>
  <si>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</si>
  <si>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</si>
  <si>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</si>
  <si>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</si>
  <si>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</si>
  <si>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</si>
  <si>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t>1.</t>
    </r>
    <r>
      <rPr>
        <sz val="7"/>
        <color rgb="FF000000"/>
        <rFont val="Times New Roman"/>
        <family val="1"/>
      </rPr>
      <t xml:space="preserve">      </t>
    </r>
    <r>
      <rPr>
        <b/>
        <u/>
        <sz val="12"/>
        <color rgb="FF000000"/>
        <rFont val="Arial"/>
        <family val="2"/>
      </rPr>
      <t>توزيع القوة في منطقة التجمع (الانتشار في منطقة التجمع على شكل الدفاع الدائري).</t>
    </r>
  </si>
  <si>
    <t>أ. وصول القوة إلى منطقة التجمع.</t>
  </si>
  <si>
    <t>ب. إنشاء دفاع محلي.</t>
  </si>
  <si>
    <t>جـ. تخصيص المواقع في منطقة التجمع.</t>
  </si>
  <si>
    <t xml:space="preserve">د. تأشير نقاط الالتقاء </t>
  </si>
  <si>
    <t>هـ. تأشير مواقع الآليات (ليلاً / نهاراً).</t>
  </si>
  <si>
    <t>و. تأشير مواقع الأخطار في المنطقة.</t>
  </si>
  <si>
    <t>ز. تأشير موقع القيادة الرئيسية.</t>
  </si>
  <si>
    <t>ح. تأشير مواقع الإسناد (الصيانة - الإسناد الطبي - مواقع الأرزاق).</t>
  </si>
  <si>
    <r>
      <t>2.</t>
    </r>
    <r>
      <rPr>
        <sz val="7"/>
        <color rgb="FF000000"/>
        <rFont val="Times New Roman"/>
        <family val="1"/>
      </rPr>
      <t xml:space="preserve">      </t>
    </r>
    <r>
      <rPr>
        <b/>
        <u/>
        <sz val="12"/>
        <color rgb="FF000000"/>
        <rFont val="Arial"/>
        <family val="2"/>
      </rPr>
      <t>إجراءات الحماية والدفاع الدائري في منطقه التجمع</t>
    </r>
    <r>
      <rPr>
        <b/>
        <sz val="12"/>
        <color rgb="FF000000"/>
        <rFont val="Arial"/>
        <family val="2"/>
      </rPr>
      <t>.</t>
    </r>
  </si>
  <si>
    <t>أ. التأكد من التوزيع الدائري في منطقه التجمع.</t>
  </si>
  <si>
    <t>ب. تحديد الطرق إلى منطقه التجمع (نقاط الضبط والسيطرة).</t>
  </si>
  <si>
    <t>د. إخراج الدوريات والمراقبات.</t>
  </si>
  <si>
    <t>هـ. بناء الأسلاك الشائكة عند الضرورة.</t>
  </si>
  <si>
    <t>و. تحديد المواقع البديلة في حال التعرض للهجوم.</t>
  </si>
  <si>
    <t>ز. التأكد من استخدام وفاعليه أجهزة المراقبة الليلية.</t>
  </si>
  <si>
    <t>ح. الحماية بالنيران.</t>
  </si>
  <si>
    <t>ط. انتخاب نقاط مرجع (GPS) حول منطقه التجمع.</t>
  </si>
  <si>
    <r>
      <t>3.</t>
    </r>
    <r>
      <rPr>
        <sz val="7"/>
        <color rgb="FF000000"/>
        <rFont val="Times New Roman"/>
        <family val="1"/>
      </rPr>
      <t xml:space="preserve">      </t>
    </r>
    <r>
      <rPr>
        <b/>
        <u/>
        <sz val="12"/>
        <color rgb="FF000000"/>
        <rFont val="Arial"/>
        <family val="2"/>
      </rPr>
      <t>استكمال التحضيرات والتفتيشات وسد النقص</t>
    </r>
    <r>
      <rPr>
        <b/>
        <sz val="12"/>
        <color rgb="FF000000"/>
        <rFont val="Arial"/>
        <family val="2"/>
      </rPr>
      <t>.</t>
    </r>
  </si>
  <si>
    <t>أ. استكمال النقص في الذخيرة.</t>
  </si>
  <si>
    <t>ب. استكمال النقص في الوقود.</t>
  </si>
  <si>
    <t>جـ. استكمال مواد الإسناد الإداري.</t>
  </si>
  <si>
    <t>د. تفقد شبكات الاتصالات.</t>
  </si>
  <si>
    <t>هـ. تفقد وصيانته الآليات والأسلحة.</t>
  </si>
  <si>
    <r>
      <t xml:space="preserve">ي. </t>
    </r>
    <r>
      <rPr>
        <sz val="12"/>
        <color theme="1"/>
        <rFont val="Arial"/>
        <family val="2"/>
      </rPr>
      <t>تحديد خطه استخدام الهاون وخطوط النيران.</t>
    </r>
  </si>
  <si>
    <r>
      <rPr>
        <b/>
        <sz val="14"/>
        <color rgb="FF000000"/>
        <rFont val="Arial"/>
        <family val="2"/>
      </rPr>
      <t>تقييم فصيل الهاون في منطقة التجمع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</si>
  <si>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t>جـ. تحديد الاتصالات واللاسلكية ومد الخطوط السلكية (ان لزم الأمر).</t>
  </si>
  <si>
    <t>ملازم/1 خليفة سعيد المسافري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</si>
</sst>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7"/>
      <color rgb="FF000000"/>
      <name val="Times New Roman"/>
      <family val="1"/>
    </font>
    <font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3" fillId="0" borderId="3" xfId="0" applyFont="1" applyBorder="1" applyAlignment="1">
      <alignment horizontal="center" vertical="center" wrapText="1" readingOrder="2"/>
    </xf>
    <xf numFmtId="0" fontId="3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14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16" xfId="0" applyFont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12" fillId="0" borderId="22" xfId="0" applyFont="1" applyBorder="1" applyAlignment="1">
      <alignment horizontal="right" vertical="center" wrapText="1" readingOrder="2"/>
    </xf>
    <xf numFmtId="0" fontId="12" fillId="0" borderId="23" xfId="0" applyFont="1" applyBorder="1" applyAlignment="1">
      <alignment horizontal="right" vertical="center" wrapText="1" readingOrder="2"/>
    </xf>
    <xf numFmtId="0" fontId="12" fillId="0" borderId="24" xfId="0" applyFont="1" applyBorder="1" applyAlignment="1">
      <alignment horizontal="right" vertical="center" wrapText="1" readingOrder="2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2" fillId="0" borderId="21" xfId="0" applyFont="1" applyBorder="1" applyAlignment="1">
      <alignment horizontal="right" vertical="center" wrapText="1" indent="2"/>
    </xf>
    <xf numFmtId="0" fontId="12" fillId="0" borderId="3" xfId="0" applyFont="1" applyBorder="1" applyAlignment="1">
      <alignment horizontal="right" vertical="center" wrapText="1" indent="2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7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14" fillId="0" borderId="11" xfId="0" applyFont="1" applyBorder="1" applyAlignment="1">
      <alignment horizontal="right" vertical="center" wrapText="1" indent="2"/>
    </xf>
    <xf numFmtId="0" fontId="14" fillId="0" borderId="12" xfId="0" applyFont="1" applyBorder="1" applyAlignment="1">
      <alignment horizontal="right" vertical="center" wrapText="1" indent="2"/>
    </xf>
    <xf numFmtId="0" fontId="12" fillId="0" borderId="11" xfId="0" applyFont="1" applyBorder="1" applyAlignment="1">
      <alignment horizontal="right" vertical="center" wrapText="1" indent="2"/>
    </xf>
    <xf numFmtId="0" fontId="12" fillId="0" borderId="12" xfId="0" applyFont="1" applyBorder="1" applyAlignment="1">
      <alignment horizontal="right" vertical="center" wrapText="1" indent="2"/>
    </xf>
  </cellXfs>
  <cellStyles count="1">
    <cellStyle name="Normal" xfId="0" builtinId="0"/>
  </cellStyles>
  <dxfs count="25"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320350</xdr:colOff>
      <xdr:row>36</xdr:row>
      <xdr:rowOff>431621</xdr:rowOff>
    </xdr:from>
    <xdr:to>
      <xdr:col>8</xdr:col>
      <xdr:colOff>577973</xdr:colOff>
      <xdr:row>37</xdr:row>
      <xdr:rowOff>593844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96104259-5C86-DF32-0DC1-A3BB3133E6C7}"/>
                </a:ext>
              </a:extLst>
            </xdr14:cNvPr>
            <xdr14:cNvContentPartPr/>
          </xdr14:nvContentPartPr>
          <xdr14:nvPr macro=""/>
          <xdr14:xfrm>
            <a:off x="10375614885" y="14108760"/>
            <a:ext cx="916560" cy="69444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96104259-5C86-DF32-0DC1-A3BB3133E6C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75608765" y="14102640"/>
              <a:ext cx="928800" cy="706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58630</xdr:colOff>
      <xdr:row>37</xdr:row>
      <xdr:rowOff>533004</xdr:rowOff>
    </xdr:from>
    <xdr:to>
      <xdr:col>7</xdr:col>
      <xdr:colOff>58990</xdr:colOff>
      <xdr:row>37</xdr:row>
      <xdr:rowOff>533364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10CACFD6-3D98-6764-60CF-C1A4587ECD16}"/>
                </a:ext>
              </a:extLst>
            </xdr14:cNvPr>
            <xdr14:cNvContentPartPr/>
          </xdr14:nvContentPartPr>
          <xdr14:nvPr macro=""/>
          <xdr14:xfrm>
            <a:off x="10376792805" y="1474236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10CACFD6-3D98-6764-60CF-C1A4587ECD1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376786685" y="1473624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07T17:28:04.2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2491 1764,'0'0,"0"0,0 0,0 0,0 0,0 0,0 0,-23 0,20 0,-18 0,21 0,0 0,-45 0,22 0,20 0,-18 0,-24 0,35 0,-27 0,-8 24,38-21,-33-6,-5 3,36 0,-52 23,-8 1,57-21,-20 17,-38-20,58 0,-21 23,-38-23,62 0,-27 0,13 24,21-20,-41-8,19 4,22 0,-19 0,-3 0,22 0,-17-24,-5 24,22 0,4-23,-25 23,23-23,0 19,-24-16,22 18,4-19,-22-3,15 20,10-15,-29 19,21 0,-17-24,-4 24,21 0,-15 0,-6 0,21 0,-41 0,23 0,16 0,-37 24,-3-1,36-19,-29-8,-31 28,58-20,-24 15,-10 5,36-21,-5 17,-34 3,41-19,-6 16,-11 3,21-19,-17-8,8 4,47-23,-11-1,44-22,-56 38,44-78,82-33,-114 100,89-102,50-20,-138 117,109-117,27 0,-136 119,89-97,22 2,-115 98,73-57,-25 29,-58 40,48-33,-37-7,-18 40,15 14,-7-7,-47 0,13 23,-48 24,63-40,-100 57,-55 54,136-100,-108 81,-26 19,134-99,-111 103,1-28,113-78,-69 86,-24-32,98-58,-9 47,-19-13,39-38,37-39,-7 8,-20 19,18-16,24-50,-35 58,72-70,10-12,-78 78,64-86,36 8,-97 79,35-64,16 8,-56 60,47-48,-14 12,-36 40,5-9,-14-9,0 22,0 31,-23-5,20-19,-18 16,-24 27,35-40,-48 79,-34 32,78-101,-63 60,-15 41,77-99,-41 32,-12 20,56-60,-21 48,-14-12,38-39,-6 8,15-40,0 20,24-39,-1-4,-20 40,39-80,29-54,-61 118,48-119,34-45,-78 157,40-129,14-29,-56 158,23-81,10-7,-35 99,-20-56,-11 5,16 58,-37 0,-27 12,58 0,-116 24,-10 23,114-40,-138 56,-45 31,171-77,-137 108,-12 15,156-117,-127 119,18 46,116-158,-49 105,22 6,39-118,18 72,39 46,-41-117,77 69,53 1,-117-80,99 43,64-10,-152-39,143 31,56-15,-192-21,176-30,40-20,-216 40,153-81,15-6,-170 79,89-87,-125 102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07T17:28:04.6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0,'0'0,"0"0,0 0,0 0,0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38"/>
  <sheetViews>
    <sheetView rightToLeft="1" tabSelected="1" view="pageBreakPreview" zoomScale="130" zoomScaleNormal="100" zoomScaleSheetLayoutView="130" workbookViewId="0">
      <selection activeCell="D4" sqref="D4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60" t="s">
        <v>205</v>
      </c>
      <c r="C1" s="60"/>
      <c r="D1" s="60"/>
      <c r="E1" s="60"/>
      <c r="F1" s="60"/>
      <c r="G1" s="60"/>
      <c r="H1" s="60"/>
      <c r="I1" s="60"/>
      <c r="J1" s="60"/>
    </row>
    <row r="2" spans="1:10" ht="30" customHeight="1" x14ac:dyDescent="0.3">
      <c r="B2" s="12" t="s">
        <v>8</v>
      </c>
      <c r="C2" s="66" t="s">
        <v>11</v>
      </c>
      <c r="D2" s="66"/>
      <c r="E2" s="12" t="s">
        <v>7</v>
      </c>
      <c r="F2" s="61">
        <v>45937</v>
      </c>
      <c r="G2" s="61"/>
      <c r="H2" s="61"/>
      <c r="I2" s="61"/>
      <c r="J2" s="61"/>
    </row>
    <row r="3" spans="1:10" ht="30" customHeight="1" x14ac:dyDescent="0.3">
      <c r="B3" s="12" t="s">
        <v>9</v>
      </c>
      <c r="C3" s="66" t="s">
        <v>60</v>
      </c>
      <c r="D3" s="66"/>
      <c r="E3" s="12" t="s">
        <v>6</v>
      </c>
      <c r="F3" s="66" t="s">
        <v>134</v>
      </c>
      <c r="G3" s="66"/>
      <c r="H3" s="66"/>
      <c r="I3" s="66"/>
      <c r="J3" s="66"/>
    </row>
    <row r="4" spans="1:10" ht="30" customHeight="1" thickBot="1" x14ac:dyDescent="0.35">
      <c r="B4" s="6"/>
      <c r="C4" s="7"/>
      <c r="D4" s="35" t="s">
        <v>207</v>
      </c>
      <c r="E4" s="6"/>
      <c r="F4" s="7"/>
      <c r="G4" s="7"/>
      <c r="H4" s="8"/>
      <c r="I4" s="7"/>
      <c r="J4" s="7"/>
    </row>
    <row r="5" spans="1:10" ht="24.9" customHeight="1" x14ac:dyDescent="0.3">
      <c r="A5" s="10"/>
      <c r="B5" s="62" t="s">
        <v>0</v>
      </c>
      <c r="C5" s="63"/>
      <c r="D5" s="63"/>
      <c r="E5" s="71" t="s">
        <v>1</v>
      </c>
      <c r="F5" s="71"/>
      <c r="G5" s="71"/>
      <c r="H5" s="71"/>
      <c r="I5" s="71" t="s">
        <v>2</v>
      </c>
      <c r="J5" s="72"/>
    </row>
    <row r="6" spans="1:10" ht="24.9" customHeight="1" thickBot="1" x14ac:dyDescent="0.35">
      <c r="A6" s="10"/>
      <c r="B6" s="64"/>
      <c r="C6" s="65"/>
      <c r="D6" s="65"/>
      <c r="E6" s="11" t="s">
        <v>3</v>
      </c>
      <c r="F6" s="11" t="s">
        <v>4</v>
      </c>
      <c r="G6" s="11" t="s">
        <v>23</v>
      </c>
      <c r="H6" s="11" t="s">
        <v>24</v>
      </c>
      <c r="I6" s="73"/>
      <c r="J6" s="74"/>
    </row>
    <row r="7" spans="1:10" ht="24.9" customHeight="1" thickBot="1" x14ac:dyDescent="0.35">
      <c r="A7" s="10"/>
      <c r="B7" s="69" t="s">
        <v>21</v>
      </c>
      <c r="C7" s="70"/>
      <c r="D7" s="70"/>
      <c r="E7" s="28" t="s">
        <v>18</v>
      </c>
      <c r="F7" s="28" t="s">
        <v>19</v>
      </c>
      <c r="G7" s="28" t="s">
        <v>22</v>
      </c>
      <c r="H7" s="28" t="s">
        <v>20</v>
      </c>
      <c r="I7" s="43" t="s">
        <v>25</v>
      </c>
      <c r="J7" s="44"/>
    </row>
    <row r="8" spans="1:10" ht="30" customHeight="1" x14ac:dyDescent="0.3">
      <c r="A8" s="10"/>
      <c r="B8" s="45" t="s">
        <v>180</v>
      </c>
      <c r="C8" s="46"/>
      <c r="D8" s="46"/>
      <c r="E8" s="46"/>
      <c r="F8" s="46"/>
      <c r="G8" s="46"/>
      <c r="H8" s="46"/>
      <c r="I8" s="46"/>
      <c r="J8" s="47"/>
    </row>
    <row r="9" spans="1:10" ht="30" customHeight="1" x14ac:dyDescent="0.3">
      <c r="A9" s="10"/>
      <c r="B9" s="52" t="s">
        <v>181</v>
      </c>
      <c r="C9" s="53"/>
      <c r="D9" s="53"/>
      <c r="E9" s="31">
        <v>5</v>
      </c>
      <c r="F9" s="26">
        <v>3.75</v>
      </c>
      <c r="G9" s="29">
        <f>IFERROR(F9/E9,"")</f>
        <v>0.75</v>
      </c>
      <c r="H9" s="30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41"/>
      <c r="J9" s="42"/>
    </row>
    <row r="10" spans="1:10" ht="30" customHeight="1" x14ac:dyDescent="0.3">
      <c r="A10" s="10"/>
      <c r="B10" s="52" t="s">
        <v>182</v>
      </c>
      <c r="C10" s="53"/>
      <c r="D10" s="53"/>
      <c r="E10" s="31">
        <v>5</v>
      </c>
      <c r="F10" s="26">
        <v>3.75</v>
      </c>
      <c r="G10" s="29">
        <f t="shared" ref="G10:G33" si="0">IFERROR(F10/E10,"")</f>
        <v>0.75</v>
      </c>
      <c r="H10" s="30" t="str">
        <f t="shared" ref="H10:H33" si="1">_xlfn.IFS(F10="أدخل العلامة","",F10="لا ينطبق","تم الإلغاء",G10&gt;=90%,"ممتاز",G10&gt;=80%,"جيد جداً",G10&gt;=70%,"جيد",G10&gt;=60%,"مقبول",G10&lt;60%,"راسب")</f>
        <v>جيد</v>
      </c>
      <c r="I10" s="41"/>
      <c r="J10" s="42"/>
    </row>
    <row r="11" spans="1:10" ht="30" customHeight="1" x14ac:dyDescent="0.3">
      <c r="A11" s="10"/>
      <c r="B11" s="52" t="s">
        <v>183</v>
      </c>
      <c r="C11" s="53"/>
      <c r="D11" s="53"/>
      <c r="E11" s="31">
        <v>5</v>
      </c>
      <c r="F11" s="26">
        <v>3.75</v>
      </c>
      <c r="G11" s="29">
        <f t="shared" si="0"/>
        <v>0.75</v>
      </c>
      <c r="H11" s="30" t="str">
        <f t="shared" si="1"/>
        <v>جيد</v>
      </c>
      <c r="I11" s="41"/>
      <c r="J11" s="42"/>
    </row>
    <row r="12" spans="1:10" ht="30" customHeight="1" x14ac:dyDescent="0.3">
      <c r="A12" s="10"/>
      <c r="B12" s="52" t="s">
        <v>184</v>
      </c>
      <c r="C12" s="53"/>
      <c r="D12" s="53"/>
      <c r="E12" s="31">
        <v>5</v>
      </c>
      <c r="F12" s="26">
        <v>3.5</v>
      </c>
      <c r="G12" s="29">
        <f t="shared" si="0"/>
        <v>0.7</v>
      </c>
      <c r="H12" s="30" t="str">
        <f t="shared" si="1"/>
        <v>جيد</v>
      </c>
      <c r="I12" s="41"/>
      <c r="J12" s="42"/>
    </row>
    <row r="13" spans="1:10" ht="30" customHeight="1" x14ac:dyDescent="0.3">
      <c r="A13" s="10"/>
      <c r="B13" s="52" t="s">
        <v>185</v>
      </c>
      <c r="C13" s="53"/>
      <c r="D13" s="53"/>
      <c r="E13" s="31">
        <v>5</v>
      </c>
      <c r="F13" s="26">
        <v>3.5</v>
      </c>
      <c r="G13" s="29">
        <f t="shared" si="0"/>
        <v>0.7</v>
      </c>
      <c r="H13" s="30" t="str">
        <f t="shared" si="1"/>
        <v>جيد</v>
      </c>
      <c r="I13" s="41"/>
      <c r="J13" s="42"/>
    </row>
    <row r="14" spans="1:10" ht="30" customHeight="1" x14ac:dyDescent="0.3">
      <c r="A14" s="10"/>
      <c r="B14" s="52" t="s">
        <v>186</v>
      </c>
      <c r="C14" s="53"/>
      <c r="D14" s="53"/>
      <c r="E14" s="31">
        <v>5</v>
      </c>
      <c r="F14" s="26">
        <v>3.5</v>
      </c>
      <c r="G14" s="29">
        <f t="shared" si="0"/>
        <v>0.7</v>
      </c>
      <c r="H14" s="30" t="str">
        <f t="shared" si="1"/>
        <v>جيد</v>
      </c>
      <c r="I14" s="41"/>
      <c r="J14" s="42"/>
    </row>
    <row r="15" spans="1:10" ht="30" customHeight="1" x14ac:dyDescent="0.3">
      <c r="A15" s="10"/>
      <c r="B15" s="52" t="s">
        <v>187</v>
      </c>
      <c r="C15" s="53"/>
      <c r="D15" s="53"/>
      <c r="E15" s="31">
        <v>5</v>
      </c>
      <c r="F15" s="26">
        <v>3.5</v>
      </c>
      <c r="G15" s="29">
        <f t="shared" si="0"/>
        <v>0.7</v>
      </c>
      <c r="H15" s="30" t="str">
        <f t="shared" si="1"/>
        <v>جيد</v>
      </c>
      <c r="I15" s="41"/>
      <c r="J15" s="42"/>
    </row>
    <row r="16" spans="1:10" ht="30" customHeight="1" thickBot="1" x14ac:dyDescent="0.35">
      <c r="A16" s="10"/>
      <c r="B16" s="75" t="s">
        <v>188</v>
      </c>
      <c r="C16" s="76"/>
      <c r="D16" s="76"/>
      <c r="E16" s="32">
        <v>5</v>
      </c>
      <c r="F16" s="27">
        <v>3.75</v>
      </c>
      <c r="G16" s="33">
        <f t="shared" si="0"/>
        <v>0.75</v>
      </c>
      <c r="H16" s="34" t="str">
        <f t="shared" si="1"/>
        <v>جيد</v>
      </c>
      <c r="I16" s="48"/>
      <c r="J16" s="49"/>
    </row>
    <row r="17" spans="1:10" ht="30" customHeight="1" x14ac:dyDescent="0.3">
      <c r="A17" s="10"/>
      <c r="B17" s="45" t="s">
        <v>189</v>
      </c>
      <c r="C17" s="46"/>
      <c r="D17" s="46"/>
      <c r="E17" s="46"/>
      <c r="F17" s="46"/>
      <c r="G17" s="46"/>
      <c r="H17" s="46"/>
      <c r="I17" s="46"/>
      <c r="J17" s="47"/>
    </row>
    <row r="18" spans="1:10" ht="30" customHeight="1" x14ac:dyDescent="0.3">
      <c r="A18" s="10"/>
      <c r="B18" s="52" t="s">
        <v>190</v>
      </c>
      <c r="C18" s="53"/>
      <c r="D18" s="53"/>
      <c r="E18" s="31">
        <v>5</v>
      </c>
      <c r="F18" s="26">
        <v>3.5</v>
      </c>
      <c r="G18" s="29">
        <f t="shared" si="0"/>
        <v>0.7</v>
      </c>
      <c r="H18" s="30" t="str">
        <f t="shared" si="1"/>
        <v>جيد</v>
      </c>
      <c r="I18" s="41"/>
      <c r="J18" s="42"/>
    </row>
    <row r="19" spans="1:10" ht="30" customHeight="1" x14ac:dyDescent="0.3">
      <c r="A19" s="10"/>
      <c r="B19" s="52" t="s">
        <v>191</v>
      </c>
      <c r="C19" s="53"/>
      <c r="D19" s="53"/>
      <c r="E19" s="31">
        <v>5</v>
      </c>
      <c r="F19" s="26">
        <v>3.5</v>
      </c>
      <c r="G19" s="29">
        <f t="shared" si="0"/>
        <v>0.7</v>
      </c>
      <c r="H19" s="30" t="str">
        <f t="shared" si="1"/>
        <v>جيد</v>
      </c>
      <c r="I19" s="41"/>
      <c r="J19" s="42"/>
    </row>
    <row r="20" spans="1:10" ht="30" customHeight="1" x14ac:dyDescent="0.3">
      <c r="A20" s="10"/>
      <c r="B20" s="52" t="s">
        <v>206</v>
      </c>
      <c r="C20" s="53"/>
      <c r="D20" s="53"/>
      <c r="E20" s="31">
        <v>5</v>
      </c>
      <c r="F20" s="26">
        <v>3.5</v>
      </c>
      <c r="G20" s="29">
        <f t="shared" si="0"/>
        <v>0.7</v>
      </c>
      <c r="H20" s="30" t="str">
        <f t="shared" si="1"/>
        <v>جيد</v>
      </c>
      <c r="I20" s="41"/>
      <c r="J20" s="42"/>
    </row>
    <row r="21" spans="1:10" ht="30" customHeight="1" x14ac:dyDescent="0.3">
      <c r="A21" s="10"/>
      <c r="B21" s="52" t="s">
        <v>192</v>
      </c>
      <c r="C21" s="53"/>
      <c r="D21" s="53"/>
      <c r="E21" s="31">
        <v>5</v>
      </c>
      <c r="F21" s="26">
        <v>3.5</v>
      </c>
      <c r="G21" s="29">
        <f t="shared" si="0"/>
        <v>0.7</v>
      </c>
      <c r="H21" s="30" t="str">
        <f t="shared" si="1"/>
        <v>جيد</v>
      </c>
      <c r="I21" s="41"/>
      <c r="J21" s="42"/>
    </row>
    <row r="22" spans="1:10" ht="30" customHeight="1" x14ac:dyDescent="0.3">
      <c r="A22" s="10"/>
      <c r="B22" s="52" t="s">
        <v>193</v>
      </c>
      <c r="C22" s="53"/>
      <c r="D22" s="53"/>
      <c r="E22" s="31">
        <v>5</v>
      </c>
      <c r="F22" s="26">
        <v>3.75</v>
      </c>
      <c r="G22" s="29">
        <f t="shared" si="0"/>
        <v>0.75</v>
      </c>
      <c r="H22" s="30" t="str">
        <f t="shared" si="1"/>
        <v>جيد</v>
      </c>
      <c r="I22" s="41"/>
      <c r="J22" s="42"/>
    </row>
    <row r="23" spans="1:10" ht="30" customHeight="1" x14ac:dyDescent="0.3">
      <c r="A23" s="10"/>
      <c r="B23" s="52" t="s">
        <v>194</v>
      </c>
      <c r="C23" s="53"/>
      <c r="D23" s="53"/>
      <c r="E23" s="31">
        <v>5</v>
      </c>
      <c r="F23" s="26">
        <v>3.5</v>
      </c>
      <c r="G23" s="29">
        <f t="shared" si="0"/>
        <v>0.7</v>
      </c>
      <c r="H23" s="30" t="str">
        <f t="shared" si="1"/>
        <v>جيد</v>
      </c>
      <c r="I23" s="41"/>
      <c r="J23" s="42"/>
    </row>
    <row r="24" spans="1:10" ht="30" customHeight="1" x14ac:dyDescent="0.3">
      <c r="A24" s="10"/>
      <c r="B24" s="52" t="s">
        <v>195</v>
      </c>
      <c r="C24" s="53"/>
      <c r="D24" s="53"/>
      <c r="E24" s="31">
        <v>5</v>
      </c>
      <c r="F24" s="26">
        <v>3.5</v>
      </c>
      <c r="G24" s="29">
        <f t="shared" si="0"/>
        <v>0.7</v>
      </c>
      <c r="H24" s="30" t="str">
        <f t="shared" si="1"/>
        <v>جيد</v>
      </c>
      <c r="I24" s="41"/>
      <c r="J24" s="42"/>
    </row>
    <row r="25" spans="1:10" ht="30" customHeight="1" x14ac:dyDescent="0.3">
      <c r="A25" s="10"/>
      <c r="B25" s="52" t="s">
        <v>196</v>
      </c>
      <c r="C25" s="53"/>
      <c r="D25" s="53"/>
      <c r="E25" s="31">
        <v>5</v>
      </c>
      <c r="F25" s="26">
        <v>3.5</v>
      </c>
      <c r="G25" s="29">
        <f t="shared" si="0"/>
        <v>0.7</v>
      </c>
      <c r="H25" s="30" t="str">
        <f t="shared" si="1"/>
        <v>جيد</v>
      </c>
      <c r="I25" s="41"/>
      <c r="J25" s="42"/>
    </row>
    <row r="26" spans="1:10" ht="30" customHeight="1" x14ac:dyDescent="0.3">
      <c r="A26" s="10"/>
      <c r="B26" s="52" t="s">
        <v>197</v>
      </c>
      <c r="C26" s="53"/>
      <c r="D26" s="53"/>
      <c r="E26" s="31">
        <v>5</v>
      </c>
      <c r="F26" s="26">
        <v>3.5</v>
      </c>
      <c r="G26" s="29">
        <f t="shared" si="0"/>
        <v>0.7</v>
      </c>
      <c r="H26" s="30" t="str">
        <f t="shared" si="1"/>
        <v>جيد</v>
      </c>
      <c r="I26" s="41"/>
      <c r="J26" s="42"/>
    </row>
    <row r="27" spans="1:10" ht="30" customHeight="1" thickBot="1" x14ac:dyDescent="0.35">
      <c r="A27" s="10"/>
      <c r="B27" s="77" t="s">
        <v>204</v>
      </c>
      <c r="C27" s="78"/>
      <c r="D27" s="78"/>
      <c r="E27" s="32">
        <v>5</v>
      </c>
      <c r="F27" s="27">
        <v>3.5</v>
      </c>
      <c r="G27" s="33">
        <f t="shared" si="0"/>
        <v>0.7</v>
      </c>
      <c r="H27" s="34" t="str">
        <f t="shared" si="1"/>
        <v>جيد</v>
      </c>
      <c r="I27" s="48"/>
      <c r="J27" s="49"/>
    </row>
    <row r="28" spans="1:10" ht="30" customHeight="1" x14ac:dyDescent="0.3">
      <c r="A28" s="10"/>
      <c r="B28" s="45" t="s">
        <v>198</v>
      </c>
      <c r="C28" s="46"/>
      <c r="D28" s="46"/>
      <c r="E28" s="46"/>
      <c r="F28" s="46"/>
      <c r="G28" s="46"/>
      <c r="H28" s="46"/>
      <c r="I28" s="46"/>
      <c r="J28" s="47"/>
    </row>
    <row r="29" spans="1:10" ht="30" customHeight="1" x14ac:dyDescent="0.3">
      <c r="A29" s="10"/>
      <c r="B29" s="52" t="s">
        <v>199</v>
      </c>
      <c r="C29" s="53"/>
      <c r="D29" s="53"/>
      <c r="E29" s="31">
        <v>5</v>
      </c>
      <c r="F29" s="26">
        <v>3.5</v>
      </c>
      <c r="G29" s="29">
        <f t="shared" si="0"/>
        <v>0.7</v>
      </c>
      <c r="H29" s="30" t="str">
        <f t="shared" si="1"/>
        <v>جيد</v>
      </c>
      <c r="I29" s="41"/>
      <c r="J29" s="42"/>
    </row>
    <row r="30" spans="1:10" ht="30" customHeight="1" x14ac:dyDescent="0.3">
      <c r="A30" s="10"/>
      <c r="B30" s="52" t="s">
        <v>200</v>
      </c>
      <c r="C30" s="53"/>
      <c r="D30" s="53"/>
      <c r="E30" s="31">
        <v>5</v>
      </c>
      <c r="F30" s="26">
        <v>3.5</v>
      </c>
      <c r="G30" s="29">
        <f t="shared" si="0"/>
        <v>0.7</v>
      </c>
      <c r="H30" s="30" t="str">
        <f t="shared" si="1"/>
        <v>جيد</v>
      </c>
      <c r="I30" s="41"/>
      <c r="J30" s="42"/>
    </row>
    <row r="31" spans="1:10" ht="30" customHeight="1" x14ac:dyDescent="0.3">
      <c r="A31" s="10"/>
      <c r="B31" s="52" t="s">
        <v>201</v>
      </c>
      <c r="C31" s="53"/>
      <c r="D31" s="53"/>
      <c r="E31" s="31">
        <v>5</v>
      </c>
      <c r="F31" s="26">
        <v>3.5</v>
      </c>
      <c r="G31" s="29">
        <f t="shared" si="0"/>
        <v>0.7</v>
      </c>
      <c r="H31" s="30" t="str">
        <f t="shared" si="1"/>
        <v>جيد</v>
      </c>
      <c r="I31" s="41"/>
      <c r="J31" s="42"/>
    </row>
    <row r="32" spans="1:10" ht="30" customHeight="1" x14ac:dyDescent="0.3">
      <c r="A32" s="10"/>
      <c r="B32" s="52" t="s">
        <v>202</v>
      </c>
      <c r="C32" s="53"/>
      <c r="D32" s="53"/>
      <c r="E32" s="31">
        <v>5</v>
      </c>
      <c r="F32" s="26">
        <v>3.5</v>
      </c>
      <c r="G32" s="29">
        <f t="shared" si="0"/>
        <v>0.7</v>
      </c>
      <c r="H32" s="30" t="str">
        <f t="shared" si="1"/>
        <v>جيد</v>
      </c>
      <c r="I32" s="41"/>
      <c r="J32" s="42"/>
    </row>
    <row r="33" spans="1:10" ht="30" customHeight="1" thickBot="1" x14ac:dyDescent="0.35">
      <c r="A33" s="10"/>
      <c r="B33" s="77" t="s">
        <v>203</v>
      </c>
      <c r="C33" s="78"/>
      <c r="D33" s="78"/>
      <c r="E33" s="32">
        <v>5</v>
      </c>
      <c r="F33" s="27">
        <v>3.5</v>
      </c>
      <c r="G33" s="33">
        <f t="shared" si="0"/>
        <v>0.7</v>
      </c>
      <c r="H33" s="34" t="str">
        <f t="shared" si="1"/>
        <v>جيد</v>
      </c>
      <c r="I33" s="48"/>
      <c r="J33" s="49"/>
    </row>
    <row r="34" spans="1:10" ht="30" customHeight="1" thickBot="1" x14ac:dyDescent="0.35">
      <c r="A34" s="4"/>
      <c r="B34" s="50" t="s">
        <v>5</v>
      </c>
      <c r="C34" s="51"/>
      <c r="D34" s="51"/>
      <c r="E34" s="9">
        <f>SUM(E8:E33)</f>
        <v>115</v>
      </c>
      <c r="F34" s="9">
        <f>SUM(F8:F33)</f>
        <v>81.75</v>
      </c>
      <c r="G34" s="38"/>
      <c r="H34" s="39"/>
      <c r="I34" s="39"/>
      <c r="J34" s="40"/>
    </row>
    <row r="35" spans="1:10" ht="30" customHeight="1" thickBot="1" x14ac:dyDescent="0.35">
      <c r="A35" s="4"/>
      <c r="B35" s="50" t="s">
        <v>54</v>
      </c>
      <c r="C35" s="51"/>
      <c r="D35" s="51"/>
      <c r="E35" s="67">
        <f>F34/E34/100*100</f>
        <v>0.71086956521739131</v>
      </c>
      <c r="F35" s="67"/>
      <c r="G35" s="67"/>
      <c r="H35" s="67"/>
      <c r="I35" s="67"/>
      <c r="J35" s="68"/>
    </row>
    <row r="36" spans="1:10" ht="30" customHeight="1" thickBot="1" x14ac:dyDescent="0.35">
      <c r="A36" s="4"/>
      <c r="B36" s="50" t="s">
        <v>55</v>
      </c>
      <c r="C36" s="51"/>
      <c r="D36" s="51"/>
      <c r="E36" s="58" t="str">
        <f>_xlfn.IFS(E35&gt;=90%,"ممتاز",E35&gt;=80%,"جيد جداً",E35&gt;=70%,"جيد",E35&gt;=60%,"مقبول",E35&lt;60%,"راسب")</f>
        <v>جيد</v>
      </c>
      <c r="F36" s="58"/>
      <c r="G36" s="58"/>
      <c r="H36" s="58"/>
      <c r="I36" s="58"/>
      <c r="J36" s="59"/>
    </row>
    <row r="37" spans="1:10" ht="42" customHeight="1" x14ac:dyDescent="0.3">
      <c r="B37" s="54" t="s">
        <v>174</v>
      </c>
      <c r="C37" s="54"/>
      <c r="D37" s="54"/>
      <c r="E37" s="36" t="s">
        <v>52</v>
      </c>
      <c r="F37" s="36"/>
      <c r="G37" s="56" t="s">
        <v>134</v>
      </c>
      <c r="H37" s="56"/>
      <c r="I37" s="56"/>
      <c r="J37" s="56"/>
    </row>
    <row r="38" spans="1:10" ht="51" customHeight="1" x14ac:dyDescent="0.3">
      <c r="A38" s="5"/>
      <c r="B38" s="55"/>
      <c r="C38" s="55"/>
      <c r="D38" s="55"/>
      <c r="E38" s="37" t="s">
        <v>53</v>
      </c>
      <c r="F38" s="37"/>
      <c r="G38" s="57"/>
      <c r="H38" s="57"/>
      <c r="I38" s="57"/>
      <c r="J38" s="57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70">
    <mergeCell ref="B31:D31"/>
    <mergeCell ref="B16:D16"/>
    <mergeCell ref="B32:D32"/>
    <mergeCell ref="B33:D33"/>
    <mergeCell ref="B28:J28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9:D29"/>
    <mergeCell ref="B30:D30"/>
    <mergeCell ref="B11:D11"/>
    <mergeCell ref="B12:D12"/>
    <mergeCell ref="B13:D13"/>
    <mergeCell ref="B14:D14"/>
    <mergeCell ref="B15:D15"/>
    <mergeCell ref="B36:D36"/>
    <mergeCell ref="I11:J11"/>
    <mergeCell ref="I12:J12"/>
    <mergeCell ref="I13:J13"/>
    <mergeCell ref="I14:J14"/>
    <mergeCell ref="I15:J15"/>
    <mergeCell ref="I16:J16"/>
    <mergeCell ref="I18:J18"/>
    <mergeCell ref="I29:J29"/>
    <mergeCell ref="I22:J22"/>
    <mergeCell ref="I23:J23"/>
    <mergeCell ref="I24:J24"/>
    <mergeCell ref="I25:J25"/>
    <mergeCell ref="I26:J26"/>
    <mergeCell ref="I27:J27"/>
    <mergeCell ref="I32:J32"/>
    <mergeCell ref="B37:D38"/>
    <mergeCell ref="G37:J37"/>
    <mergeCell ref="G38:J38"/>
    <mergeCell ref="E36:J36"/>
    <mergeCell ref="B1:J1"/>
    <mergeCell ref="F2:J2"/>
    <mergeCell ref="B5:D6"/>
    <mergeCell ref="C2:D2"/>
    <mergeCell ref="C3:D3"/>
    <mergeCell ref="F3:J3"/>
    <mergeCell ref="E35:J35"/>
    <mergeCell ref="B7:D7"/>
    <mergeCell ref="I30:J30"/>
    <mergeCell ref="I31:J31"/>
    <mergeCell ref="E5:H5"/>
    <mergeCell ref="I5:J6"/>
    <mergeCell ref="E37:F37"/>
    <mergeCell ref="E38:F38"/>
    <mergeCell ref="G34:J34"/>
    <mergeCell ref="I9:J9"/>
    <mergeCell ref="I7:J7"/>
    <mergeCell ref="I10:J10"/>
    <mergeCell ref="I19:J19"/>
    <mergeCell ref="I20:J20"/>
    <mergeCell ref="I21:J21"/>
    <mergeCell ref="B8:J8"/>
    <mergeCell ref="I33:J33"/>
    <mergeCell ref="B34:D34"/>
    <mergeCell ref="B35:D35"/>
    <mergeCell ref="B17:J17"/>
    <mergeCell ref="B9:D9"/>
    <mergeCell ref="B10:D10"/>
  </mergeCells>
  <conditionalFormatting sqref="C2:D2">
    <cfRule type="containsText" dxfId="24" priority="19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23" priority="18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36">
    <cfRule type="expression" dxfId="22" priority="58">
      <formula>$E36="راسب"</formula>
    </cfRule>
  </conditionalFormatting>
  <conditionalFormatting sqref="E36:J36">
    <cfRule type="expression" dxfId="21" priority="61">
      <formula>$E36="جيد جداً"</formula>
    </cfRule>
    <cfRule type="expression" dxfId="20" priority="60">
      <formula>$E36="جيد"</formula>
    </cfRule>
    <cfRule type="expression" dxfId="19" priority="59">
      <formula>$E36="مقبول"</formula>
    </cfRule>
    <cfRule type="expression" dxfId="18" priority="62">
      <formula>$E36="ممتاز"</formula>
    </cfRule>
  </conditionalFormatting>
  <conditionalFormatting sqref="F9:F16">
    <cfRule type="containsText" dxfId="17" priority="5" operator="containsText" text="أدخل العلامة">
      <formula>NOT(ISERROR(SEARCH("أدخل العلامة",F9)))</formula>
    </cfRule>
  </conditionalFormatting>
  <conditionalFormatting sqref="F18:F27 F29:F33">
    <cfRule type="containsText" dxfId="16" priority="15" operator="containsText" text="أدخل العلامة">
      <formula>NOT(ISERROR(SEARCH("أدخل العلامة",F18)))</formula>
    </cfRule>
  </conditionalFormatting>
  <conditionalFormatting sqref="F2:J2">
    <cfRule type="containsText" dxfId="15" priority="20" operator="containsText" text="أدخل التاريخ">
      <formula>NOT(ISERROR(SEARCH("أدخل التاريخ",F2)))</formula>
    </cfRule>
  </conditionalFormatting>
  <conditionalFormatting sqref="F3:J3">
    <cfRule type="containsText" dxfId="14" priority="17" operator="containsText" text="أدخل أسم المحكم">
      <formula>NOT(ISERROR(SEARCH("أدخل أسم المحكم",F3)))</formula>
    </cfRule>
  </conditionalFormatting>
  <conditionalFormatting sqref="G37:J37">
    <cfRule type="containsText" dxfId="13" priority="16" operator="containsText" text="أدخل اسم المحكم">
      <formula>NOT(ISERROR(SEARCH("أدخل اسم المحكم",G37)))</formula>
    </cfRule>
  </conditionalFormatting>
  <conditionalFormatting sqref="H9:H16">
    <cfRule type="containsText" dxfId="12" priority="11" operator="containsText" text="راسب">
      <formula>NOT(ISERROR(SEARCH("راسب",H9)))</formula>
    </cfRule>
    <cfRule type="containsText" dxfId="11" priority="10" operator="containsText" text="مقبول">
      <formula>NOT(ISERROR(SEARCH("مقبول",H9)))</formula>
    </cfRule>
    <cfRule type="containsText" dxfId="10" priority="9" operator="containsText" text="جيد">
      <formula>NOT(ISERROR(SEARCH("جيد",H9)))</formula>
    </cfRule>
    <cfRule type="containsText" dxfId="9" priority="8" operator="containsText" text="جيد جداً">
      <formula>NOT(ISERROR(SEARCH("جيد جداً",H9)))</formula>
    </cfRule>
    <cfRule type="containsText" dxfId="8" priority="7" operator="containsText" text="ممتاز">
      <formula>NOT(ISERROR(SEARCH("ممتاز",H9)))</formula>
    </cfRule>
    <cfRule type="containsText" dxfId="7" priority="6" operator="containsText" text="أدخل العلامة">
      <formula>NOT(ISERROR(SEARCH("أدخل العلامة",H9)))</formula>
    </cfRule>
  </conditionalFormatting>
  <conditionalFormatting sqref="H18:H27 H29:H33">
    <cfRule type="containsText" dxfId="6" priority="39" operator="containsText" text="أدخل العلامة">
      <formula>NOT(ISERROR(SEARCH("أدخل العلامة",H18)))</formula>
    </cfRule>
    <cfRule type="containsText" dxfId="5" priority="40" operator="containsText" text="ممتاز">
      <formula>NOT(ISERROR(SEARCH("ممتاز",H18)))</formula>
    </cfRule>
    <cfRule type="containsText" dxfId="4" priority="41" operator="containsText" text="جيد جداً">
      <formula>NOT(ISERROR(SEARCH("جيد جداً",H18)))</formula>
    </cfRule>
    <cfRule type="containsText" dxfId="3" priority="42" operator="containsText" text="جيد">
      <formula>NOT(ISERROR(SEARCH("جيد",H18)))</formula>
    </cfRule>
    <cfRule type="containsText" dxfId="2" priority="43" operator="containsText" text="مقبول">
      <formula>NOT(ISERROR(SEARCH("مقبول",H18)))</formula>
    </cfRule>
    <cfRule type="containsText" dxfId="1" priority="44" operator="containsText" text="راسب">
      <formula>NOT(ISERROR(SEARCH("راسب",H18)))</formula>
    </cfRule>
  </conditionalFormatting>
  <conditionalFormatting sqref="D4">
    <cfRule type="containsText" dxfId="0" priority="1" operator="containsText" text="أدخل أسم قائد الوحدة الخاضعة للتقييم">
      <formula>NOT(ISERROR(SEARCH("أدخل أسم قائد الوحدة الخاضعة للتقييم",D4)))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F29:F33 F18:F27 F9:F16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G37:J37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6" workbookViewId="0">
      <selection activeCell="C33" sqref="C33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9" t="s">
        <v>62</v>
      </c>
    </row>
    <row r="3" spans="1:3" ht="20.100000000000001" customHeight="1" thickBot="1" x14ac:dyDescent="0.35">
      <c r="A3" s="2" t="s">
        <v>26</v>
      </c>
      <c r="C3" s="19" t="s">
        <v>63</v>
      </c>
    </row>
    <row r="4" spans="1:3" ht="20.100000000000001" customHeight="1" thickBot="1" x14ac:dyDescent="0.35">
      <c r="A4" s="2" t="s">
        <v>36</v>
      </c>
      <c r="C4" s="19" t="s">
        <v>64</v>
      </c>
    </row>
    <row r="5" spans="1:3" ht="20.100000000000001" customHeight="1" thickBot="1" x14ac:dyDescent="0.35">
      <c r="A5" s="2" t="s">
        <v>37</v>
      </c>
      <c r="C5" s="19" t="s">
        <v>65</v>
      </c>
    </row>
    <row r="6" spans="1:3" ht="20.100000000000001" customHeight="1" thickBot="1" x14ac:dyDescent="0.35">
      <c r="A6" s="2" t="s">
        <v>38</v>
      </c>
      <c r="C6" s="19" t="s">
        <v>66</v>
      </c>
    </row>
    <row r="7" spans="1:3" ht="20.100000000000001" customHeight="1" thickBot="1" x14ac:dyDescent="0.35">
      <c r="A7" s="2" t="s">
        <v>39</v>
      </c>
      <c r="C7" s="19" t="s">
        <v>67</v>
      </c>
    </row>
    <row r="8" spans="1:3" ht="20.100000000000001" customHeight="1" thickBot="1" x14ac:dyDescent="0.35">
      <c r="A8" s="2" t="s">
        <v>40</v>
      </c>
      <c r="C8" s="19" t="s">
        <v>68</v>
      </c>
    </row>
    <row r="9" spans="1:3" ht="20.100000000000001" customHeight="1" thickBot="1" x14ac:dyDescent="0.35">
      <c r="A9" s="2" t="s">
        <v>41</v>
      </c>
      <c r="C9" s="19" t="s">
        <v>69</v>
      </c>
    </row>
    <row r="10" spans="1:3" ht="20.100000000000001" customHeight="1" thickBot="1" x14ac:dyDescent="0.35">
      <c r="A10" s="2" t="s">
        <v>42</v>
      </c>
      <c r="C10" s="19" t="s">
        <v>70</v>
      </c>
    </row>
    <row r="11" spans="1:3" ht="20.100000000000001" customHeight="1" thickBot="1" x14ac:dyDescent="0.35">
      <c r="A11" s="2" t="s">
        <v>43</v>
      </c>
      <c r="C11" s="19" t="s">
        <v>71</v>
      </c>
    </row>
    <row r="12" spans="1:3" ht="20.100000000000001" customHeight="1" thickBot="1" x14ac:dyDescent="0.35">
      <c r="A12" s="2" t="s">
        <v>44</v>
      </c>
      <c r="C12" s="19" t="s">
        <v>72</v>
      </c>
    </row>
    <row r="13" spans="1:3" ht="20.100000000000001" customHeight="1" thickBot="1" x14ac:dyDescent="0.35">
      <c r="A13" s="2" t="s">
        <v>45</v>
      </c>
      <c r="C13" s="19" t="s">
        <v>73</v>
      </c>
    </row>
    <row r="14" spans="1:3" ht="20.100000000000001" customHeight="1" thickBot="1" x14ac:dyDescent="0.35">
      <c r="A14" s="2" t="s">
        <v>46</v>
      </c>
      <c r="C14" s="19" t="s">
        <v>74</v>
      </c>
    </row>
    <row r="15" spans="1:3" ht="20.100000000000001" customHeight="1" thickBot="1" x14ac:dyDescent="0.35">
      <c r="A15" s="2" t="s">
        <v>47</v>
      </c>
      <c r="C15" s="19" t="s">
        <v>75</v>
      </c>
    </row>
    <row r="16" spans="1:3" ht="20.100000000000001" customHeight="1" thickBot="1" x14ac:dyDescent="0.35">
      <c r="A16" s="2" t="s">
        <v>10</v>
      </c>
      <c r="C16" s="19" t="s">
        <v>76</v>
      </c>
    </row>
    <row r="17" spans="1:3" ht="20.100000000000001" customHeight="1" thickBot="1" x14ac:dyDescent="0.35">
      <c r="A17" s="2" t="s">
        <v>27</v>
      </c>
      <c r="C17" s="19" t="s">
        <v>77</v>
      </c>
    </row>
    <row r="18" spans="1:3" ht="20.100000000000001" customHeight="1" thickBot="1" x14ac:dyDescent="0.35">
      <c r="A18" s="2" t="s">
        <v>48</v>
      </c>
      <c r="C18" s="19" t="s">
        <v>78</v>
      </c>
    </row>
    <row r="19" spans="1:3" ht="20.100000000000001" customHeight="1" thickBot="1" x14ac:dyDescent="0.35">
      <c r="A19" s="2" t="s">
        <v>49</v>
      </c>
      <c r="C19" s="19" t="s">
        <v>79</v>
      </c>
    </row>
    <row r="20" spans="1:3" ht="20.100000000000001" customHeight="1" thickBot="1" x14ac:dyDescent="0.35">
      <c r="A20" s="2" t="s">
        <v>50</v>
      </c>
      <c r="C20" s="19" t="s">
        <v>80</v>
      </c>
    </row>
    <row r="21" spans="1:3" ht="20.100000000000001" customHeight="1" thickBot="1" x14ac:dyDescent="0.35">
      <c r="A21" s="2" t="s">
        <v>51</v>
      </c>
      <c r="C21" s="19" t="s">
        <v>81</v>
      </c>
    </row>
    <row r="22" spans="1:3" ht="20.100000000000001" customHeight="1" thickBot="1" x14ac:dyDescent="0.35">
      <c r="A22" s="2" t="s">
        <v>11</v>
      </c>
      <c r="C22" s="19" t="s">
        <v>82</v>
      </c>
    </row>
    <row r="23" spans="1:3" ht="20.100000000000001" customHeight="1" thickBot="1" x14ac:dyDescent="0.35">
      <c r="A23" s="2" t="s">
        <v>12</v>
      </c>
      <c r="C23" s="19" t="s">
        <v>83</v>
      </c>
    </row>
    <row r="24" spans="1:3" ht="20.100000000000001" customHeight="1" thickBot="1" x14ac:dyDescent="0.35">
      <c r="A24" s="2" t="s">
        <v>15</v>
      </c>
      <c r="C24" s="19" t="s">
        <v>84</v>
      </c>
    </row>
    <row r="25" spans="1:3" ht="20.100000000000001" customHeight="1" thickBot="1" x14ac:dyDescent="0.35">
      <c r="A25" s="2" t="s">
        <v>28</v>
      </c>
      <c r="C25" s="19" t="s">
        <v>85</v>
      </c>
    </row>
    <row r="26" spans="1:3" ht="20.100000000000001" customHeight="1" thickBot="1" x14ac:dyDescent="0.35">
      <c r="A26" s="2" t="s">
        <v>29</v>
      </c>
      <c r="C26" s="19" t="s">
        <v>86</v>
      </c>
    </row>
    <row r="27" spans="1:3" ht="20.100000000000001" customHeight="1" thickBot="1" x14ac:dyDescent="0.35">
      <c r="A27" s="2" t="s">
        <v>13</v>
      </c>
      <c r="C27" s="19" t="s">
        <v>87</v>
      </c>
    </row>
    <row r="28" spans="1:3" ht="20.100000000000001" customHeight="1" thickBot="1" x14ac:dyDescent="0.35">
      <c r="A28" s="2" t="s">
        <v>30</v>
      </c>
      <c r="C28" s="19" t="s">
        <v>88</v>
      </c>
    </row>
    <row r="29" spans="1:3" ht="20.100000000000001" customHeight="1" thickBot="1" x14ac:dyDescent="0.35">
      <c r="A29" s="2" t="s">
        <v>31</v>
      </c>
      <c r="C29" s="19" t="s">
        <v>177</v>
      </c>
    </row>
    <row r="30" spans="1:3" ht="20.100000000000001" customHeight="1" thickBot="1" x14ac:dyDescent="0.35">
      <c r="A30" s="2" t="s">
        <v>32</v>
      </c>
      <c r="C30" s="19" t="s">
        <v>178</v>
      </c>
    </row>
    <row r="31" spans="1:3" ht="20.100000000000001" customHeight="1" thickBot="1" x14ac:dyDescent="0.35">
      <c r="A31" s="2" t="s">
        <v>33</v>
      </c>
      <c r="C31" s="19" t="s">
        <v>179</v>
      </c>
    </row>
    <row r="32" spans="1:3" ht="20.100000000000001" customHeight="1" thickBot="1" x14ac:dyDescent="0.35">
      <c r="A32" s="2" t="s">
        <v>16</v>
      </c>
      <c r="C32" s="19"/>
    </row>
    <row r="33" spans="1:9" ht="20.100000000000001" customHeight="1" thickBot="1" x14ac:dyDescent="0.35">
      <c r="A33" s="2" t="s">
        <v>14</v>
      </c>
      <c r="C33" s="19"/>
    </row>
    <row r="34" spans="1:9" ht="20.100000000000001" customHeight="1" thickBot="1" x14ac:dyDescent="0.35">
      <c r="A34" s="2" t="s">
        <v>34</v>
      </c>
      <c r="C34" s="19"/>
    </row>
    <row r="35" spans="1:9" ht="20.100000000000001" customHeight="1" x14ac:dyDescent="0.3">
      <c r="A35" s="18"/>
    </row>
    <row r="36" spans="1:9" s="17" customFormat="1" ht="20.100000000000001" customHeight="1" x14ac:dyDescent="0.3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3">
        <v>45901</v>
      </c>
    </row>
    <row r="40" spans="1:9" ht="20.100000000000001" customHeight="1" thickBot="1" x14ac:dyDescent="0.35">
      <c r="A40" s="13">
        <v>45902</v>
      </c>
    </row>
    <row r="41" spans="1:9" ht="20.100000000000001" customHeight="1" thickBot="1" x14ac:dyDescent="0.35">
      <c r="A41" s="13">
        <v>45903</v>
      </c>
    </row>
    <row r="42" spans="1:9" ht="20.100000000000001" customHeight="1" thickBot="1" x14ac:dyDescent="0.35">
      <c r="A42" s="13">
        <v>45904</v>
      </c>
    </row>
    <row r="43" spans="1:9" ht="20.100000000000001" customHeight="1" thickBot="1" x14ac:dyDescent="0.35">
      <c r="A43" s="13">
        <v>45905</v>
      </c>
    </row>
    <row r="44" spans="1:9" ht="20.100000000000001" customHeight="1" thickBot="1" x14ac:dyDescent="0.35">
      <c r="A44" s="13">
        <v>45906</v>
      </c>
    </row>
    <row r="45" spans="1:9" ht="20.100000000000001" customHeight="1" thickBot="1" x14ac:dyDescent="0.35">
      <c r="A45" s="13">
        <v>45907</v>
      </c>
    </row>
    <row r="46" spans="1:9" ht="20.100000000000001" customHeight="1" thickBot="1" x14ac:dyDescent="0.35">
      <c r="A46" s="13">
        <v>45908</v>
      </c>
    </row>
    <row r="47" spans="1:9" ht="20.100000000000001" customHeight="1" thickBot="1" x14ac:dyDescent="0.35">
      <c r="A47" s="13">
        <v>45909</v>
      </c>
    </row>
    <row r="48" spans="1:9" ht="20.100000000000001" customHeight="1" thickBot="1" x14ac:dyDescent="0.35">
      <c r="A48" s="13">
        <v>45910</v>
      </c>
    </row>
    <row r="49" spans="1:1" ht="20.100000000000001" customHeight="1" thickBot="1" x14ac:dyDescent="0.35">
      <c r="A49" s="13">
        <v>45911</v>
      </c>
    </row>
    <row r="50" spans="1:1" ht="20.100000000000001" customHeight="1" thickBot="1" x14ac:dyDescent="0.35">
      <c r="A50" s="13">
        <v>45912</v>
      </c>
    </row>
    <row r="51" spans="1:1" ht="20.100000000000001" customHeight="1" thickBot="1" x14ac:dyDescent="0.35">
      <c r="A51" s="13">
        <v>45913</v>
      </c>
    </row>
    <row r="52" spans="1:1" ht="20.100000000000001" customHeight="1" thickBot="1" x14ac:dyDescent="0.35">
      <c r="A52" s="13">
        <v>45914</v>
      </c>
    </row>
    <row r="53" spans="1:1" ht="20.100000000000001" customHeight="1" thickBot="1" x14ac:dyDescent="0.35">
      <c r="A53" s="13">
        <v>45915</v>
      </c>
    </row>
    <row r="54" spans="1:1" ht="20.100000000000001" customHeight="1" thickBot="1" x14ac:dyDescent="0.35">
      <c r="A54" s="13">
        <v>45916</v>
      </c>
    </row>
    <row r="55" spans="1:1" ht="20.100000000000001" customHeight="1" thickBot="1" x14ac:dyDescent="0.35">
      <c r="A55" s="13">
        <v>45917</v>
      </c>
    </row>
    <row r="56" spans="1:1" ht="20.100000000000001" customHeight="1" thickBot="1" x14ac:dyDescent="0.35">
      <c r="A56" s="13">
        <v>45918</v>
      </c>
    </row>
    <row r="57" spans="1:1" ht="20.100000000000001" customHeight="1" thickBot="1" x14ac:dyDescent="0.35">
      <c r="A57" s="13">
        <v>45919</v>
      </c>
    </row>
    <row r="58" spans="1:1" ht="20.100000000000001" customHeight="1" thickBot="1" x14ac:dyDescent="0.35">
      <c r="A58" s="13">
        <v>45920</v>
      </c>
    </row>
    <row r="59" spans="1:1" ht="20.100000000000001" customHeight="1" thickBot="1" x14ac:dyDescent="0.35">
      <c r="A59" s="13">
        <v>45921</v>
      </c>
    </row>
    <row r="60" spans="1:1" ht="20.100000000000001" customHeight="1" thickBot="1" x14ac:dyDescent="0.35">
      <c r="A60" s="13">
        <v>45922</v>
      </c>
    </row>
    <row r="61" spans="1:1" ht="20.100000000000001" customHeight="1" thickBot="1" x14ac:dyDescent="0.35">
      <c r="A61" s="13">
        <v>45923</v>
      </c>
    </row>
    <row r="62" spans="1:1" ht="20.100000000000001" customHeight="1" thickBot="1" x14ac:dyDescent="0.35">
      <c r="A62" s="13">
        <v>45924</v>
      </c>
    </row>
    <row r="63" spans="1:1" ht="20.100000000000001" customHeight="1" thickBot="1" x14ac:dyDescent="0.35">
      <c r="A63" s="13">
        <v>45925</v>
      </c>
    </row>
    <row r="64" spans="1:1" ht="20.100000000000001" customHeight="1" thickBot="1" x14ac:dyDescent="0.35">
      <c r="A64" s="13">
        <v>45926</v>
      </c>
    </row>
    <row r="65" spans="1:1" ht="20.100000000000001" customHeight="1" thickBot="1" x14ac:dyDescent="0.35">
      <c r="A65" s="13">
        <v>45927</v>
      </c>
    </row>
    <row r="66" spans="1:1" ht="20.100000000000001" customHeight="1" thickBot="1" x14ac:dyDescent="0.35">
      <c r="A66" s="13">
        <v>45928</v>
      </c>
    </row>
    <row r="67" spans="1:1" ht="20.100000000000001" customHeight="1" thickBot="1" x14ac:dyDescent="0.35">
      <c r="A67" s="13">
        <v>45929</v>
      </c>
    </row>
    <row r="68" spans="1:1" ht="20.100000000000001" customHeight="1" thickBot="1" x14ac:dyDescent="0.35">
      <c r="A68" s="13">
        <v>45930</v>
      </c>
    </row>
    <row r="69" spans="1:1" ht="20.100000000000001" customHeight="1" thickBot="1" x14ac:dyDescent="0.35">
      <c r="A69" s="13">
        <v>45931</v>
      </c>
    </row>
    <row r="70" spans="1:1" ht="20.100000000000001" customHeight="1" thickBot="1" x14ac:dyDescent="0.35">
      <c r="A70" s="13">
        <v>45932</v>
      </c>
    </row>
    <row r="71" spans="1:1" ht="20.100000000000001" customHeight="1" thickBot="1" x14ac:dyDescent="0.35">
      <c r="A71" s="13">
        <v>45933</v>
      </c>
    </row>
    <row r="72" spans="1:1" ht="20.100000000000001" customHeight="1" thickBot="1" x14ac:dyDescent="0.35">
      <c r="A72" s="13">
        <v>45934</v>
      </c>
    </row>
    <row r="73" spans="1:1" ht="20.100000000000001" customHeight="1" thickBot="1" x14ac:dyDescent="0.35">
      <c r="A73" s="13">
        <v>45935</v>
      </c>
    </row>
    <row r="74" spans="1:1" ht="20.100000000000001" customHeight="1" thickBot="1" x14ac:dyDescent="0.35">
      <c r="A74" s="13">
        <v>45936</v>
      </c>
    </row>
    <row r="75" spans="1:1" ht="20.100000000000001" customHeight="1" thickBot="1" x14ac:dyDescent="0.35">
      <c r="A75" s="13">
        <v>45937</v>
      </c>
    </row>
    <row r="76" spans="1:1" ht="20.100000000000001" customHeight="1" thickBot="1" x14ac:dyDescent="0.35">
      <c r="A76" s="13">
        <v>45938</v>
      </c>
    </row>
    <row r="77" spans="1:1" ht="20.100000000000001" customHeight="1" thickBot="1" x14ac:dyDescent="0.35">
      <c r="A77" s="13">
        <v>45939</v>
      </c>
    </row>
    <row r="78" spans="1:1" ht="20.100000000000001" customHeight="1" thickBot="1" x14ac:dyDescent="0.35">
      <c r="A78" s="13">
        <v>45940</v>
      </c>
    </row>
    <row r="79" spans="1:1" ht="20.100000000000001" customHeight="1" thickBot="1" x14ac:dyDescent="0.35">
      <c r="A79" s="13">
        <v>45941</v>
      </c>
    </row>
    <row r="80" spans="1:1" ht="20.100000000000001" customHeight="1" thickBot="1" x14ac:dyDescent="0.35">
      <c r="A80" s="13">
        <v>45942</v>
      </c>
    </row>
    <row r="81" spans="1:1" ht="20.100000000000001" customHeight="1" thickBot="1" x14ac:dyDescent="0.35">
      <c r="A81" s="13">
        <v>45943</v>
      </c>
    </row>
    <row r="82" spans="1:1" ht="20.100000000000001" customHeight="1" thickBot="1" x14ac:dyDescent="0.35">
      <c r="A82" s="13">
        <v>45944</v>
      </c>
    </row>
    <row r="83" spans="1:1" ht="20.100000000000001" customHeight="1" thickBot="1" x14ac:dyDescent="0.35">
      <c r="A83" s="13">
        <v>45945</v>
      </c>
    </row>
    <row r="84" spans="1:1" ht="20.100000000000001" customHeight="1" thickBot="1" x14ac:dyDescent="0.35">
      <c r="A84" s="13">
        <v>45946</v>
      </c>
    </row>
    <row r="85" spans="1:1" ht="20.100000000000001" customHeight="1" thickBot="1" x14ac:dyDescent="0.35">
      <c r="A85" s="13">
        <v>45947</v>
      </c>
    </row>
    <row r="86" spans="1:1" ht="20.100000000000001" customHeight="1" thickBot="1" x14ac:dyDescent="0.35">
      <c r="A86" s="13">
        <v>45948</v>
      </c>
    </row>
    <row r="87" spans="1:1" ht="20.100000000000001" customHeight="1" thickBot="1" x14ac:dyDescent="0.35">
      <c r="A87" s="13">
        <v>45949</v>
      </c>
    </row>
    <row r="88" spans="1:1" ht="20.100000000000001" customHeight="1" thickBot="1" x14ac:dyDescent="0.35">
      <c r="A88" s="13">
        <v>45950</v>
      </c>
    </row>
    <row r="89" spans="1:1" ht="20.100000000000001" customHeight="1" thickBot="1" x14ac:dyDescent="0.35">
      <c r="A89" s="13">
        <v>45951</v>
      </c>
    </row>
    <row r="90" spans="1:1" ht="20.100000000000001" customHeight="1" thickBot="1" x14ac:dyDescent="0.35">
      <c r="A90" s="13">
        <v>45952</v>
      </c>
    </row>
    <row r="91" spans="1:1" ht="20.100000000000001" customHeight="1" thickBot="1" x14ac:dyDescent="0.35">
      <c r="A91" s="13">
        <v>45953</v>
      </c>
    </row>
    <row r="92" spans="1:1" ht="20.100000000000001" customHeight="1" thickBot="1" x14ac:dyDescent="0.35">
      <c r="A92" s="13">
        <v>45954</v>
      </c>
    </row>
    <row r="93" spans="1:1" ht="20.100000000000001" customHeight="1" thickBot="1" x14ac:dyDescent="0.35">
      <c r="A93" s="13">
        <v>45955</v>
      </c>
    </row>
    <row r="94" spans="1:1" ht="20.100000000000001" customHeight="1" thickBot="1" x14ac:dyDescent="0.35">
      <c r="A94" s="13">
        <v>45956</v>
      </c>
    </row>
    <row r="95" spans="1:1" ht="20.100000000000001" customHeight="1" thickBot="1" x14ac:dyDescent="0.35">
      <c r="A95" s="13">
        <v>45957</v>
      </c>
    </row>
    <row r="96" spans="1:1" ht="20.100000000000001" customHeight="1" thickBot="1" x14ac:dyDescent="0.35">
      <c r="A96" s="13">
        <v>45958</v>
      </c>
    </row>
    <row r="97" spans="1:9" ht="20.100000000000001" customHeight="1" thickBot="1" x14ac:dyDescent="0.35">
      <c r="A97" s="13">
        <v>45959</v>
      </c>
    </row>
    <row r="98" spans="1:9" ht="20.100000000000001" customHeight="1" thickBot="1" x14ac:dyDescent="0.35">
      <c r="A98" s="13">
        <v>45960</v>
      </c>
    </row>
    <row r="99" spans="1:9" ht="20.100000000000001" customHeight="1" thickBot="1" x14ac:dyDescent="0.35">
      <c r="A99" s="13">
        <v>45961</v>
      </c>
    </row>
    <row r="100" spans="1:9" ht="20.100000000000001" customHeight="1" thickBot="1" x14ac:dyDescent="0.35">
      <c r="A100" s="13">
        <v>45962</v>
      </c>
    </row>
    <row r="101" spans="1:9" ht="20.100000000000001" customHeight="1" thickBot="1" x14ac:dyDescent="0.35">
      <c r="A101" s="13">
        <v>45963</v>
      </c>
    </row>
    <row r="102" spans="1:9" ht="20.100000000000001" customHeight="1" thickBot="1" x14ac:dyDescent="0.35">
      <c r="A102" s="13">
        <v>45964</v>
      </c>
    </row>
    <row r="103" spans="1:9" ht="20.100000000000001" customHeight="1" thickBot="1" x14ac:dyDescent="0.35">
      <c r="A103" s="13">
        <v>45965</v>
      </c>
    </row>
    <row r="104" spans="1:9" ht="20.100000000000001" customHeight="1" thickBot="1" x14ac:dyDescent="0.35">
      <c r="A104" s="13">
        <v>45966</v>
      </c>
    </row>
    <row r="105" spans="1:9" ht="20.100000000000001" customHeight="1" thickBot="1" x14ac:dyDescent="0.35">
      <c r="A105" s="13">
        <v>45967</v>
      </c>
    </row>
    <row r="106" spans="1:9" ht="20.100000000000001" customHeight="1" thickBot="1" x14ac:dyDescent="0.35">
      <c r="A106" s="13">
        <v>45968</v>
      </c>
    </row>
    <row r="107" spans="1:9" ht="20.100000000000001" customHeight="1" x14ac:dyDescent="0.3">
      <c r="A107" s="14"/>
    </row>
    <row r="108" spans="1:9" ht="20.100000000000001" customHeight="1" x14ac:dyDescent="0.3">
      <c r="A108" s="14"/>
    </row>
    <row r="109" spans="1:9" s="17" customFormat="1" ht="20.100000000000001" customHeight="1" x14ac:dyDescent="0.3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0" t="s">
        <v>89</v>
      </c>
    </row>
    <row r="200" spans="1:1" ht="20.100000000000001" customHeight="1" x14ac:dyDescent="0.3">
      <c r="A200" s="20" t="s">
        <v>90</v>
      </c>
    </row>
    <row r="201" spans="1:1" ht="20.100000000000001" customHeight="1" x14ac:dyDescent="0.3">
      <c r="A201" s="20" t="s">
        <v>91</v>
      </c>
    </row>
    <row r="202" spans="1:1" ht="20.100000000000001" customHeight="1" x14ac:dyDescent="0.3">
      <c r="A202" s="20" t="s">
        <v>92</v>
      </c>
    </row>
    <row r="203" spans="1:1" ht="20.100000000000001" customHeight="1" x14ac:dyDescent="0.3">
      <c r="A203" s="20" t="s">
        <v>93</v>
      </c>
    </row>
    <row r="204" spans="1:1" ht="20.100000000000001" customHeight="1" x14ac:dyDescent="0.3">
      <c r="A204" s="20" t="s">
        <v>94</v>
      </c>
    </row>
    <row r="205" spans="1:1" ht="20.100000000000001" customHeight="1" x14ac:dyDescent="0.3">
      <c r="A205" s="20" t="s">
        <v>95</v>
      </c>
    </row>
    <row r="206" spans="1:1" ht="20.100000000000001" customHeight="1" x14ac:dyDescent="0.3">
      <c r="A206" s="20" t="s">
        <v>96</v>
      </c>
    </row>
    <row r="207" spans="1:1" ht="20.100000000000001" customHeight="1" x14ac:dyDescent="0.3">
      <c r="A207" s="20" t="s">
        <v>97</v>
      </c>
    </row>
    <row r="208" spans="1:1" ht="20.100000000000001" customHeight="1" x14ac:dyDescent="0.3">
      <c r="A208" s="21" t="s">
        <v>98</v>
      </c>
    </row>
    <row r="209" spans="1:1" ht="20.100000000000001" customHeight="1" x14ac:dyDescent="0.3">
      <c r="A209" s="21" t="s">
        <v>99</v>
      </c>
    </row>
    <row r="210" spans="1:1" ht="20.100000000000001" customHeight="1" x14ac:dyDescent="0.3">
      <c r="A210" s="20" t="s">
        <v>100</v>
      </c>
    </row>
    <row r="211" spans="1:1" ht="20.100000000000001" customHeight="1" x14ac:dyDescent="0.3">
      <c r="A211" s="20" t="s">
        <v>101</v>
      </c>
    </row>
    <row r="212" spans="1:1" ht="20.100000000000001" customHeight="1" x14ac:dyDescent="0.3">
      <c r="A212" s="20" t="s">
        <v>175</v>
      </c>
    </row>
    <row r="213" spans="1:1" ht="20.100000000000001" customHeight="1" x14ac:dyDescent="0.3">
      <c r="A213" s="20" t="s">
        <v>102</v>
      </c>
    </row>
    <row r="214" spans="1:1" ht="20.100000000000001" customHeight="1" x14ac:dyDescent="0.3">
      <c r="A214" s="20" t="s">
        <v>103</v>
      </c>
    </row>
    <row r="215" spans="1:1" ht="20.100000000000001" customHeight="1" x14ac:dyDescent="0.3">
      <c r="A215" s="20" t="s">
        <v>104</v>
      </c>
    </row>
    <row r="216" spans="1:1" ht="20.100000000000001" customHeight="1" x14ac:dyDescent="0.3">
      <c r="A216" s="20" t="s">
        <v>105</v>
      </c>
    </row>
    <row r="217" spans="1:1" ht="20.100000000000001" customHeight="1" x14ac:dyDescent="0.3">
      <c r="A217" s="20" t="s">
        <v>106</v>
      </c>
    </row>
    <row r="218" spans="1:1" ht="20.100000000000001" customHeight="1" x14ac:dyDescent="0.3">
      <c r="A218" s="20" t="s">
        <v>107</v>
      </c>
    </row>
    <row r="219" spans="1:1" ht="20.100000000000001" customHeight="1" x14ac:dyDescent="0.3">
      <c r="A219" s="20" t="s">
        <v>108</v>
      </c>
    </row>
    <row r="220" spans="1:1" ht="20.100000000000001" customHeight="1" x14ac:dyDescent="0.3">
      <c r="A220" s="20" t="s">
        <v>109</v>
      </c>
    </row>
    <row r="221" spans="1:1" ht="20.100000000000001" customHeight="1" x14ac:dyDescent="0.3">
      <c r="A221" s="20" t="s">
        <v>110</v>
      </c>
    </row>
    <row r="222" spans="1:1" ht="20.100000000000001" customHeight="1" x14ac:dyDescent="0.3">
      <c r="A222" s="20" t="s">
        <v>111</v>
      </c>
    </row>
    <row r="223" spans="1:1" ht="20.100000000000001" customHeight="1" x14ac:dyDescent="0.3">
      <c r="A223" s="20" t="s">
        <v>112</v>
      </c>
    </row>
    <row r="224" spans="1:1" ht="20.100000000000001" customHeight="1" x14ac:dyDescent="0.3">
      <c r="A224" s="20" t="s">
        <v>176</v>
      </c>
    </row>
    <row r="225" spans="1:1" ht="20.100000000000001" customHeight="1" x14ac:dyDescent="0.3">
      <c r="A225" s="20" t="s">
        <v>113</v>
      </c>
    </row>
    <row r="226" spans="1:1" ht="20.100000000000001" customHeight="1" x14ac:dyDescent="0.3">
      <c r="A226" s="20" t="s">
        <v>114</v>
      </c>
    </row>
    <row r="227" spans="1:1" ht="20.100000000000001" customHeight="1" x14ac:dyDescent="0.3">
      <c r="A227" s="20" t="s">
        <v>115</v>
      </c>
    </row>
    <row r="228" spans="1:1" ht="20.100000000000001" customHeight="1" x14ac:dyDescent="0.3">
      <c r="A228" s="20" t="s">
        <v>116</v>
      </c>
    </row>
    <row r="229" spans="1:1" ht="20.100000000000001" customHeight="1" x14ac:dyDescent="0.3">
      <c r="A229" s="20" t="s">
        <v>117</v>
      </c>
    </row>
    <row r="230" spans="1:1" ht="20.100000000000001" customHeight="1" x14ac:dyDescent="0.3">
      <c r="A230" s="20" t="s">
        <v>118</v>
      </c>
    </row>
    <row r="231" spans="1:1" ht="20.100000000000001" customHeight="1" x14ac:dyDescent="0.3">
      <c r="A231" s="20" t="s">
        <v>119</v>
      </c>
    </row>
    <row r="232" spans="1:1" ht="20.100000000000001" customHeight="1" x14ac:dyDescent="0.3">
      <c r="A232" s="20" t="s">
        <v>120</v>
      </c>
    </row>
    <row r="233" spans="1:1" ht="20.100000000000001" customHeight="1" x14ac:dyDescent="0.3">
      <c r="A233" s="20" t="s">
        <v>121</v>
      </c>
    </row>
    <row r="234" spans="1:1" ht="20.100000000000001" customHeight="1" x14ac:dyDescent="0.3">
      <c r="A234" s="20" t="s">
        <v>122</v>
      </c>
    </row>
    <row r="235" spans="1:1" ht="20.100000000000001" customHeight="1" x14ac:dyDescent="0.3">
      <c r="A235" s="20" t="s">
        <v>123</v>
      </c>
    </row>
    <row r="236" spans="1:1" ht="20.100000000000001" customHeight="1" x14ac:dyDescent="0.3">
      <c r="A236" s="22" t="s">
        <v>124</v>
      </c>
    </row>
    <row r="237" spans="1:1" ht="20.100000000000001" customHeight="1" x14ac:dyDescent="0.3">
      <c r="A237" s="20" t="s">
        <v>125</v>
      </c>
    </row>
    <row r="238" spans="1:1" ht="20.100000000000001" customHeight="1" x14ac:dyDescent="0.3">
      <c r="A238" s="20" t="s">
        <v>126</v>
      </c>
    </row>
    <row r="239" spans="1:1" ht="20.100000000000001" customHeight="1" x14ac:dyDescent="0.3">
      <c r="A239" s="20" t="s">
        <v>127</v>
      </c>
    </row>
    <row r="240" spans="1:1" ht="20.100000000000001" customHeight="1" x14ac:dyDescent="0.3">
      <c r="A240" s="20" t="s">
        <v>128</v>
      </c>
    </row>
    <row r="241" spans="1:1" ht="20.100000000000001" customHeight="1" x14ac:dyDescent="0.3">
      <c r="A241" s="20" t="s">
        <v>129</v>
      </c>
    </row>
    <row r="242" spans="1:1" ht="20.100000000000001" customHeight="1" x14ac:dyDescent="0.3">
      <c r="A242" s="20" t="s">
        <v>130</v>
      </c>
    </row>
    <row r="243" spans="1:1" ht="20.100000000000001" customHeight="1" x14ac:dyDescent="0.3">
      <c r="A243" s="20" t="s">
        <v>131</v>
      </c>
    </row>
    <row r="244" spans="1:1" ht="20.100000000000001" customHeight="1" x14ac:dyDescent="0.3">
      <c r="A244" s="20" t="s">
        <v>132</v>
      </c>
    </row>
    <row r="245" spans="1:1" ht="20.100000000000001" customHeight="1" x14ac:dyDescent="0.3">
      <c r="A245" s="20" t="s">
        <v>133</v>
      </c>
    </row>
    <row r="246" spans="1:1" ht="20.100000000000001" customHeight="1" x14ac:dyDescent="0.3">
      <c r="A246" s="20" t="s">
        <v>134</v>
      </c>
    </row>
    <row r="247" spans="1:1" ht="20.100000000000001" customHeight="1" x14ac:dyDescent="0.3">
      <c r="A247" s="20" t="s">
        <v>135</v>
      </c>
    </row>
    <row r="248" spans="1:1" ht="20.100000000000001" customHeight="1" x14ac:dyDescent="0.3">
      <c r="A248" s="20" t="s">
        <v>126</v>
      </c>
    </row>
    <row r="249" spans="1:1" ht="20.100000000000001" customHeight="1" x14ac:dyDescent="0.3">
      <c r="A249" s="20" t="s">
        <v>136</v>
      </c>
    </row>
    <row r="250" spans="1:1" ht="20.100000000000001" customHeight="1" x14ac:dyDescent="0.3">
      <c r="A250" s="20" t="s">
        <v>137</v>
      </c>
    </row>
    <row r="251" spans="1:1" ht="20.100000000000001" customHeight="1" x14ac:dyDescent="0.3">
      <c r="A251" s="22" t="s">
        <v>138</v>
      </c>
    </row>
    <row r="252" spans="1:1" ht="20.100000000000001" customHeight="1" x14ac:dyDescent="0.3">
      <c r="A252" s="23" t="s">
        <v>139</v>
      </c>
    </row>
    <row r="253" spans="1:1" ht="20.100000000000001" customHeight="1" x14ac:dyDescent="0.3">
      <c r="A253" s="20" t="s">
        <v>140</v>
      </c>
    </row>
    <row r="254" spans="1:1" ht="20.100000000000001" customHeight="1" x14ac:dyDescent="0.3">
      <c r="A254" s="20" t="s">
        <v>141</v>
      </c>
    </row>
    <row r="255" spans="1:1" ht="20.100000000000001" customHeight="1" x14ac:dyDescent="0.3">
      <c r="A255" s="24" t="s">
        <v>142</v>
      </c>
    </row>
    <row r="256" spans="1:1" ht="20.100000000000001" customHeight="1" x14ac:dyDescent="0.3">
      <c r="A256" s="24" t="s">
        <v>143</v>
      </c>
    </row>
    <row r="257" spans="1:1" ht="20.100000000000001" customHeight="1" x14ac:dyDescent="0.3">
      <c r="A257" s="25" t="s">
        <v>144</v>
      </c>
    </row>
    <row r="258" spans="1:1" ht="20.100000000000001" customHeight="1" x14ac:dyDescent="0.3">
      <c r="A258" s="20" t="s">
        <v>145</v>
      </c>
    </row>
    <row r="259" spans="1:1" ht="20.100000000000001" customHeight="1" x14ac:dyDescent="0.3">
      <c r="A259" s="25" t="s">
        <v>146</v>
      </c>
    </row>
    <row r="260" spans="1:1" ht="20.100000000000001" customHeight="1" x14ac:dyDescent="0.3">
      <c r="A260" s="20" t="s">
        <v>147</v>
      </c>
    </row>
    <row r="261" spans="1:1" ht="20.100000000000001" customHeight="1" x14ac:dyDescent="0.3">
      <c r="A261" s="25" t="s">
        <v>148</v>
      </c>
    </row>
    <row r="262" spans="1:1" ht="20.100000000000001" customHeight="1" x14ac:dyDescent="0.3">
      <c r="A262" s="20" t="s">
        <v>149</v>
      </c>
    </row>
    <row r="263" spans="1:1" ht="20.100000000000001" customHeight="1" x14ac:dyDescent="0.3">
      <c r="A263" s="20" t="s">
        <v>150</v>
      </c>
    </row>
    <row r="264" spans="1:1" ht="20.100000000000001" customHeight="1" x14ac:dyDescent="0.3">
      <c r="A264" s="25" t="s">
        <v>151</v>
      </c>
    </row>
    <row r="265" spans="1:1" ht="20.100000000000001" customHeight="1" x14ac:dyDescent="0.3">
      <c r="A265" s="25" t="s">
        <v>152</v>
      </c>
    </row>
    <row r="266" spans="1:1" ht="20.100000000000001" customHeight="1" x14ac:dyDescent="0.3">
      <c r="A266" s="25" t="s">
        <v>153</v>
      </c>
    </row>
    <row r="267" spans="1:1" ht="20.100000000000001" customHeight="1" x14ac:dyDescent="0.3">
      <c r="A267" s="20" t="s">
        <v>154</v>
      </c>
    </row>
    <row r="268" spans="1:1" ht="20.100000000000001" customHeight="1" x14ac:dyDescent="0.3">
      <c r="A268" s="20" t="s">
        <v>155</v>
      </c>
    </row>
    <row r="269" spans="1:1" ht="20.100000000000001" customHeight="1" x14ac:dyDescent="0.3">
      <c r="A269" s="20" t="s">
        <v>156</v>
      </c>
    </row>
    <row r="270" spans="1:1" ht="20.100000000000001" customHeight="1" x14ac:dyDescent="0.3">
      <c r="A270" s="20" t="s">
        <v>157</v>
      </c>
    </row>
    <row r="271" spans="1:1" ht="20.100000000000001" customHeight="1" x14ac:dyDescent="0.3">
      <c r="A271" s="25" t="s">
        <v>158</v>
      </c>
    </row>
    <row r="272" spans="1:1" ht="20.100000000000001" customHeight="1" x14ac:dyDescent="0.3">
      <c r="A272" s="25" t="s">
        <v>159</v>
      </c>
    </row>
    <row r="273" spans="1:1" ht="20.100000000000001" customHeight="1" x14ac:dyDescent="0.3">
      <c r="A273" s="20" t="s">
        <v>160</v>
      </c>
    </row>
    <row r="274" spans="1:1" ht="20.100000000000001" customHeight="1" x14ac:dyDescent="0.3">
      <c r="A274" s="25" t="s">
        <v>161</v>
      </c>
    </row>
    <row r="275" spans="1:1" ht="20.100000000000001" customHeight="1" x14ac:dyDescent="0.3">
      <c r="A275" s="25" t="s">
        <v>162</v>
      </c>
    </row>
    <row r="276" spans="1:1" ht="20.100000000000001" customHeight="1" x14ac:dyDescent="0.3">
      <c r="A276" s="20" t="s">
        <v>163</v>
      </c>
    </row>
    <row r="277" spans="1:1" ht="20.100000000000001" customHeight="1" x14ac:dyDescent="0.3">
      <c r="A277" s="20" t="s">
        <v>164</v>
      </c>
    </row>
    <row r="278" spans="1:1" ht="20.100000000000001" customHeight="1" x14ac:dyDescent="0.3">
      <c r="A278" s="25" t="s">
        <v>165</v>
      </c>
    </row>
    <row r="279" spans="1:1" ht="20.100000000000001" customHeight="1" x14ac:dyDescent="0.3">
      <c r="A279" s="20" t="s">
        <v>166</v>
      </c>
    </row>
    <row r="280" spans="1:1" ht="20.100000000000001" customHeight="1" x14ac:dyDescent="0.3">
      <c r="A280" s="20" t="s">
        <v>167</v>
      </c>
    </row>
    <row r="281" spans="1:1" ht="20.100000000000001" customHeight="1" x14ac:dyDescent="0.3">
      <c r="A281" s="20" t="s">
        <v>168</v>
      </c>
    </row>
    <row r="282" spans="1:1" ht="20.100000000000001" customHeight="1" x14ac:dyDescent="0.3">
      <c r="A282" s="20" t="s">
        <v>169</v>
      </c>
    </row>
    <row r="283" spans="1:1" ht="20.100000000000001" customHeight="1" x14ac:dyDescent="0.3">
      <c r="A283" s="25" t="s">
        <v>170</v>
      </c>
    </row>
    <row r="284" spans="1:1" ht="20.100000000000001" customHeight="1" x14ac:dyDescent="0.3">
      <c r="A284" s="25" t="s">
        <v>171</v>
      </c>
    </row>
    <row r="285" spans="1:1" ht="20.100000000000001" customHeight="1" x14ac:dyDescent="0.3">
      <c r="A285" s="25" t="s">
        <v>172</v>
      </c>
    </row>
    <row r="286" spans="1:1" ht="20.100000000000001" customHeight="1" thickBot="1" x14ac:dyDescent="0.35">
      <c r="A286" s="20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2025-10-08T20:59:59Z</dcterms:modified>
</cp:coreProperties>
</file>