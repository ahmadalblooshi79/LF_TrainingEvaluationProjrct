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EED5A5C-E636-774D-8C75-F9CDB55F913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<sst xmlns="http://schemas.openxmlformats.org/spreadsheetml/2006/main" count="247" uniqueCount="191">
  <si>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</si>
  <si>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</si>
  <si>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</si>
  <si>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</si>
  <si>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</si>
  <si>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</si>
  <si>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</si>
  <si>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</si>
  <si>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</si>
  <si>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</si>
  <si>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</si>
  <si>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</si>
  <si>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</si>
  <si>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</si>
  <si>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</si>
  <si>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</si>
  <si>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</si>
  <si>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</si>
  <si>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</si>
  <si>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</si>
  <si>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</si>
  <si>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</si>
  <si>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</si>
  <si>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</si>
  <si>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</si>
  <si>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</si>
  <si>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</si>
  <si>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</si>
  <si>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</si>
  <si>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</si>
  <si>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</si>
  <si>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</si>
  <si>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</si>
  <si>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</si>
  <si>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</si>
  <si>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</si>
  <si>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</si>
  <si>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</si>
  <si>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</si>
  <si>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</si>
  <si>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</si>
  <si>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</si>
  <si>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</si>
  <si>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</si>
  <si>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</si>
  <si>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</si>
  <si>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</si>
  <si>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</si>
  <si>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</si>
  <si>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</si>
  <si>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</si>
  <si>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</si>
  <si>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</si>
  <si>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</si>
  <si>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</si>
  <si>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</si>
  <si>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</si>
  <si>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</si>
  <si>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</si>
  <si>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</si>
  <si>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</si>
  <si>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</si>
  <si>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</si>
  <si>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</si>
  <si>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</si>
  <si>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</si>
  <si>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</si>
  <si>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</si>
  <si>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</si>
  <si>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</si>
  <si>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</si>
  <si>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</si>
  <si>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</si>
  <si>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</si>
  <si>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</si>
  <si>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</si>
  <si>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</si>
  <si>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</si>
  <si>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</si>
  <si>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</si>
  <si>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</si>
  <si>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</si>
  <si>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</si>
  <si>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</si>
  <si>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</si>
  <si>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</si>
  <si>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</si>
  <si>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</si>
  <si>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</si>
  <si>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</si>
  <si>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</si>
  <si>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</si>
  <si>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</si>
  <si>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</si>
  <si>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</si>
  <si>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</si>
  <si>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</si>
  <si>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</si>
  <si>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</si>
  <si>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</si>
  <si>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</si>
  <si>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</si>
  <si>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</si>
  <si>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</si>
  <si>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</si>
  <si>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</si>
  <si>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</si>
  <si>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</si>
  <si>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</si>
  <si>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</si>
  <si>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</si>
  <si>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</si>
  <si>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</si>
  <si>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</si>
  <si>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</si>
  <si>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</si>
  <si>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</si>
  <si>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</si>
  <si>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</si>
  <si>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</si>
  <si>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</si>
  <si>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</si>
  <si>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</si>
  <si>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</si>
  <si>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</si>
  <si>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</si>
  <si>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</si>
  <si>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</si>
  <si>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</si>
  <si>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</si>
  <si>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</si>
  <si>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</si>
  <si>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</si>
  <si>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</si>
  <si>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</si>
  <si>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</si>
  <si>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</si>
  <si>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</si>
  <si>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</si>
  <si>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</si>
  <si>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</si>
  <si>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</si>
  <si>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</si>
  <si>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</si>
  <si>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</si>
  <si>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</si>
  <si>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</si>
  <si>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</si>
  <si>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</si>
  <si>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</si>
  <si>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</si>
  <si>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</si>
  <si>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</si>
  <si>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</si>
  <si>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</si>
  <si>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</si>
  <si>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</si>
  <si>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</si>
  <si>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</si>
  <si>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</si>
  <si>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</si>
  <si>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</si>
  <si>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</si>
  <si>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</si>
  <si>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</si>
  <si>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</si>
  <si>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</si>
  <si>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</si>
  <si>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</si>
  <si>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</si>
  <si>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</si>
  <si>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</si>
  <si>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</si>
  <si>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</si>
  <si>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</si>
  <si>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</si>
  <si>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</si>
  <si>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</si>
  <si>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</si>
  <si>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</si>
  <si>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سرية الهاون 120 ملم في إسناد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</si>
  <si>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 توفير نيران غير مباشرة سريعة الاستجابة لإسناد قائد وحدة المناورة.</t>
  </si>
  <si>
    <t>2.    تكامل نيران الهاون مع نيران أسلحة الاسناد الأخرى.</t>
  </si>
  <si>
    <t>3.    الرماية بمعدلات رمي وقدرة تدميرية عالية لسد الفجوات أثناء فترات نقل وتحويل نيران المدفعية.</t>
  </si>
  <si>
    <t>4.    توفير قاعدة إسناد بالنيران غير المباشرة واستهداف نقاط ضعف العدو.</t>
  </si>
  <si>
    <t>5.    توفير كثافة نيران دفاعية مؤثرة لإسكات وتشتيت وتدمير قوات العدو أو وحدات الاستطلاع.</t>
  </si>
  <si>
    <t>6.    استخدام مواقع الرمي المُحضَّرة خلف سواتر الحماية للاستمرار في الإسناد بالنيران غير المباشرة</t>
  </si>
  <si>
    <t>7.    التأكد من دخول الهاونات في العمل.</t>
  </si>
  <si>
    <t>8.    تحضير النماذج واجراء التحضيرات اللازمة لخطط الرمي.</t>
  </si>
  <si>
    <t>9.    تنسيق الاهداف والسيطرة على تنفيذ جدول توقيت الرماية في الوقت المحدد.</t>
  </si>
  <si>
    <r>
      <t>10.</t>
    </r>
    <r>
      <rPr>
        <sz val="14"/>
        <color rgb="FF000000"/>
        <rFont val="Times New Roman"/>
        <family val="1"/>
      </rPr>
      <t>  </t>
    </r>
    <r>
      <rPr>
        <sz val="14"/>
        <color rgb="FF000000"/>
        <rFont val="Arial"/>
        <family val="2"/>
      </rPr>
      <t>ستر حركة ومناورة القوات الصديقة في المواقع الدفاعية.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</si>
</sst>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177241</xdr:colOff>
      <xdr:row>20</xdr:row>
      <xdr:rowOff>266694</xdr:rowOff>
    </xdr:from>
    <xdr:to>
      <xdr:col>9</xdr:col>
      <xdr:colOff>48699</xdr:colOff>
      <xdr:row>23</xdr:row>
      <xdr:rowOff>36208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33C5AEA-8826-F26D-F4A7-8DC8DB894228}"/>
                </a:ext>
              </a:extLst>
            </xdr14:cNvPr>
            <xdr14:cNvContentPartPr/>
          </xdr14:nvContentPartPr>
          <xdr14:nvPr macro=""/>
          <xdr14:xfrm>
            <a:off x="10436344865" y="10387440"/>
            <a:ext cx="1187640" cy="1148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33C5AEA-8826-F26D-F4A7-8DC8DB8942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38745" y="10381320"/>
              <a:ext cx="1199880" cy="11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108841</xdr:colOff>
      <xdr:row>23</xdr:row>
      <xdr:rowOff>103888</xdr:rowOff>
    </xdr:from>
    <xdr:to>
      <xdr:col>7</xdr:col>
      <xdr:colOff>117841</xdr:colOff>
      <xdr:row>23</xdr:row>
      <xdr:rowOff>112528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B0D4F76-74A6-E12E-6BC2-BA7C9901B6FD}"/>
                </a:ext>
              </a:extLst>
            </xdr14:cNvPr>
            <xdr14:cNvContentPartPr/>
          </xdr14:nvContentPartPr>
          <xdr14:nvPr macro=""/>
          <xdr14:xfrm>
            <a:off x="10437591905" y="11603160"/>
            <a:ext cx="9000" cy="86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B0D4F76-74A6-E12E-6BC2-BA7C9901B6F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585785" y="11597040"/>
              <a:ext cx="21240" cy="2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5T16:48:44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2483 1953,'0'0,"0"0,0 0,0 0,-19 0,16 0,-33 19,17-19,17 0,2 0,-56 20,47-17,-59 13,11 3,47-16,-19 13,-29-16,49 0,-39 20,9-1,32-16,-44-6,13 22,31-16,-44-6,13 3,31 0,-25 0,-6 0,33 0,-9 0,-25 0,32 0,-5 0,12 0,0 0,-19 0,9 0,20-19,-10 10,0-1,0-10,0 17,0-13,0-22,0 32,0-8,0 13,-20-17,1 37,17-15,-54-8,-1 24,47-17,-57-6,-30 22,81-16,-64 32,-16-15,79-17,-101 32,3-16,96-16,-97 33,20 2,79-31,-62 6,-17 6,79-16,-24 13,2 3,32-16,-24 13,-27 4,49-17,-1 13,-9-16,16 0,44 0,36 0,-65 0,130-39,50 1,-158 31,163-44,73-45,-225 80,198-64,65-36,-255 97,183-58,-5-38,-188 94,145-54,4-2,-158 63,48-30,14 5,-79 33,24-7,-3-6,-31 16,5 6,8-22,-18 15,15 8,-8-4,-76 0,-48 38,95-32,-153 27,-38 24,174-47,-196 38,-75 29,260-65,-212 72,-28 12,240-79,-174 63,-28 16,207-80,-106 64,-5-22,130-49,-68 20,-4 10,79-33,-4 7,-18 6,32-16,-24-6,-8 22,32-15,-5 12,31-16,-16 0,13-20,81 1,-80 16,139-51,75-23,-193 64,193-90,77-32,-257 113,244-90,52-42,-292 129,178-123,56-6,-243 130,177-106,-30-5,-159 112,86-69,-24-5,-79 82,24-47,-3 5,-31 47,-33-38,7-10,16 49,-14-59,-98-47,96 95,-135-56,-39-21,162 82,-188-47,-69 5,242 47,-216 20,-27 28,243-32,-177 65,-66 45,243-98,-139 98,-46 77,195-163,-120 132,2 50,130-180,-68 147,-4 52,82-195,-10 121,24 35,0-161,19 111,39 51,-49-164,78 134,67 10,-130-145,125 98,63 28,-176-128,159 64,55 6,-212-81,174 28,57-5,-225-32,201 7,24 7,-225-17,-88-6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5T16:48:45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0,20 19,-16-15,-8-8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B12" zoomScaleNormal="100" zoomScaleSheetLayoutView="100" workbookViewId="0">
      <selection activeCell="G22" sqref="G22:J2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7" t="s">
        <v>180</v>
      </c>
      <c r="C1" s="37"/>
      <c r="D1" s="37"/>
      <c r="E1" s="37"/>
      <c r="F1" s="37"/>
      <c r="G1" s="37"/>
      <c r="H1" s="37"/>
      <c r="I1" s="37"/>
      <c r="J1" s="37"/>
    </row>
    <row r="2" spans="1:10" ht="30" customHeight="1" x14ac:dyDescent="0.2">
      <c r="B2" s="12" t="s">
        <v>8</v>
      </c>
      <c r="C2" s="43" t="s">
        <v>12</v>
      </c>
      <c r="D2" s="43"/>
      <c r="E2" s="12" t="s">
        <v>7</v>
      </c>
      <c r="F2" s="38">
        <v>45955</v>
      </c>
      <c r="G2" s="38"/>
      <c r="H2" s="38"/>
      <c r="I2" s="38"/>
      <c r="J2" s="38"/>
    </row>
    <row r="3" spans="1:10" ht="30" customHeight="1" x14ac:dyDescent="0.2">
      <c r="B3" s="12" t="s">
        <v>9</v>
      </c>
      <c r="C3" s="43" t="s">
        <v>69</v>
      </c>
      <c r="D3" s="43"/>
      <c r="E3" s="12" t="s">
        <v>6</v>
      </c>
      <c r="F3" s="43" t="s">
        <v>135</v>
      </c>
      <c r="G3" s="43"/>
      <c r="H3" s="43"/>
      <c r="I3" s="43"/>
      <c r="J3" s="4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9" t="s">
        <v>0</v>
      </c>
      <c r="C5" s="40"/>
      <c r="D5" s="40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41"/>
      <c r="C6" s="42"/>
      <c r="D6" s="42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x14ac:dyDescent="0.2">
      <c r="A7" s="10"/>
      <c r="B7" s="46" t="s">
        <v>21</v>
      </c>
      <c r="C7" s="47"/>
      <c r="D7" s="47"/>
      <c r="E7" s="27" t="s">
        <v>18</v>
      </c>
      <c r="F7" s="27" t="s">
        <v>19</v>
      </c>
      <c r="G7" s="27" t="s">
        <v>22</v>
      </c>
      <c r="H7" s="27" t="s">
        <v>20</v>
      </c>
      <c r="I7" s="52" t="s">
        <v>25</v>
      </c>
      <c r="J7" s="53"/>
    </row>
    <row r="8" spans="1:10" ht="50.1" customHeight="1" x14ac:dyDescent="0.2">
      <c r="A8" s="10"/>
      <c r="B8" s="31" t="s">
        <v>181</v>
      </c>
      <c r="C8" s="31"/>
      <c r="D8" s="31"/>
      <c r="E8" s="9">
        <v>10</v>
      </c>
      <c r="F8" s="26">
        <v>8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4"/>
      <c r="J8" s="54"/>
    </row>
    <row r="9" spans="1:10" ht="50.1" customHeight="1" x14ac:dyDescent="0.2">
      <c r="A9" s="10"/>
      <c r="B9" s="31" t="s">
        <v>182</v>
      </c>
      <c r="C9" s="31"/>
      <c r="D9" s="31"/>
      <c r="E9" s="9">
        <v>10</v>
      </c>
      <c r="F9" s="26">
        <v>7.25</v>
      </c>
      <c r="G9" s="29">
        <f>IFERROR(F9/E9,"")</f>
        <v>0.72499999999999998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4"/>
    </row>
    <row r="10" spans="1:10" ht="50.1" customHeight="1" x14ac:dyDescent="0.2">
      <c r="A10" s="10"/>
      <c r="B10" s="31" t="s">
        <v>183</v>
      </c>
      <c r="C10" s="31"/>
      <c r="D10" s="31"/>
      <c r="E10" s="9">
        <v>10</v>
      </c>
      <c r="F10" s="26">
        <v>7.25</v>
      </c>
      <c r="G10" s="29">
        <f t="shared" ref="G10:G17" si="0">IFERROR(F10/E10,"")</f>
        <v>0.72499999999999998</v>
      </c>
      <c r="H10" s="30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4"/>
    </row>
    <row r="11" spans="1:10" ht="50.1" customHeight="1" x14ac:dyDescent="0.2">
      <c r="A11" s="10"/>
      <c r="B11" s="31" t="s">
        <v>184</v>
      </c>
      <c r="C11" s="31"/>
      <c r="D11" s="31"/>
      <c r="E11" s="9">
        <v>10</v>
      </c>
      <c r="F11" s="26">
        <v>7.5</v>
      </c>
      <c r="G11" s="29">
        <f t="shared" si="0"/>
        <v>0.75</v>
      </c>
      <c r="H11" s="30" t="str">
        <f t="shared" si="1"/>
        <v>جيد</v>
      </c>
      <c r="I11" s="54"/>
      <c r="J11" s="54"/>
    </row>
    <row r="12" spans="1:10" ht="50.1" customHeight="1" x14ac:dyDescent="0.2">
      <c r="A12" s="10"/>
      <c r="B12" s="31" t="s">
        <v>185</v>
      </c>
      <c r="C12" s="31"/>
      <c r="D12" s="31"/>
      <c r="E12" s="9">
        <v>10</v>
      </c>
      <c r="F12" s="26">
        <v>7.5</v>
      </c>
      <c r="G12" s="29">
        <f t="shared" si="0"/>
        <v>0.75</v>
      </c>
      <c r="H12" s="30" t="str">
        <f t="shared" si="1"/>
        <v>جيد</v>
      </c>
      <c r="I12" s="54"/>
      <c r="J12" s="54"/>
    </row>
    <row r="13" spans="1:10" ht="50.1" customHeight="1" x14ac:dyDescent="0.2">
      <c r="A13" s="10"/>
      <c r="B13" s="31" t="s">
        <v>186</v>
      </c>
      <c r="C13" s="31"/>
      <c r="D13" s="31"/>
      <c r="E13" s="9">
        <v>10</v>
      </c>
      <c r="F13" s="26">
        <v>7.25</v>
      </c>
      <c r="G13" s="29">
        <f t="shared" si="0"/>
        <v>0.72499999999999998</v>
      </c>
      <c r="H13" s="30" t="str">
        <f t="shared" si="1"/>
        <v>جيد</v>
      </c>
      <c r="I13" s="54"/>
      <c r="J13" s="54"/>
    </row>
    <row r="14" spans="1:10" ht="50.1" customHeight="1" x14ac:dyDescent="0.2">
      <c r="A14" s="10"/>
      <c r="B14" s="31" t="s">
        <v>187</v>
      </c>
      <c r="C14" s="31"/>
      <c r="D14" s="31"/>
      <c r="E14" s="9">
        <v>10</v>
      </c>
      <c r="F14" s="26">
        <v>7.5</v>
      </c>
      <c r="G14" s="29">
        <f t="shared" si="0"/>
        <v>0.75</v>
      </c>
      <c r="H14" s="30" t="str">
        <f t="shared" si="1"/>
        <v>جيد</v>
      </c>
      <c r="I14" s="54"/>
      <c r="J14" s="54"/>
    </row>
    <row r="15" spans="1:10" ht="50.1" customHeight="1" x14ac:dyDescent="0.2">
      <c r="A15" s="10"/>
      <c r="B15" s="31" t="s">
        <v>188</v>
      </c>
      <c r="C15" s="31"/>
      <c r="D15" s="31"/>
      <c r="E15" s="9">
        <v>10</v>
      </c>
      <c r="F15" s="26">
        <v>7.5</v>
      </c>
      <c r="G15" s="29">
        <f t="shared" si="0"/>
        <v>0.75</v>
      </c>
      <c r="H15" s="30" t="str">
        <f t="shared" si="1"/>
        <v>جيد</v>
      </c>
      <c r="I15" s="54"/>
      <c r="J15" s="54"/>
    </row>
    <row r="16" spans="1:10" ht="50.1" customHeight="1" x14ac:dyDescent="0.2">
      <c r="A16" s="10"/>
      <c r="B16" s="31" t="s">
        <v>189</v>
      </c>
      <c r="C16" s="31"/>
      <c r="D16" s="31"/>
      <c r="E16" s="9">
        <v>10</v>
      </c>
      <c r="F16" s="26">
        <v>7.25</v>
      </c>
      <c r="G16" s="29">
        <f t="shared" si="0"/>
        <v>0.72499999999999998</v>
      </c>
      <c r="H16" s="30" t="str">
        <f t="shared" si="1"/>
        <v>جيد</v>
      </c>
      <c r="I16" s="54"/>
      <c r="J16" s="54"/>
    </row>
    <row r="17" spans="1:10" ht="50.1" customHeight="1" x14ac:dyDescent="0.2">
      <c r="A17" s="10"/>
      <c r="B17" s="31" t="s">
        <v>190</v>
      </c>
      <c r="C17" s="31"/>
      <c r="D17" s="31"/>
      <c r="E17" s="9">
        <v>10</v>
      </c>
      <c r="F17" s="26">
        <v>7.75</v>
      </c>
      <c r="G17" s="29">
        <f t="shared" si="0"/>
        <v>0.77500000000000002</v>
      </c>
      <c r="H17" s="30" t="str">
        <f t="shared" si="1"/>
        <v>جيد</v>
      </c>
      <c r="I17" s="54"/>
      <c r="J17" s="54"/>
    </row>
    <row r="18" spans="1:10" ht="30" customHeight="1" thickBot="1" x14ac:dyDescent="0.25">
      <c r="A18" s="4"/>
      <c r="B18" s="61" t="s">
        <v>5</v>
      </c>
      <c r="C18" s="62"/>
      <c r="D18" s="62"/>
      <c r="E18" s="28">
        <f>SUM(E8:E17)</f>
        <v>100</v>
      </c>
      <c r="F18" s="28">
        <f>SUM(F8:F17)</f>
        <v>74.75</v>
      </c>
      <c r="G18" s="34"/>
      <c r="H18" s="35"/>
      <c r="I18" s="35"/>
      <c r="J18" s="36"/>
    </row>
    <row r="19" spans="1:10" ht="30" customHeight="1" thickBot="1" x14ac:dyDescent="0.25">
      <c r="A19" s="4"/>
      <c r="B19" s="63" t="s">
        <v>54</v>
      </c>
      <c r="C19" s="64"/>
      <c r="D19" s="64"/>
      <c r="E19" s="44">
        <f>F18/E18/100*100</f>
        <v>0.74750000000000005</v>
      </c>
      <c r="F19" s="44"/>
      <c r="G19" s="44"/>
      <c r="H19" s="44"/>
      <c r="I19" s="44"/>
      <c r="J19" s="45"/>
    </row>
    <row r="20" spans="1:10" ht="30" customHeight="1" thickBot="1" x14ac:dyDescent="0.25">
      <c r="A20" s="4"/>
      <c r="B20" s="63" t="s">
        <v>55</v>
      </c>
      <c r="C20" s="64"/>
      <c r="D20" s="64"/>
      <c r="E20" s="59" t="str">
        <f>_xlfn.IFS(E19&gt;=90%,"ممتاز",E19&gt;=80%,"جيد جداً",E19&gt;=70%,"جيد",E19&gt;=60%,"مقبول",E19&lt;60%,"راسب")</f>
        <v>جيد</v>
      </c>
      <c r="F20" s="59"/>
      <c r="G20" s="59"/>
      <c r="H20" s="59"/>
      <c r="I20" s="59"/>
      <c r="J20" s="60"/>
    </row>
    <row r="21" spans="1:10" ht="42" customHeight="1" x14ac:dyDescent="0.2">
      <c r="B21" s="55" t="s">
        <v>174</v>
      </c>
      <c r="C21" s="55"/>
      <c r="D21" s="55"/>
      <c r="E21" s="32" t="s">
        <v>52</v>
      </c>
      <c r="F21" s="32"/>
      <c r="G21" s="57" t="s">
        <v>134</v>
      </c>
      <c r="H21" s="57"/>
      <c r="I21" s="57"/>
      <c r="J21" s="57"/>
    </row>
    <row r="22" spans="1:10" ht="51" customHeight="1" x14ac:dyDescent="0.2">
      <c r="A22" s="5"/>
      <c r="B22" s="56"/>
      <c r="C22" s="56"/>
      <c r="D22" s="56"/>
      <c r="E22" s="33" t="s">
        <v>53</v>
      </c>
      <c r="F22" s="33"/>
      <c r="G22" s="58"/>
      <c r="H22" s="58"/>
      <c r="I22" s="58"/>
      <c r="J22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60">
      <formula>$E20="جيد جداً"</formula>
    </cfRule>
    <cfRule type="expression" dxfId="12" priority="59">
      <formula>$E20="جيد"</formula>
    </cfRule>
    <cfRule type="expression" dxfId="11" priority="58">
      <formula>$E20="مقبول"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G21:J21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3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2025-10-22T08:56:04Z</dcterms:modified>
</cp:coreProperties>
</file>