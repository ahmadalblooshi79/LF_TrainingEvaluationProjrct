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1F19DE8-47D8-8043-9B69-286D927C8D8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8" i="2"/>
  <c r="H8" i="2"/>
  <c r="F26" i="2"/>
  <c r="E26" i="2"/>
  <c r="E27" i="2"/>
  <c r="E28" i="2"/>
</calcChain>
</file>

<file path=xl/sharedStrings.xml><?xml version="1.0" encoding="utf-8"?>
<sst xmlns="http://schemas.openxmlformats.org/spreadsheetml/2006/main" count="256" uniqueCount="199">
  <si>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</si>
  <si>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</si>
  <si>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</si>
  <si>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</si>
  <si>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</si>
  <si>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</si>
  <si>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</si>
  <si>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</si>
  <si>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</si>
  <si>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</si>
  <si>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</si>
  <si>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</si>
  <si>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</si>
  <si>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</si>
  <si>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</si>
  <si>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</si>
  <si>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</si>
  <si>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</si>
  <si>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</si>
  <si>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</si>
  <si>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</si>
  <si>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</si>
  <si>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</si>
  <si>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</si>
  <si>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</si>
  <si>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</si>
  <si>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</si>
  <si>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</si>
  <si>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</si>
  <si>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</si>
  <si>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</si>
  <si>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</si>
  <si>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</si>
  <si>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</si>
  <si>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</si>
  <si>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</si>
  <si>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</si>
  <si>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</si>
  <si>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</si>
  <si>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</si>
  <si>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</si>
  <si>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</si>
  <si>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</si>
  <si>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</si>
  <si>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</si>
  <si>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</si>
  <si>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</si>
  <si>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</si>
  <si>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</si>
  <si>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</si>
  <si>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</si>
  <si>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</si>
  <si>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</si>
  <si>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</si>
  <si>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</si>
  <si>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</si>
  <si>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</si>
  <si>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</si>
  <si>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</si>
  <si>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</si>
  <si>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</si>
  <si>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</si>
  <si>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</si>
  <si>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</si>
  <si>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</si>
  <si>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</si>
  <si>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</si>
  <si>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</si>
  <si>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</si>
  <si>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</si>
  <si>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</si>
  <si>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</si>
  <si>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</si>
  <si>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</si>
  <si>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</si>
  <si>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</si>
  <si>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</si>
  <si>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</si>
  <si>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</si>
  <si>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</si>
  <si>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</si>
  <si>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</si>
  <si>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</si>
  <si>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</si>
  <si>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</si>
  <si>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</si>
  <si>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</si>
  <si>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</si>
  <si>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</si>
  <si>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</si>
  <si>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</si>
  <si>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</si>
  <si>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</si>
  <si>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</si>
  <si>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</si>
  <si>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</si>
  <si>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</si>
  <si>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</si>
  <si>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</si>
  <si>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</si>
  <si>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</si>
  <si>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</si>
  <si>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</si>
  <si>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</si>
  <si>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</si>
  <si>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</si>
  <si>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</si>
  <si>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</si>
  <si>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</si>
  <si>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</si>
  <si>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</si>
  <si>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</si>
  <si>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</si>
  <si>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</si>
  <si>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</si>
  <si>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</si>
  <si>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</si>
  <si>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</si>
  <si>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</si>
  <si>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</si>
  <si>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</si>
  <si>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</si>
  <si>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</si>
  <si>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</si>
  <si>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</si>
  <si>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</si>
  <si>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</si>
  <si>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</si>
  <si>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</si>
  <si>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</si>
  <si>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</si>
  <si>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</si>
  <si>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</si>
  <si>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</si>
  <si>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</si>
  <si>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</si>
  <si>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</si>
  <si>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</si>
  <si>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</si>
  <si>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</si>
  <si>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</si>
  <si>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</si>
  <si>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</si>
  <si>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</si>
  <si>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</si>
  <si>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</si>
  <si>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</si>
  <si>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</si>
  <si>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</si>
  <si>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</si>
  <si>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</si>
  <si>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</si>
  <si>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</si>
  <si>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</si>
  <si>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</si>
  <si>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</si>
  <si>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</si>
  <si>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</si>
  <si>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</si>
  <si>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</si>
  <si>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</si>
  <si>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</si>
  <si>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</si>
  <si>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</si>
  <si>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</si>
  <si>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</si>
  <si>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</si>
  <si>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</si>
  <si>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</si>
  <si>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</si>
  <si>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</si>
  <si>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</si>
  <si>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</si>
  <si>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</si>
  <si>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</si>
  <si>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</si>
  <si>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</si>
  <si>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</si>
  <si>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</si>
  <si>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</si>
  <si>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الاستطلاع في إعادة التزويد أثناء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</si>
  <si>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إلمام قائد السرية بالموقف عن طريق المعلومات التي تم جمعها من خلال الاتصالات اللاسلكية، الخرائط، تقارير الموقف و/أو أية مصادر معلومات أخرى متوفرة.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</si>
  <si>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تأكد قائد السرية من موقف القوات الصديقة والمعادية وكما يلي:</t>
    </r>
  </si>
  <si>
    <t xml:space="preserve">أ. الحصول على التقارير والمعلومات المحدثَة التي تبين مواقع القوات الأمامية والجانبية (المجاورة) من قبل عناصر الاستطلاع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</si>
  <si>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</si>
  <si>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قيام قائد السرية بتوزيع المعلومات الضرورية لجميع الفصائل لاطلاعهم على آخر مستجدات الموقف.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</si>
  <si>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تركيز أو إعادة تركيز نقاط المراقبة في الأمام لتوفير الحماية.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</si>
  <si>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يقظة وجاهزية جميع الأفراد للتعامل مع أي هجوم محتمل.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</si>
  <si>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تفادي اشتباك السرية مع قوات خارج امكانياتها.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</si>
  <si>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السرية ونقاط المراقبة.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</si>
  <si>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أرسال التقارير من قبل قادة الفصائل لقائد السرية حول الذخيرة، الإصابات والمعدات.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</si>
  <si>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والارزاق والوقود من قبل نائب قائد السرية ووكيل السرية.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</si>
  <si>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إشراف القادة على إعادة توزيع الذخيرة.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</si>
  <si>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أرسال تقرير مفصل لركن استخبارات مجموعة اللواء من قبل قائد السرية يتضمن التالي:</t>
    </r>
  </si>
  <si>
    <t>أ. مواقع وحدات السرية.</t>
  </si>
  <si>
    <t>ب. الموقف الإداري للسرية شاملاً (الخسائر في الأفراد والمعدات والذخيرة والوقود).</t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</si>
  <si>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التعامل مع الإصابات وإخلاء الجرحى والشهداء حسب الإجراءات المتبعة.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</si>
  <si>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طلب استعواض خسائر القوى البشرية بأسرع ما يمكن.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</si>
  <si>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اخلاء الآليات والمعدات المعطلة حسب الإجراءات المتبعة.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</si>
</sst>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306842</xdr:colOff>
      <xdr:row>29</xdr:row>
      <xdr:rowOff>74248</xdr:rowOff>
    </xdr:from>
    <xdr:to>
      <xdr:col>6</xdr:col>
      <xdr:colOff>534362</xdr:colOff>
      <xdr:row>29</xdr:row>
      <xdr:rowOff>237328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035653C-3A22-A45A-605D-843038EFE03A}"/>
                </a:ext>
              </a:extLst>
            </xdr14:cNvPr>
            <xdr14:cNvContentPartPr/>
          </xdr14:nvContentPartPr>
          <xdr14:nvPr macro=""/>
          <xdr14:xfrm>
            <a:off x="10437833476" y="14240520"/>
            <a:ext cx="227520" cy="1630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035653C-3A22-A45A-605D-843038EFE0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824476" y="14231520"/>
              <a:ext cx="24516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184802</xdr:colOff>
      <xdr:row>29</xdr:row>
      <xdr:rowOff>15928</xdr:rowOff>
    </xdr:from>
    <xdr:to>
      <xdr:col>8</xdr:col>
      <xdr:colOff>478900</xdr:colOff>
      <xdr:row>29</xdr:row>
      <xdr:rowOff>504448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A8FC3D3-5E15-97F1-2206-8B21CF7D4D1B}"/>
                </a:ext>
              </a:extLst>
            </xdr14:cNvPr>
            <xdr14:cNvContentPartPr/>
          </xdr14:nvContentPartPr>
          <xdr14:nvPr macro=""/>
          <xdr14:xfrm>
            <a:off x="10436572756" y="14182200"/>
            <a:ext cx="1610280" cy="488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A8FC3D3-5E15-97F1-2206-8B21CF7D4D1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563756" y="14173200"/>
              <a:ext cx="1627920" cy="50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24558</xdr:colOff>
      <xdr:row>26</xdr:row>
      <xdr:rowOff>275968</xdr:rowOff>
    </xdr:from>
    <xdr:to>
      <xdr:col>3</xdr:col>
      <xdr:colOff>220038</xdr:colOff>
      <xdr:row>28</xdr:row>
      <xdr:rowOff>216688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71B1DDB-B87C-0F03-9C76-637CAD93A4EB}"/>
                </a:ext>
              </a:extLst>
            </xdr14:cNvPr>
            <xdr14:cNvContentPartPr/>
          </xdr14:nvContentPartPr>
          <xdr14:nvPr macro=""/>
          <xdr14:xfrm>
            <a:off x="10441459036" y="13146840"/>
            <a:ext cx="195480" cy="7027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71B1DDB-B87C-0F03-9C76-637CAD93A4E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41450036" y="13137840"/>
              <a:ext cx="213120" cy="720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8:09:10.1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631 241 15283,'0'0'0,"-24"-23"352,0 3-1648,-3-6 295,27 26 1001,-19-23-176,2 4 280,3 2 160,-8-2-200,22 19-64,-24-21-152,-3 3-88,3-3-40,-2 6-48,26 15 328,-27-7-280,1 0 88,0 4-88,1 1-32,25 2 312,-26 0-184,2 4 16,-5 13 72,3-2 40,26-15 56,-29 24-72,0 7-64,-2 8 8,4 5 104,27-44 24,-24 46-88,5-1 32,12-6-64,-1-3-216,8-36 336,0 29-480,0-4-153,20-4-143,-1-3-104,-19-18 880,26 6-960,10 7 144,8-13 160,4-5 199,-48 5 457,53-22-312,5-7 0,4-9-168,3-6-232,-65 44 712,67-51-1136,1-4-248,-68 55 1384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8:09:11.8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4433 106 1088,'0'0'0,"15"-5"1312,-15 5-1312,5-5 1224,9-1 89,-9 1 119,-5 5 112,0 0-1544,-7 5 1529,-15 18-329,-2-1-608,-5 9-280,29-31-312,-38 35 168,-6 6-112,-6 4 80,-3 2 16,53-47-152,-56 48 152,4 2-96,-6-1-48,3-3-64,55-46 56,-53 43-304,0-4-8,2-3-104,-2-5-232,53-31 648,-53 29-592,5-4 88,5-3-33,0-5-47,43-17 584,-36 14-848,-1-9-312,1 9 64,10-14 255,26 0 841,-31 5-528,2 0 272,2 0 24,1 0 8,26-5 224,-27 14-192,3-11 56,0 2 32,3 9 96,21-14 8,-22 3 0,3 3 8,-5 7 56,-3-8 32,27-5-96,-29 19 176,1-14 32,-4 16 24,3-16-16,29-5-216,-33 19 144,-3-14-32,0 13-32,-3-12-16,39-6-64,-38 15 48,-3-10-16,2 0-8,3 0 8,36-5-32,-34 4 32,3-4-32,2 0-72,0-5-152,29 5 224,-24-17-440,0-1-352,-4 0-1464,28 18 2256</inkml:trace>
  <inkml:trace contextRef="#ctx0" brushRef="#br0" timeOffset="1">2800 0 3720,'0'0'0,"0"5"152,0-5-152,-14 21 280,-3 3 192,-5 8 121,-7 5 23,29-37-616,-31 41 392,-3 4-216,-4-1-112,2 2-64,36-46 0,-36 46 32,0 2-32,-5 0 0,-3 1-72,44-49 72,-45 45-128,-1-3-112,0-1-120,1-7-16,45-34 376,-51 34-464,3-5 79,5-3 65,-1-4 32,44-22 288,-36 17-320,3-3-136,-3-9-24,-3 14-72,39-19 552,-34 5-456,-4 15 64,4-3 80,-2-3 112,36-14 200,-38 17-112,4-2 112,0 2 72,3 1 112,31-18-184,-34 17 208,-2 1 8,3-1 64,-3 4-64,36-21-216,-34 17 216,0 0-56,-2 2-104,0-4-40,36-15-16,-36 19 40,-2-2-64,-3-2 0,-3-1 0,44-14 24,-43 5-72,-5 10-88,0-11 8,5 1 48,43-5 104,-41 5-48,5-2 288,7-3 40,7-5 80,22 5-360,-17-15 360,3 1-176,9 1-64,-2-3-200,7 16 80,-5-15-184,0-2-96,5 0-40,0-5 96,0 22 224,5-28-248,9-4-152,1-6-128,-1-4 24,-14 42 504,15-41-336,-15 41 336</inkml:trace>
  <inkml:trace contextRef="#ctx0" brushRef="#br0" timeOffset="2">972 706 240,'0'0'0,"5"-17"432,-5 17-432,12-19 536,5-6 152,0 1-200,7-5-144,-24 29-344,19-26 232,0-1-88,0 0-104,3 0-24,-22 27-16,22-26 0,-1 0 24,-4 1 64,2 1-24,-19 24-64,17-24 72,0 5-16,-5 4-40,-5 1 16,-7 14-32,17-3 80,-12-2 8,9 1-8,-14 3 32,0 1-112,5-2 56,-5 2 0,0 0 80,0 3 80,0-3-216,0 5 361,0 12 71,-2-11-16,-13 19-80,15-25-336,-7 24 184,-15 3-48,3 6-16,-5 3-32,24-36-88,-26 37 144,-1 1 40,-4-4 16,-3 0 0,34-34-200,-36 32 184,0 2-16,0 2-96,-2 0 0,38-36-72,-36 38 56,-10-1-112,3 1 112,-6-1 0,49-37-56,-48 36 40,-5 0 16,0-4-56,-2 1 48,55-33-48,-58 29-16,6 0 56,-6-4 40,0-1-120,58-24 40,-53 21 16,0-3 16,8-2-120,1-1 64,44-15 24,-41 5-40,5 10 0,10-11 128,2-1 48,24-3-136,-5 4 192,-2-4-200,4 0-320,3 0-176,0 0 504,5 0-560,14 0 136,-4-2 192,9-1 136,-24 3 96,31-6-72,5 1 40,12-10 88,5 1-48,-53 14-8,60-17 8,8-5 64,4-3-56,2-8 72,-74 33-88,85-37 56,-1-4-48,5-9 56,0-1-24,-89 51-40,91-60 96,1-3 0,-6-2-32,-2 1-16,-84 64-48,80-64-16,-6 3-8,1 0 8,-5 1 0,-70 60 16,62-56 48,-2 4 32,-7 3 72,-7 6 48,-46 43-200,38-37 160,-6 4 32,-11 8-56,-4 4 40,-17 21-176,5-15 328,9 10 264,-14-9 257,3 13 359,-3 1-1208,0-6 1408,0 5-32,0-1-135,-5 0-305,5 2-936,-7-1 704,-5-1-256,7 0-160,-9 2-104,14 0-184,-8 0 72,-11 0 8,14 0-40,-14 4-56,19-4 16,-5 5-8,-12 12-32,3-4-16,-3 6 64,17-19-8,-17 26-32,0 10 56,-2 6-56,2 11-64,17-53 96,-14 55-56,-1 3-48,3 0 64,8 0-96,4-58 136,-8 56-168,4 4-232,4-1-440,-3 6-440,3-65 1280,0 65-1969,3 2-663,13-1 103,-4 2-48,-12-68 2577,15 72-3672,-15-72 3672</inkml:trace>
  <inkml:trace contextRef="#ctx0" brushRef="#br0" timeOffset="3">2107 1343 23501,'0'0'0,"0"0"0,-21 0-585,9 5-1311,-3-2-617,13 2-415,2-5 2928,0 0-3865,5-2 152,12-3-2320,-17 5 6033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8:09:17.6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542 12 10754,'0'0'0,"0"0"3817,0-3-3441,-5 1-568,5 2 192,0-7-304,-3 7 72,3 0 72,0 0 47,0 0 113,0 0-56,0 0-16,-2 3-56,2-3-32,0 0 160,-2 4-232,-1 1-32,-2 9 40,1-9 48,4-5 176,-15 25-208,10-2 80,-11 6-56,3 5 32,13-34 152,-7 37-96,-14 6-8,4 5 40,-5 4-64,22-52 128,-24 58-48,2 2 0,1 0 24,-3-4 24,24-56 0,-17 55-40,-5 1 24,3 5 8,2 4 16,17-65-8,-19 63-24,5 0 24,-1-6-24,3-6 32,12-51-8,-7 46 32,-8-3-32,8-6 40,-7-1-40,14-36 0,-3 36 0,-4 1 16,0 3-40,0 1 56,7-41-32,-8 40 0,-4 5-64,8-4-16,-1-2-16,5-39 96,-7 36-88,-1-4 56,4-3 8,-1-1-32,5-28 56,-5 29-48,0 3-88,0 2-112,1 0-64,4-34 312,-3 31-352,-2-9 24,1-3 120,1-4 55,3-15 153,-2 5-80,2 12 88,-3-13-8,1 1 24,2-5-24,-3 5 8,3 0-24,0 0 16,0 0 32,0-5-32,0 4 72,0 1 8,0-2-23,0 2-25,0-5-32,-2 4 8,0-1 16,2 1-24,0-1 16,0-3-16,0 3 0,-3 1-16,3-1 40,-2-3-16,2 0-8,-3 4-24,3-4 32,0 3-32,0-3 64,0 0-40,0 4 40,0-4 16,0 0 8,0 0-16,0 0-48,0 0 48,0 0-16,0 0 8,0 0-160,0 0 296,0 0-136,0 0 32,0 0 0,0 0-432,0 0 792,0 0-336,0 0 48,0 0-48,0 0-864,0 0 1600,0 0-688,0 0-80,0 0 32,0 0-1232,0 0 2368,0 0-1168,0 0 48,0 0 0,0 0-1632,0 0 3176,0 0-1552,0 0-56,0 0-40,0 0-1824,0 0 3592,0 0-1944,0 0-64,0 0-168,0 0-576,0 0 1400,0 0-1176,0-2-265,0 0-439,0 2 1456,3-2-1448,2-3-65,-1-8-535,11 9 280,-15 4 1768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zoomScale="130" zoomScaleNormal="100" zoomScaleSheetLayoutView="130" workbookViewId="0">
      <selection activeCell="G30" sqref="G30:J3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">
      <c r="B2" s="12" t="s">
        <v>8</v>
      </c>
      <c r="C2" s="63" t="s">
        <v>10</v>
      </c>
      <c r="D2" s="63"/>
      <c r="E2" s="12" t="s">
        <v>7</v>
      </c>
      <c r="F2" s="58" t="s">
        <v>56</v>
      </c>
      <c r="G2" s="58"/>
      <c r="H2" s="58"/>
      <c r="I2" s="58"/>
      <c r="J2" s="58"/>
    </row>
    <row r="3" spans="1:10" ht="30" customHeight="1" x14ac:dyDescent="0.2">
      <c r="B3" s="12" t="s">
        <v>9</v>
      </c>
      <c r="C3" s="63" t="s">
        <v>65</v>
      </c>
      <c r="D3" s="63"/>
      <c r="E3" s="12" t="s">
        <v>6</v>
      </c>
      <c r="F3" s="63" t="s">
        <v>113</v>
      </c>
      <c r="G3" s="63"/>
      <c r="H3" s="63"/>
      <c r="I3" s="63"/>
      <c r="J3" s="6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5" customHeight="1" thickBot="1" x14ac:dyDescent="0.25">
      <c r="A6" s="10"/>
      <c r="B6" s="61"/>
      <c r="C6" s="62"/>
      <c r="D6" s="62"/>
      <c r="E6" s="11" t="s">
        <v>3</v>
      </c>
      <c r="F6" s="11" t="s">
        <v>4</v>
      </c>
      <c r="G6" s="11" t="s">
        <v>23</v>
      </c>
      <c r="H6" s="11" t="s">
        <v>24</v>
      </c>
      <c r="I6" s="70"/>
      <c r="J6" s="71"/>
    </row>
    <row r="7" spans="1:10" ht="24.95" customHeight="1" thickBot="1" x14ac:dyDescent="0.25">
      <c r="A7" s="10"/>
      <c r="B7" s="66" t="s">
        <v>21</v>
      </c>
      <c r="C7" s="67"/>
      <c r="D7" s="67"/>
      <c r="E7" s="29" t="s">
        <v>18</v>
      </c>
      <c r="F7" s="29" t="s">
        <v>19</v>
      </c>
      <c r="G7" s="29" t="s">
        <v>22</v>
      </c>
      <c r="H7" s="29" t="s">
        <v>20</v>
      </c>
      <c r="I7" s="72" t="s">
        <v>25</v>
      </c>
      <c r="J7" s="73"/>
    </row>
    <row r="8" spans="1:10" ht="58.5" customHeight="1" x14ac:dyDescent="0.2">
      <c r="A8" s="10"/>
      <c r="B8" s="46" t="s">
        <v>181</v>
      </c>
      <c r="C8" s="47"/>
      <c r="D8" s="47"/>
      <c r="E8" s="33">
        <v>5</v>
      </c>
      <c r="F8" s="34">
        <v>4</v>
      </c>
      <c r="G8" s="35">
        <f>IFERROR(F8/E8,"")</f>
        <v>0.8</v>
      </c>
      <c r="H8" s="36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80"/>
      <c r="J8" s="81"/>
    </row>
    <row r="9" spans="1:10" ht="39.950000000000003" customHeight="1" x14ac:dyDescent="0.2">
      <c r="A9" s="10"/>
      <c r="B9" s="40" t="s">
        <v>182</v>
      </c>
      <c r="C9" s="41"/>
      <c r="D9" s="41"/>
      <c r="E9" s="9"/>
      <c r="F9" s="26"/>
      <c r="G9" s="31"/>
      <c r="H9" s="32"/>
      <c r="I9" s="48"/>
      <c r="J9" s="49"/>
    </row>
    <row r="10" spans="1:10" ht="58.5" customHeight="1" x14ac:dyDescent="0.2">
      <c r="A10" s="10"/>
      <c r="B10" s="42" t="s">
        <v>183</v>
      </c>
      <c r="C10" s="43"/>
      <c r="D10" s="43"/>
      <c r="E10" s="9">
        <v>5</v>
      </c>
      <c r="F10" s="26">
        <v>3.5</v>
      </c>
      <c r="G10" s="31">
        <f t="shared" ref="G10:G25" si="0">IFERROR(F10/E10,"")</f>
        <v>0.7</v>
      </c>
      <c r="H10" s="32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57.75" customHeight="1" x14ac:dyDescent="0.2">
      <c r="A11" s="10"/>
      <c r="B11" s="42" t="s">
        <v>184</v>
      </c>
      <c r="C11" s="43"/>
      <c r="D11" s="43"/>
      <c r="E11" s="9">
        <v>5</v>
      </c>
      <c r="F11" s="26">
        <v>3.5</v>
      </c>
      <c r="G11" s="31">
        <f t="shared" si="0"/>
        <v>0.7</v>
      </c>
      <c r="H11" s="32" t="str">
        <f t="shared" si="1"/>
        <v>جيد</v>
      </c>
      <c r="I11" s="48"/>
      <c r="J11" s="49"/>
    </row>
    <row r="12" spans="1:10" ht="39.950000000000003" customHeight="1" x14ac:dyDescent="0.2">
      <c r="A12" s="10"/>
      <c r="B12" s="40" t="s">
        <v>185</v>
      </c>
      <c r="C12" s="41"/>
      <c r="D12" s="41"/>
      <c r="E12" s="9">
        <v>5</v>
      </c>
      <c r="F12" s="26">
        <v>3.5</v>
      </c>
      <c r="G12" s="31">
        <f t="shared" si="0"/>
        <v>0.7</v>
      </c>
      <c r="H12" s="32" t="str">
        <f t="shared" si="1"/>
        <v>جيد</v>
      </c>
      <c r="I12" s="48"/>
      <c r="J12" s="49"/>
    </row>
    <row r="13" spans="1:10" ht="39.950000000000003" customHeight="1" x14ac:dyDescent="0.2">
      <c r="A13" s="10"/>
      <c r="B13" s="40" t="s">
        <v>186</v>
      </c>
      <c r="C13" s="41"/>
      <c r="D13" s="41"/>
      <c r="E13" s="9">
        <v>5</v>
      </c>
      <c r="F13" s="26">
        <v>3.5</v>
      </c>
      <c r="G13" s="31">
        <f t="shared" si="0"/>
        <v>0.7</v>
      </c>
      <c r="H13" s="32" t="str">
        <f t="shared" si="1"/>
        <v>جيد</v>
      </c>
      <c r="I13" s="48"/>
      <c r="J13" s="49"/>
    </row>
    <row r="14" spans="1:10" ht="39.950000000000003" customHeight="1" x14ac:dyDescent="0.2">
      <c r="A14" s="10"/>
      <c r="B14" s="40" t="s">
        <v>187</v>
      </c>
      <c r="C14" s="41"/>
      <c r="D14" s="41"/>
      <c r="E14" s="9">
        <v>5</v>
      </c>
      <c r="F14" s="26">
        <v>3.5</v>
      </c>
      <c r="G14" s="31">
        <f t="shared" si="0"/>
        <v>0.7</v>
      </c>
      <c r="H14" s="32" t="str">
        <f t="shared" si="1"/>
        <v>جيد</v>
      </c>
      <c r="I14" s="48"/>
      <c r="J14" s="49"/>
    </row>
    <row r="15" spans="1:10" ht="39.950000000000003" customHeight="1" x14ac:dyDescent="0.2">
      <c r="A15" s="10"/>
      <c r="B15" s="40" t="s">
        <v>188</v>
      </c>
      <c r="C15" s="41"/>
      <c r="D15" s="41"/>
      <c r="E15" s="9">
        <v>5</v>
      </c>
      <c r="F15" s="26">
        <v>4</v>
      </c>
      <c r="G15" s="31">
        <f t="shared" si="0"/>
        <v>0.8</v>
      </c>
      <c r="H15" s="32" t="str">
        <f t="shared" si="1"/>
        <v>جيد جداً</v>
      </c>
      <c r="I15" s="48"/>
      <c r="J15" s="49"/>
    </row>
    <row r="16" spans="1:10" ht="39.950000000000003" customHeight="1" x14ac:dyDescent="0.2">
      <c r="A16" s="10"/>
      <c r="B16" s="40" t="s">
        <v>189</v>
      </c>
      <c r="C16" s="41"/>
      <c r="D16" s="41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8"/>
      <c r="J16" s="49"/>
    </row>
    <row r="17" spans="1:10" ht="39.950000000000003" customHeight="1" x14ac:dyDescent="0.2">
      <c r="A17" s="10"/>
      <c r="B17" s="40" t="s">
        <v>190</v>
      </c>
      <c r="C17" s="41"/>
      <c r="D17" s="41"/>
      <c r="E17" s="9">
        <v>5</v>
      </c>
      <c r="F17" s="28">
        <v>4</v>
      </c>
      <c r="G17" s="31">
        <f t="shared" si="0"/>
        <v>0.8</v>
      </c>
      <c r="H17" s="32" t="str">
        <f t="shared" si="1"/>
        <v>جيد جداً</v>
      </c>
      <c r="I17" s="48"/>
      <c r="J17" s="49"/>
    </row>
    <row r="18" spans="1:10" ht="39.950000000000003" customHeight="1" x14ac:dyDescent="0.2">
      <c r="A18" s="10"/>
      <c r="B18" s="40" t="s">
        <v>191</v>
      </c>
      <c r="C18" s="41"/>
      <c r="D18" s="41"/>
      <c r="E18" s="9">
        <v>5</v>
      </c>
      <c r="F18" s="28">
        <v>3.5</v>
      </c>
      <c r="G18" s="31">
        <f t="shared" si="0"/>
        <v>0.7</v>
      </c>
      <c r="H18" s="32" t="str">
        <f t="shared" si="1"/>
        <v>جيد</v>
      </c>
      <c r="I18" s="48"/>
      <c r="J18" s="49"/>
    </row>
    <row r="19" spans="1:10" ht="39.950000000000003" customHeight="1" x14ac:dyDescent="0.2">
      <c r="A19" s="10"/>
      <c r="B19" s="40" t="s">
        <v>192</v>
      </c>
      <c r="C19" s="41"/>
      <c r="D19" s="41"/>
      <c r="E19" s="9">
        <v>5</v>
      </c>
      <c r="F19" s="28">
        <v>3.5</v>
      </c>
      <c r="G19" s="31">
        <f t="shared" si="0"/>
        <v>0.7</v>
      </c>
      <c r="H19" s="32" t="str">
        <f t="shared" si="1"/>
        <v>جيد</v>
      </c>
      <c r="I19" s="48"/>
      <c r="J19" s="49"/>
    </row>
    <row r="20" spans="1:10" ht="39.950000000000003" customHeight="1" x14ac:dyDescent="0.2">
      <c r="A20" s="10"/>
      <c r="B20" s="40" t="s">
        <v>193</v>
      </c>
      <c r="C20" s="41"/>
      <c r="D20" s="41"/>
      <c r="E20" s="9"/>
      <c r="F20" s="28">
        <v>4.25</v>
      </c>
      <c r="G20" s="31"/>
      <c r="H20" s="32"/>
      <c r="I20" s="48"/>
      <c r="J20" s="49"/>
    </row>
    <row r="21" spans="1:10" ht="39.950000000000003" customHeight="1" x14ac:dyDescent="0.2">
      <c r="A21" s="10"/>
      <c r="B21" s="42" t="s">
        <v>194</v>
      </c>
      <c r="C21" s="43"/>
      <c r="D21" s="43"/>
      <c r="E21" s="9">
        <v>5</v>
      </c>
      <c r="F21" s="28">
        <v>3.5</v>
      </c>
      <c r="G21" s="31">
        <f t="shared" si="0"/>
        <v>0.7</v>
      </c>
      <c r="H21" s="32" t="str">
        <f t="shared" si="1"/>
        <v>جيد</v>
      </c>
      <c r="I21" s="48"/>
      <c r="J21" s="49"/>
    </row>
    <row r="22" spans="1:10" ht="39.950000000000003" customHeight="1" x14ac:dyDescent="0.2">
      <c r="A22" s="10"/>
      <c r="B22" s="42" t="s">
        <v>195</v>
      </c>
      <c r="C22" s="43"/>
      <c r="D22" s="43"/>
      <c r="E22" s="9">
        <v>5</v>
      </c>
      <c r="F22" s="26">
        <v>3.5</v>
      </c>
      <c r="G22" s="31">
        <f t="shared" si="0"/>
        <v>0.7</v>
      </c>
      <c r="H22" s="32" t="str">
        <f t="shared" si="1"/>
        <v>جيد</v>
      </c>
      <c r="I22" s="48"/>
      <c r="J22" s="49"/>
    </row>
    <row r="23" spans="1:10" ht="39.950000000000003" customHeight="1" x14ac:dyDescent="0.2">
      <c r="A23" s="10"/>
      <c r="B23" s="40" t="s">
        <v>196</v>
      </c>
      <c r="C23" s="41"/>
      <c r="D23" s="41"/>
      <c r="E23" s="9">
        <v>5</v>
      </c>
      <c r="F23" s="26">
        <v>3.5</v>
      </c>
      <c r="G23" s="31">
        <f t="shared" si="0"/>
        <v>0.7</v>
      </c>
      <c r="H23" s="32" t="str">
        <f t="shared" si="1"/>
        <v>جيد</v>
      </c>
      <c r="I23" s="48"/>
      <c r="J23" s="49"/>
    </row>
    <row r="24" spans="1:10" ht="39.950000000000003" customHeight="1" x14ac:dyDescent="0.2">
      <c r="A24" s="10"/>
      <c r="B24" s="40" t="s">
        <v>197</v>
      </c>
      <c r="C24" s="41"/>
      <c r="D24" s="41"/>
      <c r="E24" s="9">
        <v>5</v>
      </c>
      <c r="F24" s="26">
        <v>3.5</v>
      </c>
      <c r="G24" s="31">
        <f t="shared" si="0"/>
        <v>0.7</v>
      </c>
      <c r="H24" s="32" t="str">
        <f t="shared" si="1"/>
        <v>جيد</v>
      </c>
      <c r="I24" s="48"/>
      <c r="J24" s="49"/>
    </row>
    <row r="25" spans="1:10" ht="39.950000000000003" customHeight="1" thickBot="1" x14ac:dyDescent="0.25">
      <c r="A25" s="10"/>
      <c r="B25" s="44" t="s">
        <v>198</v>
      </c>
      <c r="C25" s="45"/>
      <c r="D25" s="45"/>
      <c r="E25" s="37">
        <v>5</v>
      </c>
      <c r="F25" s="27">
        <v>3.5</v>
      </c>
      <c r="G25" s="38">
        <f t="shared" si="0"/>
        <v>0.7</v>
      </c>
      <c r="H25" s="39" t="str">
        <f t="shared" si="1"/>
        <v>جيد</v>
      </c>
      <c r="I25" s="55"/>
      <c r="J25" s="56"/>
    </row>
    <row r="26" spans="1:10" ht="30" customHeight="1" thickBot="1" x14ac:dyDescent="0.25">
      <c r="A26" s="4"/>
      <c r="B26" s="82" t="s">
        <v>5</v>
      </c>
      <c r="C26" s="83"/>
      <c r="D26" s="83"/>
      <c r="E26" s="30">
        <f>SUM(E8:E25)</f>
        <v>80</v>
      </c>
      <c r="F26" s="30">
        <f>SUM(F8:F25)</f>
        <v>62.25</v>
      </c>
      <c r="G26" s="52"/>
      <c r="H26" s="53"/>
      <c r="I26" s="53"/>
      <c r="J26" s="54"/>
    </row>
    <row r="27" spans="1:10" ht="30" customHeight="1" thickBot="1" x14ac:dyDescent="0.25">
      <c r="A27" s="4"/>
      <c r="B27" s="84" t="s">
        <v>54</v>
      </c>
      <c r="C27" s="85"/>
      <c r="D27" s="85"/>
      <c r="E27" s="64">
        <f>F26/E26/100*100</f>
        <v>0.77812499999999996</v>
      </c>
      <c r="F27" s="64"/>
      <c r="G27" s="64"/>
      <c r="H27" s="64"/>
      <c r="I27" s="64"/>
      <c r="J27" s="65"/>
    </row>
    <row r="28" spans="1:10" ht="30" customHeight="1" thickBot="1" x14ac:dyDescent="0.25">
      <c r="A28" s="4"/>
      <c r="B28" s="84" t="s">
        <v>55</v>
      </c>
      <c r="C28" s="85"/>
      <c r="D28" s="85"/>
      <c r="E28" s="78" t="str">
        <f>_xlfn.IFS(E27&gt;=90%,"ممتاز",E27&gt;=80%,"جيد جداً",E27&gt;=70%,"جيد",E27&gt;=60%,"مقبول",E27&lt;60%,"راسب")</f>
        <v>جيد</v>
      </c>
      <c r="F28" s="78"/>
      <c r="G28" s="78"/>
      <c r="H28" s="78"/>
      <c r="I28" s="78"/>
      <c r="J28" s="79"/>
    </row>
    <row r="29" spans="1:10" ht="42" customHeight="1" x14ac:dyDescent="0.2">
      <c r="B29" s="74" t="s">
        <v>174</v>
      </c>
      <c r="C29" s="74"/>
      <c r="D29" s="74"/>
      <c r="E29" s="50" t="s">
        <v>52</v>
      </c>
      <c r="F29" s="50"/>
      <c r="G29" s="76" t="s">
        <v>113</v>
      </c>
      <c r="H29" s="76"/>
      <c r="I29" s="76"/>
      <c r="J29" s="76"/>
    </row>
    <row r="30" spans="1:10" ht="51" customHeight="1" x14ac:dyDescent="0.2">
      <c r="A30" s="5"/>
      <c r="B30" s="75"/>
      <c r="C30" s="75"/>
      <c r="D30" s="75"/>
      <c r="E30" s="51" t="s">
        <v>53</v>
      </c>
      <c r="F30" s="51"/>
      <c r="G30" s="77"/>
      <c r="H30" s="77"/>
      <c r="I30" s="77"/>
      <c r="J30" s="7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7">
    <mergeCell ref="B29:D30"/>
    <mergeCell ref="G29:J29"/>
    <mergeCell ref="G30:J30"/>
    <mergeCell ref="E28:J28"/>
    <mergeCell ref="I8:J8"/>
    <mergeCell ref="B26:D26"/>
    <mergeCell ref="B27:D27"/>
    <mergeCell ref="B28:D28"/>
    <mergeCell ref="I11:J11"/>
    <mergeCell ref="I12:J12"/>
    <mergeCell ref="I13:J13"/>
    <mergeCell ref="I14:J14"/>
    <mergeCell ref="I15:J15"/>
    <mergeCell ref="I16:J16"/>
    <mergeCell ref="I17:J17"/>
    <mergeCell ref="I18:J18"/>
    <mergeCell ref="B7:D7"/>
    <mergeCell ref="E5:H5"/>
    <mergeCell ref="I5:J6"/>
    <mergeCell ref="I7:J7"/>
    <mergeCell ref="I10:J10"/>
    <mergeCell ref="B1:J1"/>
    <mergeCell ref="F2:J2"/>
    <mergeCell ref="B5:D6"/>
    <mergeCell ref="C2:D2"/>
    <mergeCell ref="C3:D3"/>
    <mergeCell ref="F3:J3"/>
    <mergeCell ref="I9:J9"/>
    <mergeCell ref="E29:F29"/>
    <mergeCell ref="E30:F30"/>
    <mergeCell ref="G26:J26"/>
    <mergeCell ref="I19:J19"/>
    <mergeCell ref="I20:J20"/>
    <mergeCell ref="I21:J21"/>
    <mergeCell ref="I22:J22"/>
    <mergeCell ref="I23:J23"/>
    <mergeCell ref="I24:J24"/>
    <mergeCell ref="I25:J25"/>
    <mergeCell ref="E27:J27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8">
    <cfRule type="expression" dxfId="14" priority="57">
      <formula>$E28="راسب"</formula>
    </cfRule>
  </conditionalFormatting>
  <conditionalFormatting sqref="E28:J28">
    <cfRule type="expression" dxfId="13" priority="60">
      <formula>$E28="جيد جداً"</formula>
    </cfRule>
    <cfRule type="expression" dxfId="12" priority="59">
      <formula>$E28="جيد"</formula>
    </cfRule>
    <cfRule type="expression" dxfId="11" priority="58">
      <formula>$E28="مقبول"</formula>
    </cfRule>
    <cfRule type="expression" dxfId="10" priority="61">
      <formula>$E28="ممتاز"</formula>
    </cfRule>
  </conditionalFormatting>
  <conditionalFormatting sqref="F8:F2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9:J29">
    <cfRule type="containsText" dxfId="6" priority="15" operator="containsText" text="أدخل اسم المحكم">
      <formula>NOT(ISERROR(SEARCH("أدخل اسم المحكم",G29)))</formula>
    </cfRule>
  </conditionalFormatting>
  <conditionalFormatting sqref="H8:H2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F21:F25 F8 F10:F19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2025-10-22T07:05:25Z</dcterms:modified>
</cp:coreProperties>
</file>