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4B488328-99C8-3441-8D31-CBD13719800C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8" i="2"/>
  <c r="H8" i="2"/>
  <c r="F26" i="2"/>
  <c r="E26" i="2"/>
  <c r="E27" i="2"/>
  <c r="E28" i="2"/>
</calcChain>
</file>

<file path=xl/sharedStrings.xml><?xml version="1.0" encoding="utf-8"?>
<sst xmlns="http://schemas.openxmlformats.org/spreadsheetml/2006/main" count="255" uniqueCount="199">
  <si>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</si>
  <si>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</si>
  <si>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</si>
  <si>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</si>
  <si>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</si>
  <si>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</si>
  <si>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</si>
  <si>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</si>
  <si>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</si>
  <si>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</si>
  <si>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</si>
  <si>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</si>
  <si>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</si>
  <si>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</si>
  <si>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</si>
  <si>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</si>
  <si>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</si>
  <si>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</si>
  <si>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</si>
  <si>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</si>
  <si>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</si>
  <si>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</si>
  <si>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</si>
  <si>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</si>
  <si>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</si>
  <si>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</si>
  <si>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</si>
  <si>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</si>
  <si>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</si>
  <si>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</si>
  <si>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</si>
  <si>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</si>
  <si>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</si>
  <si>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</si>
  <si>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</si>
  <si>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</si>
  <si>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</si>
  <si>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</si>
  <si>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</si>
  <si>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</si>
  <si>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</si>
  <si>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</si>
  <si>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</si>
  <si>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</si>
  <si>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</si>
  <si>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</si>
  <si>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</si>
  <si>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</si>
  <si>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</si>
  <si>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</si>
  <si>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</si>
  <si>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</si>
  <si>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</si>
  <si>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</si>
  <si>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</si>
  <si>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</si>
  <si>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</si>
  <si>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</si>
  <si>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</si>
  <si>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</si>
  <si>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</si>
  <si>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</si>
  <si>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</si>
  <si>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</si>
  <si>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</si>
  <si>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</si>
  <si>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</si>
  <si>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</si>
  <si>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</si>
  <si>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</si>
  <si>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</si>
  <si>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</si>
  <si>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</si>
  <si>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</si>
  <si>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</si>
  <si>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</si>
  <si>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</si>
  <si>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</si>
  <si>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</si>
  <si>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</si>
  <si>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</si>
  <si>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</si>
  <si>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</si>
  <si>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</si>
  <si>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</si>
  <si>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</si>
  <si>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</si>
  <si>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</si>
  <si>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</si>
  <si>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</si>
  <si>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</si>
  <si>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</si>
  <si>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</si>
  <si>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</si>
  <si>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</si>
  <si>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</si>
  <si>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</si>
  <si>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</si>
  <si>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</si>
  <si>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</si>
  <si>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</si>
  <si>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</si>
  <si>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</si>
  <si>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</si>
  <si>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</si>
  <si>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</si>
  <si>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</si>
  <si>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</si>
  <si>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</si>
  <si>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</si>
  <si>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</si>
  <si>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</si>
  <si>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</si>
  <si>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</si>
  <si>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</si>
  <si>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</si>
  <si>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</si>
  <si>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</si>
  <si>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</si>
  <si>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</si>
  <si>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</si>
  <si>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</si>
  <si>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</si>
  <si>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</si>
  <si>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</si>
  <si>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</si>
  <si>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</si>
  <si>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</si>
  <si>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</si>
  <si>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</si>
  <si>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</si>
  <si>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</si>
  <si>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</si>
  <si>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</si>
  <si>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</si>
  <si>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</si>
  <si>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</si>
  <si>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</si>
  <si>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</si>
  <si>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</si>
  <si>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</si>
  <si>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</si>
  <si>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</si>
  <si>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</si>
  <si>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</si>
  <si>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</si>
  <si>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</si>
  <si>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</si>
  <si>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</si>
  <si>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</si>
  <si>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</si>
  <si>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</si>
  <si>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</si>
  <si>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</si>
  <si>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</si>
  <si>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</si>
  <si>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</si>
  <si>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</si>
  <si>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</si>
  <si>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</si>
  <si>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</si>
  <si>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</si>
  <si>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</si>
  <si>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</si>
  <si>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</si>
  <si>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</si>
  <si>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</si>
  <si>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</si>
  <si>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</si>
  <si>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</si>
  <si>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</si>
  <si>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</si>
  <si>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</si>
  <si>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</si>
  <si>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</si>
  <si>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</si>
  <si>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</si>
  <si>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</si>
  <si>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</si>
  <si>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</si>
  <si>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إلمام قائد السرية بالموقف عن طريق المعلومات التي تم جمعها من خلال الاتصالات اللاسلكية، الخرائط، تقارير الموقف و/أو أية مصادر معلومات أخرى متوفرة.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</si>
  <si>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تأكد قائد السرية من موقف القوات الصديقة والمعادية وكما يلي:</t>
    </r>
  </si>
  <si>
    <t xml:space="preserve">أ. الحصول على التقارير والمعلومات المحدثَة التي تبين مواقع القوات الأمامية والجانبية (المجاورة) من قبل عناصر الاستطلاع وحسب الحاجة. </t>
  </si>
  <si>
    <t xml:space="preserve">ب. الحصول على معلومات محدثَة عن مواقع قوات العدو لمنع الإصابة بالنيران الصديقة وزيادة حماية القوة وحسب الحاجة. 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</si>
  <si>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قيام قائد السرية بتوزيع المعلومات الضرورية لجميع الفصائل لاطلاعهم على آخر مستجدات الموقف.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</si>
  <si>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تركيز أو إعادة تركيز نقاط المراقبة في الأمام لتوفير الحماية.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</si>
  <si>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يقظة وجاهزية جميع الأفراد للتعامل مع أي هجوم محتمل.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</si>
  <si>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تفادي اشتباك السرية مع قوات خارج امكانياتها.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</si>
  <si>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السرية ونقاط المراقبة.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</si>
  <si>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أرسال التقارير من قبل قادة الفصائل لقائد السرية حول الذخيرة، الإصابات والمعدات.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</si>
  <si>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والارزاق والوقود من قبل نائب قائد السرية ووكيل السرية.</t>
    </r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</si>
  <si>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إشراف القادة على إعادة توزيع الذخيرة.</t>
    </r>
  </si>
  <si>
    <r>
      <t>11.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أرسال تقرير مفصل لركن استخبارات مجموعة اللواء من قبل قائد السرية يتضمن التالي:</t>
    </r>
  </si>
  <si>
    <t>أ. مواقع وحدات السرية.</t>
  </si>
  <si>
    <t>ب. الموقف الإداري للسرية شاملاً (الخسائر في الأفراد والمعدات والذخيرة والوقود).</t>
  </si>
  <si>
    <r>
      <t>12.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التعامل مع الإصابات وإخلاء الجرحى والشهداء حسب الإجراءات المتبعة.</t>
    </r>
  </si>
  <si>
    <r>
      <t>13.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طلب استعواض خسائر القوى البشرية بأسرع ما يمكن.</t>
    </r>
  </si>
  <si>
    <r>
      <t>14.</t>
    </r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Arial"/>
        <family val="2"/>
      </rPr>
      <t>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</si>
  <si>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سرية الـ م/د في إعادة التزويد أثناء الدفاع السريع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</si>
</sst>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23" xfId="0" applyFont="1" applyFill="1" applyBorder="1" applyAlignment="1">
      <alignment horizontal="right" vertical="center" wrapText="1" indent="2" readingOrder="2"/>
    </xf>
    <xf numFmtId="0" fontId="13" fillId="5" borderId="3" xfId="0" applyFont="1" applyFill="1" applyBorder="1" applyAlignment="1">
      <alignment horizontal="right" vertical="center" wrapText="1" indent="2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13" fillId="5" borderId="5" xfId="0" applyFont="1" applyFill="1" applyBorder="1" applyAlignment="1">
      <alignment horizontal="right" vertical="center" wrapText="1" readingOrder="2"/>
    </xf>
    <xf numFmtId="0" fontId="13" fillId="5" borderId="4" xfId="0" applyFont="1" applyFill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عادي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271437</xdr:colOff>
      <xdr:row>28</xdr:row>
      <xdr:rowOff>264380</xdr:rowOff>
    </xdr:from>
    <xdr:to>
      <xdr:col>9</xdr:col>
      <xdr:colOff>640743</xdr:colOff>
      <xdr:row>32</xdr:row>
      <xdr:rowOff>114500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حبر 3">
              <a:extLst>
                <a:ext uri="{FF2B5EF4-FFF2-40B4-BE49-F238E27FC236}">
                  <a16:creationId xmlns:a16="http://schemas.microsoft.com/office/drawing/2014/main" id="{100493F1-C6A3-01CA-971C-E798C03119B8}"/>
                </a:ext>
              </a:extLst>
            </xdr14:cNvPr>
            <xdr14:cNvContentPartPr/>
          </xdr14:nvContentPartPr>
          <xdr14:nvPr macro=""/>
          <xdr14:xfrm>
            <a:off x="11437798985" y="13916880"/>
            <a:ext cx="2516760" cy="1374120"/>
          </xdr14:xfrm>
        </xdr:contentPart>
      </mc:Choice>
      <mc:Fallback>
        <xdr:pic>
          <xdr:nvPicPr>
            <xdr:cNvPr id="4" name="حبر 3">
              <a:extLst>
                <a:ext uri="{FF2B5EF4-FFF2-40B4-BE49-F238E27FC236}">
                  <a16:creationId xmlns:a16="http://schemas.microsoft.com/office/drawing/2014/main" id="{100493F1-C6A3-01CA-971C-E798C03119B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7790345" y="13907880"/>
              <a:ext cx="2534400" cy="1391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6T05:12:10.7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1348 1684,'0'0,"0"0,0 0,0 0,0 0,0 0,0 0,0 0,0 0,-17 16,0 0,-7 9,0-2,-39 57,20-29,5-6,-42 52,35-42,11-14,-31 39,48-34,3-12,-20 30,46-45,-7-6,122-45,-23-14,-30 12,167-110,-78 58,-23 11,197-85,-133 50,-23 12,251-127,-220 112,-5 2,178-114,-217 129,1 0,150-65,-203 91,9-4,67-22,-127 64,-2 0,2 0,-58 32,3 0,-75 48,9-9,-1 2,-102 87,72-65,-4 2,-85 64,99-66,-7 2,-91 63,112-73,-2 3,-17 6,68-49,-3 2,17-1,31-24,3 0,77-40,-39 16,0-1,106-47,-106 56,0 0,73-24,-90 24,0 0,58-8,-89 24,0 0,-24 24,-24 8,0 0,-89 56,51-39,-3-2,-63 42,78-48,4-2,-36 49,34-55,0-2,-14 41,45-55,0-2,34-7,0 0,-3 0,34-32,-12 24,-7 0,50-8,-11 8,-6 0,35-24,-40 23,-4 2,29-9,-32 16,-4 0,17-16,-20 16,-4 0,9 0,-34 0,3 0,31-16,-5 7,-7 2,61-25,-37 15,-7 2,60-34,-63 24,-4 2,50-9,-36 7,-9 2,31-9,-49 15,-4 2,19-1,-31 7,0 2,14-9,-14 16,-3 0,20-16,-27 16,0 0,-19 12,10-8,-94 44,12-6,7-4,-164 74,80-44,17-7,-241 131,123-57,28-13,-329 150,236-112,29-15,-294 160,292-155,23-12,-221 135,267-158,12-6,-180 100,240-134,13-6,-30-5,126-39,4-2,-2-23,48-8,0 0,48-56,2 14,-4 4,98-82,-45 44,-5 7,113-83,-63 51,-14 10,207-110,-135 82,-19 14,216-112,-190 100,-17 10,258-126,-216 115,-20 12,187-127,-208 132,-18 10,131-94,-179 85,-14 8,97-77,-145 102,-3 6,17-43,-52 61,-5 5,-71-34,-18 38,7 4,-116-10,75 48,10 0,-150 0,124 17,8-2,-146 17,113-7,10-2,-92 57,140-29,7-5,-19 18,62-31,6-2,-6 17,34-14,0-4,82 34,-8-39,-4-2,122 26,-74-16,-12-2,151 33,-122-39,-15-2,169 9,-137-7,-15-2,137-7,-149-16,-10 0,44 0,-99 9,-7-2,27-7,-64 9,1-2,-17 9,-33 1,1-2,-112 49,60-30,7-3,-116 65,85-55,10-2,-112 41,102-38,7-4,-58 26,90-38,8-3,-35 9,63-32,4 0,29-16,50-27,-4 5,113-42,-41 30,-10 4,115-66,-105 70,-12 4,279-107,-176 70,-16 6,175-43,-210 78,-11 4,62-18,-151 31,-5 1,60 0,-70 8,-7 0,13 8,-64 0,-2 0,-31 16,-29 1,10-2,-205 50,111-15,17-4,-145 34,224-55,3-2,-598 170,247-39,9-4,-188 107,294-95,2-4,-250 163,245-150,10-5,-175 123,307-177,-2 0,-15-16,145-88,-3 0,34-8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0"/>
  <sheetViews>
    <sheetView rightToLeft="1" tabSelected="1" view="pageBreakPreview" topLeftCell="D17" zoomScale="145" zoomScaleNormal="100" zoomScaleSheetLayoutView="145" workbookViewId="0">
      <selection activeCell="G30" sqref="G30:J30"/>
    </sheetView>
  </sheetViews>
  <sheetFormatPr defaultColWidth="8.94921875" defaultRowHeight="13.5"/>
  <cols>
    <col min="1" max="1" width="5.1484375" style="1" customWidth="1"/>
    <col min="2" max="2" width="12.13671875" style="1" customWidth="1"/>
    <col min="3" max="3" width="8.94921875" style="1"/>
    <col min="4" max="4" width="28.07421875" style="1" customWidth="1"/>
    <col min="5" max="7" width="9.19140625" style="1" customWidth="1"/>
    <col min="8" max="8" width="9.19140625" style="3" customWidth="1"/>
    <col min="9" max="9" width="9.19140625" style="1" customWidth="1"/>
    <col min="10" max="10" width="15.4453125" style="1" customWidth="1"/>
    <col min="11" max="16384" width="8.94921875" style="1"/>
  </cols>
  <sheetData>
    <row r="1" spans="1:10" ht="45" customHeight="1">
      <c r="B1" s="58" t="s">
        <v>198</v>
      </c>
      <c r="C1" s="58"/>
      <c r="D1" s="58"/>
      <c r="E1" s="58"/>
      <c r="F1" s="58"/>
      <c r="G1" s="58"/>
      <c r="H1" s="58"/>
      <c r="I1" s="58"/>
      <c r="J1" s="58"/>
    </row>
    <row r="2" spans="1:10" ht="30" customHeight="1">
      <c r="B2" s="12" t="s">
        <v>8</v>
      </c>
      <c r="C2" s="64" t="s">
        <v>27</v>
      </c>
      <c r="D2" s="64"/>
      <c r="E2" s="12" t="s">
        <v>7</v>
      </c>
      <c r="F2" s="59">
        <v>45955</v>
      </c>
      <c r="G2" s="59"/>
      <c r="H2" s="59"/>
      <c r="I2" s="59"/>
      <c r="J2" s="59"/>
    </row>
    <row r="3" spans="1:10" ht="30" customHeight="1">
      <c r="B3" s="12" t="s">
        <v>9</v>
      </c>
      <c r="C3" s="64" t="s">
        <v>70</v>
      </c>
      <c r="D3" s="64"/>
      <c r="E3" s="12" t="s">
        <v>6</v>
      </c>
      <c r="F3" s="64" t="s">
        <v>115</v>
      </c>
      <c r="G3" s="64"/>
      <c r="H3" s="64"/>
      <c r="I3" s="64"/>
      <c r="J3" s="64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0"/>
      <c r="B5" s="60" t="s">
        <v>0</v>
      </c>
      <c r="C5" s="61"/>
      <c r="D5" s="61"/>
      <c r="E5" s="67" t="s">
        <v>1</v>
      </c>
      <c r="F5" s="67"/>
      <c r="G5" s="67"/>
      <c r="H5" s="67"/>
      <c r="I5" s="67" t="s">
        <v>2</v>
      </c>
      <c r="J5" s="68"/>
    </row>
    <row r="6" spans="1:10" ht="24.95" customHeight="1" thickBot="1">
      <c r="A6" s="10"/>
      <c r="B6" s="62"/>
      <c r="C6" s="63"/>
      <c r="D6" s="63"/>
      <c r="E6" s="11" t="s">
        <v>3</v>
      </c>
      <c r="F6" s="11" t="s">
        <v>4</v>
      </c>
      <c r="G6" s="11" t="s">
        <v>23</v>
      </c>
      <c r="H6" s="11" t="s">
        <v>24</v>
      </c>
      <c r="I6" s="69"/>
      <c r="J6" s="70"/>
    </row>
    <row r="7" spans="1:10" ht="24.95" customHeight="1" thickBot="1">
      <c r="A7" s="10"/>
      <c r="B7" s="65" t="s">
        <v>21</v>
      </c>
      <c r="C7" s="66"/>
      <c r="D7" s="66"/>
      <c r="E7" s="28" t="s">
        <v>18</v>
      </c>
      <c r="F7" s="28" t="s">
        <v>19</v>
      </c>
      <c r="G7" s="28" t="s">
        <v>22</v>
      </c>
      <c r="H7" s="28" t="s">
        <v>20</v>
      </c>
      <c r="I7" s="71" t="s">
        <v>25</v>
      </c>
      <c r="J7" s="72"/>
    </row>
    <row r="8" spans="1:10" ht="58.5" customHeight="1">
      <c r="A8" s="10"/>
      <c r="B8" s="45" t="s">
        <v>180</v>
      </c>
      <c r="C8" s="46"/>
      <c r="D8" s="46"/>
      <c r="E8" s="32">
        <v>5</v>
      </c>
      <c r="F8" s="33">
        <v>4</v>
      </c>
      <c r="G8" s="34">
        <f>IFERROR(F8/E8,"")</f>
        <v>0.8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79"/>
      <c r="J8" s="80"/>
    </row>
    <row r="9" spans="1:10" ht="39.950000000000003" customHeight="1">
      <c r="A9" s="10"/>
      <c r="B9" s="39" t="s">
        <v>181</v>
      </c>
      <c r="C9" s="40"/>
      <c r="D9" s="40"/>
      <c r="E9" s="9"/>
      <c r="F9" s="26"/>
      <c r="G9" s="30"/>
      <c r="H9" s="31"/>
      <c r="I9" s="52"/>
      <c r="J9" s="53"/>
    </row>
    <row r="10" spans="1:10" ht="58.5" customHeight="1">
      <c r="A10" s="10"/>
      <c r="B10" s="41" t="s">
        <v>182</v>
      </c>
      <c r="C10" s="42"/>
      <c r="D10" s="42"/>
      <c r="E10" s="9">
        <v>5</v>
      </c>
      <c r="F10" s="26">
        <v>3.5</v>
      </c>
      <c r="G10" s="30">
        <f t="shared" ref="G10:G25" si="0">IFERROR(F10/E10,"")</f>
        <v>0.7</v>
      </c>
      <c r="H10" s="31" t="str">
        <f t="shared" ref="H10:H25" si="1">_xlfn.IFS(F10="أدخل العلامة","",F10="لا ينطبق","تم الإلغاء",G10&gt;=90%,"ممتاز",G10&gt;=80%,"جيد جداً",G10&gt;=70%,"جيد",G10&gt;=60%,"مقبول",G10&lt;60%,"راسب")</f>
        <v>جيد</v>
      </c>
      <c r="I10" s="52"/>
      <c r="J10" s="53"/>
    </row>
    <row r="11" spans="1:10" ht="57.75" customHeight="1">
      <c r="A11" s="10"/>
      <c r="B11" s="41" t="s">
        <v>183</v>
      </c>
      <c r="C11" s="42"/>
      <c r="D11" s="42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52"/>
      <c r="J11" s="53"/>
    </row>
    <row r="12" spans="1:10" ht="39.950000000000003" customHeight="1">
      <c r="A12" s="10"/>
      <c r="B12" s="39" t="s">
        <v>184</v>
      </c>
      <c r="C12" s="40"/>
      <c r="D12" s="40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52"/>
      <c r="J12" s="53"/>
    </row>
    <row r="13" spans="1:10" ht="39.950000000000003" customHeight="1">
      <c r="A13" s="10"/>
      <c r="B13" s="39" t="s">
        <v>185</v>
      </c>
      <c r="C13" s="40"/>
      <c r="D13" s="40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52"/>
      <c r="J13" s="53"/>
    </row>
    <row r="14" spans="1:10" ht="39.950000000000003" customHeight="1">
      <c r="A14" s="10"/>
      <c r="B14" s="39" t="s">
        <v>186</v>
      </c>
      <c r="C14" s="40"/>
      <c r="D14" s="40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52"/>
      <c r="J14" s="53"/>
    </row>
    <row r="15" spans="1:10" ht="39.950000000000003" customHeight="1">
      <c r="A15" s="10"/>
      <c r="B15" s="39" t="s">
        <v>187</v>
      </c>
      <c r="C15" s="40"/>
      <c r="D15" s="40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52"/>
      <c r="J15" s="53"/>
    </row>
    <row r="16" spans="1:10" ht="39.950000000000003" customHeight="1">
      <c r="A16" s="10"/>
      <c r="B16" s="39" t="s">
        <v>188</v>
      </c>
      <c r="C16" s="40"/>
      <c r="D16" s="40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52"/>
      <c r="J16" s="53"/>
    </row>
    <row r="17" spans="1:10" ht="39.950000000000003" customHeight="1">
      <c r="A17" s="10"/>
      <c r="B17" s="39" t="s">
        <v>189</v>
      </c>
      <c r="C17" s="40"/>
      <c r="D17" s="40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52"/>
      <c r="J17" s="53"/>
    </row>
    <row r="18" spans="1:10" ht="39.950000000000003" customHeight="1">
      <c r="A18" s="10"/>
      <c r="B18" s="39" t="s">
        <v>190</v>
      </c>
      <c r="C18" s="40"/>
      <c r="D18" s="40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52"/>
      <c r="J18" s="53"/>
    </row>
    <row r="19" spans="1:10" ht="39.950000000000003" customHeight="1">
      <c r="A19" s="10"/>
      <c r="B19" s="39" t="s">
        <v>191</v>
      </c>
      <c r="C19" s="40"/>
      <c r="D19" s="40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52"/>
      <c r="J19" s="53"/>
    </row>
    <row r="20" spans="1:10" ht="39.950000000000003" customHeight="1">
      <c r="A20" s="10"/>
      <c r="B20" s="39" t="s">
        <v>192</v>
      </c>
      <c r="C20" s="40"/>
      <c r="D20" s="40"/>
      <c r="E20" s="9"/>
      <c r="F20" s="26"/>
      <c r="G20" s="30"/>
      <c r="H20" s="31"/>
      <c r="I20" s="52"/>
      <c r="J20" s="53"/>
    </row>
    <row r="21" spans="1:10" ht="39.950000000000003" customHeight="1">
      <c r="A21" s="10"/>
      <c r="B21" s="41" t="s">
        <v>193</v>
      </c>
      <c r="C21" s="42"/>
      <c r="D21" s="42"/>
      <c r="E21" s="9">
        <v>5</v>
      </c>
      <c r="F21" s="26">
        <v>3.75</v>
      </c>
      <c r="G21" s="30">
        <f t="shared" si="0"/>
        <v>0.75</v>
      </c>
      <c r="H21" s="31" t="str">
        <f t="shared" si="1"/>
        <v>جيد</v>
      </c>
      <c r="I21" s="52"/>
      <c r="J21" s="53"/>
    </row>
    <row r="22" spans="1:10" ht="39.950000000000003" customHeight="1">
      <c r="A22" s="10"/>
      <c r="B22" s="41" t="s">
        <v>194</v>
      </c>
      <c r="C22" s="42"/>
      <c r="D22" s="42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52"/>
      <c r="J22" s="53"/>
    </row>
    <row r="23" spans="1:10" ht="39.950000000000003" customHeight="1">
      <c r="A23" s="10"/>
      <c r="B23" s="39" t="s">
        <v>195</v>
      </c>
      <c r="C23" s="40"/>
      <c r="D23" s="40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52"/>
      <c r="J23" s="53"/>
    </row>
    <row r="24" spans="1:10" ht="39.950000000000003" customHeight="1">
      <c r="A24" s="10"/>
      <c r="B24" s="39" t="s">
        <v>196</v>
      </c>
      <c r="C24" s="40"/>
      <c r="D24" s="40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52"/>
      <c r="J24" s="53"/>
    </row>
    <row r="25" spans="1:10" ht="39.950000000000003" customHeight="1" thickBot="1">
      <c r="A25" s="10"/>
      <c r="B25" s="43" t="s">
        <v>197</v>
      </c>
      <c r="C25" s="44"/>
      <c r="D25" s="44"/>
      <c r="E25" s="36">
        <v>5</v>
      </c>
      <c r="F25" s="27">
        <v>3.5</v>
      </c>
      <c r="G25" s="37">
        <f t="shared" si="0"/>
        <v>0.7</v>
      </c>
      <c r="H25" s="38" t="str">
        <f t="shared" si="1"/>
        <v>جيد</v>
      </c>
      <c r="I25" s="54"/>
      <c r="J25" s="55"/>
    </row>
    <row r="26" spans="1:10" ht="30" customHeight="1" thickBot="1">
      <c r="A26" s="4"/>
      <c r="B26" s="81" t="s">
        <v>5</v>
      </c>
      <c r="C26" s="82"/>
      <c r="D26" s="82"/>
      <c r="E26" s="29">
        <f>SUM(E8:E25)</f>
        <v>80</v>
      </c>
      <c r="F26" s="29">
        <f>SUM(F8:F25)</f>
        <v>57.75</v>
      </c>
      <c r="G26" s="49"/>
      <c r="H26" s="50"/>
      <c r="I26" s="50"/>
      <c r="J26" s="51"/>
    </row>
    <row r="27" spans="1:10" ht="30" customHeight="1" thickBot="1">
      <c r="A27" s="4"/>
      <c r="B27" s="83" t="s">
        <v>54</v>
      </c>
      <c r="C27" s="84"/>
      <c r="D27" s="84"/>
      <c r="E27" s="56">
        <f>F26/E26/100*100</f>
        <v>0.72187500000000004</v>
      </c>
      <c r="F27" s="56"/>
      <c r="G27" s="56"/>
      <c r="H27" s="56"/>
      <c r="I27" s="56"/>
      <c r="J27" s="57"/>
    </row>
    <row r="28" spans="1:10" ht="30" customHeight="1" thickBot="1">
      <c r="A28" s="4"/>
      <c r="B28" s="83" t="s">
        <v>55</v>
      </c>
      <c r="C28" s="84"/>
      <c r="D28" s="84"/>
      <c r="E28" s="77" t="str">
        <f>_xlfn.IFS(E27&gt;=90%,"ممتاز",E27&gt;=80%,"جيد جداً",E27&gt;=70%,"جيد",E27&gt;=60%,"مقبول",E27&lt;60%,"راسب")</f>
        <v>جيد</v>
      </c>
      <c r="F28" s="77"/>
      <c r="G28" s="77"/>
      <c r="H28" s="77"/>
      <c r="I28" s="77"/>
      <c r="J28" s="78"/>
    </row>
    <row r="29" spans="1:10" ht="42" customHeight="1">
      <c r="B29" s="73" t="s">
        <v>174</v>
      </c>
      <c r="C29" s="73"/>
      <c r="D29" s="73"/>
      <c r="E29" s="47" t="s">
        <v>52</v>
      </c>
      <c r="F29" s="47"/>
      <c r="G29" s="75" t="s">
        <v>115</v>
      </c>
      <c r="H29" s="75"/>
      <c r="I29" s="75"/>
      <c r="J29" s="75"/>
    </row>
    <row r="30" spans="1:10" ht="51" customHeight="1">
      <c r="A30" s="5"/>
      <c r="B30" s="74"/>
      <c r="C30" s="74"/>
      <c r="D30" s="74"/>
      <c r="E30" s="48" t="s">
        <v>53</v>
      </c>
      <c r="F30" s="48"/>
      <c r="G30" s="76"/>
      <c r="H30" s="76"/>
      <c r="I30" s="76"/>
      <c r="J30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7">
    <mergeCell ref="B29:D30"/>
    <mergeCell ref="G29:J29"/>
    <mergeCell ref="G30:J30"/>
    <mergeCell ref="E28:J28"/>
    <mergeCell ref="I8:J8"/>
    <mergeCell ref="B26:D26"/>
    <mergeCell ref="B27:D27"/>
    <mergeCell ref="B28:D28"/>
    <mergeCell ref="I11:J11"/>
    <mergeCell ref="I12:J12"/>
    <mergeCell ref="I13:J13"/>
    <mergeCell ref="I14:J14"/>
    <mergeCell ref="I15:J15"/>
    <mergeCell ref="I16:J16"/>
    <mergeCell ref="I17:J17"/>
    <mergeCell ref="I18:J18"/>
    <mergeCell ref="B7:D7"/>
    <mergeCell ref="E5:H5"/>
    <mergeCell ref="I5:J6"/>
    <mergeCell ref="I7:J7"/>
    <mergeCell ref="I10:J10"/>
    <mergeCell ref="I9:J9"/>
    <mergeCell ref="B1:J1"/>
    <mergeCell ref="F2:J2"/>
    <mergeCell ref="B5:D6"/>
    <mergeCell ref="C2:D2"/>
    <mergeCell ref="C3:D3"/>
    <mergeCell ref="F3:J3"/>
    <mergeCell ref="E29:F29"/>
    <mergeCell ref="E30:F30"/>
    <mergeCell ref="G26:J26"/>
    <mergeCell ref="I19:J19"/>
    <mergeCell ref="I20:J20"/>
    <mergeCell ref="I21:J21"/>
    <mergeCell ref="I22:J22"/>
    <mergeCell ref="I23:J23"/>
    <mergeCell ref="I24:J24"/>
    <mergeCell ref="I25:J25"/>
    <mergeCell ref="E27:J27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8">
    <cfRule type="expression" dxfId="14" priority="57">
      <formula>$E28="راسب"</formula>
    </cfRule>
  </conditionalFormatting>
  <conditionalFormatting sqref="E28:J28">
    <cfRule type="expression" dxfId="13" priority="58">
      <formula>$E28="مقبول"</formula>
    </cfRule>
    <cfRule type="expression" dxfId="12" priority="59">
      <formula>$E28="جيد"</formula>
    </cfRule>
    <cfRule type="expression" dxfId="11" priority="60">
      <formula>$E28="جيد جداً"</formula>
    </cfRule>
    <cfRule type="expression" dxfId="10" priority="61">
      <formula>$E28="ممتاز"</formula>
    </cfRule>
  </conditionalFormatting>
  <conditionalFormatting sqref="F8:F2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9:J29">
    <cfRule type="containsText" dxfId="6" priority="15" operator="containsText" text="أدخل اسم المحكم">
      <formula>NOT(ISERROR(SEARCH("أدخل اسم المحكم",G29)))</formula>
    </cfRule>
  </conditionalFormatting>
  <conditionalFormatting sqref="H8:H2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F21:F25 F8 F10:F19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G29:J29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/>
  <cols>
    <col min="1" max="1" width="42.5390625" style="1" customWidth="1"/>
    <col min="2" max="2" width="24.88671875" style="1" customWidth="1"/>
    <col min="3" max="3" width="59.82421875" style="1" customWidth="1"/>
    <col min="4" max="9" width="8.9492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19" t="s">
        <v>177</v>
      </c>
    </row>
    <row r="30" spans="1:3" ht="20.100000000000001" customHeight="1" thickBot="1">
      <c r="A30" s="2" t="s">
        <v>32</v>
      </c>
      <c r="C30" s="19" t="s">
        <v>178</v>
      </c>
    </row>
    <row r="31" spans="1:3" ht="20.100000000000001" customHeight="1" thickBot="1">
      <c r="A31" s="2" t="s">
        <v>33</v>
      </c>
      <c r="C31" s="19" t="s">
        <v>179</v>
      </c>
    </row>
    <row r="32" spans="1:3" ht="20.100000000000001" customHeight="1" thickBot="1">
      <c r="A32" s="2" t="s">
        <v>16</v>
      </c>
      <c r="C32" s="19"/>
    </row>
    <row r="33" spans="1:9" ht="20.100000000000001" customHeight="1" thickBot="1">
      <c r="A33" s="2" t="s">
        <v>14</v>
      </c>
      <c r="C33" s="19"/>
    </row>
    <row r="34" spans="1:9" ht="20.100000000000001" customHeight="1" thickBot="1">
      <c r="A34" s="2" t="s">
        <v>34</v>
      </c>
      <c r="C34" s="19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45931</v>
      </c>
    </row>
    <row r="40" spans="1:9" ht="20.100000000000001" customHeight="1" thickBot="1">
      <c r="A40" s="13">
        <v>45932</v>
      </c>
    </row>
    <row r="41" spans="1:9" ht="20.100000000000001" customHeight="1" thickBot="1">
      <c r="A41" s="13">
        <v>45933</v>
      </c>
    </row>
    <row r="42" spans="1:9" ht="20.100000000000001" customHeight="1" thickBot="1">
      <c r="A42" s="13">
        <v>45934</v>
      </c>
    </row>
    <row r="43" spans="1:9" ht="20.100000000000001" customHeight="1" thickBot="1">
      <c r="A43" s="13">
        <v>45935</v>
      </c>
    </row>
    <row r="44" spans="1:9" ht="20.100000000000001" customHeight="1" thickBot="1">
      <c r="A44" s="13">
        <v>45936</v>
      </c>
    </row>
    <row r="45" spans="1:9" ht="20.100000000000001" customHeight="1" thickBot="1">
      <c r="A45" s="13">
        <v>45937</v>
      </c>
    </row>
    <row r="46" spans="1:9" ht="20.100000000000001" customHeight="1" thickBot="1">
      <c r="A46" s="13">
        <v>45938</v>
      </c>
    </row>
    <row r="47" spans="1:9" ht="20.100000000000001" customHeight="1" thickBot="1">
      <c r="A47" s="13">
        <v>45939</v>
      </c>
    </row>
    <row r="48" spans="1:9" ht="20.100000000000001" customHeight="1" thickBot="1">
      <c r="A48" s="13">
        <v>45940</v>
      </c>
    </row>
    <row r="49" spans="1:1" ht="20.100000000000001" customHeight="1" thickBot="1">
      <c r="A49" s="13">
        <v>45941</v>
      </c>
    </row>
    <row r="50" spans="1:1" ht="20.100000000000001" customHeight="1" thickBot="1">
      <c r="A50" s="13">
        <v>45942</v>
      </c>
    </row>
    <row r="51" spans="1:1" ht="20.100000000000001" customHeight="1" thickBot="1">
      <c r="A51" s="13">
        <v>45943</v>
      </c>
    </row>
    <row r="52" spans="1:1" ht="20.100000000000001" customHeight="1" thickBot="1">
      <c r="A52" s="13">
        <v>45944</v>
      </c>
    </row>
    <row r="53" spans="1:1" ht="20.100000000000001" customHeight="1" thickBot="1">
      <c r="A53" s="13">
        <v>45945</v>
      </c>
    </row>
    <row r="54" spans="1:1" ht="20.100000000000001" customHeight="1" thickBot="1">
      <c r="A54" s="13">
        <v>45946</v>
      </c>
    </row>
    <row r="55" spans="1:1" ht="20.100000000000001" customHeight="1" thickBot="1">
      <c r="A55" s="13">
        <v>45947</v>
      </c>
    </row>
    <row r="56" spans="1:1" ht="20.100000000000001" customHeight="1" thickBot="1">
      <c r="A56" s="13">
        <v>45948</v>
      </c>
    </row>
    <row r="57" spans="1:1" ht="20.100000000000001" customHeight="1" thickBot="1">
      <c r="A57" s="13">
        <v>45949</v>
      </c>
    </row>
    <row r="58" spans="1:1" ht="20.100000000000001" customHeight="1" thickBot="1">
      <c r="A58" s="13">
        <v>45950</v>
      </c>
    </row>
    <row r="59" spans="1:1" ht="20.100000000000001" customHeight="1" thickBot="1">
      <c r="A59" s="13">
        <v>45951</v>
      </c>
    </row>
    <row r="60" spans="1:1" ht="20.100000000000001" customHeight="1" thickBot="1">
      <c r="A60" s="13">
        <v>45952</v>
      </c>
    </row>
    <row r="61" spans="1:1" ht="20.100000000000001" customHeight="1" thickBot="1">
      <c r="A61" s="13">
        <v>45953</v>
      </c>
    </row>
    <row r="62" spans="1:1" ht="20.100000000000001" customHeight="1" thickBot="1">
      <c r="A62" s="13">
        <v>45954</v>
      </c>
    </row>
    <row r="63" spans="1:1" ht="20.100000000000001" customHeight="1" thickBot="1">
      <c r="A63" s="13">
        <v>45955</v>
      </c>
    </row>
    <row r="64" spans="1:1" ht="20.100000000000001" customHeight="1" thickBot="1">
      <c r="A64" s="13">
        <v>45956</v>
      </c>
    </row>
    <row r="65" spans="1:1" ht="20.100000000000001" customHeight="1" thickBot="1">
      <c r="A65" s="13">
        <v>45957</v>
      </c>
    </row>
    <row r="66" spans="1:1" ht="20.100000000000001" customHeight="1" thickBot="1">
      <c r="A66" s="13">
        <v>45958</v>
      </c>
    </row>
    <row r="67" spans="1:1" ht="20.100000000000001" customHeight="1" thickBot="1">
      <c r="A67" s="13">
        <v>45959</v>
      </c>
    </row>
    <row r="68" spans="1:1" ht="20.100000000000001" customHeight="1" thickBot="1">
      <c r="A68" s="13">
        <v>45960</v>
      </c>
    </row>
    <row r="69" spans="1:1" ht="20.100000000000001" customHeight="1" thickBot="1">
      <c r="A69" s="13">
        <v>45961</v>
      </c>
    </row>
    <row r="70" spans="1:1" ht="20.100000000000001" customHeight="1" thickBot="1">
      <c r="A70" s="13"/>
    </row>
    <row r="71" spans="1:1" ht="20.100000000000001" customHeight="1" thickBot="1">
      <c r="A71" s="13"/>
    </row>
    <row r="72" spans="1:1" ht="20.100000000000001" customHeight="1" thickBot="1">
      <c r="A72" s="13"/>
    </row>
    <row r="73" spans="1:1" ht="20.100000000000001" customHeight="1" thickBot="1">
      <c r="A73" s="13"/>
    </row>
    <row r="74" spans="1:1" ht="20.100000000000001" customHeight="1" thickBot="1">
      <c r="A74" s="13"/>
    </row>
    <row r="75" spans="1:1" ht="20.100000000000001" customHeight="1" thickBot="1">
      <c r="A75" s="13"/>
    </row>
    <row r="76" spans="1:1" ht="20.100000000000001" customHeight="1" thickBot="1">
      <c r="A76" s="13"/>
    </row>
    <row r="77" spans="1:1" ht="20.100000000000001" customHeight="1" thickBot="1">
      <c r="A77" s="13"/>
    </row>
    <row r="78" spans="1:1" ht="20.100000000000001" customHeight="1" thickBot="1">
      <c r="A78" s="13"/>
    </row>
    <row r="79" spans="1:1" ht="20.100000000000001" customHeight="1" thickBot="1">
      <c r="A79" s="13"/>
    </row>
    <row r="80" spans="1:1" ht="20.100000000000001" customHeight="1" thickBot="1">
      <c r="A80" s="13"/>
    </row>
    <row r="81" spans="1:1" ht="20.100000000000001" customHeight="1" thickBot="1">
      <c r="A81" s="13"/>
    </row>
    <row r="82" spans="1:1" ht="20.100000000000001" customHeight="1" thickBot="1">
      <c r="A82" s="13"/>
    </row>
    <row r="83" spans="1:1" ht="20.100000000000001" customHeight="1" thickBot="1">
      <c r="A83" s="13"/>
    </row>
    <row r="84" spans="1:1" ht="20.100000000000001" customHeight="1" thickBot="1">
      <c r="A84" s="13"/>
    </row>
    <row r="85" spans="1:1" ht="20.100000000000001" customHeight="1" thickBot="1">
      <c r="A85" s="13"/>
    </row>
    <row r="86" spans="1:1" ht="20.100000000000001" customHeight="1" thickBot="1">
      <c r="A86" s="13"/>
    </row>
    <row r="87" spans="1:1" ht="20.100000000000001" customHeight="1" thickBot="1">
      <c r="A87" s="13"/>
    </row>
    <row r="88" spans="1:1" ht="20.100000000000001" customHeight="1" thickBot="1">
      <c r="A88" s="13"/>
    </row>
    <row r="89" spans="1:1" ht="20.100000000000001" customHeight="1" thickBot="1">
      <c r="A89" s="13"/>
    </row>
    <row r="90" spans="1:1" ht="20.100000000000001" customHeight="1" thickBot="1">
      <c r="A90" s="13"/>
    </row>
    <row r="91" spans="1:1" ht="20.100000000000001" customHeight="1" thickBot="1">
      <c r="A91" s="13"/>
    </row>
    <row r="92" spans="1:1" ht="20.100000000000001" customHeight="1" thickBot="1">
      <c r="A92" s="13"/>
    </row>
    <row r="93" spans="1:1" ht="20.100000000000001" customHeight="1" thickBot="1">
      <c r="A93" s="13"/>
    </row>
    <row r="94" spans="1:1" ht="20.100000000000001" customHeight="1" thickBot="1">
      <c r="A94" s="13"/>
    </row>
    <row r="95" spans="1:1" ht="20.100000000000001" customHeight="1" thickBot="1">
      <c r="A95" s="13"/>
    </row>
    <row r="96" spans="1:1" ht="20.100000000000001" customHeight="1" thickBot="1">
      <c r="A96" s="13"/>
    </row>
    <row r="97" spans="1:9" ht="20.100000000000001" customHeight="1" thickBot="1">
      <c r="A97" s="13"/>
    </row>
    <row r="98" spans="1:9" ht="20.100000000000001" customHeight="1" thickBot="1">
      <c r="A98" s="13"/>
    </row>
    <row r="99" spans="1:9" ht="20.100000000000001" customHeight="1" thickBot="1">
      <c r="A99" s="13"/>
    </row>
    <row r="100" spans="1:9" ht="20.100000000000001" customHeight="1" thickBot="1">
      <c r="A100" s="13"/>
    </row>
    <row r="101" spans="1:9" ht="20.100000000000001" customHeight="1" thickBot="1">
      <c r="A101" s="13"/>
    </row>
    <row r="102" spans="1:9" ht="20.100000000000001" customHeight="1" thickBot="1">
      <c r="A102" s="13"/>
    </row>
    <row r="103" spans="1:9" ht="20.100000000000001" customHeight="1" thickBot="1">
      <c r="A103" s="13"/>
    </row>
    <row r="104" spans="1:9" ht="20.100000000000001" customHeight="1" thickBot="1">
      <c r="A104" s="13"/>
    </row>
    <row r="105" spans="1:9" ht="20.100000000000001" customHeight="1" thickBot="1">
      <c r="A105" s="13"/>
    </row>
    <row r="106" spans="1:9" ht="20.100000000000001" customHeight="1" thickBot="1">
      <c r="A106" s="13"/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175</v>
      </c>
    </row>
    <row r="213" spans="1:1" ht="20.100000000000001" customHeight="1">
      <c r="A213" s="20" t="s">
        <v>102</v>
      </c>
    </row>
    <row r="214" spans="1:1" ht="20.100000000000001" customHeight="1">
      <c r="A214" s="20" t="s">
        <v>103</v>
      </c>
    </row>
    <row r="215" spans="1:1" ht="20.100000000000001" customHeight="1">
      <c r="A215" s="20" t="s">
        <v>104</v>
      </c>
    </row>
    <row r="216" spans="1:1" ht="20.100000000000001" customHeight="1">
      <c r="A216" s="20" t="s">
        <v>105</v>
      </c>
    </row>
    <row r="217" spans="1:1" ht="20.100000000000001" customHeight="1">
      <c r="A217" s="20" t="s">
        <v>106</v>
      </c>
    </row>
    <row r="218" spans="1:1" ht="20.100000000000001" customHeight="1">
      <c r="A218" s="20" t="s">
        <v>107</v>
      </c>
    </row>
    <row r="219" spans="1:1" ht="20.100000000000001" customHeight="1">
      <c r="A219" s="20" t="s">
        <v>108</v>
      </c>
    </row>
    <row r="220" spans="1:1" ht="20.100000000000001" customHeight="1">
      <c r="A220" s="20" t="s">
        <v>109</v>
      </c>
    </row>
    <row r="221" spans="1:1" ht="20.100000000000001" customHeight="1">
      <c r="A221" s="20" t="s">
        <v>110</v>
      </c>
    </row>
    <row r="222" spans="1:1" ht="20.100000000000001" customHeight="1">
      <c r="A222" s="20" t="s">
        <v>111</v>
      </c>
    </row>
    <row r="223" spans="1:1" ht="20.100000000000001" customHeight="1">
      <c r="A223" s="20" t="s">
        <v>112</v>
      </c>
    </row>
    <row r="224" spans="1:1" ht="20.100000000000001" customHeight="1">
      <c r="A224" s="20" t="s">
        <v>176</v>
      </c>
    </row>
    <row r="225" spans="1:1" ht="20.100000000000001" customHeight="1">
      <c r="A225" s="20" t="s">
        <v>113</v>
      </c>
    </row>
    <row r="226" spans="1:1" ht="20.100000000000001" customHeight="1">
      <c r="A226" s="20" t="s">
        <v>114</v>
      </c>
    </row>
    <row r="227" spans="1:1" ht="20.100000000000001" customHeight="1">
      <c r="A227" s="20" t="s">
        <v>115</v>
      </c>
    </row>
    <row r="228" spans="1:1" ht="20.100000000000001" customHeight="1">
      <c r="A228" s="20" t="s">
        <v>116</v>
      </c>
    </row>
    <row r="229" spans="1:1" ht="20.100000000000001" customHeight="1">
      <c r="A229" s="20" t="s">
        <v>117</v>
      </c>
    </row>
    <row r="230" spans="1:1" ht="20.100000000000001" customHeight="1">
      <c r="A230" s="20" t="s">
        <v>118</v>
      </c>
    </row>
    <row r="231" spans="1:1" ht="20.100000000000001" customHeight="1">
      <c r="A231" s="20" t="s">
        <v>119</v>
      </c>
    </row>
    <row r="232" spans="1:1" ht="20.100000000000001" customHeight="1">
      <c r="A232" s="20" t="s">
        <v>120</v>
      </c>
    </row>
    <row r="233" spans="1:1" ht="20.100000000000001" customHeight="1">
      <c r="A233" s="20" t="s">
        <v>121</v>
      </c>
    </row>
    <row r="234" spans="1:1" ht="20.100000000000001" customHeight="1">
      <c r="A234" s="20" t="s">
        <v>122</v>
      </c>
    </row>
    <row r="235" spans="1:1" ht="20.100000000000001" customHeight="1">
      <c r="A235" s="20" t="s">
        <v>123</v>
      </c>
    </row>
    <row r="236" spans="1:1" ht="20.100000000000001" customHeight="1">
      <c r="A236" s="22" t="s">
        <v>124</v>
      </c>
    </row>
    <row r="237" spans="1:1" ht="20.100000000000001" customHeight="1">
      <c r="A237" s="20" t="s">
        <v>125</v>
      </c>
    </row>
    <row r="238" spans="1:1" ht="20.100000000000001" customHeight="1">
      <c r="A238" s="20" t="s">
        <v>126</v>
      </c>
    </row>
    <row r="239" spans="1:1" ht="20.100000000000001" customHeight="1">
      <c r="A239" s="20" t="s">
        <v>127</v>
      </c>
    </row>
    <row r="240" spans="1:1" ht="20.100000000000001" customHeight="1">
      <c r="A240" s="20" t="s">
        <v>128</v>
      </c>
    </row>
    <row r="241" spans="1:1" ht="20.100000000000001" customHeight="1">
      <c r="A241" s="20" t="s">
        <v>129</v>
      </c>
    </row>
    <row r="242" spans="1:1" ht="20.100000000000001" customHeight="1">
      <c r="A242" s="20" t="s">
        <v>130</v>
      </c>
    </row>
    <row r="243" spans="1:1" ht="20.100000000000001" customHeight="1">
      <c r="A243" s="20" t="s">
        <v>131</v>
      </c>
    </row>
    <row r="244" spans="1:1" ht="20.100000000000001" customHeight="1">
      <c r="A244" s="20" t="s">
        <v>132</v>
      </c>
    </row>
    <row r="245" spans="1:1" ht="20.100000000000001" customHeight="1">
      <c r="A245" s="20" t="s">
        <v>133</v>
      </c>
    </row>
    <row r="246" spans="1:1" ht="20.100000000000001" customHeight="1">
      <c r="A246" s="20" t="s">
        <v>134</v>
      </c>
    </row>
    <row r="247" spans="1:1" ht="20.100000000000001" customHeight="1">
      <c r="A247" s="20" t="s">
        <v>135</v>
      </c>
    </row>
    <row r="248" spans="1:1" ht="20.100000000000001" customHeight="1">
      <c r="A248" s="20" t="s">
        <v>126</v>
      </c>
    </row>
    <row r="249" spans="1:1" ht="20.100000000000001" customHeight="1">
      <c r="A249" s="20" t="s">
        <v>136</v>
      </c>
    </row>
    <row r="250" spans="1:1" ht="20.100000000000001" customHeight="1">
      <c r="A250" s="20" t="s">
        <v>137</v>
      </c>
    </row>
    <row r="251" spans="1:1" ht="20.100000000000001" customHeight="1">
      <c r="A251" s="22" t="s">
        <v>138</v>
      </c>
    </row>
    <row r="252" spans="1:1" ht="20.100000000000001" customHeight="1">
      <c r="A252" s="23" t="s">
        <v>139</v>
      </c>
    </row>
    <row r="253" spans="1:1" ht="20.100000000000001" customHeight="1">
      <c r="A253" s="20" t="s">
        <v>140</v>
      </c>
    </row>
    <row r="254" spans="1:1" ht="20.100000000000001" customHeight="1">
      <c r="A254" s="20" t="s">
        <v>141</v>
      </c>
    </row>
    <row r="255" spans="1:1" ht="20.100000000000001" customHeight="1">
      <c r="A255" s="24" t="s">
        <v>142</v>
      </c>
    </row>
    <row r="256" spans="1:1" ht="20.100000000000001" customHeight="1">
      <c r="A256" s="24" t="s">
        <v>143</v>
      </c>
    </row>
    <row r="257" spans="1:1" ht="20.100000000000001" customHeight="1">
      <c r="A257" s="25" t="s">
        <v>144</v>
      </c>
    </row>
    <row r="258" spans="1:1" ht="20.100000000000001" customHeight="1">
      <c r="A258" s="20" t="s">
        <v>145</v>
      </c>
    </row>
    <row r="259" spans="1:1" ht="20.100000000000001" customHeight="1">
      <c r="A259" s="25" t="s">
        <v>146</v>
      </c>
    </row>
    <row r="260" spans="1:1" ht="20.100000000000001" customHeight="1">
      <c r="A260" s="20" t="s">
        <v>147</v>
      </c>
    </row>
    <row r="261" spans="1:1" ht="20.100000000000001" customHeight="1">
      <c r="A261" s="25" t="s">
        <v>148</v>
      </c>
    </row>
    <row r="262" spans="1:1" ht="20.100000000000001" customHeight="1">
      <c r="A262" s="20" t="s">
        <v>149</v>
      </c>
    </row>
    <row r="263" spans="1:1" ht="20.100000000000001" customHeight="1">
      <c r="A263" s="20" t="s">
        <v>150</v>
      </c>
    </row>
    <row r="264" spans="1:1" ht="20.100000000000001" customHeight="1">
      <c r="A264" s="25" t="s">
        <v>151</v>
      </c>
    </row>
    <row r="265" spans="1:1" ht="20.100000000000001" customHeight="1">
      <c r="A265" s="25" t="s">
        <v>152</v>
      </c>
    </row>
    <row r="266" spans="1:1" ht="20.100000000000001" customHeight="1">
      <c r="A266" s="25" t="s">
        <v>153</v>
      </c>
    </row>
    <row r="267" spans="1:1" ht="20.100000000000001" customHeight="1">
      <c r="A267" s="20" t="s">
        <v>154</v>
      </c>
    </row>
    <row r="268" spans="1:1" ht="20.100000000000001" customHeight="1">
      <c r="A268" s="20" t="s">
        <v>155</v>
      </c>
    </row>
    <row r="269" spans="1:1" ht="20.100000000000001" customHeight="1">
      <c r="A269" s="20" t="s">
        <v>156</v>
      </c>
    </row>
    <row r="270" spans="1:1" ht="20.100000000000001" customHeight="1">
      <c r="A270" s="20" t="s">
        <v>157</v>
      </c>
    </row>
    <row r="271" spans="1:1" ht="20.100000000000001" customHeight="1">
      <c r="A271" s="25" t="s">
        <v>158</v>
      </c>
    </row>
    <row r="272" spans="1:1" ht="20.100000000000001" customHeight="1">
      <c r="A272" s="25" t="s">
        <v>159</v>
      </c>
    </row>
    <row r="273" spans="1:1" ht="20.100000000000001" customHeight="1">
      <c r="A273" s="20" t="s">
        <v>160</v>
      </c>
    </row>
    <row r="274" spans="1:1" ht="20.100000000000001" customHeight="1">
      <c r="A274" s="25" t="s">
        <v>161</v>
      </c>
    </row>
    <row r="275" spans="1:1" ht="20.100000000000001" customHeight="1">
      <c r="A275" s="25" t="s">
        <v>162</v>
      </c>
    </row>
    <row r="276" spans="1:1" ht="20.100000000000001" customHeight="1">
      <c r="A276" s="20" t="s">
        <v>163</v>
      </c>
    </row>
    <row r="277" spans="1:1" ht="20.100000000000001" customHeight="1">
      <c r="A277" s="20" t="s">
        <v>164</v>
      </c>
    </row>
    <row r="278" spans="1:1" ht="20.100000000000001" customHeight="1">
      <c r="A278" s="25" t="s">
        <v>165</v>
      </c>
    </row>
    <row r="279" spans="1:1" ht="20.100000000000001" customHeight="1">
      <c r="A279" s="20" t="s">
        <v>166</v>
      </c>
    </row>
    <row r="280" spans="1:1" ht="20.100000000000001" customHeight="1">
      <c r="A280" s="20" t="s">
        <v>167</v>
      </c>
    </row>
    <row r="281" spans="1:1" ht="20.100000000000001" customHeight="1">
      <c r="A281" s="20" t="s">
        <v>168</v>
      </c>
    </row>
    <row r="282" spans="1:1" ht="20.100000000000001" customHeight="1">
      <c r="A282" s="20" t="s">
        <v>169</v>
      </c>
    </row>
    <row r="283" spans="1:1" ht="20.100000000000001" customHeight="1">
      <c r="A283" s="25" t="s">
        <v>170</v>
      </c>
    </row>
    <row r="284" spans="1:1" ht="20.100000000000001" customHeight="1">
      <c r="A284" s="25" t="s">
        <v>171</v>
      </c>
    </row>
    <row r="285" spans="1:1" ht="20.100000000000001" customHeight="1">
      <c r="A285" s="25" t="s">
        <v>172</v>
      </c>
    </row>
    <row r="286" spans="1:1" ht="20.100000000000001" customHeight="1" thickBot="1">
      <c r="A286" s="20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2025-10-22T07:23:01Z</dcterms:modified>
</cp:coreProperties>
</file>