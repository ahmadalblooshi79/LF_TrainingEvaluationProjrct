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التقييم'!$A$1:$J$65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13" i="2"/>
  <c r="H13" i="2" s="1"/>
  <c r="G15" i="2"/>
  <c r="H15" i="2" s="1"/>
  <c r="G16" i="2"/>
  <c r="H16" i="2" s="1"/>
  <c r="G20" i="2"/>
  <c r="H20" i="2" s="1"/>
  <c r="G21" i="2"/>
  <c r="H21" i="2" s="1"/>
  <c r="G22" i="2"/>
  <c r="H22" i="2" s="1"/>
  <c r="G23" i="2"/>
  <c r="H23" i="2" s="1"/>
  <c r="G24" i="2"/>
  <c r="H24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2" i="2"/>
  <c r="H42" i="2" s="1"/>
  <c r="G43" i="2"/>
  <c r="H43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F61" i="2" l="1"/>
  <c r="E61" i="2" l="1"/>
  <c r="E62" i="2" l="1"/>
  <c r="E63" i="2" s="1"/>
</calcChain>
</file>

<file path=xl/sharedStrings.xml><?xml version="1.0" encoding="utf-8"?>
<sst xmlns="http://schemas.openxmlformats.org/spreadsheetml/2006/main" count="126" uniqueCount="82">
  <si>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</si>
  <si>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</si>
  <si>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</si>
  <si>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</si>
  <si>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</si>
  <si>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</si>
  <si>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</si>
  <si>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</si>
  <si>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</si>
  <si>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</si>
  <si>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</si>
  <si>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</si>
  <si>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</si>
  <si>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</si>
  <si>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</si>
  <si>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</si>
  <si>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</si>
  <si>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</si>
  <si>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</si>
  <si>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</si>
  <si>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</si>
  <si>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</si>
  <si>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</si>
  <si>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</si>
  <si>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</si>
  <si>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</si>
  <si>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</si>
  <si>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</si>
  <si>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</si>
  <si>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القادة بفهم الموقف باستخدام كافة الوسائل المتوفرة.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</si>
  <si>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تصدر مجموعة القتال أمراً إنذارياً أو أمر عمليات للوحدة المرؤوسة التي ستنفذ واجب الاستطلاع بحيث يحتوي الأمر على المعلومات الضرورية.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</si>
  <si>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قائد الوحدة المكلفة بتنفيذ إجراءات المعركة لإعداد وتطوير الأوامر.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</si>
  <si>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ينقح قائد وحدة الاستطلاع متطلبات معلومات المستوى الأعلى ومتطلبات المعلومات الهامة للقائد ومتطلبات الاستخبارات ذات الأولوية.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</si>
  <si>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يتم تنفيذ إجراءات المعركة لإعداد وتطوير الأوامر.</t>
    </r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</si>
  <si>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ينسق قائد وحدة الاستطلاع مع الكتيبة/ مجموعة القتال للحصول على منتجات الاستخبارات الضرورية ويبدأ بتحليل طبيعة الأرض كما يلي:</t>
    </r>
  </si>
  <si>
    <t>أ. تحديد المصادر الداخلية التي ستستخدم في جهود جمع المعلومات.</t>
  </si>
  <si>
    <t>ب. تحديث الصورة العملياتية العامة في حال توفر الموارد.</t>
  </si>
  <si>
    <r>
      <t>7.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يخطط قائد وحدة الاستطلاع لمهمة استطلاع المنطقة كما يلي:</t>
    </r>
  </si>
  <si>
    <t xml:space="preserve">أ. يأخذ قائد وحدة الاستطلاع بالاعتبار ما يلي: </t>
  </si>
  <si>
    <r>
      <t>(1)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اعتبارات القوات الصديقة وتشمل ما يلي:</t>
    </r>
  </si>
  <si>
    <t>( أ ) المهمة والقوات المجاورة والقوات اللاحقة.</t>
  </si>
  <si>
    <t>(ب) أهداف الاستطلاع لوحدة الاستطلاع والقوات اللاحقة.</t>
  </si>
  <si>
    <t>(جـ) متطلبات المعلومات الهامة للقائد من وحدة الاستطلاع.</t>
  </si>
  <si>
    <t>( د) توجيهات القائد في المستوى الأعلى بشأن تركيز ووتيرة ومعايير الاشتباك لعناصر الاستطلاع.</t>
  </si>
  <si>
    <t>(هـ) مهمة قدرات الجمع التي تعمل ضمن منطقة عمليات وحدة الاستطلاع ولكنها ليست تحت سيطرة الوحدة.</t>
  </si>
  <si>
    <t>( و) قدرات وتحديدات عناصر الجمع الأخرى.</t>
  </si>
  <si>
    <r>
      <t>(2)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موقف العدو.</t>
    </r>
  </si>
  <si>
    <r>
      <t>(3)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اعتبارات الأرض والطقس.</t>
    </r>
  </si>
  <si>
    <r>
      <t>(4)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الاعتبارات المدنية.</t>
    </r>
  </si>
  <si>
    <t>جـ. تطوير وتنقيح متطلبات المعلومات المحددة وأهداف الاستطلاع وتخصيص الواجبات للعناصر المرؤوسة.</t>
  </si>
  <si>
    <t>د. تحديد سرعة أداء جهود ومواقع الاستطلاع حيث يكون الاستطلاع المدبر ضرورياً حسب آخر المعلومات ذات الأهمية.</t>
  </si>
  <si>
    <t>هـ. دمج وتنسيق الإسناد الناري.</t>
  </si>
  <si>
    <t>و. التخطيط لإسناد الإدامة.</t>
  </si>
  <si>
    <r>
      <t>8.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قائد الوحدة بإصدار أمر العمليات أو الأمر المجزأ.</t>
    </r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</si>
  <si>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</si>
  <si>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قائد الوحدة بتنظيم القوات للاستطلاع حسب الحجم والمنطقة الجغرافية والبنية التحتية في المنطقة التي يجب استطلاعها.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</si>
  <si>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يحدد قائد الوحدة إجراءات السيطرة المطلوبة.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</si>
  <si>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إبلاغ الوحدات الأخرى في المنطقة والوحدات الجانبية عن توقيتات وأماكن البدء والتأليف والقواطع ووقت العودة التقريبي.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</si>
  <si>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تنفيذ تفتيشات وتفقدات ما قبل القتال.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</si>
  <si>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تنفيذ التجارب على مهمة الاستطلاع.</t>
    </r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</si>
  <si>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التحرك إلى نقطة الانطلاق (البدء).</t>
    </r>
  </si>
  <si>
    <r>
      <t>إجراءات التنفيذ</t>
    </r>
    <r>
      <rPr>
        <b/>
        <sz val="12"/>
        <color rgb="FF000000"/>
        <rFont val="Arial"/>
        <family val="2"/>
      </rPr>
      <t>.</t>
    </r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</si>
  <si>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إبلاغ المستوى الأعلى بجاهزية الوحدة للحركة.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</si>
  <si>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التنسيق مع الوحدات الأخرى وحسب الحاجة.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</si>
  <si>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تنفذ وحدة الاستطلاع الحركة التعبوية في المنطقة كما يلي:</t>
    </r>
  </si>
  <si>
    <t>أ. إبلاغ المستوى الأعلى ببدء تنفيذ العملية.</t>
  </si>
  <si>
    <t>ب. الانفتاح في المنطقة حسب الأوامر واعتبار متغيرات المهمة.</t>
  </si>
  <si>
    <t>جـ. استخدام إجراءات السيطرة الفعالة لتحسين الإلمام بالموقف.</t>
  </si>
  <si>
    <t>د. تطهير أو تنفيذ المراقبة لمناطق الاهتمام المحددة ضمن المنطقة.</t>
  </si>
  <si>
    <t>هـ. تنفذ الوحدة (الحركة التعبوية) لتجاوز قوات أمن العدو في المنطقة حسب معايير التجاوز إذا أعطيت سلسلة من الأهداف.</t>
  </si>
  <si>
    <t>و. استخدام الجنود الراجلين للمساعدة في الحركة التعبوية وحسب الحاجة.</t>
  </si>
  <si>
    <t>ز. يتم تنفيذ وقفات تنصت في المناطق الخطرة ( الغابات، المناطق المبنية، الممرات الضيقة، الأراضي المقيدة).</t>
  </si>
  <si>
    <t>ح. تمرير المعلومات باستمرار للمستوى الأعلى.</t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</si>
  <si>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إيجاد وتحديد قوات التهديد ضمن المنطقة وتمرير المعلومات عنها.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</si>
  <si>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يتم جمع المعلومات عن طبيعة الأرض وتمريرها حسب تركيز الاستطلاع ومتطلبات المعلومات.</t>
    </r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</si>
  <si>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جمع وتمرير المعلومات عن السكان المحليين حسب تركيز الاستطلاع.</t>
    </r>
  </si>
  <si>
    <r>
      <t>7.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تنفيذ الإجراءات عن التماس.</t>
    </r>
  </si>
  <si>
    <r>
      <t>8.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ارسال التقارير المطلوبة وحسب الأوامر التعبوية المستديمة وأمر العمليات.</t>
    </r>
  </si>
  <si>
    <r>
      <t>9.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إنهاء المهمة حسب أمر العمليات</t>
    </r>
  </si>
  <si>
    <r>
      <t>10.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إبلاغ المستوى الأعلى بانتهاء المهمة.</t>
    </r>
  </si>
  <si>
    <r>
      <t>11.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ارسال التقارير النهائية للمستوى الأعلى وحسب الأوامر التعبوية المستديمة وأمر العمليات.</t>
    </r>
  </si>
  <si>
    <t>تقييم الكتيبة/ مجموعة القتال في تنفيذ استطلاع منطقة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</si>
</sst>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vertical="center" wrapText="1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9" fillId="0" borderId="21" xfId="0" applyFont="1" applyBorder="1" applyAlignment="1">
      <alignment horizontal="right" vertical="center" wrapText="1" readingOrder="2"/>
    </xf>
    <xf numFmtId="0" fontId="9" fillId="0" borderId="2" xfId="0" applyFont="1" applyBorder="1" applyAlignment="1">
      <alignment horizontal="right" vertical="center" wrapText="1" readingOrder="2"/>
    </xf>
    <xf numFmtId="0" fontId="9" fillId="0" borderId="10" xfId="0" applyFont="1" applyBorder="1" applyAlignment="1">
      <alignment horizontal="right" vertical="center" wrapText="1" readingOrder="2"/>
    </xf>
    <xf numFmtId="0" fontId="9" fillId="0" borderId="11" xfId="0" applyFont="1" applyBorder="1" applyAlignment="1">
      <alignment horizontal="right" vertical="center" wrapText="1" readingOrder="2"/>
    </xf>
    <xf numFmtId="0" fontId="1" fillId="4" borderId="22" xfId="0" applyFont="1" applyFill="1" applyBorder="1" applyAlignment="1">
      <alignment horizontal="right" vertical="center" wrapText="1" readingOrder="2"/>
    </xf>
    <xf numFmtId="0" fontId="1" fillId="4" borderId="23" xfId="0" applyFont="1" applyFill="1" applyBorder="1" applyAlignment="1">
      <alignment horizontal="right" vertical="center" wrapText="1" readingOrder="2"/>
    </xf>
    <xf numFmtId="0" fontId="1" fillId="4" borderId="24" xfId="0" applyFont="1" applyFill="1" applyBorder="1" applyAlignment="1">
      <alignment horizontal="right" vertical="center" wrapText="1" readingOrder="2"/>
    </xf>
    <xf numFmtId="0" fontId="9" fillId="0" borderId="21" xfId="0" applyFont="1" applyBorder="1" applyAlignment="1">
      <alignment horizontal="right" vertical="center" wrapText="1" indent="2" readingOrder="2"/>
    </xf>
    <xf numFmtId="0" fontId="9" fillId="0" borderId="2" xfId="0" applyFont="1" applyBorder="1" applyAlignment="1">
      <alignment horizontal="right" vertical="center" wrapText="1" indent="2" readingOrder="2"/>
    </xf>
    <xf numFmtId="0" fontId="9" fillId="0" borderId="21" xfId="0" applyFont="1" applyBorder="1" applyAlignment="1">
      <alignment horizontal="right" vertical="center" wrapText="1" indent="4" readingOrder="2"/>
    </xf>
    <xf numFmtId="0" fontId="9" fillId="0" borderId="2" xfId="0" applyFont="1" applyBorder="1" applyAlignment="1">
      <alignment horizontal="right" vertical="center" wrapText="1" indent="4" readingOrder="2"/>
    </xf>
    <xf numFmtId="0" fontId="9" fillId="0" borderId="21" xfId="0" applyFont="1" applyBorder="1" applyAlignment="1">
      <alignment horizontal="right" vertical="center" wrapText="1" indent="6" readingOrder="2"/>
    </xf>
    <xf numFmtId="0" fontId="9" fillId="0" borderId="2" xfId="0" applyFont="1" applyBorder="1" applyAlignment="1">
      <alignment horizontal="right" vertical="center" wrapText="1" indent="6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65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0" t="s">
        <v>81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25">
      <c r="B2" s="11" t="s">
        <v>8</v>
      </c>
      <c r="C2" s="54" t="s">
        <v>23</v>
      </c>
      <c r="D2" s="54"/>
      <c r="E2" s="11" t="s">
        <v>7</v>
      </c>
      <c r="F2" s="49" t="s">
        <v>22</v>
      </c>
      <c r="G2" s="49"/>
      <c r="H2" s="49"/>
      <c r="I2" s="49"/>
      <c r="J2" s="49"/>
    </row>
    <row r="3" spans="1:10" ht="30" customHeight="1" x14ac:dyDescent="0.25">
      <c r="B3" s="11" t="s">
        <v>9</v>
      </c>
      <c r="C3" s="54" t="s">
        <v>25</v>
      </c>
      <c r="D3" s="54"/>
      <c r="E3" s="11" t="s">
        <v>6</v>
      </c>
      <c r="F3" s="54" t="s">
        <v>24</v>
      </c>
      <c r="G3" s="54"/>
      <c r="H3" s="54"/>
      <c r="I3" s="54"/>
      <c r="J3" s="54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50" t="s">
        <v>0</v>
      </c>
      <c r="C5" s="51"/>
      <c r="D5" s="51"/>
      <c r="E5" s="59" t="s">
        <v>1</v>
      </c>
      <c r="F5" s="59"/>
      <c r="G5" s="59"/>
      <c r="H5" s="59"/>
      <c r="I5" s="59" t="s">
        <v>2</v>
      </c>
      <c r="J5" s="60"/>
    </row>
    <row r="6" spans="1:10" ht="24.95" customHeight="1" thickBot="1" x14ac:dyDescent="0.3">
      <c r="A6" s="9"/>
      <c r="B6" s="52"/>
      <c r="C6" s="53"/>
      <c r="D6" s="53"/>
      <c r="E6" s="10" t="s">
        <v>3</v>
      </c>
      <c r="F6" s="10" t="s">
        <v>4</v>
      </c>
      <c r="G6" s="10" t="s">
        <v>15</v>
      </c>
      <c r="H6" s="10" t="s">
        <v>16</v>
      </c>
      <c r="I6" s="61"/>
      <c r="J6" s="62"/>
    </row>
    <row r="7" spans="1:10" ht="24.95" customHeight="1" thickBot="1" x14ac:dyDescent="0.3">
      <c r="A7" s="9"/>
      <c r="B7" s="57" t="s">
        <v>13</v>
      </c>
      <c r="C7" s="58"/>
      <c r="D7" s="58"/>
      <c r="E7" s="14" t="s">
        <v>10</v>
      </c>
      <c r="F7" s="14" t="s">
        <v>11</v>
      </c>
      <c r="G7" s="14" t="s">
        <v>14</v>
      </c>
      <c r="H7" s="14" t="s">
        <v>12</v>
      </c>
      <c r="I7" s="63" t="s">
        <v>17</v>
      </c>
      <c r="J7" s="64"/>
    </row>
    <row r="8" spans="1:10" ht="39.950000000000003" customHeight="1" x14ac:dyDescent="0.25">
      <c r="A8" s="9"/>
      <c r="B8" s="26" t="s">
        <v>28</v>
      </c>
      <c r="C8" s="27"/>
      <c r="D8" s="27"/>
      <c r="E8" s="27"/>
      <c r="F8" s="27"/>
      <c r="G8" s="27"/>
      <c r="H8" s="27"/>
      <c r="I8" s="27"/>
      <c r="J8" s="28"/>
    </row>
    <row r="9" spans="1:10" ht="39.950000000000003" customHeight="1" x14ac:dyDescent="0.25">
      <c r="A9" s="9"/>
      <c r="B9" s="22" t="s">
        <v>29</v>
      </c>
      <c r="C9" s="23"/>
      <c r="D9" s="23"/>
      <c r="E9" s="8">
        <v>5</v>
      </c>
      <c r="F9" s="12" t="s">
        <v>26</v>
      </c>
      <c r="G9" s="17" t="str">
        <f>IFERROR(F9/E9,"")</f>
        <v/>
      </c>
      <c r="H9" s="18" t="str">
        <f>_xlfn.IFS(F9="أدخل العلامة","",F9="لا ينطبق","تم الإلغاء",G9&gt;=90%,"ممتاز",G9&gt;=80%,"جيد جداً",G9&gt;=70%,"جيد",G9&gt;=60%,"مقبول",G9&lt;60%,"راسب")</f>
        <v/>
      </c>
      <c r="I9" s="35"/>
      <c r="J9" s="36"/>
    </row>
    <row r="10" spans="1:10" ht="39.950000000000003" customHeight="1" x14ac:dyDescent="0.25">
      <c r="A10" s="9"/>
      <c r="B10" s="22" t="s">
        <v>30</v>
      </c>
      <c r="C10" s="23"/>
      <c r="D10" s="23"/>
      <c r="E10" s="8">
        <v>5</v>
      </c>
      <c r="F10" s="12" t="s">
        <v>26</v>
      </c>
      <c r="G10" s="17" t="str">
        <f t="shared" ref="G10:G60" si="0">IFERROR(F10/E10,"")</f>
        <v/>
      </c>
      <c r="H10" s="18" t="str">
        <f t="shared" ref="H10:H60" si="1">_xlfn.IFS(F10="أدخل العلامة","",F10="لا ينطبق","تم الإلغاء",G10&gt;=90%,"ممتاز",G10&gt;=80%,"جيد جداً",G10&gt;=70%,"جيد",G10&gt;=60%,"مقبول",G10&lt;60%,"راسب")</f>
        <v/>
      </c>
      <c r="I10" s="35"/>
      <c r="J10" s="36"/>
    </row>
    <row r="11" spans="1:10" ht="39.950000000000003" customHeight="1" x14ac:dyDescent="0.25">
      <c r="A11" s="9"/>
      <c r="B11" s="22" t="s">
        <v>31</v>
      </c>
      <c r="C11" s="23"/>
      <c r="D11" s="23"/>
      <c r="E11" s="8">
        <v>5</v>
      </c>
      <c r="F11" s="12" t="s">
        <v>26</v>
      </c>
      <c r="G11" s="17" t="str">
        <f t="shared" si="0"/>
        <v/>
      </c>
      <c r="H11" s="18" t="str">
        <f t="shared" si="1"/>
        <v/>
      </c>
      <c r="I11" s="35"/>
      <c r="J11" s="36"/>
    </row>
    <row r="12" spans="1:10" ht="39.950000000000003" customHeight="1" x14ac:dyDescent="0.25">
      <c r="A12" s="9"/>
      <c r="B12" s="22" t="s">
        <v>32</v>
      </c>
      <c r="C12" s="23"/>
      <c r="D12" s="23"/>
      <c r="E12" s="8">
        <v>5</v>
      </c>
      <c r="F12" s="12" t="s">
        <v>26</v>
      </c>
      <c r="G12" s="17" t="str">
        <f t="shared" si="0"/>
        <v/>
      </c>
      <c r="H12" s="18" t="str">
        <f t="shared" si="1"/>
        <v/>
      </c>
      <c r="I12" s="35"/>
      <c r="J12" s="36"/>
    </row>
    <row r="13" spans="1:10" ht="39.950000000000003" customHeight="1" x14ac:dyDescent="0.25">
      <c r="A13" s="9"/>
      <c r="B13" s="22" t="s">
        <v>33</v>
      </c>
      <c r="C13" s="23"/>
      <c r="D13" s="23"/>
      <c r="E13" s="8">
        <v>5</v>
      </c>
      <c r="F13" s="12" t="s">
        <v>26</v>
      </c>
      <c r="G13" s="17" t="str">
        <f t="shared" si="0"/>
        <v/>
      </c>
      <c r="H13" s="18" t="str">
        <f t="shared" si="1"/>
        <v/>
      </c>
      <c r="I13" s="35"/>
      <c r="J13" s="36"/>
    </row>
    <row r="14" spans="1:10" ht="39.950000000000003" customHeight="1" x14ac:dyDescent="0.25">
      <c r="A14" s="9"/>
      <c r="B14" s="22" t="s">
        <v>34</v>
      </c>
      <c r="C14" s="23"/>
      <c r="D14" s="23"/>
      <c r="E14" s="16"/>
      <c r="F14" s="12"/>
      <c r="G14" s="17"/>
      <c r="H14" s="18"/>
      <c r="I14" s="35"/>
      <c r="J14" s="36"/>
    </row>
    <row r="15" spans="1:10" ht="39.950000000000003" customHeight="1" x14ac:dyDescent="0.25">
      <c r="A15" s="9"/>
      <c r="B15" s="29" t="s">
        <v>35</v>
      </c>
      <c r="C15" s="30"/>
      <c r="D15" s="30"/>
      <c r="E15" s="8">
        <v>5</v>
      </c>
      <c r="F15" s="12" t="s">
        <v>26</v>
      </c>
      <c r="G15" s="17" t="str">
        <f t="shared" si="0"/>
        <v/>
      </c>
      <c r="H15" s="18" t="str">
        <f t="shared" si="1"/>
        <v/>
      </c>
      <c r="I15" s="35"/>
      <c r="J15" s="36"/>
    </row>
    <row r="16" spans="1:10" ht="39.950000000000003" customHeight="1" x14ac:dyDescent="0.25">
      <c r="A16" s="9"/>
      <c r="B16" s="29" t="s">
        <v>36</v>
      </c>
      <c r="C16" s="30"/>
      <c r="D16" s="30"/>
      <c r="E16" s="8">
        <v>5</v>
      </c>
      <c r="F16" s="12" t="s">
        <v>26</v>
      </c>
      <c r="G16" s="17" t="str">
        <f t="shared" si="0"/>
        <v/>
      </c>
      <c r="H16" s="18" t="str">
        <f t="shared" si="1"/>
        <v/>
      </c>
      <c r="I16" s="35"/>
      <c r="J16" s="36"/>
    </row>
    <row r="17" spans="1:10" ht="39.950000000000003" customHeight="1" x14ac:dyDescent="0.25">
      <c r="A17" s="9"/>
      <c r="B17" s="22" t="s">
        <v>37</v>
      </c>
      <c r="C17" s="23"/>
      <c r="D17" s="23"/>
      <c r="E17" s="16"/>
      <c r="F17" s="12"/>
      <c r="G17" s="17"/>
      <c r="H17" s="18"/>
      <c r="I17" s="35"/>
      <c r="J17" s="36"/>
    </row>
    <row r="18" spans="1:10" ht="39.950000000000003" customHeight="1" x14ac:dyDescent="0.25">
      <c r="A18" s="9"/>
      <c r="B18" s="29" t="s">
        <v>38</v>
      </c>
      <c r="C18" s="30"/>
      <c r="D18" s="30"/>
      <c r="E18" s="16"/>
      <c r="F18" s="12"/>
      <c r="G18" s="17"/>
      <c r="H18" s="18"/>
      <c r="I18" s="35"/>
      <c r="J18" s="36"/>
    </row>
    <row r="19" spans="1:10" ht="39.950000000000003" customHeight="1" x14ac:dyDescent="0.25">
      <c r="A19" s="9"/>
      <c r="B19" s="31" t="s">
        <v>39</v>
      </c>
      <c r="C19" s="32"/>
      <c r="D19" s="32"/>
      <c r="E19" s="16"/>
      <c r="F19" s="12"/>
      <c r="G19" s="17"/>
      <c r="H19" s="18"/>
      <c r="I19" s="35"/>
      <c r="J19" s="36"/>
    </row>
    <row r="20" spans="1:10" ht="39.950000000000003" customHeight="1" x14ac:dyDescent="0.25">
      <c r="A20" s="9"/>
      <c r="B20" s="33" t="s">
        <v>40</v>
      </c>
      <c r="C20" s="34"/>
      <c r="D20" s="34"/>
      <c r="E20" s="8">
        <v>5</v>
      </c>
      <c r="F20" s="12" t="s">
        <v>26</v>
      </c>
      <c r="G20" s="17" t="str">
        <f t="shared" si="0"/>
        <v/>
      </c>
      <c r="H20" s="18" t="str">
        <f t="shared" si="1"/>
        <v/>
      </c>
      <c r="I20" s="35"/>
      <c r="J20" s="36"/>
    </row>
    <row r="21" spans="1:10" ht="39.950000000000003" customHeight="1" x14ac:dyDescent="0.25">
      <c r="A21" s="9"/>
      <c r="B21" s="33" t="s">
        <v>41</v>
      </c>
      <c r="C21" s="34"/>
      <c r="D21" s="34"/>
      <c r="E21" s="8">
        <v>5</v>
      </c>
      <c r="F21" s="12" t="s">
        <v>26</v>
      </c>
      <c r="G21" s="17" t="str">
        <f t="shared" si="0"/>
        <v/>
      </c>
      <c r="H21" s="18" t="str">
        <f t="shared" si="1"/>
        <v/>
      </c>
      <c r="I21" s="35"/>
      <c r="J21" s="36"/>
    </row>
    <row r="22" spans="1:10" ht="39.950000000000003" customHeight="1" x14ac:dyDescent="0.25">
      <c r="A22" s="9"/>
      <c r="B22" s="33" t="s">
        <v>42</v>
      </c>
      <c r="C22" s="34"/>
      <c r="D22" s="34"/>
      <c r="E22" s="8">
        <v>5</v>
      </c>
      <c r="F22" s="12" t="s">
        <v>26</v>
      </c>
      <c r="G22" s="17" t="str">
        <f t="shared" si="0"/>
        <v/>
      </c>
      <c r="H22" s="18" t="str">
        <f t="shared" si="1"/>
        <v/>
      </c>
      <c r="I22" s="35"/>
      <c r="J22" s="36"/>
    </row>
    <row r="23" spans="1:10" ht="39.950000000000003" customHeight="1" x14ac:dyDescent="0.25">
      <c r="A23" s="9"/>
      <c r="B23" s="33" t="s">
        <v>43</v>
      </c>
      <c r="C23" s="34"/>
      <c r="D23" s="34"/>
      <c r="E23" s="8">
        <v>5</v>
      </c>
      <c r="F23" s="12" t="s">
        <v>26</v>
      </c>
      <c r="G23" s="17" t="str">
        <f t="shared" si="0"/>
        <v/>
      </c>
      <c r="H23" s="18" t="str">
        <f t="shared" si="1"/>
        <v/>
      </c>
      <c r="I23" s="35"/>
      <c r="J23" s="36"/>
    </row>
    <row r="24" spans="1:10" ht="39.950000000000003" customHeight="1" x14ac:dyDescent="0.25">
      <c r="A24" s="9"/>
      <c r="B24" s="33" t="s">
        <v>44</v>
      </c>
      <c r="C24" s="34"/>
      <c r="D24" s="34"/>
      <c r="E24" s="8">
        <v>5</v>
      </c>
      <c r="F24" s="12" t="s">
        <v>26</v>
      </c>
      <c r="G24" s="17" t="str">
        <f t="shared" si="0"/>
        <v/>
      </c>
      <c r="H24" s="18" t="str">
        <f t="shared" si="1"/>
        <v/>
      </c>
      <c r="I24" s="35"/>
      <c r="J24" s="36"/>
    </row>
    <row r="25" spans="1:10" ht="39.950000000000003" customHeight="1" x14ac:dyDescent="0.25">
      <c r="A25" s="9"/>
      <c r="B25" s="33" t="s">
        <v>45</v>
      </c>
      <c r="C25" s="34"/>
      <c r="D25" s="34"/>
      <c r="E25" s="16"/>
      <c r="F25" s="12"/>
      <c r="G25" s="17"/>
      <c r="H25" s="18"/>
      <c r="I25" s="35"/>
      <c r="J25" s="36"/>
    </row>
    <row r="26" spans="1:10" ht="39.950000000000003" customHeight="1" x14ac:dyDescent="0.25">
      <c r="A26" s="9"/>
      <c r="B26" s="31" t="s">
        <v>46</v>
      </c>
      <c r="C26" s="32"/>
      <c r="D26" s="32"/>
      <c r="E26" s="8">
        <v>5</v>
      </c>
      <c r="F26" s="12" t="s">
        <v>26</v>
      </c>
      <c r="G26" s="17" t="str">
        <f t="shared" si="0"/>
        <v/>
      </c>
      <c r="H26" s="18" t="str">
        <f t="shared" si="1"/>
        <v/>
      </c>
      <c r="I26" s="35"/>
      <c r="J26" s="36"/>
    </row>
    <row r="27" spans="1:10" ht="39.950000000000003" customHeight="1" x14ac:dyDescent="0.25">
      <c r="A27" s="9"/>
      <c r="B27" s="31" t="s">
        <v>47</v>
      </c>
      <c r="C27" s="32"/>
      <c r="D27" s="32"/>
      <c r="E27" s="8">
        <v>5</v>
      </c>
      <c r="F27" s="12" t="s">
        <v>26</v>
      </c>
      <c r="G27" s="17" t="str">
        <f t="shared" si="0"/>
        <v/>
      </c>
      <c r="H27" s="18" t="str">
        <f t="shared" si="1"/>
        <v/>
      </c>
      <c r="I27" s="35"/>
      <c r="J27" s="36"/>
    </row>
    <row r="28" spans="1:10" ht="39.950000000000003" customHeight="1" x14ac:dyDescent="0.25">
      <c r="A28" s="9"/>
      <c r="B28" s="31" t="s">
        <v>48</v>
      </c>
      <c r="C28" s="32"/>
      <c r="D28" s="32"/>
      <c r="E28" s="8">
        <v>5</v>
      </c>
      <c r="F28" s="12" t="s">
        <v>26</v>
      </c>
      <c r="G28" s="17" t="str">
        <f t="shared" si="0"/>
        <v/>
      </c>
      <c r="H28" s="18" t="str">
        <f t="shared" si="1"/>
        <v/>
      </c>
      <c r="I28" s="35"/>
      <c r="J28" s="36"/>
    </row>
    <row r="29" spans="1:10" ht="39.950000000000003" customHeight="1" x14ac:dyDescent="0.25">
      <c r="A29" s="9"/>
      <c r="B29" s="29" t="s">
        <v>49</v>
      </c>
      <c r="C29" s="30"/>
      <c r="D29" s="30"/>
      <c r="E29" s="8">
        <v>5</v>
      </c>
      <c r="F29" s="12" t="s">
        <v>26</v>
      </c>
      <c r="G29" s="17" t="str">
        <f t="shared" si="0"/>
        <v/>
      </c>
      <c r="H29" s="18" t="str">
        <f t="shared" si="1"/>
        <v/>
      </c>
      <c r="I29" s="35"/>
      <c r="J29" s="36"/>
    </row>
    <row r="30" spans="1:10" ht="39.950000000000003" customHeight="1" x14ac:dyDescent="0.25">
      <c r="A30" s="9"/>
      <c r="B30" s="29" t="s">
        <v>50</v>
      </c>
      <c r="C30" s="30"/>
      <c r="D30" s="30"/>
      <c r="E30" s="8">
        <v>5</v>
      </c>
      <c r="F30" s="12" t="s">
        <v>26</v>
      </c>
      <c r="G30" s="17" t="str">
        <f t="shared" si="0"/>
        <v/>
      </c>
      <c r="H30" s="18" t="str">
        <f t="shared" si="1"/>
        <v/>
      </c>
      <c r="I30" s="35"/>
      <c r="J30" s="36"/>
    </row>
    <row r="31" spans="1:10" ht="39.950000000000003" customHeight="1" x14ac:dyDescent="0.25">
      <c r="A31" s="9"/>
      <c r="B31" s="29" t="s">
        <v>51</v>
      </c>
      <c r="C31" s="30"/>
      <c r="D31" s="30"/>
      <c r="E31" s="8">
        <v>5</v>
      </c>
      <c r="F31" s="12" t="s">
        <v>26</v>
      </c>
      <c r="G31" s="17" t="str">
        <f t="shared" si="0"/>
        <v/>
      </c>
      <c r="H31" s="18" t="str">
        <f t="shared" si="1"/>
        <v/>
      </c>
      <c r="I31" s="35"/>
      <c r="J31" s="36"/>
    </row>
    <row r="32" spans="1:10" ht="39.950000000000003" customHeight="1" x14ac:dyDescent="0.25">
      <c r="A32" s="9"/>
      <c r="B32" s="29" t="s">
        <v>52</v>
      </c>
      <c r="C32" s="30"/>
      <c r="D32" s="30"/>
      <c r="E32" s="8">
        <v>5</v>
      </c>
      <c r="F32" s="12" t="s">
        <v>26</v>
      </c>
      <c r="G32" s="17" t="str">
        <f t="shared" si="0"/>
        <v/>
      </c>
      <c r="H32" s="18" t="str">
        <f t="shared" si="1"/>
        <v/>
      </c>
      <c r="I32" s="35"/>
      <c r="J32" s="36"/>
    </row>
    <row r="33" spans="1:10" ht="39.950000000000003" customHeight="1" thickBot="1" x14ac:dyDescent="0.3">
      <c r="A33" s="9"/>
      <c r="B33" s="24" t="s">
        <v>53</v>
      </c>
      <c r="C33" s="25"/>
      <c r="D33" s="25"/>
      <c r="E33" s="19">
        <v>5</v>
      </c>
      <c r="F33" s="13" t="s">
        <v>26</v>
      </c>
      <c r="G33" s="20" t="str">
        <f t="shared" si="0"/>
        <v/>
      </c>
      <c r="H33" s="21" t="str">
        <f t="shared" si="1"/>
        <v/>
      </c>
      <c r="I33" s="37"/>
      <c r="J33" s="38"/>
    </row>
    <row r="34" spans="1:10" ht="39.950000000000003" customHeight="1" x14ac:dyDescent="0.25">
      <c r="A34" s="9"/>
      <c r="B34" s="26" t="s">
        <v>54</v>
      </c>
      <c r="C34" s="27"/>
      <c r="D34" s="27"/>
      <c r="E34" s="27"/>
      <c r="F34" s="27"/>
      <c r="G34" s="27"/>
      <c r="H34" s="27"/>
      <c r="I34" s="27"/>
      <c r="J34" s="28"/>
    </row>
    <row r="35" spans="1:10" ht="39.950000000000003" customHeight="1" x14ac:dyDescent="0.25">
      <c r="A35" s="9"/>
      <c r="B35" s="22" t="s">
        <v>55</v>
      </c>
      <c r="C35" s="23"/>
      <c r="D35" s="23"/>
      <c r="E35" s="8">
        <v>5</v>
      </c>
      <c r="F35" s="12" t="s">
        <v>26</v>
      </c>
      <c r="G35" s="17" t="str">
        <f t="shared" si="0"/>
        <v/>
      </c>
      <c r="H35" s="18" t="str">
        <f t="shared" si="1"/>
        <v/>
      </c>
      <c r="I35" s="35"/>
      <c r="J35" s="36"/>
    </row>
    <row r="36" spans="1:10" ht="39.950000000000003" customHeight="1" x14ac:dyDescent="0.25">
      <c r="A36" s="9"/>
      <c r="B36" s="22" t="s">
        <v>56</v>
      </c>
      <c r="C36" s="23"/>
      <c r="D36" s="23"/>
      <c r="E36" s="8">
        <v>5</v>
      </c>
      <c r="F36" s="12" t="s">
        <v>26</v>
      </c>
      <c r="G36" s="17" t="str">
        <f t="shared" si="0"/>
        <v/>
      </c>
      <c r="H36" s="18" t="str">
        <f t="shared" si="1"/>
        <v/>
      </c>
      <c r="I36" s="35"/>
      <c r="J36" s="36"/>
    </row>
    <row r="37" spans="1:10" ht="39.950000000000003" customHeight="1" x14ac:dyDescent="0.25">
      <c r="A37" s="9"/>
      <c r="B37" s="22" t="s">
        <v>57</v>
      </c>
      <c r="C37" s="23"/>
      <c r="D37" s="23"/>
      <c r="E37" s="8">
        <v>5</v>
      </c>
      <c r="F37" s="12" t="s">
        <v>26</v>
      </c>
      <c r="G37" s="17" t="str">
        <f t="shared" si="0"/>
        <v/>
      </c>
      <c r="H37" s="18" t="str">
        <f t="shared" si="1"/>
        <v/>
      </c>
      <c r="I37" s="35"/>
      <c r="J37" s="36"/>
    </row>
    <row r="38" spans="1:10" ht="39.950000000000003" customHeight="1" x14ac:dyDescent="0.25">
      <c r="A38" s="9"/>
      <c r="B38" s="22" t="s">
        <v>58</v>
      </c>
      <c r="C38" s="23"/>
      <c r="D38" s="23"/>
      <c r="E38" s="8">
        <v>5</v>
      </c>
      <c r="F38" s="12" t="s">
        <v>26</v>
      </c>
      <c r="G38" s="17" t="str">
        <f t="shared" si="0"/>
        <v/>
      </c>
      <c r="H38" s="18" t="str">
        <f t="shared" si="1"/>
        <v/>
      </c>
      <c r="I38" s="35"/>
      <c r="J38" s="36"/>
    </row>
    <row r="39" spans="1:10" ht="39.950000000000003" customHeight="1" x14ac:dyDescent="0.25">
      <c r="A39" s="9"/>
      <c r="B39" s="22" t="s">
        <v>59</v>
      </c>
      <c r="C39" s="23"/>
      <c r="D39" s="23"/>
      <c r="E39" s="8">
        <v>5</v>
      </c>
      <c r="F39" s="12" t="s">
        <v>26</v>
      </c>
      <c r="G39" s="17" t="str">
        <f t="shared" si="0"/>
        <v/>
      </c>
      <c r="H39" s="18" t="str">
        <f t="shared" si="1"/>
        <v/>
      </c>
      <c r="I39" s="35"/>
      <c r="J39" s="36"/>
    </row>
    <row r="40" spans="1:10" ht="39.950000000000003" customHeight="1" thickBot="1" x14ac:dyDescent="0.3">
      <c r="A40" s="9"/>
      <c r="B40" s="24" t="s">
        <v>60</v>
      </c>
      <c r="C40" s="25"/>
      <c r="D40" s="25"/>
      <c r="E40" s="19">
        <v>5</v>
      </c>
      <c r="F40" s="13" t="s">
        <v>26</v>
      </c>
      <c r="G40" s="20" t="str">
        <f t="shared" si="0"/>
        <v/>
      </c>
      <c r="H40" s="21" t="str">
        <f t="shared" si="1"/>
        <v/>
      </c>
      <c r="I40" s="37"/>
      <c r="J40" s="38"/>
    </row>
    <row r="41" spans="1:10" ht="39.950000000000003" customHeight="1" x14ac:dyDescent="0.25">
      <c r="A41" s="9"/>
      <c r="B41" s="26" t="s">
        <v>61</v>
      </c>
      <c r="C41" s="27"/>
      <c r="D41" s="27"/>
      <c r="E41" s="27"/>
      <c r="F41" s="27"/>
      <c r="G41" s="27"/>
      <c r="H41" s="27"/>
      <c r="I41" s="27"/>
      <c r="J41" s="28"/>
    </row>
    <row r="42" spans="1:10" ht="39.950000000000003" customHeight="1" x14ac:dyDescent="0.25">
      <c r="A42" s="9"/>
      <c r="B42" s="22" t="s">
        <v>62</v>
      </c>
      <c r="C42" s="23"/>
      <c r="D42" s="23"/>
      <c r="E42" s="8">
        <v>5</v>
      </c>
      <c r="F42" s="12" t="s">
        <v>26</v>
      </c>
      <c r="G42" s="17" t="str">
        <f t="shared" si="0"/>
        <v/>
      </c>
      <c r="H42" s="18" t="str">
        <f t="shared" si="1"/>
        <v/>
      </c>
      <c r="I42" s="35"/>
      <c r="J42" s="36"/>
    </row>
    <row r="43" spans="1:10" ht="39.950000000000003" customHeight="1" x14ac:dyDescent="0.25">
      <c r="A43" s="9"/>
      <c r="B43" s="22" t="s">
        <v>63</v>
      </c>
      <c r="C43" s="23"/>
      <c r="D43" s="23"/>
      <c r="E43" s="8">
        <v>5</v>
      </c>
      <c r="F43" s="12" t="s">
        <v>26</v>
      </c>
      <c r="G43" s="17" t="str">
        <f t="shared" si="0"/>
        <v/>
      </c>
      <c r="H43" s="18" t="str">
        <f t="shared" si="1"/>
        <v/>
      </c>
      <c r="I43" s="35"/>
      <c r="J43" s="36"/>
    </row>
    <row r="44" spans="1:10" ht="39.950000000000003" customHeight="1" x14ac:dyDescent="0.25">
      <c r="A44" s="9"/>
      <c r="B44" s="22" t="s">
        <v>64</v>
      </c>
      <c r="C44" s="23"/>
      <c r="D44" s="23"/>
      <c r="E44" s="16"/>
      <c r="F44" s="12"/>
      <c r="G44" s="17"/>
      <c r="H44" s="18"/>
      <c r="I44" s="35"/>
      <c r="J44" s="36"/>
    </row>
    <row r="45" spans="1:10" ht="39.950000000000003" customHeight="1" x14ac:dyDescent="0.25">
      <c r="A45" s="9"/>
      <c r="B45" s="29" t="s">
        <v>65</v>
      </c>
      <c r="C45" s="30"/>
      <c r="D45" s="30"/>
      <c r="E45" s="8">
        <v>5</v>
      </c>
      <c r="F45" s="12" t="s">
        <v>26</v>
      </c>
      <c r="G45" s="17" t="str">
        <f t="shared" si="0"/>
        <v/>
      </c>
      <c r="H45" s="18" t="str">
        <f t="shared" si="1"/>
        <v/>
      </c>
      <c r="I45" s="35"/>
      <c r="J45" s="36"/>
    </row>
    <row r="46" spans="1:10" ht="39.950000000000003" customHeight="1" x14ac:dyDescent="0.25">
      <c r="A46" s="9"/>
      <c r="B46" s="29" t="s">
        <v>66</v>
      </c>
      <c r="C46" s="30"/>
      <c r="D46" s="30"/>
      <c r="E46" s="8">
        <v>5</v>
      </c>
      <c r="F46" s="12" t="s">
        <v>26</v>
      </c>
      <c r="G46" s="17" t="str">
        <f t="shared" si="0"/>
        <v/>
      </c>
      <c r="H46" s="18" t="str">
        <f t="shared" si="1"/>
        <v/>
      </c>
      <c r="I46" s="35"/>
      <c r="J46" s="36"/>
    </row>
    <row r="47" spans="1:10" ht="39.950000000000003" customHeight="1" x14ac:dyDescent="0.25">
      <c r="A47" s="9"/>
      <c r="B47" s="29" t="s">
        <v>67</v>
      </c>
      <c r="C47" s="30"/>
      <c r="D47" s="30"/>
      <c r="E47" s="8">
        <v>5</v>
      </c>
      <c r="F47" s="12" t="s">
        <v>26</v>
      </c>
      <c r="G47" s="17" t="str">
        <f t="shared" si="0"/>
        <v/>
      </c>
      <c r="H47" s="18" t="str">
        <f t="shared" si="1"/>
        <v/>
      </c>
      <c r="I47" s="35"/>
      <c r="J47" s="36"/>
    </row>
    <row r="48" spans="1:10" ht="39.950000000000003" customHeight="1" x14ac:dyDescent="0.25">
      <c r="A48" s="9"/>
      <c r="B48" s="29" t="s">
        <v>68</v>
      </c>
      <c r="C48" s="30"/>
      <c r="D48" s="30"/>
      <c r="E48" s="8">
        <v>5</v>
      </c>
      <c r="F48" s="12" t="s">
        <v>26</v>
      </c>
      <c r="G48" s="17" t="str">
        <f t="shared" si="0"/>
        <v/>
      </c>
      <c r="H48" s="18" t="str">
        <f t="shared" si="1"/>
        <v/>
      </c>
      <c r="I48" s="35"/>
      <c r="J48" s="36"/>
    </row>
    <row r="49" spans="1:10" ht="39.950000000000003" customHeight="1" x14ac:dyDescent="0.25">
      <c r="A49" s="9"/>
      <c r="B49" s="29" t="s">
        <v>69</v>
      </c>
      <c r="C49" s="30"/>
      <c r="D49" s="30"/>
      <c r="E49" s="8">
        <v>5</v>
      </c>
      <c r="F49" s="12" t="s">
        <v>26</v>
      </c>
      <c r="G49" s="17" t="str">
        <f t="shared" si="0"/>
        <v/>
      </c>
      <c r="H49" s="18" t="str">
        <f t="shared" si="1"/>
        <v/>
      </c>
      <c r="I49" s="35"/>
      <c r="J49" s="36"/>
    </row>
    <row r="50" spans="1:10" ht="39.950000000000003" customHeight="1" x14ac:dyDescent="0.25">
      <c r="A50" s="9"/>
      <c r="B50" s="29" t="s">
        <v>70</v>
      </c>
      <c r="C50" s="30"/>
      <c r="D50" s="30"/>
      <c r="E50" s="8">
        <v>5</v>
      </c>
      <c r="F50" s="12" t="s">
        <v>26</v>
      </c>
      <c r="G50" s="17" t="str">
        <f t="shared" si="0"/>
        <v/>
      </c>
      <c r="H50" s="18" t="str">
        <f t="shared" si="1"/>
        <v/>
      </c>
      <c r="I50" s="35"/>
      <c r="J50" s="36"/>
    </row>
    <row r="51" spans="1:10" ht="39.950000000000003" customHeight="1" x14ac:dyDescent="0.25">
      <c r="A51" s="9"/>
      <c r="B51" s="29" t="s">
        <v>71</v>
      </c>
      <c r="C51" s="30"/>
      <c r="D51" s="30"/>
      <c r="E51" s="8">
        <v>5</v>
      </c>
      <c r="F51" s="12" t="s">
        <v>26</v>
      </c>
      <c r="G51" s="17" t="str">
        <f t="shared" si="0"/>
        <v/>
      </c>
      <c r="H51" s="18" t="str">
        <f t="shared" si="1"/>
        <v/>
      </c>
      <c r="I51" s="35"/>
      <c r="J51" s="36"/>
    </row>
    <row r="52" spans="1:10" ht="39.950000000000003" customHeight="1" x14ac:dyDescent="0.25">
      <c r="A52" s="9"/>
      <c r="B52" s="29" t="s">
        <v>72</v>
      </c>
      <c r="C52" s="30"/>
      <c r="D52" s="30"/>
      <c r="E52" s="8">
        <v>5</v>
      </c>
      <c r="F52" s="12" t="s">
        <v>26</v>
      </c>
      <c r="G52" s="17" t="str">
        <f t="shared" si="0"/>
        <v/>
      </c>
      <c r="H52" s="18" t="str">
        <f t="shared" si="1"/>
        <v/>
      </c>
      <c r="I52" s="35"/>
      <c r="J52" s="36"/>
    </row>
    <row r="53" spans="1:10" ht="39.950000000000003" customHeight="1" x14ac:dyDescent="0.25">
      <c r="A53" s="9"/>
      <c r="B53" s="22" t="s">
        <v>73</v>
      </c>
      <c r="C53" s="23"/>
      <c r="D53" s="23"/>
      <c r="E53" s="8">
        <v>5</v>
      </c>
      <c r="F53" s="12" t="s">
        <v>26</v>
      </c>
      <c r="G53" s="17" t="str">
        <f t="shared" si="0"/>
        <v/>
      </c>
      <c r="H53" s="18" t="str">
        <f t="shared" si="1"/>
        <v/>
      </c>
      <c r="I53" s="35"/>
      <c r="J53" s="36"/>
    </row>
    <row r="54" spans="1:10" ht="39.950000000000003" customHeight="1" x14ac:dyDescent="0.25">
      <c r="A54" s="9"/>
      <c r="B54" s="22" t="s">
        <v>74</v>
      </c>
      <c r="C54" s="23"/>
      <c r="D54" s="23"/>
      <c r="E54" s="8">
        <v>5</v>
      </c>
      <c r="F54" s="12" t="s">
        <v>26</v>
      </c>
      <c r="G54" s="17" t="str">
        <f t="shared" si="0"/>
        <v/>
      </c>
      <c r="H54" s="18" t="str">
        <f t="shared" si="1"/>
        <v/>
      </c>
      <c r="I54" s="35"/>
      <c r="J54" s="36"/>
    </row>
    <row r="55" spans="1:10" ht="39.950000000000003" customHeight="1" x14ac:dyDescent="0.25">
      <c r="A55" s="9"/>
      <c r="B55" s="22" t="s">
        <v>75</v>
      </c>
      <c r="C55" s="23"/>
      <c r="D55" s="23"/>
      <c r="E55" s="8">
        <v>5</v>
      </c>
      <c r="F55" s="12" t="s">
        <v>26</v>
      </c>
      <c r="G55" s="17" t="str">
        <f t="shared" si="0"/>
        <v/>
      </c>
      <c r="H55" s="18" t="str">
        <f t="shared" si="1"/>
        <v/>
      </c>
      <c r="I55" s="35"/>
      <c r="J55" s="36"/>
    </row>
    <row r="56" spans="1:10" ht="39.950000000000003" customHeight="1" x14ac:dyDescent="0.25">
      <c r="A56" s="9"/>
      <c r="B56" s="22" t="s">
        <v>76</v>
      </c>
      <c r="C56" s="23"/>
      <c r="D56" s="23"/>
      <c r="E56" s="8">
        <v>5</v>
      </c>
      <c r="F56" s="12" t="s">
        <v>26</v>
      </c>
      <c r="G56" s="17" t="str">
        <f t="shared" si="0"/>
        <v/>
      </c>
      <c r="H56" s="18" t="str">
        <f t="shared" si="1"/>
        <v/>
      </c>
      <c r="I56" s="35"/>
      <c r="J56" s="36"/>
    </row>
    <row r="57" spans="1:10" ht="39.950000000000003" customHeight="1" x14ac:dyDescent="0.25">
      <c r="A57" s="9"/>
      <c r="B57" s="22" t="s">
        <v>77</v>
      </c>
      <c r="C57" s="23"/>
      <c r="D57" s="23"/>
      <c r="E57" s="8">
        <v>5</v>
      </c>
      <c r="F57" s="12" t="s">
        <v>26</v>
      </c>
      <c r="G57" s="17" t="str">
        <f t="shared" si="0"/>
        <v/>
      </c>
      <c r="H57" s="18" t="str">
        <f t="shared" si="1"/>
        <v/>
      </c>
      <c r="I57" s="35"/>
      <c r="J57" s="36"/>
    </row>
    <row r="58" spans="1:10" ht="39.950000000000003" customHeight="1" x14ac:dyDescent="0.25">
      <c r="A58" s="9"/>
      <c r="B58" s="22" t="s">
        <v>78</v>
      </c>
      <c r="C58" s="23"/>
      <c r="D58" s="23"/>
      <c r="E58" s="8">
        <v>5</v>
      </c>
      <c r="F58" s="12" t="s">
        <v>26</v>
      </c>
      <c r="G58" s="17" t="str">
        <f t="shared" si="0"/>
        <v/>
      </c>
      <c r="H58" s="18" t="str">
        <f t="shared" si="1"/>
        <v/>
      </c>
      <c r="I58" s="35"/>
      <c r="J58" s="36"/>
    </row>
    <row r="59" spans="1:10" ht="39.950000000000003" customHeight="1" x14ac:dyDescent="0.25">
      <c r="A59" s="9"/>
      <c r="B59" s="22" t="s">
        <v>79</v>
      </c>
      <c r="C59" s="23"/>
      <c r="D59" s="23"/>
      <c r="E59" s="8">
        <v>5</v>
      </c>
      <c r="F59" s="12" t="s">
        <v>26</v>
      </c>
      <c r="G59" s="17" t="str">
        <f t="shared" si="0"/>
        <v/>
      </c>
      <c r="H59" s="18" t="str">
        <f t="shared" si="1"/>
        <v/>
      </c>
      <c r="I59" s="35"/>
      <c r="J59" s="36"/>
    </row>
    <row r="60" spans="1:10" ht="39.950000000000003" customHeight="1" thickBot="1" x14ac:dyDescent="0.3">
      <c r="A60" s="9"/>
      <c r="B60" s="24" t="s">
        <v>80</v>
      </c>
      <c r="C60" s="25"/>
      <c r="D60" s="25"/>
      <c r="E60" s="19">
        <v>5</v>
      </c>
      <c r="F60" s="13" t="s">
        <v>26</v>
      </c>
      <c r="G60" s="20" t="str">
        <f t="shared" si="0"/>
        <v/>
      </c>
      <c r="H60" s="21" t="str">
        <f t="shared" si="1"/>
        <v/>
      </c>
      <c r="I60" s="37"/>
      <c r="J60" s="38"/>
    </row>
    <row r="61" spans="1:10" ht="30" customHeight="1" thickBot="1" x14ac:dyDescent="0.3">
      <c r="A61" s="3"/>
      <c r="B61" s="39" t="s">
        <v>5</v>
      </c>
      <c r="C61" s="40"/>
      <c r="D61" s="40"/>
      <c r="E61" s="15">
        <f>SUM(E8:E60)</f>
        <v>220</v>
      </c>
      <c r="F61" s="15">
        <f>SUM(F8:F60)</f>
        <v>0</v>
      </c>
      <c r="G61" s="67"/>
      <c r="H61" s="68"/>
      <c r="I61" s="68"/>
      <c r="J61" s="69"/>
    </row>
    <row r="62" spans="1:10" ht="30" customHeight="1" thickBot="1" x14ac:dyDescent="0.3">
      <c r="A62" s="3"/>
      <c r="B62" s="41" t="s">
        <v>20</v>
      </c>
      <c r="C62" s="42"/>
      <c r="D62" s="42"/>
      <c r="E62" s="55">
        <f>F61/E61/100*100</f>
        <v>0</v>
      </c>
      <c r="F62" s="55"/>
      <c r="G62" s="55"/>
      <c r="H62" s="55"/>
      <c r="I62" s="55"/>
      <c r="J62" s="56"/>
    </row>
    <row r="63" spans="1:10" ht="30" customHeight="1" thickBot="1" x14ac:dyDescent="0.3">
      <c r="A63" s="3"/>
      <c r="B63" s="41" t="s">
        <v>21</v>
      </c>
      <c r="C63" s="42"/>
      <c r="D63" s="42"/>
      <c r="E63" s="47" t="str">
        <f>_xlfn.IFS(E62&gt;=90%,"ممتاز",E62&gt;=80%,"جيد جداً",E62&gt;=70%,"جيد",E62&gt;=60%,"مقبول",E62&lt;60%,"راسب")</f>
        <v>راسب</v>
      </c>
      <c r="F63" s="47"/>
      <c r="G63" s="47"/>
      <c r="H63" s="47"/>
      <c r="I63" s="47"/>
      <c r="J63" s="48"/>
    </row>
    <row r="64" spans="1:10" ht="42" customHeight="1" x14ac:dyDescent="0.25">
      <c r="B64" s="43" t="s">
        <v>27</v>
      </c>
      <c r="C64" s="43"/>
      <c r="D64" s="43"/>
      <c r="E64" s="65" t="s">
        <v>18</v>
      </c>
      <c r="F64" s="65"/>
      <c r="G64" s="45" t="s">
        <v>24</v>
      </c>
      <c r="H64" s="45"/>
      <c r="I64" s="45"/>
      <c r="J64" s="45"/>
    </row>
    <row r="65" spans="1:10" ht="51" customHeight="1" x14ac:dyDescent="0.25">
      <c r="A65" s="4"/>
      <c r="B65" s="44"/>
      <c r="C65" s="44"/>
      <c r="D65" s="44"/>
      <c r="E65" s="66" t="s">
        <v>19</v>
      </c>
      <c r="F65" s="66"/>
      <c r="G65" s="46"/>
      <c r="H65" s="46"/>
      <c r="I65" s="46"/>
      <c r="J65" s="4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24">
    <mergeCell ref="B1:J1"/>
    <mergeCell ref="F2:J2"/>
    <mergeCell ref="B5:D6"/>
    <mergeCell ref="C2:D2"/>
    <mergeCell ref="C3:D3"/>
    <mergeCell ref="F3:J3"/>
    <mergeCell ref="E62:J62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64:D65"/>
    <mergeCell ref="G64:J64"/>
    <mergeCell ref="G65:J65"/>
    <mergeCell ref="E63:J63"/>
    <mergeCell ref="I40:J40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E64:F64"/>
    <mergeCell ref="E65:F65"/>
    <mergeCell ref="I33:J33"/>
    <mergeCell ref="I35:J35"/>
    <mergeCell ref="I36:J36"/>
    <mergeCell ref="B61:D61"/>
    <mergeCell ref="B62:D62"/>
    <mergeCell ref="B63:D63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26:J26"/>
    <mergeCell ref="I27:J27"/>
    <mergeCell ref="G61:J61"/>
    <mergeCell ref="B9:D9"/>
    <mergeCell ref="B10:D10"/>
    <mergeCell ref="B11:D11"/>
    <mergeCell ref="B12:D12"/>
    <mergeCell ref="B13:D13"/>
    <mergeCell ref="B14:D14"/>
    <mergeCell ref="B15:D15"/>
    <mergeCell ref="B16:D16"/>
    <mergeCell ref="I32:J32"/>
    <mergeCell ref="I9:J9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9:D39"/>
    <mergeCell ref="B40:D40"/>
    <mergeCell ref="B42:D42"/>
    <mergeCell ref="B43:D43"/>
    <mergeCell ref="B26:D26"/>
    <mergeCell ref="B27:D27"/>
    <mergeCell ref="B28:D28"/>
    <mergeCell ref="B29:D29"/>
    <mergeCell ref="B30:D30"/>
    <mergeCell ref="B31:D31"/>
    <mergeCell ref="B32:D32"/>
    <mergeCell ref="B33:D33"/>
    <mergeCell ref="B53:D53"/>
    <mergeCell ref="B54:D54"/>
    <mergeCell ref="B55:D55"/>
    <mergeCell ref="B56:D56"/>
    <mergeCell ref="B57:D57"/>
    <mergeCell ref="B58:D58"/>
    <mergeCell ref="B59:D59"/>
    <mergeCell ref="B60:D60"/>
    <mergeCell ref="B8:J8"/>
    <mergeCell ref="B34:J34"/>
    <mergeCell ref="B41:J41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</mergeCells>
  <conditionalFormatting sqref="E63">
    <cfRule type="expression" dxfId="23" priority="57">
      <formula>$E63="راسب"</formula>
    </cfRule>
  </conditionalFormatting>
  <conditionalFormatting sqref="E63:J63">
    <cfRule type="expression" dxfId="22" priority="58">
      <formula>$E63="مقبول"</formula>
    </cfRule>
    <cfRule type="expression" dxfId="21" priority="59">
      <formula>$E63="جيد"</formula>
    </cfRule>
    <cfRule type="expression" dxfId="20" priority="60">
      <formula>$E63="جيد جداً"</formula>
    </cfRule>
    <cfRule type="expression" dxfId="19" priority="61">
      <formula>$E63="ممتاز"</formula>
    </cfRule>
  </conditionalFormatting>
  <conditionalFormatting sqref="H10:H33 H35:H40 H42:H60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0:H33 H35:H40 H42:H60">
    <cfRule type="containsText" dxfId="13" priority="38" operator="containsText" text="أدخل العلامة">
      <formula>NOT(ISERROR(SEARCH("أدخل العلامة",H10)))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64:J64">
    <cfRule type="containsText" dxfId="8" priority="15" operator="containsText" text="أدخل اسم المحكم">
      <formula>NOT(ISERROR(SEARCH("أدخل اسم المحكم",G64)))</formula>
    </cfRule>
  </conditionalFormatting>
  <conditionalFormatting sqref="F10:F33 F35:F40 F42:F60">
    <cfRule type="containsText" dxfId="7" priority="14" operator="containsText" text="أدخل العلامة">
      <formula>NOT(ISERROR(SEARCH("أدخل العلامة",F10)))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F45:F60 F42:F43 F35:F40 F26:F33 F20:F24 F15:F16 F9:F13</xm:sqref>
        </x14:dataValidation>
        <x14:dataValidation type="list" allowBlank="1" showInputMessage="1" showErrorMessage="1">
          <x14:formula1>
            <xm:f>#REF!</xm:f>
          </x14:formula1>
          <xm:sqref>G64:J64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2026-08-30T05:11:53Z</dcterms:modified>
</cp:coreProperties>
</file>