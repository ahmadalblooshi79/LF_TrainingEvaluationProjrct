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التقييم'!$A$1:$J$35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2" i="2"/>
  <c r="H12" i="2" s="1"/>
  <c r="G13" i="2"/>
  <c r="H13" i="2" s="1"/>
  <c r="G14" i="2"/>
  <c r="H14" i="2" s="1"/>
  <c r="G15" i="2"/>
  <c r="H15" i="2" s="1"/>
  <c r="G16" i="2"/>
  <c r="H16" i="2" s="1"/>
  <c r="G18" i="2"/>
  <c r="H18" i="2" s="1"/>
  <c r="G19" i="2"/>
  <c r="H19" i="2" s="1"/>
  <c r="G20" i="2"/>
  <c r="H20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F31" i="2" l="1"/>
  <c r="E31" i="2" l="1"/>
  <c r="E32" i="2" l="1"/>
  <c r="E33" i="2" s="1"/>
</calcChain>
</file>

<file path=xl/sharedStrings.xml><?xml version="1.0" encoding="utf-8"?>
<sst xmlns="http://schemas.openxmlformats.org/spreadsheetml/2006/main" count="70" uniqueCount="52">
  <si>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</si>
  <si>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</si>
  <si>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</si>
  <si>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</si>
  <si>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</si>
  <si>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</si>
  <si>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</si>
  <si>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</si>
  <si>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</si>
  <si>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</si>
  <si>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</si>
  <si>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</si>
  <si>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</si>
  <si>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</si>
  <si>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</si>
  <si>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</si>
  <si>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</si>
  <si>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</si>
  <si>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</si>
  <si>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</si>
  <si>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</si>
  <si>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</si>
  <si>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</si>
  <si>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</si>
  <si>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</si>
  <si>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</si>
  <si>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</si>
  <si>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</si>
  <si>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تقوم خلية تنسيق النيران بتحليل الأهداف وكما يلي:</t>
    </r>
  </si>
  <si>
    <t>أ.     تحليل الأهداف المُعيّنة.</t>
  </si>
  <si>
    <t>ب.   تحليل الأهداف على أساس الوقت المتوفر.</t>
  </si>
  <si>
    <t>جـ.   دراسة ما يلي:</t>
  </si>
  <si>
    <t>(1)   مميزات الأهداف وتأليفها ودرجة حمايتها وحجمها وشكلها وقدرتها على الحركة.</t>
  </si>
  <si>
    <t>(2)   موقع الهدف وقربه من القوات الصديقة ودقة مكان الهدف.</t>
  </si>
  <si>
    <t>(3)   الأرض والطقس.</t>
  </si>
  <si>
    <t>(4)   الأسلحة والذخائر المتوفرة.</t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</si>
  <si>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توفير معلومات الهدف لمصادر النيران.</t>
    </r>
  </si>
  <si>
    <t>أ.   مراقبة كافة الطلبات للنيران المُخططة وتتضمن ما يلي: الأهداف تحت الطلب والأهداف المُبرمجة وبرامج القصف المُعاكس وإسكات دفاعات العدو الجوية وبرامج نيران الإسناد.</t>
  </si>
  <si>
    <t>ب.   التأكد من أن النيران المُخططة يتم تحديثها باستمرار على أساس الموقف التعبوي وإجراءات السيطرة على الإسناد الناري.</t>
  </si>
  <si>
    <t>جـ.   تحديد أولوية المهام وتعيين وسائل بديلة بالإسناد الناري إذا كانت متوفرة.</t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</si>
  <si>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تسهيل طلبات الإسناد الناري الفورية.</t>
    </r>
  </si>
  <si>
    <t>أ.    مراجعة ومعالجة طلبات الرماية النارية الفورية لضمان ما يلي:</t>
  </si>
  <si>
    <t>(1)   الطلبات منسجمة مع توجه قائد مجموعة اللواء.</t>
  </si>
  <si>
    <t>(2)   يتم طلب أكثر وسائل الإسناد الناري فعالية.</t>
  </si>
  <si>
    <t>ب.   التنسيق مع التشكيلات المسؤولة لإلغاء الطلبات الأصلية عند الضرورة.</t>
  </si>
  <si>
    <r>
      <t>جـ.   تمرير الهدف إلى قدرات الإسناد الناري المُلائمة</t>
    </r>
    <r>
      <rPr>
        <sz val="14"/>
        <color theme="1"/>
        <rFont val="Calibri Light"/>
        <family val="2"/>
      </rPr>
      <t xml:space="preserve"> </t>
    </r>
    <r>
      <rPr>
        <sz val="12"/>
        <color rgb="FF000000"/>
        <rFont val="Arial"/>
        <family val="2"/>
      </rPr>
      <t>لمهاجمته.</t>
    </r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</si>
  <si>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تنسيق مهاجمة الأهداف ذات الأولوية القصوى مع الإسناد عناصر الجوي.</t>
    </r>
  </si>
  <si>
    <r>
      <t>6.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طلب تنفيذ إسكات دفاعات العدو الجوية حسب الحاجة.</t>
    </r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</si>
  <si>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طلب تنفيذ قصف معاكس.</t>
    </r>
  </si>
  <si>
    <r>
      <t>8.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التنسيق مع عناصر إسناد الهجوم الأُخرى على الأهداف مثل الإسناد الجوي القريب.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</si>
  <si>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تسهيل مُعالجة طلبات الإسناد الناري المُخططة وكما يلي:</t>
    </r>
  </si>
  <si>
    <t>تقييم خلية تنسيق النيران في تنسيق الإسناد الناري على الهدف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</si>
</sst>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4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8" fillId="0" borderId="3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right" vertical="center" wrapText="1" indent="2" readingOrder="2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7" xfId="0" applyFont="1" applyBorder="1" applyAlignment="1">
      <alignment horizontal="right" vertical="center" wrapText="1" readingOrder="2"/>
    </xf>
    <xf numFmtId="0" fontId="9" fillId="0" borderId="8" xfId="0" applyFont="1" applyBorder="1" applyAlignment="1">
      <alignment horizontal="right" vertical="center" wrapText="1" readingOrder="2"/>
    </xf>
    <xf numFmtId="0" fontId="11" fillId="0" borderId="4" xfId="0" applyFont="1" applyBorder="1" applyAlignment="1">
      <alignment horizontal="right"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0" fontId="9" fillId="0" borderId="21" xfId="0" applyFont="1" applyBorder="1" applyAlignment="1">
      <alignment horizontal="right" vertical="center" wrapText="1" indent="2" readingOrder="2"/>
    </xf>
    <xf numFmtId="0" fontId="9" fillId="0" borderId="2" xfId="0" applyFont="1" applyBorder="1" applyAlignment="1">
      <alignment horizontal="right" vertical="center" wrapText="1" indent="2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3" xfId="0" applyFont="1" applyBorder="1" applyAlignment="1">
      <alignment horizontal="right" vertical="center" wrapText="1" readingOrder="2"/>
    </xf>
    <xf numFmtId="0" fontId="9" fillId="0" borderId="21" xfId="0" applyFont="1" applyBorder="1" applyAlignment="1">
      <alignment horizontal="right" vertical="center" wrapText="1" indent="4" readingOrder="2"/>
    </xf>
    <xf numFmtId="0" fontId="9" fillId="0" borderId="2" xfId="0" applyFont="1" applyBorder="1" applyAlignment="1">
      <alignment horizontal="right" vertical="center" wrapText="1" indent="4" readingOrder="2"/>
    </xf>
    <xf numFmtId="0" fontId="9" fillId="0" borderId="10" xfId="0" applyFont="1" applyBorder="1" applyAlignment="1">
      <alignment horizontal="right" vertical="center" wrapText="1" indent="4" readingOrder="2"/>
    </xf>
    <xf numFmtId="0" fontId="9" fillId="0" borderId="11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5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85" t="s">
        <v>51</v>
      </c>
      <c r="C1" s="85"/>
      <c r="D1" s="85"/>
      <c r="E1" s="85"/>
      <c r="F1" s="85"/>
      <c r="G1" s="85"/>
      <c r="H1" s="85"/>
      <c r="I1" s="85"/>
      <c r="J1" s="85"/>
    </row>
    <row r="2" spans="1:10" ht="30" customHeight="1" x14ac:dyDescent="0.25">
      <c r="B2" s="12" t="s">
        <v>8</v>
      </c>
      <c r="C2" s="69" t="s">
        <v>23</v>
      </c>
      <c r="D2" s="69"/>
      <c r="E2" s="12" t="s">
        <v>7</v>
      </c>
      <c r="F2" s="64" t="s">
        <v>22</v>
      </c>
      <c r="G2" s="64"/>
      <c r="H2" s="64"/>
      <c r="I2" s="64"/>
      <c r="J2" s="64"/>
    </row>
    <row r="3" spans="1:10" ht="30" customHeight="1" x14ac:dyDescent="0.25">
      <c r="B3" s="12" t="s">
        <v>9</v>
      </c>
      <c r="C3" s="69" t="s">
        <v>25</v>
      </c>
      <c r="D3" s="69"/>
      <c r="E3" s="12" t="s">
        <v>6</v>
      </c>
      <c r="F3" s="69" t="s">
        <v>24</v>
      </c>
      <c r="G3" s="69"/>
      <c r="H3" s="69"/>
      <c r="I3" s="69"/>
      <c r="J3" s="69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10"/>
      <c r="B5" s="65" t="s">
        <v>0</v>
      </c>
      <c r="C5" s="66"/>
      <c r="D5" s="66"/>
      <c r="E5" s="74" t="s">
        <v>1</v>
      </c>
      <c r="F5" s="74"/>
      <c r="G5" s="74"/>
      <c r="H5" s="74"/>
      <c r="I5" s="74" t="s">
        <v>2</v>
      </c>
      <c r="J5" s="75"/>
    </row>
    <row r="6" spans="1:10" ht="24.95" customHeight="1" thickBot="1" x14ac:dyDescent="0.3">
      <c r="A6" s="10"/>
      <c r="B6" s="67"/>
      <c r="C6" s="68"/>
      <c r="D6" s="68"/>
      <c r="E6" s="11" t="s">
        <v>3</v>
      </c>
      <c r="F6" s="11" t="s">
        <v>4</v>
      </c>
      <c r="G6" s="11" t="s">
        <v>15</v>
      </c>
      <c r="H6" s="11" t="s">
        <v>16</v>
      </c>
      <c r="I6" s="76"/>
      <c r="J6" s="77"/>
    </row>
    <row r="7" spans="1:10" ht="24.95" customHeight="1" thickBot="1" x14ac:dyDescent="0.3">
      <c r="A7" s="10"/>
      <c r="B7" s="72" t="s">
        <v>13</v>
      </c>
      <c r="C7" s="73"/>
      <c r="D7" s="73"/>
      <c r="E7" s="16" t="s">
        <v>10</v>
      </c>
      <c r="F7" s="16" t="s">
        <v>11</v>
      </c>
      <c r="G7" s="16" t="s">
        <v>14</v>
      </c>
      <c r="H7" s="16" t="s">
        <v>12</v>
      </c>
      <c r="I7" s="78" t="s">
        <v>17</v>
      </c>
      <c r="J7" s="79"/>
    </row>
    <row r="8" spans="1:10" ht="40.15" customHeight="1" x14ac:dyDescent="0.25">
      <c r="A8" s="10"/>
      <c r="B8" s="40" t="s">
        <v>28</v>
      </c>
      <c r="C8" s="41"/>
      <c r="D8" s="41"/>
      <c r="E8" s="21"/>
      <c r="F8" s="22"/>
      <c r="G8" s="23"/>
      <c r="H8" s="24"/>
      <c r="I8" s="46"/>
      <c r="J8" s="47"/>
    </row>
    <row r="9" spans="1:10" ht="40.15" customHeight="1" x14ac:dyDescent="0.25">
      <c r="A9" s="10"/>
      <c r="B9" s="38" t="s">
        <v>29</v>
      </c>
      <c r="C9" s="39"/>
      <c r="D9" s="39"/>
      <c r="E9" s="8">
        <v>5</v>
      </c>
      <c r="F9" s="13" t="s">
        <v>26</v>
      </c>
      <c r="G9" s="18" t="str">
        <f>IFERROR(F9/E9,"")</f>
        <v/>
      </c>
      <c r="H9" s="19" t="str">
        <f>_xlfn.IFS(F9="أدخل العلامة","",F9="لا ينطبق","تم الإلغاء",G9&gt;=90%,"ممتاز",G9&gt;=80%,"جيد جداً",G9&gt;=70%,"جيد",G9&gt;=60%,"مقبول",G9&lt;60%,"راسب")</f>
        <v/>
      </c>
      <c r="I9" s="52"/>
      <c r="J9" s="53"/>
    </row>
    <row r="10" spans="1:10" ht="40.15" customHeight="1" x14ac:dyDescent="0.25">
      <c r="A10" s="10"/>
      <c r="B10" s="38" t="s">
        <v>30</v>
      </c>
      <c r="C10" s="39"/>
      <c r="D10" s="39"/>
      <c r="E10" s="8">
        <v>5</v>
      </c>
      <c r="F10" s="13" t="s">
        <v>26</v>
      </c>
      <c r="G10" s="18" t="str">
        <f t="shared" ref="G10:G30" si="0">IFERROR(F10/E10,"")</f>
        <v/>
      </c>
      <c r="H10" s="19" t="str">
        <f t="shared" ref="H10:H30" si="1">_xlfn.IFS(F10="أدخل العلامة","",F10="لا ينطبق","تم الإلغاء",G10&gt;=90%,"ممتاز",G10&gt;=80%,"جيد جداً",G10&gt;=70%,"جيد",G10&gt;=60%,"مقبول",G10&lt;60%,"راسب")</f>
        <v/>
      </c>
      <c r="I10" s="52"/>
      <c r="J10" s="53"/>
    </row>
    <row r="11" spans="1:10" ht="40.15" customHeight="1" x14ac:dyDescent="0.25">
      <c r="A11" s="10"/>
      <c r="B11" s="38" t="s">
        <v>31</v>
      </c>
      <c r="C11" s="39"/>
      <c r="D11" s="39"/>
      <c r="E11" s="20"/>
      <c r="F11" s="13"/>
      <c r="G11" s="18"/>
      <c r="H11" s="19"/>
      <c r="I11" s="52"/>
      <c r="J11" s="53"/>
    </row>
    <row r="12" spans="1:10" ht="40.15" customHeight="1" x14ac:dyDescent="0.25">
      <c r="A12" s="10"/>
      <c r="B12" s="42" t="s">
        <v>32</v>
      </c>
      <c r="C12" s="43"/>
      <c r="D12" s="43"/>
      <c r="E12" s="8">
        <v>5</v>
      </c>
      <c r="F12" s="13" t="s">
        <v>26</v>
      </c>
      <c r="G12" s="18" t="str">
        <f t="shared" si="0"/>
        <v/>
      </c>
      <c r="H12" s="19" t="str">
        <f t="shared" si="1"/>
        <v/>
      </c>
      <c r="I12" s="52"/>
      <c r="J12" s="53"/>
    </row>
    <row r="13" spans="1:10" ht="40.15" customHeight="1" x14ac:dyDescent="0.25">
      <c r="A13" s="10"/>
      <c r="B13" s="42" t="s">
        <v>33</v>
      </c>
      <c r="C13" s="43"/>
      <c r="D13" s="43"/>
      <c r="E13" s="8">
        <v>5</v>
      </c>
      <c r="F13" s="13" t="s">
        <v>26</v>
      </c>
      <c r="G13" s="18" t="str">
        <f t="shared" si="0"/>
        <v/>
      </c>
      <c r="H13" s="19" t="str">
        <f t="shared" si="1"/>
        <v/>
      </c>
      <c r="I13" s="52"/>
      <c r="J13" s="53"/>
    </row>
    <row r="14" spans="1:10" ht="40.15" customHeight="1" x14ac:dyDescent="0.25">
      <c r="A14" s="10"/>
      <c r="B14" s="42" t="s">
        <v>34</v>
      </c>
      <c r="C14" s="43"/>
      <c r="D14" s="43"/>
      <c r="E14" s="8">
        <v>5</v>
      </c>
      <c r="F14" s="13" t="s">
        <v>26</v>
      </c>
      <c r="G14" s="18" t="str">
        <f t="shared" si="0"/>
        <v/>
      </c>
      <c r="H14" s="19" t="str">
        <f t="shared" si="1"/>
        <v/>
      </c>
      <c r="I14" s="52"/>
      <c r="J14" s="53"/>
    </row>
    <row r="15" spans="1:10" ht="40.15" customHeight="1" thickBot="1" x14ac:dyDescent="0.3">
      <c r="A15" s="10"/>
      <c r="B15" s="44" t="s">
        <v>35</v>
      </c>
      <c r="C15" s="45"/>
      <c r="D15" s="45"/>
      <c r="E15" s="27">
        <v>5</v>
      </c>
      <c r="F15" s="15" t="s">
        <v>26</v>
      </c>
      <c r="G15" s="25" t="str">
        <f t="shared" si="0"/>
        <v/>
      </c>
      <c r="H15" s="26" t="str">
        <f t="shared" si="1"/>
        <v/>
      </c>
      <c r="I15" s="54"/>
      <c r="J15" s="55"/>
    </row>
    <row r="16" spans="1:10" ht="40.15" customHeight="1" thickBot="1" x14ac:dyDescent="0.3">
      <c r="A16" s="10"/>
      <c r="B16" s="34" t="s">
        <v>36</v>
      </c>
      <c r="C16" s="35"/>
      <c r="D16" s="35"/>
      <c r="E16" s="9">
        <v>5</v>
      </c>
      <c r="F16" s="28" t="s">
        <v>26</v>
      </c>
      <c r="G16" s="29" t="str">
        <f t="shared" si="0"/>
        <v/>
      </c>
      <c r="H16" s="14" t="str">
        <f t="shared" si="1"/>
        <v/>
      </c>
      <c r="I16" s="56"/>
      <c r="J16" s="57"/>
    </row>
    <row r="17" spans="1:10" ht="40.15" customHeight="1" x14ac:dyDescent="0.25">
      <c r="A17" s="10"/>
      <c r="B17" s="36" t="s">
        <v>50</v>
      </c>
      <c r="C17" s="37"/>
      <c r="D17" s="37"/>
      <c r="E17" s="30"/>
      <c r="F17" s="22"/>
      <c r="G17" s="23"/>
      <c r="H17" s="24"/>
      <c r="I17" s="46"/>
      <c r="J17" s="47"/>
    </row>
    <row r="18" spans="1:10" ht="56.45" customHeight="1" x14ac:dyDescent="0.25">
      <c r="A18" s="10"/>
      <c r="B18" s="38" t="s">
        <v>37</v>
      </c>
      <c r="C18" s="39"/>
      <c r="D18" s="39"/>
      <c r="E18" s="8">
        <v>5</v>
      </c>
      <c r="F18" s="13" t="s">
        <v>26</v>
      </c>
      <c r="G18" s="18" t="str">
        <f t="shared" si="0"/>
        <v/>
      </c>
      <c r="H18" s="19" t="str">
        <f t="shared" si="1"/>
        <v/>
      </c>
      <c r="I18" s="52"/>
      <c r="J18" s="53"/>
    </row>
    <row r="19" spans="1:10" ht="40.15" customHeight="1" x14ac:dyDescent="0.25">
      <c r="A19" s="10"/>
      <c r="B19" s="38" t="s">
        <v>38</v>
      </c>
      <c r="C19" s="39"/>
      <c r="D19" s="39"/>
      <c r="E19" s="8">
        <v>5</v>
      </c>
      <c r="F19" s="13" t="s">
        <v>26</v>
      </c>
      <c r="G19" s="18" t="str">
        <f t="shared" si="0"/>
        <v/>
      </c>
      <c r="H19" s="19" t="str">
        <f t="shared" si="1"/>
        <v/>
      </c>
      <c r="I19" s="52"/>
      <c r="J19" s="53"/>
    </row>
    <row r="20" spans="1:10" ht="40.15" customHeight="1" thickBot="1" x14ac:dyDescent="0.3">
      <c r="A20" s="10"/>
      <c r="B20" s="32" t="s">
        <v>39</v>
      </c>
      <c r="C20" s="33"/>
      <c r="D20" s="33"/>
      <c r="E20" s="27">
        <v>5</v>
      </c>
      <c r="F20" s="15" t="s">
        <v>26</v>
      </c>
      <c r="G20" s="25" t="str">
        <f t="shared" si="0"/>
        <v/>
      </c>
      <c r="H20" s="26" t="str">
        <f t="shared" si="1"/>
        <v/>
      </c>
      <c r="I20" s="54"/>
      <c r="J20" s="55"/>
    </row>
    <row r="21" spans="1:10" ht="40.15" customHeight="1" x14ac:dyDescent="0.25">
      <c r="A21" s="10"/>
      <c r="B21" s="40" t="s">
        <v>40</v>
      </c>
      <c r="C21" s="41"/>
      <c r="D21" s="41"/>
      <c r="E21" s="30"/>
      <c r="F21" s="22"/>
      <c r="G21" s="23"/>
      <c r="H21" s="24"/>
      <c r="I21" s="46"/>
      <c r="J21" s="47"/>
    </row>
    <row r="22" spans="1:10" ht="40.15" customHeight="1" x14ac:dyDescent="0.25">
      <c r="A22" s="10"/>
      <c r="B22" s="38" t="s">
        <v>41</v>
      </c>
      <c r="C22" s="39"/>
      <c r="D22" s="39"/>
      <c r="E22" s="20"/>
      <c r="F22" s="13"/>
      <c r="G22" s="18"/>
      <c r="H22" s="19"/>
      <c r="I22" s="52"/>
      <c r="J22" s="53"/>
    </row>
    <row r="23" spans="1:10" ht="40.15" customHeight="1" x14ac:dyDescent="0.25">
      <c r="A23" s="10"/>
      <c r="B23" s="42" t="s">
        <v>42</v>
      </c>
      <c r="C23" s="43"/>
      <c r="D23" s="43"/>
      <c r="E23" s="8">
        <v>5</v>
      </c>
      <c r="F23" s="13" t="s">
        <v>26</v>
      </c>
      <c r="G23" s="18" t="str">
        <f t="shared" si="0"/>
        <v/>
      </c>
      <c r="H23" s="19" t="str">
        <f t="shared" si="1"/>
        <v/>
      </c>
      <c r="I23" s="52"/>
      <c r="J23" s="53"/>
    </row>
    <row r="24" spans="1:10" ht="40.15" customHeight="1" x14ac:dyDescent="0.25">
      <c r="A24" s="10"/>
      <c r="B24" s="42" t="s">
        <v>43</v>
      </c>
      <c r="C24" s="43"/>
      <c r="D24" s="43"/>
      <c r="E24" s="8">
        <v>5</v>
      </c>
      <c r="F24" s="13" t="s">
        <v>26</v>
      </c>
      <c r="G24" s="18" t="str">
        <f t="shared" si="0"/>
        <v/>
      </c>
      <c r="H24" s="19" t="str">
        <f t="shared" si="1"/>
        <v/>
      </c>
      <c r="I24" s="52"/>
      <c r="J24" s="53"/>
    </row>
    <row r="25" spans="1:10" ht="40.15" customHeight="1" x14ac:dyDescent="0.25">
      <c r="A25" s="10"/>
      <c r="B25" s="38" t="s">
        <v>44</v>
      </c>
      <c r="C25" s="39"/>
      <c r="D25" s="39"/>
      <c r="E25" s="8">
        <v>5</v>
      </c>
      <c r="F25" s="13" t="s">
        <v>26</v>
      </c>
      <c r="G25" s="18" t="str">
        <f t="shared" si="0"/>
        <v/>
      </c>
      <c r="H25" s="19" t="str">
        <f t="shared" si="1"/>
        <v/>
      </c>
      <c r="I25" s="52"/>
      <c r="J25" s="53"/>
    </row>
    <row r="26" spans="1:10" ht="40.15" customHeight="1" thickBot="1" x14ac:dyDescent="0.3">
      <c r="A26" s="10"/>
      <c r="B26" s="32" t="s">
        <v>45</v>
      </c>
      <c r="C26" s="33"/>
      <c r="D26" s="33"/>
      <c r="E26" s="27">
        <v>5</v>
      </c>
      <c r="F26" s="15" t="s">
        <v>26</v>
      </c>
      <c r="G26" s="25" t="str">
        <f t="shared" si="0"/>
        <v/>
      </c>
      <c r="H26" s="26" t="str">
        <f t="shared" si="1"/>
        <v/>
      </c>
      <c r="I26" s="54"/>
      <c r="J26" s="55"/>
    </row>
    <row r="27" spans="1:10" ht="40.15" customHeight="1" thickBot="1" x14ac:dyDescent="0.3">
      <c r="A27" s="10"/>
      <c r="B27" s="34" t="s">
        <v>46</v>
      </c>
      <c r="C27" s="35"/>
      <c r="D27" s="35"/>
      <c r="E27" s="9">
        <v>5</v>
      </c>
      <c r="F27" s="28" t="s">
        <v>26</v>
      </c>
      <c r="G27" s="29" t="str">
        <f t="shared" si="0"/>
        <v/>
      </c>
      <c r="H27" s="14" t="str">
        <f t="shared" si="1"/>
        <v/>
      </c>
      <c r="I27" s="56"/>
      <c r="J27" s="57"/>
    </row>
    <row r="28" spans="1:10" ht="40.15" customHeight="1" thickBot="1" x14ac:dyDescent="0.3">
      <c r="A28" s="10"/>
      <c r="B28" s="34" t="s">
        <v>47</v>
      </c>
      <c r="C28" s="35"/>
      <c r="D28" s="35"/>
      <c r="E28" s="9">
        <v>5</v>
      </c>
      <c r="F28" s="28" t="s">
        <v>26</v>
      </c>
      <c r="G28" s="29" t="str">
        <f t="shared" si="0"/>
        <v/>
      </c>
      <c r="H28" s="14" t="str">
        <f t="shared" si="1"/>
        <v/>
      </c>
      <c r="I28" s="56"/>
      <c r="J28" s="57"/>
    </row>
    <row r="29" spans="1:10" ht="40.15" customHeight="1" thickBot="1" x14ac:dyDescent="0.3">
      <c r="A29" s="10"/>
      <c r="B29" s="34" t="s">
        <v>48</v>
      </c>
      <c r="C29" s="35"/>
      <c r="D29" s="35"/>
      <c r="E29" s="9">
        <v>5</v>
      </c>
      <c r="F29" s="28" t="s">
        <v>26</v>
      </c>
      <c r="G29" s="29" t="str">
        <f t="shared" si="0"/>
        <v/>
      </c>
      <c r="H29" s="14" t="str">
        <f t="shared" si="1"/>
        <v/>
      </c>
      <c r="I29" s="56"/>
      <c r="J29" s="57"/>
    </row>
    <row r="30" spans="1:10" ht="40.15" customHeight="1" thickBot="1" x14ac:dyDescent="0.3">
      <c r="A30" s="10"/>
      <c r="B30" s="34" t="s">
        <v>49</v>
      </c>
      <c r="C30" s="35"/>
      <c r="D30" s="35"/>
      <c r="E30" s="31">
        <v>5</v>
      </c>
      <c r="F30" s="28" t="s">
        <v>26</v>
      </c>
      <c r="G30" s="29" t="str">
        <f t="shared" si="0"/>
        <v/>
      </c>
      <c r="H30" s="14" t="str">
        <f t="shared" si="1"/>
        <v/>
      </c>
      <c r="I30" s="56"/>
      <c r="J30" s="57"/>
    </row>
    <row r="31" spans="1:10" ht="30" customHeight="1" thickBot="1" x14ac:dyDescent="0.3">
      <c r="A31" s="3"/>
      <c r="B31" s="48" t="s">
        <v>5</v>
      </c>
      <c r="C31" s="49"/>
      <c r="D31" s="49"/>
      <c r="E31" s="17">
        <f>SUM(E8:E30)</f>
        <v>90</v>
      </c>
      <c r="F31" s="17">
        <f>SUM(F8:F30)</f>
        <v>0</v>
      </c>
      <c r="G31" s="82"/>
      <c r="H31" s="83"/>
      <c r="I31" s="83"/>
      <c r="J31" s="84"/>
    </row>
    <row r="32" spans="1:10" ht="30" customHeight="1" thickBot="1" x14ac:dyDescent="0.3">
      <c r="A32" s="3"/>
      <c r="B32" s="50" t="s">
        <v>20</v>
      </c>
      <c r="C32" s="51"/>
      <c r="D32" s="51"/>
      <c r="E32" s="70">
        <f>F31/E31/100*100</f>
        <v>0</v>
      </c>
      <c r="F32" s="70"/>
      <c r="G32" s="70"/>
      <c r="H32" s="70"/>
      <c r="I32" s="70"/>
      <c r="J32" s="71"/>
    </row>
    <row r="33" spans="1:10" ht="30" customHeight="1" thickBot="1" x14ac:dyDescent="0.3">
      <c r="A33" s="3"/>
      <c r="B33" s="50" t="s">
        <v>21</v>
      </c>
      <c r="C33" s="51"/>
      <c r="D33" s="51"/>
      <c r="E33" s="62" t="str">
        <f>_xlfn.IFS(E32&gt;=90%,"ممتاز",E32&gt;=80%,"جيد جداً",E32&gt;=70%,"جيد",E32&gt;=60%,"مقبول",E32&lt;60%,"راسب")</f>
        <v>راسب</v>
      </c>
      <c r="F33" s="62"/>
      <c r="G33" s="62"/>
      <c r="H33" s="62"/>
      <c r="I33" s="62"/>
      <c r="J33" s="63"/>
    </row>
    <row r="34" spans="1:10" ht="42" customHeight="1" x14ac:dyDescent="0.25">
      <c r="B34" s="58" t="s">
        <v>27</v>
      </c>
      <c r="C34" s="58"/>
      <c r="D34" s="58"/>
      <c r="E34" s="80" t="s">
        <v>18</v>
      </c>
      <c r="F34" s="80"/>
      <c r="G34" s="60" t="s">
        <v>24</v>
      </c>
      <c r="H34" s="60"/>
      <c r="I34" s="60"/>
      <c r="J34" s="60"/>
    </row>
    <row r="35" spans="1:10" ht="51" customHeight="1" x14ac:dyDescent="0.25">
      <c r="A35" s="4"/>
      <c r="B35" s="59"/>
      <c r="C35" s="59"/>
      <c r="D35" s="59"/>
      <c r="E35" s="81" t="s">
        <v>19</v>
      </c>
      <c r="F35" s="81"/>
      <c r="G35" s="61"/>
      <c r="H35" s="61"/>
      <c r="I35" s="61"/>
      <c r="J35" s="6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7">
    <mergeCell ref="I9:J9"/>
    <mergeCell ref="I25:J25"/>
    <mergeCell ref="I26:J26"/>
    <mergeCell ref="I27:J27"/>
    <mergeCell ref="E34:F34"/>
    <mergeCell ref="E35:F35"/>
    <mergeCell ref="G31:J31"/>
    <mergeCell ref="I20:J20"/>
    <mergeCell ref="I21:J21"/>
    <mergeCell ref="I22:J22"/>
    <mergeCell ref="I23:J23"/>
    <mergeCell ref="I24:J24"/>
    <mergeCell ref="B34:D35"/>
    <mergeCell ref="G34:J34"/>
    <mergeCell ref="G35:J35"/>
    <mergeCell ref="E33:J33"/>
    <mergeCell ref="B1:J1"/>
    <mergeCell ref="F2:J2"/>
    <mergeCell ref="B5:D6"/>
    <mergeCell ref="C2:D2"/>
    <mergeCell ref="C3:D3"/>
    <mergeCell ref="F3:J3"/>
    <mergeCell ref="E32:J32"/>
    <mergeCell ref="B7:D7"/>
    <mergeCell ref="I30:J30"/>
    <mergeCell ref="E5:H5"/>
    <mergeCell ref="I5:J6"/>
    <mergeCell ref="I7:J7"/>
    <mergeCell ref="I8:J8"/>
    <mergeCell ref="B31:D31"/>
    <mergeCell ref="B32:D32"/>
    <mergeCell ref="B33:D3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10:J10"/>
    <mergeCell ref="I19:J19"/>
    <mergeCell ref="B22:D22"/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6:D26"/>
    <mergeCell ref="B27:D27"/>
    <mergeCell ref="B28:D28"/>
    <mergeCell ref="B29:D29"/>
    <mergeCell ref="B30:D3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3">
    <cfRule type="expression" dxfId="14" priority="57">
      <formula>$E33="راسب"</formula>
    </cfRule>
  </conditionalFormatting>
  <conditionalFormatting sqref="E33:J33">
    <cfRule type="expression" dxfId="13" priority="58">
      <formula>$E33="مقبول"</formula>
    </cfRule>
    <cfRule type="expression" dxfId="12" priority="59">
      <formula>$E33="جيد"</formula>
    </cfRule>
    <cfRule type="expression" dxfId="11" priority="60">
      <formula>$E33="جيد جداً"</formula>
    </cfRule>
    <cfRule type="expression" dxfId="10" priority="61">
      <formula>$E33="ممتاز"</formula>
    </cfRule>
  </conditionalFormatting>
  <conditionalFormatting sqref="F8:F3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4:J34">
    <cfRule type="containsText" dxfId="6" priority="15" operator="containsText" text="أدخل اسم المحكم">
      <formula>NOT(ISERROR(SEARCH("أدخل اسم المحكم",G34)))</formula>
    </cfRule>
  </conditionalFormatting>
  <conditionalFormatting sqref="H8:H3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F23:F30 F18:F20 F12:F16 F9:F10</xm:sqref>
        </x14:dataValidation>
        <x14:dataValidation type="list" allowBlank="1" showInputMessage="1" showErrorMessage="1">
          <x14:formula1>
            <xm:f>#REF!</xm:f>
          </x14:formula1>
          <xm:sqref>G34:J34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2026-08-30T05:09:38Z</dcterms:modified>
</cp:coreProperties>
</file>