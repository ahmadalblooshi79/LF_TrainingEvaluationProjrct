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A5D6598E-B1AE-E945-9FF2-DF1388C90179}"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<sst xmlns="http://schemas.openxmlformats.org/spreadsheetml/2006/main" count="258" uniqueCount="202">
  <si>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</si>
  <si>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</si>
  <si>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</si>
  <si>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</si>
  <si>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</si>
  <si>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</si>
  <si>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</si>
  <si>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</si>
  <si>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</si>
  <si>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</si>
  <si>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</si>
  <si>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</si>
  <si>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</si>
  <si>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</si>
  <si>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</si>
  <si>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</si>
  <si>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</si>
  <si>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</si>
  <si>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</si>
  <si>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</si>
  <si>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</si>
  <si>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</si>
  <si>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</si>
  <si>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</si>
  <si>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</si>
  <si>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</si>
  <si>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</si>
  <si>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</si>
  <si>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</si>
  <si>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</si>
  <si>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</si>
  <si>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</si>
  <si>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</si>
  <si>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</si>
  <si>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</si>
  <si>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</si>
  <si>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</si>
  <si>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</si>
  <si>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</si>
  <si>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</si>
  <si>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</si>
  <si>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</si>
  <si>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</si>
  <si>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</si>
  <si>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</si>
  <si>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</si>
  <si>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</si>
  <si>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</si>
  <si>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</si>
  <si>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</si>
  <si>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</si>
  <si>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</si>
  <si>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</si>
  <si>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</si>
  <si>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</si>
  <si>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</si>
  <si>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</si>
  <si>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</si>
  <si>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</si>
  <si>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</si>
  <si>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</si>
  <si>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</si>
  <si>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</si>
  <si>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</si>
  <si>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</si>
  <si>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</si>
  <si>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</si>
  <si>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</si>
  <si>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</si>
  <si>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</si>
  <si>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</si>
  <si>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</si>
  <si>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</si>
  <si>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</si>
  <si>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</si>
  <si>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</si>
  <si>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</si>
  <si>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</si>
  <si>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</si>
  <si>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</si>
  <si>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</si>
  <si>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</si>
  <si>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</si>
  <si>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</si>
  <si>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</si>
  <si>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</si>
  <si>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</si>
  <si>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</si>
  <si>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</si>
  <si>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</si>
  <si>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</si>
  <si>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</si>
  <si>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</si>
  <si>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</si>
  <si>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</si>
  <si>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</si>
  <si>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</si>
  <si>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</si>
  <si>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</si>
  <si>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</si>
  <si>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</si>
  <si>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</si>
  <si>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</si>
  <si>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</si>
  <si>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</si>
  <si>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</si>
  <si>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</si>
  <si>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</si>
  <si>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</si>
  <si>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</si>
  <si>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</si>
  <si>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</si>
  <si>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</si>
  <si>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</si>
  <si>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</si>
  <si>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</si>
  <si>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</si>
  <si>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</si>
  <si>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</si>
  <si>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</si>
  <si>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</si>
  <si>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</si>
  <si>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</si>
  <si>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</si>
  <si>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</si>
  <si>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</si>
  <si>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</si>
  <si>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</si>
  <si>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</si>
  <si>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</si>
  <si>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</si>
  <si>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</si>
  <si>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</si>
  <si>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</si>
  <si>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</si>
  <si>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</si>
  <si>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</si>
  <si>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</si>
  <si>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</si>
  <si>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</si>
  <si>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</si>
  <si>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</si>
  <si>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</si>
  <si>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</si>
  <si>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</si>
  <si>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</si>
  <si>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</si>
  <si>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</si>
  <si>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</si>
  <si>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</si>
  <si>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</si>
  <si>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</si>
  <si>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</si>
  <si>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</si>
  <si>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</si>
  <si>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</si>
  <si>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</si>
  <si>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</si>
  <si>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</si>
  <si>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</si>
  <si>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</si>
  <si>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</si>
  <si>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</si>
  <si>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</si>
  <si>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</si>
  <si>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</si>
  <si>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</si>
  <si>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</si>
  <si>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</si>
  <si>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</si>
  <si>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</si>
  <si>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</si>
  <si>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</si>
  <si>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</si>
  <si>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</si>
  <si>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</si>
  <si>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</si>
  <si>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</si>
  <si>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</si>
  <si>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</si>
  <si>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</si>
  <si>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</si>
  <si>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</si>
  <si>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</si>
  <si>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</si>
  <si>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</si>
  <si>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</si>
  <si>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</si>
  <si>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</si>
  <si>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</si>
  <si>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</si>
  <si>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</si>
  <si>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</si>
  <si>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</si>
  <si>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</si>
  <si>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</si>
  <si>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</si>
  <si>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</si>
  <si>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</si>
  <si>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</si>
  <si>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t>1.</t>
    </r>
    <r>
      <rPr>
        <sz val="7"/>
        <color theme="1"/>
        <rFont val="Arial"/>
        <family val="2"/>
      </rPr>
      <t xml:space="preserve">      </t>
    </r>
    <r>
      <rPr>
        <sz val="12"/>
        <color rgb="FF000000"/>
        <rFont val="Arial"/>
        <family val="2"/>
      </rPr>
      <t xml:space="preserve"> يقوم قائد الكتيبة بإرسال التقارير باستخدام وسائل الاتصال المتوفرة.</t>
    </r>
  </si>
  <si>
    <r>
      <rPr>
        <b/>
        <sz val="14"/>
        <color rgb="FF000000"/>
        <rFont val="Arial"/>
        <family val="2"/>
      </rPr>
      <t>تقييم الكتيبة/مجموعة القتال في تمرير تقارير المعلومات</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</si>
</sst>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17">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2" Type="http://schemas.openxmlformats.org/officeDocument/2006/relationships/image" Target="../media/image1.png" /><Relationship Id="rId1" Type="http://schemas.openxmlformats.org/officeDocument/2006/relationships/customXml" Target="../ink/ink1.xml" /></Relationships>
</file>

<file path=xl/drawings/drawing1.xml><?xml version="1.0" encoding="utf-8"?>
<xdr:wsDr xmlns:xdr="http://schemas.openxmlformats.org/drawingml/2006/spreadsheetDrawing" xmlns:a="http://schemas.openxmlformats.org/drawingml/2006/main">
  <xdr:twoCellAnchor editAs="oneCell">
    <xdr:from>
      <xdr:col>6</xdr:col>
      <xdr:colOff>535425</xdr:colOff>
      <xdr:row>34</xdr:row>
      <xdr:rowOff>344345</xdr:rowOff>
    </xdr:from>
    <xdr:to>
      <xdr:col>9</xdr:col>
      <xdr:colOff>204914</xdr:colOff>
      <xdr:row>39</xdr:row>
      <xdr:rowOff>156828</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8C9D6948-0022-A16F-5CCF-F1EB10D2ADAD}"/>
                </a:ext>
              </a:extLst>
            </xdr14:cNvPr>
            <xdr14:cNvContentPartPr/>
          </xdr14:nvContentPartPr>
          <xdr14:nvPr macro=""/>
          <xdr14:xfrm>
            <a:off x="10398381905" y="17731800"/>
            <a:ext cx="1643760" cy="1752120"/>
          </xdr14:xfrm>
        </xdr:contentPart>
      </mc:Choice>
      <mc:Fallback>
        <xdr:pic>
          <xdr:nvPicPr>
            <xdr:cNvPr id="2" name="Ink 1">
              <a:extLst>
                <a:ext uri="{FF2B5EF4-FFF2-40B4-BE49-F238E27FC236}">
                  <a16:creationId xmlns:a16="http://schemas.microsoft.com/office/drawing/2014/main" id="{8C9D6948-0022-A16F-5CCF-F1EB10D2ADAD}"/>
                </a:ext>
              </a:extLst>
            </xdr:cNvPr>
            <xdr:cNvPicPr/>
          </xdr:nvPicPr>
          <xdr:blipFill>
            <a:blip xmlns:r="http://schemas.openxmlformats.org/officeDocument/2006/relationships" r:embed="rId2"/>
            <a:stretch>
              <a:fillRect/>
            </a:stretch>
          </xdr:blipFill>
          <xdr:spPr>
            <a:xfrm>
              <a:off x="10398372905" y="17723160"/>
              <a:ext cx="1661400" cy="176976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7T18:42:14.040"/>
    </inkml:context>
    <inkml:brush xml:id="br0">
      <inkml:brushProperty name="width" value="0.05" units="cm"/>
      <inkml:brushProperty name="height" value="0.05" units="cm"/>
    </inkml:brush>
  </inkml:definitions>
  <inkml:trace contextRef="#ctx0" brushRef="#br0">3536 4079 24109,'0'0'0,"-12"-3"384,7 0-312,5 3-72,-14-4-112,11 1 144,3 0-240,0-1 136,0 4 72,3-4-80,-1-7 40,3 8 136,-3-2-264,-2 5 168,5-12-40,0 9-136,0-1 120,-5-9 96,0 13-40,2-3 176,-2-1 64,0-1 128,0-7 136,0 12-504,-2-5 352,-1-7 152,-2 7-160,-7-9-144,12 14-200,-4-4 288,-6-13-112,5 5 160,-7 1-208,12 11-128,-5-13 208,-9 0-104,9 1 0,-5-3-16,10 15-88,-2-14 56,-3-1 24,-7-3-160,7 3 257,5 15-177,-2-17 48,-3 0 232,0-2-80,3 1-24,2 18-176,-5-19 208,0-1-112,3 2 144,-13-3-176,15 21-64,0-22 176,-12-1-144,8-1 120,-11 0 32,15 24-184,-2-24 120,-10 1 40,7-1-104,-7 0 24,12 24-80,-2-26-48,-3 1 192,-7-2 56,12 1-128,0 26-72,-12-27 96,7 2-112,0 2 80,-7 1 40,12 22-104,0-21 112,-14 3-64,9-2-160,-10 4 24,15 16 88,-12-14 168,0 0-712,-2 2 528,-1 0-32,15 12 48,-19-13-256,14 1 760,-11 1-592,4 7 72,12 4 16,-10-17-112,-7 12 8,15-10 136,-10 11-592,12 4 560,0-16 48,-10 12 16,5-9-48,-7 9 488,12 4-504,-2-12-72,-3 9-24,0-9-168,3 9 8,2 3 256,-12-12-16,7 9-80,2-8 72,1 8 80,2 3-56,-2-11-120,2 8 72,-3-8 64,3 8 104,0 3-120,0-4 48,-5-8-96,3 9 248,0-1-200,2 4 0,-3-4-72,3 0 128,-5 1-224,3 0 64,2 3 104,0-3 16,-2 0 104,2 0-152,0 3 48,0 0-16,2-2 64,-2 2-96,0 0 168,0 0 80,0 0-216,0-3 16,7 0-16,5 0-32,-7 0 0,-5 3 32,15-4 128,1 0-72,1-9-24,-5 10-120,-12 3 88,22-14-32,0 2-32,9-2 96,5-1 200,-36 15-232,41-18 184,0-1-48,4-3 40,3 0-72,-48 22-104,51-25-120,7 0 256,2 1-8,2-1 88,-62 25-216,63-25 80,-1 1-32,6-2 80,4 2-144,-72 24 16,67-26 0,5 1 64,-7-1-208,0 1 80,-65 25 64,63-25 128,-8 4-176,3 3-64,-10 3 64,-48 15 48,48-12-168,-5 7 56,-9-6 48,-3 11 16,-31 0 48,22 0-136,-8 0 336,-6 0-272,1 0-24,-9 0 96,0 3 48,0 1-280,-2 7 288,-1 1 208,3-12-264,-21 17 128,-1 6 16,-7 8 120,-12 7-312,41-38 48,-48 43 128,-7 5-144,-8 1-80,-6 3 0,69-52 96,-77 54-168,-12 3-88,-3 3-48,-6 5 80,98-65 224,-106 68-408,-7 5 328,0 2 280,-5 1 80,118-76-280,-120 75 496,-1 0-144,1-1-368,2-6-40,118-68 56,-113 67 32,5 0 8,2 1 136,10 2-304,96-70 128,-87 68-216,1-4 88,6-3 72,8-2 320,72-59-264,-67 52 424,14-2-160,5-8-120,7-5-96,41-37-48,-31 33 80,7-6-32,7-6-16,14-6-48,3-15 16,-12 3-336,12-3 144,5 0-24,7-12-48,-12 12 264,15-13-80,6-4-80,3-8 88,5-11 72,-29 36 0,39-45 56,4-9-96,3-7 72,2-2-208,-48 63 176,53-65-216,2 2 264,-2 1-96,-3 2 296,-50 60-248,53-57 200,-5 3-200,5 6 0,-2 2 0,-51 46 0,46-40-56,2 5 64,-5 4 120,-7 5-488,-36 26 360,36-17 128,-12 5-144,-7 10 32,-10 2 312,-7 0-328,3 0-80,-1 4 80,-2 12-144,-12 2 176,12-18-32,-17 26-168,-7 6 264,-10 5-40,-9 6-72,43-43 16,-43 47 272,-8 3-288,-6 1-96,-1 1 32,58-52 80,-55 53-32,-10 0-184,7-4 112,-7-2 56,65-47 48,-65 44 16,5-2 184,2-6 96,8-3-16,50-33-280,-48 24-64,7-7 176,7-11-224,10-2-496,24-4 608,-17 0-264,5 0-120,7-12 128,3 7 456,2 5-200,0-21 0,0 0-32,12-4 368,2-4-200,-14 29-136,17-32 192,2 0 56,3-1-496,5 0 200,-27 33 48,26-31 136,-4 3 64,-1 1 56,1 2 8,-22 25-264,17-21 160,-3 1-160,1 3 168,-13 4-184,-2 13 16,7-11-96,5 8 192,-12 0-80,3 0 48,-3 3-64,0 0 48,0 0-80,0 0 96,0 0-16,0 0-48,2 2 128,0-1 176,-2 1-448,-4 1 176,4-3-32,-5 4-112,-7 0-128,7 7 128,-7-8 96,12-3 16,-12 6-112,12 0-72,-12-1 200,7 0-128,5-5 112,-5 4 80,3-1 16,0-2 8,2 1-56,0-2-48,0 1 48,0-1 80,2 0-128,-2 0-48,0 0 48,0 0 0,2-3 80,-2 3-176,0-3 64,0 3 32,3-3-64,-3 1-120,0-3 184,2 1 104,-2 4-104,3-13 64,-1 9-48,-2-10 96,0 10-80,0 4-32,2-12 64,-2 9 64,3-1-160,-3 0 64,0 4-32,5-5 32,-3 1 0,-2 1-32,0 3 0,0 0 0,0-2-48,0 2 80,2 0-16,-2 0 32,0 0-48,0 0 96,3 0-160,-3 0 160,0 0-64,0 0-32,0-3-32,0 3 48,0 0 64,0 0-80,0 0 64,0 0 16,0-3-96,0 0 96,0 3-80,-5-4 16,3-10 1,-8 2-17,3-3 0,7 15 0,-12-18 0,0-1 0,-5-1 0,-7-5 0,24 25 0,-27-24 0,-6-3 0,-6-1-49,-11-2-111,50 30 160,-56-30 112,-11 0-32,-3 2-63,-4 2-17,74 26 0,-87-22 0,-4-3 0,-8 3 0,-4-2 0,103 24 0,-109-28-465,-6-1-199,4-4 112,-2-5-24,113 38 576,-106-43-88,-2-5 352,2-9-160,5-7 240,101 64-344,-96-74 360,55 31-152,-7-15 88,7-7 24,41 65-320,-43-86 112,16-8-304,3-24 16,22-137-248,2 255 424,29-265 152,48 24 200,24 34-160,14 24 176,-115 183-368,135-173 32,12 5 1,12 9-33,9 14 0,-168 145 0,187-134 0,8 19-321,15 20 17,-4 22 384,-206 73-80,210-45 112,-1 25 224,-9 24-239,-3 34-338,-197-38 241,180 60-432,-11 21-56,-23 21 112,-11 24 472,-135-126-96,111 139 104,-15 17-40,-26 21-344,-22 20-248,-48-197 528,19 225-384,-29 22-96,-26 20-248,-29 10 160,65-277 568,-89 278-713,-24 0-167,-24-6 320,-19-8-296,156-264 856,-171 265-1072,-14-7-577,-15-3-951,-14-6-897,-10-12-1288,224-237 4785,-230 222-3945,1-30-2200,229-192 6145</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C26" zoomScale="130" zoomScaleNormal="100" zoomScaleSheetLayoutView="130" workbookViewId="0">
      <selection activeCell="G37" sqref="G37:J37"/>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71" t="s">
        <v>201</v>
      </c>
      <c r="C1" s="71"/>
      <c r="D1" s="71"/>
      <c r="E1" s="71"/>
      <c r="F1" s="71"/>
      <c r="G1" s="71"/>
      <c r="H1" s="71"/>
      <c r="I1" s="71"/>
      <c r="J1" s="71"/>
    </row>
    <row r="2" spans="1:10" ht="30" customHeight="1" x14ac:dyDescent="0.2">
      <c r="B2" s="13" t="s">
        <v>8</v>
      </c>
      <c r="C2" s="77" t="s">
        <v>37</v>
      </c>
      <c r="D2" s="77"/>
      <c r="E2" s="13" t="s">
        <v>7</v>
      </c>
      <c r="F2" s="72">
        <v>45955</v>
      </c>
      <c r="G2" s="72"/>
      <c r="H2" s="72"/>
      <c r="I2" s="72"/>
      <c r="J2" s="72"/>
    </row>
    <row r="3" spans="1:10" ht="30" customHeight="1" x14ac:dyDescent="0.2">
      <c r="B3" s="13" t="s">
        <v>9</v>
      </c>
      <c r="C3" s="77" t="s">
        <v>77</v>
      </c>
      <c r="D3" s="77"/>
      <c r="E3" s="13" t="s">
        <v>6</v>
      </c>
      <c r="F3" s="77" t="s">
        <v>101</v>
      </c>
      <c r="G3" s="77"/>
      <c r="H3" s="77"/>
      <c r="I3" s="77"/>
      <c r="J3" s="77"/>
    </row>
    <row r="4" spans="1:10" ht="30" customHeight="1" thickBot="1" x14ac:dyDescent="0.25">
      <c r="B4" s="6"/>
      <c r="C4" s="7"/>
      <c r="D4" s="7"/>
      <c r="E4" s="6"/>
      <c r="F4" s="7"/>
      <c r="G4" s="7"/>
      <c r="H4" s="8"/>
      <c r="I4" s="7"/>
      <c r="J4" s="7"/>
    </row>
    <row r="5" spans="1:10" ht="24.95" customHeight="1" x14ac:dyDescent="0.2">
      <c r="A5" s="11"/>
      <c r="B5" s="73" t="s">
        <v>0</v>
      </c>
      <c r="C5" s="74"/>
      <c r="D5" s="74"/>
      <c r="E5" s="82" t="s">
        <v>1</v>
      </c>
      <c r="F5" s="82"/>
      <c r="G5" s="82"/>
      <c r="H5" s="82"/>
      <c r="I5" s="82" t="s">
        <v>2</v>
      </c>
      <c r="J5" s="83"/>
    </row>
    <row r="6" spans="1:10" ht="24.95" customHeight="1" thickBot="1" x14ac:dyDescent="0.25">
      <c r="A6" s="11"/>
      <c r="B6" s="75"/>
      <c r="C6" s="76"/>
      <c r="D6" s="76"/>
      <c r="E6" s="12" t="s">
        <v>3</v>
      </c>
      <c r="F6" s="12" t="s">
        <v>4</v>
      </c>
      <c r="G6" s="12" t="s">
        <v>23</v>
      </c>
      <c r="H6" s="12" t="s">
        <v>24</v>
      </c>
      <c r="I6" s="84"/>
      <c r="J6" s="85"/>
    </row>
    <row r="7" spans="1:10" ht="24.95" customHeight="1" thickBot="1" x14ac:dyDescent="0.25">
      <c r="A7" s="11"/>
      <c r="B7" s="80" t="s">
        <v>21</v>
      </c>
      <c r="C7" s="81"/>
      <c r="D7" s="81"/>
      <c r="E7" s="30" t="s">
        <v>18</v>
      </c>
      <c r="F7" s="30" t="s">
        <v>19</v>
      </c>
      <c r="G7" s="30" t="s">
        <v>22</v>
      </c>
      <c r="H7" s="30" t="s">
        <v>20</v>
      </c>
      <c r="I7" s="93" t="s">
        <v>25</v>
      </c>
      <c r="J7" s="94"/>
    </row>
    <row r="8" spans="1:10" ht="39.950000000000003" customHeight="1" thickBot="1" x14ac:dyDescent="0.25">
      <c r="A8" s="11"/>
      <c r="B8" s="49" t="s">
        <v>200</v>
      </c>
      <c r="C8" s="50"/>
      <c r="D8" s="50"/>
      <c r="E8" s="10">
        <v>5</v>
      </c>
      <c r="F8" s="41">
        <v>3.75</v>
      </c>
      <c r="G8" s="42">
        <f>IFERROR(F8/E8,"")</f>
        <v>0.75</v>
      </c>
      <c r="H8" s="28" t="str">
        <f>_xlfn.IFS(F8="أدخل العلامة","",F8="لا ينطبق","تم الإلغاء",G8&gt;=90%,"ممتاز",G8&gt;=80%,"جيد جداً",G8&gt;=70%,"جيد",G8&gt;=60%,"مقبول",G8&lt;60%,"راسب")</f>
        <v>جيد</v>
      </c>
      <c r="I8" s="91"/>
      <c r="J8" s="92"/>
    </row>
    <row r="9" spans="1:10" ht="39.950000000000003" customHeight="1" thickBot="1" x14ac:dyDescent="0.25">
      <c r="A9" s="11"/>
      <c r="B9" s="51" t="s">
        <v>195</v>
      </c>
      <c r="C9" s="52"/>
      <c r="D9" s="52"/>
      <c r="E9" s="10">
        <v>5</v>
      </c>
      <c r="F9" s="41">
        <v>3.75</v>
      </c>
      <c r="G9" s="42">
        <f>IFERROR(F9/E9,"")</f>
        <v>0.75</v>
      </c>
      <c r="H9" s="28" t="str">
        <f>_xlfn.IFS(F9="أدخل العلامة","",F9="لا ينطبق","تم الإلغاء",G9&gt;=90%,"ممتاز",G9&gt;=80%,"جيد جداً",G9&gt;=70%,"جيد",G9&gt;=60%,"مقبول",G9&lt;60%,"راسب")</f>
        <v>جيد</v>
      </c>
      <c r="I9" s="91"/>
      <c r="J9" s="92"/>
    </row>
    <row r="10" spans="1:10" ht="39.950000000000003" customHeight="1" thickBot="1" x14ac:dyDescent="0.25">
      <c r="A10" s="11"/>
      <c r="B10" s="51" t="s">
        <v>196</v>
      </c>
      <c r="C10" s="52"/>
      <c r="D10" s="52"/>
      <c r="E10" s="10">
        <v>5</v>
      </c>
      <c r="F10" s="41">
        <v>3.75</v>
      </c>
      <c r="G10" s="42">
        <f t="shared" ref="G10:G32" si="0">IFERROR(F10/E10,"")</f>
        <v>0.75</v>
      </c>
      <c r="H10" s="28" t="str">
        <f t="shared" ref="H10:H32" si="1">_xlfn.IFS(F10="أدخل العلامة","",F10="لا ينطبق","تم الإلغاء",G10&gt;=90%,"ممتاز",G10&gt;=80%,"جيد جداً",G10&gt;=70%,"جيد",G10&gt;=60%,"مقبول",G10&lt;60%,"راسب")</f>
        <v>جيد</v>
      </c>
      <c r="I10" s="91"/>
      <c r="J10" s="92"/>
    </row>
    <row r="11" spans="1:10" ht="39.950000000000003" customHeight="1" x14ac:dyDescent="0.2">
      <c r="A11" s="11"/>
      <c r="B11" s="47" t="s">
        <v>197</v>
      </c>
      <c r="C11" s="48"/>
      <c r="D11" s="48"/>
      <c r="E11" s="40"/>
      <c r="F11" s="34"/>
      <c r="G11" s="35"/>
      <c r="H11" s="36"/>
      <c r="I11" s="57"/>
      <c r="J11" s="58"/>
    </row>
    <row r="12" spans="1:10" ht="39.950000000000003" customHeight="1" x14ac:dyDescent="0.2">
      <c r="A12" s="11"/>
      <c r="B12" s="43" t="s">
        <v>176</v>
      </c>
      <c r="C12" s="44"/>
      <c r="D12" s="44"/>
      <c r="E12" s="9">
        <v>5</v>
      </c>
      <c r="F12" s="27">
        <v>3.75</v>
      </c>
      <c r="G12" s="32">
        <f t="shared" si="0"/>
        <v>0.75</v>
      </c>
      <c r="H12" s="33" t="str">
        <f t="shared" si="1"/>
        <v>جيد</v>
      </c>
      <c r="I12" s="55"/>
      <c r="J12" s="56"/>
    </row>
    <row r="13" spans="1:10" ht="54.95" customHeight="1" x14ac:dyDescent="0.2">
      <c r="A13" s="11"/>
      <c r="B13" s="43" t="s">
        <v>177</v>
      </c>
      <c r="C13" s="44"/>
      <c r="D13" s="44"/>
      <c r="E13" s="9">
        <v>5</v>
      </c>
      <c r="F13" s="27">
        <v>3.5</v>
      </c>
      <c r="G13" s="32">
        <f t="shared" si="0"/>
        <v>0.7</v>
      </c>
      <c r="H13" s="33" t="str">
        <f t="shared" si="1"/>
        <v>جيد</v>
      </c>
      <c r="I13" s="55"/>
      <c r="J13" s="56"/>
    </row>
    <row r="14" spans="1:10" ht="71.25" customHeight="1" x14ac:dyDescent="0.2">
      <c r="A14" s="11"/>
      <c r="B14" s="43" t="s">
        <v>178</v>
      </c>
      <c r="C14" s="44"/>
      <c r="D14" s="44"/>
      <c r="E14" s="9">
        <v>5</v>
      </c>
      <c r="F14" s="27">
        <v>3.5</v>
      </c>
      <c r="G14" s="32">
        <f t="shared" si="0"/>
        <v>0.7</v>
      </c>
      <c r="H14" s="33" t="str">
        <f t="shared" si="1"/>
        <v>جيد</v>
      </c>
      <c r="I14" s="55"/>
      <c r="J14" s="56"/>
    </row>
    <row r="15" spans="1:10" ht="39.950000000000003" customHeight="1" x14ac:dyDescent="0.2">
      <c r="A15" s="11"/>
      <c r="B15" s="43" t="s">
        <v>179</v>
      </c>
      <c r="C15" s="44"/>
      <c r="D15" s="44"/>
      <c r="E15" s="9">
        <v>5</v>
      </c>
      <c r="F15" s="27">
        <v>3.5</v>
      </c>
      <c r="G15" s="32">
        <f t="shared" si="0"/>
        <v>0.7</v>
      </c>
      <c r="H15" s="33" t="str">
        <f t="shared" si="1"/>
        <v>جيد</v>
      </c>
      <c r="I15" s="55"/>
      <c r="J15" s="56"/>
    </row>
    <row r="16" spans="1:10" ht="68.25" customHeight="1" x14ac:dyDescent="0.2">
      <c r="A16" s="11"/>
      <c r="B16" s="43" t="s">
        <v>180</v>
      </c>
      <c r="C16" s="44"/>
      <c r="D16" s="44"/>
      <c r="E16" s="9">
        <v>5</v>
      </c>
      <c r="F16" s="27">
        <v>3.5</v>
      </c>
      <c r="G16" s="32">
        <f t="shared" si="0"/>
        <v>0.7</v>
      </c>
      <c r="H16" s="33" t="str">
        <f t="shared" si="1"/>
        <v>جيد</v>
      </c>
      <c r="I16" s="55"/>
      <c r="J16" s="56"/>
    </row>
    <row r="17" spans="1:10" ht="65.099999999999994" customHeight="1" thickBot="1" x14ac:dyDescent="0.25">
      <c r="A17" s="11"/>
      <c r="B17" s="45" t="s">
        <v>181</v>
      </c>
      <c r="C17" s="46"/>
      <c r="D17" s="46"/>
      <c r="E17" s="37">
        <v>5</v>
      </c>
      <c r="F17" s="29">
        <v>3.75</v>
      </c>
      <c r="G17" s="38">
        <f t="shared" si="0"/>
        <v>0.75</v>
      </c>
      <c r="H17" s="39" t="str">
        <f t="shared" si="1"/>
        <v>جيد</v>
      </c>
      <c r="I17" s="53"/>
      <c r="J17" s="54"/>
    </row>
    <row r="18" spans="1:10" ht="39.950000000000003" customHeight="1" x14ac:dyDescent="0.2">
      <c r="A18" s="11"/>
      <c r="B18" s="59" t="s">
        <v>198</v>
      </c>
      <c r="C18" s="60"/>
      <c r="D18" s="60"/>
      <c r="E18" s="40"/>
      <c r="F18" s="34"/>
      <c r="G18" s="35"/>
      <c r="H18" s="36"/>
      <c r="I18" s="57"/>
      <c r="J18" s="58"/>
    </row>
    <row r="19" spans="1:10" ht="39.950000000000003" customHeight="1" x14ac:dyDescent="0.2">
      <c r="A19" s="11"/>
      <c r="B19" s="43" t="s">
        <v>182</v>
      </c>
      <c r="C19" s="44"/>
      <c r="D19" s="44"/>
      <c r="E19" s="9">
        <v>5</v>
      </c>
      <c r="F19" s="27">
        <v>3.5</v>
      </c>
      <c r="G19" s="32">
        <f t="shared" si="0"/>
        <v>0.7</v>
      </c>
      <c r="H19" s="33" t="str">
        <f t="shared" si="1"/>
        <v>جيد</v>
      </c>
      <c r="I19" s="55"/>
      <c r="J19" s="56"/>
    </row>
    <row r="20" spans="1:10" ht="39.950000000000003" customHeight="1" x14ac:dyDescent="0.2">
      <c r="A20" s="11"/>
      <c r="B20" s="43" t="s">
        <v>183</v>
      </c>
      <c r="C20" s="44"/>
      <c r="D20" s="44"/>
      <c r="E20" s="9">
        <v>5</v>
      </c>
      <c r="F20" s="27">
        <v>3.75</v>
      </c>
      <c r="G20" s="32">
        <f t="shared" si="0"/>
        <v>0.75</v>
      </c>
      <c r="H20" s="33" t="str">
        <f t="shared" si="1"/>
        <v>جيد</v>
      </c>
      <c r="I20" s="55"/>
      <c r="J20" s="56"/>
    </row>
    <row r="21" spans="1:10" ht="39.950000000000003" customHeight="1" x14ac:dyDescent="0.2">
      <c r="A21" s="11"/>
      <c r="B21" s="43" t="s">
        <v>184</v>
      </c>
      <c r="C21" s="44"/>
      <c r="D21" s="44"/>
      <c r="E21" s="9">
        <v>5</v>
      </c>
      <c r="F21" s="27">
        <v>3.5</v>
      </c>
      <c r="G21" s="32">
        <f t="shared" si="0"/>
        <v>0.7</v>
      </c>
      <c r="H21" s="33" t="str">
        <f t="shared" si="1"/>
        <v>جيد</v>
      </c>
      <c r="I21" s="55"/>
      <c r="J21" s="56"/>
    </row>
    <row r="22" spans="1:10" ht="39.950000000000003" customHeight="1" x14ac:dyDescent="0.2">
      <c r="A22" s="11"/>
      <c r="B22" s="43" t="s">
        <v>185</v>
      </c>
      <c r="C22" s="44"/>
      <c r="D22" s="44"/>
      <c r="E22" s="9">
        <v>5</v>
      </c>
      <c r="F22" s="27">
        <v>3.5</v>
      </c>
      <c r="G22" s="32">
        <f t="shared" si="0"/>
        <v>0.7</v>
      </c>
      <c r="H22" s="33" t="str">
        <f t="shared" si="1"/>
        <v>جيد</v>
      </c>
      <c r="I22" s="55"/>
      <c r="J22" s="56"/>
    </row>
    <row r="23" spans="1:10" ht="39.950000000000003" customHeight="1" x14ac:dyDescent="0.2">
      <c r="A23" s="11"/>
      <c r="B23" s="43" t="s">
        <v>186</v>
      </c>
      <c r="C23" s="44"/>
      <c r="D23" s="44"/>
      <c r="E23" s="9">
        <v>5</v>
      </c>
      <c r="F23" s="27">
        <v>3.75</v>
      </c>
      <c r="G23" s="32">
        <f t="shared" si="0"/>
        <v>0.75</v>
      </c>
      <c r="H23" s="33" t="str">
        <f t="shared" si="1"/>
        <v>جيد</v>
      </c>
      <c r="I23" s="55"/>
      <c r="J23" s="56"/>
    </row>
    <row r="24" spans="1:10" ht="39.950000000000003" customHeight="1" x14ac:dyDescent="0.2">
      <c r="A24" s="11"/>
      <c r="B24" s="43" t="s">
        <v>187</v>
      </c>
      <c r="C24" s="44"/>
      <c r="D24" s="44"/>
      <c r="E24" s="9">
        <v>5</v>
      </c>
      <c r="F24" s="27">
        <v>3.75</v>
      </c>
      <c r="G24" s="32">
        <f t="shared" si="0"/>
        <v>0.75</v>
      </c>
      <c r="H24" s="33" t="str">
        <f t="shared" si="1"/>
        <v>جيد</v>
      </c>
      <c r="I24" s="55"/>
      <c r="J24" s="56"/>
    </row>
    <row r="25" spans="1:10" ht="39.950000000000003" customHeight="1" x14ac:dyDescent="0.2">
      <c r="A25" s="11"/>
      <c r="B25" s="43" t="s">
        <v>188</v>
      </c>
      <c r="C25" s="44"/>
      <c r="D25" s="44"/>
      <c r="E25" s="9">
        <v>5</v>
      </c>
      <c r="F25" s="27">
        <v>3.5</v>
      </c>
      <c r="G25" s="32">
        <f t="shared" si="0"/>
        <v>0.7</v>
      </c>
      <c r="H25" s="33" t="str">
        <f t="shared" si="1"/>
        <v>جيد</v>
      </c>
      <c r="I25" s="55"/>
      <c r="J25" s="56"/>
    </row>
    <row r="26" spans="1:10" ht="39.950000000000003" customHeight="1" thickBot="1" x14ac:dyDescent="0.25">
      <c r="A26" s="11"/>
      <c r="B26" s="45" t="s">
        <v>189</v>
      </c>
      <c r="C26" s="46"/>
      <c r="D26" s="46"/>
      <c r="E26" s="37">
        <v>5</v>
      </c>
      <c r="F26" s="29">
        <v>3.75</v>
      </c>
      <c r="G26" s="38">
        <f t="shared" si="0"/>
        <v>0.75</v>
      </c>
      <c r="H26" s="39" t="str">
        <f t="shared" si="1"/>
        <v>جيد</v>
      </c>
      <c r="I26" s="53"/>
      <c r="J26" s="54"/>
    </row>
    <row r="27" spans="1:10" ht="39.950000000000003" customHeight="1" x14ac:dyDescent="0.2">
      <c r="A27" s="11"/>
      <c r="B27" s="47" t="s">
        <v>199</v>
      </c>
      <c r="C27" s="48"/>
      <c r="D27" s="48"/>
      <c r="E27" s="40"/>
      <c r="F27" s="34"/>
      <c r="G27" s="35"/>
      <c r="H27" s="36"/>
      <c r="I27" s="57"/>
      <c r="J27" s="58"/>
    </row>
    <row r="28" spans="1:10" ht="39.950000000000003" customHeight="1" x14ac:dyDescent="0.2">
      <c r="A28" s="11"/>
      <c r="B28" s="43" t="s">
        <v>190</v>
      </c>
      <c r="C28" s="44"/>
      <c r="D28" s="44"/>
      <c r="E28" s="9">
        <v>5</v>
      </c>
      <c r="F28" s="27">
        <v>3.75</v>
      </c>
      <c r="G28" s="32">
        <f t="shared" si="0"/>
        <v>0.75</v>
      </c>
      <c r="H28" s="33" t="str">
        <f t="shared" si="1"/>
        <v>جيد</v>
      </c>
      <c r="I28" s="55"/>
      <c r="J28" s="56"/>
    </row>
    <row r="29" spans="1:10" ht="39.950000000000003" customHeight="1" x14ac:dyDescent="0.2">
      <c r="A29" s="11"/>
      <c r="B29" s="43" t="s">
        <v>191</v>
      </c>
      <c r="C29" s="44"/>
      <c r="D29" s="44"/>
      <c r="E29" s="9">
        <v>5</v>
      </c>
      <c r="F29" s="27">
        <v>3.75</v>
      </c>
      <c r="G29" s="32">
        <f t="shared" si="0"/>
        <v>0.75</v>
      </c>
      <c r="H29" s="33" t="str">
        <f t="shared" si="1"/>
        <v>جيد</v>
      </c>
      <c r="I29" s="55"/>
      <c r="J29" s="56"/>
    </row>
    <row r="30" spans="1:10" ht="39.950000000000003" customHeight="1" x14ac:dyDescent="0.2">
      <c r="A30" s="11"/>
      <c r="B30" s="43" t="s">
        <v>192</v>
      </c>
      <c r="C30" s="44"/>
      <c r="D30" s="44"/>
      <c r="E30" s="9">
        <v>5</v>
      </c>
      <c r="F30" s="27">
        <v>3.5</v>
      </c>
      <c r="G30" s="32">
        <f t="shared" si="0"/>
        <v>0.7</v>
      </c>
      <c r="H30" s="33" t="str">
        <f t="shared" si="1"/>
        <v>جيد</v>
      </c>
      <c r="I30" s="55"/>
      <c r="J30" s="56"/>
    </row>
    <row r="31" spans="1:10" ht="39.950000000000003" customHeight="1" x14ac:dyDescent="0.2">
      <c r="A31" s="11"/>
      <c r="B31" s="43" t="s">
        <v>193</v>
      </c>
      <c r="C31" s="44"/>
      <c r="D31" s="44"/>
      <c r="E31" s="9">
        <v>5</v>
      </c>
      <c r="F31" s="27">
        <v>3.5</v>
      </c>
      <c r="G31" s="32">
        <f t="shared" si="0"/>
        <v>0.7</v>
      </c>
      <c r="H31" s="33" t="str">
        <f t="shared" si="1"/>
        <v>جيد</v>
      </c>
      <c r="I31" s="55"/>
      <c r="J31" s="56"/>
    </row>
    <row r="32" spans="1:10" ht="39.950000000000003" customHeight="1" thickBot="1" x14ac:dyDescent="0.25">
      <c r="A32" s="11"/>
      <c r="B32" s="45" t="s">
        <v>194</v>
      </c>
      <c r="C32" s="46"/>
      <c r="D32" s="46"/>
      <c r="E32" s="37">
        <v>5</v>
      </c>
      <c r="F32" s="29">
        <v>3.75</v>
      </c>
      <c r="G32" s="38">
        <f t="shared" si="0"/>
        <v>0.75</v>
      </c>
      <c r="H32" s="39" t="str">
        <f t="shared" si="1"/>
        <v>جيد</v>
      </c>
      <c r="I32" s="53"/>
      <c r="J32" s="54"/>
    </row>
    <row r="33" spans="1:10" ht="30" customHeight="1" thickBot="1" x14ac:dyDescent="0.25">
      <c r="A33" s="4"/>
      <c r="B33" s="61" t="s">
        <v>5</v>
      </c>
      <c r="C33" s="62"/>
      <c r="D33" s="62"/>
      <c r="E33" s="31">
        <f>SUM(E8:E32)</f>
        <v>110</v>
      </c>
      <c r="F33" s="31">
        <f>SUM(F8:F32)</f>
        <v>80</v>
      </c>
      <c r="G33" s="88"/>
      <c r="H33" s="89"/>
      <c r="I33" s="89"/>
      <c r="J33" s="90"/>
    </row>
    <row r="34" spans="1:10" ht="30" customHeight="1" thickBot="1" x14ac:dyDescent="0.25">
      <c r="A34" s="4"/>
      <c r="B34" s="63" t="s">
        <v>54</v>
      </c>
      <c r="C34" s="64"/>
      <c r="D34" s="64"/>
      <c r="E34" s="78">
        <f>F33/E33/100*100</f>
        <v>0.72727272727272729</v>
      </c>
      <c r="F34" s="78"/>
      <c r="G34" s="78"/>
      <c r="H34" s="78"/>
      <c r="I34" s="78"/>
      <c r="J34" s="79"/>
    </row>
    <row r="35" spans="1:10" ht="30" customHeight="1" thickBot="1" x14ac:dyDescent="0.25">
      <c r="A35" s="4"/>
      <c r="B35" s="63" t="s">
        <v>55</v>
      </c>
      <c r="C35" s="64"/>
      <c r="D35" s="64"/>
      <c r="E35" s="69" t="str">
        <f>_xlfn.IFS(E34&gt;=90%,"ممتاز",E34&gt;=80%,"جيد جداً",E34&gt;=70%,"جيد",E34&gt;=60%,"مقبول",E34&lt;60%,"راسب")</f>
        <v>جيد</v>
      </c>
      <c r="F35" s="69"/>
      <c r="G35" s="69"/>
      <c r="H35" s="69"/>
      <c r="I35" s="69"/>
      <c r="J35" s="70"/>
    </row>
    <row r="36" spans="1:10" ht="42" customHeight="1" x14ac:dyDescent="0.2">
      <c r="B36" s="65" t="s">
        <v>175</v>
      </c>
      <c r="C36" s="65"/>
      <c r="D36" s="65"/>
      <c r="E36" s="86" t="s">
        <v>52</v>
      </c>
      <c r="F36" s="86"/>
      <c r="G36" s="67" t="s">
        <v>101</v>
      </c>
      <c r="H36" s="67"/>
      <c r="I36" s="67"/>
      <c r="J36" s="67"/>
    </row>
    <row r="37" spans="1:10" ht="51" customHeight="1" x14ac:dyDescent="0.2">
      <c r="A37" s="5"/>
      <c r="B37" s="66"/>
      <c r="C37" s="66"/>
      <c r="D37" s="66"/>
      <c r="E37" s="87" t="s">
        <v>53</v>
      </c>
      <c r="F37" s="87"/>
      <c r="G37" s="68"/>
      <c r="H37" s="68"/>
      <c r="I37" s="68"/>
      <c r="J37" s="68"/>
    </row>
  </sheetData>
  <sheetProtection sheet="1" formatCells="0" formatColumns="0" formatRows="0" insertColumns="0" insertRows="0" insertHyperlinks="0" deleteColumns="0" deleteRows="0" selectLockedCells="1" sort="0" autoFilter="0" pivotTables="0"/>
  <mergeCells count="71">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8:D8"/>
    <mergeCell ref="B9:D9"/>
    <mergeCell ref="B10:D10"/>
    <mergeCell ref="B11:D11"/>
    <mergeCell ref="B12:D12"/>
    <mergeCell ref="B28:D28"/>
    <mergeCell ref="B29:D29"/>
    <mergeCell ref="B30:D30"/>
    <mergeCell ref="B23:D23"/>
    <mergeCell ref="B24:D24"/>
    <mergeCell ref="B25:D25"/>
    <mergeCell ref="B26:D26"/>
    <mergeCell ref="B27:D27"/>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60">
      <formula>$E35="جيد جداً"</formula>
    </cfRule>
    <cfRule type="expression" dxfId="12" priority="59">
      <formula>$E35="جيد"</formula>
    </cfRule>
    <cfRule type="expression" dxfId="11" priority="58">
      <formula>$E35="مقبول"</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10" operator="containsText" text="راسب">
      <formula>NOT(ISERROR(SEARCH("راسب",H8)))</formula>
    </cfRule>
    <cfRule type="containsText" dxfId="4" priority="9" operator="containsText" text="مقبول">
      <formula>NOT(ISERROR(SEARCH("مقبول",H8)))</formula>
    </cfRule>
    <cfRule type="containsText" dxfId="3" priority="8" operator="containsText" text="جيد">
      <formula>NOT(ISERROR(SEARCH("جيد",H8)))</formula>
    </cfRule>
    <cfRule type="containsText" dxfId="2" priority="7" operator="containsText" text="جيد جداً">
      <formula>NOT(ISERROR(SEARCH("جيد جداً",H8)))</formula>
    </cfRule>
    <cfRule type="containsText" dxfId="1" priority="6" operator="containsText" text="ممتاز">
      <formula>NOT(ISERROR(SEARCH("ممتاز",H8)))</formula>
    </cfRule>
    <cfRule type="containsText" dxfId="0" priority="5" operator="containsText" text="أدخل العلامة">
      <formula>NOT(ISERROR(SEARCH("أدخل العلامة",H8)))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20" t="s">
        <v>62</v>
      </c>
    </row>
    <row r="3" spans="1:3" ht="20.100000000000001" customHeight="1" thickBot="1" x14ac:dyDescent="0.3">
      <c r="A3" s="2" t="s">
        <v>26</v>
      </c>
      <c r="C3" s="20" t="s">
        <v>63</v>
      </c>
    </row>
    <row r="4" spans="1:3" ht="20.100000000000001" customHeight="1" thickBot="1" x14ac:dyDescent="0.3">
      <c r="A4" s="2" t="s">
        <v>36</v>
      </c>
      <c r="C4" s="20" t="s">
        <v>64</v>
      </c>
    </row>
    <row r="5" spans="1:3" ht="20.100000000000001" customHeight="1" thickBot="1" x14ac:dyDescent="0.3">
      <c r="A5" s="2" t="s">
        <v>37</v>
      </c>
      <c r="C5" s="20" t="s">
        <v>65</v>
      </c>
    </row>
    <row r="6" spans="1:3" ht="20.100000000000001" customHeight="1" thickBot="1" x14ac:dyDescent="0.3">
      <c r="A6" s="2" t="s">
        <v>38</v>
      </c>
      <c r="C6" s="20" t="s">
        <v>66</v>
      </c>
    </row>
    <row r="7" spans="1:3" ht="20.100000000000001" customHeight="1" thickBot="1" x14ac:dyDescent="0.3">
      <c r="A7" s="2" t="s">
        <v>39</v>
      </c>
      <c r="C7" s="20" t="s">
        <v>67</v>
      </c>
    </row>
    <row r="8" spans="1:3" ht="20.100000000000001" customHeight="1" thickBot="1" x14ac:dyDescent="0.3">
      <c r="A8" s="2" t="s">
        <v>40</v>
      </c>
      <c r="C8" s="20" t="s">
        <v>68</v>
      </c>
    </row>
    <row r="9" spans="1:3" ht="20.100000000000001" customHeight="1" thickBot="1" x14ac:dyDescent="0.3">
      <c r="A9" s="2" t="s">
        <v>41</v>
      </c>
      <c r="C9" s="20" t="s">
        <v>69</v>
      </c>
    </row>
    <row r="10" spans="1:3" ht="20.100000000000001" customHeight="1" thickBot="1" x14ac:dyDescent="0.3">
      <c r="A10" s="2" t="s">
        <v>42</v>
      </c>
      <c r="C10" s="20" t="s">
        <v>70</v>
      </c>
    </row>
    <row r="11" spans="1:3" ht="20.100000000000001" customHeight="1" thickBot="1" x14ac:dyDescent="0.3">
      <c r="A11" s="2" t="s">
        <v>43</v>
      </c>
      <c r="C11" s="20" t="s">
        <v>71</v>
      </c>
    </row>
    <row r="12" spans="1:3" ht="20.100000000000001" customHeight="1" thickBot="1" x14ac:dyDescent="0.3">
      <c r="A12" s="2" t="s">
        <v>44</v>
      </c>
      <c r="C12" s="20" t="s">
        <v>72</v>
      </c>
    </row>
    <row r="13" spans="1:3" ht="20.100000000000001" customHeight="1" thickBot="1" x14ac:dyDescent="0.3">
      <c r="A13" s="2" t="s">
        <v>45</v>
      </c>
      <c r="C13" s="20" t="s">
        <v>73</v>
      </c>
    </row>
    <row r="14" spans="1:3" ht="20.100000000000001" customHeight="1" thickBot="1" x14ac:dyDescent="0.3">
      <c r="A14" s="2" t="s">
        <v>46</v>
      </c>
      <c r="C14" s="20" t="s">
        <v>74</v>
      </c>
    </row>
    <row r="15" spans="1:3" ht="20.100000000000001" customHeight="1" thickBot="1" x14ac:dyDescent="0.3">
      <c r="A15" s="2" t="s">
        <v>47</v>
      </c>
      <c r="C15" s="20" t="s">
        <v>75</v>
      </c>
    </row>
    <row r="16" spans="1:3" ht="20.100000000000001" customHeight="1" thickBot="1" x14ac:dyDescent="0.3">
      <c r="A16" s="2" t="s">
        <v>10</v>
      </c>
      <c r="C16" s="20" t="s">
        <v>76</v>
      </c>
    </row>
    <row r="17" spans="1:3" ht="20.100000000000001" customHeight="1" thickBot="1" x14ac:dyDescent="0.3">
      <c r="A17" s="2" t="s">
        <v>27</v>
      </c>
      <c r="C17" s="20" t="s">
        <v>77</v>
      </c>
    </row>
    <row r="18" spans="1:3" ht="20.100000000000001" customHeight="1" thickBot="1" x14ac:dyDescent="0.3">
      <c r="A18" s="2" t="s">
        <v>48</v>
      </c>
      <c r="C18" s="20" t="s">
        <v>78</v>
      </c>
    </row>
    <row r="19" spans="1:3" ht="20.100000000000001" customHeight="1" thickBot="1" x14ac:dyDescent="0.3">
      <c r="A19" s="2" t="s">
        <v>49</v>
      </c>
      <c r="C19" s="20" t="s">
        <v>79</v>
      </c>
    </row>
    <row r="20" spans="1:3" ht="20.100000000000001" customHeight="1" thickBot="1" x14ac:dyDescent="0.3">
      <c r="A20" s="2" t="s">
        <v>50</v>
      </c>
      <c r="C20" s="20" t="s">
        <v>80</v>
      </c>
    </row>
    <row r="21" spans="1:3" ht="20.100000000000001" customHeight="1" thickBot="1" x14ac:dyDescent="0.3">
      <c r="A21" s="2" t="s">
        <v>51</v>
      </c>
      <c r="C21" s="20" t="s">
        <v>81</v>
      </c>
    </row>
    <row r="22" spans="1:3" ht="20.100000000000001" customHeight="1" thickBot="1" x14ac:dyDescent="0.3">
      <c r="A22" s="2" t="s">
        <v>11</v>
      </c>
      <c r="C22" s="20" t="s">
        <v>82</v>
      </c>
    </row>
    <row r="23" spans="1:3" ht="20.100000000000001" customHeight="1" thickBot="1" x14ac:dyDescent="0.3">
      <c r="A23" s="2" t="s">
        <v>12</v>
      </c>
      <c r="C23" s="20" t="s">
        <v>83</v>
      </c>
    </row>
    <row r="24" spans="1:3" ht="20.100000000000001" customHeight="1" thickBot="1" x14ac:dyDescent="0.3">
      <c r="A24" s="2" t="s">
        <v>15</v>
      </c>
      <c r="C24" s="20" t="s">
        <v>84</v>
      </c>
    </row>
    <row r="25" spans="1:3" ht="20.100000000000001" customHeight="1" thickBot="1" x14ac:dyDescent="0.3">
      <c r="A25" s="2" t="s">
        <v>28</v>
      </c>
      <c r="C25" s="20" t="s">
        <v>85</v>
      </c>
    </row>
    <row r="26" spans="1:3" ht="20.100000000000001" customHeight="1" thickBot="1" x14ac:dyDescent="0.3">
      <c r="A26" s="2" t="s">
        <v>29</v>
      </c>
      <c r="C26" s="20" t="s">
        <v>86</v>
      </c>
    </row>
    <row r="27" spans="1:3" ht="20.100000000000001" customHeight="1" thickBot="1" x14ac:dyDescent="0.3">
      <c r="A27" s="2" t="s">
        <v>13</v>
      </c>
      <c r="C27" s="20" t="s">
        <v>87</v>
      </c>
    </row>
    <row r="28" spans="1:3" ht="20.100000000000001" customHeight="1" thickBot="1" x14ac:dyDescent="0.3">
      <c r="A28" s="2" t="s">
        <v>30</v>
      </c>
      <c r="C28" s="20"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1" t="s">
        <v>89</v>
      </c>
    </row>
    <row r="200" spans="1:1" ht="20.100000000000001" customHeight="1" x14ac:dyDescent="0.2">
      <c r="A200" s="21" t="s">
        <v>90</v>
      </c>
    </row>
    <row r="201" spans="1:1" ht="20.100000000000001" customHeight="1" x14ac:dyDescent="0.2">
      <c r="A201" s="21" t="s">
        <v>91</v>
      </c>
    </row>
    <row r="202" spans="1:1" ht="20.100000000000001" customHeight="1" x14ac:dyDescent="0.2">
      <c r="A202" s="21" t="s">
        <v>92</v>
      </c>
    </row>
    <row r="203" spans="1:1" ht="20.100000000000001" customHeight="1" x14ac:dyDescent="0.2">
      <c r="A203" s="21" t="s">
        <v>93</v>
      </c>
    </row>
    <row r="204" spans="1:1" ht="20.100000000000001" customHeight="1" x14ac:dyDescent="0.2">
      <c r="A204" s="21" t="s">
        <v>94</v>
      </c>
    </row>
    <row r="205" spans="1:1" ht="20.100000000000001" customHeight="1" x14ac:dyDescent="0.2">
      <c r="A205" s="21" t="s">
        <v>95</v>
      </c>
    </row>
    <row r="206" spans="1:1" ht="20.100000000000001" customHeight="1" x14ac:dyDescent="0.2">
      <c r="A206" s="21" t="s">
        <v>96</v>
      </c>
    </row>
    <row r="207" spans="1:1" ht="20.100000000000001" customHeight="1" x14ac:dyDescent="0.2">
      <c r="A207" s="21" t="s">
        <v>97</v>
      </c>
    </row>
    <row r="208" spans="1:1" ht="20.100000000000001" customHeight="1" x14ac:dyDescent="0.2">
      <c r="A208" s="22" t="s">
        <v>98</v>
      </c>
    </row>
    <row r="209" spans="1:1" ht="20.100000000000001" customHeight="1" x14ac:dyDescent="0.2">
      <c r="A209" s="22" t="s">
        <v>99</v>
      </c>
    </row>
    <row r="210" spans="1:1" ht="20.100000000000001" customHeight="1" x14ac:dyDescent="0.2">
      <c r="A210" s="21" t="s">
        <v>100</v>
      </c>
    </row>
    <row r="211" spans="1:1" ht="20.100000000000001" customHeight="1" x14ac:dyDescent="0.2">
      <c r="A211" s="21" t="s">
        <v>101</v>
      </c>
    </row>
    <row r="212" spans="1:1" ht="20.100000000000001" customHeight="1" x14ac:dyDescent="0.2">
      <c r="A212" s="21" t="s">
        <v>102</v>
      </c>
    </row>
    <row r="213" spans="1:1" ht="20.100000000000001" customHeight="1" x14ac:dyDescent="0.2">
      <c r="A213" s="21" t="s">
        <v>103</v>
      </c>
    </row>
    <row r="214" spans="1:1" ht="20.100000000000001" customHeight="1" x14ac:dyDescent="0.2">
      <c r="A214" s="21" t="s">
        <v>104</v>
      </c>
    </row>
    <row r="215" spans="1:1" ht="20.100000000000001" customHeight="1" x14ac:dyDescent="0.2">
      <c r="A215" s="21" t="s">
        <v>105</v>
      </c>
    </row>
    <row r="216" spans="1:1" ht="20.100000000000001" customHeight="1" x14ac:dyDescent="0.2">
      <c r="A216" s="21" t="s">
        <v>106</v>
      </c>
    </row>
    <row r="217" spans="1:1" ht="20.100000000000001" customHeight="1" x14ac:dyDescent="0.2">
      <c r="A217" s="21" t="s">
        <v>107</v>
      </c>
    </row>
    <row r="218" spans="1:1" ht="20.100000000000001" customHeight="1" x14ac:dyDescent="0.2">
      <c r="A218" s="21" t="s">
        <v>108</v>
      </c>
    </row>
    <row r="219" spans="1:1" ht="20.100000000000001" customHeight="1" x14ac:dyDescent="0.2">
      <c r="A219" s="21" t="s">
        <v>109</v>
      </c>
    </row>
    <row r="220" spans="1:1" ht="20.100000000000001" customHeight="1" x14ac:dyDescent="0.2">
      <c r="A220" s="21" t="s">
        <v>110</v>
      </c>
    </row>
    <row r="221" spans="1:1" ht="20.100000000000001" customHeight="1" x14ac:dyDescent="0.2">
      <c r="A221" s="21" t="s">
        <v>111</v>
      </c>
    </row>
    <row r="222" spans="1:1" ht="20.100000000000001" customHeight="1" x14ac:dyDescent="0.2">
      <c r="A222" s="21" t="s">
        <v>112</v>
      </c>
    </row>
    <row r="223" spans="1:1" ht="20.100000000000001" customHeight="1" x14ac:dyDescent="0.2">
      <c r="A223" s="21" t="s">
        <v>113</v>
      </c>
    </row>
    <row r="224" spans="1:1" ht="20.100000000000001" customHeight="1" x14ac:dyDescent="0.2">
      <c r="A224" s="21" t="s">
        <v>114</v>
      </c>
    </row>
    <row r="225" spans="1:1" ht="20.100000000000001" customHeight="1" x14ac:dyDescent="0.2">
      <c r="A225" s="21" t="s">
        <v>115</v>
      </c>
    </row>
    <row r="226" spans="1:1" ht="20.100000000000001" customHeight="1" x14ac:dyDescent="0.2">
      <c r="A226" s="21" t="s">
        <v>116</v>
      </c>
    </row>
    <row r="227" spans="1:1" ht="20.100000000000001" customHeight="1" x14ac:dyDescent="0.2">
      <c r="A227" s="21" t="s">
        <v>117</v>
      </c>
    </row>
    <row r="228" spans="1:1" ht="20.100000000000001" customHeight="1" x14ac:dyDescent="0.2">
      <c r="A228" s="21" t="s">
        <v>118</v>
      </c>
    </row>
    <row r="229" spans="1:1" ht="20.100000000000001" customHeight="1" x14ac:dyDescent="0.2">
      <c r="A229" s="21" t="s">
        <v>119</v>
      </c>
    </row>
    <row r="230" spans="1:1" ht="20.100000000000001" customHeight="1" x14ac:dyDescent="0.2">
      <c r="A230" s="21" t="s">
        <v>120</v>
      </c>
    </row>
    <row r="231" spans="1:1" ht="20.100000000000001" customHeight="1" x14ac:dyDescent="0.2">
      <c r="A231" s="21" t="s">
        <v>121</v>
      </c>
    </row>
    <row r="232" spans="1:1" ht="20.100000000000001" customHeight="1" x14ac:dyDescent="0.2">
      <c r="A232" s="21" t="s">
        <v>122</v>
      </c>
    </row>
    <row r="233" spans="1:1" ht="20.100000000000001" customHeight="1" x14ac:dyDescent="0.2">
      <c r="A233" s="21" t="s">
        <v>123</v>
      </c>
    </row>
    <row r="234" spans="1:1" ht="20.100000000000001" customHeight="1" x14ac:dyDescent="0.2">
      <c r="A234" s="21" t="s">
        <v>124</v>
      </c>
    </row>
    <row r="235" spans="1:1" ht="20.100000000000001" customHeight="1" x14ac:dyDescent="0.2">
      <c r="A235" s="23" t="s">
        <v>125</v>
      </c>
    </row>
    <row r="236" spans="1:1" ht="20.100000000000001" customHeight="1" x14ac:dyDescent="0.2">
      <c r="A236" s="21" t="s">
        <v>126</v>
      </c>
    </row>
    <row r="237" spans="1:1" ht="20.100000000000001" customHeight="1" x14ac:dyDescent="0.2">
      <c r="A237" s="21" t="s">
        <v>127</v>
      </c>
    </row>
    <row r="238" spans="1:1" ht="20.100000000000001" customHeight="1" x14ac:dyDescent="0.2">
      <c r="A238" s="21" t="s">
        <v>128</v>
      </c>
    </row>
    <row r="239" spans="1:1" ht="20.100000000000001" customHeight="1" x14ac:dyDescent="0.2">
      <c r="A239" s="21" t="s">
        <v>129</v>
      </c>
    </row>
    <row r="240" spans="1:1" ht="20.100000000000001" customHeight="1" x14ac:dyDescent="0.2">
      <c r="A240" s="21" t="s">
        <v>130</v>
      </c>
    </row>
    <row r="241" spans="1:1" ht="20.100000000000001" customHeight="1" x14ac:dyDescent="0.2">
      <c r="A241" s="21" t="s">
        <v>131</v>
      </c>
    </row>
    <row r="242" spans="1:1" ht="20.100000000000001" customHeight="1" x14ac:dyDescent="0.2">
      <c r="A242" s="21" t="s">
        <v>132</v>
      </c>
    </row>
    <row r="243" spans="1:1" ht="20.100000000000001" customHeight="1" x14ac:dyDescent="0.2">
      <c r="A243" s="21" t="s">
        <v>133</v>
      </c>
    </row>
    <row r="244" spans="1:1" ht="20.100000000000001" customHeight="1" x14ac:dyDescent="0.2">
      <c r="A244" s="21" t="s">
        <v>134</v>
      </c>
    </row>
    <row r="245" spans="1:1" ht="20.100000000000001" customHeight="1" x14ac:dyDescent="0.2">
      <c r="A245" s="21" t="s">
        <v>135</v>
      </c>
    </row>
    <row r="246" spans="1:1" ht="20.100000000000001" customHeight="1" x14ac:dyDescent="0.2">
      <c r="A246" s="21" t="s">
        <v>136</v>
      </c>
    </row>
    <row r="247" spans="1:1" ht="20.100000000000001" customHeight="1" x14ac:dyDescent="0.2">
      <c r="A247" s="21" t="s">
        <v>127</v>
      </c>
    </row>
    <row r="248" spans="1:1" ht="20.100000000000001" customHeight="1" x14ac:dyDescent="0.2">
      <c r="A248" s="21" t="s">
        <v>137</v>
      </c>
    </row>
    <row r="249" spans="1:1" ht="20.100000000000001" customHeight="1" x14ac:dyDescent="0.2">
      <c r="A249" s="21" t="s">
        <v>138</v>
      </c>
    </row>
    <row r="250" spans="1:1" ht="20.100000000000001" customHeight="1" x14ac:dyDescent="0.2">
      <c r="A250" s="23" t="s">
        <v>139</v>
      </c>
    </row>
    <row r="251" spans="1:1" ht="20.100000000000001" customHeight="1" x14ac:dyDescent="0.2">
      <c r="A251" s="24" t="s">
        <v>140</v>
      </c>
    </row>
    <row r="252" spans="1:1" ht="20.100000000000001" customHeight="1" x14ac:dyDescent="0.2">
      <c r="A252" s="21" t="s">
        <v>141</v>
      </c>
    </row>
    <row r="253" spans="1:1" ht="20.100000000000001" customHeight="1" x14ac:dyDescent="0.2">
      <c r="A253" s="21" t="s">
        <v>142</v>
      </c>
    </row>
    <row r="254" spans="1:1" ht="20.100000000000001" customHeight="1" x14ac:dyDescent="0.2">
      <c r="A254" s="25" t="s">
        <v>143</v>
      </c>
    </row>
    <row r="255" spans="1:1" ht="20.100000000000001" customHeight="1" x14ac:dyDescent="0.2">
      <c r="A255" s="25" t="s">
        <v>144</v>
      </c>
    </row>
    <row r="256" spans="1:1" ht="20.100000000000001" customHeight="1" x14ac:dyDescent="0.2">
      <c r="A256" s="26" t="s">
        <v>145</v>
      </c>
    </row>
    <row r="257" spans="1:1" ht="20.100000000000001" customHeight="1" x14ac:dyDescent="0.2">
      <c r="A257" s="21" t="s">
        <v>146</v>
      </c>
    </row>
    <row r="258" spans="1:1" ht="20.100000000000001" customHeight="1" x14ac:dyDescent="0.2">
      <c r="A258" s="26" t="s">
        <v>147</v>
      </c>
    </row>
    <row r="259" spans="1:1" ht="20.100000000000001" customHeight="1" x14ac:dyDescent="0.2">
      <c r="A259" s="21" t="s">
        <v>148</v>
      </c>
    </row>
    <row r="260" spans="1:1" ht="20.100000000000001" customHeight="1" x14ac:dyDescent="0.2">
      <c r="A260" s="26" t="s">
        <v>149</v>
      </c>
    </row>
    <row r="261" spans="1:1" ht="20.100000000000001" customHeight="1" x14ac:dyDescent="0.2">
      <c r="A261" s="21" t="s">
        <v>150</v>
      </c>
    </row>
    <row r="262" spans="1:1" ht="20.100000000000001" customHeight="1" x14ac:dyDescent="0.2">
      <c r="A262" s="21" t="s">
        <v>151</v>
      </c>
    </row>
    <row r="263" spans="1:1" ht="20.100000000000001" customHeight="1" x14ac:dyDescent="0.2">
      <c r="A263" s="26" t="s">
        <v>152</v>
      </c>
    </row>
    <row r="264" spans="1:1" ht="20.100000000000001" customHeight="1" x14ac:dyDescent="0.2">
      <c r="A264" s="26" t="s">
        <v>153</v>
      </c>
    </row>
    <row r="265" spans="1:1" ht="20.100000000000001" customHeight="1" x14ac:dyDescent="0.2">
      <c r="A265" s="26" t="s">
        <v>154</v>
      </c>
    </row>
    <row r="266" spans="1:1" ht="20.100000000000001" customHeight="1" x14ac:dyDescent="0.2">
      <c r="A266" s="21" t="s">
        <v>155</v>
      </c>
    </row>
    <row r="267" spans="1:1" ht="20.100000000000001" customHeight="1" x14ac:dyDescent="0.2">
      <c r="A267" s="21" t="s">
        <v>156</v>
      </c>
    </row>
    <row r="268" spans="1:1" ht="20.100000000000001" customHeight="1" x14ac:dyDescent="0.2">
      <c r="A268" s="21" t="s">
        <v>157</v>
      </c>
    </row>
    <row r="269" spans="1:1" ht="20.100000000000001" customHeight="1" x14ac:dyDescent="0.2">
      <c r="A269" s="21" t="s">
        <v>158</v>
      </c>
    </row>
    <row r="270" spans="1:1" ht="20.100000000000001" customHeight="1" x14ac:dyDescent="0.2">
      <c r="A270" s="26" t="s">
        <v>159</v>
      </c>
    </row>
    <row r="271" spans="1:1" ht="20.100000000000001" customHeight="1" x14ac:dyDescent="0.2">
      <c r="A271" s="26" t="s">
        <v>160</v>
      </c>
    </row>
    <row r="272" spans="1:1" ht="20.100000000000001" customHeight="1" x14ac:dyDescent="0.2">
      <c r="A272" s="21" t="s">
        <v>161</v>
      </c>
    </row>
    <row r="273" spans="1:1" ht="20.100000000000001" customHeight="1" x14ac:dyDescent="0.2">
      <c r="A273" s="26" t="s">
        <v>162</v>
      </c>
    </row>
    <row r="274" spans="1:1" ht="20.100000000000001" customHeight="1" x14ac:dyDescent="0.2">
      <c r="A274" s="26" t="s">
        <v>163</v>
      </c>
    </row>
    <row r="275" spans="1:1" ht="20.100000000000001" customHeight="1" x14ac:dyDescent="0.2">
      <c r="A275" s="21" t="s">
        <v>164</v>
      </c>
    </row>
    <row r="276" spans="1:1" ht="20.100000000000001" customHeight="1" x14ac:dyDescent="0.2">
      <c r="A276" s="21" t="s">
        <v>165</v>
      </c>
    </row>
    <row r="277" spans="1:1" ht="20.100000000000001" customHeight="1" x14ac:dyDescent="0.2">
      <c r="A277" s="26" t="s">
        <v>166</v>
      </c>
    </row>
    <row r="278" spans="1:1" ht="20.100000000000001" customHeight="1" x14ac:dyDescent="0.2">
      <c r="A278" s="21" t="s">
        <v>167</v>
      </c>
    </row>
    <row r="279" spans="1:1" ht="20.100000000000001" customHeight="1" x14ac:dyDescent="0.2">
      <c r="A279" s="21" t="s">
        <v>168</v>
      </c>
    </row>
    <row r="280" spans="1:1" ht="20.100000000000001" customHeight="1" x14ac:dyDescent="0.2">
      <c r="A280" s="21" t="s">
        <v>169</v>
      </c>
    </row>
    <row r="281" spans="1:1" ht="20.100000000000001" customHeight="1" x14ac:dyDescent="0.2">
      <c r="A281" s="21" t="s">
        <v>170</v>
      </c>
    </row>
    <row r="282" spans="1:1" ht="20.100000000000001" customHeight="1" x14ac:dyDescent="0.2">
      <c r="A282" s="26" t="s">
        <v>171</v>
      </c>
    </row>
    <row r="283" spans="1:1" ht="20.100000000000001" customHeight="1" x14ac:dyDescent="0.2">
      <c r="A283" s="26" t="s">
        <v>172</v>
      </c>
    </row>
    <row r="284" spans="1:1" ht="20.100000000000001" customHeight="1" x14ac:dyDescent="0.2">
      <c r="A284" s="26" t="s">
        <v>173</v>
      </c>
    </row>
    <row r="285" spans="1:1" ht="20.100000000000001" customHeight="1" thickBot="1" x14ac:dyDescent="0.25">
      <c r="A285" s="21"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2025-10-22T04:13:12Z</dcterms:modified>
</cp:coreProperties>
</file>