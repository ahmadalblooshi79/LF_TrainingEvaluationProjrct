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filterPrivacy="1" codeName="ThisWorkbook"/>
  <xr:revisionPtr revIDLastSave="0" documentId="13_ncr:1000001_{AB1A69EB-71C0-A941-848E-C361E96C412A}" xr6:coauthVersionLast="47" xr6:coauthVersionMax="47" xr10:uidLastSave="{00000000-0000-0000-0000-000000000000}"/>
  <bookViews>
    <workbookView xWindow="-105" yWindow="-105" windowWidth="23250" windowHeight="12570" xr2:uid="{00000000-000D-0000-FFFF-FFFF00000000}"/>
  </bookViews>
  <sheets>
    <sheet name="قائمة التقييم" sheetId="2" r:id="rId1"/>
    <sheet name="بيانات التقييم" sheetId="4" r:id="rId2"/>
  </sheets>
  <definedNames>
    <definedName name="_Hlk189049083" localSheetId="0">'قائمة التقييم'!#REF!</definedName>
    <definedName name="_Hlk189049123" localSheetId="0">'قائمة التقييم'!$B$3</definedName>
    <definedName name="_xlnm.Print_Area" localSheetId="0">'قائمة التقييم'!$A$1:$J$60</definedName>
    <definedName name="_xlnm.Print_Titles" localSheetId="0">'قائمة التقييم'!$7:$7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0" i="2" l="1"/>
  <c r="H10" i="2"/>
  <c r="G11" i="2"/>
  <c r="H11" i="2"/>
  <c r="G12" i="2"/>
  <c r="H12" i="2"/>
  <c r="G14" i="2"/>
  <c r="H14" i="2"/>
  <c r="G15" i="2"/>
  <c r="H15" i="2"/>
  <c r="G16" i="2"/>
  <c r="H16" i="2"/>
  <c r="G17" i="2"/>
  <c r="H17" i="2"/>
  <c r="G18" i="2"/>
  <c r="H18" i="2"/>
  <c r="G19" i="2"/>
  <c r="H19" i="2"/>
  <c r="G21" i="2"/>
  <c r="H21" i="2"/>
  <c r="G22" i="2"/>
  <c r="H22" i="2"/>
  <c r="G23" i="2"/>
  <c r="H23" i="2"/>
  <c r="G24" i="2"/>
  <c r="H24" i="2"/>
  <c r="G25" i="2"/>
  <c r="H25" i="2"/>
  <c r="G28" i="2"/>
  <c r="H28" i="2"/>
  <c r="G29" i="2"/>
  <c r="H29" i="2"/>
  <c r="G30" i="2"/>
  <c r="H30" i="2"/>
  <c r="G31" i="2"/>
  <c r="H31" i="2"/>
  <c r="G33" i="2"/>
  <c r="H33" i="2"/>
  <c r="G34" i="2"/>
  <c r="H34" i="2"/>
  <c r="G35" i="2"/>
  <c r="H35" i="2"/>
  <c r="G36" i="2"/>
  <c r="H36" i="2"/>
  <c r="G37" i="2"/>
  <c r="H37" i="2"/>
  <c r="G38" i="2"/>
  <c r="H38" i="2"/>
  <c r="G41" i="2"/>
  <c r="H41" i="2"/>
  <c r="G42" i="2"/>
  <c r="H42" i="2"/>
  <c r="G43" i="2"/>
  <c r="H43" i="2"/>
  <c r="G44" i="2"/>
  <c r="H44" i="2"/>
  <c r="G45" i="2"/>
  <c r="H45" i="2"/>
  <c r="G46" i="2"/>
  <c r="H46" i="2"/>
  <c r="G48" i="2"/>
  <c r="H48" i="2"/>
  <c r="G49" i="2"/>
  <c r="H49" i="2"/>
  <c r="G50" i="2"/>
  <c r="H50" i="2"/>
  <c r="G51" i="2"/>
  <c r="H51" i="2"/>
  <c r="G52" i="2"/>
  <c r="H52" i="2"/>
  <c r="G53" i="2"/>
  <c r="H53" i="2"/>
  <c r="G54" i="2"/>
  <c r="H54" i="2"/>
  <c r="G55" i="2"/>
  <c r="H55" i="2"/>
  <c r="F56" i="2"/>
  <c r="E56" i="2"/>
  <c r="E57" i="2"/>
  <c r="E58" i="2"/>
</calcChain>
</file>

<file path=xl/sharedStrings.xml><?xml version="1.0" encoding="utf-8"?>
<sst xmlns="http://schemas.openxmlformats.org/spreadsheetml/2006/main" count="281" uniqueCount="225">
  <si>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</si>
  <si>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</si>
  <si>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</si>
  <si>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</si>
  <si>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</si>
  <si>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</si>
  <si>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</si>
  <si>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</si>
  <si>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</si>
  <si>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</si>
  <si>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</si>
  <si>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</si>
  <si>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</si>
  <si>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</si>
  <si>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</si>
  <si>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</si>
  <si>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</si>
  <si>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</si>
  <si>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</si>
  <si>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</si>
  <si>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</si>
  <si>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</si>
  <si>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</si>
  <si>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</si>
  <si>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</si>
  <si>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</si>
  <si>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</si>
  <si>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</si>
  <si>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</si>
  <si>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</si>
  <si>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</si>
  <si>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</si>
  <si>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</si>
  <si>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</si>
  <si>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</si>
  <si>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</si>
  <si>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</si>
  <si>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</si>
  <si>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</si>
  <si>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</si>
  <si>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</si>
  <si>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</si>
  <si>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</si>
  <si>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</si>
  <si>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</si>
  <si>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</si>
  <si>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</si>
  <si>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</si>
  <si>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</si>
  <si>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</si>
  <si>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</si>
  <si>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</si>
  <si>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</si>
  <si>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</si>
  <si>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</si>
  <si>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</si>
  <si>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</si>
  <si>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</si>
  <si>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</si>
  <si>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</si>
  <si>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</si>
  <si>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أدخل العلامة</t>
  </si>
  <si>
    <t>عميد ركن / راشد حمد مفتاح النيادي</t>
  </si>
  <si>
    <t xml:space="preserve"> عقيد ركن / جمعة محمد جمعة الصريدي</t>
  </si>
  <si>
    <t xml:space="preserve"> عقيد ركن / عتيق الزفنة العفاري</t>
  </si>
  <si>
    <t>رائد / أحمد محمد الظهوري</t>
  </si>
  <si>
    <t>مقدم / عبدالله سعيد الشامسي</t>
  </si>
  <si>
    <t xml:space="preserve"> نقيب / سعيد أحمد الشحي</t>
  </si>
  <si>
    <t>عقيد ركن / محمد سعيد الكتبي</t>
  </si>
  <si>
    <t>نقيب / راشد الطيب النعيمي</t>
  </si>
  <si>
    <t>نقيب / حمدان سالمين العامري</t>
  </si>
  <si>
    <t>رائد/ عبدالله سيف الغفلي</t>
  </si>
  <si>
    <t>نقيب / حمد محمد الشامسي</t>
  </si>
  <si>
    <t>رائد/ سعيد مبارك الكتبي</t>
  </si>
  <si>
    <t>ملازم 2 / علي ابراهيم النعيمي</t>
  </si>
  <si>
    <t>رائد/ محمد عمران الكتبي</t>
  </si>
  <si>
    <t>نقيب / محمد سعيد الكعبي</t>
  </si>
  <si>
    <t>عقيد ركن / علي راشد اليماحي</t>
  </si>
  <si>
    <t>نقيب / ماجد عبدالله البلوشي</t>
  </si>
  <si>
    <t>ملازم 1 / حمد طارش الكعبي</t>
  </si>
  <si>
    <t>رائد/ سالم سلطان الكتبي</t>
  </si>
  <si>
    <t>مقدم ركن / محمد عبدالله الشحي</t>
  </si>
  <si>
    <t>رائد/ محمد عبدالرحمن الطنيجي</t>
  </si>
  <si>
    <t>رائد/ محمد راشد المزروعي</t>
  </si>
  <si>
    <t>رائد/ محمد سعيد الظنحاني</t>
  </si>
  <si>
    <t>مقدم ركن / علي حسن الحمادي</t>
  </si>
  <si>
    <t>ملازم 1 / علي ناصر المقدمي</t>
  </si>
  <si>
    <t>نقيب / حمد سعيد الشهياري</t>
  </si>
  <si>
    <t>ملازم 1 / سعود محمد الطياري</t>
  </si>
  <si>
    <t xml:space="preserve">عميد ركن / حمد علي جمعة الشحي </t>
  </si>
  <si>
    <t>عقيد ركن / خليفة بن هويدن الكتبي</t>
  </si>
  <si>
    <t>عقيد ركن / راشد محمد عبيد الظنحاني</t>
  </si>
  <si>
    <t>عقيد ركن / حميد محمد عبيد الدرعي</t>
  </si>
  <si>
    <t>عقيد ركن / سلطان راشد بالرشاد الشامسي</t>
  </si>
  <si>
    <t>عقيد ركن / احمد سليمان علي المعمري</t>
  </si>
  <si>
    <t>عقيد ركن / علي الرضه كمادي المهيري</t>
  </si>
  <si>
    <t>عقيد ركن / خليل احمد سليمان العنتلي</t>
  </si>
  <si>
    <t xml:space="preserve">عقيد ركن / سعود صالح  راشدالظاهري </t>
  </si>
  <si>
    <t>عقيد / سالم محمد سعيد العفاري</t>
  </si>
  <si>
    <t xml:space="preserve">مقدم ركن / خادم سيف المنصوري </t>
  </si>
  <si>
    <t>مقدم ركن / مصبح مفتاح علي الخاطري</t>
  </si>
  <si>
    <t>مقدم ركن / حمد راشد سليمان الزيودي</t>
  </si>
  <si>
    <t>مقدم / محمد عبدالرحمن الرميثي</t>
  </si>
  <si>
    <t xml:space="preserve">مقدم / علي سيف حامد الطنيجي </t>
  </si>
  <si>
    <t>مقدم / خليفة عبدالله سلطان السويدي</t>
  </si>
  <si>
    <t>مقدم / سالم القرين علي العامري</t>
  </si>
  <si>
    <t>مقدم / محمد عبدالرحمن جاسم الرميثي</t>
  </si>
  <si>
    <t xml:space="preserve">مقدم / سعيد محمد سالم  العامري </t>
  </si>
  <si>
    <t xml:space="preserve">مقدم / جابر محمد خاتم الشامسي </t>
  </si>
  <si>
    <t xml:space="preserve">مقدم / مصبح حارب المنصوري </t>
  </si>
  <si>
    <t>مقدم / عبدالله محمد سلطان الحبسي</t>
  </si>
  <si>
    <t>مقدم طبيب / محمد عيسى الرميثي</t>
  </si>
  <si>
    <t>رائد / احمد علي عبدالله الحوسني</t>
  </si>
  <si>
    <t xml:space="preserve">رائد / راشد ضاوي  راشدالطنيجي </t>
  </si>
  <si>
    <t xml:space="preserve">رائد / عبدالله مطر عبيد الكتبي </t>
  </si>
  <si>
    <t xml:space="preserve">رائد / خليفة مصبح الدهماني </t>
  </si>
  <si>
    <t>رائد / أحمد هلال سيف الزعابي</t>
  </si>
  <si>
    <t xml:space="preserve">رائد / سيف حمود محمد الشامسي </t>
  </si>
  <si>
    <t>رائد / عبدالناصر أحمد عبدالله  آل نصور</t>
  </si>
  <si>
    <t>رائد / حمدان محمد الكعبي</t>
  </si>
  <si>
    <t>رائد / سلطان سيف حميد بن سميط</t>
  </si>
  <si>
    <t xml:space="preserve">رائد / هلال سعيد ضبيب الدرعي </t>
  </si>
  <si>
    <t xml:space="preserve">رائد / سعيد إبراهيم المرزوقي </t>
  </si>
  <si>
    <t>رائد / أحمد عبدالكريم محمد</t>
  </si>
  <si>
    <t xml:space="preserve">رائد / جمعة محمد مسعود المزروعي </t>
  </si>
  <si>
    <t xml:space="preserve">رائد / خليفة مصبح علي الدهماني </t>
  </si>
  <si>
    <t xml:space="preserve">رائد / محمد خليفة حميد النعيمي </t>
  </si>
  <si>
    <t xml:space="preserve">نقيب / محمد سعيد الكعبي </t>
  </si>
  <si>
    <t>نقيب / ناصر حمد سليم التميمي</t>
  </si>
  <si>
    <t xml:space="preserve">نقيب / سعيد مصبح  محمد الغفلي </t>
  </si>
  <si>
    <t xml:space="preserve">نقيب / أحمد حمد حمود الدرعي </t>
  </si>
  <si>
    <t>نقيب / سالم جمعة محمد الكتبي</t>
  </si>
  <si>
    <t xml:space="preserve">نقيب / عمران راشد عبيد الكتبي </t>
  </si>
  <si>
    <t>نقيب / محمد جاسم محمد النقبي</t>
  </si>
  <si>
    <t>نقيب / بلاع سالم الدوده العامري</t>
  </si>
  <si>
    <t>نقيب / عبدالله علي سعيد الصريدي</t>
  </si>
  <si>
    <t>نقيب / عبدالله علي سليمان الزعابي</t>
  </si>
  <si>
    <t>نقيب / يوسف خليفه سعيد الكتبي</t>
  </si>
  <si>
    <t>نقيب بحري / سالم محمد جمعة الصريدي</t>
  </si>
  <si>
    <t xml:space="preserve">نقيب طبيب / حميد عبدالله خميس الكندي </t>
  </si>
  <si>
    <t xml:space="preserve">نقيب طيار / ناصر ظافر دشن الاحبابي </t>
  </si>
  <si>
    <t xml:space="preserve">ملازم 1 / مطر احمد الكلباني </t>
  </si>
  <si>
    <t>ملازم 1 / حمد هلال خليفة الكتبي</t>
  </si>
  <si>
    <t>ملازم / مايد عبدالله الزيودي</t>
  </si>
  <si>
    <t>وكيل/1 - خالد عبدالله التميمي</t>
  </si>
  <si>
    <t>وكيل/1 - سعيد راشد عبيد السدراني</t>
  </si>
  <si>
    <t xml:space="preserve">وكيل/1 - سمير إبراهيم المازمي </t>
  </si>
  <si>
    <t>وكيل/1 - فايز سعيد صالح العامري</t>
  </si>
  <si>
    <t xml:space="preserve">وكيل/1 - فهد سبت النعيمي </t>
  </si>
  <si>
    <t xml:space="preserve">وكيل/1 - مرزوق سالم مرزوق الزحمي </t>
  </si>
  <si>
    <t>وكيل/1 - سيف سعيد سالم اليماحي</t>
  </si>
  <si>
    <t xml:space="preserve">وكيل/1 - فيصل علي الاميري </t>
  </si>
  <si>
    <t>وكيل/1 - داوود درويش محمد الشحي</t>
  </si>
  <si>
    <t>وكيل/1 - محمد عبدالله سالم الزيدي</t>
  </si>
  <si>
    <t xml:space="preserve">وكيل/1 - حمد حسن علي القايدي </t>
  </si>
  <si>
    <t xml:space="preserve">وكيل/1 - خالد محمد الشحي </t>
  </si>
  <si>
    <t xml:space="preserve">وكيل/1 - عبدالله سعيد الكلباني </t>
  </si>
  <si>
    <t>وكيل/1 - علي مسلم الكتبي</t>
  </si>
  <si>
    <t xml:space="preserve">وكيل/1 - عمر أحمد مختار </t>
  </si>
  <si>
    <t xml:space="preserve">وكيل/ احمد سالمين سالم الشنيني </t>
  </si>
  <si>
    <t xml:space="preserve">وكيل/ أحمد سعيد حمد الشامسي </t>
  </si>
  <si>
    <t>وكيل/ علي عبدالله الصريدي</t>
  </si>
  <si>
    <t>وكيل/ محمد عمر سالم الخنبشي</t>
  </si>
  <si>
    <t xml:space="preserve">وكيل/ وليد مرزوق مسعود العلوي </t>
  </si>
  <si>
    <t xml:space="preserve">وكيل/ علي محمد عبدالله النقبي </t>
  </si>
  <si>
    <t>وكيل/ فهد علي سليمان الشحي</t>
  </si>
  <si>
    <t>وكيل/ محمد حميد عبيد الزعابي</t>
  </si>
  <si>
    <t xml:space="preserve">وكيل/ محمد علي الحمادي </t>
  </si>
  <si>
    <t>رقيب/1 - حامد سعيد شماريخ</t>
  </si>
  <si>
    <t xml:space="preserve">رقيب/1 - علي حميد علي الكندي </t>
  </si>
  <si>
    <t>رقيب/1 - فايز عيسى عبدالله البلوشي</t>
  </si>
  <si>
    <t xml:space="preserve">رقيب/1 - محمد جمعة محمد المنصوري </t>
  </si>
  <si>
    <t>رقيب/1 - محمد يوسف احمد ال علي</t>
  </si>
  <si>
    <t xml:space="preserve">رقيب / حسن علي سلطان ال علي </t>
  </si>
  <si>
    <t xml:space="preserve">رقيب / عوض محمد الكثيري </t>
  </si>
  <si>
    <r>
      <t>ملاحظـــات:</t>
    </r>
    <r>
      <rPr>
        <sz val="14"/>
        <color rgb="FF000000"/>
        <rFont val="Arial"/>
        <family val="2"/>
      </rPr>
      <t xml:space="preserve"> 
1. تقييم مستوى الوحدة من خلال مراقبة الآداء أو طرح الأسئلة.
2. يعتبر هذا النموذج (سري للغاية) بعد إدخال علامات التقييم.
3. نموذج التقييم قابل للتطوير والتعديل.</t>
    </r>
  </si>
  <si>
    <t>إجراءات التخطيط.</t>
  </si>
  <si>
    <r>
      <t>1.</t>
    </r>
    <r>
      <rPr>
        <sz val="7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 xml:space="preserve">تستلم قيادة الكتيبة/ مجموعة القتال الأوامر من المستوى الأعلى وتقوم بما يلي: </t>
    </r>
  </si>
  <si>
    <t>أ. البدء بالتخطيط من خلال إجراءات المعركة الثمانية.</t>
  </si>
  <si>
    <t>ب. تنفيذ الاستطلاع من الخارطة.</t>
  </si>
  <si>
    <t xml:space="preserve">جـ. تنفيذ التحضير الاستخباري لميدان المعركة. </t>
  </si>
  <si>
    <t>د. إعداد وتطوير خطة المناورة لتشمل ما يلي:</t>
  </si>
  <si>
    <t>(1) التجميع للواجب بما يتلاءم مع المهمة.</t>
  </si>
  <si>
    <t>(2) استخدام قوة الاستطلاع وتركيزها على إيجاد مواقع العدو.</t>
  </si>
  <si>
    <t>(3) استخدام تشكيلات الحركة التي تُمكِّن الكتيبة/ مجموعة القتال من الانفتاح بسرعة والهجوم من أي اتجاه، وأن تكون الوحدات ضمن مسافات إسناد بعضها البعض لتسهيل رد الفعل.</t>
  </si>
  <si>
    <t xml:space="preserve">(4) الحصول على التماس مع العدو بأصغر قوة ممكنة والمحافظة على حماية القوة. </t>
  </si>
  <si>
    <t>(5) المحافظة على إمكانية حشد النيران بسرعة من أي اتجاه.</t>
  </si>
  <si>
    <t>هـ. وضع إجراءات السيطرة المناسبة.</t>
  </si>
  <si>
    <t>و. تنسيق ومزامنة الوظائف القتالية التالية بناءً على متغيرات المهمة كما يلي:</t>
  </si>
  <si>
    <t>(1) إسناد النيران غير المباشرة.</t>
  </si>
  <si>
    <t>(2)  الإسناد الهندسي مع خطة المناورة.</t>
  </si>
  <si>
    <t>(3) إسناد الدفاع الجوي عند توفيره للكتيبة/ مجموعة القتال.</t>
  </si>
  <si>
    <t>(4) الإسناد الإداري قبل وأثناء العملية.</t>
  </si>
  <si>
    <t>ز. إصدار أمر العمليات للوحدات المرؤوسة.</t>
  </si>
  <si>
    <t>إجراءات التحضير.</t>
  </si>
  <si>
    <r>
      <t>1.</t>
    </r>
    <r>
      <rPr>
        <sz val="7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تقوم قيادة الكتيبة/ مجموعة القتال بالإشراف على الوحدات المرؤوسة أثناء تحضيرها للتقدم للتماس. تقوم قيادة الكتيبة/ مجموعة القتال الإجراءات التالية:</t>
    </r>
  </si>
  <si>
    <t>أ. تنقيح الخطة بناءً على التحديث المستمر للمعلومات الاستخبارية.</t>
  </si>
  <si>
    <t>ب. تنفيذ الاستطلاع الواسع.</t>
  </si>
  <si>
    <t>جـ. التنسيق مع الوحدات المجاورة.</t>
  </si>
  <si>
    <t>د. الإشراف على عملية التخطيط والتحضير للوحدات المرؤوسة لضمان أن التخطيط والتحضير يتماشى مع قصد القائد.</t>
  </si>
  <si>
    <r>
      <t>2.</t>
    </r>
    <r>
      <rPr>
        <sz val="7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إجراء التجارب على تنفيذ المهمة لتشمل ما يلي:</t>
    </r>
  </si>
  <si>
    <t>أ. أسلوب الحركة والتشكيلات.</t>
  </si>
  <si>
    <t>ب. الإجراءات عند التماس.</t>
  </si>
  <si>
    <t>جـ. الإجراءات عند الإبلاغ وتجاوز قوة العدو (بناءً على معايير التجاوز).</t>
  </si>
  <si>
    <t>د. إجراءات التعامل مع الموانع.</t>
  </si>
  <si>
    <t>هـ. إجراءات التحول للهجوم عند التماس مع العدو.</t>
  </si>
  <si>
    <r>
      <t>3.</t>
    </r>
    <r>
      <rPr>
        <sz val="7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توضيع القوات لبدء الحركة حسب دورها في الخطة.</t>
    </r>
  </si>
  <si>
    <t>إجراءات التنفيذ.</t>
  </si>
  <si>
    <r>
      <t>1.</t>
    </r>
    <r>
      <rPr>
        <sz val="7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الحركة من منطقة التجمع حسب الأولوية والخطة الموضوعة كما يلي:</t>
    </r>
  </si>
  <si>
    <t>أ. بدء حركة عناصر حرس المقدمة وحسب التوقيتات في أمر العمليات.</t>
  </si>
  <si>
    <t>ب. حركة الجسم الرئيسي وحرس الأجنحة وحرس المؤخرة حسب خطة المناورة (التشكيلة وأسلوب الحركة والطرق).</t>
  </si>
  <si>
    <t>جـ. تموضع وحدة الإسناد الهندسي حسب الخطة.</t>
  </si>
  <si>
    <t>د. حركة وحدات الإسناد الناري حسب الخطة.</t>
  </si>
  <si>
    <t>هـ. حركة وتموضع قيادة الكتيبة/ مجموعة القتال.</t>
  </si>
  <si>
    <t>و. حركة الإسناد الإداري حسب الخطة.</t>
  </si>
  <si>
    <r>
      <t>2.</t>
    </r>
    <r>
      <rPr>
        <sz val="7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تطبيق إجراءات العمل عند التماس مع العدو كما يلي:</t>
    </r>
  </si>
  <si>
    <t>أ. الرد على العدو.</t>
  </si>
  <si>
    <t>ب. إبلاغ المستوى الأعلى بحصول التماس.</t>
  </si>
  <si>
    <t>جـ. تطوير الموقف.</t>
  </si>
  <si>
    <t>د. اتخاذ القرار للتعامل مع قوات العدو حسب الخيارات المتوفرة (الهجوم، التجاوز، الدفاع السريع).</t>
  </si>
  <si>
    <t>هـ. تنفيذ المناورة المناسبة لتنفيذ العمل الممكن.</t>
  </si>
  <si>
    <t>و. تقديم الإسناد الهندسي حسب الموقف.</t>
  </si>
  <si>
    <t>ز. تقديم الإسناد الناري حسب الموقف.</t>
  </si>
  <si>
    <t>ح. التقيد بقواعد الاشتباك.</t>
  </si>
  <si>
    <r>
      <rPr>
        <b/>
        <sz val="14"/>
        <color rgb="FF000000"/>
        <rFont val="Arial"/>
        <family val="2"/>
      </rPr>
      <t>تقييم الكتيبة/ مجموعة القتال في تنفيذ التقدم للتماس</t>
    </r>
    <r>
      <rPr>
        <b/>
        <u/>
        <sz val="14"/>
        <color rgb="FF000000"/>
        <rFont val="Arial"/>
        <family val="2"/>
      </rPr>
      <t xml:space="preserve">
تمرين جاهزية مجموعة لواء الإمارات/1 (جندي الصحراء 2025/20)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</si>
</sst>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6" x14ac:knownFonts="1">
    <font>
      <sz val="11"/>
      <color theme="1"/>
      <name val="Calibri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Calibri"/>
      <family val="2"/>
      <scheme val="minor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4"/>
      <color rgb="FF000000"/>
      <name val="Arial"/>
      <family val="2"/>
    </font>
    <font>
      <sz val="16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2"/>
      <name val="Calibri"/>
      <family val="2"/>
      <scheme val="minor"/>
    </font>
    <font>
      <sz val="10"/>
      <color theme="1"/>
      <name val="Calibri Light"/>
      <family val="2"/>
    </font>
    <font>
      <sz val="12"/>
      <color rgb="FF000000"/>
      <name val="Arial"/>
      <family val="2"/>
    </font>
    <font>
      <sz val="7"/>
      <color rgb="FF00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27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6">
    <xf numFmtId="0" fontId="0" fillId="0" borderId="0" xfId="0"/>
    <xf numFmtId="0" fontId="0" fillId="0" borderId="0" xfId="0" applyProtection="1">
      <protection locked="0"/>
    </xf>
    <xf numFmtId="0" fontId="4" fillId="0" borderId="2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Border="1" applyAlignment="1" applyProtection="1">
      <alignment vertical="center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Alignment="1" applyProtection="1">
      <alignment vertical="center" wrapText="1" readingOrder="2"/>
      <protection locked="0"/>
    </xf>
    <xf numFmtId="0" fontId="6" fillId="0" borderId="0" xfId="0" applyFont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3" xfId="0" applyFont="1" applyBorder="1" applyAlignment="1">
      <alignment horizontal="center" vertical="center" wrapText="1" readingOrder="2"/>
    </xf>
    <xf numFmtId="0" fontId="3" fillId="2" borderId="0" xfId="0" applyFont="1" applyFill="1" applyBorder="1" applyAlignment="1" applyProtection="1">
      <alignment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3" xfId="0" applyFont="1" applyFill="1" applyBorder="1" applyAlignment="1" applyProtection="1">
      <alignment vertical="center" wrapText="1" readingOrder="2"/>
      <protection locked="0"/>
    </xf>
    <xf numFmtId="164" fontId="4" fillId="0" borderId="2" xfId="0" applyNumberFormat="1" applyFont="1" applyBorder="1" applyAlignment="1" applyProtection="1">
      <alignment horizontal="center" vertical="center" wrapText="1" readingOrder="2"/>
      <protection locked="0"/>
    </xf>
    <xf numFmtId="164" fontId="4" fillId="0" borderId="0" xfId="0" applyNumberFormat="1" applyFont="1" applyBorder="1" applyAlignment="1" applyProtection="1">
      <alignment horizontal="center" vertical="center" wrapText="1" readingOrder="2"/>
      <protection locked="0"/>
    </xf>
    <xf numFmtId="164" fontId="4" fillId="3" borderId="0" xfId="0" applyNumberFormat="1" applyFont="1" applyFill="1" applyBorder="1" applyAlignment="1" applyProtection="1">
      <alignment horizontal="center" vertical="center" wrapText="1" readingOrder="2"/>
      <protection locked="0"/>
    </xf>
    <xf numFmtId="0" fontId="0" fillId="3" borderId="0" xfId="0" applyFill="1" applyProtection="1">
      <protection locked="0"/>
    </xf>
    <xf numFmtId="0" fontId="0" fillId="3" borderId="0" xfId="0" applyFill="1"/>
    <xf numFmtId="0" fontId="4" fillId="0" borderId="0" xfId="0" applyFont="1" applyBorder="1" applyAlignment="1" applyProtection="1">
      <alignment horizontal="center" vertical="center" wrapText="1" readingOrder="2"/>
      <protection locked="0"/>
    </xf>
    <xf numFmtId="0" fontId="9" fillId="0" borderId="3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14" xfId="0" applyFont="1" applyBorder="1" applyAlignment="1">
      <alignment horizontal="center" vertical="center"/>
    </xf>
    <xf numFmtId="0" fontId="11" fillId="0" borderId="3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6" fillId="4" borderId="17" xfId="0" applyFont="1" applyFill="1" applyBorder="1" applyAlignment="1" applyProtection="1">
      <alignment horizontal="center" vertical="center" wrapText="1" readingOrder="2"/>
      <protection locked="0"/>
    </xf>
    <xf numFmtId="0" fontId="2" fillId="0" borderId="20" xfId="0" applyFont="1" applyBorder="1" applyAlignment="1">
      <alignment horizontal="center" vertical="center" wrapText="1" readingOrder="2"/>
    </xf>
    <xf numFmtId="0" fontId="13" fillId="0" borderId="3" xfId="0" applyFont="1" applyBorder="1" applyAlignment="1">
      <alignment vertical="center" wrapText="1"/>
    </xf>
    <xf numFmtId="9" fontId="3" fillId="0" borderId="3" xfId="0" applyNumberFormat="1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1"/>
    </xf>
    <xf numFmtId="0" fontId="2" fillId="0" borderId="12" xfId="0" applyFont="1" applyBorder="1" applyAlignment="1">
      <alignment horizontal="center" vertical="center" wrapText="1" readingOrder="2"/>
    </xf>
    <xf numFmtId="9" fontId="3" fillId="0" borderId="12" xfId="0" applyNumberFormat="1" applyFont="1" applyBorder="1" applyAlignment="1">
      <alignment horizontal="center" vertical="center" wrapText="1" readingOrder="2"/>
    </xf>
    <xf numFmtId="0" fontId="2" fillId="0" borderId="12" xfId="0" applyFont="1" applyBorder="1" applyAlignment="1">
      <alignment horizontal="center" vertical="center" wrapText="1" readingOrder="1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49" fontId="5" fillId="0" borderId="0" xfId="0" applyNumberFormat="1" applyFont="1" applyAlignment="1" applyProtection="1">
      <alignment horizontal="center" vertical="top" wrapText="1" readingOrder="2"/>
      <protection locked="0"/>
    </xf>
    <xf numFmtId="164" fontId="6" fillId="0" borderId="3" xfId="0" applyNumberFormat="1" applyFont="1" applyBorder="1" applyAlignment="1" applyProtection="1">
      <alignment horizontal="right" vertical="center" wrapText="1" readingOrder="2"/>
      <protection locked="0"/>
    </xf>
    <xf numFmtId="0" fontId="7" fillId="4" borderId="5" xfId="0" applyFont="1" applyFill="1" applyBorder="1" applyAlignment="1" applyProtection="1">
      <alignment horizontal="center" vertical="center" wrapText="1" readingOrder="2"/>
      <protection locked="0"/>
    </xf>
    <xf numFmtId="0" fontId="7" fillId="4" borderId="4" xfId="0" applyFont="1" applyFill="1" applyBorder="1" applyAlignment="1" applyProtection="1">
      <alignment horizontal="center" vertical="center" wrapText="1" readingOrder="2"/>
      <protection locked="0"/>
    </xf>
    <xf numFmtId="0" fontId="7" fillId="4" borderId="11" xfId="0" applyFont="1" applyFill="1" applyBorder="1" applyAlignment="1" applyProtection="1">
      <alignment horizontal="center" vertical="center" wrapText="1" readingOrder="2"/>
      <protection locked="0"/>
    </xf>
    <xf numFmtId="0" fontId="7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0" borderId="3" xfId="0" applyFont="1" applyBorder="1" applyAlignment="1" applyProtection="1">
      <alignment horizontal="right" vertical="center" wrapText="1" readingOrder="2"/>
      <protection locked="0"/>
    </xf>
    <xf numFmtId="10" fontId="2" fillId="0" borderId="9" xfId="0" applyNumberFormat="1" applyFont="1" applyBorder="1" applyAlignment="1">
      <alignment horizontal="center" vertical="center" wrapText="1" readingOrder="2"/>
    </xf>
    <xf numFmtId="10" fontId="2" fillId="0" borderId="10" xfId="0" applyNumberFormat="1" applyFont="1" applyBorder="1" applyAlignment="1">
      <alignment horizontal="center" vertical="center" wrapText="1" readingOrder="2"/>
    </xf>
    <xf numFmtId="0" fontId="7" fillId="4" borderId="16" xfId="0" applyFont="1" applyFill="1" applyBorder="1" applyAlignment="1" applyProtection="1">
      <alignment horizontal="center" vertical="center" wrapText="1" readingOrder="2"/>
      <protection locked="0"/>
    </xf>
    <xf numFmtId="0" fontId="7" fillId="4" borderId="17" xfId="0" applyFont="1" applyFill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3" fillId="0" borderId="13" xfId="0" applyFont="1" applyBorder="1" applyAlignment="1" applyProtection="1">
      <alignment horizontal="center" vertical="center" wrapText="1" readingOrder="2"/>
      <protection locked="0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7" xfId="0" applyFont="1" applyBorder="1" applyAlignment="1" applyProtection="1">
      <alignment horizontal="center" vertical="center" wrapText="1" readingOrder="2"/>
      <protection locked="0"/>
    </xf>
    <xf numFmtId="0" fontId="6" fillId="4" borderId="4" xfId="0" applyFont="1" applyFill="1" applyBorder="1" applyAlignment="1" applyProtection="1">
      <alignment horizontal="center" vertical="center" wrapText="1" readingOrder="2"/>
      <protection locked="0"/>
    </xf>
    <xf numFmtId="0" fontId="6" fillId="4" borderId="6" xfId="0" applyFont="1" applyFill="1" applyBorder="1" applyAlignment="1" applyProtection="1">
      <alignment horizontal="center"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13" xfId="0" applyFont="1" applyFill="1" applyBorder="1" applyAlignment="1" applyProtection="1">
      <alignment horizontal="center" vertical="center" wrapText="1" readingOrder="2"/>
      <protection locked="0"/>
    </xf>
    <xf numFmtId="0" fontId="6" fillId="4" borderId="17" xfId="0" applyFont="1" applyFill="1" applyBorder="1" applyAlignment="1" applyProtection="1">
      <alignment horizontal="center" vertical="center" wrapText="1" readingOrder="2"/>
      <protection locked="0"/>
    </xf>
    <xf numFmtId="0" fontId="6" fillId="4" borderId="18" xfId="0" applyFont="1" applyFill="1" applyBorder="1" applyAlignment="1" applyProtection="1">
      <alignment horizontal="center" vertical="center" wrapText="1" readingOrder="2"/>
      <protection locked="0"/>
    </xf>
    <xf numFmtId="0" fontId="5" fillId="0" borderId="1" xfId="0" applyFont="1" applyBorder="1" applyAlignment="1" applyProtection="1">
      <alignment vertical="top" wrapText="1" readingOrder="2"/>
      <protection locked="0"/>
    </xf>
    <xf numFmtId="0" fontId="5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Border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2" fillId="0" borderId="10" xfId="0" applyFont="1" applyBorder="1" applyAlignment="1">
      <alignment horizontal="center" vertical="center" wrapText="1" readingOrder="1"/>
    </xf>
    <xf numFmtId="0" fontId="6" fillId="0" borderId="1" xfId="0" applyFont="1" applyBorder="1" applyAlignment="1" applyProtection="1">
      <alignment horizontal="left" vertical="center" wrapText="1" readingOrder="2"/>
      <protection locked="0"/>
    </xf>
    <xf numFmtId="0" fontId="6" fillId="0" borderId="0" xfId="0" applyFont="1" applyAlignment="1" applyProtection="1">
      <alignment horizontal="left" vertical="center" wrapText="1" readingOrder="2"/>
      <protection locked="0"/>
    </xf>
    <xf numFmtId="0" fontId="2" fillId="0" borderId="21" xfId="0" applyFont="1" applyBorder="1" applyAlignment="1">
      <alignment horizontal="center" vertical="center" wrapText="1" readingOrder="2"/>
    </xf>
    <xf numFmtId="0" fontId="2" fillId="0" borderId="15" xfId="0" applyFont="1" applyBorder="1" applyAlignment="1">
      <alignment horizontal="center" vertical="center" wrapText="1" readingOrder="2"/>
    </xf>
    <xf numFmtId="0" fontId="2" fillId="0" borderId="22" xfId="0" applyFont="1" applyBorder="1" applyAlignment="1">
      <alignment horizontal="center" vertical="center" wrapText="1" readingOrder="2"/>
    </xf>
    <xf numFmtId="0" fontId="6" fillId="4" borderId="19" xfId="0" applyFont="1" applyFill="1" applyBorder="1" applyAlignment="1" applyProtection="1">
      <alignment horizontal="center" vertical="center" wrapText="1" readingOrder="2"/>
      <protection locked="0"/>
    </xf>
    <xf numFmtId="0" fontId="6" fillId="4" borderId="20" xfId="0" applyFont="1" applyFill="1" applyBorder="1" applyAlignment="1" applyProtection="1">
      <alignment horizontal="center" vertical="center" wrapText="1" readingOrder="2"/>
      <protection locked="0"/>
    </xf>
    <xf numFmtId="0" fontId="6" fillId="4" borderId="8" xfId="0" applyFont="1" applyFill="1" applyBorder="1" applyAlignment="1" applyProtection="1">
      <alignment horizontal="center" vertical="center" wrapText="1" readingOrder="2"/>
      <protection locked="0"/>
    </xf>
    <xf numFmtId="0" fontId="6" fillId="4" borderId="9" xfId="0" applyFont="1" applyFill="1" applyBorder="1" applyAlignment="1" applyProtection="1">
      <alignment horizontal="center" vertical="center" wrapText="1" readingOrder="2"/>
      <protection locked="0"/>
    </xf>
    <xf numFmtId="0" fontId="14" fillId="0" borderId="23" xfId="0" applyFont="1" applyBorder="1" applyAlignment="1">
      <alignment horizontal="right" vertical="center" wrapText="1" readingOrder="2"/>
    </xf>
    <xf numFmtId="0" fontId="14" fillId="0" borderId="3" xfId="0" applyFont="1" applyBorder="1" applyAlignment="1">
      <alignment horizontal="right" vertical="center" wrapText="1" readingOrder="2"/>
    </xf>
    <xf numFmtId="0" fontId="14" fillId="0" borderId="23" xfId="0" applyFont="1" applyBorder="1" applyAlignment="1">
      <alignment horizontal="right" vertical="center" wrapText="1" indent="2" readingOrder="2"/>
    </xf>
    <xf numFmtId="0" fontId="14" fillId="0" borderId="3" xfId="0" applyFont="1" applyBorder="1" applyAlignment="1">
      <alignment horizontal="right" vertical="center" wrapText="1" indent="2" readingOrder="2"/>
    </xf>
    <xf numFmtId="0" fontId="14" fillId="0" borderId="23" xfId="0" applyFont="1" applyBorder="1" applyAlignment="1">
      <alignment horizontal="right" vertical="center" wrapText="1" indent="4" readingOrder="2"/>
    </xf>
    <xf numFmtId="0" fontId="14" fillId="0" borderId="3" xfId="0" applyFont="1" applyBorder="1" applyAlignment="1">
      <alignment horizontal="right" vertical="center" wrapText="1" indent="4" readingOrder="2"/>
    </xf>
    <xf numFmtId="0" fontId="14" fillId="0" borderId="11" xfId="0" applyFont="1" applyBorder="1" applyAlignment="1">
      <alignment horizontal="right" vertical="center" wrapText="1" indent="2" readingOrder="2"/>
    </xf>
    <xf numFmtId="0" fontId="14" fillId="0" borderId="12" xfId="0" applyFont="1" applyBorder="1" applyAlignment="1">
      <alignment horizontal="right" vertical="center" wrapText="1" indent="2" readingOrder="2"/>
    </xf>
    <xf numFmtId="0" fontId="1" fillId="5" borderId="24" xfId="0" applyFont="1" applyFill="1" applyBorder="1" applyAlignment="1">
      <alignment horizontal="right" vertical="center" wrapText="1" readingOrder="2"/>
    </xf>
    <xf numFmtId="0" fontId="1" fillId="5" borderId="25" xfId="0" applyFont="1" applyFill="1" applyBorder="1" applyAlignment="1">
      <alignment horizontal="right" vertical="center" wrapText="1" readingOrder="2"/>
    </xf>
    <xf numFmtId="0" fontId="1" fillId="5" borderId="26" xfId="0" applyFont="1" applyFill="1" applyBorder="1" applyAlignment="1">
      <alignment horizontal="right" vertical="center" wrapText="1" readingOrder="2"/>
    </xf>
    <xf numFmtId="0" fontId="14" fillId="0" borderId="11" xfId="0" applyFont="1" applyBorder="1" applyAlignment="1">
      <alignment horizontal="right" vertical="center" wrapText="1" readingOrder="2"/>
    </xf>
    <xf numFmtId="0" fontId="14" fillId="0" borderId="12" xfId="0" applyFont="1" applyBorder="1" applyAlignment="1">
      <alignment horizontal="right" vertical="center" wrapText="1" readingOrder="2"/>
    </xf>
  </cellXfs>
  <cellStyles count="1">
    <cellStyle name="Normal" xfId="0" builtinId="0"/>
  </cellStyles>
  <dxfs count="24"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theme="1"/>
      </font>
      <fill>
        <patternFill>
          <bgColor rgb="FF00B0F0"/>
        </patternFill>
      </fill>
    </dxf>
    <dxf>
      <fill>
        <patternFill>
          <bgColor rgb="FF00CC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theme="8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calcChain" Target="calcChain.xml" /><Relationship Id="rId5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 /><Relationship Id="rId1" Type="http://schemas.openxmlformats.org/officeDocument/2006/relationships/customXml" Target="../ink/ink1.xml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372705</xdr:colOff>
      <xdr:row>57</xdr:row>
      <xdr:rowOff>86105</xdr:rowOff>
    </xdr:from>
    <xdr:to>
      <xdr:col>9</xdr:col>
      <xdr:colOff>360074</xdr:colOff>
      <xdr:row>60</xdr:row>
      <xdr:rowOff>180948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7301464F-5EC0-387C-5FF4-D16C03365EAB}"/>
                </a:ext>
              </a:extLst>
            </xdr14:cNvPr>
            <xdr14:cNvContentPartPr/>
          </xdr14:nvContentPartPr>
          <xdr14:nvPr macro=""/>
          <xdr14:xfrm>
            <a:off x="10398226745" y="28141560"/>
            <a:ext cx="1961640" cy="1653480"/>
          </xdr14:xfrm>
        </xdr:contentPart>
      </mc:Choice>
      <mc:Fallback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7301464F-5EC0-387C-5FF4-D16C03365EAB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0398217745" y="28132920"/>
              <a:ext cx="1979280" cy="167112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7T18:26:21.424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3673 4486 15067,'0'0'0,"-4"-13"5889,1 0-4489,3 13-1400,-12-14 544,7 3-168,5 8-63,0-2-105,0 5-208,0-4 216,0-9 16,0 9-200,0-10-16,0 14-16,-2-13-32,0 0-48,-1-1 192,-2 0-112,5 14 0,-5-17 64,5 0 88,-12-2 168,10 1 296,2 18-616,-5-19 568,-4 1-48,4 1-136,2-2 40,3 19-424,-12-18 440,8 1 17,-8 0-97,7 0-72,5 17-288,-15-17 272,3-2-96,10-1 24,-13-1 56,15 21-256,-12-21 80,10-2 104,-3-3-32,-7-1-72,12 27-80,-2-27 0,-3-1 24,-7 2 104,12 1-160,0 25 32,-2-25 184,-3 0-136,2 1-560,-2-2 512,5 26 0,-2-25 112,-12 0-208,11 0 376,-2-1-312,5 26 32,-12-27-320,12-1 40,0-1-328,-2 2 552,2 27 56,-2-28 88,2 2 168,0 1 832,0 2-808,0 23-280,0-20 296,-3 2 0,3 1-200,-5 2 0,5 15-96,-2-11 184,2 7-72,-2-11-208,2 11 320,0 4-224,0-11-96,0 8 224,0 0-112,0-1-16,0 4 0,0-3 128,0 0-128,-5 0 128,2 1-176,3 2 48,0-5 48,-2 1-112,2 1 176,0 0-144,0 3 32,0-3-80,0 1 64,0-1-96,0 0 240,0 3-128,-2-3 32,2 3 80,0-3-80,0 0-48,0 3 16,0 0-64,0-2 80,0-1-144,0 0 64,0 3 64,0 0 176,0-3-208,0 0 288,2 0-272,-2 3 16,0-2 144,5-1-160,12-2 65,-3-6-49,-14 11 0,12-4 0,10-9 0,-1 9 0,3-13 0,-24 17 0,29-15 0,5 1 0,0-1 0,7-4 0,-41 19 0,48-18 0,2-4 0,8-2 0,2-1 0,-60 25 0,60-27 0,5 0 0,5 1 0,2-1 0,-72 27 0,82-27-81,-5 0-175,5-2 368,-1 1 96,-81 28-208,84-30-48,1 0-256,-1 3 48,-5-1 272,-79 28-16,77-26-320,-5 1 56,1 2 424,-11 3-304,-62 20 144,63-17 344,-6 1 360,-6 4-575,-3 0-129,-48 12 0,41-4 0,-8-10 0,-4 14 0,-5-4 0,-24 4 0,20-3 0,-11 3 0,-4 0 0,-3 0 0,-2 0 0,-4 4 0,-16 7 0,-4 2 0,24-13 0,-26 17 0,-17 4 0,-3 5 0,-7 4-113,53-30 113,-63 33-512,-1 2 120,-9 4 200,-6 2 128,79-41 64,-84 45 312,-10 6 184,-2 3-144,-10 6-239,106-60-113,-108 63 0,-13 2 0,-1 3 0,-8 1 0,130-69 0,-132 72-33,-1 1-495,1-1-312,-3 2 672,135-74 168,-132 75-440,-5-1 288,9-1 696,1-1-560,127-72 16,-123 70 504,3-2-144,5-4-8,6-7-304,109-57-48,-103 51-432,9-4-168,12-6 184,10-4 184,72-37 232,-62 30-32,14-3 80,7-7-176,7-3 48,34-17 80,-22 13-120,3-9 72,14 0-8,-7 1-72,12-5 128,0 0 80,0 0-48,5-3-96,0-2 96,-5 5-32,12-17 88,5 0 72,0-5-8,9-7-72,-26 29-80,31-31 104,5-5-8,8-3 56,1-1-72,-45 40-80,56-41 0,-6-2 200,1 2-120,-1-1 232,-50 42-312,51-39 144,2 2-160,-5 1 144,-5 5-192,-43 31 64,39-27 64,-11 3-128,-1 5 48,-6 5-64,-21 14 80,17-13-104,-5 9-56,-7-7 0,-2 11 64,-3 0 56,0 0 40,0 0 120,-5 0-72,-5 1 0,-2 3 0,12-4-48,-5 12 16,-16-7 32,-3 15 64,-8 2-40,32-22-72,-36 27 112,-7 4-64,2 4-16,-14 5-16,55-40-16,-56 40-224,-6 1-136,-3-2 128,65-39 232,-60 35-176,0 1 224,2-1 80,3-1-80,-3 0 104,58-34-152,-53 30 16,7-3-152,-2-4 8,48-23 128,-36 20-296,-2-6 216,6-2 144,16-10 32,16-2-96,-20 3 16,20-3 32,0-3-32,0-9-80,5-7 80,-5 19-16,17-23-48,2-5 144,10-8 24,-29 36-120,31-38 280,8-2-24,-8 0-120,5 2-24,-36 38-112,39-34 0,-11 4-32,-1 4 32,-3 4-32,-7 3 16,-17 19 16,17-13 80,-3 2-96,-12 11 48,1 0-48,-3 0 16,2 0-64,-2 0 0,-2 6 48,-3 9 0,5-15 16,-14 16 0,-1 1 128,-4 2-160,5-1 64,14-18-32,-17 19-80,2-2-56,1-2 136,2-1 32,12-14-32,-12 12 48,9-7-24,-13 8 24,11-10-96,5-3 48,-3 4 64,1-2-48,2-1 0,0-1-32,0 0 16,0 0 48,0 0-16,0-3 16,0-1 48,0 4-96,2-13-48,1 9 160,9-13-144,-10 6 64,-2 11-32,5-12 32,0 1-128,-3 7 112,3-9 48,-5 13-64,2-3 64,1-1-32,-1-1 16,-2 1 32,0 4-80,0-3 80,0 1-16,0-1-96,0 3-80,0 0 112,0-3-64,0 3 96,0 0-80,0-3 112,0 3-64,0-3 32,3 0-192,-1 3 240,-2-3-128,0 3 48,0 0 16,0-2 96,2 2-96,1 0-16,-3 0 0,0 0 16,0-3 0,2 3 32,-2 0-16,0 0-32,3 0-112,-3 0 128,0 0 16,0 0 128,0 0-160,0 0 48,0 0-64,0 0-32,0 0-64,0 0 240,0-3-192,0 3 240,0-3-143,-5 0-82,5 3 49,0-3 16,0 1-160,0-3 144,0-6 64,0 11-64,0-3 113,0-10-113,0 9 0,-5-10 0,5 14 0,0-12 0,-2 1 0,2 7 0,0-13 0,0 17 0,0-5 0,0-7 0,0 7 0,0 1-33,0 4 33,0-4-80,-3 0 193,-9 1-113,10 0 0,2 3 0,-5 0 0,-9-3 0,9 3 0,-15-3 0,20 3 0,-16 0 0,-1 0 0,-5 0 0,-2-3 0,24 3 0,-29-2 0,-4-3 0,-8-8 0,-5 2 0,46 11 0,-55-13 0,-3-2 0,-14-4-129,-3-2 129,75 21 0,-86-24-144,-8-3-64,-5-5 160,-2-3-112,101 35 160,-106-41-160,-4-6 192,-1-7-112,53 22 368,58 32-288,-67-41 368,0-6-127,-13-14-241,6-7 0,74 68 0,-77-84 0,7-8 0,-5-19 0,10-10 0,65 121 0,-48-128 0,19-13 0,17-6 0,17-11 0,-5 158 0,32-165 0,16-6 0,38-26 0,104-140 0,-190 337 0,214-290 0,8 54 0,-32 79 0,17 17 0,-207 140 0,214-130 0,2 17 0,-4 15 0,-3 15 0,-209 83 0,192-64 0,-9 20 0,-12 20 0,-24 24 0,-147 0 0,125 18 0,-24 26 0,-22 20 0,-21 25 0,-58-89 0,38 109 0,-21 19 0,-17 21 0,-31 22 0,31-171 0,-55 192 0,-18 17 0,-13 10 0,-10 5 0,96-224 0,-106 229 0,-5 0 0,-9 0 0,0 0-145,120-229 145,-123 227-640,0-4 120,8-2 456,-5-8 400,120-213-336,-113 200-336,2-8 200,10-13-536,-3-12-352,104-167 1024,-98 156-2121,-1-14-5584,-4-3-5426,103-139 13131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 /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J60"/>
  <sheetViews>
    <sheetView rightToLeft="1" tabSelected="1" view="pageBreakPreview" topLeftCell="C47" zoomScale="130" zoomScaleNormal="100" zoomScaleSheetLayoutView="130" workbookViewId="0">
      <selection activeCell="G60" sqref="G60:J60"/>
    </sheetView>
  </sheetViews>
  <sheetFormatPr defaultColWidth="9.01171875" defaultRowHeight="15" x14ac:dyDescent="0.2"/>
  <cols>
    <col min="1" max="1" width="5.109375" style="1" customWidth="1"/>
    <col min="2" max="2" width="12.10546875" style="1" customWidth="1"/>
    <col min="3" max="3" width="9.01171875" style="1"/>
    <col min="4" max="4" width="28.11328125" style="1" customWidth="1"/>
    <col min="5" max="7" width="9.28125" style="1" customWidth="1"/>
    <col min="8" max="8" width="9.28125" style="3" customWidth="1"/>
    <col min="9" max="9" width="9.28125" style="1" customWidth="1"/>
    <col min="10" max="10" width="15.46875" style="1" customWidth="1"/>
    <col min="11" max="16384" width="9.01171875" style="1"/>
  </cols>
  <sheetData>
    <row r="1" spans="1:10" ht="45" customHeight="1" x14ac:dyDescent="0.2">
      <c r="B1" s="37" t="s">
        <v>224</v>
      </c>
      <c r="C1" s="37"/>
      <c r="D1" s="37"/>
      <c r="E1" s="37"/>
      <c r="F1" s="37"/>
      <c r="G1" s="37"/>
      <c r="H1" s="37"/>
      <c r="I1" s="37"/>
      <c r="J1" s="37"/>
    </row>
    <row r="2" spans="1:10" ht="30" customHeight="1" x14ac:dyDescent="0.2">
      <c r="B2" s="12" t="s">
        <v>8</v>
      </c>
      <c r="C2" s="43" t="s">
        <v>37</v>
      </c>
      <c r="D2" s="43"/>
      <c r="E2" s="12" t="s">
        <v>7</v>
      </c>
      <c r="F2" s="38">
        <v>45953</v>
      </c>
      <c r="G2" s="38"/>
      <c r="H2" s="38"/>
      <c r="I2" s="38"/>
      <c r="J2" s="38"/>
    </row>
    <row r="3" spans="1:10" ht="30" customHeight="1" x14ac:dyDescent="0.2">
      <c r="B3" s="12" t="s">
        <v>9</v>
      </c>
      <c r="C3" s="43" t="s">
        <v>77</v>
      </c>
      <c r="D3" s="43"/>
      <c r="E3" s="12" t="s">
        <v>6</v>
      </c>
      <c r="F3" s="43" t="s">
        <v>101</v>
      </c>
      <c r="G3" s="43"/>
      <c r="H3" s="43"/>
      <c r="I3" s="43"/>
      <c r="J3" s="43"/>
    </row>
    <row r="4" spans="1:10" ht="30" customHeight="1" thickBot="1" x14ac:dyDescent="0.25">
      <c r="B4" s="6"/>
      <c r="C4" s="7"/>
      <c r="D4" s="7"/>
      <c r="E4" s="6"/>
      <c r="F4" s="7"/>
      <c r="G4" s="7"/>
      <c r="H4" s="8"/>
      <c r="I4" s="7"/>
      <c r="J4" s="7"/>
    </row>
    <row r="5" spans="1:10" ht="24.95" customHeight="1" x14ac:dyDescent="0.2">
      <c r="A5" s="10"/>
      <c r="B5" s="39" t="s">
        <v>0</v>
      </c>
      <c r="C5" s="40"/>
      <c r="D5" s="40"/>
      <c r="E5" s="52" t="s">
        <v>1</v>
      </c>
      <c r="F5" s="52"/>
      <c r="G5" s="52"/>
      <c r="H5" s="52"/>
      <c r="I5" s="52" t="s">
        <v>2</v>
      </c>
      <c r="J5" s="53"/>
    </row>
    <row r="6" spans="1:10" ht="24.95" customHeight="1" thickBot="1" x14ac:dyDescent="0.25">
      <c r="A6" s="10"/>
      <c r="B6" s="41"/>
      <c r="C6" s="42"/>
      <c r="D6" s="42"/>
      <c r="E6" s="11" t="s">
        <v>3</v>
      </c>
      <c r="F6" s="11" t="s">
        <v>4</v>
      </c>
      <c r="G6" s="11" t="s">
        <v>23</v>
      </c>
      <c r="H6" s="11" t="s">
        <v>24</v>
      </c>
      <c r="I6" s="54"/>
      <c r="J6" s="55"/>
    </row>
    <row r="7" spans="1:10" ht="24.95" customHeight="1" thickBot="1" x14ac:dyDescent="0.25">
      <c r="A7" s="10"/>
      <c r="B7" s="46" t="s">
        <v>21</v>
      </c>
      <c r="C7" s="47"/>
      <c r="D7" s="47"/>
      <c r="E7" s="28" t="s">
        <v>18</v>
      </c>
      <c r="F7" s="28" t="s">
        <v>19</v>
      </c>
      <c r="G7" s="28" t="s">
        <v>22</v>
      </c>
      <c r="H7" s="28" t="s">
        <v>20</v>
      </c>
      <c r="I7" s="56" t="s">
        <v>25</v>
      </c>
      <c r="J7" s="57"/>
    </row>
    <row r="8" spans="1:10" ht="39.950000000000003" customHeight="1" x14ac:dyDescent="0.2">
      <c r="A8" s="10"/>
      <c r="B8" s="81" t="s">
        <v>176</v>
      </c>
      <c r="C8" s="82"/>
      <c r="D8" s="82"/>
      <c r="E8" s="82"/>
      <c r="F8" s="82"/>
      <c r="G8" s="82"/>
      <c r="H8" s="82"/>
      <c r="I8" s="82"/>
      <c r="J8" s="83"/>
    </row>
    <row r="9" spans="1:10" ht="39.950000000000003" customHeight="1" x14ac:dyDescent="0.2">
      <c r="A9" s="10"/>
      <c r="B9" s="73" t="s">
        <v>177</v>
      </c>
      <c r="C9" s="74"/>
      <c r="D9" s="74"/>
      <c r="E9" s="30"/>
      <c r="F9" s="26"/>
      <c r="G9" s="31"/>
      <c r="H9" s="32"/>
      <c r="I9" s="50"/>
      <c r="J9" s="51"/>
    </row>
    <row r="10" spans="1:10" ht="39.950000000000003" customHeight="1" x14ac:dyDescent="0.2">
      <c r="A10" s="10"/>
      <c r="B10" s="75" t="s">
        <v>178</v>
      </c>
      <c r="C10" s="76"/>
      <c r="D10" s="76"/>
      <c r="E10" s="9">
        <v>5</v>
      </c>
      <c r="F10" s="26">
        <v>3.5</v>
      </c>
      <c r="G10" s="31">
        <f t="shared" ref="G10:G55" si="0">IFERROR(F10/E10,"")</f>
        <v>0.7</v>
      </c>
      <c r="H10" s="32" t="str">
        <f t="shared" ref="H10:H55" si="1">_xlfn.IFS(F10="أدخل العلامة","",F10="لا ينطبق","تم الإلغاء",G10&gt;=90%,"ممتاز",G10&gt;=80%,"جيد جداً",G10&gt;=70%,"جيد",G10&gt;=60%,"مقبول",G10&lt;60%,"راسب")</f>
        <v>جيد</v>
      </c>
      <c r="I10" s="50"/>
      <c r="J10" s="51"/>
    </row>
    <row r="11" spans="1:10" ht="39.950000000000003" customHeight="1" x14ac:dyDescent="0.2">
      <c r="A11" s="10"/>
      <c r="B11" s="75" t="s">
        <v>179</v>
      </c>
      <c r="C11" s="76"/>
      <c r="D11" s="76"/>
      <c r="E11" s="9">
        <v>5</v>
      </c>
      <c r="F11" s="26">
        <v>3.5</v>
      </c>
      <c r="G11" s="31">
        <f t="shared" si="0"/>
        <v>0.7</v>
      </c>
      <c r="H11" s="32" t="str">
        <f t="shared" si="1"/>
        <v>جيد</v>
      </c>
      <c r="I11" s="50"/>
      <c r="J11" s="51"/>
    </row>
    <row r="12" spans="1:10" ht="39.950000000000003" customHeight="1" x14ac:dyDescent="0.2">
      <c r="A12" s="10"/>
      <c r="B12" s="75" t="s">
        <v>180</v>
      </c>
      <c r="C12" s="76"/>
      <c r="D12" s="76"/>
      <c r="E12" s="9">
        <v>5</v>
      </c>
      <c r="F12" s="26">
        <v>3.5</v>
      </c>
      <c r="G12" s="31">
        <f t="shared" si="0"/>
        <v>0.7</v>
      </c>
      <c r="H12" s="32" t="str">
        <f t="shared" si="1"/>
        <v>جيد</v>
      </c>
      <c r="I12" s="50"/>
      <c r="J12" s="51"/>
    </row>
    <row r="13" spans="1:10" ht="39.950000000000003" customHeight="1" x14ac:dyDescent="0.2">
      <c r="A13" s="10"/>
      <c r="B13" s="75" t="s">
        <v>181</v>
      </c>
      <c r="C13" s="76"/>
      <c r="D13" s="76"/>
      <c r="E13" s="30"/>
      <c r="F13" s="26"/>
      <c r="G13" s="31"/>
      <c r="H13" s="32"/>
      <c r="I13" s="50"/>
      <c r="J13" s="51"/>
    </row>
    <row r="14" spans="1:10" ht="39.950000000000003" customHeight="1" x14ac:dyDescent="0.2">
      <c r="A14" s="10"/>
      <c r="B14" s="77" t="s">
        <v>182</v>
      </c>
      <c r="C14" s="78"/>
      <c r="D14" s="78"/>
      <c r="E14" s="9">
        <v>5</v>
      </c>
      <c r="F14" s="26">
        <v>3.5</v>
      </c>
      <c r="G14" s="31">
        <f t="shared" si="0"/>
        <v>0.7</v>
      </c>
      <c r="H14" s="32" t="str">
        <f t="shared" si="1"/>
        <v>جيد</v>
      </c>
      <c r="I14" s="50"/>
      <c r="J14" s="51"/>
    </row>
    <row r="15" spans="1:10" ht="39.950000000000003" customHeight="1" x14ac:dyDescent="0.2">
      <c r="A15" s="10"/>
      <c r="B15" s="77" t="s">
        <v>183</v>
      </c>
      <c r="C15" s="78"/>
      <c r="D15" s="78"/>
      <c r="E15" s="9">
        <v>5</v>
      </c>
      <c r="F15" s="26">
        <v>3.5</v>
      </c>
      <c r="G15" s="31">
        <f t="shared" si="0"/>
        <v>0.7</v>
      </c>
      <c r="H15" s="32" t="str">
        <f t="shared" si="1"/>
        <v>جيد</v>
      </c>
      <c r="I15" s="50"/>
      <c r="J15" s="51"/>
    </row>
    <row r="16" spans="1:10" ht="50.1" customHeight="1" x14ac:dyDescent="0.2">
      <c r="A16" s="10"/>
      <c r="B16" s="77" t="s">
        <v>184</v>
      </c>
      <c r="C16" s="78"/>
      <c r="D16" s="78"/>
      <c r="E16" s="9">
        <v>5</v>
      </c>
      <c r="F16" s="26">
        <v>3.5</v>
      </c>
      <c r="G16" s="31">
        <f t="shared" si="0"/>
        <v>0.7</v>
      </c>
      <c r="H16" s="32" t="str">
        <f t="shared" si="1"/>
        <v>جيد</v>
      </c>
      <c r="I16" s="50"/>
      <c r="J16" s="51"/>
    </row>
    <row r="17" spans="1:10" ht="39.950000000000003" customHeight="1" x14ac:dyDescent="0.2">
      <c r="A17" s="10"/>
      <c r="B17" s="77" t="s">
        <v>185</v>
      </c>
      <c r="C17" s="78"/>
      <c r="D17" s="78"/>
      <c r="E17" s="9">
        <v>5</v>
      </c>
      <c r="F17" s="26">
        <v>3.5</v>
      </c>
      <c r="G17" s="31">
        <f t="shared" si="0"/>
        <v>0.7</v>
      </c>
      <c r="H17" s="32" t="str">
        <f t="shared" si="1"/>
        <v>جيد</v>
      </c>
      <c r="I17" s="50"/>
      <c r="J17" s="51"/>
    </row>
    <row r="18" spans="1:10" ht="39.950000000000003" customHeight="1" x14ac:dyDescent="0.2">
      <c r="A18" s="10"/>
      <c r="B18" s="77" t="s">
        <v>186</v>
      </c>
      <c r="C18" s="78"/>
      <c r="D18" s="78"/>
      <c r="E18" s="9">
        <v>5</v>
      </c>
      <c r="F18" s="26">
        <v>3.5</v>
      </c>
      <c r="G18" s="31">
        <f t="shared" si="0"/>
        <v>0.7</v>
      </c>
      <c r="H18" s="32" t="str">
        <f t="shared" si="1"/>
        <v>جيد</v>
      </c>
      <c r="I18" s="50"/>
      <c r="J18" s="51"/>
    </row>
    <row r="19" spans="1:10" ht="39.950000000000003" customHeight="1" x14ac:dyDescent="0.2">
      <c r="A19" s="10"/>
      <c r="B19" s="75" t="s">
        <v>187</v>
      </c>
      <c r="C19" s="76"/>
      <c r="D19" s="76"/>
      <c r="E19" s="9">
        <v>5</v>
      </c>
      <c r="F19" s="26">
        <v>3.5</v>
      </c>
      <c r="G19" s="31">
        <f t="shared" si="0"/>
        <v>0.7</v>
      </c>
      <c r="H19" s="32" t="str">
        <f t="shared" si="1"/>
        <v>جيد</v>
      </c>
      <c r="I19" s="50"/>
      <c r="J19" s="51"/>
    </row>
    <row r="20" spans="1:10" ht="39.950000000000003" customHeight="1" x14ac:dyDescent="0.2">
      <c r="A20" s="10"/>
      <c r="B20" s="75" t="s">
        <v>188</v>
      </c>
      <c r="C20" s="76"/>
      <c r="D20" s="76"/>
      <c r="E20" s="30"/>
      <c r="F20" s="26"/>
      <c r="G20" s="31"/>
      <c r="H20" s="32"/>
      <c r="I20" s="50"/>
      <c r="J20" s="51"/>
    </row>
    <row r="21" spans="1:10" ht="39.950000000000003" customHeight="1" x14ac:dyDescent="0.2">
      <c r="A21" s="10"/>
      <c r="B21" s="77" t="s">
        <v>189</v>
      </c>
      <c r="C21" s="78"/>
      <c r="D21" s="78"/>
      <c r="E21" s="9">
        <v>5</v>
      </c>
      <c r="F21" s="26">
        <v>3.5</v>
      </c>
      <c r="G21" s="31">
        <f t="shared" si="0"/>
        <v>0.7</v>
      </c>
      <c r="H21" s="32" t="str">
        <f t="shared" si="1"/>
        <v>جيد</v>
      </c>
      <c r="I21" s="50"/>
      <c r="J21" s="51"/>
    </row>
    <row r="22" spans="1:10" ht="39.950000000000003" customHeight="1" x14ac:dyDescent="0.2">
      <c r="A22" s="10"/>
      <c r="B22" s="77" t="s">
        <v>190</v>
      </c>
      <c r="C22" s="78"/>
      <c r="D22" s="78"/>
      <c r="E22" s="9">
        <v>5</v>
      </c>
      <c r="F22" s="36">
        <v>3.5</v>
      </c>
      <c r="G22" s="31">
        <f t="shared" si="0"/>
        <v>0.7</v>
      </c>
      <c r="H22" s="32" t="str">
        <f t="shared" si="1"/>
        <v>جيد</v>
      </c>
      <c r="I22" s="50"/>
      <c r="J22" s="51"/>
    </row>
    <row r="23" spans="1:10" ht="39.950000000000003" customHeight="1" x14ac:dyDescent="0.2">
      <c r="A23" s="10"/>
      <c r="B23" s="77" t="s">
        <v>191</v>
      </c>
      <c r="C23" s="78"/>
      <c r="D23" s="78"/>
      <c r="E23" s="9">
        <v>5</v>
      </c>
      <c r="F23" s="36">
        <v>3.5</v>
      </c>
      <c r="G23" s="31">
        <f t="shared" si="0"/>
        <v>0.7</v>
      </c>
      <c r="H23" s="32" t="str">
        <f t="shared" si="1"/>
        <v>جيد</v>
      </c>
      <c r="I23" s="50"/>
      <c r="J23" s="51"/>
    </row>
    <row r="24" spans="1:10" ht="39.950000000000003" customHeight="1" x14ac:dyDescent="0.2">
      <c r="A24" s="10"/>
      <c r="B24" s="77" t="s">
        <v>192</v>
      </c>
      <c r="C24" s="78"/>
      <c r="D24" s="78"/>
      <c r="E24" s="9">
        <v>5</v>
      </c>
      <c r="F24" s="26">
        <v>3.5</v>
      </c>
      <c r="G24" s="31">
        <f t="shared" si="0"/>
        <v>0.7</v>
      </c>
      <c r="H24" s="32" t="str">
        <f t="shared" si="1"/>
        <v>جيد</v>
      </c>
      <c r="I24" s="50"/>
      <c r="J24" s="51"/>
    </row>
    <row r="25" spans="1:10" ht="39.950000000000003" customHeight="1" thickBot="1" x14ac:dyDescent="0.25">
      <c r="A25" s="10"/>
      <c r="B25" s="79" t="s">
        <v>193</v>
      </c>
      <c r="C25" s="80"/>
      <c r="D25" s="80"/>
      <c r="E25" s="33">
        <v>5</v>
      </c>
      <c r="F25" s="27">
        <v>3.5</v>
      </c>
      <c r="G25" s="34">
        <f t="shared" si="0"/>
        <v>0.7</v>
      </c>
      <c r="H25" s="35" t="str">
        <f t="shared" si="1"/>
        <v>جيد</v>
      </c>
      <c r="I25" s="48"/>
      <c r="J25" s="49"/>
    </row>
    <row r="26" spans="1:10" ht="39.950000000000003" customHeight="1" x14ac:dyDescent="0.2">
      <c r="A26" s="10"/>
      <c r="B26" s="81" t="s">
        <v>194</v>
      </c>
      <c r="C26" s="82"/>
      <c r="D26" s="82"/>
      <c r="E26" s="82"/>
      <c r="F26" s="82"/>
      <c r="G26" s="82"/>
      <c r="H26" s="82"/>
      <c r="I26" s="82"/>
      <c r="J26" s="83"/>
    </row>
    <row r="27" spans="1:10" ht="50.1" customHeight="1" x14ac:dyDescent="0.2">
      <c r="A27" s="10"/>
      <c r="B27" s="73" t="s">
        <v>195</v>
      </c>
      <c r="C27" s="74"/>
      <c r="D27" s="74"/>
      <c r="E27" s="9"/>
      <c r="F27" s="26"/>
      <c r="G27" s="31"/>
      <c r="H27" s="32"/>
      <c r="I27" s="50"/>
      <c r="J27" s="51"/>
    </row>
    <row r="28" spans="1:10" ht="39.950000000000003" customHeight="1" x14ac:dyDescent="0.2">
      <c r="A28" s="10"/>
      <c r="B28" s="75" t="s">
        <v>196</v>
      </c>
      <c r="C28" s="76"/>
      <c r="D28" s="76"/>
      <c r="E28" s="9">
        <v>5</v>
      </c>
      <c r="F28" s="26">
        <v>3.75</v>
      </c>
      <c r="G28" s="31">
        <f t="shared" si="0"/>
        <v>0.75</v>
      </c>
      <c r="H28" s="32" t="str">
        <f t="shared" si="1"/>
        <v>جيد</v>
      </c>
      <c r="I28" s="50"/>
      <c r="J28" s="51"/>
    </row>
    <row r="29" spans="1:10" ht="39.950000000000003" customHeight="1" x14ac:dyDescent="0.2">
      <c r="A29" s="10"/>
      <c r="B29" s="75" t="s">
        <v>197</v>
      </c>
      <c r="C29" s="76"/>
      <c r="D29" s="76"/>
      <c r="E29" s="9">
        <v>5</v>
      </c>
      <c r="F29" s="26">
        <v>3.75</v>
      </c>
      <c r="G29" s="31">
        <f t="shared" si="0"/>
        <v>0.75</v>
      </c>
      <c r="H29" s="32" t="str">
        <f t="shared" si="1"/>
        <v>جيد</v>
      </c>
      <c r="I29" s="50"/>
      <c r="J29" s="51"/>
    </row>
    <row r="30" spans="1:10" ht="39.950000000000003" customHeight="1" x14ac:dyDescent="0.2">
      <c r="A30" s="10"/>
      <c r="B30" s="75" t="s">
        <v>198</v>
      </c>
      <c r="C30" s="76"/>
      <c r="D30" s="76"/>
      <c r="E30" s="9">
        <v>5</v>
      </c>
      <c r="F30" s="26">
        <v>3.75</v>
      </c>
      <c r="G30" s="31">
        <f t="shared" si="0"/>
        <v>0.75</v>
      </c>
      <c r="H30" s="32" t="str">
        <f t="shared" si="1"/>
        <v>جيد</v>
      </c>
      <c r="I30" s="50"/>
      <c r="J30" s="51"/>
    </row>
    <row r="31" spans="1:10" ht="39.950000000000003" customHeight="1" x14ac:dyDescent="0.2">
      <c r="A31" s="10"/>
      <c r="B31" s="75" t="s">
        <v>199</v>
      </c>
      <c r="C31" s="76"/>
      <c r="D31" s="76"/>
      <c r="E31" s="9">
        <v>5</v>
      </c>
      <c r="F31" s="26">
        <v>3.75</v>
      </c>
      <c r="G31" s="31">
        <f t="shared" si="0"/>
        <v>0.75</v>
      </c>
      <c r="H31" s="32" t="str">
        <f t="shared" si="1"/>
        <v>جيد</v>
      </c>
      <c r="I31" s="50"/>
      <c r="J31" s="51"/>
    </row>
    <row r="32" spans="1:10" ht="39.950000000000003" customHeight="1" x14ac:dyDescent="0.2">
      <c r="A32" s="10"/>
      <c r="B32" s="73" t="s">
        <v>200</v>
      </c>
      <c r="C32" s="74"/>
      <c r="D32" s="74"/>
      <c r="E32" s="30"/>
      <c r="F32" s="26"/>
      <c r="G32" s="31"/>
      <c r="H32" s="32"/>
      <c r="I32" s="50"/>
      <c r="J32" s="51"/>
    </row>
    <row r="33" spans="1:10" ht="39.950000000000003" customHeight="1" x14ac:dyDescent="0.2">
      <c r="A33" s="10"/>
      <c r="B33" s="75" t="s">
        <v>201</v>
      </c>
      <c r="C33" s="76"/>
      <c r="D33" s="76"/>
      <c r="E33" s="9">
        <v>5</v>
      </c>
      <c r="F33" s="26">
        <v>3.75</v>
      </c>
      <c r="G33" s="31">
        <f t="shared" si="0"/>
        <v>0.75</v>
      </c>
      <c r="H33" s="32" t="str">
        <f t="shared" si="1"/>
        <v>جيد</v>
      </c>
      <c r="I33" s="50"/>
      <c r="J33" s="51"/>
    </row>
    <row r="34" spans="1:10" ht="39.950000000000003" customHeight="1" x14ac:dyDescent="0.2">
      <c r="A34" s="10"/>
      <c r="B34" s="75" t="s">
        <v>202</v>
      </c>
      <c r="C34" s="76"/>
      <c r="D34" s="76"/>
      <c r="E34" s="9">
        <v>5</v>
      </c>
      <c r="F34" s="26">
        <v>3.5</v>
      </c>
      <c r="G34" s="31">
        <f t="shared" si="0"/>
        <v>0.7</v>
      </c>
      <c r="H34" s="32" t="str">
        <f t="shared" si="1"/>
        <v>جيد</v>
      </c>
      <c r="I34" s="50"/>
      <c r="J34" s="51"/>
    </row>
    <row r="35" spans="1:10" ht="39.950000000000003" customHeight="1" x14ac:dyDescent="0.2">
      <c r="A35" s="10"/>
      <c r="B35" s="75" t="s">
        <v>203</v>
      </c>
      <c r="C35" s="76"/>
      <c r="D35" s="76"/>
      <c r="E35" s="9">
        <v>5</v>
      </c>
      <c r="F35" s="26">
        <v>3.5</v>
      </c>
      <c r="G35" s="31">
        <f t="shared" si="0"/>
        <v>0.7</v>
      </c>
      <c r="H35" s="32" t="str">
        <f t="shared" si="1"/>
        <v>جيد</v>
      </c>
      <c r="I35" s="50"/>
      <c r="J35" s="51"/>
    </row>
    <row r="36" spans="1:10" ht="39.950000000000003" customHeight="1" x14ac:dyDescent="0.2">
      <c r="A36" s="10"/>
      <c r="B36" s="75" t="s">
        <v>204</v>
      </c>
      <c r="C36" s="76"/>
      <c r="D36" s="76"/>
      <c r="E36" s="9">
        <v>5</v>
      </c>
      <c r="F36" s="26">
        <v>3.5</v>
      </c>
      <c r="G36" s="31">
        <f t="shared" si="0"/>
        <v>0.7</v>
      </c>
      <c r="H36" s="32" t="str">
        <f t="shared" si="1"/>
        <v>جيد</v>
      </c>
      <c r="I36" s="50"/>
      <c r="J36" s="51"/>
    </row>
    <row r="37" spans="1:10" ht="39.950000000000003" customHeight="1" x14ac:dyDescent="0.2">
      <c r="A37" s="10"/>
      <c r="B37" s="75" t="s">
        <v>205</v>
      </c>
      <c r="C37" s="76"/>
      <c r="D37" s="76"/>
      <c r="E37" s="9">
        <v>5</v>
      </c>
      <c r="F37" s="26">
        <v>3.5</v>
      </c>
      <c r="G37" s="31">
        <f t="shared" si="0"/>
        <v>0.7</v>
      </c>
      <c r="H37" s="32" t="str">
        <f t="shared" si="1"/>
        <v>جيد</v>
      </c>
      <c r="I37" s="50"/>
      <c r="J37" s="51"/>
    </row>
    <row r="38" spans="1:10" ht="39.950000000000003" customHeight="1" thickBot="1" x14ac:dyDescent="0.25">
      <c r="A38" s="10"/>
      <c r="B38" s="84" t="s">
        <v>206</v>
      </c>
      <c r="C38" s="85"/>
      <c r="D38" s="85"/>
      <c r="E38" s="33">
        <v>5</v>
      </c>
      <c r="F38" s="27">
        <v>3.5</v>
      </c>
      <c r="G38" s="34">
        <f t="shared" si="0"/>
        <v>0.7</v>
      </c>
      <c r="H38" s="35" t="str">
        <f t="shared" si="1"/>
        <v>جيد</v>
      </c>
      <c r="I38" s="48"/>
      <c r="J38" s="49"/>
    </row>
    <row r="39" spans="1:10" ht="39.950000000000003" customHeight="1" x14ac:dyDescent="0.2">
      <c r="A39" s="10"/>
      <c r="B39" s="81" t="s">
        <v>207</v>
      </c>
      <c r="C39" s="82"/>
      <c r="D39" s="82"/>
      <c r="E39" s="82"/>
      <c r="F39" s="82"/>
      <c r="G39" s="82"/>
      <c r="H39" s="82"/>
      <c r="I39" s="82"/>
      <c r="J39" s="83"/>
    </row>
    <row r="40" spans="1:10" ht="39.950000000000003" customHeight="1" x14ac:dyDescent="0.2">
      <c r="A40" s="10"/>
      <c r="B40" s="73" t="s">
        <v>208</v>
      </c>
      <c r="C40" s="74"/>
      <c r="D40" s="74"/>
      <c r="E40" s="9"/>
      <c r="F40" s="26"/>
      <c r="G40" s="31"/>
      <c r="H40" s="32"/>
      <c r="I40" s="50"/>
      <c r="J40" s="51"/>
    </row>
    <row r="41" spans="1:10" ht="39.950000000000003" customHeight="1" x14ac:dyDescent="0.2">
      <c r="A41" s="10"/>
      <c r="B41" s="75" t="s">
        <v>209</v>
      </c>
      <c r="C41" s="76"/>
      <c r="D41" s="76"/>
      <c r="E41" s="9">
        <v>5</v>
      </c>
      <c r="F41" s="26">
        <v>3.5</v>
      </c>
      <c r="G41" s="31">
        <f t="shared" si="0"/>
        <v>0.7</v>
      </c>
      <c r="H41" s="32" t="str">
        <f t="shared" si="1"/>
        <v>جيد</v>
      </c>
      <c r="I41" s="50"/>
      <c r="J41" s="51"/>
    </row>
    <row r="42" spans="1:10" ht="39.950000000000003" customHeight="1" x14ac:dyDescent="0.2">
      <c r="A42" s="10"/>
      <c r="B42" s="75" t="s">
        <v>210</v>
      </c>
      <c r="C42" s="76"/>
      <c r="D42" s="76"/>
      <c r="E42" s="9">
        <v>5</v>
      </c>
      <c r="F42" s="26">
        <v>3.75</v>
      </c>
      <c r="G42" s="31">
        <f t="shared" si="0"/>
        <v>0.75</v>
      </c>
      <c r="H42" s="32" t="str">
        <f t="shared" si="1"/>
        <v>جيد</v>
      </c>
      <c r="I42" s="50"/>
      <c r="J42" s="51"/>
    </row>
    <row r="43" spans="1:10" ht="39.950000000000003" customHeight="1" x14ac:dyDescent="0.2">
      <c r="A43" s="10"/>
      <c r="B43" s="75" t="s">
        <v>211</v>
      </c>
      <c r="C43" s="76"/>
      <c r="D43" s="76"/>
      <c r="E43" s="9">
        <v>5</v>
      </c>
      <c r="F43" s="26">
        <v>3.75</v>
      </c>
      <c r="G43" s="31">
        <f t="shared" si="0"/>
        <v>0.75</v>
      </c>
      <c r="H43" s="32" t="str">
        <f t="shared" si="1"/>
        <v>جيد</v>
      </c>
      <c r="I43" s="50"/>
      <c r="J43" s="51"/>
    </row>
    <row r="44" spans="1:10" ht="39.950000000000003" customHeight="1" x14ac:dyDescent="0.2">
      <c r="A44" s="10"/>
      <c r="B44" s="75" t="s">
        <v>212</v>
      </c>
      <c r="C44" s="76"/>
      <c r="D44" s="76"/>
      <c r="E44" s="9">
        <v>5</v>
      </c>
      <c r="F44" s="26">
        <v>3.75</v>
      </c>
      <c r="G44" s="31">
        <f t="shared" si="0"/>
        <v>0.75</v>
      </c>
      <c r="H44" s="32" t="str">
        <f t="shared" si="1"/>
        <v>جيد</v>
      </c>
      <c r="I44" s="50"/>
      <c r="J44" s="51"/>
    </row>
    <row r="45" spans="1:10" ht="39.950000000000003" customHeight="1" x14ac:dyDescent="0.2">
      <c r="A45" s="10"/>
      <c r="B45" s="75" t="s">
        <v>213</v>
      </c>
      <c r="C45" s="76"/>
      <c r="D45" s="76"/>
      <c r="E45" s="9">
        <v>5</v>
      </c>
      <c r="F45" s="26">
        <v>3.75</v>
      </c>
      <c r="G45" s="31">
        <f t="shared" si="0"/>
        <v>0.75</v>
      </c>
      <c r="H45" s="32" t="str">
        <f t="shared" si="1"/>
        <v>جيد</v>
      </c>
      <c r="I45" s="50"/>
      <c r="J45" s="51"/>
    </row>
    <row r="46" spans="1:10" ht="39.950000000000003" customHeight="1" x14ac:dyDescent="0.2">
      <c r="A46" s="10"/>
      <c r="B46" s="75" t="s">
        <v>214</v>
      </c>
      <c r="C46" s="76"/>
      <c r="D46" s="76"/>
      <c r="E46" s="9">
        <v>5</v>
      </c>
      <c r="F46" s="26">
        <v>3.75</v>
      </c>
      <c r="G46" s="31">
        <f t="shared" si="0"/>
        <v>0.75</v>
      </c>
      <c r="H46" s="32" t="str">
        <f t="shared" si="1"/>
        <v>جيد</v>
      </c>
      <c r="I46" s="50"/>
      <c r="J46" s="51"/>
    </row>
    <row r="47" spans="1:10" ht="39.950000000000003" customHeight="1" x14ac:dyDescent="0.2">
      <c r="A47" s="10"/>
      <c r="B47" s="73" t="s">
        <v>215</v>
      </c>
      <c r="C47" s="74"/>
      <c r="D47" s="74"/>
      <c r="E47" s="30"/>
      <c r="F47" s="26"/>
      <c r="G47" s="31"/>
      <c r="H47" s="32"/>
      <c r="I47" s="50"/>
      <c r="J47" s="51"/>
    </row>
    <row r="48" spans="1:10" ht="39.950000000000003" customHeight="1" x14ac:dyDescent="0.2">
      <c r="A48" s="10"/>
      <c r="B48" s="75" t="s">
        <v>216</v>
      </c>
      <c r="C48" s="76"/>
      <c r="D48" s="76"/>
      <c r="E48" s="9">
        <v>5</v>
      </c>
      <c r="F48" s="26">
        <v>3.5</v>
      </c>
      <c r="G48" s="31">
        <f t="shared" si="0"/>
        <v>0.7</v>
      </c>
      <c r="H48" s="32" t="str">
        <f t="shared" si="1"/>
        <v>جيد</v>
      </c>
      <c r="I48" s="50"/>
      <c r="J48" s="51"/>
    </row>
    <row r="49" spans="1:10" ht="39.950000000000003" customHeight="1" x14ac:dyDescent="0.2">
      <c r="A49" s="10"/>
      <c r="B49" s="75" t="s">
        <v>217</v>
      </c>
      <c r="C49" s="76"/>
      <c r="D49" s="76"/>
      <c r="E49" s="9">
        <v>5</v>
      </c>
      <c r="F49" s="26">
        <v>3.5</v>
      </c>
      <c r="G49" s="31">
        <f t="shared" si="0"/>
        <v>0.7</v>
      </c>
      <c r="H49" s="32" t="str">
        <f t="shared" si="1"/>
        <v>جيد</v>
      </c>
      <c r="I49" s="50"/>
      <c r="J49" s="51"/>
    </row>
    <row r="50" spans="1:10" ht="39.950000000000003" customHeight="1" x14ac:dyDescent="0.2">
      <c r="A50" s="10"/>
      <c r="B50" s="75" t="s">
        <v>218</v>
      </c>
      <c r="C50" s="76"/>
      <c r="D50" s="76"/>
      <c r="E50" s="9">
        <v>5</v>
      </c>
      <c r="F50" s="26">
        <v>3.5</v>
      </c>
      <c r="G50" s="31">
        <f t="shared" si="0"/>
        <v>0.7</v>
      </c>
      <c r="H50" s="32" t="str">
        <f t="shared" si="1"/>
        <v>جيد</v>
      </c>
      <c r="I50" s="50"/>
      <c r="J50" s="51"/>
    </row>
    <row r="51" spans="1:10" ht="39.950000000000003" customHeight="1" x14ac:dyDescent="0.2">
      <c r="A51" s="10"/>
      <c r="B51" s="75" t="s">
        <v>219</v>
      </c>
      <c r="C51" s="76"/>
      <c r="D51" s="76"/>
      <c r="E51" s="9">
        <v>5</v>
      </c>
      <c r="F51" s="26">
        <v>3.5</v>
      </c>
      <c r="G51" s="31">
        <f t="shared" si="0"/>
        <v>0.7</v>
      </c>
      <c r="H51" s="32" t="str">
        <f t="shared" si="1"/>
        <v>جيد</v>
      </c>
      <c r="I51" s="50"/>
      <c r="J51" s="51"/>
    </row>
    <row r="52" spans="1:10" ht="39.950000000000003" customHeight="1" x14ac:dyDescent="0.2">
      <c r="A52" s="10"/>
      <c r="B52" s="75" t="s">
        <v>220</v>
      </c>
      <c r="C52" s="76"/>
      <c r="D52" s="76"/>
      <c r="E52" s="9">
        <v>5</v>
      </c>
      <c r="F52" s="26">
        <v>3.5</v>
      </c>
      <c r="G52" s="31">
        <f t="shared" si="0"/>
        <v>0.7</v>
      </c>
      <c r="H52" s="32" t="str">
        <f t="shared" si="1"/>
        <v>جيد</v>
      </c>
      <c r="I52" s="50"/>
      <c r="J52" s="51"/>
    </row>
    <row r="53" spans="1:10" ht="39.950000000000003" customHeight="1" x14ac:dyDescent="0.2">
      <c r="A53" s="10"/>
      <c r="B53" s="75" t="s">
        <v>221</v>
      </c>
      <c r="C53" s="76"/>
      <c r="D53" s="76"/>
      <c r="E53" s="9">
        <v>5</v>
      </c>
      <c r="F53" s="26">
        <v>3.5</v>
      </c>
      <c r="G53" s="31">
        <f t="shared" si="0"/>
        <v>0.7</v>
      </c>
      <c r="H53" s="32" t="str">
        <f t="shared" si="1"/>
        <v>جيد</v>
      </c>
      <c r="I53" s="50"/>
      <c r="J53" s="51"/>
    </row>
    <row r="54" spans="1:10" ht="39.950000000000003" customHeight="1" x14ac:dyDescent="0.2">
      <c r="A54" s="10"/>
      <c r="B54" s="75" t="s">
        <v>222</v>
      </c>
      <c r="C54" s="76"/>
      <c r="D54" s="76"/>
      <c r="E54" s="9">
        <v>5</v>
      </c>
      <c r="F54" s="26">
        <v>3.5</v>
      </c>
      <c r="G54" s="31">
        <f t="shared" si="0"/>
        <v>0.7</v>
      </c>
      <c r="H54" s="32" t="str">
        <f t="shared" si="1"/>
        <v>جيد</v>
      </c>
      <c r="I54" s="50"/>
      <c r="J54" s="51"/>
    </row>
    <row r="55" spans="1:10" ht="39.950000000000003" customHeight="1" thickBot="1" x14ac:dyDescent="0.25">
      <c r="A55" s="10"/>
      <c r="B55" s="79" t="s">
        <v>223</v>
      </c>
      <c r="C55" s="80"/>
      <c r="D55" s="80"/>
      <c r="E55" s="33">
        <v>5</v>
      </c>
      <c r="F55" s="27">
        <v>3.5</v>
      </c>
      <c r="G55" s="34">
        <f t="shared" si="0"/>
        <v>0.7</v>
      </c>
      <c r="H55" s="35" t="str">
        <f t="shared" si="1"/>
        <v>جيد</v>
      </c>
      <c r="I55" s="48"/>
      <c r="J55" s="49"/>
    </row>
    <row r="56" spans="1:10" ht="30" customHeight="1" thickBot="1" x14ac:dyDescent="0.25">
      <c r="A56" s="4"/>
      <c r="B56" s="69" t="s">
        <v>5</v>
      </c>
      <c r="C56" s="70"/>
      <c r="D56" s="70"/>
      <c r="E56" s="29">
        <f>SUM(E8:E55)</f>
        <v>190</v>
      </c>
      <c r="F56" s="29">
        <f>SUM(F8:F55)</f>
        <v>135.5</v>
      </c>
      <c r="G56" s="66"/>
      <c r="H56" s="67"/>
      <c r="I56" s="67"/>
      <c r="J56" s="68"/>
    </row>
    <row r="57" spans="1:10" ht="30" customHeight="1" thickBot="1" x14ac:dyDescent="0.25">
      <c r="A57" s="4"/>
      <c r="B57" s="71" t="s">
        <v>54</v>
      </c>
      <c r="C57" s="72"/>
      <c r="D57" s="72"/>
      <c r="E57" s="44">
        <f>F56/E56/100*100</f>
        <v>0.7131578947368421</v>
      </c>
      <c r="F57" s="44"/>
      <c r="G57" s="44"/>
      <c r="H57" s="44"/>
      <c r="I57" s="44"/>
      <c r="J57" s="45"/>
    </row>
    <row r="58" spans="1:10" ht="30" customHeight="1" thickBot="1" x14ac:dyDescent="0.25">
      <c r="A58" s="4"/>
      <c r="B58" s="71" t="s">
        <v>55</v>
      </c>
      <c r="C58" s="72"/>
      <c r="D58" s="72"/>
      <c r="E58" s="62" t="str">
        <f>_xlfn.IFS(E57&gt;=90%,"ممتاز",E57&gt;=80%,"جيد جداً",E57&gt;=70%,"جيد",E57&gt;=60%,"مقبول",E57&lt;60%,"راسب")</f>
        <v>جيد</v>
      </c>
      <c r="F58" s="62"/>
      <c r="G58" s="62"/>
      <c r="H58" s="62"/>
      <c r="I58" s="62"/>
      <c r="J58" s="63"/>
    </row>
    <row r="59" spans="1:10" ht="42" customHeight="1" x14ac:dyDescent="0.2">
      <c r="B59" s="58" t="s">
        <v>175</v>
      </c>
      <c r="C59" s="58"/>
      <c r="D59" s="58"/>
      <c r="E59" s="64" t="s">
        <v>52</v>
      </c>
      <c r="F59" s="64"/>
      <c r="G59" s="60" t="s">
        <v>101</v>
      </c>
      <c r="H59" s="60"/>
      <c r="I59" s="60"/>
      <c r="J59" s="60"/>
    </row>
    <row r="60" spans="1:10" ht="51" customHeight="1" x14ac:dyDescent="0.2">
      <c r="A60" s="5"/>
      <c r="B60" s="59"/>
      <c r="C60" s="59"/>
      <c r="D60" s="59"/>
      <c r="E60" s="65" t="s">
        <v>53</v>
      </c>
      <c r="F60" s="65"/>
      <c r="G60" s="61"/>
      <c r="H60" s="61"/>
      <c r="I60" s="61"/>
      <c r="J60" s="61"/>
    </row>
  </sheetData>
  <sheetProtection sheet="1" formatCells="0" formatColumns="0" formatRows="0" insertColumns="0" insertRows="0" insertHyperlinks="0" deleteColumns="0" deleteRows="0" selectLockedCells="1" sort="0" autoFilter="0" pivotTables="0"/>
  <mergeCells count="114">
    <mergeCell ref="B8:J8"/>
    <mergeCell ref="B44:D44"/>
    <mergeCell ref="B45:D45"/>
    <mergeCell ref="B46:D46"/>
    <mergeCell ref="B47:D47"/>
    <mergeCell ref="B48:D48"/>
    <mergeCell ref="B49:D49"/>
    <mergeCell ref="B50:D50"/>
    <mergeCell ref="B51:D51"/>
    <mergeCell ref="B35:D35"/>
    <mergeCell ref="B36:D36"/>
    <mergeCell ref="B37:D37"/>
    <mergeCell ref="B38:D38"/>
    <mergeCell ref="B40:D40"/>
    <mergeCell ref="B41:D41"/>
    <mergeCell ref="B42:D42"/>
    <mergeCell ref="B43:D43"/>
    <mergeCell ref="B27:D27"/>
    <mergeCell ref="B9:D9"/>
    <mergeCell ref="B10:D10"/>
    <mergeCell ref="B11:D11"/>
    <mergeCell ref="B12:D12"/>
    <mergeCell ref="B13:D13"/>
    <mergeCell ref="B14:D14"/>
    <mergeCell ref="B15:D15"/>
    <mergeCell ref="B16:D16"/>
    <mergeCell ref="I32:J32"/>
    <mergeCell ref="I9:J9"/>
    <mergeCell ref="B28:D28"/>
    <mergeCell ref="B29:D29"/>
    <mergeCell ref="B30:D30"/>
    <mergeCell ref="B31:D31"/>
    <mergeCell ref="B32:D32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I33:J33"/>
    <mergeCell ref="I34:J34"/>
    <mergeCell ref="I35:J35"/>
    <mergeCell ref="I36:J36"/>
    <mergeCell ref="B56:D56"/>
    <mergeCell ref="B57:D57"/>
    <mergeCell ref="B58:D58"/>
    <mergeCell ref="I11:J11"/>
    <mergeCell ref="I12:J12"/>
    <mergeCell ref="I13:J13"/>
    <mergeCell ref="I14:J14"/>
    <mergeCell ref="I15:J15"/>
    <mergeCell ref="I16:J16"/>
    <mergeCell ref="I17:J17"/>
    <mergeCell ref="I18:J18"/>
    <mergeCell ref="I28:J28"/>
    <mergeCell ref="I29:J29"/>
    <mergeCell ref="B33:D33"/>
    <mergeCell ref="B34:D34"/>
    <mergeCell ref="B53:D53"/>
    <mergeCell ref="B54:D54"/>
    <mergeCell ref="B55:D55"/>
    <mergeCell ref="B39:J39"/>
    <mergeCell ref="B26:J26"/>
    <mergeCell ref="B59:D60"/>
    <mergeCell ref="G59:J59"/>
    <mergeCell ref="G60:J60"/>
    <mergeCell ref="E58:J58"/>
    <mergeCell ref="I40:J40"/>
    <mergeCell ref="I41:J41"/>
    <mergeCell ref="I42:J42"/>
    <mergeCell ref="I43:J43"/>
    <mergeCell ref="I44:J44"/>
    <mergeCell ref="I49:J49"/>
    <mergeCell ref="I50:J50"/>
    <mergeCell ref="I51:J51"/>
    <mergeCell ref="I52:J52"/>
    <mergeCell ref="I53:J53"/>
    <mergeCell ref="I54:J54"/>
    <mergeCell ref="I55:J55"/>
    <mergeCell ref="I45:J45"/>
    <mergeCell ref="I46:J46"/>
    <mergeCell ref="I47:J47"/>
    <mergeCell ref="I48:J48"/>
    <mergeCell ref="E59:F59"/>
    <mergeCell ref="E60:F60"/>
    <mergeCell ref="G56:J56"/>
    <mergeCell ref="B52:D52"/>
    <mergeCell ref="B1:J1"/>
    <mergeCell ref="F2:J2"/>
    <mergeCell ref="B5:D6"/>
    <mergeCell ref="C2:D2"/>
    <mergeCell ref="C3:D3"/>
    <mergeCell ref="F3:J3"/>
    <mergeCell ref="E57:J57"/>
    <mergeCell ref="B7:D7"/>
    <mergeCell ref="I38:J38"/>
    <mergeCell ref="I30:J30"/>
    <mergeCell ref="I31:J31"/>
    <mergeCell ref="E5:H5"/>
    <mergeCell ref="I37:J37"/>
    <mergeCell ref="I5:J6"/>
    <mergeCell ref="I7:J7"/>
    <mergeCell ref="I10:J10"/>
    <mergeCell ref="I19:J19"/>
    <mergeCell ref="I20:J20"/>
    <mergeCell ref="I21:J21"/>
    <mergeCell ref="I22:J22"/>
    <mergeCell ref="I23:J23"/>
    <mergeCell ref="I24:J24"/>
    <mergeCell ref="I25:J25"/>
    <mergeCell ref="I27:J27"/>
  </mergeCells>
  <conditionalFormatting sqref="C2:D2">
    <cfRule type="containsText" dxfId="23" priority="18" operator="containsText" text="أدخل الوحدة الخاضعة للتقييم">
      <formula>NOT(ISERROR(SEARCH("أدخل الوحدة الخاضعة للتقييم",C2)))</formula>
    </cfRule>
  </conditionalFormatting>
  <conditionalFormatting sqref="C3:D3">
    <cfRule type="containsText" dxfId="22" priority="17" operator="containsText" text="أدخل أسم قائد الوحدة الخاضعة للتقييم">
      <formula>NOT(ISERROR(SEARCH("أدخل أسم قائد الوحدة الخاضعة للتقييم",C3)))</formula>
    </cfRule>
  </conditionalFormatting>
  <conditionalFormatting sqref="E58">
    <cfRule type="expression" dxfId="21" priority="57">
      <formula>$E58="راسب"</formula>
    </cfRule>
  </conditionalFormatting>
  <conditionalFormatting sqref="E58:J58">
    <cfRule type="expression" dxfId="20" priority="60">
      <formula>$E58="جيد جداً"</formula>
    </cfRule>
    <cfRule type="expression" dxfId="19" priority="59">
      <formula>$E58="جيد"</formula>
    </cfRule>
    <cfRule type="expression" dxfId="18" priority="58">
      <formula>$E58="مقبول"</formula>
    </cfRule>
    <cfRule type="expression" dxfId="17" priority="61">
      <formula>$E58="ممتاز"</formula>
    </cfRule>
  </conditionalFormatting>
  <conditionalFormatting sqref="F9:F25">
    <cfRule type="containsText" dxfId="16" priority="4" operator="containsText" text="أدخل العلامة">
      <formula>NOT(ISERROR(SEARCH("أدخل العلامة",F9)))</formula>
    </cfRule>
  </conditionalFormatting>
  <conditionalFormatting sqref="F27:F38 F40:F55">
    <cfRule type="containsText" dxfId="15" priority="14" operator="containsText" text="أدخل العلامة">
      <formula>NOT(ISERROR(SEARCH("أدخل العلامة",F27)))</formula>
    </cfRule>
  </conditionalFormatting>
  <conditionalFormatting sqref="F2:J2">
    <cfRule type="containsText" dxfId="14" priority="19" operator="containsText" text="أدخل التاريخ">
      <formula>NOT(ISERROR(SEARCH("أدخل التاريخ",F2)))</formula>
    </cfRule>
  </conditionalFormatting>
  <conditionalFormatting sqref="F3:J3">
    <cfRule type="containsText" dxfId="13" priority="16" operator="containsText" text="أدخل أسم المحكم">
      <formula>NOT(ISERROR(SEARCH("أدخل أسم المحكم",F3)))</formula>
    </cfRule>
  </conditionalFormatting>
  <conditionalFormatting sqref="G59:J59">
    <cfRule type="containsText" dxfId="12" priority="15" operator="containsText" text="أدخل اسم المحكم">
      <formula>NOT(ISERROR(SEARCH("أدخل اسم المحكم",G59)))</formula>
    </cfRule>
  </conditionalFormatting>
  <conditionalFormatting sqref="H9:H25">
    <cfRule type="containsText" dxfId="11" priority="10" operator="containsText" text="راسب">
      <formula>NOT(ISERROR(SEARCH("راسب",H9)))</formula>
    </cfRule>
    <cfRule type="containsText" dxfId="10" priority="9" operator="containsText" text="مقبول">
      <formula>NOT(ISERROR(SEARCH("مقبول",H9)))</formula>
    </cfRule>
    <cfRule type="containsText" dxfId="9" priority="8" operator="containsText" text="جيد">
      <formula>NOT(ISERROR(SEARCH("جيد",H9)))</formula>
    </cfRule>
    <cfRule type="containsText" dxfId="8" priority="7" operator="containsText" text="جيد جداً">
      <formula>NOT(ISERROR(SEARCH("جيد جداً",H9)))</formula>
    </cfRule>
    <cfRule type="containsText" dxfId="7" priority="6" operator="containsText" text="ممتاز">
      <formula>NOT(ISERROR(SEARCH("ممتاز",H9)))</formula>
    </cfRule>
    <cfRule type="containsText" dxfId="6" priority="5" operator="containsText" text="أدخل العلامة">
      <formula>NOT(ISERROR(SEARCH("أدخل العلامة",H9)))</formula>
    </cfRule>
  </conditionalFormatting>
  <conditionalFormatting sqref="H27:H38 H40:H55">
    <cfRule type="containsText" dxfId="5" priority="38" operator="containsText" text="أدخل العلامة">
      <formula>NOT(ISERROR(SEARCH("أدخل العلامة",H27)))</formula>
    </cfRule>
    <cfRule type="containsText" dxfId="4" priority="39" operator="containsText" text="ممتاز">
      <formula>NOT(ISERROR(SEARCH("ممتاز",H27)))</formula>
    </cfRule>
    <cfRule type="containsText" dxfId="3" priority="40" operator="containsText" text="جيد جداً">
      <formula>NOT(ISERROR(SEARCH("جيد جداً",H27)))</formula>
    </cfRule>
    <cfRule type="containsText" dxfId="2" priority="41" operator="containsText" text="جيد">
      <formula>NOT(ISERROR(SEARCH("جيد",H27)))</formula>
    </cfRule>
    <cfRule type="containsText" dxfId="1" priority="42" operator="containsText" text="مقبول">
      <formula>NOT(ISERROR(SEARCH("مقبول",H27)))</formula>
    </cfRule>
    <cfRule type="containsText" dxfId="0" priority="43" operator="containsText" text="راسب">
      <formula>NOT(ISERROR(SEARCH("راسب",H27)))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69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39AD22F4-AC0E-4009-A1CA-39040C022149}">
          <x14:formula1>
            <xm:f>'بيانات التقييم'!$A$38:$A$106</xm:f>
          </x14:formula1>
          <xm:sqref>F2:J2</xm:sqref>
        </x14:dataValidation>
        <x14:dataValidation type="list" allowBlank="1" showInputMessage="1" showErrorMessage="1" xr:uid="{A272D648-FCB4-4132-BCDE-E6BADA2BBA96}">
          <x14:formula1>
            <xm:f>'بيانات التقييم'!$A$1:$A$34</xm:f>
          </x14:formula1>
          <xm:sqref>C2:D2</xm:sqref>
        </x14:dataValidation>
        <x14:dataValidation type="list" allowBlank="1" showInputMessage="1" showErrorMessage="1" xr:uid="{B02DBD13-A8C4-4819-9425-63F70757FE96}">
          <x14:formula1>
            <xm:f>'بيانات التقييم'!$A$111:$A$133</xm:f>
          </x14:formula1>
          <xm:sqref>F48:F55 F41:F46 F33:F38 F28:F31 F21:F25 F14:F19 F10:F12</xm:sqref>
        </x14:dataValidation>
        <x14:dataValidation type="list" allowBlank="1" showInputMessage="1" showErrorMessage="1" xr:uid="{AE50457C-7424-4A4C-907B-8DC6AA09E7A3}">
          <x14:formula1>
            <xm:f>'بيانات التقييم'!$A$198:$A$285</xm:f>
          </x14:formula1>
          <xm:sqref>G59:J59 F3:J3</xm:sqref>
        </x14:dataValidation>
        <x14:dataValidation type="list" allowBlank="1" showInputMessage="1" showErrorMessage="1" xr:uid="{74512448-CAED-4995-932E-CDA01DC3A5DC}">
          <x14:formula1>
            <xm:f>'بيانات التقييم'!$C$1:$C$28</xm:f>
          </x14:formula1>
          <xm:sqref>C3:D3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I337"/>
  <sheetViews>
    <sheetView rightToLeft="1" topLeftCell="A262" workbookViewId="0">
      <selection activeCell="A199" sqref="A199:A285"/>
    </sheetView>
  </sheetViews>
  <sheetFormatPr defaultRowHeight="20.100000000000001" customHeight="1" x14ac:dyDescent="0.2"/>
  <cols>
    <col min="1" max="1" width="42.5078125" style="1" customWidth="1"/>
    <col min="2" max="2" width="24.88671875" style="1" customWidth="1"/>
    <col min="3" max="3" width="59.86328125" style="1" customWidth="1"/>
    <col min="4" max="9" width="9.01171875" style="1"/>
  </cols>
  <sheetData>
    <row r="1" spans="1:3" ht="20.100000000000001" customHeight="1" thickBot="1" x14ac:dyDescent="0.3">
      <c r="A1" s="2" t="s">
        <v>57</v>
      </c>
      <c r="C1" s="2" t="s">
        <v>60</v>
      </c>
    </row>
    <row r="2" spans="1:3" ht="20.100000000000001" customHeight="1" thickBot="1" x14ac:dyDescent="0.3">
      <c r="A2" s="2" t="s">
        <v>35</v>
      </c>
      <c r="C2" s="19" t="s">
        <v>62</v>
      </c>
    </row>
    <row r="3" spans="1:3" ht="20.100000000000001" customHeight="1" thickBot="1" x14ac:dyDescent="0.3">
      <c r="A3" s="2" t="s">
        <v>26</v>
      </c>
      <c r="C3" s="19" t="s">
        <v>63</v>
      </c>
    </row>
    <row r="4" spans="1:3" ht="20.100000000000001" customHeight="1" thickBot="1" x14ac:dyDescent="0.3">
      <c r="A4" s="2" t="s">
        <v>36</v>
      </c>
      <c r="C4" s="19" t="s">
        <v>64</v>
      </c>
    </row>
    <row r="5" spans="1:3" ht="20.100000000000001" customHeight="1" thickBot="1" x14ac:dyDescent="0.3">
      <c r="A5" s="2" t="s">
        <v>37</v>
      </c>
      <c r="C5" s="19" t="s">
        <v>65</v>
      </c>
    </row>
    <row r="6" spans="1:3" ht="20.100000000000001" customHeight="1" thickBot="1" x14ac:dyDescent="0.3">
      <c r="A6" s="2" t="s">
        <v>38</v>
      </c>
      <c r="C6" s="19" t="s">
        <v>66</v>
      </c>
    </row>
    <row r="7" spans="1:3" ht="20.100000000000001" customHeight="1" thickBot="1" x14ac:dyDescent="0.3">
      <c r="A7" s="2" t="s">
        <v>39</v>
      </c>
      <c r="C7" s="19" t="s">
        <v>67</v>
      </c>
    </row>
    <row r="8" spans="1:3" ht="20.100000000000001" customHeight="1" thickBot="1" x14ac:dyDescent="0.3">
      <c r="A8" s="2" t="s">
        <v>40</v>
      </c>
      <c r="C8" s="19" t="s">
        <v>68</v>
      </c>
    </row>
    <row r="9" spans="1:3" ht="20.100000000000001" customHeight="1" thickBot="1" x14ac:dyDescent="0.3">
      <c r="A9" s="2" t="s">
        <v>41</v>
      </c>
      <c r="C9" s="19" t="s">
        <v>69</v>
      </c>
    </row>
    <row r="10" spans="1:3" ht="20.100000000000001" customHeight="1" thickBot="1" x14ac:dyDescent="0.3">
      <c r="A10" s="2" t="s">
        <v>42</v>
      </c>
      <c r="C10" s="19" t="s">
        <v>70</v>
      </c>
    </row>
    <row r="11" spans="1:3" ht="20.100000000000001" customHeight="1" thickBot="1" x14ac:dyDescent="0.3">
      <c r="A11" s="2" t="s">
        <v>43</v>
      </c>
      <c r="C11" s="19" t="s">
        <v>71</v>
      </c>
    </row>
    <row r="12" spans="1:3" ht="20.100000000000001" customHeight="1" thickBot="1" x14ac:dyDescent="0.3">
      <c r="A12" s="2" t="s">
        <v>44</v>
      </c>
      <c r="C12" s="19" t="s">
        <v>72</v>
      </c>
    </row>
    <row r="13" spans="1:3" ht="20.100000000000001" customHeight="1" thickBot="1" x14ac:dyDescent="0.3">
      <c r="A13" s="2" t="s">
        <v>45</v>
      </c>
      <c r="C13" s="19" t="s">
        <v>73</v>
      </c>
    </row>
    <row r="14" spans="1:3" ht="20.100000000000001" customHeight="1" thickBot="1" x14ac:dyDescent="0.3">
      <c r="A14" s="2" t="s">
        <v>46</v>
      </c>
      <c r="C14" s="19" t="s">
        <v>74</v>
      </c>
    </row>
    <row r="15" spans="1:3" ht="20.100000000000001" customHeight="1" thickBot="1" x14ac:dyDescent="0.3">
      <c r="A15" s="2" t="s">
        <v>47</v>
      </c>
      <c r="C15" s="19" t="s">
        <v>75</v>
      </c>
    </row>
    <row r="16" spans="1:3" ht="20.100000000000001" customHeight="1" thickBot="1" x14ac:dyDescent="0.3">
      <c r="A16" s="2" t="s">
        <v>10</v>
      </c>
      <c r="C16" s="19" t="s">
        <v>76</v>
      </c>
    </row>
    <row r="17" spans="1:3" ht="20.100000000000001" customHeight="1" thickBot="1" x14ac:dyDescent="0.3">
      <c r="A17" s="2" t="s">
        <v>27</v>
      </c>
      <c r="C17" s="19" t="s">
        <v>77</v>
      </c>
    </row>
    <row r="18" spans="1:3" ht="20.100000000000001" customHeight="1" thickBot="1" x14ac:dyDescent="0.3">
      <c r="A18" s="2" t="s">
        <v>48</v>
      </c>
      <c r="C18" s="19" t="s">
        <v>78</v>
      </c>
    </row>
    <row r="19" spans="1:3" ht="20.100000000000001" customHeight="1" thickBot="1" x14ac:dyDescent="0.3">
      <c r="A19" s="2" t="s">
        <v>49</v>
      </c>
      <c r="C19" s="19" t="s">
        <v>79</v>
      </c>
    </row>
    <row r="20" spans="1:3" ht="20.100000000000001" customHeight="1" thickBot="1" x14ac:dyDescent="0.3">
      <c r="A20" s="2" t="s">
        <v>50</v>
      </c>
      <c r="C20" s="19" t="s">
        <v>80</v>
      </c>
    </row>
    <row r="21" spans="1:3" ht="20.100000000000001" customHeight="1" thickBot="1" x14ac:dyDescent="0.3">
      <c r="A21" s="2" t="s">
        <v>51</v>
      </c>
      <c r="C21" s="19" t="s">
        <v>81</v>
      </c>
    </row>
    <row r="22" spans="1:3" ht="20.100000000000001" customHeight="1" thickBot="1" x14ac:dyDescent="0.3">
      <c r="A22" s="2" t="s">
        <v>11</v>
      </c>
      <c r="C22" s="19" t="s">
        <v>82</v>
      </c>
    </row>
    <row r="23" spans="1:3" ht="20.100000000000001" customHeight="1" thickBot="1" x14ac:dyDescent="0.3">
      <c r="A23" s="2" t="s">
        <v>12</v>
      </c>
      <c r="C23" s="19" t="s">
        <v>83</v>
      </c>
    </row>
    <row r="24" spans="1:3" ht="20.100000000000001" customHeight="1" thickBot="1" x14ac:dyDescent="0.3">
      <c r="A24" s="2" t="s">
        <v>15</v>
      </c>
      <c r="C24" s="19" t="s">
        <v>84</v>
      </c>
    </row>
    <row r="25" spans="1:3" ht="20.100000000000001" customHeight="1" thickBot="1" x14ac:dyDescent="0.3">
      <c r="A25" s="2" t="s">
        <v>28</v>
      </c>
      <c r="C25" s="19" t="s">
        <v>85</v>
      </c>
    </row>
    <row r="26" spans="1:3" ht="20.100000000000001" customHeight="1" thickBot="1" x14ac:dyDescent="0.3">
      <c r="A26" s="2" t="s">
        <v>29</v>
      </c>
      <c r="C26" s="19" t="s">
        <v>86</v>
      </c>
    </row>
    <row r="27" spans="1:3" ht="20.100000000000001" customHeight="1" thickBot="1" x14ac:dyDescent="0.3">
      <c r="A27" s="2" t="s">
        <v>13</v>
      </c>
      <c r="C27" s="19" t="s">
        <v>87</v>
      </c>
    </row>
    <row r="28" spans="1:3" ht="20.100000000000001" customHeight="1" thickBot="1" x14ac:dyDescent="0.3">
      <c r="A28" s="2" t="s">
        <v>30</v>
      </c>
      <c r="C28" s="19" t="s">
        <v>88</v>
      </c>
    </row>
    <row r="29" spans="1:3" ht="20.100000000000001" customHeight="1" thickBot="1" x14ac:dyDescent="0.3">
      <c r="A29" s="2" t="s">
        <v>31</v>
      </c>
      <c r="C29" s="2"/>
    </row>
    <row r="30" spans="1:3" ht="20.100000000000001" customHeight="1" thickBot="1" x14ac:dyDescent="0.3">
      <c r="A30" s="2" t="s">
        <v>32</v>
      </c>
      <c r="C30" s="2"/>
    </row>
    <row r="31" spans="1:3" ht="20.100000000000001" customHeight="1" thickBot="1" x14ac:dyDescent="0.3">
      <c r="A31" s="2" t="s">
        <v>33</v>
      </c>
      <c r="C31" s="2"/>
    </row>
    <row r="32" spans="1:3" ht="20.100000000000001" customHeight="1" thickBot="1" x14ac:dyDescent="0.3">
      <c r="A32" s="2" t="s">
        <v>16</v>
      </c>
      <c r="C32" s="2"/>
    </row>
    <row r="33" spans="1:9" ht="20.100000000000001" customHeight="1" thickBot="1" x14ac:dyDescent="0.3">
      <c r="A33" s="2" t="s">
        <v>14</v>
      </c>
      <c r="C33" s="2"/>
    </row>
    <row r="34" spans="1:9" ht="20.100000000000001" customHeight="1" thickBot="1" x14ac:dyDescent="0.3">
      <c r="A34" s="2" t="s">
        <v>34</v>
      </c>
      <c r="C34" s="2"/>
    </row>
    <row r="35" spans="1:9" ht="20.100000000000001" customHeight="1" x14ac:dyDescent="0.2">
      <c r="A35" s="18"/>
    </row>
    <row r="36" spans="1:9" s="17" customFormat="1" ht="20.100000000000001" customHeight="1" x14ac:dyDescent="0.2">
      <c r="A36" s="15"/>
      <c r="B36" s="16"/>
      <c r="C36" s="16"/>
      <c r="D36" s="16"/>
      <c r="E36" s="16"/>
      <c r="F36" s="16"/>
      <c r="G36" s="16"/>
      <c r="H36" s="16"/>
      <c r="I36" s="16"/>
    </row>
    <row r="37" spans="1:9" ht="20.100000000000001" customHeight="1" thickBot="1" x14ac:dyDescent="0.25"/>
    <row r="38" spans="1:9" ht="20.100000000000001" customHeight="1" thickBot="1" x14ac:dyDescent="0.3">
      <c r="A38" s="2" t="s">
        <v>56</v>
      </c>
    </row>
    <row r="39" spans="1:9" ht="20.100000000000001" customHeight="1" thickBot="1" x14ac:dyDescent="0.3">
      <c r="A39" s="13">
        <v>45901</v>
      </c>
    </row>
    <row r="40" spans="1:9" ht="20.100000000000001" customHeight="1" thickBot="1" x14ac:dyDescent="0.3">
      <c r="A40" s="13">
        <v>45902</v>
      </c>
    </row>
    <row r="41" spans="1:9" ht="20.100000000000001" customHeight="1" thickBot="1" x14ac:dyDescent="0.3">
      <c r="A41" s="13">
        <v>45903</v>
      </c>
    </row>
    <row r="42" spans="1:9" ht="20.100000000000001" customHeight="1" thickBot="1" x14ac:dyDescent="0.3">
      <c r="A42" s="13">
        <v>45904</v>
      </c>
    </row>
    <row r="43" spans="1:9" ht="20.100000000000001" customHeight="1" thickBot="1" x14ac:dyDescent="0.3">
      <c r="A43" s="13">
        <v>45905</v>
      </c>
    </row>
    <row r="44" spans="1:9" ht="20.100000000000001" customHeight="1" thickBot="1" x14ac:dyDescent="0.3">
      <c r="A44" s="13">
        <v>45906</v>
      </c>
    </row>
    <row r="45" spans="1:9" ht="20.100000000000001" customHeight="1" thickBot="1" x14ac:dyDescent="0.3">
      <c r="A45" s="13">
        <v>45907</v>
      </c>
    </row>
    <row r="46" spans="1:9" ht="20.100000000000001" customHeight="1" thickBot="1" x14ac:dyDescent="0.3">
      <c r="A46" s="13">
        <v>45908</v>
      </c>
    </row>
    <row r="47" spans="1:9" ht="20.100000000000001" customHeight="1" thickBot="1" x14ac:dyDescent="0.3">
      <c r="A47" s="13">
        <v>45909</v>
      </c>
    </row>
    <row r="48" spans="1:9" ht="20.100000000000001" customHeight="1" thickBot="1" x14ac:dyDescent="0.3">
      <c r="A48" s="13">
        <v>45910</v>
      </c>
    </row>
    <row r="49" spans="1:1" ht="20.100000000000001" customHeight="1" thickBot="1" x14ac:dyDescent="0.3">
      <c r="A49" s="13">
        <v>45911</v>
      </c>
    </row>
    <row r="50" spans="1:1" ht="20.100000000000001" customHeight="1" thickBot="1" x14ac:dyDescent="0.3">
      <c r="A50" s="13">
        <v>45912</v>
      </c>
    </row>
    <row r="51" spans="1:1" ht="20.100000000000001" customHeight="1" thickBot="1" x14ac:dyDescent="0.3">
      <c r="A51" s="13">
        <v>45913</v>
      </c>
    </row>
    <row r="52" spans="1:1" ht="20.100000000000001" customHeight="1" thickBot="1" x14ac:dyDescent="0.3">
      <c r="A52" s="13">
        <v>45914</v>
      </c>
    </row>
    <row r="53" spans="1:1" ht="20.100000000000001" customHeight="1" thickBot="1" x14ac:dyDescent="0.3">
      <c r="A53" s="13">
        <v>45915</v>
      </c>
    </row>
    <row r="54" spans="1:1" ht="20.100000000000001" customHeight="1" thickBot="1" x14ac:dyDescent="0.3">
      <c r="A54" s="13">
        <v>45916</v>
      </c>
    </row>
    <row r="55" spans="1:1" ht="20.100000000000001" customHeight="1" thickBot="1" x14ac:dyDescent="0.3">
      <c r="A55" s="13">
        <v>45917</v>
      </c>
    </row>
    <row r="56" spans="1:1" ht="20.100000000000001" customHeight="1" thickBot="1" x14ac:dyDescent="0.3">
      <c r="A56" s="13">
        <v>45918</v>
      </c>
    </row>
    <row r="57" spans="1:1" ht="20.100000000000001" customHeight="1" thickBot="1" x14ac:dyDescent="0.3">
      <c r="A57" s="13">
        <v>45919</v>
      </c>
    </row>
    <row r="58" spans="1:1" ht="20.100000000000001" customHeight="1" thickBot="1" x14ac:dyDescent="0.3">
      <c r="A58" s="13">
        <v>45920</v>
      </c>
    </row>
    <row r="59" spans="1:1" ht="20.100000000000001" customHeight="1" thickBot="1" x14ac:dyDescent="0.3">
      <c r="A59" s="13">
        <v>45921</v>
      </c>
    </row>
    <row r="60" spans="1:1" ht="20.100000000000001" customHeight="1" thickBot="1" x14ac:dyDescent="0.3">
      <c r="A60" s="13">
        <v>45922</v>
      </c>
    </row>
    <row r="61" spans="1:1" ht="20.100000000000001" customHeight="1" thickBot="1" x14ac:dyDescent="0.3">
      <c r="A61" s="13">
        <v>45923</v>
      </c>
    </row>
    <row r="62" spans="1:1" ht="20.100000000000001" customHeight="1" thickBot="1" x14ac:dyDescent="0.3">
      <c r="A62" s="13">
        <v>45924</v>
      </c>
    </row>
    <row r="63" spans="1:1" ht="20.100000000000001" customHeight="1" thickBot="1" x14ac:dyDescent="0.3">
      <c r="A63" s="13">
        <v>45925</v>
      </c>
    </row>
    <row r="64" spans="1:1" ht="20.100000000000001" customHeight="1" thickBot="1" x14ac:dyDescent="0.3">
      <c r="A64" s="13">
        <v>45926</v>
      </c>
    </row>
    <row r="65" spans="1:1" ht="20.100000000000001" customHeight="1" thickBot="1" x14ac:dyDescent="0.3">
      <c r="A65" s="13">
        <v>45927</v>
      </c>
    </row>
    <row r="66" spans="1:1" ht="20.100000000000001" customHeight="1" thickBot="1" x14ac:dyDescent="0.3">
      <c r="A66" s="13">
        <v>45928</v>
      </c>
    </row>
    <row r="67" spans="1:1" ht="20.100000000000001" customHeight="1" thickBot="1" x14ac:dyDescent="0.3">
      <c r="A67" s="13">
        <v>45929</v>
      </c>
    </row>
    <row r="68" spans="1:1" ht="20.100000000000001" customHeight="1" thickBot="1" x14ac:dyDescent="0.3">
      <c r="A68" s="13">
        <v>45930</v>
      </c>
    </row>
    <row r="69" spans="1:1" ht="20.100000000000001" customHeight="1" thickBot="1" x14ac:dyDescent="0.3">
      <c r="A69" s="13">
        <v>45931</v>
      </c>
    </row>
    <row r="70" spans="1:1" ht="20.100000000000001" customHeight="1" thickBot="1" x14ac:dyDescent="0.3">
      <c r="A70" s="13">
        <v>45932</v>
      </c>
    </row>
    <row r="71" spans="1:1" ht="20.100000000000001" customHeight="1" thickBot="1" x14ac:dyDescent="0.3">
      <c r="A71" s="13">
        <v>45933</v>
      </c>
    </row>
    <row r="72" spans="1:1" ht="20.100000000000001" customHeight="1" thickBot="1" x14ac:dyDescent="0.3">
      <c r="A72" s="13">
        <v>45934</v>
      </c>
    </row>
    <row r="73" spans="1:1" ht="20.100000000000001" customHeight="1" thickBot="1" x14ac:dyDescent="0.3">
      <c r="A73" s="13">
        <v>45935</v>
      </c>
    </row>
    <row r="74" spans="1:1" ht="20.100000000000001" customHeight="1" thickBot="1" x14ac:dyDescent="0.3">
      <c r="A74" s="13">
        <v>45936</v>
      </c>
    </row>
    <row r="75" spans="1:1" ht="20.100000000000001" customHeight="1" thickBot="1" x14ac:dyDescent="0.3">
      <c r="A75" s="13">
        <v>45937</v>
      </c>
    </row>
    <row r="76" spans="1:1" ht="20.100000000000001" customHeight="1" thickBot="1" x14ac:dyDescent="0.3">
      <c r="A76" s="13">
        <v>45938</v>
      </c>
    </row>
    <row r="77" spans="1:1" ht="20.100000000000001" customHeight="1" thickBot="1" x14ac:dyDescent="0.3">
      <c r="A77" s="13">
        <v>45939</v>
      </c>
    </row>
    <row r="78" spans="1:1" ht="20.100000000000001" customHeight="1" thickBot="1" x14ac:dyDescent="0.3">
      <c r="A78" s="13">
        <v>45940</v>
      </c>
    </row>
    <row r="79" spans="1:1" ht="20.100000000000001" customHeight="1" thickBot="1" x14ac:dyDescent="0.3">
      <c r="A79" s="13">
        <v>45941</v>
      </c>
    </row>
    <row r="80" spans="1:1" ht="20.100000000000001" customHeight="1" thickBot="1" x14ac:dyDescent="0.3">
      <c r="A80" s="13">
        <v>45942</v>
      </c>
    </row>
    <row r="81" spans="1:1" ht="20.100000000000001" customHeight="1" thickBot="1" x14ac:dyDescent="0.3">
      <c r="A81" s="13">
        <v>45943</v>
      </c>
    </row>
    <row r="82" spans="1:1" ht="20.100000000000001" customHeight="1" thickBot="1" x14ac:dyDescent="0.3">
      <c r="A82" s="13">
        <v>45944</v>
      </c>
    </row>
    <row r="83" spans="1:1" ht="20.100000000000001" customHeight="1" thickBot="1" x14ac:dyDescent="0.3">
      <c r="A83" s="13">
        <v>45945</v>
      </c>
    </row>
    <row r="84" spans="1:1" ht="20.100000000000001" customHeight="1" thickBot="1" x14ac:dyDescent="0.3">
      <c r="A84" s="13">
        <v>45946</v>
      </c>
    </row>
    <row r="85" spans="1:1" ht="20.100000000000001" customHeight="1" thickBot="1" x14ac:dyDescent="0.3">
      <c r="A85" s="13">
        <v>45947</v>
      </c>
    </row>
    <row r="86" spans="1:1" ht="20.100000000000001" customHeight="1" thickBot="1" x14ac:dyDescent="0.3">
      <c r="A86" s="13">
        <v>45948</v>
      </c>
    </row>
    <row r="87" spans="1:1" ht="20.100000000000001" customHeight="1" thickBot="1" x14ac:dyDescent="0.3">
      <c r="A87" s="13">
        <v>45949</v>
      </c>
    </row>
    <row r="88" spans="1:1" ht="20.100000000000001" customHeight="1" thickBot="1" x14ac:dyDescent="0.3">
      <c r="A88" s="13">
        <v>45950</v>
      </c>
    </row>
    <row r="89" spans="1:1" ht="20.100000000000001" customHeight="1" thickBot="1" x14ac:dyDescent="0.3">
      <c r="A89" s="13">
        <v>45951</v>
      </c>
    </row>
    <row r="90" spans="1:1" ht="20.100000000000001" customHeight="1" thickBot="1" x14ac:dyDescent="0.3">
      <c r="A90" s="13">
        <v>45952</v>
      </c>
    </row>
    <row r="91" spans="1:1" ht="20.100000000000001" customHeight="1" thickBot="1" x14ac:dyDescent="0.3">
      <c r="A91" s="13">
        <v>45953</v>
      </c>
    </row>
    <row r="92" spans="1:1" ht="20.100000000000001" customHeight="1" thickBot="1" x14ac:dyDescent="0.3">
      <c r="A92" s="13">
        <v>45954</v>
      </c>
    </row>
    <row r="93" spans="1:1" ht="20.100000000000001" customHeight="1" thickBot="1" x14ac:dyDescent="0.3">
      <c r="A93" s="13">
        <v>45955</v>
      </c>
    </row>
    <row r="94" spans="1:1" ht="20.100000000000001" customHeight="1" thickBot="1" x14ac:dyDescent="0.3">
      <c r="A94" s="13">
        <v>45956</v>
      </c>
    </row>
    <row r="95" spans="1:1" ht="20.100000000000001" customHeight="1" thickBot="1" x14ac:dyDescent="0.3">
      <c r="A95" s="13">
        <v>45957</v>
      </c>
    </row>
    <row r="96" spans="1:1" ht="20.100000000000001" customHeight="1" thickBot="1" x14ac:dyDescent="0.3">
      <c r="A96" s="13">
        <v>45958</v>
      </c>
    </row>
    <row r="97" spans="1:9" ht="20.100000000000001" customHeight="1" thickBot="1" x14ac:dyDescent="0.3">
      <c r="A97" s="13">
        <v>45959</v>
      </c>
    </row>
    <row r="98" spans="1:9" ht="20.100000000000001" customHeight="1" thickBot="1" x14ac:dyDescent="0.3">
      <c r="A98" s="13">
        <v>45960</v>
      </c>
    </row>
    <row r="99" spans="1:9" ht="20.100000000000001" customHeight="1" thickBot="1" x14ac:dyDescent="0.3">
      <c r="A99" s="13">
        <v>45961</v>
      </c>
    </row>
    <row r="100" spans="1:9" ht="20.100000000000001" customHeight="1" thickBot="1" x14ac:dyDescent="0.3">
      <c r="A100" s="13">
        <v>45962</v>
      </c>
    </row>
    <row r="101" spans="1:9" ht="20.100000000000001" customHeight="1" thickBot="1" x14ac:dyDescent="0.3">
      <c r="A101" s="13">
        <v>45963</v>
      </c>
    </row>
    <row r="102" spans="1:9" ht="20.100000000000001" customHeight="1" thickBot="1" x14ac:dyDescent="0.3">
      <c r="A102" s="13">
        <v>45964</v>
      </c>
    </row>
    <row r="103" spans="1:9" ht="20.100000000000001" customHeight="1" thickBot="1" x14ac:dyDescent="0.3">
      <c r="A103" s="13">
        <v>45965</v>
      </c>
    </row>
    <row r="104" spans="1:9" ht="20.100000000000001" customHeight="1" thickBot="1" x14ac:dyDescent="0.3">
      <c r="A104" s="13">
        <v>45966</v>
      </c>
    </row>
    <row r="105" spans="1:9" ht="20.100000000000001" customHeight="1" thickBot="1" x14ac:dyDescent="0.3">
      <c r="A105" s="13">
        <v>45967</v>
      </c>
    </row>
    <row r="106" spans="1:9" ht="20.100000000000001" customHeight="1" thickBot="1" x14ac:dyDescent="0.3">
      <c r="A106" s="13">
        <v>45968</v>
      </c>
    </row>
    <row r="107" spans="1:9" ht="20.100000000000001" customHeight="1" x14ac:dyDescent="0.2">
      <c r="A107" s="14"/>
    </row>
    <row r="108" spans="1:9" ht="20.100000000000001" customHeight="1" x14ac:dyDescent="0.2">
      <c r="A108" s="14"/>
    </row>
    <row r="109" spans="1:9" s="17" customFormat="1" ht="20.100000000000001" customHeight="1" x14ac:dyDescent="0.2">
      <c r="A109" s="15"/>
      <c r="B109" s="16"/>
      <c r="C109" s="16"/>
      <c r="D109" s="16"/>
      <c r="E109" s="16"/>
      <c r="F109" s="16"/>
      <c r="G109" s="16"/>
      <c r="H109" s="16"/>
      <c r="I109" s="16"/>
    </row>
    <row r="110" spans="1:9" ht="20.100000000000001" customHeight="1" thickBot="1" x14ac:dyDescent="0.25"/>
    <row r="111" spans="1:9" ht="20.100000000000001" customHeight="1" thickBot="1" x14ac:dyDescent="0.3">
      <c r="A111" s="2" t="s">
        <v>61</v>
      </c>
    </row>
    <row r="112" spans="1:9" ht="20.100000000000001" customHeight="1" thickBot="1" x14ac:dyDescent="0.3">
      <c r="A112" s="2" t="s">
        <v>17</v>
      </c>
    </row>
    <row r="113" spans="1:1" ht="20.100000000000001" customHeight="1" thickBot="1" x14ac:dyDescent="0.25">
      <c r="A113" s="2">
        <v>0</v>
      </c>
    </row>
    <row r="114" spans="1:1" ht="20.100000000000001" customHeight="1" thickBot="1" x14ac:dyDescent="0.25">
      <c r="A114" s="2">
        <v>0.25</v>
      </c>
    </row>
    <row r="115" spans="1:1" ht="20.100000000000001" customHeight="1" thickBot="1" x14ac:dyDescent="0.25">
      <c r="A115" s="2">
        <v>0.5</v>
      </c>
    </row>
    <row r="116" spans="1:1" ht="20.100000000000001" customHeight="1" thickBot="1" x14ac:dyDescent="0.25">
      <c r="A116" s="2">
        <v>0.75</v>
      </c>
    </row>
    <row r="117" spans="1:1" ht="20.100000000000001" customHeight="1" thickBot="1" x14ac:dyDescent="0.25">
      <c r="A117" s="2">
        <v>1</v>
      </c>
    </row>
    <row r="118" spans="1:1" ht="20.100000000000001" customHeight="1" thickBot="1" x14ac:dyDescent="0.25">
      <c r="A118" s="2">
        <v>1.25</v>
      </c>
    </row>
    <row r="119" spans="1:1" ht="20.100000000000001" customHeight="1" thickBot="1" x14ac:dyDescent="0.25">
      <c r="A119" s="2">
        <v>1.5</v>
      </c>
    </row>
    <row r="120" spans="1:1" ht="20.100000000000001" customHeight="1" thickBot="1" x14ac:dyDescent="0.25">
      <c r="A120" s="2">
        <v>1.75</v>
      </c>
    </row>
    <row r="121" spans="1:1" ht="20.100000000000001" customHeight="1" thickBot="1" x14ac:dyDescent="0.25">
      <c r="A121" s="2">
        <v>2</v>
      </c>
    </row>
    <row r="122" spans="1:1" ht="20.100000000000001" customHeight="1" thickBot="1" x14ac:dyDescent="0.25">
      <c r="A122" s="2">
        <v>2.25</v>
      </c>
    </row>
    <row r="123" spans="1:1" ht="20.100000000000001" customHeight="1" thickBot="1" x14ac:dyDescent="0.25">
      <c r="A123" s="2">
        <v>2.5</v>
      </c>
    </row>
    <row r="124" spans="1:1" ht="20.100000000000001" customHeight="1" thickBot="1" x14ac:dyDescent="0.25">
      <c r="A124" s="2">
        <v>2.75</v>
      </c>
    </row>
    <row r="125" spans="1:1" ht="20.100000000000001" customHeight="1" thickBot="1" x14ac:dyDescent="0.25">
      <c r="A125" s="2">
        <v>3</v>
      </c>
    </row>
    <row r="126" spans="1:1" ht="20.100000000000001" customHeight="1" thickBot="1" x14ac:dyDescent="0.25">
      <c r="A126" s="2">
        <v>3.25</v>
      </c>
    </row>
    <row r="127" spans="1:1" ht="20.100000000000001" customHeight="1" thickBot="1" x14ac:dyDescent="0.25">
      <c r="A127" s="2">
        <v>3.5</v>
      </c>
    </row>
    <row r="128" spans="1:1" ht="20.100000000000001" customHeight="1" thickBot="1" x14ac:dyDescent="0.25">
      <c r="A128" s="2">
        <v>3.75</v>
      </c>
    </row>
    <row r="129" spans="1:1" ht="20.100000000000001" customHeight="1" thickBot="1" x14ac:dyDescent="0.25">
      <c r="A129" s="2">
        <v>4</v>
      </c>
    </row>
    <row r="130" spans="1:1" ht="20.100000000000001" customHeight="1" thickBot="1" x14ac:dyDescent="0.25">
      <c r="A130" s="2">
        <v>4.25</v>
      </c>
    </row>
    <row r="131" spans="1:1" ht="20.100000000000001" customHeight="1" thickBot="1" x14ac:dyDescent="0.25">
      <c r="A131" s="2">
        <v>4.5</v>
      </c>
    </row>
    <row r="132" spans="1:1" ht="20.100000000000001" customHeight="1" thickBot="1" x14ac:dyDescent="0.25">
      <c r="A132" s="2">
        <v>4.75</v>
      </c>
    </row>
    <row r="133" spans="1:1" ht="20.100000000000001" customHeight="1" thickBot="1" x14ac:dyDescent="0.25">
      <c r="A133" s="2">
        <v>5</v>
      </c>
    </row>
    <row r="134" spans="1:1" ht="20.100000000000001" customHeight="1" thickBot="1" x14ac:dyDescent="0.25">
      <c r="A134" s="2">
        <v>5.25</v>
      </c>
    </row>
    <row r="135" spans="1:1" ht="20.100000000000001" customHeight="1" thickBot="1" x14ac:dyDescent="0.25">
      <c r="A135" s="2">
        <v>5.5</v>
      </c>
    </row>
    <row r="136" spans="1:1" ht="20.100000000000001" customHeight="1" thickBot="1" x14ac:dyDescent="0.25">
      <c r="A136" s="2">
        <v>5.75</v>
      </c>
    </row>
    <row r="137" spans="1:1" ht="20.100000000000001" customHeight="1" thickBot="1" x14ac:dyDescent="0.25">
      <c r="A137" s="2">
        <v>6</v>
      </c>
    </row>
    <row r="138" spans="1:1" ht="20.100000000000001" customHeight="1" thickBot="1" x14ac:dyDescent="0.25">
      <c r="A138" s="2">
        <v>6.25</v>
      </c>
    </row>
    <row r="139" spans="1:1" ht="20.100000000000001" customHeight="1" thickBot="1" x14ac:dyDescent="0.25">
      <c r="A139" s="2">
        <v>6.5</v>
      </c>
    </row>
    <row r="140" spans="1:1" ht="20.100000000000001" customHeight="1" thickBot="1" x14ac:dyDescent="0.25">
      <c r="A140" s="2">
        <v>6.75</v>
      </c>
    </row>
    <row r="141" spans="1:1" ht="20.100000000000001" customHeight="1" thickBot="1" x14ac:dyDescent="0.25">
      <c r="A141" s="2">
        <v>7</v>
      </c>
    </row>
    <row r="142" spans="1:1" ht="20.100000000000001" customHeight="1" thickBot="1" x14ac:dyDescent="0.25">
      <c r="A142" s="2">
        <v>7.25</v>
      </c>
    </row>
    <row r="143" spans="1:1" ht="20.100000000000001" customHeight="1" thickBot="1" x14ac:dyDescent="0.25">
      <c r="A143" s="2">
        <v>7.5</v>
      </c>
    </row>
    <row r="144" spans="1:1" ht="20.100000000000001" customHeight="1" thickBot="1" x14ac:dyDescent="0.25">
      <c r="A144" s="2">
        <v>7.75</v>
      </c>
    </row>
    <row r="145" spans="1:1" ht="20.100000000000001" customHeight="1" thickBot="1" x14ac:dyDescent="0.25">
      <c r="A145" s="2">
        <v>8</v>
      </c>
    </row>
    <row r="146" spans="1:1" ht="20.100000000000001" customHeight="1" thickBot="1" x14ac:dyDescent="0.25">
      <c r="A146" s="2">
        <v>8.25</v>
      </c>
    </row>
    <row r="147" spans="1:1" ht="20.100000000000001" customHeight="1" thickBot="1" x14ac:dyDescent="0.25">
      <c r="A147" s="2">
        <v>8.5</v>
      </c>
    </row>
    <row r="148" spans="1:1" ht="20.100000000000001" customHeight="1" thickBot="1" x14ac:dyDescent="0.25">
      <c r="A148" s="2">
        <v>8.75</v>
      </c>
    </row>
    <row r="149" spans="1:1" ht="20.100000000000001" customHeight="1" thickBot="1" x14ac:dyDescent="0.25">
      <c r="A149" s="2">
        <v>9</v>
      </c>
    </row>
    <row r="150" spans="1:1" ht="20.100000000000001" customHeight="1" thickBot="1" x14ac:dyDescent="0.25">
      <c r="A150" s="2">
        <v>9.25</v>
      </c>
    </row>
    <row r="151" spans="1:1" ht="20.100000000000001" customHeight="1" thickBot="1" x14ac:dyDescent="0.25">
      <c r="A151" s="2">
        <v>9.5</v>
      </c>
    </row>
    <row r="152" spans="1:1" ht="20.100000000000001" customHeight="1" thickBot="1" x14ac:dyDescent="0.25">
      <c r="A152" s="2">
        <v>9.75</v>
      </c>
    </row>
    <row r="153" spans="1:1" ht="20.100000000000001" customHeight="1" thickBot="1" x14ac:dyDescent="0.25">
      <c r="A153" s="2">
        <v>10</v>
      </c>
    </row>
    <row r="154" spans="1:1" ht="20.100000000000001" customHeight="1" thickBot="1" x14ac:dyDescent="0.25">
      <c r="A154" s="2">
        <v>10.25</v>
      </c>
    </row>
    <row r="155" spans="1:1" ht="20.100000000000001" customHeight="1" thickBot="1" x14ac:dyDescent="0.25">
      <c r="A155" s="2">
        <v>10.5</v>
      </c>
    </row>
    <row r="156" spans="1:1" ht="20.100000000000001" customHeight="1" thickBot="1" x14ac:dyDescent="0.25">
      <c r="A156" s="2">
        <v>10.75</v>
      </c>
    </row>
    <row r="157" spans="1:1" ht="20.100000000000001" customHeight="1" thickBot="1" x14ac:dyDescent="0.25">
      <c r="A157" s="2">
        <v>11</v>
      </c>
    </row>
    <row r="158" spans="1:1" ht="20.100000000000001" customHeight="1" thickBot="1" x14ac:dyDescent="0.25">
      <c r="A158" s="2">
        <v>11.25</v>
      </c>
    </row>
    <row r="159" spans="1:1" ht="20.100000000000001" customHeight="1" thickBot="1" x14ac:dyDescent="0.25">
      <c r="A159" s="2">
        <v>11.5</v>
      </c>
    </row>
    <row r="160" spans="1:1" ht="20.100000000000001" customHeight="1" thickBot="1" x14ac:dyDescent="0.25">
      <c r="A160" s="2">
        <v>11.75</v>
      </c>
    </row>
    <row r="161" spans="1:1" ht="20.100000000000001" customHeight="1" thickBot="1" x14ac:dyDescent="0.25">
      <c r="A161" s="2">
        <v>12</v>
      </c>
    </row>
    <row r="162" spans="1:1" ht="20.100000000000001" customHeight="1" thickBot="1" x14ac:dyDescent="0.25">
      <c r="A162" s="2">
        <v>12.25</v>
      </c>
    </row>
    <row r="163" spans="1:1" ht="20.100000000000001" customHeight="1" thickBot="1" x14ac:dyDescent="0.25">
      <c r="A163" s="2">
        <v>12.5</v>
      </c>
    </row>
    <row r="164" spans="1:1" ht="20.100000000000001" customHeight="1" thickBot="1" x14ac:dyDescent="0.25">
      <c r="A164" s="2">
        <v>12.75</v>
      </c>
    </row>
    <row r="165" spans="1:1" ht="20.100000000000001" customHeight="1" thickBot="1" x14ac:dyDescent="0.25">
      <c r="A165" s="2">
        <v>13</v>
      </c>
    </row>
    <row r="166" spans="1:1" ht="20.100000000000001" customHeight="1" thickBot="1" x14ac:dyDescent="0.25">
      <c r="A166" s="2">
        <v>13.25</v>
      </c>
    </row>
    <row r="167" spans="1:1" ht="20.100000000000001" customHeight="1" thickBot="1" x14ac:dyDescent="0.25">
      <c r="A167" s="2">
        <v>13.5</v>
      </c>
    </row>
    <row r="168" spans="1:1" ht="20.100000000000001" customHeight="1" thickBot="1" x14ac:dyDescent="0.25">
      <c r="A168" s="2">
        <v>13.75</v>
      </c>
    </row>
    <row r="169" spans="1:1" ht="20.100000000000001" customHeight="1" thickBot="1" x14ac:dyDescent="0.25">
      <c r="A169" s="2">
        <v>14</v>
      </c>
    </row>
    <row r="170" spans="1:1" ht="20.100000000000001" customHeight="1" thickBot="1" x14ac:dyDescent="0.25">
      <c r="A170" s="2">
        <v>14.25</v>
      </c>
    </row>
    <row r="171" spans="1:1" ht="20.100000000000001" customHeight="1" thickBot="1" x14ac:dyDescent="0.25">
      <c r="A171" s="2">
        <v>14.5</v>
      </c>
    </row>
    <row r="172" spans="1:1" ht="20.100000000000001" customHeight="1" thickBot="1" x14ac:dyDescent="0.25">
      <c r="A172" s="2">
        <v>14.75</v>
      </c>
    </row>
    <row r="173" spans="1:1" ht="20.100000000000001" customHeight="1" thickBot="1" x14ac:dyDescent="0.25">
      <c r="A173" s="2">
        <v>15</v>
      </c>
    </row>
    <row r="174" spans="1:1" ht="20.100000000000001" customHeight="1" thickBot="1" x14ac:dyDescent="0.25">
      <c r="A174" s="2">
        <v>15.25</v>
      </c>
    </row>
    <row r="175" spans="1:1" ht="20.100000000000001" customHeight="1" thickBot="1" x14ac:dyDescent="0.25">
      <c r="A175" s="2">
        <v>15.5</v>
      </c>
    </row>
    <row r="176" spans="1:1" ht="20.100000000000001" customHeight="1" thickBot="1" x14ac:dyDescent="0.25">
      <c r="A176" s="2">
        <v>15.75</v>
      </c>
    </row>
    <row r="177" spans="1:1" ht="20.100000000000001" customHeight="1" thickBot="1" x14ac:dyDescent="0.25">
      <c r="A177" s="2">
        <v>16</v>
      </c>
    </row>
    <row r="178" spans="1:1" ht="20.100000000000001" customHeight="1" thickBot="1" x14ac:dyDescent="0.25">
      <c r="A178" s="2">
        <v>16.25</v>
      </c>
    </row>
    <row r="179" spans="1:1" ht="20.100000000000001" customHeight="1" thickBot="1" x14ac:dyDescent="0.25">
      <c r="A179" s="2">
        <v>16.5</v>
      </c>
    </row>
    <row r="180" spans="1:1" ht="20.100000000000001" customHeight="1" thickBot="1" x14ac:dyDescent="0.25">
      <c r="A180" s="2">
        <v>16.75</v>
      </c>
    </row>
    <row r="181" spans="1:1" ht="20.100000000000001" customHeight="1" thickBot="1" x14ac:dyDescent="0.25">
      <c r="A181" s="2">
        <v>17</v>
      </c>
    </row>
    <row r="182" spans="1:1" ht="20.100000000000001" customHeight="1" thickBot="1" x14ac:dyDescent="0.25">
      <c r="A182" s="2">
        <v>17.25</v>
      </c>
    </row>
    <row r="183" spans="1:1" ht="20.100000000000001" customHeight="1" thickBot="1" x14ac:dyDescent="0.25">
      <c r="A183" s="2">
        <v>17.5</v>
      </c>
    </row>
    <row r="184" spans="1:1" ht="20.100000000000001" customHeight="1" thickBot="1" x14ac:dyDescent="0.25">
      <c r="A184" s="2">
        <v>17.75</v>
      </c>
    </row>
    <row r="185" spans="1:1" ht="20.100000000000001" customHeight="1" thickBot="1" x14ac:dyDescent="0.25">
      <c r="A185" s="2">
        <v>18</v>
      </c>
    </row>
    <row r="186" spans="1:1" ht="20.100000000000001" customHeight="1" thickBot="1" x14ac:dyDescent="0.25">
      <c r="A186" s="2">
        <v>18.25</v>
      </c>
    </row>
    <row r="187" spans="1:1" ht="20.100000000000001" customHeight="1" thickBot="1" x14ac:dyDescent="0.25">
      <c r="A187" s="2">
        <v>18.5</v>
      </c>
    </row>
    <row r="188" spans="1:1" ht="20.100000000000001" customHeight="1" thickBot="1" x14ac:dyDescent="0.25">
      <c r="A188" s="2">
        <v>18.75</v>
      </c>
    </row>
    <row r="189" spans="1:1" ht="20.100000000000001" customHeight="1" thickBot="1" x14ac:dyDescent="0.25">
      <c r="A189" s="2">
        <v>19</v>
      </c>
    </row>
    <row r="190" spans="1:1" ht="20.100000000000001" customHeight="1" thickBot="1" x14ac:dyDescent="0.25">
      <c r="A190" s="2">
        <v>19.25</v>
      </c>
    </row>
    <row r="191" spans="1:1" ht="20.100000000000001" customHeight="1" thickBot="1" x14ac:dyDescent="0.25">
      <c r="A191" s="2">
        <v>19.5</v>
      </c>
    </row>
    <row r="192" spans="1:1" ht="20.100000000000001" customHeight="1" thickBot="1" x14ac:dyDescent="0.25">
      <c r="A192" s="2">
        <v>19.75</v>
      </c>
    </row>
    <row r="193" spans="1:1" ht="20.100000000000001" customHeight="1" thickBot="1" x14ac:dyDescent="0.25">
      <c r="A193" s="2">
        <v>20</v>
      </c>
    </row>
    <row r="197" spans="1:1" ht="20.100000000000001" customHeight="1" thickBot="1" x14ac:dyDescent="0.25"/>
    <row r="198" spans="1:1" ht="20.100000000000001" customHeight="1" thickBot="1" x14ac:dyDescent="0.3">
      <c r="A198" s="2" t="s">
        <v>59</v>
      </c>
    </row>
    <row r="199" spans="1:1" ht="20.100000000000001" customHeight="1" x14ac:dyDescent="0.2">
      <c r="A199" s="20" t="s">
        <v>89</v>
      </c>
    </row>
    <row r="200" spans="1:1" ht="20.100000000000001" customHeight="1" x14ac:dyDescent="0.2">
      <c r="A200" s="20" t="s">
        <v>90</v>
      </c>
    </row>
    <row r="201" spans="1:1" ht="20.100000000000001" customHeight="1" x14ac:dyDescent="0.2">
      <c r="A201" s="20" t="s">
        <v>91</v>
      </c>
    </row>
    <row r="202" spans="1:1" ht="20.100000000000001" customHeight="1" x14ac:dyDescent="0.2">
      <c r="A202" s="20" t="s">
        <v>92</v>
      </c>
    </row>
    <row r="203" spans="1:1" ht="20.100000000000001" customHeight="1" x14ac:dyDescent="0.2">
      <c r="A203" s="20" t="s">
        <v>93</v>
      </c>
    </row>
    <row r="204" spans="1:1" ht="20.100000000000001" customHeight="1" x14ac:dyDescent="0.2">
      <c r="A204" s="20" t="s">
        <v>94</v>
      </c>
    </row>
    <row r="205" spans="1:1" ht="20.100000000000001" customHeight="1" x14ac:dyDescent="0.2">
      <c r="A205" s="20" t="s">
        <v>95</v>
      </c>
    </row>
    <row r="206" spans="1:1" ht="20.100000000000001" customHeight="1" x14ac:dyDescent="0.2">
      <c r="A206" s="20" t="s">
        <v>96</v>
      </c>
    </row>
    <row r="207" spans="1:1" ht="20.100000000000001" customHeight="1" x14ac:dyDescent="0.2">
      <c r="A207" s="20" t="s">
        <v>97</v>
      </c>
    </row>
    <row r="208" spans="1:1" ht="20.100000000000001" customHeight="1" x14ac:dyDescent="0.2">
      <c r="A208" s="21" t="s">
        <v>98</v>
      </c>
    </row>
    <row r="209" spans="1:1" ht="20.100000000000001" customHeight="1" x14ac:dyDescent="0.2">
      <c r="A209" s="21" t="s">
        <v>99</v>
      </c>
    </row>
    <row r="210" spans="1:1" ht="20.100000000000001" customHeight="1" x14ac:dyDescent="0.2">
      <c r="A210" s="20" t="s">
        <v>100</v>
      </c>
    </row>
    <row r="211" spans="1:1" ht="20.100000000000001" customHeight="1" x14ac:dyDescent="0.2">
      <c r="A211" s="20" t="s">
        <v>101</v>
      </c>
    </row>
    <row r="212" spans="1:1" ht="20.100000000000001" customHeight="1" x14ac:dyDescent="0.2">
      <c r="A212" s="20" t="s">
        <v>102</v>
      </c>
    </row>
    <row r="213" spans="1:1" ht="20.100000000000001" customHeight="1" x14ac:dyDescent="0.2">
      <c r="A213" s="20" t="s">
        <v>103</v>
      </c>
    </row>
    <row r="214" spans="1:1" ht="20.100000000000001" customHeight="1" x14ac:dyDescent="0.2">
      <c r="A214" s="20" t="s">
        <v>104</v>
      </c>
    </row>
    <row r="215" spans="1:1" ht="20.100000000000001" customHeight="1" x14ac:dyDescent="0.2">
      <c r="A215" s="20" t="s">
        <v>105</v>
      </c>
    </row>
    <row r="216" spans="1:1" ht="20.100000000000001" customHeight="1" x14ac:dyDescent="0.2">
      <c r="A216" s="20" t="s">
        <v>106</v>
      </c>
    </row>
    <row r="217" spans="1:1" ht="20.100000000000001" customHeight="1" x14ac:dyDescent="0.2">
      <c r="A217" s="20" t="s">
        <v>107</v>
      </c>
    </row>
    <row r="218" spans="1:1" ht="20.100000000000001" customHeight="1" x14ac:dyDescent="0.2">
      <c r="A218" s="20" t="s">
        <v>108</v>
      </c>
    </row>
    <row r="219" spans="1:1" ht="20.100000000000001" customHeight="1" x14ac:dyDescent="0.2">
      <c r="A219" s="20" t="s">
        <v>109</v>
      </c>
    </row>
    <row r="220" spans="1:1" ht="20.100000000000001" customHeight="1" x14ac:dyDescent="0.2">
      <c r="A220" s="20" t="s">
        <v>110</v>
      </c>
    </row>
    <row r="221" spans="1:1" ht="20.100000000000001" customHeight="1" x14ac:dyDescent="0.2">
      <c r="A221" s="20" t="s">
        <v>111</v>
      </c>
    </row>
    <row r="222" spans="1:1" ht="20.100000000000001" customHeight="1" x14ac:dyDescent="0.2">
      <c r="A222" s="20" t="s">
        <v>112</v>
      </c>
    </row>
    <row r="223" spans="1:1" ht="20.100000000000001" customHeight="1" x14ac:dyDescent="0.2">
      <c r="A223" s="20" t="s">
        <v>113</v>
      </c>
    </row>
    <row r="224" spans="1:1" ht="20.100000000000001" customHeight="1" x14ac:dyDescent="0.2">
      <c r="A224" s="20" t="s">
        <v>114</v>
      </c>
    </row>
    <row r="225" spans="1:1" ht="20.100000000000001" customHeight="1" x14ac:dyDescent="0.2">
      <c r="A225" s="20" t="s">
        <v>115</v>
      </c>
    </row>
    <row r="226" spans="1:1" ht="20.100000000000001" customHeight="1" x14ac:dyDescent="0.2">
      <c r="A226" s="20" t="s">
        <v>116</v>
      </c>
    </row>
    <row r="227" spans="1:1" ht="20.100000000000001" customHeight="1" x14ac:dyDescent="0.2">
      <c r="A227" s="20" t="s">
        <v>117</v>
      </c>
    </row>
    <row r="228" spans="1:1" ht="20.100000000000001" customHeight="1" x14ac:dyDescent="0.2">
      <c r="A228" s="20" t="s">
        <v>118</v>
      </c>
    </row>
    <row r="229" spans="1:1" ht="20.100000000000001" customHeight="1" x14ac:dyDescent="0.2">
      <c r="A229" s="20" t="s">
        <v>119</v>
      </c>
    </row>
    <row r="230" spans="1:1" ht="20.100000000000001" customHeight="1" x14ac:dyDescent="0.2">
      <c r="A230" s="20" t="s">
        <v>120</v>
      </c>
    </row>
    <row r="231" spans="1:1" ht="20.100000000000001" customHeight="1" x14ac:dyDescent="0.2">
      <c r="A231" s="20" t="s">
        <v>121</v>
      </c>
    </row>
    <row r="232" spans="1:1" ht="20.100000000000001" customHeight="1" x14ac:dyDescent="0.2">
      <c r="A232" s="20" t="s">
        <v>122</v>
      </c>
    </row>
    <row r="233" spans="1:1" ht="20.100000000000001" customHeight="1" x14ac:dyDescent="0.2">
      <c r="A233" s="20" t="s">
        <v>123</v>
      </c>
    </row>
    <row r="234" spans="1:1" ht="20.100000000000001" customHeight="1" x14ac:dyDescent="0.2">
      <c r="A234" s="20" t="s">
        <v>124</v>
      </c>
    </row>
    <row r="235" spans="1:1" ht="20.100000000000001" customHeight="1" x14ac:dyDescent="0.2">
      <c r="A235" s="22" t="s">
        <v>125</v>
      </c>
    </row>
    <row r="236" spans="1:1" ht="20.100000000000001" customHeight="1" x14ac:dyDescent="0.2">
      <c r="A236" s="20" t="s">
        <v>126</v>
      </c>
    </row>
    <row r="237" spans="1:1" ht="20.100000000000001" customHeight="1" x14ac:dyDescent="0.2">
      <c r="A237" s="20" t="s">
        <v>127</v>
      </c>
    </row>
    <row r="238" spans="1:1" ht="20.100000000000001" customHeight="1" x14ac:dyDescent="0.2">
      <c r="A238" s="20" t="s">
        <v>128</v>
      </c>
    </row>
    <row r="239" spans="1:1" ht="20.100000000000001" customHeight="1" x14ac:dyDescent="0.2">
      <c r="A239" s="20" t="s">
        <v>129</v>
      </c>
    </row>
    <row r="240" spans="1:1" ht="20.100000000000001" customHeight="1" x14ac:dyDescent="0.2">
      <c r="A240" s="20" t="s">
        <v>130</v>
      </c>
    </row>
    <row r="241" spans="1:1" ht="20.100000000000001" customHeight="1" x14ac:dyDescent="0.2">
      <c r="A241" s="20" t="s">
        <v>131</v>
      </c>
    </row>
    <row r="242" spans="1:1" ht="20.100000000000001" customHeight="1" x14ac:dyDescent="0.2">
      <c r="A242" s="20" t="s">
        <v>132</v>
      </c>
    </row>
    <row r="243" spans="1:1" ht="20.100000000000001" customHeight="1" x14ac:dyDescent="0.2">
      <c r="A243" s="20" t="s">
        <v>133</v>
      </c>
    </row>
    <row r="244" spans="1:1" ht="20.100000000000001" customHeight="1" x14ac:dyDescent="0.2">
      <c r="A244" s="20" t="s">
        <v>134</v>
      </c>
    </row>
    <row r="245" spans="1:1" ht="20.100000000000001" customHeight="1" x14ac:dyDescent="0.2">
      <c r="A245" s="20" t="s">
        <v>135</v>
      </c>
    </row>
    <row r="246" spans="1:1" ht="20.100000000000001" customHeight="1" x14ac:dyDescent="0.2">
      <c r="A246" s="20" t="s">
        <v>136</v>
      </c>
    </row>
    <row r="247" spans="1:1" ht="20.100000000000001" customHeight="1" x14ac:dyDescent="0.2">
      <c r="A247" s="20" t="s">
        <v>127</v>
      </c>
    </row>
    <row r="248" spans="1:1" ht="20.100000000000001" customHeight="1" x14ac:dyDescent="0.2">
      <c r="A248" s="20" t="s">
        <v>137</v>
      </c>
    </row>
    <row r="249" spans="1:1" ht="20.100000000000001" customHeight="1" x14ac:dyDescent="0.2">
      <c r="A249" s="20" t="s">
        <v>138</v>
      </c>
    </row>
    <row r="250" spans="1:1" ht="20.100000000000001" customHeight="1" x14ac:dyDescent="0.2">
      <c r="A250" s="22" t="s">
        <v>139</v>
      </c>
    </row>
    <row r="251" spans="1:1" ht="20.100000000000001" customHeight="1" x14ac:dyDescent="0.2">
      <c r="A251" s="23" t="s">
        <v>140</v>
      </c>
    </row>
    <row r="252" spans="1:1" ht="20.100000000000001" customHeight="1" x14ac:dyDescent="0.2">
      <c r="A252" s="20" t="s">
        <v>141</v>
      </c>
    </row>
    <row r="253" spans="1:1" ht="20.100000000000001" customHeight="1" x14ac:dyDescent="0.2">
      <c r="A253" s="20" t="s">
        <v>142</v>
      </c>
    </row>
    <row r="254" spans="1:1" ht="20.100000000000001" customHeight="1" x14ac:dyDescent="0.2">
      <c r="A254" s="24" t="s">
        <v>143</v>
      </c>
    </row>
    <row r="255" spans="1:1" ht="20.100000000000001" customHeight="1" x14ac:dyDescent="0.2">
      <c r="A255" s="24" t="s">
        <v>144</v>
      </c>
    </row>
    <row r="256" spans="1:1" ht="20.100000000000001" customHeight="1" x14ac:dyDescent="0.2">
      <c r="A256" s="25" t="s">
        <v>145</v>
      </c>
    </row>
    <row r="257" spans="1:1" ht="20.100000000000001" customHeight="1" x14ac:dyDescent="0.2">
      <c r="A257" s="20" t="s">
        <v>146</v>
      </c>
    </row>
    <row r="258" spans="1:1" ht="20.100000000000001" customHeight="1" x14ac:dyDescent="0.2">
      <c r="A258" s="25" t="s">
        <v>147</v>
      </c>
    </row>
    <row r="259" spans="1:1" ht="20.100000000000001" customHeight="1" x14ac:dyDescent="0.2">
      <c r="A259" s="20" t="s">
        <v>148</v>
      </c>
    </row>
    <row r="260" spans="1:1" ht="20.100000000000001" customHeight="1" x14ac:dyDescent="0.2">
      <c r="A260" s="25" t="s">
        <v>149</v>
      </c>
    </row>
    <row r="261" spans="1:1" ht="20.100000000000001" customHeight="1" x14ac:dyDescent="0.2">
      <c r="A261" s="20" t="s">
        <v>150</v>
      </c>
    </row>
    <row r="262" spans="1:1" ht="20.100000000000001" customHeight="1" x14ac:dyDescent="0.2">
      <c r="A262" s="20" t="s">
        <v>151</v>
      </c>
    </row>
    <row r="263" spans="1:1" ht="20.100000000000001" customHeight="1" x14ac:dyDescent="0.2">
      <c r="A263" s="25" t="s">
        <v>152</v>
      </c>
    </row>
    <row r="264" spans="1:1" ht="20.100000000000001" customHeight="1" x14ac:dyDescent="0.2">
      <c r="A264" s="25" t="s">
        <v>153</v>
      </c>
    </row>
    <row r="265" spans="1:1" ht="20.100000000000001" customHeight="1" x14ac:dyDescent="0.2">
      <c r="A265" s="25" t="s">
        <v>154</v>
      </c>
    </row>
    <row r="266" spans="1:1" ht="20.100000000000001" customHeight="1" x14ac:dyDescent="0.2">
      <c r="A266" s="20" t="s">
        <v>155</v>
      </c>
    </row>
    <row r="267" spans="1:1" ht="20.100000000000001" customHeight="1" x14ac:dyDescent="0.2">
      <c r="A267" s="20" t="s">
        <v>156</v>
      </c>
    </row>
    <row r="268" spans="1:1" ht="20.100000000000001" customHeight="1" x14ac:dyDescent="0.2">
      <c r="A268" s="20" t="s">
        <v>157</v>
      </c>
    </row>
    <row r="269" spans="1:1" ht="20.100000000000001" customHeight="1" x14ac:dyDescent="0.2">
      <c r="A269" s="20" t="s">
        <v>158</v>
      </c>
    </row>
    <row r="270" spans="1:1" ht="20.100000000000001" customHeight="1" x14ac:dyDescent="0.2">
      <c r="A270" s="25" t="s">
        <v>159</v>
      </c>
    </row>
    <row r="271" spans="1:1" ht="20.100000000000001" customHeight="1" x14ac:dyDescent="0.2">
      <c r="A271" s="25" t="s">
        <v>160</v>
      </c>
    </row>
    <row r="272" spans="1:1" ht="20.100000000000001" customHeight="1" x14ac:dyDescent="0.2">
      <c r="A272" s="20" t="s">
        <v>161</v>
      </c>
    </row>
    <row r="273" spans="1:1" ht="20.100000000000001" customHeight="1" x14ac:dyDescent="0.2">
      <c r="A273" s="25" t="s">
        <v>162</v>
      </c>
    </row>
    <row r="274" spans="1:1" ht="20.100000000000001" customHeight="1" x14ac:dyDescent="0.2">
      <c r="A274" s="25" t="s">
        <v>163</v>
      </c>
    </row>
    <row r="275" spans="1:1" ht="20.100000000000001" customHeight="1" x14ac:dyDescent="0.2">
      <c r="A275" s="20" t="s">
        <v>164</v>
      </c>
    </row>
    <row r="276" spans="1:1" ht="20.100000000000001" customHeight="1" x14ac:dyDescent="0.2">
      <c r="A276" s="20" t="s">
        <v>165</v>
      </c>
    </row>
    <row r="277" spans="1:1" ht="20.100000000000001" customHeight="1" x14ac:dyDescent="0.2">
      <c r="A277" s="25" t="s">
        <v>166</v>
      </c>
    </row>
    <row r="278" spans="1:1" ht="20.100000000000001" customHeight="1" x14ac:dyDescent="0.2">
      <c r="A278" s="20" t="s">
        <v>167</v>
      </c>
    </row>
    <row r="279" spans="1:1" ht="20.100000000000001" customHeight="1" x14ac:dyDescent="0.2">
      <c r="A279" s="20" t="s">
        <v>168</v>
      </c>
    </row>
    <row r="280" spans="1:1" ht="20.100000000000001" customHeight="1" x14ac:dyDescent="0.2">
      <c r="A280" s="20" t="s">
        <v>169</v>
      </c>
    </row>
    <row r="281" spans="1:1" ht="20.100000000000001" customHeight="1" x14ac:dyDescent="0.2">
      <c r="A281" s="20" t="s">
        <v>170</v>
      </c>
    </row>
    <row r="282" spans="1:1" ht="20.100000000000001" customHeight="1" x14ac:dyDescent="0.2">
      <c r="A282" s="25" t="s">
        <v>171</v>
      </c>
    </row>
    <row r="283" spans="1:1" ht="20.100000000000001" customHeight="1" x14ac:dyDescent="0.2">
      <c r="A283" s="25" t="s">
        <v>172</v>
      </c>
    </row>
    <row r="284" spans="1:1" ht="20.100000000000001" customHeight="1" x14ac:dyDescent="0.2">
      <c r="A284" s="25" t="s">
        <v>173</v>
      </c>
    </row>
    <row r="285" spans="1:1" ht="20.100000000000001" customHeight="1" thickBot="1" x14ac:dyDescent="0.25">
      <c r="A285" s="20" t="s">
        <v>174</v>
      </c>
    </row>
    <row r="286" spans="1:1" ht="20.100000000000001" customHeight="1" thickBot="1" x14ac:dyDescent="0.25">
      <c r="A286" s="2" t="s">
        <v>58</v>
      </c>
    </row>
    <row r="287" spans="1:1" ht="20.100000000000001" customHeight="1" thickBot="1" x14ac:dyDescent="0.25">
      <c r="A287" s="2" t="s">
        <v>58</v>
      </c>
    </row>
    <row r="288" spans="1:1" ht="20.100000000000001" customHeight="1" thickBot="1" x14ac:dyDescent="0.25">
      <c r="A288" s="2" t="s">
        <v>58</v>
      </c>
    </row>
    <row r="289" spans="1:1" ht="20.100000000000001" customHeight="1" thickBot="1" x14ac:dyDescent="0.25">
      <c r="A289" s="2" t="s">
        <v>58</v>
      </c>
    </row>
    <row r="290" spans="1:1" ht="20.100000000000001" customHeight="1" thickBot="1" x14ac:dyDescent="0.25">
      <c r="A290" s="2" t="s">
        <v>58</v>
      </c>
    </row>
    <row r="291" spans="1:1" ht="20.100000000000001" customHeight="1" thickBot="1" x14ac:dyDescent="0.25">
      <c r="A291" s="2" t="s">
        <v>58</v>
      </c>
    </row>
    <row r="292" spans="1:1" ht="20.100000000000001" customHeight="1" thickBot="1" x14ac:dyDescent="0.25">
      <c r="A292" s="2" t="s">
        <v>58</v>
      </c>
    </row>
    <row r="293" spans="1:1" ht="20.100000000000001" customHeight="1" thickBot="1" x14ac:dyDescent="0.25">
      <c r="A293" s="2" t="s">
        <v>58</v>
      </c>
    </row>
    <row r="294" spans="1:1" ht="20.100000000000001" customHeight="1" thickBot="1" x14ac:dyDescent="0.25">
      <c r="A294" s="2" t="s">
        <v>58</v>
      </c>
    </row>
    <row r="295" spans="1:1" ht="20.100000000000001" customHeight="1" thickBot="1" x14ac:dyDescent="0.25">
      <c r="A295" s="2" t="s">
        <v>58</v>
      </c>
    </row>
    <row r="296" spans="1:1" ht="20.100000000000001" customHeight="1" thickBot="1" x14ac:dyDescent="0.25">
      <c r="A296" s="2" t="s">
        <v>58</v>
      </c>
    </row>
    <row r="297" spans="1:1" ht="20.100000000000001" customHeight="1" thickBot="1" x14ac:dyDescent="0.25">
      <c r="A297" s="2" t="s">
        <v>58</v>
      </c>
    </row>
    <row r="298" spans="1:1" ht="20.100000000000001" customHeight="1" thickBot="1" x14ac:dyDescent="0.25">
      <c r="A298" s="2" t="s">
        <v>58</v>
      </c>
    </row>
    <row r="299" spans="1:1" ht="20.100000000000001" customHeight="1" thickBot="1" x14ac:dyDescent="0.25">
      <c r="A299" s="2" t="s">
        <v>58</v>
      </c>
    </row>
    <row r="300" spans="1:1" ht="20.100000000000001" customHeight="1" thickBot="1" x14ac:dyDescent="0.25">
      <c r="A300" s="2" t="s">
        <v>58</v>
      </c>
    </row>
    <row r="301" spans="1:1" ht="20.100000000000001" customHeight="1" thickBot="1" x14ac:dyDescent="0.25">
      <c r="A301" s="2" t="s">
        <v>58</v>
      </c>
    </row>
    <row r="302" spans="1:1" ht="20.100000000000001" customHeight="1" thickBot="1" x14ac:dyDescent="0.25">
      <c r="A302" s="2" t="s">
        <v>58</v>
      </c>
    </row>
    <row r="303" spans="1:1" ht="20.100000000000001" customHeight="1" thickBot="1" x14ac:dyDescent="0.25">
      <c r="A303" s="2" t="s">
        <v>58</v>
      </c>
    </row>
    <row r="304" spans="1:1" ht="20.100000000000001" customHeight="1" thickBot="1" x14ac:dyDescent="0.25">
      <c r="A304" s="2" t="s">
        <v>58</v>
      </c>
    </row>
    <row r="305" spans="1:1" ht="20.100000000000001" customHeight="1" thickBot="1" x14ac:dyDescent="0.25">
      <c r="A305" s="2" t="s">
        <v>58</v>
      </c>
    </row>
    <row r="306" spans="1:1" ht="20.100000000000001" customHeight="1" thickBot="1" x14ac:dyDescent="0.25">
      <c r="A306" s="2" t="s">
        <v>58</v>
      </c>
    </row>
    <row r="307" spans="1:1" ht="20.100000000000001" customHeight="1" thickBot="1" x14ac:dyDescent="0.25">
      <c r="A307" s="2" t="s">
        <v>58</v>
      </c>
    </row>
    <row r="308" spans="1:1" ht="20.100000000000001" customHeight="1" thickBot="1" x14ac:dyDescent="0.25">
      <c r="A308" s="2" t="s">
        <v>58</v>
      </c>
    </row>
    <row r="309" spans="1:1" ht="20.100000000000001" customHeight="1" thickBot="1" x14ac:dyDescent="0.25">
      <c r="A309" s="2" t="s">
        <v>58</v>
      </c>
    </row>
    <row r="310" spans="1:1" ht="20.100000000000001" customHeight="1" thickBot="1" x14ac:dyDescent="0.25">
      <c r="A310" s="2" t="s">
        <v>58</v>
      </c>
    </row>
    <row r="311" spans="1:1" ht="20.100000000000001" customHeight="1" thickBot="1" x14ac:dyDescent="0.25">
      <c r="A311" s="2" t="s">
        <v>58</v>
      </c>
    </row>
    <row r="312" spans="1:1" ht="20.100000000000001" customHeight="1" thickBot="1" x14ac:dyDescent="0.25">
      <c r="A312" s="2" t="s">
        <v>58</v>
      </c>
    </row>
    <row r="313" spans="1:1" ht="20.100000000000001" customHeight="1" thickBot="1" x14ac:dyDescent="0.25">
      <c r="A313" s="2" t="s">
        <v>58</v>
      </c>
    </row>
    <row r="314" spans="1:1" ht="20.100000000000001" customHeight="1" thickBot="1" x14ac:dyDescent="0.25">
      <c r="A314" s="2" t="s">
        <v>58</v>
      </c>
    </row>
    <row r="315" spans="1:1" ht="20.100000000000001" customHeight="1" thickBot="1" x14ac:dyDescent="0.25">
      <c r="A315" s="2" t="s">
        <v>58</v>
      </c>
    </row>
    <row r="316" spans="1:1" ht="20.100000000000001" customHeight="1" thickBot="1" x14ac:dyDescent="0.25">
      <c r="A316" s="2" t="s">
        <v>58</v>
      </c>
    </row>
    <row r="317" spans="1:1" ht="20.100000000000001" customHeight="1" thickBot="1" x14ac:dyDescent="0.25">
      <c r="A317" s="2" t="s">
        <v>58</v>
      </c>
    </row>
    <row r="318" spans="1:1" ht="20.100000000000001" customHeight="1" thickBot="1" x14ac:dyDescent="0.25">
      <c r="A318" s="2" t="s">
        <v>58</v>
      </c>
    </row>
    <row r="319" spans="1:1" ht="20.100000000000001" customHeight="1" thickBot="1" x14ac:dyDescent="0.25">
      <c r="A319" s="2" t="s">
        <v>58</v>
      </c>
    </row>
    <row r="320" spans="1:1" ht="20.100000000000001" customHeight="1" thickBot="1" x14ac:dyDescent="0.25">
      <c r="A320" s="2" t="s">
        <v>58</v>
      </c>
    </row>
    <row r="321" spans="1:1" ht="20.100000000000001" customHeight="1" thickBot="1" x14ac:dyDescent="0.25">
      <c r="A321" s="2" t="s">
        <v>58</v>
      </c>
    </row>
    <row r="322" spans="1:1" ht="20.100000000000001" customHeight="1" thickBot="1" x14ac:dyDescent="0.25">
      <c r="A322" s="2" t="s">
        <v>58</v>
      </c>
    </row>
    <row r="323" spans="1:1" ht="20.100000000000001" customHeight="1" thickBot="1" x14ac:dyDescent="0.25">
      <c r="A323" s="2" t="s">
        <v>58</v>
      </c>
    </row>
    <row r="324" spans="1:1" ht="20.100000000000001" customHeight="1" thickBot="1" x14ac:dyDescent="0.25">
      <c r="A324" s="2" t="s">
        <v>58</v>
      </c>
    </row>
    <row r="325" spans="1:1" ht="20.100000000000001" customHeight="1" thickBot="1" x14ac:dyDescent="0.25">
      <c r="A325" s="2" t="s">
        <v>58</v>
      </c>
    </row>
    <row r="326" spans="1:1" ht="20.100000000000001" customHeight="1" thickBot="1" x14ac:dyDescent="0.25">
      <c r="A326" s="2" t="s">
        <v>58</v>
      </c>
    </row>
    <row r="327" spans="1:1" ht="20.100000000000001" customHeight="1" thickBot="1" x14ac:dyDescent="0.25">
      <c r="A327" s="2" t="s">
        <v>58</v>
      </c>
    </row>
    <row r="328" spans="1:1" ht="20.100000000000001" customHeight="1" thickBot="1" x14ac:dyDescent="0.25">
      <c r="A328" s="2" t="s">
        <v>58</v>
      </c>
    </row>
    <row r="329" spans="1:1" ht="20.100000000000001" customHeight="1" thickBot="1" x14ac:dyDescent="0.25">
      <c r="A329" s="2" t="s">
        <v>58</v>
      </c>
    </row>
    <row r="330" spans="1:1" ht="20.100000000000001" customHeight="1" thickBot="1" x14ac:dyDescent="0.25">
      <c r="A330" s="2" t="s">
        <v>58</v>
      </c>
    </row>
    <row r="331" spans="1:1" ht="20.100000000000001" customHeight="1" thickBot="1" x14ac:dyDescent="0.25">
      <c r="A331" s="2" t="s">
        <v>58</v>
      </c>
    </row>
    <row r="332" spans="1:1" ht="20.100000000000001" customHeight="1" thickBot="1" x14ac:dyDescent="0.25">
      <c r="A332" s="2" t="s">
        <v>58</v>
      </c>
    </row>
    <row r="333" spans="1:1" ht="20.100000000000001" customHeight="1" thickBot="1" x14ac:dyDescent="0.25">
      <c r="A333" s="2" t="s">
        <v>58</v>
      </c>
    </row>
    <row r="334" spans="1:1" ht="20.100000000000001" customHeight="1" thickBot="1" x14ac:dyDescent="0.25">
      <c r="A334" s="2" t="s">
        <v>58</v>
      </c>
    </row>
    <row r="335" spans="1:1" ht="20.100000000000001" customHeight="1" thickBot="1" x14ac:dyDescent="0.25">
      <c r="A335" s="2" t="s">
        <v>58</v>
      </c>
    </row>
    <row r="336" spans="1:1" ht="20.100000000000001" customHeight="1" thickBot="1" x14ac:dyDescent="0.25">
      <c r="A336" s="2" t="s">
        <v>58</v>
      </c>
    </row>
    <row r="337" spans="1:1" ht="20.100000000000001" customHeight="1" thickBot="1" x14ac:dyDescent="0.25">
      <c r="A337" s="2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قائمة التقييم</vt:lpstr>
      <vt:lpstr>بيانات التقييم</vt:lpstr>
      <vt:lpstr>قائمة التقييم!_Hlk189049123</vt:lpstr>
      <vt:lpstr>قائمة التقييم!Print_Area</vt:lpstr>
      <vt:lpstr>قائمة التقييم!Print_Titles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2025-10-22T04:12:27Z</dcterms:modified>
</cp:coreProperties>
</file>