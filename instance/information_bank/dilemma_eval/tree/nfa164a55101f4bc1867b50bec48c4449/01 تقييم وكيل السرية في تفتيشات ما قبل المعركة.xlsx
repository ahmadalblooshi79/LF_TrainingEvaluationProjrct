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B5E9104-F66F-4EE2-9BE5-F0976ACFD0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8" i="2"/>
  <c r="H8" i="2"/>
  <c r="F17" i="2"/>
  <c r="E17" i="2"/>
  <c r="E18" i="2"/>
  <c r="E19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<sst xmlns="http://schemas.openxmlformats.org/spreadsheetml/2006/main" count="246" uniqueCount="191">
  <si>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</si>
  <si>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</si>
  <si>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</si>
  <si>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</si>
  <si>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</si>
  <si>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</si>
  <si>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</si>
  <si>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</si>
  <si>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</si>
  <si>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</si>
  <si>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</si>
  <si>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</si>
  <si>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</si>
  <si>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</si>
  <si>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</si>
  <si>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</si>
  <si>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</si>
  <si>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</si>
  <si>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</si>
  <si>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</si>
  <si>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</si>
  <si>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</si>
  <si>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</si>
  <si>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</si>
  <si>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</si>
  <si>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</si>
  <si>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</si>
  <si>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</si>
  <si>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</si>
  <si>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</si>
  <si>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</si>
  <si>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</si>
  <si>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</si>
  <si>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</si>
  <si>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</si>
  <si>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</si>
  <si>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</si>
  <si>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</si>
  <si>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</si>
  <si>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</si>
  <si>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</si>
  <si>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</si>
  <si>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</si>
  <si>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</si>
  <si>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</si>
  <si>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</si>
  <si>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</si>
  <si>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</si>
  <si>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</si>
  <si>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</si>
  <si>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</si>
  <si>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</si>
  <si>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</si>
  <si>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</si>
  <si>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</si>
  <si>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</si>
  <si>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</si>
  <si>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</si>
  <si>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</si>
  <si>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</si>
  <si>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</si>
  <si>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</si>
  <si>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</si>
  <si>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</si>
  <si>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</si>
  <si>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</si>
  <si>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</si>
  <si>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</si>
  <si>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</si>
  <si>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</si>
  <si>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</si>
  <si>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</si>
  <si>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</si>
  <si>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</si>
  <si>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</si>
  <si>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</si>
  <si>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</si>
  <si>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</si>
  <si>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</si>
  <si>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</si>
  <si>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</si>
  <si>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</si>
  <si>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</si>
  <si>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</si>
  <si>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</si>
  <si>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</si>
  <si>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</si>
  <si>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</si>
  <si>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</si>
  <si>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</si>
  <si>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</si>
  <si>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</si>
  <si>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</si>
  <si>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</si>
  <si>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</si>
  <si>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</si>
  <si>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</si>
  <si>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</si>
  <si>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</si>
  <si>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</si>
  <si>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</si>
  <si>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</si>
  <si>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</si>
  <si>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</si>
  <si>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</si>
  <si>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</si>
  <si>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</si>
  <si>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</si>
  <si>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</si>
  <si>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</si>
  <si>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</si>
  <si>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</si>
  <si>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</si>
  <si>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</si>
  <si>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</si>
  <si>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</si>
  <si>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</si>
  <si>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</si>
  <si>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</si>
  <si>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</si>
  <si>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</si>
  <si>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</si>
  <si>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</si>
  <si>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</si>
  <si>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</si>
  <si>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</si>
  <si>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</si>
  <si>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</si>
  <si>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</si>
  <si>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</si>
  <si>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</si>
  <si>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</si>
  <si>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</si>
  <si>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</si>
  <si>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</si>
  <si>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</si>
  <si>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</si>
  <si>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</si>
  <si>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</si>
  <si>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</si>
  <si>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</si>
  <si>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</si>
  <si>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</si>
  <si>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</si>
  <si>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</si>
  <si>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</si>
  <si>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</si>
  <si>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</si>
  <si>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</si>
  <si>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</si>
  <si>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</si>
  <si>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</si>
  <si>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</si>
  <si>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</si>
  <si>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</si>
  <si>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</si>
  <si>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</si>
  <si>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</si>
  <si>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</si>
  <si>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</si>
  <si>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</si>
  <si>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</si>
  <si>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</si>
  <si>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</si>
  <si>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</si>
  <si>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</si>
  <si>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</si>
  <si>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</si>
  <si>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</si>
  <si>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</si>
  <si>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</si>
  <si>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</si>
  <si>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</si>
  <si>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</si>
  <si>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</si>
  <si>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</si>
  <si>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</si>
  <si>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</si>
  <si>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</si>
  <si>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</si>
  <si>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</si>
  <si>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</si>
  <si>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</si>
  <si>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</si>
  <si>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</si>
  <si>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</si>
  <si>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</si>
  <si>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</si>
  <si>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</si>
  <si>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</si>
  <si>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وكيل/ محمد مبارك النوبي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</si>
</sst>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417437</xdr:colOff>
      <xdr:row>19</xdr:row>
      <xdr:rowOff>384360</xdr:rowOff>
    </xdr:from>
    <xdr:to>
      <xdr:col>8</xdr:col>
      <xdr:colOff>351893</xdr:colOff>
      <xdr:row>20</xdr:row>
      <xdr:rowOff>473188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D295E86-B702-B64B-FDA8-512319A92731}"/>
                </a:ext>
              </a:extLst>
            </xdr14:cNvPr>
            <xdr14:cNvContentPartPr/>
          </xdr14:nvContentPartPr>
          <xdr14:nvPr macro=""/>
          <xdr14:xfrm>
            <a:off x="10398893015" y="8766360"/>
            <a:ext cx="1250640" cy="619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D295E86-B702-B64B-FDA8-512319A9273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86895" y="8760240"/>
              <a:ext cx="1262880" cy="632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6:13:15.1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3367 1338 4600,'0'0'0,"-4"-2"1289,-7-1-297,7 0-72,4 3-920,-5-3 928,3 3-159,1 0-177,1 0-176,0 0-416,-2 0 232,0 0-80,-3 1-32,-8 2 64,13-3-184,-23 5 224,-14 7-24,-22-6-32,-24 14-88,83-20-80,-104 17 40,-22 1-8,-18 1 8,-13-2-16,157-17-24,-171 17 48,-8-2 16,-7 1-8,-7 0 32,193-16-88,-197 12 16,-4 4-24,3 0 16,3-1-32,195-15 24,-184 14-104,12-9-272,11-1-216,21-4-88,140 0 680,-121-11-624,22-6 280,21-10 192,19-8 103,59 35 49,-36-41 57,21-7 71,20-9 240,32-9 264,-37 66-632,51-73 928,19-4 136,18-2-80,20 2-135,-108 77-849,128-76 680,21 1 48,12 5 32,11 6 176,-172 64-936,174-55 968,-1 7-55,-3 8 15,-2 10-136,-168 30-792,169-24 632,-11 10-176,-12 11-232,-16 3-152,-130 0-72,104 4-16,-21 15 40,-24 3-48,-25 5-16,-34-27 40,16 32-56,-17 4 32,-29 4 144,-24 6 0,54-46-120,-79 48 128,-29 6 48,-22-4-72,-15-1 48,145-49-152,-157 44 120,-2-7-64,1-3-16,5-7 16,153-27-56,-141 20 8,14-16 65,16-2-49,17-5 48,94 3-72,-76-24 64,16-6 16,18-11 32,17-9-96,25 50-16,-12-58 144,12-9-112,24-4-16,8-3 128,-32 74-144,50-75 128,9 1 64,12 2 0,9-3-80,-80 75-112,89-75 72,5 4 56,0 7-592,-7 9 592,-87 55-128,76-43 136,-10 10-64,-11 13 568,-13 16-640,-42 4 0,34 0-40,-3 11-40,-6 16-80,0 16 104,-25-43 56,17 58-40,-5 13-16,-9 11 88,-3 8-32,0-90 0,0 93 0,-2 6-48,-1 2 40,2 5-8,1-106 16,0 110-56,11 1 40,-1 5-8,5-4-120,-15-112 144,15 108-480,1-3-1273,0-4-1767,-11-9-1914,-5-92 5434,20 92-9258,-20-92 9258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189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43</v>
      </c>
      <c r="D2" s="64"/>
      <c r="E2" s="12" t="s">
        <v>7</v>
      </c>
      <c r="F2" s="59">
        <v>45944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/>
      <c r="D3" s="64"/>
      <c r="E3" s="12" t="s">
        <v>6</v>
      </c>
      <c r="F3" s="64" t="s">
        <v>163</v>
      </c>
      <c r="G3" s="64"/>
      <c r="H3" s="64"/>
      <c r="I3" s="64"/>
      <c r="J3" s="64"/>
    </row>
    <row r="4" spans="1:10" ht="30" customHeight="1" thickBot="1" x14ac:dyDescent="0.35">
      <c r="B4" s="6"/>
      <c r="C4" s="65" t="s">
        <v>190</v>
      </c>
      <c r="D4" s="65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70"/>
      <c r="J6" s="71"/>
    </row>
    <row r="7" spans="1:10" ht="24.9" customHeight="1" thickBot="1" x14ac:dyDescent="0.35">
      <c r="A7" s="10"/>
      <c r="B7" s="66" t="s">
        <v>19</v>
      </c>
      <c r="C7" s="67"/>
      <c r="D7" s="67"/>
      <c r="E7" s="28" t="s">
        <v>16</v>
      </c>
      <c r="F7" s="28" t="s">
        <v>17</v>
      </c>
      <c r="G7" s="28" t="s">
        <v>20</v>
      </c>
      <c r="H7" s="28" t="s">
        <v>18</v>
      </c>
      <c r="I7" s="72" t="s">
        <v>23</v>
      </c>
      <c r="J7" s="73"/>
    </row>
    <row r="8" spans="1:10" ht="39.9" customHeight="1" x14ac:dyDescent="0.3">
      <c r="A8" s="10"/>
      <c r="B8" s="76" t="s">
        <v>180</v>
      </c>
      <c r="C8" s="77"/>
      <c r="D8" s="77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74"/>
      <c r="J8" s="75"/>
    </row>
    <row r="9" spans="1:10" ht="39.9" customHeight="1" x14ac:dyDescent="0.3">
      <c r="A9" s="10"/>
      <c r="B9" s="78" t="s">
        <v>181</v>
      </c>
      <c r="C9" s="79"/>
      <c r="D9" s="79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78" t="s">
        <v>182</v>
      </c>
      <c r="C10" s="79"/>
      <c r="D10" s="79"/>
      <c r="E10" s="9">
        <v>5</v>
      </c>
      <c r="F10" s="26">
        <v>3.5</v>
      </c>
      <c r="G10" s="30">
        <f t="shared" ref="G10:G16" si="0">IFERROR(F10/E10,"")</f>
        <v>0.7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" customHeight="1" x14ac:dyDescent="0.3">
      <c r="A11" s="10"/>
      <c r="B11" s="78" t="s">
        <v>183</v>
      </c>
      <c r="C11" s="79"/>
      <c r="D11" s="79"/>
      <c r="E11" s="9">
        <v>5</v>
      </c>
      <c r="F11" s="26">
        <v>3</v>
      </c>
      <c r="G11" s="30">
        <f t="shared" si="0"/>
        <v>0.6</v>
      </c>
      <c r="H11" s="31" t="str">
        <f t="shared" si="1"/>
        <v>مقبول</v>
      </c>
      <c r="I11" s="44"/>
      <c r="J11" s="45"/>
    </row>
    <row r="12" spans="1:10" ht="39.9" customHeight="1" x14ac:dyDescent="0.3">
      <c r="A12" s="10"/>
      <c r="B12" s="78" t="s">
        <v>184</v>
      </c>
      <c r="C12" s="79"/>
      <c r="D12" s="79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8" t="s">
        <v>185</v>
      </c>
      <c r="C13" s="79"/>
      <c r="D13" s="79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4"/>
      <c r="J13" s="45"/>
    </row>
    <row r="14" spans="1:10" ht="39.9" customHeight="1" x14ac:dyDescent="0.3">
      <c r="A14" s="10"/>
      <c r="B14" s="78" t="s">
        <v>186</v>
      </c>
      <c r="C14" s="79"/>
      <c r="D14" s="79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4"/>
      <c r="J14" s="45"/>
    </row>
    <row r="15" spans="1:10" ht="39.9" customHeight="1" x14ac:dyDescent="0.3">
      <c r="A15" s="10"/>
      <c r="B15" s="78" t="s">
        <v>187</v>
      </c>
      <c r="C15" s="79"/>
      <c r="D15" s="79"/>
      <c r="E15" s="9">
        <v>5</v>
      </c>
      <c r="F15" s="26">
        <v>4.25</v>
      </c>
      <c r="G15" s="30">
        <f t="shared" si="0"/>
        <v>0.85</v>
      </c>
      <c r="H15" s="31" t="str">
        <f t="shared" si="1"/>
        <v>جيد جداً</v>
      </c>
      <c r="I15" s="44"/>
      <c r="J15" s="45"/>
    </row>
    <row r="16" spans="1:10" ht="39.9" customHeight="1" thickBot="1" x14ac:dyDescent="0.35">
      <c r="A16" s="10"/>
      <c r="B16" s="82" t="s">
        <v>188</v>
      </c>
      <c r="C16" s="83"/>
      <c r="D16" s="83"/>
      <c r="E16" s="36">
        <v>5</v>
      </c>
      <c r="F16" s="27">
        <v>3.75</v>
      </c>
      <c r="G16" s="37">
        <f t="shared" si="0"/>
        <v>0.75</v>
      </c>
      <c r="H16" s="38" t="str">
        <f t="shared" si="1"/>
        <v>جيد</v>
      </c>
      <c r="I16" s="80"/>
      <c r="J16" s="81"/>
    </row>
    <row r="17" spans="1:10" ht="30" customHeight="1" thickBot="1" x14ac:dyDescent="0.35">
      <c r="A17" s="4"/>
      <c r="B17" s="54" t="s">
        <v>5</v>
      </c>
      <c r="C17" s="55"/>
      <c r="D17" s="55"/>
      <c r="E17" s="29">
        <f>SUM(E8:E16)</f>
        <v>45</v>
      </c>
      <c r="F17" s="29">
        <f>SUM(F8:F16)</f>
        <v>33</v>
      </c>
      <c r="G17" s="41"/>
      <c r="H17" s="42"/>
      <c r="I17" s="42"/>
      <c r="J17" s="43"/>
    </row>
    <row r="18" spans="1:10" ht="30" customHeight="1" thickBot="1" x14ac:dyDescent="0.35">
      <c r="A18" s="4"/>
      <c r="B18" s="56" t="s">
        <v>52</v>
      </c>
      <c r="C18" s="57"/>
      <c r="D18" s="57"/>
      <c r="E18" s="52">
        <f>F17/E17/100*100</f>
        <v>0.73333333333333328</v>
      </c>
      <c r="F18" s="52"/>
      <c r="G18" s="52"/>
      <c r="H18" s="52"/>
      <c r="I18" s="52"/>
      <c r="J18" s="53"/>
    </row>
    <row r="19" spans="1:10" ht="30" customHeight="1" thickBot="1" x14ac:dyDescent="0.35">
      <c r="A19" s="4"/>
      <c r="B19" s="56" t="s">
        <v>53</v>
      </c>
      <c r="C19" s="57"/>
      <c r="D19" s="57"/>
      <c r="E19" s="50" t="str">
        <f>_xlfn.IFS(E18&gt;=90%,"ممتاز",E18&gt;=80%,"جيد جداً",E18&gt;=70%,"جيد",E18&gt;=60%,"مقبول",E18&lt;60%,"راسب")</f>
        <v>جيد</v>
      </c>
      <c r="F19" s="50"/>
      <c r="G19" s="50"/>
      <c r="H19" s="50"/>
      <c r="I19" s="50"/>
      <c r="J19" s="51"/>
    </row>
    <row r="20" spans="1:10" ht="42" customHeight="1" x14ac:dyDescent="0.3">
      <c r="B20" s="46" t="s">
        <v>172</v>
      </c>
      <c r="C20" s="46"/>
      <c r="D20" s="46"/>
      <c r="E20" s="39" t="s">
        <v>50</v>
      </c>
      <c r="F20" s="39"/>
      <c r="G20" s="48" t="s">
        <v>163</v>
      </c>
      <c r="H20" s="48"/>
      <c r="I20" s="48"/>
      <c r="J20" s="48"/>
    </row>
    <row r="21" spans="1:10" ht="51" customHeight="1" x14ac:dyDescent="0.3">
      <c r="A21" s="5"/>
      <c r="B21" s="47"/>
      <c r="C21" s="47"/>
      <c r="D21" s="47"/>
      <c r="E21" s="40" t="s">
        <v>51</v>
      </c>
      <c r="F21" s="40"/>
      <c r="G21" s="49"/>
      <c r="H21" s="49"/>
      <c r="I21" s="49"/>
      <c r="J21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0">
    <mergeCell ref="B11:D11"/>
    <mergeCell ref="B12:D12"/>
    <mergeCell ref="I15:J15"/>
    <mergeCell ref="I16:J16"/>
    <mergeCell ref="B13:D13"/>
    <mergeCell ref="B14:D14"/>
    <mergeCell ref="B15:D15"/>
    <mergeCell ref="B16:D16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C4:D4"/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2025-10-20T04:50:08Z</dcterms:modified>
</cp:coreProperties>
</file>