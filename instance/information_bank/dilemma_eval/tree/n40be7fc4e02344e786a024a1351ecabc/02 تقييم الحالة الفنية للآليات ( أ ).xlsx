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5B412E4-DD24-F547-B7B9-E9D429C58D8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<sst xmlns="http://schemas.openxmlformats.org/spreadsheetml/2006/main" count="305" uniqueCount="249">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</sst>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586185</xdr:colOff>
      <xdr:row>79</xdr:row>
      <xdr:rowOff>60723</xdr:rowOff>
    </xdr:from>
    <xdr:to>
      <xdr:col>8</xdr:col>
      <xdr:colOff>208884</xdr:colOff>
      <xdr:row>79</xdr:row>
      <xdr:rowOff>472563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98D45C9-C0C1-B701-CA4F-33065D6276CC}"/>
                </a:ext>
              </a:extLst>
            </xdr14:cNvPr>
            <xdr14:cNvContentPartPr/>
          </xdr14:nvContentPartPr>
          <xdr14:nvPr macro=""/>
          <xdr14:xfrm>
            <a:off x="10399036025" y="31464360"/>
            <a:ext cx="938880" cy="411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98D45C9-C0C1-B701-CA4F-33065D6276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27385" y="31455360"/>
              <a:ext cx="956520" cy="42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2:55.8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2483 708 12562,'0'0'0,"-16"0"720,16 0-720,-15 12 88,-8-8-184,0 14 16,-1-3 48,24-15 32,-31 14 24,-6 1-24,-7 4-16,-5 1-40,49-20 56,-58 20-48,-5 0 88,-8 0 0,-3-3-16,74-17-24,-78 14 88,-6 0-8,-2-1 64,-5-9 40,91-4-184,-97 14 200,0-11-48,-4 0 89,1 0 103,100-3-344,-100 0 288,2 0-16,3-4-8,2-1-88,93 5-176,-89-14 256,3 8-16,3-12-48,0 4 16,83 14-208,-79-16 264,8 0 56,2 2 24,10 0-72,59 14-272,-56-13 216,9 0-56,9 1 72,7 0-32,31 12-200,-23-13 192,7 2-95,12-3-202,4 0-55,0 14 160,11-17-344,8-3-16,13-4 112,15-8 8,-47 32 240,62-38-96,14-6 16,12-5 48,12 4 16,-100 45 16,105-44-32,5 6 32,3 2-96,2 3 8,-115 33 88,124-31-56,4 1-88,4 0 104,3 2-8,-135 28 48,131-27-56,1 1 64,-5 2-64,-4 3 56,-123 21 0,124-22 16,-6 3 40,-9-1-16,-11 1-40,-98 19 0,82-15-16,-18 9-8,-16 0 32,-15 3-8,-33 3 0,18 0 80,-15 0 256,-5 15 176,-19 0 88,21-15-600,-38 22 512,-18 6-207,-19 9-169,-19 6 8,94-43-144,-109 49 88,-11 7-40,-15 5-8,-7 4-128,142-65 88,-150 67 8,-7 0-16,2-2 16,4-2 256,151-63-264,-144 57 256,9-3 120,12-5-56,8-4-160,115-45-160,-102 42 120,11-3-48,13-8-72,14-7 16,64-24-16,-49 16 40,19-12 32,13 0-32,16-1-216,1-3 176,0 0-256,21-4-48,9-15 104,13-1 160,-43 20 40,55-25 0,9-5 8,7-1-16,3-1-32,-74 32 40,73-29-24,-2 3-16,-6 3 32,-1 8-8,-64 15 16,57-13-24,-9 8 16,-8 4 16,-10 1-8,-30 0 0,18 3 16,-6 10 120,-12-2-48,-4 5 112,4-16-200,-18 20 176,-6 5-64,-7 8 56,-9 4-40,40-37-128,-45 40 128,-2-2 16,-2-1-56,1-6-24,48-31-64,-44 29 80,9-5-40,6-7-40,12-4 8,17-13-8,-13 3-88,12-1-120,1 1-8,18-3-24,-18 0 240,29-1-152,10-12 96,14-3 16,15-4-32,-68 20 72,80-24-48,8-1 48,7-1-104,5-1 56,-100 27 48,102-28-104,1-1-32,-5 1 96,-3 2-48,-95 26 88,88-24-136,-3 4-48,-4 0-40,-11 2-393,-70 18 617,65-12-2080,-6 8-793,-5-1-1023,-5 3-465,-49 2 4361,46-1-4297,-46 1 4297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C65" zoomScale="130" zoomScaleNormal="100" zoomScaleSheetLayoutView="130" workbookViewId="0">
      <selection activeCell="E80" sqref="E80:F80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6" t="s">
        <v>248</v>
      </c>
      <c r="C1" s="56"/>
      <c r="D1" s="56"/>
      <c r="E1" s="56"/>
      <c r="F1" s="56"/>
      <c r="G1" s="56"/>
      <c r="H1" s="56"/>
      <c r="I1" s="56"/>
      <c r="J1" s="56"/>
    </row>
    <row r="2" spans="1:10" ht="30" customHeight="1">
      <c r="B2" s="13" t="s">
        <v>8</v>
      </c>
      <c r="C2" s="62" t="s">
        <v>39</v>
      </c>
      <c r="D2" s="62"/>
      <c r="E2" s="13" t="s">
        <v>7</v>
      </c>
      <c r="F2" s="57">
        <v>45932</v>
      </c>
      <c r="G2" s="57"/>
      <c r="H2" s="57"/>
      <c r="I2" s="57"/>
      <c r="J2" s="57"/>
    </row>
    <row r="3" spans="1:10" ht="30" customHeight="1">
      <c r="B3" s="13" t="s">
        <v>9</v>
      </c>
      <c r="C3" s="62" t="s">
        <v>87</v>
      </c>
      <c r="D3" s="62"/>
      <c r="E3" s="13" t="s">
        <v>6</v>
      </c>
      <c r="F3" s="62" t="s">
        <v>130</v>
      </c>
      <c r="G3" s="62"/>
      <c r="H3" s="62"/>
      <c r="I3" s="62"/>
      <c r="J3" s="62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11"/>
      <c r="B6" s="60"/>
      <c r="C6" s="61"/>
      <c r="D6" s="61"/>
      <c r="E6" s="12" t="s">
        <v>3</v>
      </c>
      <c r="F6" s="12" t="s">
        <v>4</v>
      </c>
      <c r="G6" s="12" t="s">
        <v>23</v>
      </c>
      <c r="H6" s="12" t="s">
        <v>24</v>
      </c>
      <c r="I6" s="69"/>
      <c r="J6" s="70"/>
    </row>
    <row r="7" spans="1:10" ht="24.95" customHeight="1" thickBot="1">
      <c r="A7" s="11"/>
      <c r="B7" s="65" t="s">
        <v>21</v>
      </c>
      <c r="C7" s="66"/>
      <c r="D7" s="66"/>
      <c r="E7" s="32" t="s">
        <v>18</v>
      </c>
      <c r="F7" s="32" t="s">
        <v>19</v>
      </c>
      <c r="G7" s="32" t="s">
        <v>22</v>
      </c>
      <c r="H7" s="32" t="s">
        <v>20</v>
      </c>
      <c r="I7" s="71" t="s">
        <v>25</v>
      </c>
      <c r="J7" s="72"/>
    </row>
    <row r="8" spans="1:10" ht="30" customHeight="1">
      <c r="A8" s="11"/>
      <c r="B8" s="85" t="s">
        <v>180</v>
      </c>
      <c r="C8" s="86"/>
      <c r="D8" s="86"/>
      <c r="E8" s="29"/>
      <c r="F8" s="36"/>
      <c r="G8" s="37"/>
      <c r="H8" s="38"/>
      <c r="I8" s="49"/>
      <c r="J8" s="50"/>
    </row>
    <row r="9" spans="1:10" ht="30" customHeight="1">
      <c r="A9" s="11"/>
      <c r="B9" s="87" t="s">
        <v>181</v>
      </c>
      <c r="C9" s="88"/>
      <c r="D9" s="88"/>
      <c r="E9" s="9">
        <v>5</v>
      </c>
      <c r="F9" s="27">
        <v>3.5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50000000000003" customHeight="1">
      <c r="A10" s="11"/>
      <c r="B10" s="87" t="s">
        <v>182</v>
      </c>
      <c r="C10" s="88"/>
      <c r="D10" s="88"/>
      <c r="E10" s="9">
        <v>5</v>
      </c>
      <c r="F10" s="42">
        <v>3.5</v>
      </c>
      <c r="G10" s="34">
        <f t="shared" ref="G10:G73" si="0">IFERROR(F10/E10,"")</f>
        <v>0.7</v>
      </c>
      <c r="H10" s="35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0" customHeight="1">
      <c r="A11" s="11"/>
      <c r="B11" s="87" t="s">
        <v>183</v>
      </c>
      <c r="C11" s="88"/>
      <c r="D11" s="88"/>
      <c r="E11" s="9">
        <v>5</v>
      </c>
      <c r="F11" s="42">
        <v>3.5</v>
      </c>
      <c r="G11" s="34">
        <f t="shared" si="0"/>
        <v>0.7</v>
      </c>
      <c r="H11" s="35" t="str">
        <f t="shared" si="1"/>
        <v>جيد</v>
      </c>
      <c r="I11" s="43"/>
      <c r="J11" s="44"/>
    </row>
    <row r="12" spans="1:10" ht="30" customHeight="1">
      <c r="A12" s="11"/>
      <c r="B12" s="87" t="s">
        <v>184</v>
      </c>
      <c r="C12" s="88"/>
      <c r="D12" s="88"/>
      <c r="E12" s="9">
        <v>5</v>
      </c>
      <c r="F12" s="42">
        <v>3.5</v>
      </c>
      <c r="G12" s="34">
        <f t="shared" si="0"/>
        <v>0.7</v>
      </c>
      <c r="H12" s="35" t="str">
        <f t="shared" si="1"/>
        <v>جيد</v>
      </c>
      <c r="I12" s="43"/>
      <c r="J12" s="44"/>
    </row>
    <row r="13" spans="1:10" ht="30" customHeight="1">
      <c r="A13" s="11"/>
      <c r="B13" s="87" t="s">
        <v>185</v>
      </c>
      <c r="C13" s="88"/>
      <c r="D13" s="88"/>
      <c r="E13" s="9">
        <v>5</v>
      </c>
      <c r="F13" s="42">
        <v>3.5</v>
      </c>
      <c r="G13" s="34">
        <f t="shared" si="0"/>
        <v>0.7</v>
      </c>
      <c r="H13" s="35" t="str">
        <f t="shared" si="1"/>
        <v>جيد</v>
      </c>
      <c r="I13" s="43"/>
      <c r="J13" s="44"/>
    </row>
    <row r="14" spans="1:10" ht="39.950000000000003" customHeight="1">
      <c r="A14" s="11"/>
      <c r="B14" s="87" t="s">
        <v>186</v>
      </c>
      <c r="C14" s="88"/>
      <c r="D14" s="88"/>
      <c r="E14" s="9">
        <v>5</v>
      </c>
      <c r="F14" s="42">
        <v>3.5</v>
      </c>
      <c r="G14" s="34">
        <f t="shared" si="0"/>
        <v>0.7</v>
      </c>
      <c r="H14" s="35" t="str">
        <f t="shared" si="1"/>
        <v>جيد</v>
      </c>
      <c r="I14" s="43"/>
      <c r="J14" s="44"/>
    </row>
    <row r="15" spans="1:10" ht="30" customHeight="1" thickBot="1">
      <c r="A15" s="11"/>
      <c r="B15" s="83" t="s">
        <v>187</v>
      </c>
      <c r="C15" s="84"/>
      <c r="D15" s="84"/>
      <c r="E15" s="30">
        <v>5</v>
      </c>
      <c r="F15" s="42">
        <v>3.5</v>
      </c>
      <c r="G15" s="39">
        <f t="shared" si="0"/>
        <v>0.7</v>
      </c>
      <c r="H15" s="40" t="str">
        <f t="shared" si="1"/>
        <v>جيد</v>
      </c>
      <c r="I15" s="45"/>
      <c r="J15" s="46"/>
    </row>
    <row r="16" spans="1:10" ht="30" customHeight="1">
      <c r="A16" s="11"/>
      <c r="B16" s="85" t="s">
        <v>188</v>
      </c>
      <c r="C16" s="86"/>
      <c r="D16" s="86"/>
      <c r="E16" s="31"/>
      <c r="F16" s="42"/>
      <c r="G16" s="37"/>
      <c r="H16" s="38"/>
      <c r="I16" s="49"/>
      <c r="J16" s="50"/>
    </row>
    <row r="17" spans="1:10" ht="39.950000000000003" customHeight="1">
      <c r="A17" s="11"/>
      <c r="B17" s="87" t="s">
        <v>189</v>
      </c>
      <c r="C17" s="88"/>
      <c r="D17" s="88"/>
      <c r="E17" s="9">
        <v>5</v>
      </c>
      <c r="F17" s="42">
        <v>3.5</v>
      </c>
      <c r="G17" s="34">
        <f t="shared" si="0"/>
        <v>0.7</v>
      </c>
      <c r="H17" s="35" t="str">
        <f t="shared" si="1"/>
        <v>جيد</v>
      </c>
      <c r="I17" s="43"/>
      <c r="J17" s="44"/>
    </row>
    <row r="18" spans="1:10" ht="39.950000000000003" customHeight="1">
      <c r="A18" s="11"/>
      <c r="B18" s="87" t="s">
        <v>190</v>
      </c>
      <c r="C18" s="88"/>
      <c r="D18" s="88"/>
      <c r="E18" s="9">
        <v>5</v>
      </c>
      <c r="F18" s="42">
        <v>3.5</v>
      </c>
      <c r="G18" s="34">
        <f t="shared" si="0"/>
        <v>0.7</v>
      </c>
      <c r="H18" s="35" t="str">
        <f t="shared" si="1"/>
        <v>جيد</v>
      </c>
      <c r="I18" s="43"/>
      <c r="J18" s="44"/>
    </row>
    <row r="19" spans="1:10" ht="30" customHeight="1">
      <c r="A19" s="11"/>
      <c r="B19" s="87" t="s">
        <v>191</v>
      </c>
      <c r="C19" s="88"/>
      <c r="D19" s="88"/>
      <c r="E19" s="9">
        <v>6</v>
      </c>
      <c r="F19" s="42">
        <v>4.25</v>
      </c>
      <c r="G19" s="34">
        <f t="shared" si="0"/>
        <v>0.70833333333333337</v>
      </c>
      <c r="H19" s="35" t="str">
        <f t="shared" si="1"/>
        <v>جيد</v>
      </c>
      <c r="I19" s="43"/>
      <c r="J19" s="44"/>
    </row>
    <row r="20" spans="1:10" ht="30" customHeight="1">
      <c r="A20" s="11"/>
      <c r="B20" s="87" t="s">
        <v>192</v>
      </c>
      <c r="C20" s="88"/>
      <c r="D20" s="88"/>
      <c r="E20" s="9">
        <v>6</v>
      </c>
      <c r="F20" s="42">
        <v>4.25</v>
      </c>
      <c r="G20" s="34">
        <f t="shared" si="0"/>
        <v>0.70833333333333337</v>
      </c>
      <c r="H20" s="35" t="str">
        <f t="shared" si="1"/>
        <v>جيد</v>
      </c>
      <c r="I20" s="43"/>
      <c r="J20" s="44"/>
    </row>
    <row r="21" spans="1:10" ht="30" customHeight="1">
      <c r="A21" s="11"/>
      <c r="B21" s="87" t="s">
        <v>193</v>
      </c>
      <c r="C21" s="88"/>
      <c r="D21" s="88"/>
      <c r="E21" s="9">
        <v>5</v>
      </c>
      <c r="F21" s="42">
        <v>3.5</v>
      </c>
      <c r="G21" s="34">
        <f t="shared" si="0"/>
        <v>0.7</v>
      </c>
      <c r="H21" s="35" t="str">
        <f t="shared" si="1"/>
        <v>جيد</v>
      </c>
      <c r="I21" s="43"/>
      <c r="J21" s="44"/>
    </row>
    <row r="22" spans="1:10" ht="30" customHeight="1" thickBot="1">
      <c r="A22" s="11"/>
      <c r="B22" s="83" t="s">
        <v>194</v>
      </c>
      <c r="C22" s="84"/>
      <c r="D22" s="84"/>
      <c r="E22" s="30">
        <v>5</v>
      </c>
      <c r="F22" s="42">
        <v>3.5</v>
      </c>
      <c r="G22" s="39">
        <f t="shared" si="0"/>
        <v>0.7</v>
      </c>
      <c r="H22" s="40" t="str">
        <f t="shared" si="1"/>
        <v>جيد</v>
      </c>
      <c r="I22" s="45"/>
      <c r="J22" s="46"/>
    </row>
    <row r="23" spans="1:10" ht="30" customHeight="1">
      <c r="A23" s="11"/>
      <c r="B23" s="85" t="s">
        <v>195</v>
      </c>
      <c r="C23" s="86"/>
      <c r="D23" s="86"/>
      <c r="E23" s="31"/>
      <c r="F23" s="42"/>
      <c r="G23" s="37"/>
      <c r="H23" s="38"/>
      <c r="I23" s="49"/>
      <c r="J23" s="50"/>
    </row>
    <row r="24" spans="1:10" ht="51" customHeight="1">
      <c r="A24" s="11"/>
      <c r="B24" s="87" t="s">
        <v>196</v>
      </c>
      <c r="C24" s="88"/>
      <c r="D24" s="88"/>
      <c r="E24" s="9">
        <v>10</v>
      </c>
      <c r="F24" s="42">
        <v>7</v>
      </c>
      <c r="G24" s="34">
        <f t="shared" si="0"/>
        <v>0.7</v>
      </c>
      <c r="H24" s="35" t="str">
        <f t="shared" si="1"/>
        <v>جيد</v>
      </c>
      <c r="I24" s="43"/>
      <c r="J24" s="44"/>
    </row>
    <row r="25" spans="1:10" ht="30" customHeight="1">
      <c r="A25" s="11"/>
      <c r="B25" s="87" t="s">
        <v>197</v>
      </c>
      <c r="C25" s="88"/>
      <c r="D25" s="88"/>
      <c r="E25" s="9">
        <v>6</v>
      </c>
      <c r="F25" s="42">
        <v>4.25</v>
      </c>
      <c r="G25" s="34">
        <f t="shared" si="0"/>
        <v>0.70833333333333337</v>
      </c>
      <c r="H25" s="35" t="str">
        <f t="shared" si="1"/>
        <v>جيد</v>
      </c>
      <c r="I25" s="43"/>
      <c r="J25" s="44"/>
    </row>
    <row r="26" spans="1:10" ht="30" customHeight="1">
      <c r="A26" s="11"/>
      <c r="B26" s="87" t="s">
        <v>198</v>
      </c>
      <c r="C26" s="88"/>
      <c r="D26" s="88"/>
      <c r="E26" s="9">
        <v>6</v>
      </c>
      <c r="F26" s="42">
        <v>4.25</v>
      </c>
      <c r="G26" s="34">
        <f t="shared" si="0"/>
        <v>0.70833333333333337</v>
      </c>
      <c r="H26" s="35" t="str">
        <f t="shared" si="1"/>
        <v>جيد</v>
      </c>
      <c r="I26" s="43"/>
      <c r="J26" s="44"/>
    </row>
    <row r="27" spans="1:10" ht="30" customHeight="1" thickBot="1">
      <c r="A27" s="11"/>
      <c r="B27" s="83" t="s">
        <v>199</v>
      </c>
      <c r="C27" s="84"/>
      <c r="D27" s="84"/>
      <c r="E27" s="30">
        <v>6</v>
      </c>
      <c r="F27" s="42">
        <v>4.25</v>
      </c>
      <c r="G27" s="39">
        <f t="shared" si="0"/>
        <v>0.70833333333333337</v>
      </c>
      <c r="H27" s="40" t="str">
        <f t="shared" si="1"/>
        <v>جيد</v>
      </c>
      <c r="I27" s="45"/>
      <c r="J27" s="46"/>
    </row>
    <row r="28" spans="1:10" ht="30" customHeight="1">
      <c r="A28" s="11"/>
      <c r="B28" s="85" t="s">
        <v>200</v>
      </c>
      <c r="C28" s="86"/>
      <c r="D28" s="86"/>
      <c r="E28" s="31"/>
      <c r="F28" s="42"/>
      <c r="G28" s="37"/>
      <c r="H28" s="38"/>
      <c r="I28" s="49"/>
      <c r="J28" s="50"/>
    </row>
    <row r="29" spans="1:10" ht="30" customHeight="1">
      <c r="A29" s="11"/>
      <c r="B29" s="87" t="s">
        <v>201</v>
      </c>
      <c r="C29" s="88"/>
      <c r="D29" s="88"/>
      <c r="E29" s="9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43"/>
      <c r="J29" s="44"/>
    </row>
    <row r="30" spans="1:10" ht="30" customHeight="1">
      <c r="A30" s="11"/>
      <c r="B30" s="87" t="s">
        <v>202</v>
      </c>
      <c r="C30" s="88"/>
      <c r="D30" s="88"/>
      <c r="E30" s="9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43"/>
      <c r="J30" s="44"/>
    </row>
    <row r="31" spans="1:10" ht="30" customHeight="1">
      <c r="A31" s="11"/>
      <c r="B31" s="87" t="s">
        <v>203</v>
      </c>
      <c r="C31" s="88"/>
      <c r="D31" s="88"/>
      <c r="E31" s="9">
        <v>5</v>
      </c>
      <c r="F31" s="42">
        <v>3.5</v>
      </c>
      <c r="G31" s="34">
        <f t="shared" si="0"/>
        <v>0.7</v>
      </c>
      <c r="H31" s="35" t="str">
        <f t="shared" si="1"/>
        <v>جيد</v>
      </c>
      <c r="I31" s="43"/>
      <c r="J31" s="44"/>
    </row>
    <row r="32" spans="1:10" ht="30" customHeight="1">
      <c r="A32" s="11"/>
      <c r="B32" s="87" t="s">
        <v>204</v>
      </c>
      <c r="C32" s="88"/>
      <c r="D32" s="88"/>
      <c r="E32" s="9">
        <v>5</v>
      </c>
      <c r="F32" s="42">
        <v>3.5</v>
      </c>
      <c r="G32" s="34">
        <f t="shared" si="0"/>
        <v>0.7</v>
      </c>
      <c r="H32" s="35" t="str">
        <f t="shared" si="1"/>
        <v>جيد</v>
      </c>
      <c r="I32" s="43"/>
      <c r="J32" s="44"/>
    </row>
    <row r="33" spans="1:10" ht="30" customHeight="1">
      <c r="A33" s="11"/>
      <c r="B33" s="87" t="s">
        <v>205</v>
      </c>
      <c r="C33" s="88"/>
      <c r="D33" s="88"/>
      <c r="E33" s="9">
        <v>5</v>
      </c>
      <c r="F33" s="42">
        <v>3.5</v>
      </c>
      <c r="G33" s="34">
        <f t="shared" si="0"/>
        <v>0.7</v>
      </c>
      <c r="H33" s="35" t="str">
        <f t="shared" si="1"/>
        <v>جيد</v>
      </c>
      <c r="I33" s="43"/>
      <c r="J33" s="44"/>
    </row>
    <row r="34" spans="1:10" ht="30" customHeight="1">
      <c r="A34" s="11"/>
      <c r="B34" s="87" t="s">
        <v>206</v>
      </c>
      <c r="C34" s="88"/>
      <c r="D34" s="88"/>
      <c r="E34" s="9">
        <v>5</v>
      </c>
      <c r="F34" s="42">
        <v>3.5</v>
      </c>
      <c r="G34" s="34">
        <f t="shared" si="0"/>
        <v>0.7</v>
      </c>
      <c r="H34" s="35" t="str">
        <f t="shared" si="1"/>
        <v>جيد</v>
      </c>
      <c r="I34" s="43"/>
      <c r="J34" s="44"/>
    </row>
    <row r="35" spans="1:10" ht="30" customHeight="1">
      <c r="A35" s="11"/>
      <c r="B35" s="87" t="s">
        <v>207</v>
      </c>
      <c r="C35" s="88"/>
      <c r="D35" s="88"/>
      <c r="E35" s="9">
        <v>5</v>
      </c>
      <c r="F35" s="42">
        <v>3.5</v>
      </c>
      <c r="G35" s="34">
        <f t="shared" si="0"/>
        <v>0.7</v>
      </c>
      <c r="H35" s="35" t="str">
        <f t="shared" si="1"/>
        <v>جيد</v>
      </c>
      <c r="I35" s="43"/>
      <c r="J35" s="44"/>
    </row>
    <row r="36" spans="1:10" ht="30" customHeight="1" thickBot="1">
      <c r="A36" s="11"/>
      <c r="B36" s="83" t="s">
        <v>208</v>
      </c>
      <c r="C36" s="84"/>
      <c r="D36" s="84"/>
      <c r="E36" s="30">
        <v>5</v>
      </c>
      <c r="F36" s="42">
        <v>3.5</v>
      </c>
      <c r="G36" s="39">
        <f t="shared" si="0"/>
        <v>0.7</v>
      </c>
      <c r="H36" s="40" t="str">
        <f t="shared" si="1"/>
        <v>جيد</v>
      </c>
      <c r="I36" s="45"/>
      <c r="J36" s="46"/>
    </row>
    <row r="37" spans="1:10" ht="30" customHeight="1">
      <c r="A37" s="11"/>
      <c r="B37" s="85" t="s">
        <v>209</v>
      </c>
      <c r="C37" s="86"/>
      <c r="D37" s="86"/>
      <c r="E37" s="29"/>
      <c r="F37" s="42"/>
      <c r="G37" s="37"/>
      <c r="H37" s="38"/>
      <c r="I37" s="49"/>
      <c r="J37" s="50"/>
    </row>
    <row r="38" spans="1:10" ht="30" customHeight="1">
      <c r="A38" s="11"/>
      <c r="B38" s="87" t="s">
        <v>210</v>
      </c>
      <c r="C38" s="88"/>
      <c r="D38" s="88"/>
      <c r="E38" s="9">
        <v>5</v>
      </c>
      <c r="F38" s="42">
        <v>3.5</v>
      </c>
      <c r="G38" s="34">
        <f t="shared" si="0"/>
        <v>0.7</v>
      </c>
      <c r="H38" s="35" t="str">
        <f t="shared" si="1"/>
        <v>جيد</v>
      </c>
      <c r="I38" s="43"/>
      <c r="J38" s="44"/>
    </row>
    <row r="39" spans="1:10" ht="30" customHeight="1">
      <c r="A39" s="11"/>
      <c r="B39" s="87" t="s">
        <v>211</v>
      </c>
      <c r="C39" s="88"/>
      <c r="D39" s="88"/>
      <c r="E39" s="9">
        <v>5</v>
      </c>
      <c r="F39" s="42">
        <v>3.5</v>
      </c>
      <c r="G39" s="34">
        <f t="shared" si="0"/>
        <v>0.7</v>
      </c>
      <c r="H39" s="35" t="str">
        <f t="shared" si="1"/>
        <v>جيد</v>
      </c>
      <c r="I39" s="43"/>
      <c r="J39" s="44"/>
    </row>
    <row r="40" spans="1:10" ht="30" customHeight="1">
      <c r="A40" s="11"/>
      <c r="B40" s="87" t="s">
        <v>212</v>
      </c>
      <c r="C40" s="88"/>
      <c r="D40" s="88"/>
      <c r="E40" s="9">
        <v>5</v>
      </c>
      <c r="F40" s="42">
        <v>3.5</v>
      </c>
      <c r="G40" s="34">
        <f t="shared" si="0"/>
        <v>0.7</v>
      </c>
      <c r="H40" s="35" t="str">
        <f t="shared" si="1"/>
        <v>جيد</v>
      </c>
      <c r="I40" s="43"/>
      <c r="J40" s="44"/>
    </row>
    <row r="41" spans="1:10" ht="30" customHeight="1">
      <c r="A41" s="11"/>
      <c r="B41" s="87" t="s">
        <v>213</v>
      </c>
      <c r="C41" s="88"/>
      <c r="D41" s="88"/>
      <c r="E41" s="9">
        <v>5</v>
      </c>
      <c r="F41" s="42">
        <v>3.5</v>
      </c>
      <c r="G41" s="34">
        <f t="shared" si="0"/>
        <v>0.7</v>
      </c>
      <c r="H41" s="35" t="str">
        <f t="shared" si="1"/>
        <v>جيد</v>
      </c>
      <c r="I41" s="43"/>
      <c r="J41" s="44"/>
    </row>
    <row r="42" spans="1:10" ht="30" customHeight="1">
      <c r="A42" s="11"/>
      <c r="B42" s="87" t="s">
        <v>214</v>
      </c>
      <c r="C42" s="88"/>
      <c r="D42" s="88"/>
      <c r="E42" s="9">
        <v>5</v>
      </c>
      <c r="F42" s="42">
        <v>3.5</v>
      </c>
      <c r="G42" s="34">
        <f t="shared" si="0"/>
        <v>0.7</v>
      </c>
      <c r="H42" s="35" t="str">
        <f t="shared" si="1"/>
        <v>جيد</v>
      </c>
      <c r="I42" s="43"/>
      <c r="J42" s="44"/>
    </row>
    <row r="43" spans="1:10" ht="30" customHeight="1">
      <c r="A43" s="11"/>
      <c r="B43" s="87" t="s">
        <v>215</v>
      </c>
      <c r="C43" s="88"/>
      <c r="D43" s="88"/>
      <c r="E43" s="9">
        <v>5</v>
      </c>
      <c r="F43" s="42">
        <v>3.5</v>
      </c>
      <c r="G43" s="34">
        <f t="shared" si="0"/>
        <v>0.7</v>
      </c>
      <c r="H43" s="35" t="str">
        <f t="shared" si="1"/>
        <v>جيد</v>
      </c>
      <c r="I43" s="43"/>
      <c r="J43" s="44"/>
    </row>
    <row r="44" spans="1:10" ht="30" customHeight="1">
      <c r="A44" s="11"/>
      <c r="B44" s="87" t="s">
        <v>216</v>
      </c>
      <c r="C44" s="88"/>
      <c r="D44" s="88"/>
      <c r="E44" s="9">
        <v>5</v>
      </c>
      <c r="F44" s="42">
        <v>3.5</v>
      </c>
      <c r="G44" s="34">
        <f t="shared" si="0"/>
        <v>0.7</v>
      </c>
      <c r="H44" s="35" t="str">
        <f t="shared" si="1"/>
        <v>جيد</v>
      </c>
      <c r="I44" s="43"/>
      <c r="J44" s="44"/>
    </row>
    <row r="45" spans="1:10" ht="30" customHeight="1">
      <c r="A45" s="11"/>
      <c r="B45" s="87" t="s">
        <v>217</v>
      </c>
      <c r="C45" s="88"/>
      <c r="D45" s="88"/>
      <c r="E45" s="9">
        <v>5</v>
      </c>
      <c r="F45" s="42">
        <v>3.5</v>
      </c>
      <c r="G45" s="34">
        <f t="shared" si="0"/>
        <v>0.7</v>
      </c>
      <c r="H45" s="35" t="str">
        <f t="shared" si="1"/>
        <v>جيد</v>
      </c>
      <c r="I45" s="43"/>
      <c r="J45" s="44"/>
    </row>
    <row r="46" spans="1:10" ht="30" customHeight="1">
      <c r="A46" s="11"/>
      <c r="B46" s="87" t="s">
        <v>218</v>
      </c>
      <c r="C46" s="88"/>
      <c r="D46" s="88"/>
      <c r="E46" s="9">
        <v>5</v>
      </c>
      <c r="F46" s="42">
        <v>3.5</v>
      </c>
      <c r="G46" s="34">
        <f t="shared" si="0"/>
        <v>0.7</v>
      </c>
      <c r="H46" s="35" t="str">
        <f t="shared" si="1"/>
        <v>جيد</v>
      </c>
      <c r="I46" s="43"/>
      <c r="J46" s="44"/>
    </row>
    <row r="47" spans="1:10" ht="30" customHeight="1">
      <c r="A47" s="11"/>
      <c r="B47" s="87" t="s">
        <v>219</v>
      </c>
      <c r="C47" s="88"/>
      <c r="D47" s="88"/>
      <c r="E47" s="9">
        <v>5</v>
      </c>
      <c r="F47" s="42">
        <v>3.5</v>
      </c>
      <c r="G47" s="34">
        <f t="shared" si="0"/>
        <v>0.7</v>
      </c>
      <c r="H47" s="35" t="str">
        <f t="shared" si="1"/>
        <v>جيد</v>
      </c>
      <c r="I47" s="43"/>
      <c r="J47" s="44"/>
    </row>
    <row r="48" spans="1:10" ht="30" customHeight="1">
      <c r="A48" s="11"/>
      <c r="B48" s="87" t="s">
        <v>220</v>
      </c>
      <c r="C48" s="88"/>
      <c r="D48" s="88"/>
      <c r="E48" s="9">
        <v>5</v>
      </c>
      <c r="F48" s="42">
        <v>3.5</v>
      </c>
      <c r="G48" s="34">
        <f t="shared" si="0"/>
        <v>0.7</v>
      </c>
      <c r="H48" s="35" t="str">
        <f t="shared" si="1"/>
        <v>جيد</v>
      </c>
      <c r="I48" s="43"/>
      <c r="J48" s="44"/>
    </row>
    <row r="49" spans="1:10" ht="30" customHeight="1">
      <c r="A49" s="11"/>
      <c r="B49" s="87" t="s">
        <v>221</v>
      </c>
      <c r="C49" s="88"/>
      <c r="D49" s="88"/>
      <c r="E49" s="9">
        <v>5</v>
      </c>
      <c r="F49" s="42">
        <v>3.5</v>
      </c>
      <c r="G49" s="34">
        <f t="shared" si="0"/>
        <v>0.7</v>
      </c>
      <c r="H49" s="35" t="str">
        <f t="shared" si="1"/>
        <v>جيد</v>
      </c>
      <c r="I49" s="43"/>
      <c r="J49" s="44"/>
    </row>
    <row r="50" spans="1:10" ht="30" customHeight="1">
      <c r="A50" s="11"/>
      <c r="B50" s="87" t="s">
        <v>222</v>
      </c>
      <c r="C50" s="88"/>
      <c r="D50" s="88"/>
      <c r="E50" s="9">
        <v>5</v>
      </c>
      <c r="F50" s="42">
        <v>3.5</v>
      </c>
      <c r="G50" s="34">
        <f t="shared" si="0"/>
        <v>0.7</v>
      </c>
      <c r="H50" s="35" t="str">
        <f t="shared" si="1"/>
        <v>جيد</v>
      </c>
      <c r="I50" s="43"/>
      <c r="J50" s="44"/>
    </row>
    <row r="51" spans="1:10" ht="30" customHeight="1" thickBot="1">
      <c r="A51" s="11"/>
      <c r="B51" s="83" t="s">
        <v>223</v>
      </c>
      <c r="C51" s="84"/>
      <c r="D51" s="84"/>
      <c r="E51" s="30">
        <v>5</v>
      </c>
      <c r="F51" s="42">
        <v>3.5</v>
      </c>
      <c r="G51" s="39">
        <f t="shared" si="0"/>
        <v>0.7</v>
      </c>
      <c r="H51" s="40" t="str">
        <f t="shared" si="1"/>
        <v>جيد</v>
      </c>
      <c r="I51" s="45"/>
      <c r="J51" s="46"/>
    </row>
    <row r="52" spans="1:10" ht="30" customHeight="1">
      <c r="A52" s="11"/>
      <c r="B52" s="85" t="s">
        <v>224</v>
      </c>
      <c r="C52" s="86"/>
      <c r="D52" s="86"/>
      <c r="E52" s="31"/>
      <c r="F52" s="42"/>
      <c r="G52" s="37"/>
      <c r="H52" s="38"/>
      <c r="I52" s="49"/>
      <c r="J52" s="50"/>
    </row>
    <row r="53" spans="1:10" ht="30" customHeight="1">
      <c r="A53" s="11"/>
      <c r="B53" s="87" t="s">
        <v>225</v>
      </c>
      <c r="C53" s="88"/>
      <c r="D53" s="88"/>
      <c r="E53" s="9">
        <v>6</v>
      </c>
      <c r="F53" s="42">
        <v>4.5</v>
      </c>
      <c r="G53" s="34">
        <f t="shared" si="0"/>
        <v>0.75</v>
      </c>
      <c r="H53" s="35" t="str">
        <f t="shared" si="1"/>
        <v>جيد</v>
      </c>
      <c r="I53" s="43"/>
      <c r="J53" s="44"/>
    </row>
    <row r="54" spans="1:10" ht="30" customHeight="1">
      <c r="A54" s="11"/>
      <c r="B54" s="87" t="s">
        <v>226</v>
      </c>
      <c r="C54" s="88"/>
      <c r="D54" s="88"/>
      <c r="E54" s="9">
        <v>7</v>
      </c>
      <c r="F54" s="42">
        <v>5</v>
      </c>
      <c r="G54" s="34">
        <f t="shared" si="0"/>
        <v>0.7142857142857143</v>
      </c>
      <c r="H54" s="35" t="str">
        <f t="shared" si="1"/>
        <v>جيد</v>
      </c>
      <c r="I54" s="43"/>
      <c r="J54" s="44"/>
    </row>
    <row r="55" spans="1:10" ht="30" customHeight="1" thickBot="1">
      <c r="A55" s="11"/>
      <c r="B55" s="83" t="s">
        <v>227</v>
      </c>
      <c r="C55" s="84"/>
      <c r="D55" s="84"/>
      <c r="E55" s="30">
        <v>6</v>
      </c>
      <c r="F55" s="42">
        <v>4.5</v>
      </c>
      <c r="G55" s="39">
        <f t="shared" si="0"/>
        <v>0.75</v>
      </c>
      <c r="H55" s="40" t="str">
        <f t="shared" si="1"/>
        <v>جيد</v>
      </c>
      <c r="I55" s="45"/>
      <c r="J55" s="46"/>
    </row>
    <row r="56" spans="1:10" ht="30" customHeight="1">
      <c r="A56" s="11"/>
      <c r="B56" s="85" t="s">
        <v>228</v>
      </c>
      <c r="C56" s="86"/>
      <c r="D56" s="86"/>
      <c r="E56" s="29"/>
      <c r="F56" s="42"/>
      <c r="G56" s="37"/>
      <c r="H56" s="38"/>
      <c r="I56" s="49"/>
      <c r="J56" s="50"/>
    </row>
    <row r="57" spans="1:10" ht="30" customHeight="1">
      <c r="A57" s="11"/>
      <c r="B57" s="87" t="s">
        <v>229</v>
      </c>
      <c r="C57" s="88"/>
      <c r="D57" s="88"/>
      <c r="E57" s="9">
        <v>10</v>
      </c>
      <c r="F57" s="42">
        <v>7</v>
      </c>
      <c r="G57" s="34">
        <f t="shared" si="0"/>
        <v>0.7</v>
      </c>
      <c r="H57" s="35" t="str">
        <f t="shared" si="1"/>
        <v>جيد</v>
      </c>
      <c r="I57" s="43"/>
      <c r="J57" s="44"/>
    </row>
    <row r="58" spans="1:10" ht="30" customHeight="1">
      <c r="A58" s="11"/>
      <c r="B58" s="87" t="s">
        <v>230</v>
      </c>
      <c r="C58" s="88"/>
      <c r="D58" s="88"/>
      <c r="E58" s="9">
        <v>6</v>
      </c>
      <c r="F58" s="42">
        <v>4.25</v>
      </c>
      <c r="G58" s="34">
        <f t="shared" si="0"/>
        <v>0.70833333333333337</v>
      </c>
      <c r="H58" s="35" t="str">
        <f t="shared" si="1"/>
        <v>جيد</v>
      </c>
      <c r="I58" s="43"/>
      <c r="J58" s="44"/>
    </row>
    <row r="59" spans="1:10" ht="39.950000000000003" customHeight="1" thickBot="1">
      <c r="A59" s="11"/>
      <c r="B59" s="83" t="s">
        <v>231</v>
      </c>
      <c r="C59" s="84"/>
      <c r="D59" s="84"/>
      <c r="E59" s="30">
        <v>9</v>
      </c>
      <c r="F59" s="42">
        <v>7</v>
      </c>
      <c r="G59" s="39">
        <f t="shared" si="0"/>
        <v>0.77777777777777779</v>
      </c>
      <c r="H59" s="40" t="str">
        <f t="shared" si="1"/>
        <v>جيد</v>
      </c>
      <c r="I59" s="45"/>
      <c r="J59" s="46"/>
    </row>
    <row r="60" spans="1:10" ht="30" customHeight="1">
      <c r="A60" s="11"/>
      <c r="B60" s="85" t="s">
        <v>232</v>
      </c>
      <c r="C60" s="86"/>
      <c r="D60" s="86"/>
      <c r="E60" s="31"/>
      <c r="F60" s="42"/>
      <c r="G60" s="37"/>
      <c r="H60" s="38"/>
      <c r="I60" s="49"/>
      <c r="J60" s="50"/>
    </row>
    <row r="61" spans="1:10" ht="30" customHeight="1">
      <c r="A61" s="11"/>
      <c r="B61" s="87" t="s">
        <v>233</v>
      </c>
      <c r="C61" s="88"/>
      <c r="D61" s="88"/>
      <c r="E61" s="9">
        <v>10</v>
      </c>
      <c r="F61" s="42">
        <v>7</v>
      </c>
      <c r="G61" s="34">
        <f t="shared" si="0"/>
        <v>0.7</v>
      </c>
      <c r="H61" s="35" t="str">
        <f t="shared" si="1"/>
        <v>جيد</v>
      </c>
      <c r="I61" s="43"/>
      <c r="J61" s="44"/>
    </row>
    <row r="62" spans="1:10" ht="30" customHeight="1" thickBot="1">
      <c r="A62" s="11"/>
      <c r="B62" s="83" t="s">
        <v>234</v>
      </c>
      <c r="C62" s="84"/>
      <c r="D62" s="84"/>
      <c r="E62" s="30">
        <v>10</v>
      </c>
      <c r="F62" s="42">
        <v>7</v>
      </c>
      <c r="G62" s="39">
        <f t="shared" si="0"/>
        <v>0.7</v>
      </c>
      <c r="H62" s="40" t="str">
        <f t="shared" si="1"/>
        <v>جيد</v>
      </c>
      <c r="I62" s="45"/>
      <c r="J62" s="46"/>
    </row>
    <row r="63" spans="1:10" ht="30" customHeight="1">
      <c r="A63" s="11"/>
      <c r="B63" s="85" t="s">
        <v>235</v>
      </c>
      <c r="C63" s="86"/>
      <c r="D63" s="86"/>
      <c r="E63" s="31"/>
      <c r="F63" s="42"/>
      <c r="G63" s="37"/>
      <c r="H63" s="38"/>
      <c r="I63" s="49"/>
      <c r="J63" s="50"/>
    </row>
    <row r="64" spans="1:10" ht="30" customHeight="1">
      <c r="A64" s="11"/>
      <c r="B64" s="87" t="s">
        <v>236</v>
      </c>
      <c r="C64" s="88"/>
      <c r="D64" s="88"/>
      <c r="E64" s="9">
        <v>8</v>
      </c>
      <c r="F64" s="42">
        <v>6</v>
      </c>
      <c r="G64" s="34">
        <f t="shared" si="0"/>
        <v>0.75</v>
      </c>
      <c r="H64" s="35" t="str">
        <f t="shared" si="1"/>
        <v>جيد</v>
      </c>
      <c r="I64" s="43"/>
      <c r="J64" s="44"/>
    </row>
    <row r="65" spans="1:10" ht="30" customHeight="1">
      <c r="A65" s="11"/>
      <c r="B65" s="87" t="s">
        <v>237</v>
      </c>
      <c r="C65" s="88"/>
      <c r="D65" s="88"/>
      <c r="E65" s="9">
        <v>8</v>
      </c>
      <c r="F65" s="42">
        <v>6</v>
      </c>
      <c r="G65" s="34">
        <f t="shared" si="0"/>
        <v>0.75</v>
      </c>
      <c r="H65" s="35" t="str">
        <f t="shared" si="1"/>
        <v>جيد</v>
      </c>
      <c r="I65" s="43"/>
      <c r="J65" s="44"/>
    </row>
    <row r="66" spans="1:10" ht="30" customHeight="1">
      <c r="A66" s="11"/>
      <c r="B66" s="87" t="s">
        <v>238</v>
      </c>
      <c r="C66" s="88"/>
      <c r="D66" s="88"/>
      <c r="E66" s="9">
        <v>8</v>
      </c>
      <c r="F66" s="42">
        <v>5.75</v>
      </c>
      <c r="G66" s="34">
        <f t="shared" si="0"/>
        <v>0.71875</v>
      </c>
      <c r="H66" s="35" t="str">
        <f t="shared" si="1"/>
        <v>جيد</v>
      </c>
      <c r="I66" s="43"/>
      <c r="J66" s="44"/>
    </row>
    <row r="67" spans="1:10" ht="30" customHeight="1">
      <c r="A67" s="11"/>
      <c r="B67" s="87" t="s">
        <v>239</v>
      </c>
      <c r="C67" s="88"/>
      <c r="D67" s="88"/>
      <c r="E67" s="9">
        <v>8</v>
      </c>
      <c r="F67" s="42">
        <v>5.75</v>
      </c>
      <c r="G67" s="34">
        <f t="shared" si="0"/>
        <v>0.71875</v>
      </c>
      <c r="H67" s="35" t="str">
        <f t="shared" si="1"/>
        <v>جيد</v>
      </c>
      <c r="I67" s="43"/>
      <c r="J67" s="44"/>
    </row>
    <row r="68" spans="1:10" ht="30" customHeight="1" thickBot="1">
      <c r="A68" s="11"/>
      <c r="B68" s="83" t="s">
        <v>240</v>
      </c>
      <c r="C68" s="84"/>
      <c r="D68" s="84"/>
      <c r="E68" s="30">
        <v>10</v>
      </c>
      <c r="F68" s="42">
        <v>7</v>
      </c>
      <c r="G68" s="39">
        <f t="shared" si="0"/>
        <v>0.7</v>
      </c>
      <c r="H68" s="40" t="str">
        <f t="shared" si="1"/>
        <v>جيد</v>
      </c>
      <c r="I68" s="45"/>
      <c r="J68" s="46"/>
    </row>
    <row r="69" spans="1:10" ht="30" customHeight="1" thickBot="1">
      <c r="A69" s="11"/>
      <c r="B69" s="89" t="s">
        <v>241</v>
      </c>
      <c r="C69" s="90"/>
      <c r="D69" s="90"/>
      <c r="E69" s="10">
        <v>10</v>
      </c>
      <c r="F69" s="42">
        <v>7</v>
      </c>
      <c r="G69" s="41">
        <f t="shared" si="0"/>
        <v>0.7</v>
      </c>
      <c r="H69" s="28" t="str">
        <f t="shared" si="1"/>
        <v>جيد</v>
      </c>
      <c r="I69" s="47"/>
      <c r="J69" s="48"/>
    </row>
    <row r="70" spans="1:10" ht="30" customHeight="1">
      <c r="A70" s="11"/>
      <c r="B70" s="85" t="s">
        <v>242</v>
      </c>
      <c r="C70" s="86"/>
      <c r="D70" s="86"/>
      <c r="E70" s="31"/>
      <c r="F70" s="42"/>
      <c r="G70" s="37"/>
      <c r="H70" s="38"/>
      <c r="I70" s="49"/>
      <c r="J70" s="50"/>
    </row>
    <row r="71" spans="1:10" ht="30" customHeight="1">
      <c r="A71" s="11"/>
      <c r="B71" s="87" t="s">
        <v>243</v>
      </c>
      <c r="C71" s="88"/>
      <c r="D71" s="88"/>
      <c r="E71" s="9">
        <v>6</v>
      </c>
      <c r="F71" s="42">
        <v>4.25</v>
      </c>
      <c r="G71" s="34">
        <f t="shared" si="0"/>
        <v>0.70833333333333337</v>
      </c>
      <c r="H71" s="35" t="str">
        <f t="shared" si="1"/>
        <v>جيد</v>
      </c>
      <c r="I71" s="43"/>
      <c r="J71" s="44"/>
    </row>
    <row r="72" spans="1:10" ht="30" customHeight="1">
      <c r="A72" s="11"/>
      <c r="B72" s="87" t="s">
        <v>244</v>
      </c>
      <c r="C72" s="88"/>
      <c r="D72" s="88"/>
      <c r="E72" s="9">
        <v>8</v>
      </c>
      <c r="F72" s="42">
        <v>5.75</v>
      </c>
      <c r="G72" s="34">
        <f t="shared" si="0"/>
        <v>0.71875</v>
      </c>
      <c r="H72" s="35" t="str">
        <f t="shared" si="1"/>
        <v>جيد</v>
      </c>
      <c r="I72" s="43"/>
      <c r="J72" s="44"/>
    </row>
    <row r="73" spans="1:10" ht="39.950000000000003" customHeight="1">
      <c r="A73" s="11"/>
      <c r="B73" s="87" t="s">
        <v>245</v>
      </c>
      <c r="C73" s="88"/>
      <c r="D73" s="88"/>
      <c r="E73" s="9">
        <v>5</v>
      </c>
      <c r="F73" s="42">
        <v>3.5</v>
      </c>
      <c r="G73" s="34">
        <f t="shared" si="0"/>
        <v>0.7</v>
      </c>
      <c r="H73" s="35" t="str">
        <f t="shared" si="1"/>
        <v>جيد</v>
      </c>
      <c r="I73" s="43"/>
      <c r="J73" s="44"/>
    </row>
    <row r="74" spans="1:10" ht="39.950000000000003" customHeight="1">
      <c r="A74" s="11"/>
      <c r="B74" s="87" t="s">
        <v>246</v>
      </c>
      <c r="C74" s="88"/>
      <c r="D74" s="88"/>
      <c r="E74" s="9">
        <v>5</v>
      </c>
      <c r="F74" s="42">
        <v>3.5</v>
      </c>
      <c r="G74" s="34">
        <f t="shared" ref="G74:G75" si="2">IFERROR(F74/E74,"")</f>
        <v>0.7</v>
      </c>
      <c r="H74" s="35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43"/>
      <c r="J74" s="44"/>
    </row>
    <row r="75" spans="1:10" ht="30" customHeight="1" thickBot="1">
      <c r="A75" s="11"/>
      <c r="B75" s="83" t="s">
        <v>247</v>
      </c>
      <c r="C75" s="84"/>
      <c r="D75" s="84"/>
      <c r="E75" s="30">
        <v>5</v>
      </c>
      <c r="F75" s="42">
        <v>3.5</v>
      </c>
      <c r="G75" s="39">
        <f t="shared" si="2"/>
        <v>0.7</v>
      </c>
      <c r="H75" s="40" t="str">
        <f t="shared" si="3"/>
        <v>جيد</v>
      </c>
      <c r="I75" s="45"/>
      <c r="J75" s="46"/>
    </row>
    <row r="76" spans="1:10" ht="30" customHeight="1" thickBot="1">
      <c r="A76" s="4"/>
      <c r="B76" s="79" t="s">
        <v>5</v>
      </c>
      <c r="C76" s="80"/>
      <c r="D76" s="80"/>
      <c r="E76" s="33">
        <f>SUM(E8:E75)</f>
        <v>350</v>
      </c>
      <c r="F76" s="33">
        <f>SUM(F8:F75)</f>
        <v>248</v>
      </c>
      <c r="G76" s="53"/>
      <c r="H76" s="54"/>
      <c r="I76" s="54"/>
      <c r="J76" s="55"/>
    </row>
    <row r="77" spans="1:10" ht="30" customHeight="1" thickBot="1">
      <c r="A77" s="4"/>
      <c r="B77" s="81" t="s">
        <v>54</v>
      </c>
      <c r="C77" s="82"/>
      <c r="D77" s="82"/>
      <c r="E77" s="63">
        <f>F76/E76/100*100</f>
        <v>0.70857142857142852</v>
      </c>
      <c r="F77" s="63"/>
      <c r="G77" s="63"/>
      <c r="H77" s="63"/>
      <c r="I77" s="63"/>
      <c r="J77" s="64"/>
    </row>
    <row r="78" spans="1:10" ht="30" customHeight="1" thickBot="1">
      <c r="A78" s="4"/>
      <c r="B78" s="81" t="s">
        <v>55</v>
      </c>
      <c r="C78" s="82"/>
      <c r="D78" s="82"/>
      <c r="E78" s="77" t="str">
        <f>_xlfn.IFS(E77&gt;=90%,"ممتاز",E77&gt;=80%,"جيد جداً",E77&gt;=70%,"جيد",E77&gt;=60%,"مقبول",E77&lt;60%,"راسب")</f>
        <v>جيد</v>
      </c>
      <c r="F78" s="77"/>
      <c r="G78" s="77"/>
      <c r="H78" s="77"/>
      <c r="I78" s="77"/>
      <c r="J78" s="78"/>
    </row>
    <row r="79" spans="1:10" ht="42" customHeight="1">
      <c r="B79" s="73" t="s">
        <v>174</v>
      </c>
      <c r="C79" s="73"/>
      <c r="D79" s="73"/>
      <c r="E79" s="51" t="s">
        <v>52</v>
      </c>
      <c r="F79" s="51"/>
      <c r="G79" s="75" t="s">
        <v>130</v>
      </c>
      <c r="H79" s="75"/>
      <c r="I79" s="75"/>
      <c r="J79" s="75"/>
    </row>
    <row r="80" spans="1:10" ht="51" customHeight="1">
      <c r="A80" s="5"/>
      <c r="B80" s="74"/>
      <c r="C80" s="74"/>
      <c r="D80" s="74"/>
      <c r="E80" s="52" t="s">
        <v>53</v>
      </c>
      <c r="F80" s="52"/>
      <c r="G80" s="76"/>
      <c r="H80" s="76"/>
      <c r="I80" s="76"/>
      <c r="J8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58">
      <formula>$E78="مقبول"</formula>
    </cfRule>
    <cfRule type="expression" dxfId="12" priority="59">
      <formula>$E78="جيد"</formula>
    </cfRule>
    <cfRule type="expression" dxfId="11" priority="60">
      <formula>$E78="جيد جداً"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2025-09-22T05:33:47Z</dcterms:modified>
</cp:coreProperties>
</file>