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572ED4D-E6BA-1845-A7DB-46924AB239F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F68" i="2"/>
  <c r="E68" i="2"/>
  <c r="E69" i="2"/>
  <c r="E70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<sst xmlns="http://schemas.openxmlformats.org/spreadsheetml/2006/main" count="293" uniqueCount="237">
  <si>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</si>
  <si>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</si>
  <si>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</si>
  <si>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</si>
  <si>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</si>
  <si>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</si>
  <si>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</si>
  <si>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</si>
  <si>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</si>
  <si>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</si>
  <si>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</si>
  <si>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</si>
  <si>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</si>
  <si>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</si>
  <si>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</si>
  <si>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</si>
  <si>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</si>
  <si>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</si>
  <si>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</si>
  <si>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</si>
  <si>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</si>
  <si>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</si>
  <si>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</si>
  <si>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</si>
  <si>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</si>
  <si>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</si>
  <si>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</si>
  <si>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</si>
  <si>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</si>
  <si>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</si>
  <si>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</si>
  <si>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</si>
  <si>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</si>
  <si>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</si>
  <si>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</si>
  <si>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</si>
  <si>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</si>
  <si>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</si>
  <si>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</si>
  <si>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</si>
  <si>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</si>
  <si>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</si>
  <si>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</si>
  <si>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</si>
  <si>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</si>
  <si>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</si>
  <si>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</si>
  <si>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</si>
  <si>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</si>
  <si>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</si>
  <si>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</si>
  <si>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</si>
  <si>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</si>
  <si>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</si>
  <si>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</si>
  <si>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</si>
  <si>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</si>
  <si>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</si>
  <si>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</si>
  <si>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</si>
  <si>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</si>
  <si>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</si>
  <si>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</si>
  <si>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</si>
  <si>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</si>
  <si>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</si>
  <si>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</si>
  <si>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</si>
  <si>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</si>
  <si>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</si>
  <si>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</si>
  <si>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</si>
  <si>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</si>
  <si>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</si>
  <si>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</si>
  <si>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</si>
  <si>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</si>
  <si>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</si>
  <si>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</si>
  <si>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</si>
  <si>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</si>
  <si>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</si>
  <si>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</si>
  <si>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</si>
  <si>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</si>
  <si>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</si>
  <si>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</si>
  <si>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</si>
  <si>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</si>
  <si>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</si>
  <si>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</si>
  <si>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</si>
  <si>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</si>
  <si>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</si>
  <si>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</si>
  <si>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</si>
  <si>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</si>
  <si>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</si>
  <si>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</si>
  <si>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</si>
  <si>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</si>
  <si>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</si>
  <si>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</si>
  <si>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</si>
  <si>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</si>
  <si>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</si>
  <si>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</si>
  <si>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</si>
  <si>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</si>
  <si>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</si>
  <si>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</si>
  <si>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</si>
  <si>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</si>
  <si>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</si>
  <si>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</si>
  <si>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</si>
  <si>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</si>
  <si>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</si>
  <si>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</si>
  <si>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</si>
  <si>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</si>
  <si>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</si>
  <si>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</si>
  <si>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</si>
  <si>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</si>
  <si>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</si>
  <si>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</si>
  <si>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</si>
  <si>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</si>
  <si>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</si>
  <si>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</si>
  <si>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</si>
  <si>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</si>
  <si>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</si>
  <si>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</si>
  <si>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</si>
  <si>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</si>
  <si>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</si>
  <si>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</si>
  <si>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</si>
  <si>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</si>
  <si>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</si>
  <si>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</si>
  <si>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</si>
  <si>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</si>
  <si>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</si>
  <si>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</si>
  <si>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</si>
  <si>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</si>
  <si>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</si>
  <si>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</si>
  <si>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</si>
  <si>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</si>
  <si>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</si>
  <si>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</si>
  <si>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</si>
  <si>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</si>
  <si>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</si>
  <si>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</si>
  <si>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</si>
  <si>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</si>
  <si>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</si>
  <si>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</si>
  <si>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</si>
  <si>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</si>
  <si>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</si>
  <si>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</si>
  <si>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</si>
  <si>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</si>
  <si>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</si>
  <si>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</si>
  <si>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</si>
  <si>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</si>
  <si>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</si>
  <si>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</si>
  <si>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</si>
  <si>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</si>
  <si>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تنفيذ مرحلة التخطيط في منطقة الحشد إذا توفر الوقت لذلك، أو يتم تنفيذها كاملة أو جزء منها في منطقة التجمع.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</si>
  <si>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 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</si>
  <si>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تستلم قيادة السرية أمر العمليات من المستوى الأعلى ويتم القيام بما يلي:</t>
    </r>
  </si>
  <si>
    <r>
      <t>أ‌.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</si>
  <si>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</si>
  <si>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</si>
  <si>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</si>
  <si>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t>(3)   ممرات الحركة من منطقة التجمع وحتى الأهداف.</t>
  </si>
  <si>
    <t>(4)   خط البدء وخط الانفتاح المحتمل.</t>
  </si>
  <si>
    <t>(5)   الأماكن المحتملة لكمائن العدو على طول طرق الحركة.</t>
  </si>
  <si>
    <t>جـ.   الحصول على المعلومات الاستخبارية من المستوى الأعلى.</t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</si>
  <si>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Calibri Light"/>
        <family val="2"/>
      </rPr>
      <t xml:space="preserve">  </t>
    </r>
  </si>
  <si>
    <t>(1)   قوة الإسناد. (في حال وجود فصيل إسناد في تنظيم السرية/ الفريق، يقوم الفصيل بدور الإسناد في جميع المراحل).</t>
  </si>
  <si>
    <t>(2)   قوة فتح الثغرة (تقديم الإسناد لعناصر الهندسة في فتح الثغرة).</t>
  </si>
  <si>
    <t>(3)   قوة الاقتحام.</t>
  </si>
  <si>
    <t xml:space="preserve">(4)   واجبات عناصر الإسناد القتالي.  </t>
  </si>
  <si>
    <t>هـ.   توحيد وتنسيق الوظائف القتالية كما يلي:</t>
  </si>
  <si>
    <r>
      <t>(1)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</si>
  <si>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t>(أ)    تخطيط النيران على جميع مواقع العدو المعروفة والمحتملة ولعزل الهدف.</t>
  </si>
  <si>
    <t>(ب)   تخطيط نيران الإعماء/ الحجب عند الضرورة.</t>
  </si>
  <si>
    <t>(جـ)  تخطيط نيران لإسناد قوات فتح الثغرة في الموانع.</t>
  </si>
  <si>
    <t>(د)   تخطيط الأهداف لحماية القوات المقتحمة بواسطة إسكات وتحييد وتدمير أسلحة نيران العدو المباشرة.</t>
  </si>
  <si>
    <t>(هـ)   تخطيط النيران ضد تعزيزات العدو أثناء الهجوم ولإسناد التثبت وإعادة التنظيم للسرية فور احتلال الهدف والاستيلاء عليه والتخطيط للنيران لما بعد الأهداف.</t>
  </si>
  <si>
    <t>(2)   الإسناد الهندسي:</t>
  </si>
  <si>
    <t>(أ)   تحديد واجبات قابلية الحركة الضرورية في منطقة عمليات الكتيبة/ مجموعة القتال وعلى طول ممرات الحركة وحتى الأهداف.</t>
  </si>
  <si>
    <t>(ب)   تحديد مكان مواقع فتح الثغرة.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</si>
  <si>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</si>
  <si>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</si>
  <si>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</si>
  <si>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</si>
  <si>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</si>
  <si>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تنفيذ التجارب على تنفيذ الهجوم مع التركيز على ما يلي:  </t>
    </r>
  </si>
  <si>
    <t>أ.  الأعمال التي تُنفَذ عند خط الاقتحام.</t>
  </si>
  <si>
    <t>ب.  فتح الثغرة واختراق الموانع.</t>
  </si>
  <si>
    <r>
      <t>جـ.  الأعمال التي تُنفذ على الهدف (الاقتحام والتثبت وإعادة التنظيم)</t>
    </r>
    <r>
      <rPr>
        <b/>
        <sz val="12"/>
        <color rgb="FF000000"/>
        <rFont val="Arial"/>
        <family val="2"/>
      </rPr>
      <t xml:space="preserve"> .</t>
    </r>
  </si>
  <si>
    <t>د.  العمل عند التماس مع العدو أثناء الحركة مثل (الكمائن، الهجمات التخريبية، القصف المدفعي، الهجوم الجوي، ... إلخ).</t>
  </si>
  <si>
    <r>
      <t>5.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</si>
  <si>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</si>
  <si>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</si>
  <si>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مناسبة.</t>
    </r>
  </si>
  <si>
    <r>
      <t>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</si>
  <si>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</si>
  <si>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إذا كانت السرية تنفذ الهجوم كجزء من الكتيبة/ مجموعة القتال، فإنها تبدأ بالتحول من تشكيل المسير إلى تشكيل ما قبل المعركة (خط الفتح التعبوي) على مسافة (6 – 8) كم من الحد الأمامي لمنطقة معركة العدو (التحول من تشكيل ارتال كتائب الى ارتال سرايا).</t>
    </r>
  </si>
  <si>
    <r>
      <t>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تقوم الفصائل بالانفتاح على مسافة (4 – 6) كم من الحد الأمامي لمنطقة معركة العدو والتحول من تشكيل ارتال سرايا الى ارتال فصائل. </t>
    </r>
  </si>
  <si>
    <r>
      <t>6.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عند الوصول إلى منطقة التشكيل تنفتح قوات الاقتحام وأسلحة الإسناد حسب التشكيلة النهائية للاقتحام.</t>
    </r>
  </si>
  <si>
    <r>
      <t>7.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تقوم القوات المقتحمة وأسلحة الإسناد بإكمال التحضيرات النهائية للهجوم.</t>
    </r>
  </si>
  <si>
    <r>
      <t>8.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يقوم فصيل الإسناد أو أحد الفصائل بتأسيس قاعدة الاسناد بالنيران.</t>
    </r>
  </si>
  <si>
    <r>
      <t>9.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القيام بإجراءات فتح الثغرة في موانع العدو عند الضرورة.  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</si>
  <si>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خطة الإسناد الناري غير المباشر.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</si>
  <si>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يتأكد قائد السرية أن عناصر الهندسة المخصصة نجحت في فتح ثغرات في حقول الألغام وموانع العدو.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</si>
  <si>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منطقة التشكيل إلى خط البدء.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</si>
  <si>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التحرك من خط البدء إلى منطقة ترجل الأفراد بأسلوب النار والحركة. (يتم تحديد أماكن ترجل عناصر المشاة بناءً على متغيرات المهمة.)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</si>
  <si>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الحركة من خط الترجل إلى خط الاقتحام.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</si>
  <si>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نقل النيران والدخان لإسكات قوات العدو وحجب قواتنا الصديقة.</t>
    </r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</si>
  <si>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تنفيذ الاقتحام النهائي من خط الاقتحام إلى الأهداف.   </t>
    </r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</si>
  <si>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استدعاء مصادر الإدامة للأمام عند الحاجة.</t>
    </r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</si>
  <si>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التثبت وإعادة التنظيم على الهدف.</t>
    </r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</si>
  <si>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 الاستعداد للعمليات المستقبلية.</t>
    </r>
  </si>
  <si>
    <t>ملاحظة: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</si>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</sst>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2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8" fillId="0" borderId="23" xfId="0" applyFont="1" applyBorder="1" applyAlignment="1">
      <alignment horizontal="right" vertical="center" wrapText="1" readingOrder="2"/>
    </xf>
    <xf numFmtId="0" fontId="18" fillId="0" borderId="3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8" fillId="0" borderId="11" xfId="0" applyFont="1" applyBorder="1" applyAlignment="1">
      <alignment horizontal="right" vertical="center" wrapText="1" readingOrder="2"/>
    </xf>
    <xf numFmtId="0" fontId="18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522465</xdr:colOff>
      <xdr:row>71</xdr:row>
      <xdr:rowOff>183475</xdr:rowOff>
    </xdr:from>
    <xdr:to>
      <xdr:col>8</xdr:col>
      <xdr:colOff>9444</xdr:colOff>
      <xdr:row>71</xdr:row>
      <xdr:rowOff>427915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92F6DC7-5A5E-C711-B94A-69DC0F55D30A}"/>
                </a:ext>
              </a:extLst>
            </xdr14:cNvPr>
            <xdr14:cNvContentPartPr/>
          </xdr14:nvContentPartPr>
          <xdr14:nvPr macro=""/>
          <xdr14:xfrm>
            <a:off x="10399235465" y="36326520"/>
            <a:ext cx="803160" cy="2444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92F6DC7-5A5E-C711-B94A-69DC0F55D3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29345" y="36320400"/>
              <a:ext cx="81540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626495</xdr:colOff>
      <xdr:row>71</xdr:row>
      <xdr:rowOff>202555</xdr:rowOff>
    </xdr:from>
    <xdr:to>
      <xdr:col>9</xdr:col>
      <xdr:colOff>477794</xdr:colOff>
      <xdr:row>71</xdr:row>
      <xdr:rowOff>391195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AF50076-6217-FBDC-4BF6-7E5FB4EF6645}"/>
                </a:ext>
              </a:extLst>
            </xdr14:cNvPr>
            <xdr14:cNvContentPartPr/>
          </xdr14:nvContentPartPr>
          <xdr14:nvPr macro=""/>
          <xdr14:xfrm>
            <a:off x="10398109025" y="36345600"/>
            <a:ext cx="1167480" cy="1886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AF50076-6217-FBDC-4BF6-7E5FB4EF66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02905" y="36339480"/>
              <a:ext cx="1179720" cy="200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26:13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1598 679 10650,'0'0'0,"2"0"2584,1-12-247,-3 12-2337,7-3 1920,-2-1-439,-3 1-449,-2 3-56,0 0-976,2 0 544,1 0-128,-3 0 40,0 0-120,0 0-336,0 0 384,0 0 1,2 0 23,-2 0-176,0 0-232,0 0 312,0 0 24,0 0 16,0 0 8,0 0-360,0 0 440,0 0-8,0 0-88,0 0 104,0 0-2112,0 0 3608,0 0-1768,0 0 88,0 0-280,0 0-2352,0 0 4945,0 0-2401,0 0-24,0-3 0,0 3-152,-2-2 40,2-1 40,0-2-56,-3-6 8,3 11-32,-2-3 72,-3-10 48,5 9-104,-5-9 136,5 13-152,-4-4-48,1-10-264,-2 10 328,1-13 16,4 17-32,-12-12-96,9-1 400,1 1-216,-3-3-8,5 15-80,-5-14 288,-7 0-184,12 0-104,-2 0-32,2 14 32,-8-16 16,6 2-32,-10 0 64,10-1 24,2 15-72,-5-14 112,0 0 80,5 0-80,-5 2 8,5 12-120,-2-4 112,-3-10-72,3 10 88,2-9-128,0 13 0,-3-3-184,-2-10 200,3 10-144,2-1 56,0 4 72,0-11 16,0 11-112,-5-5 160,5 1-8,0 4-56,0-11 32,0 11-48,3-5 0,-1-6-24,-2 11 40,2-3 56,1-1-56,4 0-72,-2-8-56,-5 12 128,5 0-192,-1-4 8,4 1 88,1-1 176,-9 4-80,5-4-16,7 1 0,-12 0 32,12 0-136,-12 3 120,12 0 32,0 0-64,0 0 64,0 0-8,-12 0-24,10 0-24,2 0 32,2 0-80,-2 0 296,-12 0-224,17 0-8,2 0 232,-2 0-112,2 0-280,1 0 192,-20 0-24,19 0-40,3-3 56,-3 3-8,2-3 56,-21 3-64,20-2-136,-3-1 152,-1 0 40,4 0-8,-20 3-48,14-4 48,3-8-152,0 10 24,-8-10-120,-9 12 200,17-3-168,0-9 168,0 7 112,0-6-56,-17 11-56,17-4 280,-1-10-104,1 11-216,2-10 208,-19 13-168,17-3-128,-5-1 104,3-8 8,-3 10 16,-12 2 0,12-5 88,-3-6-24,-1 8 136,6-1-144,-14 4-56,3-4 112,11-1-64,-12 1-192,3 0 144,-5 4 0,3-3 48,-3 0-64,2 0 64,-2 3-48,0 0 0,2 0-120,-2 0 88,0 0-16,0 0 32,0 0 16,-2 0-80,0 0 72,-1 0-88,3 0 96,-5 2-136,1-1 88,-6 2 0,8 0 40,2-3 8,-13 4 40,11-1 296,-10 1-472,7 0 152,5-4-16,-17 12 48,15-9-176,-15 2 176,5 8-216,12-13 168,-12 4-120,-5 8-184,5-8 272,-5 9 32,17-13 0,-14 11-152,2-5 152,-5 8-136,0-3 184,17-11-48,-19 12 104,-3-1-88,-2 3 120,5-1-16,19-13-120,-19 13 152,-5 0-152,0 0 80,2-2-96,22-11 16,-26 11 0,2 1 240,2-1-160,-2 2-80,24-13 0,-19 11-48,-1 2-208,4-2 160,-4-5 80,20-6 16,-17 13 32,1-9 168,1 8-184,6-10-64,9-2 48,-15 6 48,3 5-216,0-8 240,0 2-144,12-5 72,-12 5 32,7-1-48,-12 1-64,3-1 248,14-4-168,-12 4-88,0-2 72,0-1 64,0 1-64,12-2 16,-12 1 32,0 0-112,0-1-120,0 0 144,12 0 56,-15 0-168,1 0 360,-3 0-160,3-2-336,14 2 304,-15-3 216,-4 0-184,0-1 104,-1-1-48,20 5-88,-19-4-32,-2-7-72,1 8 88,-1-9 184,21 12-168,-20-4 32,1-9 16,-2 9-8,1-12 88,20 16-128,-19-14 56,-3 0-8,6-2 56,-6-1-224,22 17 120,-17-15 32,-2-1-48,0-1-136,2 0 104,17 17 48,-19-19-336,-3 2 216,3-1 16,-3-2 136,22 20-32,-14-17 256,-6-1-120,3 2 112,3 2-24,14 14-224,-14-15 152,-1 4 96,10 7-136,-7-10-112,12 14 0,-2-3 16,-3-2 16,-7 1-96,12 1 144,0 3-80,-5-2 0,5 2-16,0 0 88,0 0-88,0 0 16,-2 0-104,2 0-112,0 0 200,0 0-16,0 0 32,0 4 16,2 9 72,10-2-96,-7 3-152,-5-14 160,17 16-32,-5 1 80,-2 1-152,4 1-40,-14-19 144,14 20-304,-1-2 104,1 1 96,-2-1 352,-12-18-248,14 17 240,-2 0-192,5-1 104,-2-2-200,-15-14 48,12 16-32,2-1 24,-2 0 48,-5 0-24,-7-15-16,15 12 96,-13-7 24,5 11-240,3-10 152,-10-6-32,5 14 0,7-10-64,-12 9-32,0-9 72,0-4 24,2 13 24,-2-10-96,3 3 88,-1-2-144,-2-4 128,0 4-8,0 0 16,0 1-80,0-1 144,0-4-72,0 6-240,-5-2 176,-4 1-8,4 1-64,5-6 136,-15 6 120,11 7-120,-13-9 88,5 9-56,12-13-32,-19 5 48,2 8-96,-5-1 48,0-8 152,22-4-152,-19 11-72,0-7 96,0 2-80,2 0-40,17-6 96,-17 4 64,0 0-48,0 1 32,0-3-176,17-2 128,-16 3 16,1-1 16,3-1 16,-2-1-32,14 0-16,-12 0 72,0 0-24,7-3-16,0 0 40,5 3-72,-2-4-168,2 1 184,0-1-32,0 1 16,0 3 0,0-4-104,2 0 40,-2-8 40,5 10-88,-5 2 112,5-12 120,9 9-144,-11-10 48,9 11 40,-12 2-64,2-12 64,3 9-8,-3-1-96,-2-7 64,0 11-24,3-3-8,-1-1-8,0-8 16,-2 12 40,0 0-40,0-3 16,-2 1-56,-3-1 160,-9 3-152,14 0 32,-12-3 0,-3 3 16,-2 0-32,3 0 64,14 0-48,-22 0 88,3 3 48,-5 1-160,0 2 80,24-6-56,-26 5-72,-3 7-8,5-8 128,0 2-16,24-6-32,-27 5 104,-2 1-24,0 0-48,1-2-32,28-4 0,-29 3 8,2-2-8,1-1-40,2 0-24,24 0 64,-24-3-152,2-1-232,0-9-328,-4 9-553,26 4 1265,-24-14-1696,2 3-488,-2-1-841,3-1-992,21 13 4017,-29-4-9250,29 4 9250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26:14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2006 329 7409,'0'0'0,"0"0"0,-2 4 4249,2 1-2881,0 8-87,0-1-65,0-12-1216,0 5 1080,5 11-280,0-10-176,7 8 0,-12-14-624,14 11 625,5-5-17,-7 10-56,12-4-24,-24-12-528,24 12 608,0-1-8,3 0 120,4-5-23,-31-6-697,27 14 712,4-9 24,3-1-72,-3 0-48,-31-4-616,34 4 512,-1-2-112,-2-1-112,6-1-56,-37 0-232,33 0 168,6 0-7,2-4-754,-8 0 713,-33 4-120,41-5 104,-2-6 120,-3 8 649,2-1-721,-38 4-152,41-14 88,-2 10-112,-6-11 48,3 4-32,-36 11 8,34-4 72,-3-13-56,-2 5-80,2 1 80,-31 11-16,27-14 16,4-1 72,-4 1 24,-3-1 8,-24 15-120,24-13 32,-5-1 24,-2 2 40,-5-2-56,-12 14-40,5-13 80,9-1-96,-12 3-48,1 6 64,-3 5 0,2-15 0,1 10 48,-3-7 56,0 9-104,0 3 0,-15-14 0,13 9-56,-13-9-128,1 10 104,14 4 80,-14-14-56,-3 9 72,-5-9-32,0 3-80,22 11 96,-24-5 32,0-9-184,-9 10 200,1-9-112,32 13 64,-31-4-120,2-9 168,-4 10 0,1-8 24,32 11-72,-36-4 16,-5-8 152,5 8-80,-5-7-88,41 11 0,-41-3 48,1-1-152,8-8 88,-4 9 192,36 3-176,-36-4 184,0 1-32,-2-1-8,4 1-104,34 3-40,-39 0 16,8 0 112,-10 0-112,3 0 24,38 0-40,-41 0 112,-2 0-112,2 0-48,-3 0 112,44 0-64,-40 0-80,-4 2 16,1-1 40,0 0-120,43-1 144,-46 5-104,-2-1 0,5 7-40,-3-6-200,46-5 344,-51 12-96,6 0-8,-8 1 104,5 4 168,48-17-168,-51 18-528,-2 2 480,0 3-8,-2-1 144,55-22-88,-63 25 584,1-1-472,4 1-24,-2 1 32,60-26-120,-53 24 64,3-1 32,-3-5 224,29-13-248,24-5-72,-29 15 312,-3-9-96,-4 11-56,-4-6-40,40-11-120,-44 15 32,1-3 128,-10 1-192,0 0 64,53-13-32,-53 13-64,-2-2-112,-5-5-120,0 7 16,60-13 280,-63 4-424,-4 2-312,-3-2-360,34-1-473,36-3 1569,-41 1-2680,-7 1-4394,-3-1-4216,51-1 11290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2"/>
  <sheetViews>
    <sheetView rightToLeft="1" tabSelected="1" view="pageBreakPreview" zoomScale="130" zoomScaleNormal="100" zoomScaleSheetLayoutView="130" workbookViewId="0">
      <selection activeCell="G72" sqref="G72:J72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77" t="s">
        <v>236</v>
      </c>
      <c r="C1" s="77"/>
      <c r="D1" s="77"/>
      <c r="E1" s="77"/>
      <c r="F1" s="77"/>
      <c r="G1" s="77"/>
      <c r="H1" s="77"/>
      <c r="I1" s="77"/>
      <c r="J1" s="77"/>
    </row>
    <row r="2" spans="1:10" ht="30" customHeight="1">
      <c r="B2" s="12" t="s">
        <v>8</v>
      </c>
      <c r="C2" s="83" t="s">
        <v>45</v>
      </c>
      <c r="D2" s="83"/>
      <c r="E2" s="12" t="s">
        <v>7</v>
      </c>
      <c r="F2" s="78">
        <v>45955</v>
      </c>
      <c r="G2" s="78"/>
      <c r="H2" s="78"/>
      <c r="I2" s="78"/>
      <c r="J2" s="78"/>
    </row>
    <row r="3" spans="1:10" ht="30" customHeight="1">
      <c r="B3" s="12" t="s">
        <v>9</v>
      </c>
      <c r="C3" s="83" t="s">
        <v>87</v>
      </c>
      <c r="D3" s="83"/>
      <c r="E3" s="12" t="s">
        <v>6</v>
      </c>
      <c r="F3" s="83" t="s">
        <v>104</v>
      </c>
      <c r="G3" s="83"/>
      <c r="H3" s="83"/>
      <c r="I3" s="83"/>
      <c r="J3" s="83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79" t="s">
        <v>0</v>
      </c>
      <c r="C5" s="80"/>
      <c r="D5" s="80"/>
      <c r="E5" s="88" t="s">
        <v>1</v>
      </c>
      <c r="F5" s="88"/>
      <c r="G5" s="88"/>
      <c r="H5" s="88"/>
      <c r="I5" s="88" t="s">
        <v>2</v>
      </c>
      <c r="J5" s="89"/>
    </row>
    <row r="6" spans="1:10" ht="24.95" customHeight="1" thickBot="1">
      <c r="A6" s="10"/>
      <c r="B6" s="81"/>
      <c r="C6" s="82"/>
      <c r="D6" s="82"/>
      <c r="E6" s="11" t="s">
        <v>3</v>
      </c>
      <c r="F6" s="11" t="s">
        <v>4</v>
      </c>
      <c r="G6" s="11" t="s">
        <v>23</v>
      </c>
      <c r="H6" s="11" t="s">
        <v>24</v>
      </c>
      <c r="I6" s="90"/>
      <c r="J6" s="91"/>
    </row>
    <row r="7" spans="1:10" ht="24.95" customHeight="1" thickBot="1">
      <c r="A7" s="10"/>
      <c r="B7" s="86" t="s">
        <v>21</v>
      </c>
      <c r="C7" s="87"/>
      <c r="D7" s="87"/>
      <c r="E7" s="28" t="s">
        <v>18</v>
      </c>
      <c r="F7" s="28" t="s">
        <v>19</v>
      </c>
      <c r="G7" s="28" t="s">
        <v>22</v>
      </c>
      <c r="H7" s="28" t="s">
        <v>20</v>
      </c>
      <c r="I7" s="92" t="s">
        <v>25</v>
      </c>
      <c r="J7" s="93"/>
    </row>
    <row r="8" spans="1:10" ht="39.950000000000003" customHeight="1">
      <c r="A8" s="10"/>
      <c r="B8" s="53" t="s">
        <v>176</v>
      </c>
      <c r="C8" s="54"/>
      <c r="D8" s="54"/>
      <c r="E8" s="35"/>
      <c r="F8" s="36"/>
      <c r="G8" s="37"/>
      <c r="H8" s="38"/>
      <c r="I8" s="61"/>
      <c r="J8" s="62"/>
    </row>
    <row r="9" spans="1:10" ht="39.950000000000003" customHeight="1">
      <c r="A9" s="10"/>
      <c r="B9" s="59" t="s">
        <v>177</v>
      </c>
      <c r="C9" s="60"/>
      <c r="D9" s="60"/>
      <c r="E9" s="9"/>
      <c r="F9" s="26"/>
      <c r="G9" s="31"/>
      <c r="H9" s="32"/>
      <c r="I9" s="67"/>
      <c r="J9" s="68"/>
    </row>
    <row r="10" spans="1:10" ht="39.950000000000003" customHeight="1">
      <c r="A10" s="10"/>
      <c r="B10" s="45" t="s">
        <v>178</v>
      </c>
      <c r="C10" s="46"/>
      <c r="D10" s="46"/>
      <c r="E10" s="9">
        <v>5</v>
      </c>
      <c r="F10" s="26">
        <v>3.5</v>
      </c>
      <c r="G10" s="31">
        <f t="shared" ref="G10:G67" si="0">IFERROR(F10/E10,"")</f>
        <v>0.7</v>
      </c>
      <c r="H10" s="32" t="str">
        <f t="shared" ref="H10:H67" si="1">_xlfn.IFS(F10="أدخل العلامة","",F10="لا ينطبق","تم الإلغاء",G10&gt;=90%,"ممتاز",G10&gt;=80%,"جيد جداً",G10&gt;=70%,"جيد",G10&gt;=60%,"مقبول",G10&lt;60%,"راسب")</f>
        <v>جيد</v>
      </c>
      <c r="I10" s="67"/>
      <c r="J10" s="68"/>
    </row>
    <row r="11" spans="1:10" ht="39.950000000000003" customHeight="1">
      <c r="A11" s="10"/>
      <c r="B11" s="47" t="s">
        <v>179</v>
      </c>
      <c r="C11" s="48"/>
      <c r="D11" s="48"/>
      <c r="E11" s="30"/>
      <c r="F11" s="26"/>
      <c r="G11" s="31"/>
      <c r="H11" s="32"/>
      <c r="I11" s="67"/>
      <c r="J11" s="68"/>
    </row>
    <row r="12" spans="1:10" ht="51" customHeight="1">
      <c r="A12" s="10"/>
      <c r="B12" s="49" t="s">
        <v>180</v>
      </c>
      <c r="C12" s="50"/>
      <c r="D12" s="5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67"/>
      <c r="J12" s="68"/>
    </row>
    <row r="13" spans="1:10" ht="39.950000000000003" customHeight="1">
      <c r="A13" s="10"/>
      <c r="B13" s="49" t="s">
        <v>181</v>
      </c>
      <c r="C13" s="50"/>
      <c r="D13" s="50"/>
      <c r="E13" s="30"/>
      <c r="F13" s="26"/>
      <c r="G13" s="31"/>
      <c r="H13" s="32"/>
      <c r="I13" s="67"/>
      <c r="J13" s="68"/>
    </row>
    <row r="14" spans="1:10" ht="39.950000000000003" customHeight="1">
      <c r="A14" s="10"/>
      <c r="B14" s="57" t="s">
        <v>182</v>
      </c>
      <c r="C14" s="58"/>
      <c r="D14" s="58"/>
      <c r="E14" s="9">
        <v>5</v>
      </c>
      <c r="F14" s="26">
        <v>3.5</v>
      </c>
      <c r="G14" s="31">
        <f t="shared" si="0"/>
        <v>0.7</v>
      </c>
      <c r="H14" s="32" t="str">
        <f t="shared" si="1"/>
        <v>جيد</v>
      </c>
      <c r="I14" s="67"/>
      <c r="J14" s="68"/>
    </row>
    <row r="15" spans="1:10" ht="39.950000000000003" customHeight="1">
      <c r="A15" s="10"/>
      <c r="B15" s="57" t="s">
        <v>183</v>
      </c>
      <c r="C15" s="58"/>
      <c r="D15" s="58"/>
      <c r="E15" s="9">
        <v>5</v>
      </c>
      <c r="F15" s="26">
        <v>3.5</v>
      </c>
      <c r="G15" s="31">
        <f t="shared" si="0"/>
        <v>0.7</v>
      </c>
      <c r="H15" s="32" t="str">
        <f t="shared" si="1"/>
        <v>جيد</v>
      </c>
      <c r="I15" s="67"/>
      <c r="J15" s="68"/>
    </row>
    <row r="16" spans="1:10" ht="39.950000000000003" customHeight="1">
      <c r="A16" s="10"/>
      <c r="B16" s="57" t="s">
        <v>184</v>
      </c>
      <c r="C16" s="58"/>
      <c r="D16" s="58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67"/>
      <c r="J16" s="68"/>
    </row>
    <row r="17" spans="1:10" ht="39.950000000000003" customHeight="1">
      <c r="A17" s="10"/>
      <c r="B17" s="57" t="s">
        <v>185</v>
      </c>
      <c r="C17" s="58"/>
      <c r="D17" s="58"/>
      <c r="E17" s="9">
        <v>5</v>
      </c>
      <c r="F17" s="26">
        <v>3.75</v>
      </c>
      <c r="G17" s="31">
        <f t="shared" si="0"/>
        <v>0.75</v>
      </c>
      <c r="H17" s="32" t="str">
        <f t="shared" si="1"/>
        <v>جيد</v>
      </c>
      <c r="I17" s="67"/>
      <c r="J17" s="68"/>
    </row>
    <row r="18" spans="1:10" ht="39.950000000000003" customHeight="1">
      <c r="A18" s="10"/>
      <c r="B18" s="57" t="s">
        <v>186</v>
      </c>
      <c r="C18" s="58"/>
      <c r="D18" s="58"/>
      <c r="E18" s="9">
        <v>5</v>
      </c>
      <c r="F18" s="26">
        <v>3.5</v>
      </c>
      <c r="G18" s="31">
        <f t="shared" si="0"/>
        <v>0.7</v>
      </c>
      <c r="H18" s="32" t="str">
        <f t="shared" si="1"/>
        <v>جيد</v>
      </c>
      <c r="I18" s="67"/>
      <c r="J18" s="68"/>
    </row>
    <row r="19" spans="1:10" ht="39.950000000000003" customHeight="1">
      <c r="A19" s="10"/>
      <c r="B19" s="49" t="s">
        <v>187</v>
      </c>
      <c r="C19" s="50"/>
      <c r="D19" s="50"/>
      <c r="E19" s="9">
        <v>5</v>
      </c>
      <c r="F19" s="26">
        <v>3.5</v>
      </c>
      <c r="G19" s="31">
        <f t="shared" si="0"/>
        <v>0.7</v>
      </c>
      <c r="H19" s="32" t="str">
        <f t="shared" si="1"/>
        <v>جيد</v>
      </c>
      <c r="I19" s="67"/>
      <c r="J19" s="68"/>
    </row>
    <row r="20" spans="1:10" ht="39.950000000000003" customHeight="1">
      <c r="A20" s="10"/>
      <c r="B20" s="49" t="s">
        <v>188</v>
      </c>
      <c r="C20" s="50"/>
      <c r="D20" s="50"/>
      <c r="E20" s="30"/>
      <c r="F20" s="26"/>
      <c r="G20" s="31"/>
      <c r="H20" s="32"/>
      <c r="I20" s="67"/>
      <c r="J20" s="68"/>
    </row>
    <row r="21" spans="1:10" ht="39.950000000000003" customHeight="1">
      <c r="A21" s="10"/>
      <c r="B21" s="57" t="s">
        <v>189</v>
      </c>
      <c r="C21" s="58"/>
      <c r="D21" s="58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67"/>
      <c r="J21" s="68"/>
    </row>
    <row r="22" spans="1:10" ht="39.950000000000003" customHeight="1">
      <c r="A22" s="10"/>
      <c r="B22" s="57" t="s">
        <v>190</v>
      </c>
      <c r="C22" s="58"/>
      <c r="D22" s="58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67"/>
      <c r="J22" s="68"/>
    </row>
    <row r="23" spans="1:10" ht="39.950000000000003" customHeight="1">
      <c r="A23" s="10"/>
      <c r="B23" s="57" t="s">
        <v>191</v>
      </c>
      <c r="C23" s="58"/>
      <c r="D23" s="58"/>
      <c r="E23" s="9">
        <v>5</v>
      </c>
      <c r="F23" s="26">
        <v>3.5</v>
      </c>
      <c r="G23" s="31">
        <f t="shared" si="0"/>
        <v>0.7</v>
      </c>
      <c r="H23" s="32" t="str">
        <f t="shared" si="1"/>
        <v>جيد</v>
      </c>
      <c r="I23" s="67"/>
      <c r="J23" s="68"/>
    </row>
    <row r="24" spans="1:10" ht="39.950000000000003" customHeight="1">
      <c r="A24" s="10"/>
      <c r="B24" s="57" t="s">
        <v>192</v>
      </c>
      <c r="C24" s="58"/>
      <c r="D24" s="58"/>
      <c r="E24" s="9">
        <v>5</v>
      </c>
      <c r="F24" s="26">
        <v>3.5</v>
      </c>
      <c r="G24" s="31">
        <f t="shared" si="0"/>
        <v>0.7</v>
      </c>
      <c r="H24" s="32" t="str">
        <f t="shared" si="1"/>
        <v>جيد</v>
      </c>
      <c r="I24" s="67"/>
      <c r="J24" s="68"/>
    </row>
    <row r="25" spans="1:10" ht="39.950000000000003" customHeight="1">
      <c r="A25" s="10"/>
      <c r="B25" s="49" t="s">
        <v>193</v>
      </c>
      <c r="C25" s="50"/>
      <c r="D25" s="50"/>
      <c r="E25" s="9"/>
      <c r="F25" s="26"/>
      <c r="G25" s="31"/>
      <c r="H25" s="32"/>
      <c r="I25" s="67"/>
      <c r="J25" s="68"/>
    </row>
    <row r="26" spans="1:10" ht="39.950000000000003" customHeight="1">
      <c r="A26" s="10"/>
      <c r="B26" s="57" t="s">
        <v>194</v>
      </c>
      <c r="C26" s="58"/>
      <c r="D26" s="58"/>
      <c r="E26" s="30"/>
      <c r="F26" s="26"/>
      <c r="G26" s="31"/>
      <c r="H26" s="32"/>
      <c r="I26" s="67"/>
      <c r="J26" s="68"/>
    </row>
    <row r="27" spans="1:10" ht="39.950000000000003" customHeight="1">
      <c r="A27" s="10"/>
      <c r="B27" s="55" t="s">
        <v>195</v>
      </c>
      <c r="C27" s="56"/>
      <c r="D27" s="56"/>
      <c r="E27" s="9">
        <v>5</v>
      </c>
      <c r="F27" s="26">
        <v>3.5</v>
      </c>
      <c r="G27" s="31">
        <f t="shared" si="0"/>
        <v>0.7</v>
      </c>
      <c r="H27" s="32" t="str">
        <f t="shared" si="1"/>
        <v>جيد</v>
      </c>
      <c r="I27" s="67"/>
      <c r="J27" s="68"/>
    </row>
    <row r="28" spans="1:10" ht="39.950000000000003" customHeight="1">
      <c r="A28" s="10"/>
      <c r="B28" s="55" t="s">
        <v>196</v>
      </c>
      <c r="C28" s="56"/>
      <c r="D28" s="56"/>
      <c r="E28" s="9">
        <v>5</v>
      </c>
      <c r="F28" s="26">
        <v>3.5</v>
      </c>
      <c r="G28" s="31">
        <f t="shared" si="0"/>
        <v>0.7</v>
      </c>
      <c r="H28" s="32" t="str">
        <f t="shared" si="1"/>
        <v>جيد</v>
      </c>
      <c r="I28" s="67"/>
      <c r="J28" s="68"/>
    </row>
    <row r="29" spans="1:10" ht="39.950000000000003" customHeight="1">
      <c r="A29" s="10"/>
      <c r="B29" s="55" t="s">
        <v>197</v>
      </c>
      <c r="C29" s="56"/>
      <c r="D29" s="56"/>
      <c r="E29" s="33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67"/>
      <c r="J29" s="68"/>
    </row>
    <row r="30" spans="1:10" ht="39.950000000000003" customHeight="1">
      <c r="A30" s="10"/>
      <c r="B30" s="55" t="s">
        <v>198</v>
      </c>
      <c r="C30" s="56"/>
      <c r="D30" s="56"/>
      <c r="E30" s="33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67"/>
      <c r="J30" s="68"/>
    </row>
    <row r="31" spans="1:10" ht="51.75" customHeight="1">
      <c r="A31" s="10"/>
      <c r="B31" s="55" t="s">
        <v>199</v>
      </c>
      <c r="C31" s="56"/>
      <c r="D31" s="56"/>
      <c r="E31" s="33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67"/>
      <c r="J31" s="68"/>
    </row>
    <row r="32" spans="1:10" ht="39.950000000000003" customHeight="1">
      <c r="A32" s="10"/>
      <c r="B32" s="57" t="s">
        <v>200</v>
      </c>
      <c r="C32" s="58"/>
      <c r="D32" s="58"/>
      <c r="E32" s="34"/>
      <c r="F32" s="26"/>
      <c r="G32" s="31"/>
      <c r="H32" s="32"/>
      <c r="I32" s="67"/>
      <c r="J32" s="68"/>
    </row>
    <row r="33" spans="1:10" ht="50.25" customHeight="1">
      <c r="A33" s="10"/>
      <c r="B33" s="55" t="s">
        <v>201</v>
      </c>
      <c r="C33" s="56"/>
      <c r="D33" s="56"/>
      <c r="E33" s="33">
        <v>5</v>
      </c>
      <c r="F33" s="26">
        <v>3.75</v>
      </c>
      <c r="G33" s="31">
        <f t="shared" si="0"/>
        <v>0.75</v>
      </c>
      <c r="H33" s="32" t="str">
        <f t="shared" si="1"/>
        <v>جيد</v>
      </c>
      <c r="I33" s="67"/>
      <c r="J33" s="68"/>
    </row>
    <row r="34" spans="1:10" ht="39.950000000000003" customHeight="1">
      <c r="A34" s="10"/>
      <c r="B34" s="55" t="s">
        <v>202</v>
      </c>
      <c r="C34" s="56"/>
      <c r="D34" s="56"/>
      <c r="E34" s="33">
        <v>5</v>
      </c>
      <c r="F34" s="26">
        <v>3.75</v>
      </c>
      <c r="G34" s="31">
        <f t="shared" si="0"/>
        <v>0.75</v>
      </c>
      <c r="H34" s="32" t="str">
        <f t="shared" si="1"/>
        <v>جيد</v>
      </c>
      <c r="I34" s="67"/>
      <c r="J34" s="68"/>
    </row>
    <row r="35" spans="1:10" ht="54" customHeight="1" thickBot="1">
      <c r="A35" s="10"/>
      <c r="B35" s="51" t="s">
        <v>203</v>
      </c>
      <c r="C35" s="52"/>
      <c r="D35" s="52"/>
      <c r="E35" s="39">
        <v>5</v>
      </c>
      <c r="F35" s="27">
        <v>3.75</v>
      </c>
      <c r="G35" s="40">
        <f t="shared" si="0"/>
        <v>0.75</v>
      </c>
      <c r="H35" s="41" t="str">
        <f t="shared" si="1"/>
        <v>جيد</v>
      </c>
      <c r="I35" s="75"/>
      <c r="J35" s="76"/>
    </row>
    <row r="36" spans="1:10" ht="39.950000000000003" customHeight="1">
      <c r="A36" s="10"/>
      <c r="B36" s="53" t="s">
        <v>204</v>
      </c>
      <c r="C36" s="54"/>
      <c r="D36" s="54"/>
      <c r="E36" s="35"/>
      <c r="F36" s="36"/>
      <c r="G36" s="37"/>
      <c r="H36" s="38"/>
      <c r="I36" s="61"/>
      <c r="J36" s="62"/>
    </row>
    <row r="37" spans="1:10" ht="52.5" customHeight="1">
      <c r="A37" s="10"/>
      <c r="B37" s="59" t="s">
        <v>235</v>
      </c>
      <c r="C37" s="60"/>
      <c r="D37" s="60"/>
      <c r="E37" s="9"/>
      <c r="F37" s="26"/>
      <c r="G37" s="31"/>
      <c r="H37" s="32"/>
      <c r="I37" s="67"/>
      <c r="J37" s="68"/>
    </row>
    <row r="38" spans="1:10" ht="39.950000000000003" customHeight="1">
      <c r="A38" s="10"/>
      <c r="B38" s="45" t="s">
        <v>205</v>
      </c>
      <c r="C38" s="46"/>
      <c r="D38" s="46"/>
      <c r="E38" s="9">
        <v>5</v>
      </c>
      <c r="F38" s="26">
        <v>3.5</v>
      </c>
      <c r="G38" s="31">
        <f t="shared" si="0"/>
        <v>0.7</v>
      </c>
      <c r="H38" s="32" t="str">
        <f t="shared" si="1"/>
        <v>جيد</v>
      </c>
      <c r="I38" s="67"/>
      <c r="J38" s="68"/>
    </row>
    <row r="39" spans="1:10" ht="39.950000000000003" customHeight="1">
      <c r="A39" s="10"/>
      <c r="B39" s="45" t="s">
        <v>206</v>
      </c>
      <c r="C39" s="46"/>
      <c r="D39" s="46"/>
      <c r="E39" s="9">
        <v>5</v>
      </c>
      <c r="F39" s="26">
        <v>3.5</v>
      </c>
      <c r="G39" s="31">
        <f t="shared" si="0"/>
        <v>0.7</v>
      </c>
      <c r="H39" s="32" t="str">
        <f t="shared" si="1"/>
        <v>جيد</v>
      </c>
      <c r="I39" s="67"/>
      <c r="J39" s="68"/>
    </row>
    <row r="40" spans="1:10" ht="39.950000000000003" customHeight="1">
      <c r="A40" s="10"/>
      <c r="B40" s="45" t="s">
        <v>207</v>
      </c>
      <c r="C40" s="46"/>
      <c r="D40" s="46"/>
      <c r="E40" s="9">
        <v>5</v>
      </c>
      <c r="F40" s="26">
        <v>3.75</v>
      </c>
      <c r="G40" s="31">
        <f t="shared" si="0"/>
        <v>0.75</v>
      </c>
      <c r="H40" s="32" t="str">
        <f t="shared" si="1"/>
        <v>جيد</v>
      </c>
      <c r="I40" s="67"/>
      <c r="J40" s="68"/>
    </row>
    <row r="41" spans="1:10" ht="39.950000000000003" customHeight="1">
      <c r="A41" s="10"/>
      <c r="B41" s="47" t="s">
        <v>208</v>
      </c>
      <c r="C41" s="48"/>
      <c r="D41" s="48"/>
      <c r="E41" s="30"/>
      <c r="F41" s="26"/>
      <c r="G41" s="31"/>
      <c r="H41" s="32"/>
      <c r="I41" s="67"/>
      <c r="J41" s="68"/>
    </row>
    <row r="42" spans="1:10" ht="39.950000000000003" customHeight="1">
      <c r="A42" s="10"/>
      <c r="B42" s="49" t="s">
        <v>209</v>
      </c>
      <c r="C42" s="50"/>
      <c r="D42" s="50"/>
      <c r="E42" s="9">
        <v>5</v>
      </c>
      <c r="F42" s="26">
        <v>3.5</v>
      </c>
      <c r="G42" s="31">
        <f t="shared" si="0"/>
        <v>0.7</v>
      </c>
      <c r="H42" s="32" t="str">
        <f t="shared" si="1"/>
        <v>جيد</v>
      </c>
      <c r="I42" s="67"/>
      <c r="J42" s="68"/>
    </row>
    <row r="43" spans="1:10" ht="39.950000000000003" customHeight="1">
      <c r="A43" s="10"/>
      <c r="B43" s="49" t="s">
        <v>210</v>
      </c>
      <c r="C43" s="50"/>
      <c r="D43" s="5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67"/>
      <c r="J43" s="68"/>
    </row>
    <row r="44" spans="1:10" ht="39.950000000000003" customHeight="1">
      <c r="A44" s="10"/>
      <c r="B44" s="49" t="s">
        <v>211</v>
      </c>
      <c r="C44" s="50"/>
      <c r="D44" s="5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67"/>
      <c r="J44" s="68"/>
    </row>
    <row r="45" spans="1:10" ht="39.950000000000003" customHeight="1">
      <c r="A45" s="10"/>
      <c r="B45" s="49" t="s">
        <v>212</v>
      </c>
      <c r="C45" s="50"/>
      <c r="D45" s="50"/>
      <c r="E45" s="9">
        <v>5</v>
      </c>
      <c r="F45" s="26">
        <v>3.5</v>
      </c>
      <c r="G45" s="31">
        <f t="shared" si="0"/>
        <v>0.7</v>
      </c>
      <c r="H45" s="32" t="str">
        <f t="shared" si="1"/>
        <v>جيد</v>
      </c>
      <c r="I45" s="67"/>
      <c r="J45" s="68"/>
    </row>
    <row r="46" spans="1:10" ht="39.950000000000003" customHeight="1">
      <c r="A46" s="10"/>
      <c r="B46" s="47" t="s">
        <v>213</v>
      </c>
      <c r="C46" s="48"/>
      <c r="D46" s="48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67"/>
      <c r="J46" s="68"/>
    </row>
    <row r="47" spans="1:10" ht="39.950000000000003" customHeight="1" thickBot="1">
      <c r="A47" s="10"/>
      <c r="B47" s="51" t="s">
        <v>214</v>
      </c>
      <c r="C47" s="52"/>
      <c r="D47" s="52"/>
      <c r="E47" s="42">
        <v>5</v>
      </c>
      <c r="F47" s="27">
        <v>3.5</v>
      </c>
      <c r="G47" s="40">
        <f t="shared" si="0"/>
        <v>0.7</v>
      </c>
      <c r="H47" s="41" t="str">
        <f t="shared" si="1"/>
        <v>جيد</v>
      </c>
      <c r="I47" s="75"/>
      <c r="J47" s="76"/>
    </row>
    <row r="48" spans="1:10" ht="39.950000000000003" customHeight="1">
      <c r="A48" s="10"/>
      <c r="B48" s="53" t="s">
        <v>215</v>
      </c>
      <c r="C48" s="54"/>
      <c r="D48" s="54"/>
      <c r="E48" s="35"/>
      <c r="F48" s="36"/>
      <c r="G48" s="37"/>
      <c r="H48" s="38"/>
      <c r="I48" s="61"/>
      <c r="J48" s="62"/>
    </row>
    <row r="49" spans="1:10" ht="39.950000000000003" customHeight="1">
      <c r="A49" s="10"/>
      <c r="B49" s="45" t="s">
        <v>216</v>
      </c>
      <c r="C49" s="46"/>
      <c r="D49" s="46"/>
      <c r="E49" s="9">
        <v>5</v>
      </c>
      <c r="F49" s="26">
        <v>3.75</v>
      </c>
      <c r="G49" s="31">
        <f t="shared" si="0"/>
        <v>0.75</v>
      </c>
      <c r="H49" s="32" t="str">
        <f t="shared" si="1"/>
        <v>جيد</v>
      </c>
      <c r="I49" s="67"/>
      <c r="J49" s="68"/>
    </row>
    <row r="50" spans="1:10" ht="53.25" customHeight="1">
      <c r="A50" s="10"/>
      <c r="B50" s="45" t="s">
        <v>217</v>
      </c>
      <c r="C50" s="46"/>
      <c r="D50" s="46"/>
      <c r="E50" s="9">
        <v>5</v>
      </c>
      <c r="F50" s="26">
        <v>3.5</v>
      </c>
      <c r="G50" s="31">
        <f t="shared" si="0"/>
        <v>0.7</v>
      </c>
      <c r="H50" s="32" t="str">
        <f t="shared" si="1"/>
        <v>جيد</v>
      </c>
      <c r="I50" s="67"/>
      <c r="J50" s="68"/>
    </row>
    <row r="51" spans="1:10" ht="39.950000000000003" customHeight="1">
      <c r="A51" s="10"/>
      <c r="B51" s="45" t="s">
        <v>218</v>
      </c>
      <c r="C51" s="46"/>
      <c r="D51" s="46"/>
      <c r="E51" s="9">
        <v>5</v>
      </c>
      <c r="F51" s="26">
        <v>3.75</v>
      </c>
      <c r="G51" s="31">
        <f t="shared" si="0"/>
        <v>0.75</v>
      </c>
      <c r="H51" s="32" t="str">
        <f t="shared" si="1"/>
        <v>جيد</v>
      </c>
      <c r="I51" s="67"/>
      <c r="J51" s="68"/>
    </row>
    <row r="52" spans="1:10" ht="71.25" customHeight="1">
      <c r="A52" s="10"/>
      <c r="B52" s="45" t="s">
        <v>219</v>
      </c>
      <c r="C52" s="46"/>
      <c r="D52" s="46"/>
      <c r="E52" s="9">
        <v>5</v>
      </c>
      <c r="F52" s="26">
        <v>3.75</v>
      </c>
      <c r="G52" s="31">
        <f t="shared" si="0"/>
        <v>0.75</v>
      </c>
      <c r="H52" s="32" t="str">
        <f t="shared" si="1"/>
        <v>جيد</v>
      </c>
      <c r="I52" s="67"/>
      <c r="J52" s="68"/>
    </row>
    <row r="53" spans="1:10" ht="39.950000000000003" customHeight="1">
      <c r="A53" s="10"/>
      <c r="B53" s="45" t="s">
        <v>220</v>
      </c>
      <c r="C53" s="46"/>
      <c r="D53" s="46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67"/>
      <c r="J53" s="68"/>
    </row>
    <row r="54" spans="1:10" ht="39.950000000000003" customHeight="1">
      <c r="A54" s="10"/>
      <c r="B54" s="45" t="s">
        <v>221</v>
      </c>
      <c r="C54" s="46"/>
      <c r="D54" s="46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67"/>
      <c r="J54" s="68"/>
    </row>
    <row r="55" spans="1:10" ht="39.950000000000003" customHeight="1">
      <c r="A55" s="10"/>
      <c r="B55" s="45" t="s">
        <v>222</v>
      </c>
      <c r="C55" s="46"/>
      <c r="D55" s="46"/>
      <c r="E55" s="9">
        <v>5</v>
      </c>
      <c r="F55" s="26">
        <v>3.75</v>
      </c>
      <c r="G55" s="31">
        <f t="shared" si="0"/>
        <v>0.75</v>
      </c>
      <c r="H55" s="32" t="str">
        <f t="shared" si="1"/>
        <v>جيد</v>
      </c>
      <c r="I55" s="67"/>
      <c r="J55" s="68"/>
    </row>
    <row r="56" spans="1:10" ht="39.950000000000003" customHeight="1">
      <c r="A56" s="10"/>
      <c r="B56" s="45" t="s">
        <v>223</v>
      </c>
      <c r="C56" s="46"/>
      <c r="D56" s="46"/>
      <c r="E56" s="9">
        <v>5</v>
      </c>
      <c r="F56" s="26">
        <v>3.5</v>
      </c>
      <c r="G56" s="31">
        <f t="shared" si="0"/>
        <v>0.7</v>
      </c>
      <c r="H56" s="32" t="str">
        <f t="shared" si="1"/>
        <v>جيد</v>
      </c>
      <c r="I56" s="67"/>
      <c r="J56" s="68"/>
    </row>
    <row r="57" spans="1:10" ht="39.950000000000003" customHeight="1">
      <c r="A57" s="10"/>
      <c r="B57" s="45" t="s">
        <v>224</v>
      </c>
      <c r="C57" s="46"/>
      <c r="D57" s="46"/>
      <c r="E57" s="9">
        <v>5</v>
      </c>
      <c r="F57" s="26">
        <v>3.5</v>
      </c>
      <c r="G57" s="31">
        <f t="shared" si="0"/>
        <v>0.7</v>
      </c>
      <c r="H57" s="32" t="str">
        <f t="shared" si="1"/>
        <v>جيد</v>
      </c>
      <c r="I57" s="67"/>
      <c r="J57" s="68"/>
    </row>
    <row r="58" spans="1:10" ht="39.950000000000003" customHeight="1">
      <c r="A58" s="10"/>
      <c r="B58" s="45" t="s">
        <v>225</v>
      </c>
      <c r="C58" s="46"/>
      <c r="D58" s="46"/>
      <c r="E58" s="9">
        <v>5</v>
      </c>
      <c r="F58" s="26">
        <v>3.75</v>
      </c>
      <c r="G58" s="31">
        <f t="shared" si="0"/>
        <v>0.75</v>
      </c>
      <c r="H58" s="32" t="str">
        <f t="shared" si="1"/>
        <v>جيد</v>
      </c>
      <c r="I58" s="67"/>
      <c r="J58" s="68"/>
    </row>
    <row r="59" spans="1:10" ht="39.950000000000003" customHeight="1">
      <c r="A59" s="10"/>
      <c r="B59" s="45" t="s">
        <v>226</v>
      </c>
      <c r="C59" s="46"/>
      <c r="D59" s="46"/>
      <c r="E59" s="9">
        <v>5</v>
      </c>
      <c r="F59" s="26">
        <v>3.5</v>
      </c>
      <c r="G59" s="31">
        <f t="shared" si="0"/>
        <v>0.7</v>
      </c>
      <c r="H59" s="32" t="str">
        <f t="shared" si="1"/>
        <v>جيد</v>
      </c>
      <c r="I59" s="67"/>
      <c r="J59" s="68"/>
    </row>
    <row r="60" spans="1:10" ht="39.950000000000003" customHeight="1">
      <c r="A60" s="10"/>
      <c r="B60" s="45" t="s">
        <v>227</v>
      </c>
      <c r="C60" s="46"/>
      <c r="D60" s="46"/>
      <c r="E60" s="9">
        <v>5</v>
      </c>
      <c r="F60" s="26">
        <v>3.75</v>
      </c>
      <c r="G60" s="31">
        <f t="shared" si="0"/>
        <v>0.75</v>
      </c>
      <c r="H60" s="32" t="str">
        <f t="shared" si="1"/>
        <v>جيد</v>
      </c>
      <c r="I60" s="67"/>
      <c r="J60" s="68"/>
    </row>
    <row r="61" spans="1:10" ht="39.950000000000003" customHeight="1">
      <c r="A61" s="10"/>
      <c r="B61" s="45" t="s">
        <v>228</v>
      </c>
      <c r="C61" s="46"/>
      <c r="D61" s="46"/>
      <c r="E61" s="9">
        <v>5</v>
      </c>
      <c r="F61" s="26">
        <v>3.5</v>
      </c>
      <c r="G61" s="31">
        <f t="shared" si="0"/>
        <v>0.7</v>
      </c>
      <c r="H61" s="32" t="str">
        <f t="shared" si="1"/>
        <v>جيد</v>
      </c>
      <c r="I61" s="67"/>
      <c r="J61" s="68"/>
    </row>
    <row r="62" spans="1:10" ht="39.950000000000003" customHeight="1">
      <c r="A62" s="10"/>
      <c r="B62" s="45" t="s">
        <v>229</v>
      </c>
      <c r="C62" s="46"/>
      <c r="D62" s="46"/>
      <c r="E62" s="9">
        <v>5</v>
      </c>
      <c r="F62" s="26">
        <v>3.5</v>
      </c>
      <c r="G62" s="31">
        <f t="shared" si="0"/>
        <v>0.7</v>
      </c>
      <c r="H62" s="32" t="str">
        <f t="shared" si="1"/>
        <v>جيد</v>
      </c>
      <c r="I62" s="67"/>
      <c r="J62" s="68"/>
    </row>
    <row r="63" spans="1:10" ht="39.950000000000003" customHeight="1">
      <c r="A63" s="10"/>
      <c r="B63" s="45" t="s">
        <v>230</v>
      </c>
      <c r="C63" s="46"/>
      <c r="D63" s="46"/>
      <c r="E63" s="9">
        <v>5</v>
      </c>
      <c r="F63" s="26">
        <v>3.5</v>
      </c>
      <c r="G63" s="31">
        <f t="shared" si="0"/>
        <v>0.7</v>
      </c>
      <c r="H63" s="32" t="str">
        <f t="shared" si="1"/>
        <v>جيد</v>
      </c>
      <c r="I63" s="67"/>
      <c r="J63" s="68"/>
    </row>
    <row r="64" spans="1:10" ht="39.950000000000003" customHeight="1">
      <c r="A64" s="10"/>
      <c r="B64" s="45" t="s">
        <v>231</v>
      </c>
      <c r="C64" s="46"/>
      <c r="D64" s="46"/>
      <c r="E64" s="9">
        <v>5</v>
      </c>
      <c r="F64" s="26">
        <v>3.75</v>
      </c>
      <c r="G64" s="31">
        <f t="shared" si="0"/>
        <v>0.75</v>
      </c>
      <c r="H64" s="32" t="str">
        <f t="shared" si="1"/>
        <v>جيد</v>
      </c>
      <c r="I64" s="67"/>
      <c r="J64" s="68"/>
    </row>
    <row r="65" spans="1:10" ht="39.950000000000003" customHeight="1">
      <c r="A65" s="10"/>
      <c r="B65" s="45" t="s">
        <v>232</v>
      </c>
      <c r="C65" s="46"/>
      <c r="D65" s="46"/>
      <c r="E65" s="9">
        <v>5</v>
      </c>
      <c r="F65" s="26">
        <v>3.5</v>
      </c>
      <c r="G65" s="31">
        <f t="shared" si="0"/>
        <v>0.7</v>
      </c>
      <c r="H65" s="32" t="str">
        <f t="shared" si="1"/>
        <v>جيد</v>
      </c>
      <c r="I65" s="67"/>
      <c r="J65" s="68"/>
    </row>
    <row r="66" spans="1:10" ht="39.950000000000003" customHeight="1">
      <c r="A66" s="10"/>
      <c r="B66" s="45" t="s">
        <v>233</v>
      </c>
      <c r="C66" s="46"/>
      <c r="D66" s="46"/>
      <c r="E66" s="9">
        <v>5</v>
      </c>
      <c r="F66" s="26">
        <v>3.75</v>
      </c>
      <c r="G66" s="31">
        <f t="shared" si="0"/>
        <v>0.75</v>
      </c>
      <c r="H66" s="32" t="str">
        <f t="shared" si="1"/>
        <v>جيد</v>
      </c>
      <c r="I66" s="67"/>
      <c r="J66" s="68"/>
    </row>
    <row r="67" spans="1:10" ht="39.950000000000003" customHeight="1" thickBot="1">
      <c r="A67" s="10"/>
      <c r="B67" s="43" t="s">
        <v>234</v>
      </c>
      <c r="C67" s="44"/>
      <c r="D67" s="44"/>
      <c r="E67" s="42">
        <v>5</v>
      </c>
      <c r="F67" s="27">
        <v>3.75</v>
      </c>
      <c r="G67" s="40">
        <f t="shared" si="0"/>
        <v>0.75</v>
      </c>
      <c r="H67" s="41" t="str">
        <f t="shared" si="1"/>
        <v>جيد</v>
      </c>
      <c r="I67" s="75"/>
      <c r="J67" s="76"/>
    </row>
    <row r="68" spans="1:10" ht="30" customHeight="1" thickBot="1">
      <c r="A68" s="4"/>
      <c r="B68" s="63" t="s">
        <v>5</v>
      </c>
      <c r="C68" s="64"/>
      <c r="D68" s="64"/>
      <c r="E68" s="29">
        <f>SUM(E8:E67)</f>
        <v>240</v>
      </c>
      <c r="F68" s="29">
        <f>SUM(F8:F67)</f>
        <v>174.5</v>
      </c>
      <c r="G68" s="96"/>
      <c r="H68" s="97"/>
      <c r="I68" s="97"/>
      <c r="J68" s="98"/>
    </row>
    <row r="69" spans="1:10" ht="30" customHeight="1" thickBot="1">
      <c r="A69" s="4"/>
      <c r="B69" s="65" t="s">
        <v>54</v>
      </c>
      <c r="C69" s="66"/>
      <c r="D69" s="66"/>
      <c r="E69" s="84">
        <f>F68/E68/100*100</f>
        <v>0.7270833333333333</v>
      </c>
      <c r="F69" s="84"/>
      <c r="G69" s="84"/>
      <c r="H69" s="84"/>
      <c r="I69" s="84"/>
      <c r="J69" s="85"/>
    </row>
    <row r="70" spans="1:10" ht="30" customHeight="1" thickBot="1">
      <c r="A70" s="4"/>
      <c r="B70" s="65" t="s">
        <v>55</v>
      </c>
      <c r="C70" s="66"/>
      <c r="D70" s="66"/>
      <c r="E70" s="73" t="str">
        <f>_xlfn.IFS(E69&gt;=90%,"ممتاز",E69&gt;=80%,"جيد جداً",E69&gt;=70%,"جيد",E69&gt;=60%,"مقبول",E69&lt;60%,"راسب")</f>
        <v>جيد</v>
      </c>
      <c r="F70" s="73"/>
      <c r="G70" s="73"/>
      <c r="H70" s="73"/>
      <c r="I70" s="73"/>
      <c r="J70" s="74"/>
    </row>
    <row r="71" spans="1:10" ht="42" customHeight="1">
      <c r="B71" s="69" t="s">
        <v>175</v>
      </c>
      <c r="C71" s="69"/>
      <c r="D71" s="69"/>
      <c r="E71" s="94" t="s">
        <v>52</v>
      </c>
      <c r="F71" s="94"/>
      <c r="G71" s="71" t="s">
        <v>104</v>
      </c>
      <c r="H71" s="71"/>
      <c r="I71" s="71"/>
      <c r="J71" s="71"/>
    </row>
    <row r="72" spans="1:10" ht="51" customHeight="1">
      <c r="A72" s="5"/>
      <c r="B72" s="70"/>
      <c r="C72" s="70"/>
      <c r="D72" s="70"/>
      <c r="E72" s="95" t="s">
        <v>53</v>
      </c>
      <c r="F72" s="95"/>
      <c r="G72" s="72"/>
      <c r="H72" s="72"/>
      <c r="I72" s="72"/>
      <c r="J72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I63:J63"/>
    <mergeCell ref="I64:J64"/>
    <mergeCell ref="I65:J65"/>
    <mergeCell ref="I66:J66"/>
    <mergeCell ref="I67:J67"/>
    <mergeCell ref="E71:F71"/>
    <mergeCell ref="E72:F72"/>
    <mergeCell ref="G68:J68"/>
    <mergeCell ref="I9:J9"/>
    <mergeCell ref="I32:J32"/>
    <mergeCell ref="I33:J33"/>
    <mergeCell ref="I34:J34"/>
    <mergeCell ref="I35:J35"/>
    <mergeCell ref="I36:J36"/>
    <mergeCell ref="B1:J1"/>
    <mergeCell ref="F2:J2"/>
    <mergeCell ref="B5:D6"/>
    <mergeCell ref="C2:D2"/>
    <mergeCell ref="C3:D3"/>
    <mergeCell ref="F3:J3"/>
    <mergeCell ref="E69:J6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1:D72"/>
    <mergeCell ref="G71:J71"/>
    <mergeCell ref="G72:J72"/>
    <mergeCell ref="E70:J70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8:J8"/>
    <mergeCell ref="B68:D68"/>
    <mergeCell ref="B69:D69"/>
    <mergeCell ref="B70:D7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2:D62"/>
    <mergeCell ref="B63:D63"/>
    <mergeCell ref="B64:D64"/>
    <mergeCell ref="B65:D65"/>
    <mergeCell ref="B66:D66"/>
    <mergeCell ref="B67:D67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0">
    <cfRule type="expression" dxfId="14" priority="57">
      <formula>$E70="راسب"</formula>
    </cfRule>
  </conditionalFormatting>
  <conditionalFormatting sqref="E70:J70">
    <cfRule type="expression" dxfId="13" priority="60">
      <formula>$E70="جيد جداً"</formula>
    </cfRule>
    <cfRule type="expression" dxfId="12" priority="59">
      <formula>$E70="جيد"</formula>
    </cfRule>
    <cfRule type="expression" dxfId="11" priority="58">
      <formula>$E70="مقبول"</formula>
    </cfRule>
    <cfRule type="expression" dxfId="10" priority="61">
      <formula>$E70="ممتاز"</formula>
    </cfRule>
  </conditionalFormatting>
  <conditionalFormatting sqref="F8:F6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1:J71">
    <cfRule type="containsText" dxfId="6" priority="15" operator="containsText" text="أدخل اسم المحكم">
      <formula>NOT(ISERROR(SEARCH("أدخل اسم المحكم",G71)))</formula>
    </cfRule>
  </conditionalFormatting>
  <conditionalFormatting sqref="H8:H6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F49:F67 F42:F47 F38:F40 F33:F35 F27:F31 F21:F24 F14:F19 F12 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G71:J71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102</v>
      </c>
    </row>
    <row r="213" spans="1:1" ht="20.100000000000001" customHeight="1">
      <c r="A213" s="20" t="s">
        <v>103</v>
      </c>
    </row>
    <row r="214" spans="1:1" ht="20.100000000000001" customHeight="1">
      <c r="A214" s="20" t="s">
        <v>104</v>
      </c>
    </row>
    <row r="215" spans="1:1" ht="20.100000000000001" customHeight="1">
      <c r="A215" s="20" t="s">
        <v>105</v>
      </c>
    </row>
    <row r="216" spans="1:1" ht="20.100000000000001" customHeight="1">
      <c r="A216" s="20" t="s">
        <v>106</v>
      </c>
    </row>
    <row r="217" spans="1:1" ht="20.100000000000001" customHeight="1">
      <c r="A217" s="20" t="s">
        <v>107</v>
      </c>
    </row>
    <row r="218" spans="1:1" ht="20.100000000000001" customHeight="1">
      <c r="A218" s="20" t="s">
        <v>108</v>
      </c>
    </row>
    <row r="219" spans="1:1" ht="20.100000000000001" customHeight="1">
      <c r="A219" s="20" t="s">
        <v>109</v>
      </c>
    </row>
    <row r="220" spans="1:1" ht="20.100000000000001" customHeight="1">
      <c r="A220" s="20" t="s">
        <v>110</v>
      </c>
    </row>
    <row r="221" spans="1:1" ht="20.100000000000001" customHeight="1">
      <c r="A221" s="20" t="s">
        <v>111</v>
      </c>
    </row>
    <row r="222" spans="1:1" ht="20.100000000000001" customHeight="1">
      <c r="A222" s="20" t="s">
        <v>112</v>
      </c>
    </row>
    <row r="223" spans="1:1" ht="20.100000000000001" customHeight="1">
      <c r="A223" s="20" t="s">
        <v>113</v>
      </c>
    </row>
    <row r="224" spans="1:1" ht="20.100000000000001" customHeight="1">
      <c r="A224" s="20" t="s">
        <v>114</v>
      </c>
    </row>
    <row r="225" spans="1:1" ht="20.100000000000001" customHeight="1">
      <c r="A225" s="20" t="s">
        <v>115</v>
      </c>
    </row>
    <row r="226" spans="1:1" ht="20.100000000000001" customHeight="1">
      <c r="A226" s="20" t="s">
        <v>116</v>
      </c>
    </row>
    <row r="227" spans="1:1" ht="20.100000000000001" customHeight="1">
      <c r="A227" s="20" t="s">
        <v>117</v>
      </c>
    </row>
    <row r="228" spans="1:1" ht="20.100000000000001" customHeight="1">
      <c r="A228" s="20" t="s">
        <v>118</v>
      </c>
    </row>
    <row r="229" spans="1:1" ht="20.100000000000001" customHeight="1">
      <c r="A229" s="20" t="s">
        <v>119</v>
      </c>
    </row>
    <row r="230" spans="1:1" ht="20.100000000000001" customHeight="1">
      <c r="A230" s="20" t="s">
        <v>120</v>
      </c>
    </row>
    <row r="231" spans="1:1" ht="20.100000000000001" customHeight="1">
      <c r="A231" s="20" t="s">
        <v>121</v>
      </c>
    </row>
    <row r="232" spans="1:1" ht="20.100000000000001" customHeight="1">
      <c r="A232" s="20" t="s">
        <v>122</v>
      </c>
    </row>
    <row r="233" spans="1:1" ht="20.100000000000001" customHeight="1">
      <c r="A233" s="20" t="s">
        <v>123</v>
      </c>
    </row>
    <row r="234" spans="1:1" ht="20.100000000000001" customHeight="1">
      <c r="A234" s="20" t="s">
        <v>124</v>
      </c>
    </row>
    <row r="235" spans="1:1" ht="20.100000000000001" customHeight="1">
      <c r="A235" s="22" t="s">
        <v>125</v>
      </c>
    </row>
    <row r="236" spans="1:1" ht="20.100000000000001" customHeight="1">
      <c r="A236" s="20" t="s">
        <v>126</v>
      </c>
    </row>
    <row r="237" spans="1:1" ht="20.100000000000001" customHeight="1">
      <c r="A237" s="20" t="s">
        <v>127</v>
      </c>
    </row>
    <row r="238" spans="1:1" ht="20.100000000000001" customHeight="1">
      <c r="A238" s="20" t="s">
        <v>128</v>
      </c>
    </row>
    <row r="239" spans="1:1" ht="20.100000000000001" customHeight="1">
      <c r="A239" s="20" t="s">
        <v>129</v>
      </c>
    </row>
    <row r="240" spans="1:1" ht="20.100000000000001" customHeight="1">
      <c r="A240" s="20" t="s">
        <v>130</v>
      </c>
    </row>
    <row r="241" spans="1:1" ht="20.100000000000001" customHeight="1">
      <c r="A241" s="20" t="s">
        <v>131</v>
      </c>
    </row>
    <row r="242" spans="1:1" ht="20.100000000000001" customHeight="1">
      <c r="A242" s="20" t="s">
        <v>132</v>
      </c>
    </row>
    <row r="243" spans="1:1" ht="20.100000000000001" customHeight="1">
      <c r="A243" s="20" t="s">
        <v>133</v>
      </c>
    </row>
    <row r="244" spans="1:1" ht="20.100000000000001" customHeight="1">
      <c r="A244" s="20" t="s">
        <v>134</v>
      </c>
    </row>
    <row r="245" spans="1:1" ht="20.100000000000001" customHeight="1">
      <c r="A245" s="20" t="s">
        <v>135</v>
      </c>
    </row>
    <row r="246" spans="1:1" ht="20.100000000000001" customHeight="1">
      <c r="A246" s="20" t="s">
        <v>136</v>
      </c>
    </row>
    <row r="247" spans="1:1" ht="20.100000000000001" customHeight="1">
      <c r="A247" s="20" t="s">
        <v>127</v>
      </c>
    </row>
    <row r="248" spans="1:1" ht="20.100000000000001" customHeight="1">
      <c r="A248" s="20" t="s">
        <v>137</v>
      </c>
    </row>
    <row r="249" spans="1:1" ht="20.100000000000001" customHeight="1">
      <c r="A249" s="20" t="s">
        <v>138</v>
      </c>
    </row>
    <row r="250" spans="1:1" ht="20.100000000000001" customHeight="1">
      <c r="A250" s="22" t="s">
        <v>139</v>
      </c>
    </row>
    <row r="251" spans="1:1" ht="20.100000000000001" customHeight="1">
      <c r="A251" s="23" t="s">
        <v>140</v>
      </c>
    </row>
    <row r="252" spans="1:1" ht="20.100000000000001" customHeight="1">
      <c r="A252" s="20" t="s">
        <v>141</v>
      </c>
    </row>
    <row r="253" spans="1:1" ht="20.100000000000001" customHeight="1">
      <c r="A253" s="20" t="s">
        <v>142</v>
      </c>
    </row>
    <row r="254" spans="1:1" ht="20.100000000000001" customHeight="1">
      <c r="A254" s="24" t="s">
        <v>143</v>
      </c>
    </row>
    <row r="255" spans="1:1" ht="20.100000000000001" customHeight="1">
      <c r="A255" s="24" t="s">
        <v>144</v>
      </c>
    </row>
    <row r="256" spans="1:1" ht="20.100000000000001" customHeight="1">
      <c r="A256" s="25" t="s">
        <v>145</v>
      </c>
    </row>
    <row r="257" spans="1:1" ht="20.100000000000001" customHeight="1">
      <c r="A257" s="20" t="s">
        <v>146</v>
      </c>
    </row>
    <row r="258" spans="1:1" ht="20.100000000000001" customHeight="1">
      <c r="A258" s="25" t="s">
        <v>147</v>
      </c>
    </row>
    <row r="259" spans="1:1" ht="20.100000000000001" customHeight="1">
      <c r="A259" s="20" t="s">
        <v>148</v>
      </c>
    </row>
    <row r="260" spans="1:1" ht="20.100000000000001" customHeight="1">
      <c r="A260" s="25" t="s">
        <v>149</v>
      </c>
    </row>
    <row r="261" spans="1:1" ht="20.100000000000001" customHeight="1">
      <c r="A261" s="20" t="s">
        <v>150</v>
      </c>
    </row>
    <row r="262" spans="1:1" ht="20.100000000000001" customHeight="1">
      <c r="A262" s="20" t="s">
        <v>151</v>
      </c>
    </row>
    <row r="263" spans="1:1" ht="20.100000000000001" customHeight="1">
      <c r="A263" s="25" t="s">
        <v>152</v>
      </c>
    </row>
    <row r="264" spans="1:1" ht="20.100000000000001" customHeight="1">
      <c r="A264" s="25" t="s">
        <v>153</v>
      </c>
    </row>
    <row r="265" spans="1:1" ht="20.100000000000001" customHeight="1">
      <c r="A265" s="25" t="s">
        <v>154</v>
      </c>
    </row>
    <row r="266" spans="1:1" ht="20.100000000000001" customHeight="1">
      <c r="A266" s="20" t="s">
        <v>155</v>
      </c>
    </row>
    <row r="267" spans="1:1" ht="20.100000000000001" customHeight="1">
      <c r="A267" s="20" t="s">
        <v>156</v>
      </c>
    </row>
    <row r="268" spans="1:1" ht="20.100000000000001" customHeight="1">
      <c r="A268" s="20" t="s">
        <v>157</v>
      </c>
    </row>
    <row r="269" spans="1:1" ht="20.100000000000001" customHeight="1">
      <c r="A269" s="20" t="s">
        <v>158</v>
      </c>
    </row>
    <row r="270" spans="1:1" ht="20.100000000000001" customHeight="1">
      <c r="A270" s="25" t="s">
        <v>159</v>
      </c>
    </row>
    <row r="271" spans="1:1" ht="20.100000000000001" customHeight="1">
      <c r="A271" s="25" t="s">
        <v>160</v>
      </c>
    </row>
    <row r="272" spans="1:1" ht="20.100000000000001" customHeight="1">
      <c r="A272" s="20" t="s">
        <v>161</v>
      </c>
    </row>
    <row r="273" spans="1:1" ht="20.100000000000001" customHeight="1">
      <c r="A273" s="25" t="s">
        <v>162</v>
      </c>
    </row>
    <row r="274" spans="1:1" ht="20.100000000000001" customHeight="1">
      <c r="A274" s="25" t="s">
        <v>163</v>
      </c>
    </row>
    <row r="275" spans="1:1" ht="20.100000000000001" customHeight="1">
      <c r="A275" s="20" t="s">
        <v>164</v>
      </c>
    </row>
    <row r="276" spans="1:1" ht="20.100000000000001" customHeight="1">
      <c r="A276" s="20" t="s">
        <v>165</v>
      </c>
    </row>
    <row r="277" spans="1:1" ht="20.100000000000001" customHeight="1">
      <c r="A277" s="25" t="s">
        <v>166</v>
      </c>
    </row>
    <row r="278" spans="1:1" ht="20.100000000000001" customHeight="1">
      <c r="A278" s="20" t="s">
        <v>167</v>
      </c>
    </row>
    <row r="279" spans="1:1" ht="20.100000000000001" customHeight="1">
      <c r="A279" s="20" t="s">
        <v>168</v>
      </c>
    </row>
    <row r="280" spans="1:1" ht="20.100000000000001" customHeight="1">
      <c r="A280" s="20" t="s">
        <v>169</v>
      </c>
    </row>
    <row r="281" spans="1:1" ht="20.100000000000001" customHeight="1">
      <c r="A281" s="20" t="s">
        <v>170</v>
      </c>
    </row>
    <row r="282" spans="1:1" ht="20.100000000000001" customHeight="1">
      <c r="A282" s="25" t="s">
        <v>171</v>
      </c>
    </row>
    <row r="283" spans="1:1" ht="20.100000000000001" customHeight="1">
      <c r="A283" s="25" t="s">
        <v>172</v>
      </c>
    </row>
    <row r="284" spans="1:1" ht="20.100000000000001" customHeight="1">
      <c r="A284" s="25" t="s">
        <v>173</v>
      </c>
    </row>
    <row r="285" spans="1:1" ht="20.100000000000001" customHeight="1" thickBot="1">
      <c r="A285" s="20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2025-10-22T03:39:46Z</dcterms:modified>
</cp:coreProperties>
</file>