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240B00F-50CE-4913-A949-A27ACDE97C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G15" i="2"/>
  <c r="H15" i="2"/>
  <c r="G17" i="2"/>
  <c r="H17" i="2"/>
  <c r="G18" i="2"/>
  <c r="H18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F43" i="2"/>
  <c r="E43" i="2"/>
  <c r="E44" i="2"/>
  <c r="E45" i="2" s="1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<sst xmlns="http://schemas.openxmlformats.org/spreadsheetml/2006/main" count="269" uniqueCount="213">
  <si>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</si>
  <si>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</si>
  <si>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</si>
  <si>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</si>
  <si>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</si>
  <si>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</si>
  <si>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</si>
  <si>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</si>
  <si>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</si>
  <si>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</si>
  <si>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</si>
  <si>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</si>
  <si>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</si>
  <si>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</si>
  <si>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</si>
  <si>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</si>
  <si>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</si>
  <si>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</si>
  <si>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</si>
  <si>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</si>
  <si>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</si>
  <si>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</si>
  <si>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</si>
  <si>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</si>
  <si>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</si>
  <si>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</si>
  <si>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</si>
  <si>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</si>
  <si>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</si>
  <si>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</si>
  <si>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</si>
  <si>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</si>
  <si>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</si>
  <si>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</si>
  <si>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</si>
  <si>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</si>
  <si>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</si>
  <si>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</si>
  <si>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</si>
  <si>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</si>
  <si>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</si>
  <si>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</si>
  <si>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</si>
  <si>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</si>
  <si>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</si>
  <si>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</si>
  <si>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</si>
  <si>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</si>
  <si>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</si>
  <si>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</si>
  <si>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</si>
  <si>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</si>
  <si>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</si>
  <si>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</si>
  <si>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</si>
  <si>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</si>
  <si>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</si>
  <si>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</si>
  <si>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</si>
  <si>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</si>
  <si>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</si>
  <si>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</si>
  <si>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</si>
  <si>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</si>
  <si>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</si>
  <si>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</si>
  <si>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</si>
  <si>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</si>
  <si>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</si>
  <si>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</si>
  <si>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</si>
  <si>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</si>
  <si>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</si>
  <si>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</si>
  <si>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</si>
  <si>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</si>
  <si>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</si>
  <si>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</si>
  <si>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</si>
  <si>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</si>
  <si>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</si>
  <si>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</si>
  <si>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</si>
  <si>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</si>
  <si>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</si>
  <si>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</si>
  <si>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</si>
  <si>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</si>
  <si>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</si>
  <si>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</si>
  <si>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</si>
  <si>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</si>
  <si>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</si>
  <si>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</si>
  <si>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</si>
  <si>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</si>
  <si>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</si>
  <si>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</si>
  <si>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</si>
  <si>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</si>
  <si>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</si>
  <si>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</si>
  <si>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</si>
  <si>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</si>
  <si>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</si>
  <si>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</si>
  <si>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</si>
  <si>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</si>
  <si>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</si>
  <si>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</si>
  <si>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</si>
  <si>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</si>
  <si>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</si>
  <si>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</si>
  <si>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</si>
  <si>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</si>
  <si>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</si>
  <si>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</si>
  <si>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</si>
  <si>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</si>
  <si>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</si>
  <si>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</si>
  <si>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</si>
  <si>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</si>
  <si>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</si>
  <si>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</si>
  <si>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</si>
  <si>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</si>
  <si>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</si>
  <si>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</si>
  <si>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</si>
  <si>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</si>
  <si>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</si>
  <si>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</si>
  <si>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</si>
  <si>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</si>
  <si>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</si>
  <si>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</si>
  <si>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</si>
  <si>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</si>
  <si>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</si>
  <si>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</si>
  <si>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</si>
  <si>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</si>
  <si>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</si>
  <si>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</si>
  <si>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</si>
  <si>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</si>
  <si>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</si>
  <si>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</si>
  <si>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</si>
  <si>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</si>
  <si>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</si>
  <si>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</si>
  <si>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</si>
  <si>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</si>
  <si>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</si>
  <si>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</si>
  <si>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</si>
  <si>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</si>
  <si>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</si>
  <si>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</si>
  <si>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</si>
  <si>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</si>
  <si>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</si>
  <si>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</si>
  <si>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</si>
  <si>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</si>
  <si>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</si>
  <si>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</si>
  <si>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</si>
  <si>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</si>
  <si>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</si>
  <si>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</si>
  <si>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</si>
  <si>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</si>
  <si>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</si>
  <si>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تستلم سرية الهندسة في مجموعة اللواء المهمة وتصدر أمر عمليات والذي يحتوي على المعلومات الضرورية للمرؤوسين.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</si>
  <si>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التنسيق مع ركن العمليات وضابط الاستخبارات في مجموعة اللواء لتحديد المتطلبات التالية:</t>
    </r>
  </si>
  <si>
    <t>أ. الاستطلاع وتحديد مواقع فتح الثغرة وعبور الفجوات.</t>
  </si>
  <si>
    <t>ب. يتأكد قائد السرية ان عملية فتح الثغرة وعبور الفجوات مسندة بنيران المدفعية ومحمية من قبل الدفاع الجوي.</t>
  </si>
  <si>
    <t>جـ. تقدير المستودعات اللازمة لعمليات فتح الثغرة وعبور الفجوات.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</si>
  <si>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</si>
  <si>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الأفراد</t>
    </r>
    <r>
      <rPr>
        <sz val="12"/>
        <color rgb="FF000000"/>
        <rFont val="Arial"/>
        <family val="2"/>
      </rPr>
      <t>. تحضير المعدات، الملابس، الأرزاق والمياه، الأسلحة الخفيفة والمتوسطة.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</si>
  <si>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المعدات</t>
    </r>
    <r>
      <rPr>
        <sz val="12"/>
        <color rgb="FF000000"/>
        <rFont val="Arial"/>
        <family val="2"/>
      </rPr>
      <t>. الصلاحية، توفير المعدات الخاصة (مجسات، مصابيح، أدوات حفر، أدوات قطع الأسلاك، وغير ذلك).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</si>
  <si>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الأسلحة</t>
    </r>
    <r>
      <rPr>
        <sz val="12"/>
        <color rgb="FF000000"/>
        <rFont val="Arial"/>
        <family val="2"/>
      </rPr>
      <t>. فحص الأسلحة، تعبئة الذخيرة، الصلاحية والصيانة.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</si>
  <si>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الآليات</t>
    </r>
    <r>
      <rPr>
        <sz val="12"/>
        <color rgb="FF000000"/>
        <rFont val="Arial"/>
        <family val="2"/>
      </rPr>
      <t>. تنفيذ اصلاح الأعطال، تعبئة خزانات الوقود، تحميل المعدات والإمدادات.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</si>
  <si>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السرية بالتحضير لتنفيذ عمليات فتح الثغرة وعبور الفجوات كما يلي:</t>
    </r>
  </si>
  <si>
    <t>أ. يقوم قائد السرية بإيجاز قادة الفصائل حول القصد من القيام بعمليات فتح الثغرة وعبور الفجوات.</t>
  </si>
  <si>
    <t>ب. يقوم قائد السرية بإبلاغ قائد الفصيل عن الطريقة/الاسلوب الذي يجب استخدامه عند القيام بعمليات فتح الثغرة وعبور الفجوات.</t>
  </si>
  <si>
    <t>جـ. يقوم قائد السرية بتزويد قائد الفصيل بالجدول الزمني/ الوقت المتاح فيما يتعلق بعمليات فتح الثغرة وعبور الفجوات.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</si>
  <si>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</si>
  <si>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امر الواجب.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</si>
  <si>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واجبات جماعات الهندسة.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</si>
  <si>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فهم قادة الجماعات للعمل المطلوب.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</si>
  <si>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عدة تأشير.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</si>
  <si>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ناقلات ظبيان.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</si>
  <si>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دبابة المهندسين.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</si>
  <si>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تجهيز الناسف الأفعواني.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</si>
  <si>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التقرب الى الثغرة.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</si>
  <si>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موقع دبابة المهندسين.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</si>
  <si>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تقدم الالية بالشكل الصحيح.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</si>
  <si>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ترجل عناصر الهندسة بأسلوب صحيح.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</si>
  <si>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السيطرة على البدء في التأشير للثغرة.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</si>
  <si>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المدخل.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</si>
  <si>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وضع الإشارات للدلالة.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</si>
  <si>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المخرج.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</si>
  <si>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مراعاة الافراد لاحتياطات الأمان.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</si>
  <si>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وجود آليات الاخلاء الطبي.</t>
    </r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</si>
  <si>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التعامل مع الالغام والمواد الخطرة.</t>
    </r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</si>
  <si>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بالتعليمات الخاصة لاحتياطات الامان.</t>
    </r>
  </si>
  <si>
    <r>
      <rPr>
        <b/>
        <sz val="14"/>
        <color rgb="FF000000"/>
        <rFont val="Arial"/>
        <family val="2"/>
      </rPr>
      <t>تقييم سرية الهندسة في عمليات فتح الثغرة وعبور الفجوات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</si>
  <si>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مطر محمد بالهوش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</si>
</sst>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u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416615</xdr:colOff>
      <xdr:row>45</xdr:row>
      <xdr:rowOff>524600</xdr:rowOff>
    </xdr:from>
    <xdr:to>
      <xdr:col>9</xdr:col>
      <xdr:colOff>390314</xdr:colOff>
      <xdr:row>46</xdr:row>
      <xdr:rowOff>609468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B9828DD-093D-AD65-9E0D-F50BFB031D2A}"/>
                </a:ext>
              </a:extLst>
            </xdr14:cNvPr>
            <xdr14:cNvContentPartPr/>
          </xdr14:nvContentPartPr>
          <xdr14:nvPr macro=""/>
          <xdr14:xfrm>
            <a:off x="10398196505" y="18939600"/>
            <a:ext cx="1289880" cy="615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B9828DD-093D-AD65-9E0D-F50BFB031D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87505" y="18930600"/>
              <a:ext cx="1307520" cy="63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02:52.8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576 1375 3840,'0'0'0,"-3"-4"2521,0-1-1209,3 5-1312,-7-5 928,-3-1-416,6 2-175,-7-1-161,11 5-176,-8-3 112,-1 1-40,1 1 32,6-1-48,2 2-56,-6 0 48,1 0 0,0 0-32,3 0 80,2 0-96,-3 0 72,3 0 56,0 0-48,0 0-8,0 0-72,0 0 120,5 0 0,-2 0 32,1-1-32,-4 1-120,0-4 144,3-8-176,1 7-56,-2-14-72,-2 19 160,2-20-248,3-4 120,-2-4 64,-3-6 56,0 34 8,0-39 40,0-3-32,0-6-32,0-2 0,0 50 24,0-54 8,0-3 8,-5-4 16,2 0 24,3 61-56,-2-62 16,-4-1 8,3 2-8,-1 6-8,4 55-8,-3-53 56,-2 8-48,3 7 24,-3 6-24,5 32-8,-2-25-16,-1 7 16,3 3-48,0 11-32,0 4 80,0-11-96,0 9-24,0 1-16,5-1 40,-5 2 96,17 0-120,4 3-24,7 12 40,-3 0-24,-25-15 128,24 19-120,-3 2 88,-2 6-16,-3 1 40,-16-28 8,20 31 8,2 3-8,-6 1-8,6 1-48,-22-36 56,13 37-16,4 1-25,1-2 57,-6-2-8,-12-34-8,11 30-56,-6-5 32,9-5 8,-14-1-8,0-19 24,5 13-40,-5-9 24,0 0 64,0 8 113,0-12-161,-5 2 296,-11 3-8,2 9 48,-3-2-96,17-12-240,-18 12 144,-12 0-32,2 0-80,-7-8-16,35-4-16,-33 14 32,14-14 8,-4 5 0,-3-3 16,26-2-56,-30 3 48,-5 0-48,-7 0 24,-1-3 0,43 0-24,-46 3-24,-1-3 64,4 3-40,-5-3 16,48 0-16,-42 2 80,5 1-56,0 0 40,4 0-32,33-3-32,-24 3 56,1 0-48,4-1-56,11 1 48,8-3 0,-5 0-176,2 3-104,3 1-88,0 1-40,0-5 408,12 4-312,2 9 96,7-9 136,2 9-8,-23-13 88,26 4-137,7 7 65,2-8-88,0-3 40,-35 0 120,40 0-80,0 0 24,1-5 64,-1-12-16,-40 17 8,42-16 32,32-20-32,-12 1-24,-12 2-8,-50 33 32,43-31 8,-8 4-24,0-1 32,-2-2 56,-33 30-72,27-27 24,-4 0 24,-2 3-56,-2 1 8,-19 23 0,16-21 8,-4 2-24,0 3 120,-12 10-56,0 6-48,3-11 80,-3 9 96,0 2 49,-3 0 423,3 0-648,-12 4 736,-2 11-48,0-3-136,-2 4-432,16-16-120,-14 21 16,-3 5-32,1 6-24,2 8 48,14-40-8,-11 44-48,6 4 48,-2 5 0,5-6-80,2-47 80,-3 46-8,1-1-40,2-7 8,0 1-8,0-39 48,0 32-136,5-5-32,9-5-16,-12-6 16,-2-16 168,9 13-256,-9-9-32,12 7-120,-10-11 32,-2 0 376,11 0-352,-8-1-1,11-2 121,-2-8 72,-12 11 160,4-12-96,15-5 120,-7-4 8,-1-2-96,-11 23 64,12-27-48,2-2 40,-2 2 8,-10 1 24,-2 26-24,5-25 56,0 2-40,-3 2 8,2 1 88,-4 20-112,0-15 96,0 4 48,-1 10 57,-2 1-49,3 0-152,-2 0 224,0 4 16,-3 0-24,0 8 48,5-12-264,-5 2 136,0 3-144,0-1 0,2 7-88,3-11 96,0 5-72,0 9 72,0-10-40,0 12 16,0-16 24,0 11 32,0-7-72,3 9-8,2-10 64,-5-3-16,5 4-128,5 0 48,-5 8-8,6-12-136,-11 0 224,4 4-40,11 0-24,-4-1-16,3 1 104,-14-4-24,17 5-64,-1-2 24,1-1-8,1 1-64,-18-3 112,18 0-153,1 0 41,2-1 112,1-5-48,-22 6 48,23-15 40,-3 0-16,2-6-64,6-7 32,-28 28 8,28-33 16,0-6-40,0-3-24,-1 0 72,-27 42-24,26-44-96,0-1 88,-5-1 32,-2-6-48,-19 52 24,18-53 96,1-4-96,-2-1 16,-4-1 24,-13 59-40,5-61-48,12-2 32,-17-1 16,0 1 8,0 63-8,0-59-16,0 11 112,-12 12 40,7 12 145,5 24-281,-18-13 552,1 13 128,-2 0-104,3 11-128,16-11-448,-19 13 208,1 4-232,1 6-64,-1 4 64,18-27 24,-17 30-48,6 6-8,-1 1 160,0 5-136,12-42 32,-2 44-64,-7 1 48,4 5-80,-2 2 128,7-52-32,0 58 8,-2 5-64,2 2 24,0 6-24,0-71 56,0 70-56,2 1 104,1-1-40,8 1-40,-11-71 32,2 70 0,10-1-8,-7-2-24,9-6 32,-14-61 0,4 59-24,13-7-56,-15-3 40,14-4-24,-16-45 64,10 38-40,-5-5 8,10-5-24,-15-7 40,0-21 16,5 17-80,0-12 40,-3 7 48,3-12-104,-5 0 96,0 0 32,0 0 0,3 0 160,-3 0-192,0 0 184,0-2 32,4-4-48,-4-8-160,0 14-8,0-14-104,0-6-232,0-3 32,-2-3-48,2 26 352,-2-27-320,2-1 200,0-1-24,-3 2 112,3 27 32,-2-24 32,-1 2-24,3 5 40,0 1-24,0 16-24,-2-13 32,2-1-56,-2 0-24,2 0 64,0 14-16,0-17-80,0 1 80,2 0-16,-2 1-80,0 15 96,2-14 0,1 9-16,2 0-80,-5 3 16,0 2 80,2 0-104,-2 3-8,2 8 48,3-6 64,-5-5 0,11 18 0,-8-2-24,9 2 144,-7 2-48,-5-20-72,11 22 40,3-1-8,-1-3-136,7-1 8,-20-17 96,18 15-24,1-11-56,2 11 152,-1-15-32,-20 0-40,22 3-24,1-3 80,0-4-104,1-12-24,-24 16 72,26-15-72,-3-8 48,5-5 40,-1-11 40,-27 39-56,29-45 112,4-8-64,-5-6-48,0-6-32,-28 65 32,25-67-96,-6-7-16,0-5 128,-1-5 0,-18 84-16,17-91 16,-5-4 48,-1 0-120,-9 0 40,-2 95 16,3-87 16,-3 15 24,0 15 56,-5 19 72,5 38-168,-14-23 288,0 12 280,-2 11 200,2 0 112,14 0-880,-17 3 840,1 1-304,2 9-296,3-9-184,11-4-56,-12 17 32,7-3-96,-9 3 64,12 6-56,2-23 56,-3 25-128,1 5 64,0 7 8,2 6 24,0-43 32,0 49-8,4 8-8,8 2-8,0 10 0,-12-69 24,12 75-40,1 4 24,1 5-112,0 1 88,-14-85 40,17 87 0,-1-3-16,3-3-8,1-1 8,-20-80 16,20 76-32,-2-3-40,3-2 72,-7-6-48,-14-65 48,17 59-56,-4-8 8,2-9 16,-13-6-24,-2-36 56,11 27-88,-8-5 88,1-6-16,-4-5 16,0-11 0,0 3-8,0-3 32,-2 3-40,-3-3 56,5 0-40,-13 0 160,-7-4-136,-3-15-16,-7-2 16,30 21-24,-33-27-24,-2-7 8,-7-7 0,-4-1 16,46 42 0,-52-47 0,-4 1 0,-4 1 16,-1 1-8,61 44-8,-65-41-64,-3 0 104,-2 2-16,-5-1-56,75 40 32,-79-38 0,-1 2-40,-2 0 48,-1 3 16,83 33-24,-89-31-40,2 4 16,-6 3 16,9 4-32,84 20 40,-42-3 88,-9-3 56,-1 3 80,-6 2 40,58 1-264,-53 0 208,-9 4-24,9 12-120,-10-2 33,63-14-97,-53 17 40,10 2-24,6 1-64,12-2-73,25-18 121,-22 17-200,20 2-72,2-1 8,16-1-16,-16-17 280,28 15-232,10-10 32,15 7 0,27-12-128,-80 0 328,158-2-200,1-25-40,-2-9 72,-29 1 144,-128 35 24,131-38-120,6-5 64,10 0-48,0-1 80,-147 44 24,150-45-24,4 2-8,-4 4 16,-4 0 8,-146 39 8,154-35 32,1-1-24,3 0-48,3 0-40,-161 36 80,159-34-192,4 1-200,-2 1-1681,-6-1-1680,-155 33 3753,149-34-3792,-149 34 3792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7"/>
  <sheetViews>
    <sheetView rightToLeft="1" tabSelected="1" view="pageBreakPreview" topLeftCell="C40" zoomScale="130" zoomScaleNormal="100" zoomScaleSheetLayoutView="130" workbookViewId="0">
      <selection activeCell="H14" sqref="H1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211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12</v>
      </c>
      <c r="D2" s="75"/>
      <c r="E2" s="11" t="s">
        <v>7</v>
      </c>
      <c r="F2" s="70">
        <v>45957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73</v>
      </c>
      <c r="D3" s="75"/>
      <c r="E3" s="11" t="s">
        <v>6</v>
      </c>
      <c r="F3" s="75" t="s">
        <v>59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80" t="s">
        <v>212</v>
      </c>
      <c r="G4" s="80"/>
      <c r="H4" s="80"/>
      <c r="I4" s="80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3">
      <c r="A8" s="9"/>
      <c r="B8" s="65" t="s">
        <v>176</v>
      </c>
      <c r="C8" s="66"/>
      <c r="D8" s="66"/>
      <c r="E8" s="32"/>
      <c r="F8" s="33"/>
      <c r="G8" s="34"/>
      <c r="H8" s="35"/>
      <c r="I8" s="63"/>
      <c r="J8" s="64"/>
    </row>
    <row r="9" spans="1:10" ht="39.9" customHeight="1" x14ac:dyDescent="0.3">
      <c r="A9" s="9"/>
      <c r="B9" s="53" t="s">
        <v>177</v>
      </c>
      <c r="C9" s="54"/>
      <c r="D9" s="54"/>
      <c r="E9" s="8">
        <v>5</v>
      </c>
      <c r="F9" s="25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9"/>
      <c r="B10" s="53" t="s">
        <v>178</v>
      </c>
      <c r="C10" s="54"/>
      <c r="D10" s="54"/>
      <c r="E10" s="8"/>
      <c r="F10" s="25"/>
      <c r="G10" s="30"/>
      <c r="H10" s="31"/>
      <c r="I10" s="45"/>
      <c r="J10" s="46"/>
    </row>
    <row r="11" spans="1:10" ht="30" customHeight="1" x14ac:dyDescent="0.3">
      <c r="A11" s="9"/>
      <c r="B11" s="67" t="s">
        <v>179</v>
      </c>
      <c r="C11" s="68"/>
      <c r="D11" s="68"/>
      <c r="E11" s="8">
        <v>5</v>
      </c>
      <c r="F11" s="25">
        <v>3.75</v>
      </c>
      <c r="G11" s="30">
        <f t="shared" ref="G11:G42" si="0">IFERROR(F11/E11,"")</f>
        <v>0.75</v>
      </c>
      <c r="H11" s="31" t="str">
        <f t="shared" ref="H11:H42" si="1">_xlfn.IFS(F11="أدخل العلامة","",F11="لا ينطبق","تم الإلغاء",G11&gt;=90%,"ممتاز",G11&gt;=80%,"جيد جداً",G11&gt;=70%,"جيد",G11&gt;=60%,"مقبول",G11&lt;60%,"راسب")</f>
        <v>جيد</v>
      </c>
      <c r="I11" s="45"/>
      <c r="J11" s="46"/>
    </row>
    <row r="12" spans="1:10" ht="39.9" customHeight="1" x14ac:dyDescent="0.3">
      <c r="A12" s="9"/>
      <c r="B12" s="67" t="s">
        <v>180</v>
      </c>
      <c r="C12" s="68"/>
      <c r="D12" s="68"/>
      <c r="E12" s="8">
        <v>5</v>
      </c>
      <c r="F12" s="25">
        <v>3.5</v>
      </c>
      <c r="G12" s="30">
        <f t="shared" si="0"/>
        <v>0.7</v>
      </c>
      <c r="H12" s="31" t="str">
        <f t="shared" si="1"/>
        <v>جيد</v>
      </c>
      <c r="I12" s="45"/>
      <c r="J12" s="46"/>
    </row>
    <row r="13" spans="1:10" ht="30" customHeight="1" thickBot="1" x14ac:dyDescent="0.35">
      <c r="A13" s="9"/>
      <c r="B13" s="86" t="s">
        <v>181</v>
      </c>
      <c r="C13" s="87"/>
      <c r="D13" s="87"/>
      <c r="E13" s="36">
        <v>5</v>
      </c>
      <c r="F13" s="26">
        <v>3.75</v>
      </c>
      <c r="G13" s="37">
        <f t="shared" si="0"/>
        <v>0.75</v>
      </c>
      <c r="H13" s="38" t="str">
        <f t="shared" si="1"/>
        <v>جيد</v>
      </c>
      <c r="I13" s="47"/>
      <c r="J13" s="48"/>
    </row>
    <row r="14" spans="1:10" ht="30" customHeight="1" x14ac:dyDescent="0.3">
      <c r="A14" s="9"/>
      <c r="B14" s="65" t="s">
        <v>182</v>
      </c>
      <c r="C14" s="66"/>
      <c r="D14" s="66"/>
      <c r="E14" s="32"/>
      <c r="F14" s="33"/>
      <c r="G14" s="34" t="str">
        <f t="shared" si="0"/>
        <v/>
      </c>
      <c r="H14" s="35"/>
      <c r="I14" s="63"/>
      <c r="J14" s="64"/>
    </row>
    <row r="15" spans="1:10" ht="39.9" customHeight="1" x14ac:dyDescent="0.3">
      <c r="A15" s="9"/>
      <c r="B15" s="53" t="s">
        <v>183</v>
      </c>
      <c r="C15" s="54"/>
      <c r="D15" s="54"/>
      <c r="E15" s="8">
        <v>5</v>
      </c>
      <c r="F15" s="25">
        <v>3.5</v>
      </c>
      <c r="G15" s="30">
        <f t="shared" si="0"/>
        <v>0.7</v>
      </c>
      <c r="H15" s="31" t="str">
        <f t="shared" si="1"/>
        <v>جيد</v>
      </c>
      <c r="I15" s="45"/>
      <c r="J15" s="46"/>
    </row>
    <row r="16" spans="1:10" ht="39.9" customHeight="1" x14ac:dyDescent="0.3">
      <c r="A16" s="9"/>
      <c r="B16" s="53" t="s">
        <v>184</v>
      </c>
      <c r="C16" s="54"/>
      <c r="D16" s="54"/>
      <c r="E16" s="29"/>
      <c r="F16" s="25"/>
      <c r="G16" s="30"/>
      <c r="H16" s="31"/>
      <c r="I16" s="45"/>
      <c r="J16" s="46"/>
    </row>
    <row r="17" spans="1:10" ht="30" customHeight="1" x14ac:dyDescent="0.3">
      <c r="A17" s="9"/>
      <c r="B17" s="53" t="s">
        <v>185</v>
      </c>
      <c r="C17" s="54"/>
      <c r="D17" s="54"/>
      <c r="E17" s="8">
        <v>5</v>
      </c>
      <c r="F17" s="25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9"/>
      <c r="B18" s="53" t="s">
        <v>186</v>
      </c>
      <c r="C18" s="54"/>
      <c r="D18" s="54"/>
      <c r="E18" s="8">
        <v>5</v>
      </c>
      <c r="F18" s="25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9"/>
      <c r="B19" s="53" t="s">
        <v>187</v>
      </c>
      <c r="C19" s="54"/>
      <c r="D19" s="54"/>
      <c r="E19" s="29"/>
      <c r="F19" s="25"/>
      <c r="G19" s="30"/>
      <c r="H19" s="31"/>
      <c r="I19" s="45"/>
      <c r="J19" s="46"/>
    </row>
    <row r="20" spans="1:10" ht="39.9" customHeight="1" x14ac:dyDescent="0.3">
      <c r="A20" s="9"/>
      <c r="B20" s="67" t="s">
        <v>188</v>
      </c>
      <c r="C20" s="68"/>
      <c r="D20" s="68"/>
      <c r="E20" s="8">
        <v>5</v>
      </c>
      <c r="F20" s="25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9.9" customHeight="1" x14ac:dyDescent="0.3">
      <c r="A21" s="9"/>
      <c r="B21" s="67" t="s">
        <v>189</v>
      </c>
      <c r="C21" s="68"/>
      <c r="D21" s="68"/>
      <c r="E21" s="8">
        <v>5</v>
      </c>
      <c r="F21" s="25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" customHeight="1" thickBot="1" x14ac:dyDescent="0.35">
      <c r="A22" s="9"/>
      <c r="B22" s="86" t="s">
        <v>190</v>
      </c>
      <c r="C22" s="87"/>
      <c r="D22" s="87"/>
      <c r="E22" s="36">
        <v>5</v>
      </c>
      <c r="F22" s="26">
        <v>3.5</v>
      </c>
      <c r="G22" s="37">
        <f t="shared" si="0"/>
        <v>0.7</v>
      </c>
      <c r="H22" s="38" t="str">
        <f t="shared" si="1"/>
        <v>جيد</v>
      </c>
      <c r="I22" s="47"/>
      <c r="J22" s="48"/>
    </row>
    <row r="23" spans="1:10" ht="30" customHeight="1" x14ac:dyDescent="0.3">
      <c r="A23" s="9"/>
      <c r="B23" s="65" t="s">
        <v>191</v>
      </c>
      <c r="C23" s="66"/>
      <c r="D23" s="66"/>
      <c r="E23" s="32"/>
      <c r="F23" s="33"/>
      <c r="G23" s="34"/>
      <c r="H23" s="35"/>
      <c r="I23" s="63"/>
      <c r="J23" s="64"/>
    </row>
    <row r="24" spans="1:10" ht="30" customHeight="1" x14ac:dyDescent="0.3">
      <c r="A24" s="9"/>
      <c r="B24" s="53" t="s">
        <v>192</v>
      </c>
      <c r="C24" s="54"/>
      <c r="D24" s="54"/>
      <c r="E24" s="8">
        <v>5</v>
      </c>
      <c r="F24" s="25">
        <v>3.5</v>
      </c>
      <c r="G24" s="30">
        <f t="shared" si="0"/>
        <v>0.7</v>
      </c>
      <c r="H24" s="31" t="str">
        <f t="shared" si="1"/>
        <v>جيد</v>
      </c>
      <c r="I24" s="45"/>
      <c r="J24" s="46"/>
    </row>
    <row r="25" spans="1:10" ht="30" customHeight="1" x14ac:dyDescent="0.3">
      <c r="A25" s="9"/>
      <c r="B25" s="53" t="s">
        <v>193</v>
      </c>
      <c r="C25" s="54"/>
      <c r="D25" s="54"/>
      <c r="E25" s="8">
        <v>5</v>
      </c>
      <c r="F25" s="25">
        <v>3.75</v>
      </c>
      <c r="G25" s="30">
        <f t="shared" si="0"/>
        <v>0.75</v>
      </c>
      <c r="H25" s="31" t="str">
        <f t="shared" si="1"/>
        <v>جيد</v>
      </c>
      <c r="I25" s="45"/>
      <c r="J25" s="46"/>
    </row>
    <row r="26" spans="1:10" ht="30" customHeight="1" x14ac:dyDescent="0.3">
      <c r="A26" s="9"/>
      <c r="B26" s="53" t="s">
        <v>194</v>
      </c>
      <c r="C26" s="54"/>
      <c r="D26" s="54"/>
      <c r="E26" s="8">
        <v>5</v>
      </c>
      <c r="F26" s="25">
        <v>3.75</v>
      </c>
      <c r="G26" s="30">
        <f t="shared" si="0"/>
        <v>0.75</v>
      </c>
      <c r="H26" s="31" t="str">
        <f t="shared" si="1"/>
        <v>جيد</v>
      </c>
      <c r="I26" s="45"/>
      <c r="J26" s="46"/>
    </row>
    <row r="27" spans="1:10" ht="30" customHeight="1" x14ac:dyDescent="0.3">
      <c r="A27" s="9"/>
      <c r="B27" s="53" t="s">
        <v>195</v>
      </c>
      <c r="C27" s="54"/>
      <c r="D27" s="54"/>
      <c r="E27" s="8">
        <v>5</v>
      </c>
      <c r="F27" s="25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0" customHeight="1" x14ac:dyDescent="0.3">
      <c r="A28" s="9"/>
      <c r="B28" s="53" t="s">
        <v>196</v>
      </c>
      <c r="C28" s="54"/>
      <c r="D28" s="54"/>
      <c r="E28" s="8">
        <v>5</v>
      </c>
      <c r="F28" s="25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0" customHeight="1" x14ac:dyDescent="0.3">
      <c r="A29" s="9"/>
      <c r="B29" s="53" t="s">
        <v>197</v>
      </c>
      <c r="C29" s="54"/>
      <c r="D29" s="54"/>
      <c r="E29" s="8">
        <v>5</v>
      </c>
      <c r="F29" s="25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0" customHeight="1" x14ac:dyDescent="0.3">
      <c r="A30" s="9"/>
      <c r="B30" s="53" t="s">
        <v>198</v>
      </c>
      <c r="C30" s="54"/>
      <c r="D30" s="54"/>
      <c r="E30" s="8">
        <v>5</v>
      </c>
      <c r="F30" s="25">
        <v>3.5</v>
      </c>
      <c r="G30" s="30">
        <f t="shared" si="0"/>
        <v>0.7</v>
      </c>
      <c r="H30" s="31" t="str">
        <f t="shared" si="1"/>
        <v>جيد</v>
      </c>
      <c r="I30" s="45"/>
      <c r="J30" s="46"/>
    </row>
    <row r="31" spans="1:10" ht="30" customHeight="1" x14ac:dyDescent="0.3">
      <c r="A31" s="9"/>
      <c r="B31" s="53" t="s">
        <v>199</v>
      </c>
      <c r="C31" s="54"/>
      <c r="D31" s="54"/>
      <c r="E31" s="8">
        <v>5</v>
      </c>
      <c r="F31" s="25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0" customHeight="1" x14ac:dyDescent="0.3">
      <c r="A32" s="9"/>
      <c r="B32" s="53" t="s">
        <v>200</v>
      </c>
      <c r="C32" s="54"/>
      <c r="D32" s="54"/>
      <c r="E32" s="8">
        <v>5</v>
      </c>
      <c r="F32" s="25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0" customHeight="1" x14ac:dyDescent="0.3">
      <c r="A33" s="9"/>
      <c r="B33" s="53" t="s">
        <v>201</v>
      </c>
      <c r="C33" s="54"/>
      <c r="D33" s="54"/>
      <c r="E33" s="8">
        <v>5</v>
      </c>
      <c r="F33" s="25">
        <v>3.75</v>
      </c>
      <c r="G33" s="30">
        <f t="shared" si="0"/>
        <v>0.75</v>
      </c>
      <c r="H33" s="31" t="str">
        <f t="shared" si="1"/>
        <v>جيد</v>
      </c>
      <c r="I33" s="45"/>
      <c r="J33" s="46"/>
    </row>
    <row r="34" spans="1:10" ht="30" customHeight="1" x14ac:dyDescent="0.3">
      <c r="A34" s="9"/>
      <c r="B34" s="53" t="s">
        <v>202</v>
      </c>
      <c r="C34" s="54"/>
      <c r="D34" s="54"/>
      <c r="E34" s="8">
        <v>5</v>
      </c>
      <c r="F34" s="25">
        <v>3.75</v>
      </c>
      <c r="G34" s="30">
        <f t="shared" si="0"/>
        <v>0.75</v>
      </c>
      <c r="H34" s="31" t="str">
        <f t="shared" si="1"/>
        <v>جيد</v>
      </c>
      <c r="I34" s="45"/>
      <c r="J34" s="46"/>
    </row>
    <row r="35" spans="1:10" ht="30" customHeight="1" x14ac:dyDescent="0.3">
      <c r="A35" s="9"/>
      <c r="B35" s="53" t="s">
        <v>203</v>
      </c>
      <c r="C35" s="54"/>
      <c r="D35" s="54"/>
      <c r="E35" s="8">
        <v>5</v>
      </c>
      <c r="F35" s="25">
        <v>3.5</v>
      </c>
      <c r="G35" s="30">
        <f t="shared" si="0"/>
        <v>0.7</v>
      </c>
      <c r="H35" s="31" t="str">
        <f t="shared" si="1"/>
        <v>جيد</v>
      </c>
      <c r="I35" s="45"/>
      <c r="J35" s="46"/>
    </row>
    <row r="36" spans="1:10" ht="30" customHeight="1" x14ac:dyDescent="0.3">
      <c r="A36" s="9"/>
      <c r="B36" s="53" t="s">
        <v>204</v>
      </c>
      <c r="C36" s="54"/>
      <c r="D36" s="54"/>
      <c r="E36" s="8">
        <v>5</v>
      </c>
      <c r="F36" s="25">
        <v>3.75</v>
      </c>
      <c r="G36" s="30">
        <f t="shared" si="0"/>
        <v>0.75</v>
      </c>
      <c r="H36" s="31" t="str">
        <f t="shared" si="1"/>
        <v>جيد</v>
      </c>
      <c r="I36" s="45"/>
      <c r="J36" s="46"/>
    </row>
    <row r="37" spans="1:10" ht="30" customHeight="1" x14ac:dyDescent="0.3">
      <c r="A37" s="9"/>
      <c r="B37" s="53" t="s">
        <v>205</v>
      </c>
      <c r="C37" s="54"/>
      <c r="D37" s="54"/>
      <c r="E37" s="8">
        <v>5</v>
      </c>
      <c r="F37" s="25">
        <v>3.5</v>
      </c>
      <c r="G37" s="30">
        <f t="shared" si="0"/>
        <v>0.7</v>
      </c>
      <c r="H37" s="31" t="str">
        <f t="shared" si="1"/>
        <v>جيد</v>
      </c>
      <c r="I37" s="45"/>
      <c r="J37" s="46"/>
    </row>
    <row r="38" spans="1:10" ht="30" customHeight="1" x14ac:dyDescent="0.3">
      <c r="A38" s="9"/>
      <c r="B38" s="53" t="s">
        <v>206</v>
      </c>
      <c r="C38" s="54"/>
      <c r="D38" s="54"/>
      <c r="E38" s="8">
        <v>5</v>
      </c>
      <c r="F38" s="25">
        <v>3.5</v>
      </c>
      <c r="G38" s="30">
        <f t="shared" si="0"/>
        <v>0.7</v>
      </c>
      <c r="H38" s="31" t="str">
        <f t="shared" si="1"/>
        <v>جيد</v>
      </c>
      <c r="I38" s="45"/>
      <c r="J38" s="46"/>
    </row>
    <row r="39" spans="1:10" ht="30" customHeight="1" x14ac:dyDescent="0.3">
      <c r="A39" s="9"/>
      <c r="B39" s="53" t="s">
        <v>207</v>
      </c>
      <c r="C39" s="54"/>
      <c r="D39" s="54"/>
      <c r="E39" s="8">
        <v>5</v>
      </c>
      <c r="F39" s="25">
        <v>3.5</v>
      </c>
      <c r="G39" s="30">
        <f t="shared" si="0"/>
        <v>0.7</v>
      </c>
      <c r="H39" s="31" t="str">
        <f t="shared" si="1"/>
        <v>جيد</v>
      </c>
      <c r="I39" s="45"/>
      <c r="J39" s="46"/>
    </row>
    <row r="40" spans="1:10" ht="30" customHeight="1" x14ac:dyDescent="0.3">
      <c r="A40" s="9"/>
      <c r="B40" s="53" t="s">
        <v>208</v>
      </c>
      <c r="C40" s="54"/>
      <c r="D40" s="54"/>
      <c r="E40" s="8">
        <v>5</v>
      </c>
      <c r="F40" s="25">
        <v>3.5</v>
      </c>
      <c r="G40" s="30">
        <f t="shared" si="0"/>
        <v>0.7</v>
      </c>
      <c r="H40" s="31" t="str">
        <f t="shared" si="1"/>
        <v>جيد</v>
      </c>
      <c r="I40" s="45"/>
      <c r="J40" s="46"/>
    </row>
    <row r="41" spans="1:10" ht="30" customHeight="1" x14ac:dyDescent="0.3">
      <c r="A41" s="9"/>
      <c r="B41" s="53" t="s">
        <v>209</v>
      </c>
      <c r="C41" s="54"/>
      <c r="D41" s="54"/>
      <c r="E41" s="8">
        <v>5</v>
      </c>
      <c r="F41" s="25">
        <v>3.75</v>
      </c>
      <c r="G41" s="30">
        <f t="shared" si="0"/>
        <v>0.75</v>
      </c>
      <c r="H41" s="31" t="str">
        <f t="shared" si="1"/>
        <v>جيد</v>
      </c>
      <c r="I41" s="45"/>
      <c r="J41" s="46"/>
    </row>
    <row r="42" spans="1:10" ht="30" customHeight="1" thickBot="1" x14ac:dyDescent="0.35">
      <c r="A42" s="9"/>
      <c r="B42" s="55" t="s">
        <v>210</v>
      </c>
      <c r="C42" s="56"/>
      <c r="D42" s="56"/>
      <c r="E42" s="36">
        <v>5</v>
      </c>
      <c r="F42" s="26">
        <v>3.5</v>
      </c>
      <c r="G42" s="37">
        <f t="shared" si="0"/>
        <v>0.7</v>
      </c>
      <c r="H42" s="38" t="str">
        <f t="shared" si="1"/>
        <v>جيد</v>
      </c>
      <c r="I42" s="47"/>
      <c r="J42" s="48"/>
    </row>
    <row r="43" spans="1:10" ht="30" customHeight="1" thickBot="1" x14ac:dyDescent="0.35">
      <c r="A43" s="4"/>
      <c r="B43" s="49" t="s">
        <v>5</v>
      </c>
      <c r="C43" s="50"/>
      <c r="D43" s="50"/>
      <c r="E43" s="28">
        <f>SUM(E8:E42)</f>
        <v>145</v>
      </c>
      <c r="F43" s="28">
        <f>SUM(F8:F42)</f>
        <v>105.25</v>
      </c>
      <c r="G43" s="81"/>
      <c r="H43" s="82"/>
      <c r="I43" s="82"/>
      <c r="J43" s="83"/>
    </row>
    <row r="44" spans="1:10" ht="30" customHeight="1" thickBot="1" x14ac:dyDescent="0.35">
      <c r="A44" s="4"/>
      <c r="B44" s="51" t="s">
        <v>54</v>
      </c>
      <c r="C44" s="52"/>
      <c r="D44" s="52"/>
      <c r="E44" s="84">
        <f>F43/E43/100*100</f>
        <v>0.72586206896551719</v>
      </c>
      <c r="F44" s="84"/>
      <c r="G44" s="84"/>
      <c r="H44" s="84"/>
      <c r="I44" s="84"/>
      <c r="J44" s="85"/>
    </row>
    <row r="45" spans="1:10" ht="30" customHeight="1" thickBot="1" x14ac:dyDescent="0.35">
      <c r="A45" s="4"/>
      <c r="B45" s="51" t="s">
        <v>55</v>
      </c>
      <c r="C45" s="52"/>
      <c r="D45" s="52"/>
      <c r="E45" s="43" t="str">
        <f>_xlfn.IFS(E44&gt;=90%,"ممتاز",E44&gt;=80%,"جيد جداً",E44&gt;=70%,"جيد",E44&gt;=60%,"مقبول",E44&lt;60%,"راسب")</f>
        <v>جيد</v>
      </c>
      <c r="F45" s="43"/>
      <c r="G45" s="43"/>
      <c r="H45" s="43"/>
      <c r="I45" s="43"/>
      <c r="J45" s="44"/>
    </row>
    <row r="46" spans="1:10" ht="42" customHeight="1" x14ac:dyDescent="0.3">
      <c r="B46" s="39" t="s">
        <v>175</v>
      </c>
      <c r="C46" s="39"/>
      <c r="D46" s="39"/>
      <c r="E46" s="57" t="s">
        <v>52</v>
      </c>
      <c r="F46" s="57"/>
      <c r="G46" s="41" t="s">
        <v>59</v>
      </c>
      <c r="H46" s="41"/>
      <c r="I46" s="41"/>
      <c r="J46" s="41"/>
    </row>
    <row r="47" spans="1:10" ht="51" customHeight="1" x14ac:dyDescent="0.3">
      <c r="A47" s="5"/>
      <c r="B47" s="40"/>
      <c r="C47" s="40"/>
      <c r="D47" s="40"/>
      <c r="E47" s="58" t="s">
        <v>53</v>
      </c>
      <c r="F47" s="58"/>
      <c r="G47" s="42"/>
      <c r="H47" s="42"/>
      <c r="I47" s="42"/>
      <c r="J47" s="42"/>
    </row>
  </sheetData>
  <sheetProtection formatCells="0" formatColumns="0" formatRows="0" insertColumns="0" insertRows="0" insertHyperlinks="0" deleteColumns="0" deleteRows="0" selectLockedCells="1" sort="0" autoFilter="0" pivotTables="0"/>
  <mergeCells count="92">
    <mergeCell ref="B32:D32"/>
    <mergeCell ref="B33:D33"/>
    <mergeCell ref="B34:D34"/>
    <mergeCell ref="B35:D35"/>
    <mergeCell ref="B26:D26"/>
    <mergeCell ref="B22:D22"/>
    <mergeCell ref="B23:D23"/>
    <mergeCell ref="B24:D24"/>
    <mergeCell ref="B25:D25"/>
    <mergeCell ref="B31:D31"/>
    <mergeCell ref="B12:D12"/>
    <mergeCell ref="B13:D13"/>
    <mergeCell ref="B14:D14"/>
    <mergeCell ref="B15:D15"/>
    <mergeCell ref="B16:D16"/>
    <mergeCell ref="E44:J44"/>
    <mergeCell ref="I13:J13"/>
    <mergeCell ref="I14:J14"/>
    <mergeCell ref="B27:D27"/>
    <mergeCell ref="B28:D28"/>
    <mergeCell ref="B29:D29"/>
    <mergeCell ref="B30:D30"/>
    <mergeCell ref="B17:D17"/>
    <mergeCell ref="B18:D18"/>
    <mergeCell ref="B19:D19"/>
    <mergeCell ref="B36:D36"/>
    <mergeCell ref="B37:D37"/>
    <mergeCell ref="B38:D38"/>
    <mergeCell ref="B39:D39"/>
    <mergeCell ref="B20:D20"/>
    <mergeCell ref="B21:D21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B1:J1"/>
    <mergeCell ref="F2:J2"/>
    <mergeCell ref="B5:D6"/>
    <mergeCell ref="C2:D2"/>
    <mergeCell ref="C3:D3"/>
    <mergeCell ref="F3:J3"/>
    <mergeCell ref="E5:H5"/>
    <mergeCell ref="I5:J6"/>
    <mergeCell ref="F4:I4"/>
    <mergeCell ref="B7:D7"/>
    <mergeCell ref="I7:J7"/>
    <mergeCell ref="I10:J10"/>
    <mergeCell ref="I8:J8"/>
    <mergeCell ref="I11:J11"/>
    <mergeCell ref="I9:J9"/>
    <mergeCell ref="B8:D8"/>
    <mergeCell ref="B9:D9"/>
    <mergeCell ref="B10:D10"/>
    <mergeCell ref="B11:D11"/>
    <mergeCell ref="I12:J12"/>
    <mergeCell ref="I38:J38"/>
    <mergeCell ref="I39:J39"/>
    <mergeCell ref="I30:J30"/>
    <mergeCell ref="I31:J31"/>
    <mergeCell ref="I37:J37"/>
    <mergeCell ref="I32:J32"/>
    <mergeCell ref="I33:J33"/>
    <mergeCell ref="I34:J34"/>
    <mergeCell ref="I35:J35"/>
    <mergeCell ref="I36:J36"/>
    <mergeCell ref="I29:J29"/>
    <mergeCell ref="I15:J15"/>
    <mergeCell ref="I16:J16"/>
    <mergeCell ref="I17:J17"/>
    <mergeCell ref="I18:J18"/>
    <mergeCell ref="B46:D47"/>
    <mergeCell ref="G46:J46"/>
    <mergeCell ref="G47:J47"/>
    <mergeCell ref="E45:J45"/>
    <mergeCell ref="I40:J40"/>
    <mergeCell ref="I41:J41"/>
    <mergeCell ref="I42:J42"/>
    <mergeCell ref="B43:D43"/>
    <mergeCell ref="B44:D44"/>
    <mergeCell ref="B45:D45"/>
    <mergeCell ref="B40:D40"/>
    <mergeCell ref="B41:D41"/>
    <mergeCell ref="B42:D42"/>
    <mergeCell ref="E46:F46"/>
    <mergeCell ref="E47:F47"/>
    <mergeCell ref="G43:J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5">
    <cfRule type="expression" dxfId="14" priority="57">
      <formula>$E45="راسب"</formula>
    </cfRule>
  </conditionalFormatting>
  <conditionalFormatting sqref="E45:J45">
    <cfRule type="expression" dxfId="13" priority="58">
      <formula>$E45="مقبول"</formula>
    </cfRule>
    <cfRule type="expression" dxfId="12" priority="59">
      <formula>$E45="جيد"</formula>
    </cfRule>
    <cfRule type="expression" dxfId="11" priority="60">
      <formula>$E45="جيد جداً"</formula>
    </cfRule>
    <cfRule type="expression" dxfId="10" priority="61">
      <formula>$E45="ممتاز"</formula>
    </cfRule>
  </conditionalFormatting>
  <conditionalFormatting sqref="F8:F4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6:J46">
    <cfRule type="containsText" dxfId="6" priority="15" operator="containsText" text="أدخل اسم المحكم">
      <formula>NOT(ISERROR(SEARCH("أدخل اسم المحكم",G46)))</formula>
    </cfRule>
  </conditionalFormatting>
  <conditionalFormatting sqref="H8:H4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F24:F42 F20:F22 F17:F18 F11:F15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G46:J46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2025-10-28T05:35:06Z</dcterms:modified>
</cp:coreProperties>
</file>