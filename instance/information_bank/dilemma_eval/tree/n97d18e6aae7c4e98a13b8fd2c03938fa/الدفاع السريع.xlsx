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7B395C7E-F702-C14E-A9D9-8514D14D056B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8" i="2"/>
  <c r="H8" i="2"/>
  <c r="F34" i="2"/>
  <c r="E34" i="2"/>
  <c r="E35" i="2"/>
  <c r="E36" i="2"/>
</calcChain>
</file>

<file path=xl/sharedStrings.xml><?xml version="1.0" encoding="utf-8"?>
<sst xmlns="http://schemas.openxmlformats.org/spreadsheetml/2006/main" count="263" uniqueCount="207">
  <si>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</si>
  <si>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</si>
  <si>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</si>
  <si>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</si>
  <si>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</si>
  <si>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</si>
  <si>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</si>
  <si>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</si>
  <si>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</si>
  <si>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</si>
  <si>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</si>
  <si>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</si>
  <si>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</si>
  <si>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</si>
  <si>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</si>
  <si>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</si>
  <si>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</si>
  <si>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</si>
  <si>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</si>
  <si>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</si>
  <si>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</si>
  <si>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</si>
  <si>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</si>
  <si>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</si>
  <si>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</si>
  <si>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</si>
  <si>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</si>
  <si>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</si>
  <si>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</si>
  <si>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</si>
  <si>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</si>
  <si>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</si>
  <si>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</si>
  <si>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</si>
  <si>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</si>
  <si>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</si>
  <si>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</si>
  <si>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</si>
  <si>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</si>
  <si>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</si>
  <si>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</si>
  <si>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</si>
  <si>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</si>
  <si>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</si>
  <si>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</si>
  <si>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</si>
  <si>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</si>
  <si>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</si>
  <si>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</si>
  <si>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</si>
  <si>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</si>
  <si>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</si>
  <si>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</si>
  <si>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</si>
  <si>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</si>
  <si>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</si>
  <si>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</si>
  <si>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</si>
  <si>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</si>
  <si>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</si>
  <si>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</si>
  <si>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</si>
  <si>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</si>
  <si>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</si>
  <si>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</si>
  <si>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</si>
  <si>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</si>
  <si>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</si>
  <si>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</si>
  <si>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</si>
  <si>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</si>
  <si>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</si>
  <si>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</si>
  <si>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</si>
  <si>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</si>
  <si>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</si>
  <si>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</si>
  <si>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</si>
  <si>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</si>
  <si>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</si>
  <si>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</si>
  <si>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</si>
  <si>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</si>
  <si>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</si>
  <si>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</si>
  <si>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</si>
  <si>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</si>
  <si>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</si>
  <si>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</si>
  <si>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</si>
  <si>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</si>
  <si>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</si>
  <si>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</si>
  <si>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</si>
  <si>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</si>
  <si>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</si>
  <si>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</si>
  <si>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</si>
  <si>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</si>
  <si>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</si>
  <si>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</si>
  <si>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</si>
  <si>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</si>
  <si>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</si>
  <si>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</si>
  <si>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</si>
  <si>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</si>
  <si>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</si>
  <si>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</si>
  <si>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</si>
  <si>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</si>
  <si>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</si>
  <si>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</si>
  <si>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</si>
  <si>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</si>
  <si>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</si>
  <si>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</si>
  <si>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</si>
  <si>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</si>
  <si>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</si>
  <si>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</si>
  <si>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</si>
  <si>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</si>
  <si>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</si>
  <si>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</si>
  <si>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</si>
  <si>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</si>
  <si>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</si>
  <si>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</si>
  <si>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</si>
  <si>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</si>
  <si>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</si>
  <si>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</si>
  <si>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</si>
  <si>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</si>
  <si>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</si>
  <si>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</si>
  <si>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</si>
  <si>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</si>
  <si>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</si>
  <si>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</si>
  <si>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</si>
  <si>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</si>
  <si>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</si>
  <si>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</si>
  <si>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</si>
  <si>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</si>
  <si>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</si>
  <si>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</si>
  <si>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</si>
  <si>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</si>
  <si>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</si>
  <si>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</si>
  <si>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</si>
  <si>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</si>
  <si>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</si>
  <si>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</si>
  <si>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</si>
  <si>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</si>
  <si>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</si>
  <si>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</si>
  <si>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</si>
  <si>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</si>
  <si>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</si>
  <si>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</si>
  <si>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</si>
  <si>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</si>
  <si>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</si>
  <si>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</si>
  <si>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</si>
  <si>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</si>
  <si>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</si>
  <si>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</si>
  <si>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</si>
  <si>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</si>
  <si>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</si>
  <si>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</si>
  <si>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</si>
  <si>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</si>
  <si>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</si>
  <si>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أصدرا أمراً مجزأً من المستوى الأعلى لتنفيذ الدفاع السريع وتعميمه على المستوى الأدنى.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</si>
  <si>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المهمة الرئيسة للوحدات المرؤوسة في كل المستويات.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</si>
  <si>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مواقع الدفاع السريع للوحدات المرؤوسة.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</si>
  <si>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اختيار طبيعة الأرض التي توفر التخفية والتستر وتسمح بتركيز نيران الأسلحة.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</si>
  <si>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إبلاغ المستوى الأعلى بإحداثيات مواقع الوحدة.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</si>
  <si>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إقامة الحماية المحلية والمراقبة على طول مقتربات العدو المحتملة وتعيين عناصر لتوفر الإنذار المبكر.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</si>
  <si>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نقاط مرجع الهدف من اجل تركيز النيران وتأمين إسناد متبادل.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</si>
  <si>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استطلاع منطقة الأهداف من قبل الدوريات وعناصر الكشف للتأكد من خلوها من العدو.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</si>
  <si>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توضيع معدات المراقبة في مواقع تساعد على تحديد نقاط مرجع الأهداف ليلاً أو أثناء الرؤية المحددة.</t>
    </r>
  </si>
  <si>
    <r>
      <t>10.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تجهيز مواقع ثانوية وبديلة للآليات والأفراد.</t>
    </r>
  </si>
  <si>
    <r>
      <t>11.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إعداد بطاقات المدى لأنظمة الرماية المباشرة.</t>
    </r>
  </si>
  <si>
    <r>
      <t>12.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أهداف المدفعية وطلب الإسناد المدفعي عند الحاجة.</t>
    </r>
  </si>
  <si>
    <r>
      <t>13.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تفقد قادة الوحدات لمواقع الآليات والأفراد (مواقع رئيسة، ثانوية، بديلة).</t>
    </r>
  </si>
  <si>
    <r>
      <t>14.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الحصول على التقارير والمعلومات المحدثَة التي تبين مواقع القوات الأمامية والجانبية (المجاورة) الصديقة وحسب الحاجة.</t>
    </r>
  </si>
  <si>
    <r>
      <t>15.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الحصول على معلومات محدثَة عن مواقع قوات العدو لمنع الإصابة بالنيران الصديقة وزيادة حماية القوة وحسب الحاجة. </t>
    </r>
  </si>
  <si>
    <r>
      <t>16.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توزيع المعلومات الضرورية لجميع الوحدات المرؤوسة لاطلاعهم على آخر مستجدات الموقف.</t>
    </r>
  </si>
  <si>
    <r>
      <t>17.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التخطيط للدفاع ضد الهجمات المعاكسة والتأكد من يقظة وجاهزية جميع الأفراد للتعامل معها.</t>
    </r>
  </si>
  <si>
    <r>
      <t>18.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فعالية الاتصالات بين القيادة ونقاط المراقبة.</t>
    </r>
  </si>
  <si>
    <r>
      <t>19.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إعادة تأسيس شبكات الاتصالات.</t>
    </r>
  </si>
  <si>
    <r>
      <t>20.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تأمين الإسناد المتبادل داخل الوحدة ومع الوحدات الجانبية.</t>
    </r>
  </si>
  <si>
    <r>
      <t>21.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تقارير المرؤوسين حول الذخيرة، الإصابات والمعدات.</t>
    </r>
  </si>
  <si>
    <r>
      <t>22.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تنسيق عملية إعادة التزويد وسد النقص من الذخيرة والأرزاق والوقود.</t>
    </r>
  </si>
  <si>
    <r>
      <t>23.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تقرير الموقف الإداري المفصل يشمل (الخسائر في الأفراد والمعدات والذخيرة والوقود).</t>
    </r>
  </si>
  <si>
    <r>
      <t>24.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الإصابات والتعامل مع الإصابات وإخلاء الجرحى والشهداء حسب الإجراءات المتبعة.</t>
    </r>
  </si>
  <si>
    <r>
      <t>25.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تعويض خسائر القوى البشرية بأسرع ما يمكن.</t>
    </r>
  </si>
  <si>
    <r>
      <t>26.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الصيانة واخلاء الآليات والمعدات المعطلة حسب الإجراءات المتبعة.</t>
    </r>
  </si>
  <si>
    <r>
      <rPr>
        <b/>
        <sz val="14"/>
        <color rgb="FF000000"/>
        <rFont val="Arial"/>
        <family val="2"/>
      </rPr>
      <t>تقييم الدفاع السريع (قيادة اللواء - الكتيبة - السرية)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</si>
</sst>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253905</xdr:colOff>
      <xdr:row>37</xdr:row>
      <xdr:rowOff>92708</xdr:rowOff>
    </xdr:from>
    <xdr:to>
      <xdr:col>8</xdr:col>
      <xdr:colOff>617844</xdr:colOff>
      <xdr:row>37</xdr:row>
      <xdr:rowOff>515348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CFFF948-CBC5-78A2-0B16-258FFCA9C4A8}"/>
                </a:ext>
              </a:extLst>
            </xdr14:cNvPr>
            <xdr14:cNvContentPartPr/>
          </xdr14:nvContentPartPr>
          <xdr14:nvPr macro=""/>
          <xdr14:xfrm>
            <a:off x="10398627065" y="17641800"/>
            <a:ext cx="1680120" cy="4226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CFFF948-CBC5-78A2-0B16-258FFCA9C4A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618425" y="17632800"/>
              <a:ext cx="1697760" cy="440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7T08:12:31.02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4667 451,'0'0,"0"0,0 0,0 0,0 0,0 0,0-16,0 14,-16 4,-16-18,26 13,-36-10,-71-19,94 27,-122-6,-67-5,175 13,-175 6,-97-3,259 0,-245 32,-93 0,328-27,-289 38,-40 5,330-41,-275 50,-39 8,312-55,-206 44,-58-6,275-41,-149 34,19-9,150-27,-60 6,5-11,70 0,-9 0,36 0,-14 0,124-48,34 0,-137 41,195-66,22 9,-206 55,237-63,82-8,-309 70,297-76,59 6,-345 69,259-42,39-11,-305 55,209-31,15 8,-234 28,133-24,-43 12,-111 14,62 4,-47-2,-27 0,-26 16,-91 32,99-42,-150 36,-78 39,211-71,-212 60,-47 42,250-97,-259 82,-55 16,304-98,-222 82,-18-1,247-82,-140 52,37-2,124-54,-54 28,27-21,42-15,28 12,74 2,-82-14,133-20,45 18,-164 0,168 0,13 0,-179 0,148 0,31 0,-179 0,100 0,-34 0,-82 0,36 0,-1 16,-42-14,-14 12,-9 2,13-14,-11 28,-34 2,42-28,12 8,-6-12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topLeftCell="C1" zoomScale="130" zoomScaleNormal="100" zoomScaleSheetLayoutView="130" workbookViewId="0">
      <selection activeCell="F2" sqref="F2:J2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62" t="s">
        <v>206</v>
      </c>
      <c r="C1" s="62"/>
      <c r="D1" s="62"/>
      <c r="E1" s="62"/>
      <c r="F1" s="62"/>
      <c r="G1" s="62"/>
      <c r="H1" s="62"/>
      <c r="I1" s="62"/>
      <c r="J1" s="62"/>
    </row>
    <row r="2" spans="1:10" ht="30" customHeight="1" x14ac:dyDescent="0.2">
      <c r="B2" s="12" t="s">
        <v>8</v>
      </c>
      <c r="C2" s="68" t="s">
        <v>42</v>
      </c>
      <c r="D2" s="68"/>
      <c r="E2" s="12" t="s">
        <v>7</v>
      </c>
      <c r="F2" s="63">
        <v>45955</v>
      </c>
      <c r="G2" s="63"/>
      <c r="H2" s="63"/>
      <c r="I2" s="63"/>
      <c r="J2" s="63"/>
    </row>
    <row r="3" spans="1:10" ht="30" customHeight="1" x14ac:dyDescent="0.2">
      <c r="B3" s="12" t="s">
        <v>9</v>
      </c>
      <c r="C3" s="68" t="s">
        <v>83</v>
      </c>
      <c r="D3" s="68"/>
      <c r="E3" s="12" t="s">
        <v>6</v>
      </c>
      <c r="F3" s="68" t="s">
        <v>130</v>
      </c>
      <c r="G3" s="68"/>
      <c r="H3" s="68"/>
      <c r="I3" s="68"/>
      <c r="J3" s="68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64" t="s">
        <v>0</v>
      </c>
      <c r="C5" s="65"/>
      <c r="D5" s="65"/>
      <c r="E5" s="54" t="s">
        <v>1</v>
      </c>
      <c r="F5" s="54"/>
      <c r="G5" s="54"/>
      <c r="H5" s="54"/>
      <c r="I5" s="54" t="s">
        <v>2</v>
      </c>
      <c r="J5" s="55"/>
    </row>
    <row r="6" spans="1:10" ht="24.95" customHeight="1" thickBot="1" x14ac:dyDescent="0.25">
      <c r="A6" s="10"/>
      <c r="B6" s="66"/>
      <c r="C6" s="67"/>
      <c r="D6" s="67"/>
      <c r="E6" s="11" t="s">
        <v>3</v>
      </c>
      <c r="F6" s="11" t="s">
        <v>4</v>
      </c>
      <c r="G6" s="11" t="s">
        <v>23</v>
      </c>
      <c r="H6" s="11" t="s">
        <v>24</v>
      </c>
      <c r="I6" s="56"/>
      <c r="J6" s="57"/>
    </row>
    <row r="7" spans="1:10" ht="24.95" customHeight="1" thickBot="1" x14ac:dyDescent="0.25">
      <c r="A7" s="10"/>
      <c r="B7" s="52" t="s">
        <v>21</v>
      </c>
      <c r="C7" s="53"/>
      <c r="D7" s="53"/>
      <c r="E7" s="26" t="s">
        <v>18</v>
      </c>
      <c r="F7" s="26" t="s">
        <v>19</v>
      </c>
      <c r="G7" s="26" t="s">
        <v>22</v>
      </c>
      <c r="H7" s="26" t="s">
        <v>20</v>
      </c>
      <c r="I7" s="58" t="s">
        <v>25</v>
      </c>
      <c r="J7" s="59"/>
    </row>
    <row r="8" spans="1:10" ht="39.950000000000003" customHeight="1" thickBot="1" x14ac:dyDescent="0.25">
      <c r="A8" s="10"/>
      <c r="B8" s="80" t="s">
        <v>180</v>
      </c>
      <c r="C8" s="81"/>
      <c r="D8" s="81"/>
      <c r="E8" s="30">
        <v>5</v>
      </c>
      <c r="F8" s="31">
        <v>4</v>
      </c>
      <c r="G8" s="32">
        <f>IFERROR(F8/E8,"")</f>
        <v>0.8</v>
      </c>
      <c r="H8" s="33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60"/>
      <c r="J8" s="61"/>
    </row>
    <row r="9" spans="1:10" ht="39.950000000000003" customHeight="1" thickBot="1" x14ac:dyDescent="0.25">
      <c r="A9" s="10"/>
      <c r="B9" s="78" t="s">
        <v>181</v>
      </c>
      <c r="C9" s="79"/>
      <c r="D9" s="79"/>
      <c r="E9" s="9">
        <v>5</v>
      </c>
      <c r="F9" s="34">
        <v>3.75</v>
      </c>
      <c r="G9" s="28">
        <f>IFERROR(F9/E9,"")</f>
        <v>0.75</v>
      </c>
      <c r="H9" s="29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4"/>
      <c r="J9" s="45"/>
    </row>
    <row r="10" spans="1:10" ht="39.950000000000003" customHeight="1" thickBot="1" x14ac:dyDescent="0.25">
      <c r="A10" s="10"/>
      <c r="B10" s="78" t="s">
        <v>182</v>
      </c>
      <c r="C10" s="79"/>
      <c r="D10" s="79"/>
      <c r="E10" s="9">
        <v>5</v>
      </c>
      <c r="F10" s="34">
        <v>4</v>
      </c>
      <c r="G10" s="28">
        <f t="shared" ref="G10:G33" si="0">IFERROR(F10/E10,"")</f>
        <v>0.8</v>
      </c>
      <c r="H10" s="29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4"/>
      <c r="J10" s="45"/>
    </row>
    <row r="11" spans="1:10" ht="39.950000000000003" customHeight="1" thickBot="1" x14ac:dyDescent="0.25">
      <c r="A11" s="10"/>
      <c r="B11" s="78" t="s">
        <v>183</v>
      </c>
      <c r="C11" s="79"/>
      <c r="D11" s="79"/>
      <c r="E11" s="9">
        <v>5</v>
      </c>
      <c r="F11" s="34">
        <v>4</v>
      </c>
      <c r="G11" s="28">
        <f t="shared" si="0"/>
        <v>0.8</v>
      </c>
      <c r="H11" s="29" t="str">
        <f t="shared" si="1"/>
        <v>جيد جداً</v>
      </c>
      <c r="I11" s="44"/>
      <c r="J11" s="45"/>
    </row>
    <row r="12" spans="1:10" ht="39.950000000000003" customHeight="1" thickBot="1" x14ac:dyDescent="0.25">
      <c r="A12" s="10"/>
      <c r="B12" s="78" t="s">
        <v>184</v>
      </c>
      <c r="C12" s="79"/>
      <c r="D12" s="79"/>
      <c r="E12" s="9">
        <v>5</v>
      </c>
      <c r="F12" s="34">
        <v>3.75</v>
      </c>
      <c r="G12" s="28">
        <f t="shared" si="0"/>
        <v>0.75</v>
      </c>
      <c r="H12" s="29" t="str">
        <f t="shared" si="1"/>
        <v>جيد</v>
      </c>
      <c r="I12" s="44"/>
      <c r="J12" s="45"/>
    </row>
    <row r="13" spans="1:10" ht="39.950000000000003" customHeight="1" thickBot="1" x14ac:dyDescent="0.25">
      <c r="A13" s="10"/>
      <c r="B13" s="78" t="s">
        <v>185</v>
      </c>
      <c r="C13" s="79"/>
      <c r="D13" s="79"/>
      <c r="E13" s="9">
        <v>5</v>
      </c>
      <c r="F13" s="34">
        <v>3.5</v>
      </c>
      <c r="G13" s="28">
        <f t="shared" si="0"/>
        <v>0.7</v>
      </c>
      <c r="H13" s="29" t="str">
        <f t="shared" si="1"/>
        <v>جيد</v>
      </c>
      <c r="I13" s="44"/>
      <c r="J13" s="45"/>
    </row>
    <row r="14" spans="1:10" ht="39.950000000000003" customHeight="1" thickBot="1" x14ac:dyDescent="0.25">
      <c r="A14" s="10"/>
      <c r="B14" s="78" t="s">
        <v>186</v>
      </c>
      <c r="C14" s="79"/>
      <c r="D14" s="79"/>
      <c r="E14" s="9">
        <v>5</v>
      </c>
      <c r="F14" s="34">
        <v>3.5</v>
      </c>
      <c r="G14" s="28">
        <f t="shared" si="0"/>
        <v>0.7</v>
      </c>
      <c r="H14" s="29" t="str">
        <f t="shared" si="1"/>
        <v>جيد</v>
      </c>
      <c r="I14" s="44"/>
      <c r="J14" s="45"/>
    </row>
    <row r="15" spans="1:10" ht="39.950000000000003" customHeight="1" thickBot="1" x14ac:dyDescent="0.25">
      <c r="A15" s="10"/>
      <c r="B15" s="78" t="s">
        <v>187</v>
      </c>
      <c r="C15" s="79"/>
      <c r="D15" s="79"/>
      <c r="E15" s="9">
        <v>5</v>
      </c>
      <c r="F15" s="34">
        <v>3.5</v>
      </c>
      <c r="G15" s="28">
        <f t="shared" si="0"/>
        <v>0.7</v>
      </c>
      <c r="H15" s="29" t="str">
        <f t="shared" si="1"/>
        <v>جيد</v>
      </c>
      <c r="I15" s="44"/>
      <c r="J15" s="45"/>
    </row>
    <row r="16" spans="1:10" ht="39.950000000000003" customHeight="1" thickBot="1" x14ac:dyDescent="0.25">
      <c r="A16" s="10"/>
      <c r="B16" s="78" t="s">
        <v>188</v>
      </c>
      <c r="C16" s="79"/>
      <c r="D16" s="79"/>
      <c r="E16" s="9">
        <v>5</v>
      </c>
      <c r="F16" s="34">
        <v>3.5</v>
      </c>
      <c r="G16" s="28">
        <f t="shared" si="0"/>
        <v>0.7</v>
      </c>
      <c r="H16" s="29" t="str">
        <f t="shared" si="1"/>
        <v>جيد</v>
      </c>
      <c r="I16" s="44"/>
      <c r="J16" s="45"/>
    </row>
    <row r="17" spans="1:10" ht="39.950000000000003" customHeight="1" thickBot="1" x14ac:dyDescent="0.25">
      <c r="A17" s="10"/>
      <c r="B17" s="78" t="s">
        <v>189</v>
      </c>
      <c r="C17" s="79"/>
      <c r="D17" s="79"/>
      <c r="E17" s="9">
        <v>5</v>
      </c>
      <c r="F17" s="34">
        <v>3.5</v>
      </c>
      <c r="G17" s="28">
        <f t="shared" si="0"/>
        <v>0.7</v>
      </c>
      <c r="H17" s="29" t="str">
        <f t="shared" si="1"/>
        <v>جيد</v>
      </c>
      <c r="I17" s="44"/>
      <c r="J17" s="45"/>
    </row>
    <row r="18" spans="1:10" ht="39.950000000000003" customHeight="1" thickBot="1" x14ac:dyDescent="0.25">
      <c r="A18" s="10"/>
      <c r="B18" s="78" t="s">
        <v>190</v>
      </c>
      <c r="C18" s="79"/>
      <c r="D18" s="79"/>
      <c r="E18" s="9">
        <v>5</v>
      </c>
      <c r="F18" s="34">
        <v>3.5</v>
      </c>
      <c r="G18" s="28">
        <f t="shared" si="0"/>
        <v>0.7</v>
      </c>
      <c r="H18" s="29" t="str">
        <f t="shared" si="1"/>
        <v>جيد</v>
      </c>
      <c r="I18" s="44"/>
      <c r="J18" s="45"/>
    </row>
    <row r="19" spans="1:10" ht="39.950000000000003" customHeight="1" thickBot="1" x14ac:dyDescent="0.25">
      <c r="A19" s="10"/>
      <c r="B19" s="78" t="s">
        <v>191</v>
      </c>
      <c r="C19" s="79"/>
      <c r="D19" s="79"/>
      <c r="E19" s="9">
        <v>5</v>
      </c>
      <c r="F19" s="34">
        <v>3.75</v>
      </c>
      <c r="G19" s="28">
        <f t="shared" si="0"/>
        <v>0.75</v>
      </c>
      <c r="H19" s="29" t="str">
        <f t="shared" si="1"/>
        <v>جيد</v>
      </c>
      <c r="I19" s="44"/>
      <c r="J19" s="45"/>
    </row>
    <row r="20" spans="1:10" ht="39.950000000000003" customHeight="1" thickBot="1" x14ac:dyDescent="0.25">
      <c r="A20" s="10"/>
      <c r="B20" s="78" t="s">
        <v>192</v>
      </c>
      <c r="C20" s="79"/>
      <c r="D20" s="79"/>
      <c r="E20" s="9">
        <v>5</v>
      </c>
      <c r="F20" s="34">
        <v>3.75</v>
      </c>
      <c r="G20" s="28">
        <f t="shared" si="0"/>
        <v>0.75</v>
      </c>
      <c r="H20" s="29" t="str">
        <f t="shared" si="1"/>
        <v>جيد</v>
      </c>
      <c r="I20" s="44"/>
      <c r="J20" s="45"/>
    </row>
    <row r="21" spans="1:10" ht="39.950000000000003" customHeight="1" thickBot="1" x14ac:dyDescent="0.25">
      <c r="A21" s="10"/>
      <c r="B21" s="76" t="s">
        <v>193</v>
      </c>
      <c r="C21" s="77"/>
      <c r="D21" s="77"/>
      <c r="E21" s="9">
        <v>5</v>
      </c>
      <c r="F21" s="34">
        <v>3.75</v>
      </c>
      <c r="G21" s="28">
        <f t="shared" si="0"/>
        <v>0.75</v>
      </c>
      <c r="H21" s="29" t="str">
        <f t="shared" si="1"/>
        <v>جيد</v>
      </c>
      <c r="I21" s="44"/>
      <c r="J21" s="45"/>
    </row>
    <row r="22" spans="1:10" ht="39.950000000000003" customHeight="1" thickBot="1" x14ac:dyDescent="0.25">
      <c r="A22" s="10"/>
      <c r="B22" s="76" t="s">
        <v>194</v>
      </c>
      <c r="C22" s="77"/>
      <c r="D22" s="77"/>
      <c r="E22" s="9">
        <v>5</v>
      </c>
      <c r="F22" s="34">
        <v>3.75</v>
      </c>
      <c r="G22" s="28">
        <f t="shared" si="0"/>
        <v>0.75</v>
      </c>
      <c r="H22" s="29" t="str">
        <f t="shared" si="1"/>
        <v>جيد</v>
      </c>
      <c r="I22" s="44"/>
      <c r="J22" s="45"/>
    </row>
    <row r="23" spans="1:10" ht="39.950000000000003" customHeight="1" thickBot="1" x14ac:dyDescent="0.25">
      <c r="A23" s="10"/>
      <c r="B23" s="76" t="s">
        <v>195</v>
      </c>
      <c r="C23" s="77"/>
      <c r="D23" s="77"/>
      <c r="E23" s="9">
        <v>5</v>
      </c>
      <c r="F23" s="34">
        <v>3.75</v>
      </c>
      <c r="G23" s="28">
        <f t="shared" si="0"/>
        <v>0.75</v>
      </c>
      <c r="H23" s="29" t="str">
        <f t="shared" si="1"/>
        <v>جيد</v>
      </c>
      <c r="I23" s="44"/>
      <c r="J23" s="45"/>
    </row>
    <row r="24" spans="1:10" ht="39.950000000000003" customHeight="1" thickBot="1" x14ac:dyDescent="0.25">
      <c r="A24" s="10"/>
      <c r="B24" s="76" t="s">
        <v>196</v>
      </c>
      <c r="C24" s="77"/>
      <c r="D24" s="77"/>
      <c r="E24" s="9">
        <v>5</v>
      </c>
      <c r="F24" s="34">
        <v>3.75</v>
      </c>
      <c r="G24" s="28">
        <f t="shared" si="0"/>
        <v>0.75</v>
      </c>
      <c r="H24" s="29" t="str">
        <f t="shared" si="1"/>
        <v>جيد</v>
      </c>
      <c r="I24" s="44"/>
      <c r="J24" s="45"/>
    </row>
    <row r="25" spans="1:10" ht="39.950000000000003" customHeight="1" thickBot="1" x14ac:dyDescent="0.25">
      <c r="A25" s="10"/>
      <c r="B25" s="76" t="s">
        <v>197</v>
      </c>
      <c r="C25" s="77"/>
      <c r="D25" s="77"/>
      <c r="E25" s="9">
        <v>5</v>
      </c>
      <c r="F25" s="34">
        <v>3.75</v>
      </c>
      <c r="G25" s="28">
        <f t="shared" si="0"/>
        <v>0.75</v>
      </c>
      <c r="H25" s="29" t="str">
        <f t="shared" si="1"/>
        <v>جيد</v>
      </c>
      <c r="I25" s="44"/>
      <c r="J25" s="45"/>
    </row>
    <row r="26" spans="1:10" ht="39.950000000000003" customHeight="1" thickBot="1" x14ac:dyDescent="0.25">
      <c r="A26" s="10"/>
      <c r="B26" s="76" t="s">
        <v>198</v>
      </c>
      <c r="C26" s="77"/>
      <c r="D26" s="77"/>
      <c r="E26" s="9">
        <v>5</v>
      </c>
      <c r="F26" s="34">
        <v>3.75</v>
      </c>
      <c r="G26" s="28">
        <f t="shared" si="0"/>
        <v>0.75</v>
      </c>
      <c r="H26" s="29" t="str">
        <f t="shared" si="1"/>
        <v>جيد</v>
      </c>
      <c r="I26" s="44"/>
      <c r="J26" s="45"/>
    </row>
    <row r="27" spans="1:10" ht="39.950000000000003" customHeight="1" thickBot="1" x14ac:dyDescent="0.25">
      <c r="A27" s="10"/>
      <c r="B27" s="76" t="s">
        <v>199</v>
      </c>
      <c r="C27" s="77"/>
      <c r="D27" s="77"/>
      <c r="E27" s="9">
        <v>5</v>
      </c>
      <c r="F27" s="34">
        <v>3.75</v>
      </c>
      <c r="G27" s="28">
        <f t="shared" si="0"/>
        <v>0.75</v>
      </c>
      <c r="H27" s="29" t="str">
        <f t="shared" si="1"/>
        <v>جيد</v>
      </c>
      <c r="I27" s="44"/>
      <c r="J27" s="45"/>
    </row>
    <row r="28" spans="1:10" ht="39.950000000000003" customHeight="1" thickBot="1" x14ac:dyDescent="0.25">
      <c r="A28" s="10"/>
      <c r="B28" s="76" t="s">
        <v>200</v>
      </c>
      <c r="C28" s="77"/>
      <c r="D28" s="77"/>
      <c r="E28" s="9">
        <v>5</v>
      </c>
      <c r="F28" s="34">
        <v>3.75</v>
      </c>
      <c r="G28" s="28">
        <f t="shared" si="0"/>
        <v>0.75</v>
      </c>
      <c r="H28" s="29" t="str">
        <f t="shared" si="1"/>
        <v>جيد</v>
      </c>
      <c r="I28" s="44"/>
      <c r="J28" s="45"/>
    </row>
    <row r="29" spans="1:10" ht="39.950000000000003" customHeight="1" thickBot="1" x14ac:dyDescent="0.25">
      <c r="A29" s="10"/>
      <c r="B29" s="76" t="s">
        <v>201</v>
      </c>
      <c r="C29" s="77"/>
      <c r="D29" s="77"/>
      <c r="E29" s="9">
        <v>5</v>
      </c>
      <c r="F29" s="34">
        <v>3.75</v>
      </c>
      <c r="G29" s="28">
        <f t="shared" si="0"/>
        <v>0.75</v>
      </c>
      <c r="H29" s="29" t="str">
        <f t="shared" si="1"/>
        <v>جيد</v>
      </c>
      <c r="I29" s="44"/>
      <c r="J29" s="45"/>
    </row>
    <row r="30" spans="1:10" ht="39.950000000000003" customHeight="1" thickBot="1" x14ac:dyDescent="0.25">
      <c r="A30" s="10"/>
      <c r="B30" s="76" t="s">
        <v>202</v>
      </c>
      <c r="C30" s="77"/>
      <c r="D30" s="77"/>
      <c r="E30" s="9">
        <v>5</v>
      </c>
      <c r="F30" s="34">
        <v>3.75</v>
      </c>
      <c r="G30" s="28">
        <f t="shared" si="0"/>
        <v>0.75</v>
      </c>
      <c r="H30" s="29" t="str">
        <f t="shared" si="1"/>
        <v>جيد</v>
      </c>
      <c r="I30" s="44"/>
      <c r="J30" s="45"/>
    </row>
    <row r="31" spans="1:10" ht="39.950000000000003" customHeight="1" thickBot="1" x14ac:dyDescent="0.25">
      <c r="A31" s="10"/>
      <c r="B31" s="76" t="s">
        <v>203</v>
      </c>
      <c r="C31" s="77"/>
      <c r="D31" s="77"/>
      <c r="E31" s="9">
        <v>5</v>
      </c>
      <c r="F31" s="34">
        <v>3.75</v>
      </c>
      <c r="G31" s="28">
        <f t="shared" si="0"/>
        <v>0.75</v>
      </c>
      <c r="H31" s="29" t="str">
        <f t="shared" si="1"/>
        <v>جيد</v>
      </c>
      <c r="I31" s="44"/>
      <c r="J31" s="45"/>
    </row>
    <row r="32" spans="1:10" ht="39.950000000000003" customHeight="1" thickBot="1" x14ac:dyDescent="0.25">
      <c r="A32" s="10"/>
      <c r="B32" s="76" t="s">
        <v>204</v>
      </c>
      <c r="C32" s="77"/>
      <c r="D32" s="77"/>
      <c r="E32" s="9">
        <v>5</v>
      </c>
      <c r="F32" s="34">
        <v>3.75</v>
      </c>
      <c r="G32" s="28">
        <f t="shared" si="0"/>
        <v>0.75</v>
      </c>
      <c r="H32" s="29" t="str">
        <f t="shared" si="1"/>
        <v>جيد</v>
      </c>
      <c r="I32" s="44"/>
      <c r="J32" s="45"/>
    </row>
    <row r="33" spans="1:10" ht="39.950000000000003" customHeight="1" thickBot="1" x14ac:dyDescent="0.25">
      <c r="A33" s="10"/>
      <c r="B33" s="82" t="s">
        <v>205</v>
      </c>
      <c r="C33" s="83"/>
      <c r="D33" s="83"/>
      <c r="E33" s="35">
        <v>5</v>
      </c>
      <c r="F33" s="34">
        <v>3.75</v>
      </c>
      <c r="G33" s="36">
        <f t="shared" si="0"/>
        <v>0.75</v>
      </c>
      <c r="H33" s="37" t="str">
        <f t="shared" si="1"/>
        <v>جيد</v>
      </c>
      <c r="I33" s="46"/>
      <c r="J33" s="47"/>
    </row>
    <row r="34" spans="1:10" ht="30" customHeight="1" thickBot="1" x14ac:dyDescent="0.25">
      <c r="A34" s="4"/>
      <c r="B34" s="48" t="s">
        <v>5</v>
      </c>
      <c r="C34" s="49"/>
      <c r="D34" s="49"/>
      <c r="E34" s="27">
        <f>SUM(E8:E33)</f>
        <v>130</v>
      </c>
      <c r="F34" s="27">
        <f>SUM(F8:F33)</f>
        <v>96.75</v>
      </c>
      <c r="G34" s="71"/>
      <c r="H34" s="72"/>
      <c r="I34" s="72"/>
      <c r="J34" s="73"/>
    </row>
    <row r="35" spans="1:10" ht="30" customHeight="1" thickBot="1" x14ac:dyDescent="0.25">
      <c r="A35" s="4"/>
      <c r="B35" s="50" t="s">
        <v>54</v>
      </c>
      <c r="C35" s="51"/>
      <c r="D35" s="51"/>
      <c r="E35" s="74">
        <f>F34/E34/100*100</f>
        <v>0.74423076923076925</v>
      </c>
      <c r="F35" s="74"/>
      <c r="G35" s="74"/>
      <c r="H35" s="74"/>
      <c r="I35" s="74"/>
      <c r="J35" s="75"/>
    </row>
    <row r="36" spans="1:10" ht="30" customHeight="1" thickBot="1" x14ac:dyDescent="0.25">
      <c r="A36" s="4"/>
      <c r="B36" s="50" t="s">
        <v>55</v>
      </c>
      <c r="C36" s="51"/>
      <c r="D36" s="51"/>
      <c r="E36" s="42" t="str">
        <f>_xlfn.IFS(E35&gt;=90%,"ممتاز",E35&gt;=80%,"جيد جداً",E35&gt;=70%,"جيد",E35&gt;=60%,"مقبول",E35&lt;60%,"راسب")</f>
        <v>جيد</v>
      </c>
      <c r="F36" s="42"/>
      <c r="G36" s="42"/>
      <c r="H36" s="42"/>
      <c r="I36" s="42"/>
      <c r="J36" s="43"/>
    </row>
    <row r="37" spans="1:10" ht="42" customHeight="1" x14ac:dyDescent="0.2">
      <c r="B37" s="38" t="s">
        <v>174</v>
      </c>
      <c r="C37" s="38"/>
      <c r="D37" s="38"/>
      <c r="E37" s="69" t="s">
        <v>52</v>
      </c>
      <c r="F37" s="69"/>
      <c r="G37" s="40" t="s">
        <v>130</v>
      </c>
      <c r="H37" s="40"/>
      <c r="I37" s="40"/>
      <c r="J37" s="40"/>
    </row>
    <row r="38" spans="1:10" ht="51" customHeight="1" x14ac:dyDescent="0.2">
      <c r="A38" s="5"/>
      <c r="B38" s="39"/>
      <c r="C38" s="39"/>
      <c r="D38" s="39"/>
      <c r="E38" s="70" t="s">
        <v>53</v>
      </c>
      <c r="F38" s="70"/>
      <c r="G38" s="41"/>
      <c r="H38" s="41"/>
      <c r="I38" s="41"/>
      <c r="J38" s="4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3">
    <mergeCell ref="B29:D29"/>
    <mergeCell ref="B30:D30"/>
    <mergeCell ref="B31:D31"/>
    <mergeCell ref="B32:D32"/>
    <mergeCell ref="B21:D21"/>
    <mergeCell ref="B22:D22"/>
    <mergeCell ref="B23:D23"/>
    <mergeCell ref="B24:D24"/>
    <mergeCell ref="B28:D28"/>
    <mergeCell ref="B25:D25"/>
    <mergeCell ref="B27:D27"/>
    <mergeCell ref="B26:D26"/>
    <mergeCell ref="B17:D1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8:D18"/>
    <mergeCell ref="B19:D19"/>
    <mergeCell ref="B20:D20"/>
    <mergeCell ref="I9:J9"/>
    <mergeCell ref="E37:F37"/>
    <mergeCell ref="E38:F38"/>
    <mergeCell ref="G34:J34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E35:J35"/>
    <mergeCell ref="I28:J28"/>
    <mergeCell ref="I29:J29"/>
    <mergeCell ref="B1:J1"/>
    <mergeCell ref="F2:J2"/>
    <mergeCell ref="B5:D6"/>
    <mergeCell ref="C2:D2"/>
    <mergeCell ref="C3:D3"/>
    <mergeCell ref="F3:J3"/>
    <mergeCell ref="B7:D7"/>
    <mergeCell ref="I30:J30"/>
    <mergeCell ref="I31:J31"/>
    <mergeCell ref="E5:H5"/>
    <mergeCell ref="I5:J6"/>
    <mergeCell ref="I7:J7"/>
    <mergeCell ref="I10:J10"/>
    <mergeCell ref="I8:J8"/>
    <mergeCell ref="I11:J11"/>
    <mergeCell ref="I12:J12"/>
    <mergeCell ref="I13:J13"/>
    <mergeCell ref="I14:J14"/>
    <mergeCell ref="I15:J15"/>
    <mergeCell ref="I16:J16"/>
    <mergeCell ref="I17:J17"/>
    <mergeCell ref="I18:J18"/>
    <mergeCell ref="B37:D38"/>
    <mergeCell ref="G37:J37"/>
    <mergeCell ref="G38:J38"/>
    <mergeCell ref="E36:J36"/>
    <mergeCell ref="I32:J32"/>
    <mergeCell ref="I33:J33"/>
    <mergeCell ref="B34:D34"/>
    <mergeCell ref="B35:D35"/>
    <mergeCell ref="B36:D36"/>
    <mergeCell ref="B33:D33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14" priority="57">
      <formula>$E36="راسب"</formula>
    </cfRule>
  </conditionalFormatting>
  <conditionalFormatting sqref="E36:J36">
    <cfRule type="expression" dxfId="13" priority="58">
      <formula>$E36="مقبول"</formula>
    </cfRule>
    <cfRule type="expression" dxfId="12" priority="59">
      <formula>$E36="جيد"</formula>
    </cfRule>
    <cfRule type="expression" dxfId="11" priority="60">
      <formula>$E36="جيد جداً"</formula>
    </cfRule>
    <cfRule type="expression" dxfId="10" priority="61">
      <formula>$E36="ممتاز"</formula>
    </cfRule>
  </conditionalFormatting>
  <conditionalFormatting sqref="F8:F3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6" priority="15" operator="containsText" text="أدخل اسم المحكم">
      <formula>NOT(ISERROR(SEARCH("أدخل اسم المحكم",G37)))</formula>
    </cfRule>
  </conditionalFormatting>
  <conditionalFormatting sqref="H8:H33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F8:F33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G37:J37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45931</v>
      </c>
    </row>
    <row r="40" spans="1:9" ht="20.100000000000001" customHeight="1" thickBot="1" x14ac:dyDescent="0.3">
      <c r="A40" s="13">
        <v>45932</v>
      </c>
    </row>
    <row r="41" spans="1:9" ht="20.100000000000001" customHeight="1" thickBot="1" x14ac:dyDescent="0.3">
      <c r="A41" s="13">
        <v>45933</v>
      </c>
    </row>
    <row r="42" spans="1:9" ht="20.100000000000001" customHeight="1" thickBot="1" x14ac:dyDescent="0.3">
      <c r="A42" s="13">
        <v>45934</v>
      </c>
    </row>
    <row r="43" spans="1:9" ht="20.100000000000001" customHeight="1" thickBot="1" x14ac:dyDescent="0.3">
      <c r="A43" s="13">
        <v>45935</v>
      </c>
    </row>
    <row r="44" spans="1:9" ht="20.100000000000001" customHeight="1" thickBot="1" x14ac:dyDescent="0.3">
      <c r="A44" s="13">
        <v>45936</v>
      </c>
    </row>
    <row r="45" spans="1:9" ht="20.100000000000001" customHeight="1" thickBot="1" x14ac:dyDescent="0.3">
      <c r="A45" s="13">
        <v>45937</v>
      </c>
    </row>
    <row r="46" spans="1:9" ht="20.100000000000001" customHeight="1" thickBot="1" x14ac:dyDescent="0.3">
      <c r="A46" s="13">
        <v>45938</v>
      </c>
    </row>
    <row r="47" spans="1:9" ht="20.100000000000001" customHeight="1" thickBot="1" x14ac:dyDescent="0.3">
      <c r="A47" s="13">
        <v>45939</v>
      </c>
    </row>
    <row r="48" spans="1:9" ht="20.100000000000001" customHeight="1" thickBot="1" x14ac:dyDescent="0.3">
      <c r="A48" s="13">
        <v>45940</v>
      </c>
    </row>
    <row r="49" spans="1:1" ht="20.100000000000001" customHeight="1" thickBot="1" x14ac:dyDescent="0.3">
      <c r="A49" s="13">
        <v>45941</v>
      </c>
    </row>
    <row r="50" spans="1:1" ht="20.100000000000001" customHeight="1" thickBot="1" x14ac:dyDescent="0.3">
      <c r="A50" s="13">
        <v>45942</v>
      </c>
    </row>
    <row r="51" spans="1:1" ht="20.100000000000001" customHeight="1" thickBot="1" x14ac:dyDescent="0.3">
      <c r="A51" s="13">
        <v>45943</v>
      </c>
    </row>
    <row r="52" spans="1:1" ht="20.100000000000001" customHeight="1" thickBot="1" x14ac:dyDescent="0.3">
      <c r="A52" s="13">
        <v>45944</v>
      </c>
    </row>
    <row r="53" spans="1:1" ht="20.100000000000001" customHeight="1" thickBot="1" x14ac:dyDescent="0.3">
      <c r="A53" s="13">
        <v>45945</v>
      </c>
    </row>
    <row r="54" spans="1:1" ht="20.100000000000001" customHeight="1" thickBot="1" x14ac:dyDescent="0.3">
      <c r="A54" s="13">
        <v>45946</v>
      </c>
    </row>
    <row r="55" spans="1:1" ht="20.100000000000001" customHeight="1" thickBot="1" x14ac:dyDescent="0.3">
      <c r="A55" s="13">
        <v>45947</v>
      </c>
    </row>
    <row r="56" spans="1:1" ht="20.100000000000001" customHeight="1" thickBot="1" x14ac:dyDescent="0.3">
      <c r="A56" s="13">
        <v>45948</v>
      </c>
    </row>
    <row r="57" spans="1:1" ht="20.100000000000001" customHeight="1" thickBot="1" x14ac:dyDescent="0.3">
      <c r="A57" s="13">
        <v>45949</v>
      </c>
    </row>
    <row r="58" spans="1:1" ht="20.100000000000001" customHeight="1" thickBot="1" x14ac:dyDescent="0.3">
      <c r="A58" s="13">
        <v>45950</v>
      </c>
    </row>
    <row r="59" spans="1:1" ht="20.100000000000001" customHeight="1" thickBot="1" x14ac:dyDescent="0.3">
      <c r="A59" s="13">
        <v>45951</v>
      </c>
    </row>
    <row r="60" spans="1:1" ht="20.100000000000001" customHeight="1" thickBot="1" x14ac:dyDescent="0.3">
      <c r="A60" s="13">
        <v>45952</v>
      </c>
    </row>
    <row r="61" spans="1:1" ht="20.100000000000001" customHeight="1" thickBot="1" x14ac:dyDescent="0.3">
      <c r="A61" s="13">
        <v>45953</v>
      </c>
    </row>
    <row r="62" spans="1:1" ht="20.100000000000001" customHeight="1" thickBot="1" x14ac:dyDescent="0.3">
      <c r="A62" s="13">
        <v>45954</v>
      </c>
    </row>
    <row r="63" spans="1:1" ht="20.100000000000001" customHeight="1" thickBot="1" x14ac:dyDescent="0.3">
      <c r="A63" s="13">
        <v>45955</v>
      </c>
    </row>
    <row r="64" spans="1:1" ht="20.100000000000001" customHeight="1" thickBot="1" x14ac:dyDescent="0.3">
      <c r="A64" s="13">
        <v>45956</v>
      </c>
    </row>
    <row r="65" spans="1:1" ht="20.100000000000001" customHeight="1" thickBot="1" x14ac:dyDescent="0.3">
      <c r="A65" s="13">
        <v>45957</v>
      </c>
    </row>
    <row r="66" spans="1:1" ht="20.100000000000001" customHeight="1" thickBot="1" x14ac:dyDescent="0.3">
      <c r="A66" s="13">
        <v>45958</v>
      </c>
    </row>
    <row r="67" spans="1:1" ht="20.100000000000001" customHeight="1" thickBot="1" x14ac:dyDescent="0.3">
      <c r="A67" s="13">
        <v>45959</v>
      </c>
    </row>
    <row r="68" spans="1:1" ht="20.100000000000001" customHeight="1" thickBot="1" x14ac:dyDescent="0.3">
      <c r="A68" s="13">
        <v>45960</v>
      </c>
    </row>
    <row r="69" spans="1:1" ht="20.100000000000001" customHeight="1" thickBot="1" x14ac:dyDescent="0.3">
      <c r="A69" s="13">
        <v>45961</v>
      </c>
    </row>
    <row r="70" spans="1:1" ht="20.100000000000001" customHeight="1" thickBot="1" x14ac:dyDescent="0.25">
      <c r="A70" s="13"/>
    </row>
    <row r="71" spans="1:1" ht="20.100000000000001" customHeight="1" thickBot="1" x14ac:dyDescent="0.25">
      <c r="A71" s="13"/>
    </row>
    <row r="72" spans="1:1" ht="20.100000000000001" customHeight="1" thickBot="1" x14ac:dyDescent="0.25">
      <c r="A72" s="13"/>
    </row>
    <row r="73" spans="1:1" ht="20.100000000000001" customHeight="1" thickBot="1" x14ac:dyDescent="0.25">
      <c r="A73" s="13"/>
    </row>
    <row r="74" spans="1:1" ht="20.100000000000001" customHeight="1" thickBot="1" x14ac:dyDescent="0.25">
      <c r="A74" s="13"/>
    </row>
    <row r="75" spans="1:1" ht="20.100000000000001" customHeight="1" thickBot="1" x14ac:dyDescent="0.25">
      <c r="A75" s="13"/>
    </row>
    <row r="76" spans="1:1" ht="20.100000000000001" customHeight="1" thickBot="1" x14ac:dyDescent="0.25">
      <c r="A76" s="13"/>
    </row>
    <row r="77" spans="1:1" ht="20.100000000000001" customHeight="1" thickBot="1" x14ac:dyDescent="0.25">
      <c r="A77" s="13"/>
    </row>
    <row r="78" spans="1:1" ht="20.100000000000001" customHeight="1" thickBot="1" x14ac:dyDescent="0.25">
      <c r="A78" s="13"/>
    </row>
    <row r="79" spans="1:1" ht="20.100000000000001" customHeight="1" thickBot="1" x14ac:dyDescent="0.25">
      <c r="A79" s="13"/>
    </row>
    <row r="80" spans="1:1" ht="20.100000000000001" customHeight="1" thickBot="1" x14ac:dyDescent="0.25">
      <c r="A80" s="13"/>
    </row>
    <row r="81" spans="1:1" ht="20.100000000000001" customHeight="1" thickBot="1" x14ac:dyDescent="0.25">
      <c r="A81" s="13"/>
    </row>
    <row r="82" spans="1:1" ht="20.100000000000001" customHeight="1" thickBot="1" x14ac:dyDescent="0.25">
      <c r="A82" s="13"/>
    </row>
    <row r="83" spans="1:1" ht="20.100000000000001" customHeight="1" thickBot="1" x14ac:dyDescent="0.25">
      <c r="A83" s="13"/>
    </row>
    <row r="84" spans="1:1" ht="20.100000000000001" customHeight="1" thickBot="1" x14ac:dyDescent="0.25">
      <c r="A84" s="13"/>
    </row>
    <row r="85" spans="1:1" ht="20.100000000000001" customHeight="1" thickBot="1" x14ac:dyDescent="0.25">
      <c r="A85" s="13"/>
    </row>
    <row r="86" spans="1:1" ht="20.100000000000001" customHeight="1" thickBot="1" x14ac:dyDescent="0.25">
      <c r="A86" s="13"/>
    </row>
    <row r="87" spans="1:1" ht="20.100000000000001" customHeight="1" thickBot="1" x14ac:dyDescent="0.25">
      <c r="A87" s="13"/>
    </row>
    <row r="88" spans="1:1" ht="20.100000000000001" customHeight="1" thickBot="1" x14ac:dyDescent="0.25">
      <c r="A88" s="13"/>
    </row>
    <row r="89" spans="1:1" ht="20.100000000000001" customHeight="1" thickBot="1" x14ac:dyDescent="0.25">
      <c r="A89" s="13"/>
    </row>
    <row r="90" spans="1:1" ht="20.100000000000001" customHeight="1" thickBot="1" x14ac:dyDescent="0.25">
      <c r="A90" s="13"/>
    </row>
    <row r="91" spans="1:1" ht="20.100000000000001" customHeight="1" thickBot="1" x14ac:dyDescent="0.25">
      <c r="A91" s="13"/>
    </row>
    <row r="92" spans="1:1" ht="20.100000000000001" customHeight="1" thickBot="1" x14ac:dyDescent="0.25">
      <c r="A92" s="13"/>
    </row>
    <row r="93" spans="1:1" ht="20.100000000000001" customHeight="1" thickBot="1" x14ac:dyDescent="0.25">
      <c r="A93" s="13"/>
    </row>
    <row r="94" spans="1:1" ht="20.100000000000001" customHeight="1" thickBot="1" x14ac:dyDescent="0.25">
      <c r="A94" s="13"/>
    </row>
    <row r="95" spans="1:1" ht="20.100000000000001" customHeight="1" thickBot="1" x14ac:dyDescent="0.25">
      <c r="A95" s="13"/>
    </row>
    <row r="96" spans="1:1" ht="20.100000000000001" customHeight="1" thickBot="1" x14ac:dyDescent="0.25">
      <c r="A96" s="13"/>
    </row>
    <row r="97" spans="1:9" ht="20.100000000000001" customHeight="1" thickBot="1" x14ac:dyDescent="0.25">
      <c r="A97" s="13"/>
    </row>
    <row r="98" spans="1:9" ht="20.100000000000001" customHeight="1" thickBot="1" x14ac:dyDescent="0.25">
      <c r="A98" s="13"/>
    </row>
    <row r="99" spans="1:9" ht="20.100000000000001" customHeight="1" thickBot="1" x14ac:dyDescent="0.25">
      <c r="A99" s="13"/>
    </row>
    <row r="100" spans="1:9" ht="20.100000000000001" customHeight="1" thickBot="1" x14ac:dyDescent="0.25">
      <c r="A100" s="13"/>
    </row>
    <row r="101" spans="1:9" ht="20.100000000000001" customHeight="1" thickBot="1" x14ac:dyDescent="0.25">
      <c r="A101" s="13"/>
    </row>
    <row r="102" spans="1:9" ht="20.100000000000001" customHeight="1" thickBot="1" x14ac:dyDescent="0.25">
      <c r="A102" s="13"/>
    </row>
    <row r="103" spans="1:9" ht="20.100000000000001" customHeight="1" thickBot="1" x14ac:dyDescent="0.25">
      <c r="A103" s="13"/>
    </row>
    <row r="104" spans="1:9" ht="20.100000000000001" customHeight="1" thickBot="1" x14ac:dyDescent="0.25">
      <c r="A104" s="13"/>
    </row>
    <row r="105" spans="1:9" ht="20.100000000000001" customHeight="1" thickBot="1" x14ac:dyDescent="0.25">
      <c r="A105" s="13"/>
    </row>
    <row r="106" spans="1:9" ht="20.100000000000001" customHeight="1" thickBot="1" x14ac:dyDescent="0.25">
      <c r="A106" s="13"/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2025-10-22T06:06:29Z</dcterms:modified>
</cp:coreProperties>
</file>