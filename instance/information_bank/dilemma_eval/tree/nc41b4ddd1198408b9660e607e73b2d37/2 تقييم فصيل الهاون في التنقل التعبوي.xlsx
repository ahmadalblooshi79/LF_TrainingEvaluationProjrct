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F22E76A-C2A0-4A16-A9F6-025ED11821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5" i="2"/>
  <c r="H45" i="2"/>
  <c r="F46" i="2"/>
  <c r="E46" i="2"/>
  <c r="E47" i="2"/>
  <c r="E48" i="2"/>
</calcChain>
</file>

<file path=xl/sharedStrings.xml><?xml version="1.0" encoding="utf-8"?>
<sst xmlns="http://schemas.openxmlformats.org/spreadsheetml/2006/main" count="275" uniqueCount="220">
  <si>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</si>
  <si>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</si>
  <si>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</si>
  <si>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</si>
  <si>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</si>
  <si>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</si>
  <si>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</si>
  <si>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</si>
  <si>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</si>
  <si>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</si>
  <si>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</si>
  <si>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</si>
  <si>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</si>
  <si>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</si>
  <si>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</si>
  <si>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</si>
  <si>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</si>
  <si>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</si>
  <si>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</si>
  <si>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</si>
  <si>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</si>
  <si>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</si>
  <si>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</si>
  <si>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</si>
  <si>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</si>
  <si>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</si>
  <si>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</si>
  <si>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</si>
  <si>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</si>
  <si>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</si>
  <si>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</si>
  <si>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</si>
  <si>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</si>
  <si>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</si>
  <si>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</si>
  <si>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</si>
  <si>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</si>
  <si>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</si>
  <si>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</si>
  <si>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</si>
  <si>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</si>
  <si>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</si>
  <si>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</si>
  <si>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</si>
  <si>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</si>
  <si>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</si>
  <si>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</si>
  <si>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</si>
  <si>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</si>
  <si>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</si>
  <si>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</si>
  <si>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</si>
  <si>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</si>
  <si>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</si>
  <si>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</si>
  <si>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</si>
  <si>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</si>
  <si>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</si>
  <si>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</si>
  <si>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</si>
  <si>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</si>
  <si>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</si>
  <si>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</si>
  <si>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</si>
  <si>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</si>
  <si>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</si>
  <si>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</si>
  <si>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</si>
  <si>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</si>
  <si>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</si>
  <si>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</si>
  <si>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</si>
  <si>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</si>
  <si>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</si>
  <si>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</si>
  <si>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</si>
  <si>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</si>
  <si>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</si>
  <si>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</si>
  <si>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</si>
  <si>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</si>
  <si>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</si>
  <si>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</si>
  <si>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</si>
  <si>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</si>
  <si>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</si>
  <si>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</si>
  <si>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</si>
  <si>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</si>
  <si>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</si>
  <si>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</si>
  <si>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</si>
  <si>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</si>
  <si>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</si>
  <si>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</si>
  <si>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</si>
  <si>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</si>
  <si>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</si>
  <si>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</si>
  <si>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</si>
  <si>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</si>
  <si>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</si>
  <si>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</si>
  <si>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</si>
  <si>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</si>
  <si>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</si>
  <si>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</si>
  <si>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</si>
  <si>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</si>
  <si>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</si>
  <si>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</si>
  <si>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</si>
  <si>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</si>
  <si>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</si>
  <si>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</si>
  <si>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</si>
  <si>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</si>
  <si>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</si>
  <si>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</si>
  <si>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</si>
  <si>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</si>
  <si>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</si>
  <si>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</si>
  <si>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</si>
  <si>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</si>
  <si>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</si>
  <si>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</si>
  <si>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</si>
  <si>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</si>
  <si>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</si>
  <si>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</si>
  <si>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</si>
  <si>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</si>
  <si>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</si>
  <si>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</si>
  <si>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</si>
  <si>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</si>
  <si>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</si>
  <si>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</si>
  <si>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</si>
  <si>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</si>
  <si>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</si>
  <si>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</si>
  <si>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</si>
  <si>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</si>
  <si>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</si>
  <si>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</si>
  <si>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</si>
  <si>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</si>
  <si>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</si>
  <si>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</si>
  <si>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</si>
  <si>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</si>
  <si>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</si>
  <si>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</si>
  <si>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</si>
  <si>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</si>
  <si>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</si>
  <si>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</si>
  <si>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</si>
  <si>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</si>
  <si>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</si>
  <si>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</si>
  <si>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</si>
  <si>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</si>
  <si>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</si>
  <si>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</si>
  <si>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</si>
  <si>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</si>
  <si>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</si>
  <si>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</si>
  <si>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</si>
  <si>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</si>
  <si>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</si>
  <si>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</si>
  <si>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</si>
  <si>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</si>
  <si>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</si>
  <si>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</si>
  <si>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</si>
  <si>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التحضير.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</si>
  <si>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الكشف من الخارطة وانتخاب الموقع بشكل عام والطُرق الرئيسية والبديلة من الموقع الحالي الى الموقع الجديد.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</si>
  <si>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الكشف التفصيلي للموقع على الارض.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</si>
  <si>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يقوم قائد القسم بالكشف والاستطلاع من الجو إذا سمح الوقت وتوفرت مصادر الاستطلاع الجوي.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</si>
  <si>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يقوم القائد بإعطاء ايجاز حول الموقع الجديد لجميع العناصر الرئيسيين في القسم بحيث يتضمن المعلومات الرئيسية التالية:</t>
    </r>
  </si>
  <si>
    <t>أ. احداثيات الموقع الجديد.</t>
  </si>
  <si>
    <t xml:space="preserve">ب. وقت الحركة الى الموقع الجديد. </t>
  </si>
  <si>
    <t>جـ. اسلوب الحركة.</t>
  </si>
  <si>
    <t>د. طريق الحركة.</t>
  </si>
  <si>
    <t>هـ. المهمة.</t>
  </si>
  <si>
    <t>و. موقف القوات الصديقة وموقف العدو.</t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</si>
  <si>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تنظيم وتجهيز جماعة المقدمة وحسب الاوامر التعبوية المستديمة للوحدة.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</si>
  <si>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الموقع بشكل جيد لتسهيل عملية الاحتلال وكما يلي:</t>
    </r>
  </si>
  <si>
    <t>جـ. تحضير نقاط دخول وخروج من والى الموقع.</t>
  </si>
  <si>
    <t>د. التأكد من توفر الهوائيات الطويلة على الآليات لتوفير الاتصال لمسافة بعيدة.</t>
  </si>
  <si>
    <t>هـ. تحديد المقتربات التي يمكن الحركة من خلالها بسرعة عالية.</t>
  </si>
  <si>
    <r>
      <t xml:space="preserve">مرحلة التخطيط. </t>
    </r>
    <r>
      <rPr>
        <sz val="12"/>
        <color rgb="FF000000"/>
        <rFont val="Arial"/>
        <family val="2"/>
      </rPr>
      <t>الاستعداد للحركة الى الموقع الجديد وتنفيذ الأعمال التالية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</si>
  <si>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تفهم الجميع لتعليمات الحركة والتي تتضمن:</t>
    </r>
  </si>
  <si>
    <t>أ. نقطة البدء.</t>
  </si>
  <si>
    <t>ب. نقطة الانتشار.</t>
  </si>
  <si>
    <t>د. نقاط السيطرة.</t>
  </si>
  <si>
    <t>هـ. أسلوب وطريق الحركة.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</si>
  <si>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قيام الوحدة بالتفتيش العملياتي وضمان أن جميع الآليات في العمل قبل بدء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</si>
  <si>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اعطاء ايجاز للسائقين حول تعليمات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</si>
  <si>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خطة تحميل المهمات والمعدات وأنها مؤمنة ومحمية حسب خطة التحميل.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</si>
  <si>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تركيب اجهزة الاتصال وأن جميع معدات الاتصال جاهزة للعمل.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</si>
  <si>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توزيع الأفراد على الآليات وقيامهم بإجراء أي تعديلات لازمة على تحميل المهمات والمعدات.</t>
    </r>
  </si>
  <si>
    <t>مرحلة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</si>
  <si>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استخدام أحد اساليب التحرك التعبوي على الطرق (الرتل المفتوح - الرتل المُغلق - الحركة حسب طبيعة الأرض – التسلل - تشكيلة حركة خاصة) وحسب توجيهات القائد.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</si>
  <si>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التأكد من محافظة السائقين على الفاصل بين الآليات بمسافة (100) متر إذا كانت التشكيلة " رتل مفتوح" ومسافة تقل عن (100) متر لتشكيلة "الرتل المغلق". 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</si>
  <si>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المحافظة على الضبط والربط المتمثل بالالتزام بتعليمات المسير وكذلك تأمين الحماية اثناء الحركة. 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</si>
  <si>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الابلاغ عند اجتياز نقطة البدء ونقاط السيطرة ونقطة الانتشار وبتوقيتات محددة إلا إذا تم فرض "الصمت اللاسلكي".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</si>
  <si>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حركة السائقين على الطرق المحددة مع استغلال طبيعة الارض والاستفادة من الاشجار والمقاطع الصخرية والتلال المتوفرة في منطقة التحرك التعبوي.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</si>
  <si>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السيطرة على حركة الآليات بشكل فردي عند استخدام اسلوب "التسلل".</t>
    </r>
  </si>
  <si>
    <t>أ. اعداد وتحضير خطة حركة الأليات.</t>
  </si>
  <si>
    <t>ب. اعطاء ايجاز لأُدلاء الآليات (إيجاز الدليل).</t>
  </si>
  <si>
    <r>
      <rPr>
        <b/>
        <sz val="14"/>
        <color rgb="FF000000"/>
        <rFont val="Arial"/>
        <family val="2"/>
      </rPr>
      <t>تقييم فصيل الهاون في التنقل التعبوي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</si>
  <si>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تفقد الاضواء ومعدات الرؤية الليلية (ان لزم الأمر).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</si>
  <si>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مراقبة الضبط والربط العسكري المتعلق بمدى الالتزام بتعليمات الاضاءة والصوت أثناء الحركة ليلاً (ان لزم الأمر).</t>
    </r>
  </si>
  <si>
    <t>ملازم/1 خليفة سعيد المسافري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</si>
</sst>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5" borderId="5" xfId="0" applyFont="1" applyFill="1" applyBorder="1" applyAlignment="1">
      <alignment vertical="center" wrapText="1" readingOrder="2"/>
    </xf>
    <xf numFmtId="0" fontId="1" fillId="5" borderId="4" xfId="0" applyFont="1" applyFill="1" applyBorder="1" applyAlignment="1">
      <alignment vertical="center" wrapText="1" readingOrder="2"/>
    </xf>
    <xf numFmtId="0" fontId="1" fillId="5" borderId="6" xfId="0" applyFont="1" applyFill="1" applyBorder="1" applyAlignment="1">
      <alignment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5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164123</xdr:colOff>
      <xdr:row>49</xdr:row>
      <xdr:rowOff>41031</xdr:rowOff>
    </xdr:from>
    <xdr:to>
      <xdr:col>8</xdr:col>
      <xdr:colOff>465708</xdr:colOff>
      <xdr:row>49</xdr:row>
      <xdr:rowOff>586220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E7E4F8B-DAC7-41BE-A1CF-664A4E4F4C4B}"/>
                </a:ext>
              </a:extLst>
            </xdr14:cNvPr>
            <xdr14:cNvContentPartPr/>
          </xdr14:nvContentPartPr>
          <xdr14:nvPr macro=""/>
          <xdr14:xfrm>
            <a:off x="10078801369" y="23985416"/>
            <a:ext cx="940492" cy="545189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0DE2167-6573-648C-7F56-2576D6E0B53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69576" y="7802280"/>
              <a:ext cx="1777680" cy="1002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20:58:59.5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1548 1410 40,'0'0'0,"-15"2"56,2 5 0,-4-1 24,17-6-80,-14 7 96,3-5 0,2 7-8,1-5 64,8-4-152,-7 9 152,6-2-96,0 0 72,1 0 0,0-7-128,1 2 256,2 5 1256,-1-5 593,0-2 647,-2 0-2752,1 0 3049,-1-8-2561,0 2-304,0 0-248,0 6 64,1-3-240,1-4-8,0 6-24,-1-2 64,-1 3 208,2-6-136,-1 5 136,-1-1 56,0 0 8,0 2-64,0-2 160,0 0-120,-1 1 72,-1-1-48,2 2-64,-3-2 24,1 0 64,0-1-48,0-4 16,2 7-56,-2-1 112,-5-2-64,6 1 40,-7-6 0,8 8-88,-1-1 8,-10-5 8,3 4-104,-3 0-72,11 2 160,-12-2-264,-2-1-64,-1 1 8,0-5 16,15 7 304,-18 0-200,0-2 24,-1-1 64,1-3 104,18 6 8,-16-1 40,0-6 72,2 5 8,0-6 8,14 8-128,-12-2 128,-1-7 72,3 3 56,1 4 24,9 2-280,-7-10 344,4 3-48,-4 1-64,7-1-120,0 7-112,-1-2-8,1-7-48,0 7-80,0-7-32,0 9 168,1-3-312,2-5-56,-1 5-64,3-5 0,-5 8 432,3-2-312,-1-4 71,1 6 113,2-2 64,-5 2 64,0-2 16,0 2 32,0 0 32,0 0 48,0 0-128,0 0 129,-1 0-1,-3 0-32,3 0-56,1 0-40,-7 0-112,4 0-129,-4 0-127,-1 2-72,8-2 440,-8 0-416,-1 1 88,-1 1 104,-2 1 48,12-3 176,-11 7-136,-3-3-24,0 3 8,-3 1 40,17-8 112,-15 7-104,-3 2 8,1 1-8,-1-1-56,18-9 160,-18 9-144,0 0 24,0 1 24,2-2 56,16-8 40,-16 8-24,2-1-8,0-4 0,4 5 24,10-8 8,-11 2-16,1 1 16,5-1 24,2-1 24,3-1-48,-6 1 80,6 0 80,-2-1 104,1 0 152,1 0-416,0 0 544,0 0 48,0 0-8,0 0-176,0 0-2536,0-2 4552,0 2-2295,0-1-81,0 1-24,0 0-24,0 0-32,-1 0 0,1 0-49,0 0-23,0 0 104,0 0-120,0 0-88,-3 0-56,3 0-40,0 0 304,-2 0-328,2 0 32,-3 0 48,2 0 24,1 0 224,-6 0-192,4 0 16,-4 0 16,4 2 24,2-2 136,-7 2-136,4 0 24,-3 0 16,3 1 16,3-3 80,-9 2-56,8 0 24,0-1 16,-2 0 8,3-1 8,-2 1 24,2 0-16,0-1-48,0 0-64,0 0 104,0 0-248,2 0-96,3 0-112,-1 0-105,-4 0 561,9 0-520,1 0 120,2-1 160,6-6 144,-18 7 96,22-6 16,4-4-16,6-3 16,4-4 32,-36 17-48,43-18 64,5-3-8,6-2 0,3 0-72,-57 23 16,61-26-8,2-1-24,1 0 16,3-3 40,-67 30-24,68-28 8,1-1 16,1 0 24,-1 0-40,-69 29-8,67-28-8,-2 1 0,-2 2-16,-5 2 24,-58 23 0,54-22 40,-4 2 0,-5 1-8,-5 2-24,-40 17-8,34-14-16,-9 3 16,-10 4 16,-7 5 48,-8 2-64,0-1 64,-10 1-64,-8 1-32,-11 8-40,29-9 72,-40 10-88,-12 5 88,-5 5-32,-12 0 8,69-20 24,-74 23 32,-8 4-48,-4 2 0,-6 1 0,92-30 16,-92 33-80,-2 1 56,2 2 8,1 0 40,91-36-24,-87 36 40,1 0-72,4-3 8,9-1-24,73-32 48,-67 29-24,9-3 32,9-4 0,6-5 0,43-17-8,-34 13 0,10-3 24,10-7 0,6-1-16,8-2-8,0 2-32,0-2-80,6 0-40,7-6-32,-13 6 184,16-8-144,9-3 56,7-3 40,5-3 40,-37 17 8,43-20-8,4-1 0,6-2-8,0 1 80,-53 22-64,58-23 40,1-1-8,3 0 16,-2-1-72,-60 25 24,58-24-24,1 1 24,-5 1-8,-3 2 16,-51 20-8,50-19 40,-3 1-8,-8 2 0,-3 2 0,-36 14-32,28-10 0,-6 1 8,-9 7-8,-4-6 0,-9 8 0,2 0 16,-1-1-8,-1-1 0,-3 1 0,3 1-8,-13-2 8,1 1 0,-7 1-8,-4 0-8,23 0 8,-29 3-8,-3 5-24,-7 0 0,0 2 8,39-10 24,-44 11-56,-5 2 40,0 4 0,-8 1-8,57-18 24,-57 19-24,-6 3 24,-2 2-32,-2 1-16,67-25 48,-67 26-24,1 0-24,0 1 64,1 0-16,65-27 0,-64 26 16,2 2-16,3-2-24,3-1 0,56-25 24,-53 24-32,6-3 16,4-1 32,6-2-24,37-18 8,-33 16 8,4-1-32,7-3 16,6-3-8,16-9 16,-9 3-8,8 0-16,1-1 0,2-1 16,-2-1 8,11 0-32,5 1 40,6-1 0,6-6 0,-28 6-8,36-10 16,4-3 0,9-4 0,4-3 8,-53 20-24,63-23 40,3-3-8,5-4-16,3-4-8,-74 34-8,77-37 8,3-4-40,0-2 72,3-2-8,-83 45-32,86-49 48,-1-2 24,1-1-48,-5 0 48,-81 52-72,78-54 32,-2 0-16,-5-2-24,-4 0 0,-67 56 8,60-57-48,-7 3 32,-8 0 0,-8 3 8,-37 51 8,28-49 24,-7 2 0,-9-2-8,-9 4-48,-3 45 32,0-46 8,-10 2 8,-8 2-48,-7 4 32,25 38 0,-30-37 0,-8 5-40,-5 4 88,-10 3 32,53 25-80,-58-20 16,-9 4-16,-7 7-16,-3 7-48,77 2 64,-84 0-32,-4 9 24,-1 6-16,-5 7-64,94-22 88,-94 28-72,-2 7 16,1 6 24,2 3 40,93-44-8,-92 50-8,5 4 16,3 2-24,7 2-24,77-58 40,-70 60-16,8 0-56,7 2 40,7 0 16,48-62 16,-41 63-24,9 0 40,21-33 0,-2 7-8,13-37-8,-15 69-8,15-3 0,6-4-64,14-9 40,-20-53 32,27 45 0,7-2 16,7-4 32,7-3-32,-48-36-16,57 33 8,6-3-24,7-4 24,6-5 16,-76-21-24,80 19 16,7-6 8,3-3-16,1-2-24,-91-8 16,96 3 40,-3 0-8,1-2 0,-3-1 8,-91 0-40,89 0-16,-5-6-8,-2 4 48,-4-9-24,-78 11 0,71-8 24,-5-2-8,-4-2-32,-6-3 0,-56 15 16,52-19-40,-6-1 40,-2-3-24,-5 0 16,-39 23 8,37-23-32,-8-1 24,-2 2 16,-6 2 16,-21 20-24,15-19 40,-7 3-24,-6 3 32,0 5 8,-2 8-56,-3-7 112,-6 5-48,2 0-16,-5 0-32,12 2-16,-13 0-48,0 2 0,-1 6 0,0 3 16,14-11 32,-16 11-24,4 4 64,-1 1-40,4 1-24,9-17 24,-7 18 0,6-1-48,1-2 24,1-1 16,-1-14 8,8 13-40,1 2 0,5-3 0,3 1 24,-17-13 16,23 11-24,0 0 16,7-1 24,-4 0-16,-26-10 0,30 8 24,1 0-8,0-2-8,1 1-8,-32-7 0,31 6 0,3 0-8,4 0-8,0 1 8,-38-7 8,42 6-24,3-3-8,-1 5 32,0-8-40,-44 0 40,38 0-160,-8-9-96,-12-9-80,-15-15 24,-3 33 312,-3-45-480,-20-15 88,23 60 392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0"/>
  <sheetViews>
    <sheetView rightToLeft="1" tabSelected="1" view="pageBreakPreview" topLeftCell="A45" zoomScale="130" zoomScaleNormal="100" zoomScaleSheetLayoutView="130" workbookViewId="0">
      <selection activeCell="B48" sqref="B48:D4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3" t="s">
        <v>216</v>
      </c>
      <c r="C1" s="53"/>
      <c r="D1" s="53"/>
      <c r="E1" s="53"/>
      <c r="F1" s="53"/>
      <c r="G1" s="53"/>
      <c r="H1" s="53"/>
      <c r="I1" s="53"/>
      <c r="J1" s="53"/>
    </row>
    <row r="2" spans="1:10" ht="30" customHeight="1" x14ac:dyDescent="0.3">
      <c r="B2" s="12" t="s">
        <v>8</v>
      </c>
      <c r="C2" s="59" t="s">
        <v>11</v>
      </c>
      <c r="D2" s="59"/>
      <c r="E2" s="12" t="s">
        <v>7</v>
      </c>
      <c r="F2" s="54">
        <v>45937</v>
      </c>
      <c r="G2" s="54"/>
      <c r="H2" s="54"/>
      <c r="I2" s="54"/>
      <c r="J2" s="54"/>
    </row>
    <row r="3" spans="1:10" ht="30" customHeight="1" x14ac:dyDescent="0.3">
      <c r="B3" s="12" t="s">
        <v>9</v>
      </c>
      <c r="C3" s="59"/>
      <c r="D3" s="59"/>
      <c r="E3" s="12" t="s">
        <v>6</v>
      </c>
      <c r="F3" s="59" t="s">
        <v>134</v>
      </c>
      <c r="G3" s="59"/>
      <c r="H3" s="59"/>
      <c r="I3" s="59"/>
      <c r="J3" s="59"/>
    </row>
    <row r="4" spans="1:10" ht="30" customHeight="1" thickBot="1" x14ac:dyDescent="0.35">
      <c r="B4" s="6"/>
      <c r="C4" s="7"/>
      <c r="D4" s="35" t="s">
        <v>219</v>
      </c>
      <c r="E4" s="35"/>
      <c r="F4" s="7"/>
      <c r="G4" s="7"/>
      <c r="H4" s="8"/>
      <c r="I4" s="7"/>
      <c r="J4" s="7"/>
    </row>
    <row r="5" spans="1:10" ht="24.9" customHeight="1" x14ac:dyDescent="0.3">
      <c r="A5" s="10"/>
      <c r="B5" s="55" t="s">
        <v>0</v>
      </c>
      <c r="C5" s="56"/>
      <c r="D5" s="56"/>
      <c r="E5" s="60" t="s">
        <v>1</v>
      </c>
      <c r="F5" s="60"/>
      <c r="G5" s="60"/>
      <c r="H5" s="60"/>
      <c r="I5" s="60" t="s">
        <v>2</v>
      </c>
      <c r="J5" s="61"/>
    </row>
    <row r="6" spans="1:10" ht="24.9" customHeight="1" thickBot="1" x14ac:dyDescent="0.35">
      <c r="A6" s="10"/>
      <c r="B6" s="57"/>
      <c r="C6" s="58"/>
      <c r="D6" s="58"/>
      <c r="E6" s="11" t="s">
        <v>3</v>
      </c>
      <c r="F6" s="11" t="s">
        <v>4</v>
      </c>
      <c r="G6" s="11" t="s">
        <v>23</v>
      </c>
      <c r="H6" s="11" t="s">
        <v>24</v>
      </c>
      <c r="I6" s="62"/>
      <c r="J6" s="63"/>
    </row>
    <row r="7" spans="1:10" ht="24.9" customHeight="1" thickBot="1" x14ac:dyDescent="0.35">
      <c r="A7" s="10"/>
      <c r="B7" s="49" t="s">
        <v>21</v>
      </c>
      <c r="C7" s="50"/>
      <c r="D7" s="50"/>
      <c r="E7" s="28" t="s">
        <v>18</v>
      </c>
      <c r="F7" s="28" t="s">
        <v>19</v>
      </c>
      <c r="G7" s="28" t="s">
        <v>22</v>
      </c>
      <c r="H7" s="28" t="s">
        <v>20</v>
      </c>
      <c r="I7" s="44" t="s">
        <v>25</v>
      </c>
      <c r="J7" s="45"/>
    </row>
    <row r="8" spans="1:10" ht="39.9" customHeight="1" x14ac:dyDescent="0.3">
      <c r="A8" s="10"/>
      <c r="B8" s="46" t="s">
        <v>180</v>
      </c>
      <c r="C8" s="47"/>
      <c r="D8" s="47"/>
      <c r="E8" s="47"/>
      <c r="F8" s="47"/>
      <c r="G8" s="47"/>
      <c r="H8" s="47"/>
      <c r="I8" s="47"/>
      <c r="J8" s="48"/>
    </row>
    <row r="9" spans="1:10" ht="39.9" customHeight="1" x14ac:dyDescent="0.3">
      <c r="A9" s="10"/>
      <c r="B9" s="38" t="s">
        <v>181</v>
      </c>
      <c r="C9" s="39"/>
      <c r="D9" s="39"/>
      <c r="E9" s="9">
        <v>5</v>
      </c>
      <c r="F9" s="26">
        <v>3.25</v>
      </c>
      <c r="G9" s="29">
        <f>IFERROR(F9/E9,"")</f>
        <v>0.65</v>
      </c>
      <c r="H9" s="30" t="str">
        <f>_xlfn.IFS(F9="أدخل العلامة","",F9="لا ينطبق","تم الإلغاء",G9&gt;=90%,"ممتاز",G9&gt;=80%,"جيد جداً",G9&gt;=70%,"جيد",G9&gt;=60%,"مقبول",G9&lt;60%,"راسب")</f>
        <v>مقبول</v>
      </c>
      <c r="I9" s="36"/>
      <c r="J9" s="37"/>
    </row>
    <row r="10" spans="1:10" ht="39.9" customHeight="1" x14ac:dyDescent="0.3">
      <c r="A10" s="10"/>
      <c r="B10" s="38" t="s">
        <v>182</v>
      </c>
      <c r="C10" s="39"/>
      <c r="D10" s="39"/>
      <c r="E10" s="9">
        <v>5</v>
      </c>
      <c r="F10" s="26">
        <v>3.25</v>
      </c>
      <c r="G10" s="29">
        <f t="shared" ref="G10:G45" si="0">IFERROR(F10/E10,"")</f>
        <v>0.65</v>
      </c>
      <c r="H10" s="30" t="str">
        <f t="shared" ref="H10:H45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36"/>
      <c r="J10" s="37"/>
    </row>
    <row r="11" spans="1:10" ht="39.9" customHeight="1" x14ac:dyDescent="0.3">
      <c r="A11" s="10"/>
      <c r="B11" s="38" t="s">
        <v>183</v>
      </c>
      <c r="C11" s="39"/>
      <c r="D11" s="39"/>
      <c r="E11" s="9">
        <v>5</v>
      </c>
      <c r="F11" s="26">
        <v>3</v>
      </c>
      <c r="G11" s="29">
        <f t="shared" si="0"/>
        <v>0.6</v>
      </c>
      <c r="H11" s="30" t="str">
        <f t="shared" si="1"/>
        <v>مقبول</v>
      </c>
      <c r="I11" s="36"/>
      <c r="J11" s="37"/>
    </row>
    <row r="12" spans="1:10" ht="39.9" customHeight="1" x14ac:dyDescent="0.3">
      <c r="A12" s="10"/>
      <c r="B12" s="38" t="s">
        <v>184</v>
      </c>
      <c r="C12" s="39"/>
      <c r="D12" s="39"/>
      <c r="E12" s="9"/>
      <c r="F12" s="26"/>
      <c r="G12" s="29"/>
      <c r="H12" s="30"/>
      <c r="I12" s="36"/>
      <c r="J12" s="37"/>
    </row>
    <row r="13" spans="1:10" ht="39.9" customHeight="1" x14ac:dyDescent="0.3">
      <c r="A13" s="10"/>
      <c r="B13" s="40" t="s">
        <v>185</v>
      </c>
      <c r="C13" s="41"/>
      <c r="D13" s="41"/>
      <c r="E13" s="9">
        <v>5</v>
      </c>
      <c r="F13" s="26">
        <v>3.5</v>
      </c>
      <c r="G13" s="29">
        <f t="shared" si="0"/>
        <v>0.7</v>
      </c>
      <c r="H13" s="30" t="str">
        <f t="shared" si="1"/>
        <v>جيد</v>
      </c>
      <c r="I13" s="36"/>
      <c r="J13" s="37"/>
    </row>
    <row r="14" spans="1:10" ht="39.9" customHeight="1" x14ac:dyDescent="0.3">
      <c r="A14" s="10"/>
      <c r="B14" s="40" t="s">
        <v>186</v>
      </c>
      <c r="C14" s="41"/>
      <c r="D14" s="41"/>
      <c r="E14" s="9">
        <v>5</v>
      </c>
      <c r="F14" s="26">
        <v>3.5</v>
      </c>
      <c r="G14" s="29">
        <f t="shared" si="0"/>
        <v>0.7</v>
      </c>
      <c r="H14" s="30" t="str">
        <f t="shared" si="1"/>
        <v>جيد</v>
      </c>
      <c r="I14" s="36"/>
      <c r="J14" s="37"/>
    </row>
    <row r="15" spans="1:10" ht="39.9" customHeight="1" x14ac:dyDescent="0.3">
      <c r="A15" s="10"/>
      <c r="B15" s="40" t="s">
        <v>187</v>
      </c>
      <c r="C15" s="41"/>
      <c r="D15" s="41"/>
      <c r="E15" s="9">
        <v>5</v>
      </c>
      <c r="F15" s="26">
        <v>3.5</v>
      </c>
      <c r="G15" s="29">
        <f t="shared" si="0"/>
        <v>0.7</v>
      </c>
      <c r="H15" s="30" t="str">
        <f t="shared" si="1"/>
        <v>جيد</v>
      </c>
      <c r="I15" s="36"/>
      <c r="J15" s="37"/>
    </row>
    <row r="16" spans="1:10" ht="39.9" customHeight="1" x14ac:dyDescent="0.3">
      <c r="A16" s="10"/>
      <c r="B16" s="40" t="s">
        <v>188</v>
      </c>
      <c r="C16" s="41"/>
      <c r="D16" s="41"/>
      <c r="E16" s="9">
        <v>5</v>
      </c>
      <c r="F16" s="26">
        <v>3.5</v>
      </c>
      <c r="G16" s="29">
        <f t="shared" si="0"/>
        <v>0.7</v>
      </c>
      <c r="H16" s="30" t="str">
        <f t="shared" si="1"/>
        <v>جيد</v>
      </c>
      <c r="I16" s="36"/>
      <c r="J16" s="37"/>
    </row>
    <row r="17" spans="1:10" ht="39.9" customHeight="1" x14ac:dyDescent="0.3">
      <c r="A17" s="10"/>
      <c r="B17" s="40" t="s">
        <v>189</v>
      </c>
      <c r="C17" s="41"/>
      <c r="D17" s="41"/>
      <c r="E17" s="9">
        <v>5</v>
      </c>
      <c r="F17" s="26">
        <v>3.5</v>
      </c>
      <c r="G17" s="29">
        <f t="shared" si="0"/>
        <v>0.7</v>
      </c>
      <c r="H17" s="30" t="str">
        <f t="shared" si="1"/>
        <v>جيد</v>
      </c>
      <c r="I17" s="36"/>
      <c r="J17" s="37"/>
    </row>
    <row r="18" spans="1:10" ht="39.9" customHeight="1" x14ac:dyDescent="0.3">
      <c r="A18" s="10"/>
      <c r="B18" s="40" t="s">
        <v>190</v>
      </c>
      <c r="C18" s="41"/>
      <c r="D18" s="41"/>
      <c r="E18" s="9">
        <v>5</v>
      </c>
      <c r="F18" s="26">
        <v>3.5</v>
      </c>
      <c r="G18" s="29">
        <f t="shared" si="0"/>
        <v>0.7</v>
      </c>
      <c r="H18" s="30" t="str">
        <f t="shared" si="1"/>
        <v>جيد</v>
      </c>
      <c r="I18" s="36"/>
      <c r="J18" s="37"/>
    </row>
    <row r="19" spans="1:10" ht="39.9" customHeight="1" x14ac:dyDescent="0.3">
      <c r="A19" s="10"/>
      <c r="B19" s="38" t="s">
        <v>191</v>
      </c>
      <c r="C19" s="39"/>
      <c r="D19" s="39"/>
      <c r="E19" s="9">
        <v>5</v>
      </c>
      <c r="F19" s="26">
        <v>3.5</v>
      </c>
      <c r="G19" s="29">
        <f t="shared" si="0"/>
        <v>0.7</v>
      </c>
      <c r="H19" s="30" t="str">
        <f t="shared" si="1"/>
        <v>جيد</v>
      </c>
      <c r="I19" s="36"/>
      <c r="J19" s="37"/>
    </row>
    <row r="20" spans="1:10" ht="39.9" customHeight="1" x14ac:dyDescent="0.3">
      <c r="A20" s="10"/>
      <c r="B20" s="38" t="s">
        <v>192</v>
      </c>
      <c r="C20" s="39"/>
      <c r="D20" s="39"/>
      <c r="E20" s="9"/>
      <c r="F20" s="26"/>
      <c r="G20" s="29"/>
      <c r="H20" s="30"/>
      <c r="I20" s="36"/>
      <c r="J20" s="37"/>
    </row>
    <row r="21" spans="1:10" ht="39.9" customHeight="1" x14ac:dyDescent="0.3">
      <c r="A21" s="10"/>
      <c r="B21" s="40" t="s">
        <v>214</v>
      </c>
      <c r="C21" s="41"/>
      <c r="D21" s="41"/>
      <c r="E21" s="9">
        <v>5</v>
      </c>
      <c r="F21" s="26">
        <v>3.5</v>
      </c>
      <c r="G21" s="29">
        <f t="shared" si="0"/>
        <v>0.7</v>
      </c>
      <c r="H21" s="30" t="str">
        <f t="shared" si="1"/>
        <v>جيد</v>
      </c>
      <c r="I21" s="36"/>
      <c r="J21" s="37"/>
    </row>
    <row r="22" spans="1:10" ht="39.9" customHeight="1" x14ac:dyDescent="0.3">
      <c r="A22" s="10"/>
      <c r="B22" s="40" t="s">
        <v>215</v>
      </c>
      <c r="C22" s="41"/>
      <c r="D22" s="41"/>
      <c r="E22" s="9">
        <v>5</v>
      </c>
      <c r="F22" s="26">
        <v>3.5</v>
      </c>
      <c r="G22" s="29">
        <f t="shared" si="0"/>
        <v>0.7</v>
      </c>
      <c r="H22" s="30" t="str">
        <f t="shared" si="1"/>
        <v>جيد</v>
      </c>
      <c r="I22" s="36"/>
      <c r="J22" s="37"/>
    </row>
    <row r="23" spans="1:10" ht="39.9" customHeight="1" x14ac:dyDescent="0.3">
      <c r="A23" s="10"/>
      <c r="B23" s="40" t="s">
        <v>193</v>
      </c>
      <c r="C23" s="41"/>
      <c r="D23" s="41"/>
      <c r="E23" s="9">
        <v>5</v>
      </c>
      <c r="F23" s="26">
        <v>3.5</v>
      </c>
      <c r="G23" s="29">
        <f t="shared" si="0"/>
        <v>0.7</v>
      </c>
      <c r="H23" s="30" t="str">
        <f t="shared" si="1"/>
        <v>جيد</v>
      </c>
      <c r="I23" s="36"/>
      <c r="J23" s="37"/>
    </row>
    <row r="24" spans="1:10" ht="39.9" customHeight="1" x14ac:dyDescent="0.3">
      <c r="A24" s="10"/>
      <c r="B24" s="40" t="s">
        <v>194</v>
      </c>
      <c r="C24" s="41"/>
      <c r="D24" s="41"/>
      <c r="E24" s="9">
        <v>5</v>
      </c>
      <c r="F24" s="26">
        <v>3</v>
      </c>
      <c r="G24" s="29">
        <f t="shared" si="0"/>
        <v>0.6</v>
      </c>
      <c r="H24" s="30" t="str">
        <f t="shared" si="1"/>
        <v>مقبول</v>
      </c>
      <c r="I24" s="36"/>
      <c r="J24" s="37"/>
    </row>
    <row r="25" spans="1:10" ht="39.9" customHeight="1" thickBot="1" x14ac:dyDescent="0.35">
      <c r="A25" s="10"/>
      <c r="B25" s="42" t="s">
        <v>195</v>
      </c>
      <c r="C25" s="43"/>
      <c r="D25" s="43"/>
      <c r="E25" s="32">
        <v>5</v>
      </c>
      <c r="F25" s="27">
        <v>3.5</v>
      </c>
      <c r="G25" s="33">
        <f t="shared" si="0"/>
        <v>0.7</v>
      </c>
      <c r="H25" s="34" t="str">
        <f t="shared" si="1"/>
        <v>جيد</v>
      </c>
      <c r="I25" s="51"/>
      <c r="J25" s="52"/>
    </row>
    <row r="26" spans="1:10" ht="39.9" customHeight="1" x14ac:dyDescent="0.3">
      <c r="A26" s="10"/>
      <c r="B26" s="46" t="s">
        <v>196</v>
      </c>
      <c r="C26" s="47"/>
      <c r="D26" s="47"/>
      <c r="E26" s="47"/>
      <c r="F26" s="47"/>
      <c r="G26" s="47"/>
      <c r="H26" s="47"/>
      <c r="I26" s="47"/>
      <c r="J26" s="48"/>
    </row>
    <row r="27" spans="1:10" ht="39.9" customHeight="1" x14ac:dyDescent="0.3">
      <c r="A27" s="10"/>
      <c r="B27" s="38" t="s">
        <v>197</v>
      </c>
      <c r="C27" s="39"/>
      <c r="D27" s="39"/>
      <c r="E27" s="9"/>
      <c r="F27" s="26"/>
      <c r="G27" s="29"/>
      <c r="H27" s="30"/>
      <c r="I27" s="36"/>
      <c r="J27" s="37"/>
    </row>
    <row r="28" spans="1:10" ht="39.9" customHeight="1" x14ac:dyDescent="0.3">
      <c r="A28" s="10"/>
      <c r="B28" s="40" t="s">
        <v>198</v>
      </c>
      <c r="C28" s="41"/>
      <c r="D28" s="41"/>
      <c r="E28" s="9">
        <v>5</v>
      </c>
      <c r="F28" s="26">
        <v>4</v>
      </c>
      <c r="G28" s="29">
        <f t="shared" si="0"/>
        <v>0.8</v>
      </c>
      <c r="H28" s="30" t="str">
        <f t="shared" si="1"/>
        <v>جيد جداً</v>
      </c>
      <c r="I28" s="36"/>
      <c r="J28" s="37"/>
    </row>
    <row r="29" spans="1:10" ht="39.9" customHeight="1" x14ac:dyDescent="0.3">
      <c r="A29" s="10"/>
      <c r="B29" s="40" t="s">
        <v>199</v>
      </c>
      <c r="C29" s="41"/>
      <c r="D29" s="41"/>
      <c r="E29" s="9">
        <v>5</v>
      </c>
      <c r="F29" s="26">
        <v>3.75</v>
      </c>
      <c r="G29" s="29">
        <f t="shared" si="0"/>
        <v>0.75</v>
      </c>
      <c r="H29" s="30" t="str">
        <f t="shared" si="1"/>
        <v>جيد</v>
      </c>
      <c r="I29" s="36"/>
      <c r="J29" s="37"/>
    </row>
    <row r="30" spans="1:10" ht="39.9" customHeight="1" x14ac:dyDescent="0.3">
      <c r="A30" s="10"/>
      <c r="B30" s="40" t="s">
        <v>200</v>
      </c>
      <c r="C30" s="41"/>
      <c r="D30" s="41"/>
      <c r="E30" s="9">
        <v>5</v>
      </c>
      <c r="F30" s="26">
        <v>3.75</v>
      </c>
      <c r="G30" s="29">
        <f t="shared" si="0"/>
        <v>0.75</v>
      </c>
      <c r="H30" s="30" t="str">
        <f t="shared" si="1"/>
        <v>جيد</v>
      </c>
      <c r="I30" s="36"/>
      <c r="J30" s="37"/>
    </row>
    <row r="31" spans="1:10" ht="39.9" customHeight="1" x14ac:dyDescent="0.3">
      <c r="A31" s="10"/>
      <c r="B31" s="40" t="s">
        <v>201</v>
      </c>
      <c r="C31" s="41"/>
      <c r="D31" s="41"/>
      <c r="E31" s="9">
        <v>5</v>
      </c>
      <c r="F31" s="26">
        <v>4</v>
      </c>
      <c r="G31" s="29">
        <f t="shared" si="0"/>
        <v>0.8</v>
      </c>
      <c r="H31" s="30" t="str">
        <f t="shared" si="1"/>
        <v>جيد جداً</v>
      </c>
      <c r="I31" s="36"/>
      <c r="J31" s="37"/>
    </row>
    <row r="32" spans="1:10" ht="39.9" customHeight="1" x14ac:dyDescent="0.3">
      <c r="A32" s="10"/>
      <c r="B32" s="38" t="s">
        <v>202</v>
      </c>
      <c r="C32" s="39"/>
      <c r="D32" s="39"/>
      <c r="E32" s="9">
        <v>5</v>
      </c>
      <c r="F32" s="26">
        <v>3.75</v>
      </c>
      <c r="G32" s="29">
        <f t="shared" si="0"/>
        <v>0.75</v>
      </c>
      <c r="H32" s="30" t="str">
        <f t="shared" si="1"/>
        <v>جيد</v>
      </c>
      <c r="I32" s="36"/>
      <c r="J32" s="37"/>
    </row>
    <row r="33" spans="1:10" ht="39.9" customHeight="1" x14ac:dyDescent="0.3">
      <c r="A33" s="10"/>
      <c r="B33" s="38" t="s">
        <v>203</v>
      </c>
      <c r="C33" s="39"/>
      <c r="D33" s="39"/>
      <c r="E33" s="9">
        <v>5</v>
      </c>
      <c r="F33" s="26">
        <v>3.5</v>
      </c>
      <c r="G33" s="29">
        <f t="shared" si="0"/>
        <v>0.7</v>
      </c>
      <c r="H33" s="30" t="str">
        <f t="shared" si="1"/>
        <v>جيد</v>
      </c>
      <c r="I33" s="36"/>
      <c r="J33" s="37"/>
    </row>
    <row r="34" spans="1:10" ht="39.9" customHeight="1" x14ac:dyDescent="0.3">
      <c r="A34" s="10"/>
      <c r="B34" s="38" t="s">
        <v>204</v>
      </c>
      <c r="C34" s="39"/>
      <c r="D34" s="39"/>
      <c r="E34" s="9">
        <v>5</v>
      </c>
      <c r="F34" s="26">
        <v>3.5</v>
      </c>
      <c r="G34" s="29">
        <f t="shared" si="0"/>
        <v>0.7</v>
      </c>
      <c r="H34" s="30" t="str">
        <f t="shared" si="1"/>
        <v>جيد</v>
      </c>
      <c r="I34" s="36"/>
      <c r="J34" s="37"/>
    </row>
    <row r="35" spans="1:10" ht="39.9" customHeight="1" x14ac:dyDescent="0.3">
      <c r="A35" s="10"/>
      <c r="B35" s="38" t="s">
        <v>205</v>
      </c>
      <c r="C35" s="39"/>
      <c r="D35" s="39"/>
      <c r="E35" s="9">
        <v>5</v>
      </c>
      <c r="F35" s="26">
        <v>3.5</v>
      </c>
      <c r="G35" s="29">
        <f t="shared" si="0"/>
        <v>0.7</v>
      </c>
      <c r="H35" s="30" t="str">
        <f t="shared" si="1"/>
        <v>جيد</v>
      </c>
      <c r="I35" s="36"/>
      <c r="J35" s="37"/>
    </row>
    <row r="36" spans="1:10" ht="39.9" customHeight="1" x14ac:dyDescent="0.3">
      <c r="A36" s="10"/>
      <c r="B36" s="38" t="s">
        <v>206</v>
      </c>
      <c r="C36" s="39"/>
      <c r="D36" s="39"/>
      <c r="E36" s="9">
        <v>5</v>
      </c>
      <c r="F36" s="26">
        <v>3.5</v>
      </c>
      <c r="G36" s="29">
        <f t="shared" si="0"/>
        <v>0.7</v>
      </c>
      <c r="H36" s="30" t="str">
        <f t="shared" si="1"/>
        <v>جيد</v>
      </c>
      <c r="I36" s="36"/>
      <c r="J36" s="37"/>
    </row>
    <row r="37" spans="1:10" ht="30" customHeight="1" x14ac:dyDescent="0.3">
      <c r="A37" s="10"/>
      <c r="B37" s="38" t="s">
        <v>217</v>
      </c>
      <c r="C37" s="39"/>
      <c r="D37" s="39"/>
      <c r="E37" s="9">
        <v>5</v>
      </c>
      <c r="F37" s="26">
        <v>3.5</v>
      </c>
      <c r="G37" s="29">
        <f t="shared" si="0"/>
        <v>0.7</v>
      </c>
      <c r="H37" s="30" t="str">
        <f t="shared" si="1"/>
        <v>جيد</v>
      </c>
      <c r="I37" s="36"/>
      <c r="J37" s="37"/>
    </row>
    <row r="38" spans="1:10" ht="39.9" customHeight="1" thickBot="1" x14ac:dyDescent="0.35">
      <c r="A38" s="10"/>
      <c r="B38" s="81" t="s">
        <v>218</v>
      </c>
      <c r="C38" s="82"/>
      <c r="D38" s="82"/>
      <c r="E38" s="32">
        <v>5</v>
      </c>
      <c r="F38" s="27">
        <v>3.5</v>
      </c>
      <c r="G38" s="33">
        <f t="shared" si="0"/>
        <v>0.7</v>
      </c>
      <c r="H38" s="34" t="str">
        <f t="shared" si="1"/>
        <v>جيد</v>
      </c>
      <c r="I38" s="51"/>
      <c r="J38" s="52"/>
    </row>
    <row r="39" spans="1:10" ht="39.9" customHeight="1" x14ac:dyDescent="0.3">
      <c r="A39" s="10"/>
      <c r="B39" s="46" t="s">
        <v>207</v>
      </c>
      <c r="C39" s="47"/>
      <c r="D39" s="47"/>
      <c r="E39" s="47"/>
      <c r="F39" s="47"/>
      <c r="G39" s="47"/>
      <c r="H39" s="47"/>
      <c r="I39" s="47"/>
      <c r="J39" s="48"/>
    </row>
    <row r="40" spans="1:10" ht="60" customHeight="1" x14ac:dyDescent="0.3">
      <c r="A40" s="10"/>
      <c r="B40" s="38" t="s">
        <v>208</v>
      </c>
      <c r="C40" s="39"/>
      <c r="D40" s="39"/>
      <c r="E40" s="9">
        <v>5</v>
      </c>
      <c r="F40" s="26">
        <v>3.75</v>
      </c>
      <c r="G40" s="29">
        <f t="shared" si="0"/>
        <v>0.75</v>
      </c>
      <c r="H40" s="30" t="str">
        <f t="shared" si="1"/>
        <v>جيد</v>
      </c>
      <c r="I40" s="36"/>
      <c r="J40" s="37"/>
    </row>
    <row r="41" spans="1:10" ht="53.25" customHeight="1" x14ac:dyDescent="0.3">
      <c r="A41" s="10"/>
      <c r="B41" s="38" t="s">
        <v>209</v>
      </c>
      <c r="C41" s="39"/>
      <c r="D41" s="39"/>
      <c r="E41" s="9">
        <v>5</v>
      </c>
      <c r="F41" s="26">
        <v>4.25</v>
      </c>
      <c r="G41" s="29">
        <f t="shared" si="0"/>
        <v>0.85</v>
      </c>
      <c r="H41" s="30" t="str">
        <f t="shared" si="1"/>
        <v>جيد جداً</v>
      </c>
      <c r="I41" s="36"/>
      <c r="J41" s="37"/>
    </row>
    <row r="42" spans="1:10" ht="39.9" customHeight="1" x14ac:dyDescent="0.3">
      <c r="A42" s="10"/>
      <c r="B42" s="38" t="s">
        <v>210</v>
      </c>
      <c r="C42" s="39"/>
      <c r="D42" s="39"/>
      <c r="E42" s="9">
        <v>5</v>
      </c>
      <c r="F42" s="26">
        <v>3.75</v>
      </c>
      <c r="G42" s="29">
        <f t="shared" si="0"/>
        <v>0.75</v>
      </c>
      <c r="H42" s="30" t="str">
        <f t="shared" si="1"/>
        <v>جيد</v>
      </c>
      <c r="I42" s="36"/>
      <c r="J42" s="37"/>
    </row>
    <row r="43" spans="1:10" ht="39.9" customHeight="1" x14ac:dyDescent="0.3">
      <c r="A43" s="10"/>
      <c r="B43" s="38" t="s">
        <v>211</v>
      </c>
      <c r="C43" s="39"/>
      <c r="D43" s="39"/>
      <c r="E43" s="9">
        <v>5</v>
      </c>
      <c r="F43" s="26">
        <v>3.25</v>
      </c>
      <c r="G43" s="29">
        <f t="shared" si="0"/>
        <v>0.65</v>
      </c>
      <c r="H43" s="30" t="str">
        <f t="shared" si="1"/>
        <v>مقبول</v>
      </c>
      <c r="I43" s="36"/>
      <c r="J43" s="37"/>
    </row>
    <row r="44" spans="1:10" ht="53.25" customHeight="1" x14ac:dyDescent="0.3">
      <c r="A44" s="10"/>
      <c r="B44" s="38" t="s">
        <v>212</v>
      </c>
      <c r="C44" s="39"/>
      <c r="D44" s="39"/>
      <c r="E44" s="9">
        <v>5</v>
      </c>
      <c r="F44" s="26">
        <v>3.5</v>
      </c>
      <c r="G44" s="29">
        <f t="shared" si="0"/>
        <v>0.7</v>
      </c>
      <c r="H44" s="30" t="str">
        <f t="shared" si="1"/>
        <v>جيد</v>
      </c>
      <c r="I44" s="36"/>
      <c r="J44" s="37"/>
    </row>
    <row r="45" spans="1:10" ht="39.9" customHeight="1" thickBot="1" x14ac:dyDescent="0.35">
      <c r="A45" s="10"/>
      <c r="B45" s="81" t="s">
        <v>213</v>
      </c>
      <c r="C45" s="82"/>
      <c r="D45" s="82"/>
      <c r="E45" s="32">
        <v>5</v>
      </c>
      <c r="F45" s="27">
        <v>3.5</v>
      </c>
      <c r="G45" s="33">
        <f t="shared" si="0"/>
        <v>0.7</v>
      </c>
      <c r="H45" s="34" t="str">
        <f t="shared" si="1"/>
        <v>جيد</v>
      </c>
      <c r="I45" s="51"/>
      <c r="J45" s="52"/>
    </row>
    <row r="46" spans="1:10" ht="30" customHeight="1" thickBot="1" x14ac:dyDescent="0.35">
      <c r="A46" s="4"/>
      <c r="B46" s="77" t="s">
        <v>5</v>
      </c>
      <c r="C46" s="78"/>
      <c r="D46" s="78"/>
      <c r="E46" s="31">
        <f>SUM(E8:E45)</f>
        <v>160</v>
      </c>
      <c r="F46" s="31">
        <f>SUM(F8:F45)</f>
        <v>113.25</v>
      </c>
      <c r="G46" s="74"/>
      <c r="H46" s="75"/>
      <c r="I46" s="75"/>
      <c r="J46" s="76"/>
    </row>
    <row r="47" spans="1:10" ht="30" customHeight="1" thickBot="1" x14ac:dyDescent="0.35">
      <c r="A47" s="4"/>
      <c r="B47" s="79" t="s">
        <v>54</v>
      </c>
      <c r="C47" s="80"/>
      <c r="D47" s="80"/>
      <c r="E47" s="70">
        <f>F46/E46/100*100</f>
        <v>0.70781249999999996</v>
      </c>
      <c r="F47" s="70"/>
      <c r="G47" s="70"/>
      <c r="H47" s="70"/>
      <c r="I47" s="70"/>
      <c r="J47" s="71"/>
    </row>
    <row r="48" spans="1:10" ht="30" customHeight="1" thickBot="1" x14ac:dyDescent="0.35">
      <c r="A48" s="4"/>
      <c r="B48" s="79" t="s">
        <v>55</v>
      </c>
      <c r="C48" s="80"/>
      <c r="D48" s="80"/>
      <c r="E48" s="68" t="str">
        <f>_xlfn.IFS(E47&gt;=90%,"ممتاز",E47&gt;=80%,"جيد جداً",E47&gt;=70%,"جيد",E47&gt;=60%,"مقبول",E47&lt;60%,"راسب")</f>
        <v>جيد</v>
      </c>
      <c r="F48" s="68"/>
      <c r="G48" s="68"/>
      <c r="H48" s="68"/>
      <c r="I48" s="68"/>
      <c r="J48" s="69"/>
    </row>
    <row r="49" spans="1:10" ht="42" customHeight="1" x14ac:dyDescent="0.3">
      <c r="B49" s="64" t="s">
        <v>174</v>
      </c>
      <c r="C49" s="64"/>
      <c r="D49" s="64"/>
      <c r="E49" s="72" t="s">
        <v>52</v>
      </c>
      <c r="F49" s="72"/>
      <c r="G49" s="66" t="s">
        <v>59</v>
      </c>
      <c r="H49" s="66"/>
      <c r="I49" s="66"/>
      <c r="J49" s="66"/>
    </row>
    <row r="50" spans="1:10" ht="51" customHeight="1" x14ac:dyDescent="0.3">
      <c r="A50" s="5"/>
      <c r="B50" s="65"/>
      <c r="C50" s="65"/>
      <c r="D50" s="65"/>
      <c r="E50" s="73" t="s">
        <v>53</v>
      </c>
      <c r="F50" s="73"/>
      <c r="G50" s="67"/>
      <c r="H50" s="67"/>
      <c r="I50" s="67"/>
      <c r="J50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4">
    <mergeCell ref="B45:D45"/>
    <mergeCell ref="B39:J39"/>
    <mergeCell ref="B26:J26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28:D28"/>
    <mergeCell ref="B29:D29"/>
    <mergeCell ref="I38:J38"/>
    <mergeCell ref="B30:D30"/>
    <mergeCell ref="B31:D31"/>
    <mergeCell ref="B32:D32"/>
    <mergeCell ref="B33:D33"/>
    <mergeCell ref="B44:D44"/>
    <mergeCell ref="B48:D4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I32:J32"/>
    <mergeCell ref="I33:J33"/>
    <mergeCell ref="I34:J34"/>
    <mergeCell ref="I35:J35"/>
    <mergeCell ref="B49:D50"/>
    <mergeCell ref="G49:J49"/>
    <mergeCell ref="G50:J50"/>
    <mergeCell ref="E48:J48"/>
    <mergeCell ref="I40:J40"/>
    <mergeCell ref="I41:J41"/>
    <mergeCell ref="I42:J42"/>
    <mergeCell ref="I43:J43"/>
    <mergeCell ref="I44:J44"/>
    <mergeCell ref="E47:J47"/>
    <mergeCell ref="I45:J45"/>
    <mergeCell ref="E49:F49"/>
    <mergeCell ref="E50:F50"/>
    <mergeCell ref="G46:J46"/>
    <mergeCell ref="B46:D46"/>
    <mergeCell ref="B47:D47"/>
    <mergeCell ref="I22:J22"/>
    <mergeCell ref="I23:J23"/>
    <mergeCell ref="I24:J24"/>
    <mergeCell ref="I25:J25"/>
    <mergeCell ref="B1:J1"/>
    <mergeCell ref="F2:J2"/>
    <mergeCell ref="B5:D6"/>
    <mergeCell ref="C2:D2"/>
    <mergeCell ref="C3:D3"/>
    <mergeCell ref="F3:J3"/>
    <mergeCell ref="E5:H5"/>
    <mergeCell ref="I5:J6"/>
    <mergeCell ref="B21:D21"/>
    <mergeCell ref="I7:J7"/>
    <mergeCell ref="I10:J10"/>
    <mergeCell ref="I19:J19"/>
    <mergeCell ref="I20:J20"/>
    <mergeCell ref="B8:J8"/>
    <mergeCell ref="I9:J9"/>
    <mergeCell ref="B7:D7"/>
    <mergeCell ref="B9:D9"/>
    <mergeCell ref="B16:D16"/>
    <mergeCell ref="B17:D17"/>
    <mergeCell ref="B18:D18"/>
    <mergeCell ref="B19:D19"/>
    <mergeCell ref="B20:D20"/>
    <mergeCell ref="I37:J37"/>
    <mergeCell ref="I36:J36"/>
    <mergeCell ref="B34:D34"/>
    <mergeCell ref="B15:D15"/>
    <mergeCell ref="B10:D10"/>
    <mergeCell ref="B11:D11"/>
    <mergeCell ref="B12:D12"/>
    <mergeCell ref="B13:D13"/>
    <mergeCell ref="B14:D14"/>
    <mergeCell ref="I30:J30"/>
    <mergeCell ref="I31:J31"/>
    <mergeCell ref="B22:D22"/>
    <mergeCell ref="B23:D23"/>
    <mergeCell ref="B24:D24"/>
    <mergeCell ref="B25:D25"/>
    <mergeCell ref="I21:J21"/>
  </mergeCells>
  <conditionalFormatting sqref="C2:D2">
    <cfRule type="containsText" dxfId="24" priority="19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3" priority="18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8">
    <cfRule type="expression" dxfId="22" priority="58">
      <formula>$E48="راسب"</formula>
    </cfRule>
  </conditionalFormatting>
  <conditionalFormatting sqref="E48:J48">
    <cfRule type="expression" dxfId="21" priority="61">
      <formula>$E48="جيد جداً"</formula>
    </cfRule>
    <cfRule type="expression" dxfId="20" priority="60">
      <formula>$E48="جيد"</formula>
    </cfRule>
    <cfRule type="expression" dxfId="19" priority="59">
      <formula>$E48="مقبول"</formula>
    </cfRule>
    <cfRule type="expression" dxfId="18" priority="62">
      <formula>$E48="ممتاز"</formula>
    </cfRule>
  </conditionalFormatting>
  <conditionalFormatting sqref="F9:F25">
    <cfRule type="containsText" dxfId="17" priority="5" operator="containsText" text="أدخل العلامة">
      <formula>NOT(ISERROR(SEARCH("أدخل العلامة",F9)))</formula>
    </cfRule>
  </conditionalFormatting>
  <conditionalFormatting sqref="F27:F38 F40:F45">
    <cfRule type="containsText" dxfId="16" priority="15" operator="containsText" text="أدخل العلامة">
      <formula>NOT(ISERROR(SEARCH("أدخل العلامة",F27)))</formula>
    </cfRule>
  </conditionalFormatting>
  <conditionalFormatting sqref="F2:J2">
    <cfRule type="containsText" dxfId="15" priority="20" operator="containsText" text="أدخل التاريخ">
      <formula>NOT(ISERROR(SEARCH("أدخل التاريخ",F2)))</formula>
    </cfRule>
  </conditionalFormatting>
  <conditionalFormatting sqref="F3:J3">
    <cfRule type="containsText" dxfId="14" priority="17" operator="containsText" text="أدخل أسم المحكم">
      <formula>NOT(ISERROR(SEARCH("أدخل أسم المحكم",F3)))</formula>
    </cfRule>
  </conditionalFormatting>
  <conditionalFormatting sqref="G49:J49">
    <cfRule type="containsText" dxfId="13" priority="16" operator="containsText" text="أدخل اسم المحكم">
      <formula>NOT(ISERROR(SEARCH("أدخل اسم المحكم",G49)))</formula>
    </cfRule>
  </conditionalFormatting>
  <conditionalFormatting sqref="H9:H25">
    <cfRule type="containsText" dxfId="12" priority="11" operator="containsText" text="راسب">
      <formula>NOT(ISERROR(SEARCH("راسب",H9)))</formula>
    </cfRule>
    <cfRule type="containsText" dxfId="11" priority="10" operator="containsText" text="مقبول">
      <formula>NOT(ISERROR(SEARCH("مقبول",H9)))</formula>
    </cfRule>
    <cfRule type="containsText" dxfId="10" priority="9" operator="containsText" text="جيد">
      <formula>NOT(ISERROR(SEARCH("جيد",H9)))</formula>
    </cfRule>
    <cfRule type="containsText" dxfId="9" priority="8" operator="containsText" text="جيد جداً">
      <formula>NOT(ISERROR(SEARCH("جيد جداً",H9)))</formula>
    </cfRule>
    <cfRule type="containsText" dxfId="8" priority="7" operator="containsText" text="ممتاز">
      <formula>NOT(ISERROR(SEARCH("ممتاز",H9)))</formula>
    </cfRule>
    <cfRule type="containsText" dxfId="7" priority="6" operator="containsText" text="أدخل العلامة">
      <formula>NOT(ISERROR(SEARCH("أدخل العلامة",H9)))</formula>
    </cfRule>
  </conditionalFormatting>
  <conditionalFormatting sqref="H27:H38 H40:H45">
    <cfRule type="containsText" dxfId="6" priority="39" operator="containsText" text="أدخل العلامة">
      <formula>NOT(ISERROR(SEARCH("أدخل العلامة",H27)))</formula>
    </cfRule>
    <cfRule type="containsText" dxfId="5" priority="40" operator="containsText" text="ممتاز">
      <formula>NOT(ISERROR(SEARCH("ممتاز",H27)))</formula>
    </cfRule>
    <cfRule type="containsText" dxfId="4" priority="41" operator="containsText" text="جيد جداً">
      <formula>NOT(ISERROR(SEARCH("جيد جداً",H27)))</formula>
    </cfRule>
    <cfRule type="containsText" dxfId="3" priority="42" operator="containsText" text="جيد">
      <formula>NOT(ISERROR(SEARCH("جيد",H27)))</formula>
    </cfRule>
    <cfRule type="containsText" dxfId="2" priority="43" operator="containsText" text="مقبول">
      <formula>NOT(ISERROR(SEARCH("مقبول",H27)))</formula>
    </cfRule>
    <cfRule type="containsText" dxfId="1" priority="44" operator="containsText" text="راسب">
      <formula>NOT(ISERROR(SEARCH("راسب",H27)))</formula>
    </cfRule>
  </conditionalFormatting>
  <conditionalFormatting sqref="D4:E4">
    <cfRule type="containsText" dxfId="0" priority="1" operator="containsText" text="أدخل أسم قائد الوحدة الخاضعة للتقييم">
      <formula>NOT(ISERROR(SEARCH("أدخل أسم قائد الوحدة الخاضعة للتقييم",D4)))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F40:F45 F28:F38 F9:F11 F13:F19 F21:F25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G49:J49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2025-10-08T20:59:16Z</dcterms:modified>
</cp:coreProperties>
</file>